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codeName="{8C4F1C90-05EB-6A55-5F09-09C24B55AC0B}" lastEdited="5" lowestEdited="4" rupBuild="9303"/>
  <workbookPr codeName="ThisWorkbook" defaultThemeVersion="124226"/>
  <bookViews>
    <workbookView activeTab="6" windowHeight="7320" windowWidth="18885" xWindow="240" yWindow="30"/>
  </bookViews>
  <sheets>
    <sheet name="All Purposes" r:id="rId1" sheetId="18"/>
    <sheet name="Workbased" r:id="rId2" sheetId="7"/>
    <sheet name="Work" r:id="rId3" sheetId="11"/>
    <sheet name="School" r:id="rId4" sheetId="12"/>
    <sheet name="Escort" r:id="rId5" sheetId="13"/>
    <sheet name="Personal_Business" r:id="rId6" sheetId="14"/>
    <sheet name="Shop" r:id="rId7" sheetId="15"/>
    <sheet name="Meal" r:id="rId8" sheetId="16"/>
    <sheet name="SocRec" r:id="rId9" sheetId="17"/>
    <sheet name="Documentation" r:id="rId10" sheetId="19"/>
  </sheets>
  <definedNames>
    <definedName name="purp1">Work!$M$5:$T$16</definedName>
    <definedName name="purp2">School!$M$5:$T$16</definedName>
    <definedName name="purp3">Escort!$M$5:$T$16</definedName>
    <definedName name="purp4">Personal_Business!$M$5:$T$16</definedName>
    <definedName name="purp5">Shop!$M$5:$T$16</definedName>
    <definedName name="purp6">Meal!$M$5:$T$16</definedName>
    <definedName name="purp7">SocRec!$M$5:$T$16</definedName>
    <definedName name="purp8">Workbased!$M$5:$T$16</definedName>
    <definedName name="out1">Work!$B$5:$I$15</definedName>
    <definedName name="out3">School!$B$5:$I$15</definedName>
    <definedName name="out5">Escort!$B$5:$I$15</definedName>
    <definedName name="out7">Personal_Business!$B$5:$I$15</definedName>
    <definedName name="out9">Shop!$B$5:$I$15</definedName>
    <definedName name="out11">Meal!$B$5:$I$15</definedName>
    <definedName name="out13">SocRec!$B$5:$I$15</definedName>
    <definedName name="out15">Workbased!$B$5:$I$15</definedName>
    <definedName name="out2">Work!$M$5:$T$15</definedName>
    <definedName name="out4">School!$M$5:$T$15</definedName>
    <definedName name="out6">Escort!$M$5:$T$15</definedName>
    <definedName name="out8">Personal_Business!$M$5:$T$15</definedName>
    <definedName name="out10">Shop!$M$5:$T$15</definedName>
    <definedName name="out12">Meal!$M$5:$T$15</definedName>
    <definedName name="out14">SocRec!$M$5:$T$15</definedName>
    <definedName name="out16">Workbased!$M$5:$T$15</definedName>
  </definedNames>
  <calcPr calcId="145621"/>
</workbook>
</file>

<file path=xl/calcChain.xml><?xml version="1.0" encoding="utf-8"?>
<calcChain xmlns="http://schemas.openxmlformats.org/spreadsheetml/2006/main">
  <c i="18" l="1" r="B6"/>
  <c i="7" l="1" r="J11"/>
  <c i="7" r="J12"/>
  <c i="7" r="J13"/>
  <c i="11" r="J11"/>
  <c i="11" r="J12"/>
  <c i="11" r="J13"/>
  <c i="12" r="J11"/>
  <c i="12" r="J12"/>
  <c i="12" r="J13"/>
  <c i="13" r="J11"/>
  <c i="13" r="J12"/>
  <c i="13" r="J13"/>
  <c i="14" r="J11"/>
  <c i="14" r="J12"/>
  <c i="14" r="J13"/>
  <c i="15" r="J11"/>
  <c i="15" r="J12"/>
  <c i="15" r="J13"/>
  <c i="16" r="J11"/>
  <c i="16" r="J12"/>
  <c i="16" r="J13"/>
  <c i="17" r="J11"/>
  <c i="17" r="J12"/>
  <c i="17" r="J13"/>
  <c i="18" r="I13"/>
  <c i="18" r="H13"/>
  <c i="18" r="G13"/>
  <c i="18" r="F13"/>
  <c i="18" r="E13"/>
  <c i="18" r="D13"/>
  <c i="18" r="C13"/>
  <c i="18" r="B13"/>
  <c i="18" r="I12"/>
  <c i="18" r="H12"/>
  <c i="18" r="G12"/>
  <c i="18" r="F12"/>
  <c i="18" r="E12"/>
  <c i="18" r="D12"/>
  <c i="18" r="C12"/>
  <c i="18" r="B12"/>
  <c i="18" r="I11"/>
  <c i="18" r="H11"/>
  <c i="18" r="G11"/>
  <c i="18" r="F11"/>
  <c i="18" r="E11"/>
  <c i="18" r="D11"/>
  <c i="18" r="C11"/>
  <c i="18" r="B11"/>
  <c i="18" r="T13"/>
  <c i="18" r="S13"/>
  <c i="18" r="R13"/>
  <c i="18" r="Q13"/>
  <c i="18" r="P13"/>
  <c i="18" r="O13"/>
  <c i="18" r="N13"/>
  <c i="18" r="M13"/>
  <c i="18" r="T12"/>
  <c i="18" r="S12"/>
  <c i="18" r="R12"/>
  <c i="18" r="Q12"/>
  <c i="18" r="P12"/>
  <c i="18" r="O12"/>
  <c i="18" r="N12"/>
  <c i="18" r="M12"/>
  <c i="7" r="U11"/>
  <c i="7" r="U12"/>
  <c i="7" r="U13"/>
  <c i="11" r="U11"/>
  <c i="11" r="U12"/>
  <c i="11" r="U13"/>
  <c i="12" r="U11"/>
  <c i="12" r="U12"/>
  <c i="12" r="U13"/>
  <c i="13" r="U11"/>
  <c i="13" r="U12"/>
  <c i="13" r="U13"/>
  <c i="14" r="U11"/>
  <c i="14" r="U12"/>
  <c i="14" r="U13"/>
  <c i="15" r="U11"/>
  <c i="15" r="U12"/>
  <c i="15" r="U13"/>
  <c i="16" r="U11"/>
  <c i="16" r="U12"/>
  <c i="16" r="U13"/>
  <c i="17" r="U11"/>
  <c i="17" r="U12"/>
  <c i="17" r="U13"/>
  <c i="18" r="O11"/>
  <c i="18" r="P11"/>
  <c i="18" r="Q11"/>
  <c i="18" r="R11"/>
  <c i="18" r="S11"/>
  <c i="18" r="T11"/>
  <c i="18" r="N11"/>
  <c i="18" r="M11"/>
  <c i="18" r="T15"/>
  <c i="18" r="S15"/>
  <c i="18" r="R15"/>
  <c i="18" r="Q15"/>
  <c i="18" r="P15"/>
  <c i="18" r="O15"/>
  <c i="18" r="N15"/>
  <c i="18" r="M15"/>
  <c i="18" r="T14"/>
  <c i="18" r="S14"/>
  <c i="18" r="R14"/>
  <c i="18" r="Q14"/>
  <c i="18" r="P14"/>
  <c i="18" r="O14"/>
  <c i="18" r="N14"/>
  <c i="18" r="M14"/>
  <c i="18" r="T10"/>
  <c i="18" r="S10"/>
  <c i="18" r="R10"/>
  <c i="18" r="Q10"/>
  <c i="18" r="P10"/>
  <c i="18" r="O10"/>
  <c i="18" r="N10"/>
  <c i="18" r="M10"/>
  <c i="18" r="T9"/>
  <c i="18" r="S9"/>
  <c i="18" r="R9"/>
  <c i="18" r="Q9"/>
  <c i="18" r="P9"/>
  <c i="18" r="O9"/>
  <c i="18" r="N9"/>
  <c i="18" r="M9"/>
  <c i="18" r="T8"/>
  <c i="18" r="S8"/>
  <c i="18" r="R8"/>
  <c i="18" r="Q8"/>
  <c i="18" r="P8"/>
  <c i="18" r="O8"/>
  <c i="18" r="N8"/>
  <c i="18" r="M8"/>
  <c i="18" r="T7"/>
  <c i="18" r="S7"/>
  <c i="18" r="R7"/>
  <c i="18" r="Q7"/>
  <c i="18" r="P7"/>
  <c i="18" r="O7"/>
  <c i="18" r="N7"/>
  <c i="18" r="M7"/>
  <c i="18" r="T6"/>
  <c i="18" r="S6"/>
  <c i="18" r="R6"/>
  <c i="18" r="Q6"/>
  <c i="18" r="P6"/>
  <c i="18" r="O6"/>
  <c i="18" r="N6"/>
  <c i="18" r="M6"/>
  <c i="18" r="T5"/>
  <c i="18" r="S5"/>
  <c i="18" r="R5"/>
  <c i="18" r="Q5"/>
  <c i="18" r="P5"/>
  <c i="18" r="O5"/>
  <c i="18" r="N5"/>
  <c i="18" r="M5"/>
  <c i="18" r="I15"/>
  <c i="18" r="H15"/>
  <c i="18" r="G15"/>
  <c i="18" r="F15"/>
  <c i="18" r="E15"/>
  <c i="18" r="D15"/>
  <c i="18" r="C15"/>
  <c i="18" r="B15"/>
  <c i="18" r="I14"/>
  <c i="18" r="H14"/>
  <c i="18" r="G14"/>
  <c i="18" r="F14"/>
  <c i="18" r="E14"/>
  <c i="18" r="D14"/>
  <c i="18" r="C14"/>
  <c i="18" r="B14"/>
  <c i="18" r="I10"/>
  <c i="18" r="H10"/>
  <c i="18" r="G10"/>
  <c i="18" r="F10"/>
  <c i="18" r="E10"/>
  <c i="18" r="D10"/>
  <c i="18" r="C10"/>
  <c i="18" r="B10"/>
  <c i="18" r="I9"/>
  <c i="18" r="H9"/>
  <c i="18" r="G9"/>
  <c i="18" r="F9"/>
  <c i="18" r="E9"/>
  <c i="18" r="D9"/>
  <c i="18" r="C9"/>
  <c i="18" r="B9"/>
  <c i="18" r="I8"/>
  <c i="18" r="H8"/>
  <c i="18" r="G8"/>
  <c i="18" r="F8"/>
  <c i="18" r="E8"/>
  <c i="18" r="D8"/>
  <c i="18" r="C8"/>
  <c i="18" r="B8"/>
  <c i="18" r="I7"/>
  <c i="18" r="H7"/>
  <c i="18" r="G7"/>
  <c i="18" r="F7"/>
  <c i="18" r="E7"/>
  <c i="18" r="D7"/>
  <c i="18" r="C7"/>
  <c i="18" r="B7"/>
  <c i="18" r="I6"/>
  <c i="18" r="H6"/>
  <c i="18" r="G6"/>
  <c i="18" r="F6"/>
  <c i="18" r="E6"/>
  <c i="18" r="D6"/>
  <c i="18" r="C6"/>
  <c i="18" r="I5"/>
  <c i="18" r="H5"/>
  <c i="18" r="G5"/>
  <c i="18" r="F5"/>
  <c i="18" r="E5"/>
  <c i="18" r="D5"/>
  <c i="18" r="C5"/>
  <c i="18" r="B5"/>
  <c i="17" r="T16"/>
  <c i="17" r="T30" s="1"/>
  <c i="17" r="S16"/>
  <c i="17" r="S29" s="1"/>
  <c i="17" r="R16"/>
  <c i="17" r="R30" s="1"/>
  <c i="17" r="Q16"/>
  <c i="17" r="Q30" s="1"/>
  <c i="17" r="P16"/>
  <c i="17" r="P30" s="1"/>
  <c i="17" r="O16"/>
  <c i="17" r="O30" s="1"/>
  <c i="17" r="N16"/>
  <c i="17" r="N30" s="1"/>
  <c i="17" r="M16"/>
  <c i="17" r="M30" s="1"/>
  <c i="17" r="I16"/>
  <c i="17" r="I30" s="1"/>
  <c i="17" r="H16"/>
  <c i="17" r="H30" s="1"/>
  <c i="17" r="G16"/>
  <c i="17" r="G30" s="1"/>
  <c i="17" r="F16"/>
  <c i="17" r="F30" s="1"/>
  <c i="17" r="E16"/>
  <c i="17" r="E30" s="1"/>
  <c i="17" r="D16"/>
  <c i="17" r="D30" s="1"/>
  <c i="17" r="C16"/>
  <c i="17" r="C30" s="1"/>
  <c i="17" r="B16"/>
  <c i="17" r="B29" s="1"/>
  <c i="17" r="U15"/>
  <c i="17" r="J15"/>
  <c i="17" r="U14"/>
  <c i="17" r="J14"/>
  <c i="17" r="U10"/>
  <c i="17" r="J10"/>
  <c i="17" r="U9"/>
  <c i="17" r="J9"/>
  <c i="17" r="U8"/>
  <c i="17" r="J8"/>
  <c i="17" r="U7"/>
  <c i="17" r="J7"/>
  <c i="17" r="U6"/>
  <c i="17" r="J6"/>
  <c i="17" r="U5"/>
  <c i="17" r="J5"/>
  <c i="16" r="T16"/>
  <c i="16" r="T30" s="1"/>
  <c i="16" r="S16"/>
  <c i="16" r="S30" s="1"/>
  <c i="16" r="R16"/>
  <c i="16" r="R30" s="1"/>
  <c i="16" r="Q16"/>
  <c i="16" r="Q30" s="1"/>
  <c i="16" r="P16"/>
  <c i="16" r="P30" s="1"/>
  <c i="16" r="O16"/>
  <c i="16" r="O29" s="1"/>
  <c i="16" r="N16"/>
  <c i="16" r="N30" s="1"/>
  <c i="16" r="M16"/>
  <c i="16" r="M30" s="1"/>
  <c i="16" r="I16"/>
  <c i="16" r="I30" s="1"/>
  <c i="16" r="H16"/>
  <c i="16" r="H30" s="1"/>
  <c i="16" r="G16"/>
  <c i="16" r="G30" s="1"/>
  <c i="16" r="F16"/>
  <c i="16" r="F30" s="1"/>
  <c i="16" r="E16"/>
  <c i="16" r="E30" s="1"/>
  <c i="16" r="D16"/>
  <c i="16" r="D30" s="1"/>
  <c i="16" r="C16"/>
  <c i="16" r="C30" s="1"/>
  <c i="16" r="B16"/>
  <c i="16" r="B29" s="1"/>
  <c i="16" r="U15"/>
  <c i="16" r="J15"/>
  <c i="16" r="U14"/>
  <c i="16" r="J14"/>
  <c i="16" r="U10"/>
  <c i="16" r="J10"/>
  <c i="16" r="U9"/>
  <c i="16" r="J9"/>
  <c i="16" r="U8"/>
  <c i="16" r="J8"/>
  <c i="16" r="U7"/>
  <c i="16" r="J7"/>
  <c i="16" r="U6"/>
  <c i="16" r="J6"/>
  <c i="16" r="U5"/>
  <c i="16" r="J5"/>
  <c i="15" r="T16"/>
  <c i="15" r="T30" s="1"/>
  <c i="15" r="S16"/>
  <c i="15" r="S29" s="1"/>
  <c i="15" r="R16"/>
  <c i="15" r="R30" s="1"/>
  <c i="15" r="Q16"/>
  <c i="15" r="Q30" s="1"/>
  <c i="15" r="P16"/>
  <c i="15" r="P30" s="1"/>
  <c i="15" r="O16"/>
  <c i="15" r="O30" s="1"/>
  <c i="15" r="N16"/>
  <c i="15" r="N30" s="1"/>
  <c i="15" r="M16"/>
  <c i="15" r="M30" s="1"/>
  <c i="15" r="I16"/>
  <c i="15" r="I30" s="1"/>
  <c i="15" r="H16"/>
  <c i="15" r="H30" s="1"/>
  <c i="15" r="G16"/>
  <c i="15" r="G30" s="1"/>
  <c i="15" r="F16"/>
  <c i="15" r="F30" s="1"/>
  <c i="15" r="E16"/>
  <c i="15" r="E30" s="1"/>
  <c i="15" r="D16"/>
  <c i="15" r="D30" s="1"/>
  <c i="15" r="C16"/>
  <c i="15" r="C30" s="1"/>
  <c i="15" r="B16"/>
  <c i="15" r="B29" s="1"/>
  <c i="15" r="U15"/>
  <c i="15" r="J15"/>
  <c i="15" r="U14"/>
  <c i="15" r="J14"/>
  <c i="15" r="U10"/>
  <c i="15" r="J10"/>
  <c i="15" r="U9"/>
  <c i="15" r="J9"/>
  <c i="15" r="U8"/>
  <c i="15" r="J8"/>
  <c i="15" r="U7"/>
  <c i="15" r="J7"/>
  <c i="15" r="U6"/>
  <c i="15" r="J6"/>
  <c i="15" r="U5"/>
  <c i="15" r="J5"/>
  <c i="14" r="T16"/>
  <c i="14" r="T30" s="1"/>
  <c i="14" r="S16"/>
  <c i="14" r="S30" s="1"/>
  <c i="14" r="R16"/>
  <c i="14" r="R30" s="1"/>
  <c i="14" r="Q16"/>
  <c i="14" r="Q30" s="1"/>
  <c i="14" r="P16"/>
  <c i="14" r="P30" s="1"/>
  <c i="14" r="O16"/>
  <c i="14" r="O29" s="1"/>
  <c i="14" r="N16"/>
  <c i="14" r="N30" s="1"/>
  <c i="14" r="M16"/>
  <c i="14" r="M30" s="1"/>
  <c i="14" r="I16"/>
  <c i="14" r="I30" s="1"/>
  <c i="14" r="H16"/>
  <c i="14" r="H30" s="1"/>
  <c i="14" r="G16"/>
  <c i="14" r="G30" s="1"/>
  <c i="14" r="F16"/>
  <c i="14" r="F30" s="1"/>
  <c i="14" r="E16"/>
  <c i="14" r="E30" s="1"/>
  <c i="14" r="D16"/>
  <c i="14" r="D30" s="1"/>
  <c i="14" r="C16"/>
  <c i="14" r="C30" s="1"/>
  <c i="14" r="B16"/>
  <c i="14" r="B29" s="1"/>
  <c i="14" r="U15"/>
  <c i="14" r="J15"/>
  <c i="14" r="U14"/>
  <c i="14" r="J14"/>
  <c i="14" r="U10"/>
  <c i="14" r="J10"/>
  <c i="14" r="U9"/>
  <c i="14" r="J9"/>
  <c i="14" r="U8"/>
  <c i="14" r="J8"/>
  <c i="14" r="U7"/>
  <c i="14" r="J7"/>
  <c i="14" r="U6"/>
  <c i="14" r="J6"/>
  <c i="14" r="U5"/>
  <c i="14" r="J5"/>
  <c i="13" r="T16"/>
  <c i="13" r="T30" s="1"/>
  <c i="13" r="S16"/>
  <c i="13" r="S29" s="1"/>
  <c i="13" r="R16"/>
  <c i="13" r="R30" s="1"/>
  <c i="13" r="Q16"/>
  <c i="13" r="Q30" s="1"/>
  <c i="13" r="P16"/>
  <c i="13" r="P30" s="1"/>
  <c i="13" r="O16"/>
  <c i="13" r="O30" s="1"/>
  <c i="13" r="N16"/>
  <c i="13" r="N30" s="1"/>
  <c i="13" r="M16"/>
  <c i="13" r="M30" s="1"/>
  <c i="13" r="I16"/>
  <c i="13" r="I30" s="1"/>
  <c i="13" r="H16"/>
  <c i="13" r="H30" s="1"/>
  <c i="13" r="G16"/>
  <c i="13" r="G30" s="1"/>
  <c i="13" r="F16"/>
  <c i="13" r="F30" s="1"/>
  <c i="13" r="E16"/>
  <c i="13" r="E30" s="1"/>
  <c i="13" r="D16"/>
  <c i="13" r="D30" s="1"/>
  <c i="13" r="C16"/>
  <c i="13" r="C30" s="1"/>
  <c i="13" r="B16"/>
  <c i="13" r="B29" s="1"/>
  <c i="13" r="U15"/>
  <c i="13" r="J15"/>
  <c i="13" r="U14"/>
  <c i="13" r="J14"/>
  <c i="13" r="U10"/>
  <c i="13" r="J10"/>
  <c i="13" r="U9"/>
  <c i="13" r="J9"/>
  <c i="13" r="U8"/>
  <c i="13" r="J8"/>
  <c i="13" r="U7"/>
  <c i="13" r="J7"/>
  <c i="13" r="U6"/>
  <c i="13" r="J6"/>
  <c i="13" r="U5"/>
  <c i="13" r="J5"/>
  <c i="12" r="T16"/>
  <c i="12" r="T30" s="1"/>
  <c i="12" r="S16"/>
  <c i="12" r="S30" s="1"/>
  <c i="12" r="R16"/>
  <c i="12" r="R30" s="1"/>
  <c i="12" r="Q16"/>
  <c i="12" r="Q30" s="1"/>
  <c i="12" r="P16"/>
  <c i="12" r="P30" s="1"/>
  <c i="12" r="O16"/>
  <c i="12" r="O29" s="1"/>
  <c i="12" r="N16"/>
  <c i="12" r="N30" s="1"/>
  <c i="12" r="M16"/>
  <c i="12" r="M30" s="1"/>
  <c i="12" r="I16"/>
  <c i="12" r="I30" s="1"/>
  <c i="12" r="H16"/>
  <c i="12" r="H30" s="1"/>
  <c i="12" r="G16"/>
  <c i="12" r="G30" s="1"/>
  <c i="12" r="F16"/>
  <c i="12" r="F30" s="1"/>
  <c i="12" r="E16"/>
  <c i="12" r="E30" s="1"/>
  <c i="12" r="D16"/>
  <c i="12" r="D30" s="1"/>
  <c i="12" r="C16"/>
  <c i="12" r="C30" s="1"/>
  <c i="12" r="B16"/>
  <c i="12" r="B29" s="1"/>
  <c i="12" r="U15"/>
  <c i="12" r="J15"/>
  <c i="12" r="U14"/>
  <c i="12" r="J14"/>
  <c i="12" r="U10"/>
  <c i="12" r="J10"/>
  <c i="12" r="U9"/>
  <c i="12" r="J9"/>
  <c i="12" r="U8"/>
  <c i="12" r="J8"/>
  <c i="12" r="U7"/>
  <c i="12" r="J7"/>
  <c i="12" r="U6"/>
  <c i="12" r="J6"/>
  <c i="12" r="U5"/>
  <c i="12" r="J5"/>
  <c i="11" r="T16"/>
  <c i="11" r="T31" s="1"/>
  <c i="11" r="S16"/>
  <c i="11" r="S32" s="1"/>
  <c i="11" r="R16"/>
  <c i="11" r="R33" s="1"/>
  <c i="11" r="Q16"/>
  <c i="11" r="Q30" s="1"/>
  <c i="11" r="P16"/>
  <c i="11" r="P31" s="1"/>
  <c i="11" r="O16"/>
  <c i="11" r="O32" s="1"/>
  <c i="11" r="N16"/>
  <c i="11" r="N33" s="1"/>
  <c i="11" r="M16"/>
  <c i="11" r="M30" s="1"/>
  <c i="11" r="I16"/>
  <c i="11" r="I31" s="1"/>
  <c i="11" r="H16"/>
  <c i="11" r="H32" s="1"/>
  <c i="11" r="G16"/>
  <c i="11" r="G33" s="1"/>
  <c i="11" r="F16"/>
  <c i="11" r="F30" s="1"/>
  <c i="11" r="E16"/>
  <c i="11" r="E31" s="1"/>
  <c i="11" r="D16"/>
  <c i="11" r="D32" s="1"/>
  <c i="11" r="C16"/>
  <c i="11" r="C33" s="1"/>
  <c i="11" r="B16"/>
  <c i="11" r="B29" s="1"/>
  <c i="11" r="U15"/>
  <c i="11" r="J15"/>
  <c i="11" r="U14"/>
  <c i="11" r="J14"/>
  <c i="11" r="U10"/>
  <c i="11" r="J10"/>
  <c i="11" r="U9"/>
  <c i="11" r="J9"/>
  <c i="11" r="U8"/>
  <c i="11" r="J8"/>
  <c i="11" r="U7"/>
  <c i="11" r="J7"/>
  <c i="11" r="U6"/>
  <c i="11" r="J6"/>
  <c i="11" r="U5"/>
  <c i="11" r="J5"/>
  <c i="7" r="R16"/>
  <c i="7" r="R33" s="1"/>
  <c i="7" r="U8"/>
  <c i="7" r="U7"/>
  <c i="7" r="J8"/>
  <c i="7" r="J7"/>
  <c i="7" r="G16"/>
  <c i="7" r="G33" s="1"/>
  <c i="7" r="J15"/>
  <c i="7" r="J14"/>
  <c i="7" r="J10"/>
  <c i="7" r="J9"/>
  <c i="7" r="J6"/>
  <c i="7" r="J5"/>
  <c i="7" r="U15"/>
  <c i="7" r="U14"/>
  <c i="7" r="U10"/>
  <c i="7" r="U9"/>
  <c i="7" r="U6"/>
  <c i="7" r="U5"/>
  <c i="7" r="T16"/>
  <c i="7" r="T31" s="1"/>
  <c i="7" r="S16"/>
  <c i="7" r="S32" s="1"/>
  <c i="7" r="Q16"/>
  <c i="7" r="Q30" s="1"/>
  <c i="7" r="P16"/>
  <c i="7" r="P31" s="1"/>
  <c i="7" r="O16"/>
  <c i="7" r="O32" s="1"/>
  <c i="7" r="N16"/>
  <c i="7" r="N33" s="1"/>
  <c i="7" r="M16"/>
  <c i="7" r="M30" s="1"/>
  <c i="7" r="I16"/>
  <c i="7" r="I31" s="1"/>
  <c i="7" r="H16"/>
  <c i="7" r="H32" s="1"/>
  <c i="7" r="F16"/>
  <c i="7" r="F30" s="1"/>
  <c i="7" r="E16"/>
  <c i="7" r="E31" s="1"/>
  <c i="7" r="D16"/>
  <c i="7" r="D32" s="1"/>
  <c i="7" r="C16"/>
  <c i="7" r="C33" s="1"/>
  <c i="7" r="B16"/>
  <c i="7" r="B29" s="1"/>
  <c i="18" l="1" r="I16"/>
  <c i="18" r="I33" s="1"/>
  <c i="18" r="R16"/>
  <c i="18" r="R33" s="1"/>
  <c i="18" r="U13"/>
  <c i="18" r="N16"/>
  <c i="18" r="N33" s="1"/>
  <c i="18" r="F16"/>
  <c i="18" r="F33" s="1"/>
  <c i="18" r="M16"/>
  <c i="18" r="M33" s="1"/>
  <c i="18" r="E16"/>
  <c i="18" r="E30" s="1"/>
  <c i="18" r="B16"/>
  <c i="18" r="B33" s="1"/>
  <c i="17" r="O29"/>
  <c i="14" r="O28"/>
  <c i="12" r="O30"/>
  <c i="12" r="O47" s="1"/>
  <c i="15" r="O29"/>
  <c i="12" r="O28"/>
  <c i="7" r="Q47"/>
  <c i="16" r="O30"/>
  <c i="16" r="O47" s="1"/>
  <c i="13" r="O29"/>
  <c i="7" r="O28"/>
  <c i="16" r="O28"/>
  <c i="14" r="O30"/>
  <c i="14" r="O47" s="1"/>
  <c i="11" r="O29"/>
  <c i="18" r="C16"/>
  <c i="18" r="C33" s="1"/>
  <c i="18" r="G16"/>
  <c i="18" r="G33" s="1"/>
  <c i="17" r="S28"/>
  <c i="17" r="S30"/>
  <c i="17" r="S47" s="1"/>
  <c i="16" r="S29"/>
  <c i="15" r="S28"/>
  <c i="15" r="S30"/>
  <c i="15" r="S47" s="1"/>
  <c i="14" r="S29"/>
  <c i="13" r="S28"/>
  <c i="13" r="S30"/>
  <c i="13" r="S47" s="1"/>
  <c i="12" r="S29"/>
  <c i="11" r="S28"/>
  <c i="11" r="S30"/>
  <c i="18" r="J11"/>
  <c i="18" r="J12"/>
  <c i="18" r="J13"/>
  <c i="18" r="U11"/>
  <c i="17" r="O28"/>
  <c i="15" r="O28"/>
  <c i="13" r="O28"/>
  <c i="11" r="O28"/>
  <c i="11" r="O30"/>
  <c i="7" r="O30"/>
  <c i="16" r="S28"/>
  <c i="14" r="S28"/>
  <c i="12" r="S28"/>
  <c i="11" r="S29"/>
  <c i="7" r="O29"/>
  <c i="11" r="Q47"/>
  <c i="12" r="Q47"/>
  <c i="13" r="Q47"/>
  <c i="14" r="Q47"/>
  <c i="15" r="Q47"/>
  <c i="16" r="Q47"/>
  <c i="17" r="Q47"/>
  <c i="16" r="S47"/>
  <c i="14" r="S47"/>
  <c i="12" r="S47"/>
  <c i="12" r="P47"/>
  <c i="12" r="T47"/>
  <c i="13" r="P47"/>
  <c i="13" r="T47"/>
  <c i="14" r="P47"/>
  <c i="14" r="T47"/>
  <c i="15" r="P47"/>
  <c i="15" r="T47"/>
  <c i="16" r="P47"/>
  <c i="16" r="T47"/>
  <c i="17" r="P47"/>
  <c i="17" r="T47"/>
  <c i="12" r="N47"/>
  <c i="12" r="R47"/>
  <c i="13" r="N47"/>
  <c i="13" r="R47"/>
  <c i="14" r="N47"/>
  <c i="14" r="R47"/>
  <c i="15" r="N47"/>
  <c i="15" r="R47"/>
  <c i="16" r="N47"/>
  <c i="16" r="R47"/>
  <c i="17" r="N47"/>
  <c i="17" r="R47"/>
  <c i="17" r="O47"/>
  <c i="15" r="O47"/>
  <c i="13" r="O47"/>
  <c i="18" r="S16"/>
  <c i="18" r="S33" s="1"/>
  <c i="7" r="S29"/>
  <c i="17" r="F28"/>
  <c i="17" r="B30"/>
  <c i="17" r="M47" s="1"/>
  <c i="16" r="F28"/>
  <c i="16" r="B30"/>
  <c i="16" r="M47" s="1"/>
  <c i="15" r="F28"/>
  <c i="15" r="B30"/>
  <c i="15" r="M47" s="1"/>
  <c i="14" r="F28"/>
  <c i="14" r="B30"/>
  <c i="14" r="M47" s="1"/>
  <c i="13" r="F28"/>
  <c i="13" r="B30"/>
  <c i="13" r="M47" s="1"/>
  <c i="12" r="F28"/>
  <c i="12" r="B30"/>
  <c i="12" r="M47" s="1"/>
  <c i="11" r="F28"/>
  <c i="11" r="B30"/>
  <c i="11" r="M47" s="1"/>
  <c i="7" r="F28"/>
  <c i="7" r="B30"/>
  <c i="7" r="M47" s="1"/>
  <c i="17" r="M28"/>
  <c i="17" r="Q28"/>
  <c i="17" r="M29"/>
  <c i="17" r="M46" s="1"/>
  <c i="17" r="Q29"/>
  <c i="16" r="M28"/>
  <c i="16" r="Q28"/>
  <c i="16" r="M29"/>
  <c i="16" r="M46" s="1"/>
  <c i="16" r="Q29"/>
  <c i="15" r="M28"/>
  <c i="15" r="Q28"/>
  <c i="15" r="M29"/>
  <c i="15" r="M46" s="1"/>
  <c i="15" r="Q29"/>
  <c i="14" r="M28"/>
  <c i="14" r="Q28"/>
  <c i="14" r="M29"/>
  <c i="14" r="M46" s="1"/>
  <c i="14" r="Q29"/>
  <c i="13" r="M28"/>
  <c i="13" r="Q28"/>
  <c i="13" r="M29"/>
  <c i="13" r="M46" s="1"/>
  <c i="13" r="Q29"/>
  <c i="12" r="M28"/>
  <c i="12" r="Q28"/>
  <c i="12" r="M29"/>
  <c i="12" r="M46" s="1"/>
  <c i="12" r="Q29"/>
  <c i="11" r="M28"/>
  <c i="11" r="Q28"/>
  <c i="11" r="M29"/>
  <c i="11" r="M46" s="1"/>
  <c i="11" r="Q29"/>
  <c i="7" r="M28"/>
  <c i="7" r="Q28"/>
  <c i="7" r="M29"/>
  <c i="7" r="M46" s="1"/>
  <c i="7" r="Q29"/>
  <c i="17" r="D28"/>
  <c i="17" r="H28"/>
  <c i="17" r="D29"/>
  <c i="17" r="H29"/>
  <c i="17" r="S46" s="1"/>
  <c i="16" r="D28"/>
  <c i="16" r="H28"/>
  <c i="16" r="D29"/>
  <c i="16" r="O46" s="1"/>
  <c i="16" r="H29"/>
  <c i="15" r="D28"/>
  <c i="15" r="H28"/>
  <c i="15" r="D29"/>
  <c i="15" r="H29"/>
  <c i="15" r="S46" s="1"/>
  <c i="14" r="D28"/>
  <c i="14" r="H28"/>
  <c i="14" r="D29"/>
  <c i="14" r="O46" s="1"/>
  <c i="14" r="H29"/>
  <c i="13" r="D28"/>
  <c i="13" r="H28"/>
  <c i="13" r="D29"/>
  <c i="13" r="H29"/>
  <c i="13" r="S46" s="1"/>
  <c i="12" r="D28"/>
  <c i="12" r="H28"/>
  <c i="12" r="D29"/>
  <c i="12" r="O46" s="1"/>
  <c i="12" r="H29"/>
  <c i="11" r="D28"/>
  <c i="11" r="H28"/>
  <c i="11" r="D29"/>
  <c i="11" r="H29"/>
  <c i="11" r="D30"/>
  <c i="11" r="H30"/>
  <c i="7" r="D28"/>
  <c i="7" r="H28"/>
  <c i="7" r="D29"/>
  <c i="7" r="H29"/>
  <c i="7" r="D30"/>
  <c i="7" r="H30"/>
  <c i="7" r="S28"/>
  <c i="17" r="B28"/>
  <c i="17" r="F29"/>
  <c i="16" r="B28"/>
  <c i="16" r="F29"/>
  <c i="15" r="B28"/>
  <c i="15" r="F29"/>
  <c i="14" r="B28"/>
  <c i="14" r="F29"/>
  <c i="13" r="B28"/>
  <c i="13" r="F29"/>
  <c i="12" r="B28"/>
  <c i="12" r="F29"/>
  <c i="11" r="B28"/>
  <c i="11" r="F29"/>
  <c i="7" r="B28"/>
  <c i="7" r="F29"/>
  <c i="18" r="U12"/>
  <c i="17" r="P28"/>
  <c i="17" r="T28"/>
  <c i="17" r="P29"/>
  <c i="17" r="T29"/>
  <c i="16" r="P28"/>
  <c i="16" r="T28"/>
  <c i="16" r="P29"/>
  <c i="16" r="T29"/>
  <c i="15" r="P28"/>
  <c i="15" r="T28"/>
  <c i="15" r="P29"/>
  <c i="15" r="T29"/>
  <c i="14" r="P28"/>
  <c i="14" r="T28"/>
  <c i="14" r="P29"/>
  <c i="14" r="T29"/>
  <c i="13" r="P28"/>
  <c i="13" r="T28"/>
  <c i="13" r="P29"/>
  <c i="13" r="T29"/>
  <c i="12" r="P28"/>
  <c i="12" r="T28"/>
  <c i="12" r="P29"/>
  <c i="12" r="T29"/>
  <c i="11" r="P28"/>
  <c i="11" r="T28"/>
  <c i="11" r="P29"/>
  <c i="11" r="T29"/>
  <c i="11" r="P30"/>
  <c i="11" r="T30"/>
  <c i="7" r="P28"/>
  <c i="7" r="T28"/>
  <c i="7" r="P29"/>
  <c i="7" r="T29"/>
  <c i="7" r="P30"/>
  <c i="7" r="T30"/>
  <c i="17" r="C28"/>
  <c i="17" r="G28"/>
  <c i="17" r="C29"/>
  <c i="17" r="G29"/>
  <c i="16" r="C28"/>
  <c i="16" r="G28"/>
  <c i="16" r="C29"/>
  <c i="16" r="G29"/>
  <c i="15" r="C28"/>
  <c i="15" r="G28"/>
  <c i="15" r="C29"/>
  <c i="15" r="G29"/>
  <c i="14" r="C28"/>
  <c i="14" r="G28"/>
  <c i="14" r="C29"/>
  <c i="14" r="G29"/>
  <c i="13" r="C28"/>
  <c i="13" r="G28"/>
  <c i="13" r="C29"/>
  <c i="13" r="G29"/>
  <c i="12" r="C28"/>
  <c i="12" r="G28"/>
  <c i="12" r="C29"/>
  <c i="12" r="G29"/>
  <c i="11" r="C28"/>
  <c i="11" r="G28"/>
  <c i="11" r="C29"/>
  <c i="11" r="G29"/>
  <c i="11" r="C30"/>
  <c i="11" r="G30"/>
  <c i="7" r="C28"/>
  <c i="7" r="G28"/>
  <c i="7" r="C29"/>
  <c i="7" r="G29"/>
  <c i="7" r="C30"/>
  <c i="7" r="G30"/>
  <c i="7" r="S30"/>
  <c i="17" r="N28"/>
  <c i="17" r="R28"/>
  <c i="17" r="N29"/>
  <c i="17" r="R29"/>
  <c i="16" r="N28"/>
  <c i="16" r="R28"/>
  <c i="16" r="N29"/>
  <c i="16" r="R29"/>
  <c i="15" r="N28"/>
  <c i="15" r="R28"/>
  <c i="15" r="N29"/>
  <c i="15" r="R29"/>
  <c i="14" r="N28"/>
  <c i="14" r="R28"/>
  <c i="14" r="N29"/>
  <c i="14" r="R29"/>
  <c i="13" r="N28"/>
  <c i="13" r="R28"/>
  <c i="13" r="N29"/>
  <c i="13" r="R29"/>
  <c i="12" r="N28"/>
  <c i="12" r="R28"/>
  <c i="12" r="N29"/>
  <c i="12" r="R29"/>
  <c i="11" r="N28"/>
  <c i="11" r="R28"/>
  <c i="11" r="N29"/>
  <c i="11" r="R29"/>
  <c i="11" r="N30"/>
  <c i="11" r="R30"/>
  <c i="7" r="N28"/>
  <c i="7" r="R28"/>
  <c i="7" r="N29"/>
  <c i="7" r="R29"/>
  <c i="7" r="N30"/>
  <c i="7" r="R30"/>
  <c i="17" r="E28"/>
  <c i="17" r="I28"/>
  <c i="17" r="E29"/>
  <c i="17" r="I29"/>
  <c i="16" r="E28"/>
  <c i="16" r="I28"/>
  <c i="16" r="E29"/>
  <c i="16" r="I29"/>
  <c i="15" r="E28"/>
  <c i="15" r="I28"/>
  <c i="15" r="E29"/>
  <c i="15" r="I29"/>
  <c i="14" r="E28"/>
  <c i="14" r="I28"/>
  <c i="14" r="E29"/>
  <c i="14" r="I29"/>
  <c i="13" r="E28"/>
  <c i="13" r="I28"/>
  <c i="13" r="E29"/>
  <c i="13" r="I29"/>
  <c i="12" r="E28"/>
  <c i="12" r="I28"/>
  <c i="12" r="E29"/>
  <c i="12" r="I29"/>
  <c i="11" r="E28"/>
  <c i="11" r="I28"/>
  <c i="11" r="E29"/>
  <c i="11" r="I29"/>
  <c i="11" r="E30"/>
  <c i="11" r="I30"/>
  <c i="7" r="E28"/>
  <c i="7" r="I28"/>
  <c i="7" r="E29"/>
  <c i="7" r="I29"/>
  <c i="7" r="E30"/>
  <c i="7" r="I30"/>
  <c i="18" r="T16"/>
  <c i="18" r="T33" s="1"/>
  <c i="18" r="Q16"/>
  <c i="18" r="Q33" s="1"/>
  <c i="18" r="O16"/>
  <c i="18" r="O33" s="1"/>
  <c i="12" r="C31"/>
  <c i="12" r="C25"/>
  <c i="12" r="C23"/>
  <c i="12" r="C32"/>
  <c i="12" r="C26"/>
  <c i="12" r="C33"/>
  <c i="12" r="C27"/>
  <c i="12" r="C24"/>
  <c i="12" r="C22"/>
  <c i="12" r="G31"/>
  <c i="12" r="G25"/>
  <c i="12" r="G23"/>
  <c i="12" r="G22"/>
  <c i="12" r="G32"/>
  <c i="12" r="G26"/>
  <c i="12" r="G33"/>
  <c i="12" r="G27"/>
  <c i="12" r="G24"/>
  <c i="12" r="N31"/>
  <c i="12" r="N25"/>
  <c i="12" r="N23"/>
  <c i="12" r="N32"/>
  <c i="12" r="N26"/>
  <c i="12" r="N33"/>
  <c i="12" r="N27"/>
  <c i="12" r="N24"/>
  <c i="12" r="N22"/>
  <c i="12" r="R31"/>
  <c i="12" r="R25"/>
  <c i="12" r="R23"/>
  <c i="12" r="R32"/>
  <c i="12" r="R26"/>
  <c i="12" r="R33"/>
  <c i="12" r="R27"/>
  <c i="12" r="R24"/>
  <c i="12" r="R22"/>
  <c i="13" r="C33"/>
  <c i="13" r="C27"/>
  <c i="13" r="C32"/>
  <c i="13" r="C25"/>
  <c i="13" r="C23"/>
  <c i="13" r="C31"/>
  <c i="13" r="C26"/>
  <c i="13" r="C24"/>
  <c i="13" r="C22"/>
  <c i="13" r="G33"/>
  <c i="13" r="G27"/>
  <c i="13" r="G31"/>
  <c i="13" r="G26"/>
  <c i="13" r="G25"/>
  <c i="13" r="G23"/>
  <c i="13" r="G24"/>
  <c i="13" r="G32"/>
  <c i="13" r="G22"/>
  <c i="13" r="N33"/>
  <c i="13" r="N27"/>
  <c i="13" r="N24"/>
  <c i="13" r="N23"/>
  <c i="13" r="N32"/>
  <c i="13" r="N22"/>
  <c i="13" r="N31"/>
  <c i="13" r="N26"/>
  <c i="13" r="N25"/>
  <c i="13" r="R33"/>
  <c i="13" r="R27"/>
  <c i="13" r="R24"/>
  <c i="13" r="R32"/>
  <c i="13" r="R22"/>
  <c i="13" r="R31"/>
  <c i="13" r="R26"/>
  <c i="13" r="R25"/>
  <c i="13" r="R23"/>
  <c i="14" r="C33"/>
  <c i="14" r="C27"/>
  <c i="14" r="C24"/>
  <c i="14" r="C31"/>
  <c i="14" r="C25"/>
  <c i="14" r="C32"/>
  <c i="14" r="C23"/>
  <c i="14" r="C22"/>
  <c i="14" r="C26"/>
  <c i="14" r="G33"/>
  <c i="14" r="G27"/>
  <c i="14" r="G24"/>
  <c i="14" r="G31"/>
  <c i="14" r="G25"/>
  <c i="14" r="G23"/>
  <c i="14" r="G26"/>
  <c i="14" r="G22"/>
  <c i="14" r="G32"/>
  <c i="14" r="N33"/>
  <c i="14" r="N27"/>
  <c i="14" r="N24"/>
  <c i="14" r="N31"/>
  <c i="14" r="N25"/>
  <c i="14" r="N23"/>
  <c i="14" r="N26"/>
  <c i="14" r="N22"/>
  <c i="14" r="N32"/>
  <c i="14" r="R33"/>
  <c i="14" r="R27"/>
  <c i="14" r="R24"/>
  <c i="14" r="R31"/>
  <c i="14" r="R25"/>
  <c i="14" r="R23"/>
  <c i="14" r="R22"/>
  <c i="14" r="R32"/>
  <c i="14" r="R26"/>
  <c i="15" r="C33"/>
  <c i="15" r="C27"/>
  <c i="15" r="C24"/>
  <c i="15" r="C31"/>
  <c i="15" r="C25"/>
  <c i="15" r="C23"/>
  <c i="15" r="C22"/>
  <c i="15" r="C32"/>
  <c i="15" r="C26"/>
  <c i="15" r="G33"/>
  <c i="15" r="G27"/>
  <c i="15" r="G24"/>
  <c i="15" r="G31"/>
  <c i="15" r="G25"/>
  <c i="15" r="G23"/>
  <c i="15" r="G26"/>
  <c i="15" r="G22"/>
  <c i="15" r="G32"/>
  <c i="15" r="N24"/>
  <c i="15" r="N32"/>
  <c i="15" r="N26"/>
  <c i="15" r="N23"/>
  <c i="15" r="N25"/>
  <c i="15" r="N27"/>
  <c i="15" r="N31"/>
  <c i="15" r="N22"/>
  <c i="15" r="N33"/>
  <c i="15" r="R24"/>
  <c i="15" r="R32"/>
  <c i="15" r="R26"/>
  <c i="15" r="R23"/>
  <c i="15" r="R31"/>
  <c i="15" r="R22"/>
  <c i="15" r="R33"/>
  <c i="15" r="R25"/>
  <c i="15" r="R27"/>
  <c i="16" r="C33"/>
  <c i="16" r="C27"/>
  <c i="16" r="C24"/>
  <c i="16" r="C31"/>
  <c i="16" r="C25"/>
  <c i="16" r="C23"/>
  <c i="16" r="C22"/>
  <c i="16" r="C32"/>
  <c i="16" r="C26"/>
  <c i="16" r="G33"/>
  <c i="16" r="G27"/>
  <c i="16" r="G24"/>
  <c i="16" r="G31"/>
  <c i="16" r="G25"/>
  <c i="16" r="G23"/>
  <c i="16" r="G26"/>
  <c i="16" r="G22"/>
  <c i="16" r="G32"/>
  <c i="16" r="N33"/>
  <c i="16" r="N27"/>
  <c i="16" r="N24"/>
  <c i="16" r="N31"/>
  <c i="16" r="N25"/>
  <c i="16" r="N23"/>
  <c i="16" r="N26"/>
  <c i="16" r="N22"/>
  <c i="16" r="N32"/>
  <c i="16" r="R33"/>
  <c i="16" r="R27"/>
  <c i="16" r="R24"/>
  <c i="16" r="R31"/>
  <c i="16" r="R25"/>
  <c i="16" r="R23"/>
  <c i="16" r="R22"/>
  <c i="16" r="R32"/>
  <c i="16" r="R26"/>
  <c i="17" r="C33"/>
  <c i="17" r="C27"/>
  <c i="17" r="C24"/>
  <c i="17" r="C31"/>
  <c i="17" r="C25"/>
  <c i="17" r="C23"/>
  <c i="17" r="C22"/>
  <c i="17" r="C32"/>
  <c i="17" r="C26"/>
  <c i="17" r="G33"/>
  <c i="17" r="G27"/>
  <c i="17" r="G24"/>
  <c i="17" r="G31"/>
  <c i="17" r="G25"/>
  <c i="17" r="G23"/>
  <c i="17" r="G26"/>
  <c i="17" r="G22"/>
  <c i="17" r="G32"/>
  <c i="17" r="N33"/>
  <c i="17" r="N27"/>
  <c i="17" r="N24"/>
  <c i="17" r="N31"/>
  <c i="17" r="N25"/>
  <c i="17" r="N23"/>
  <c i="17" r="N26"/>
  <c i="17" r="N22"/>
  <c i="17" r="N32"/>
  <c i="17" r="R33"/>
  <c i="17" r="R27"/>
  <c i="17" r="R24"/>
  <c i="17" r="R31"/>
  <c i="17" r="R25"/>
  <c i="17" r="R23"/>
  <c i="17" r="R22"/>
  <c i="17" r="R32"/>
  <c i="17" r="R26"/>
  <c i="7" r="E22"/>
  <c i="7" r="I22"/>
  <c i="7" r="D23"/>
  <c i="7" r="H23"/>
  <c i="7" r="B24"/>
  <c i="7" r="F24"/>
  <c i="7" r="D25"/>
  <c i="7" r="H25"/>
  <c i="7" r="C26"/>
  <c i="7" r="G26"/>
  <c i="7" r="B27"/>
  <c i="7" r="F27"/>
  <c i="7" r="D31"/>
  <c i="7" r="H31"/>
  <c i="7" r="C32"/>
  <c i="7" r="G32"/>
  <c i="7" r="B33"/>
  <c i="7" r="F33"/>
  <c i="7" r="P22"/>
  <c i="7" r="T22"/>
  <c i="7" r="O23"/>
  <c i="7" r="S23"/>
  <c i="7" r="M24"/>
  <c i="7" r="Q24"/>
  <c i="7" r="O25"/>
  <c i="7" r="S25"/>
  <c i="7" r="N26"/>
  <c i="7" r="R26"/>
  <c i="7" r="M27"/>
  <c i="7" r="Q27"/>
  <c i="7" r="O31"/>
  <c i="7" r="S31"/>
  <c i="7" r="N32"/>
  <c i="7" r="R32"/>
  <c i="7" r="M33"/>
  <c i="7" r="Q33"/>
  <c i="11" r="E22"/>
  <c i="11" r="I22"/>
  <c i="11" r="D23"/>
  <c i="11" r="H23"/>
  <c i="11" r="B24"/>
  <c i="11" r="F24"/>
  <c i="11" r="D25"/>
  <c i="11" r="H25"/>
  <c i="11" r="C26"/>
  <c i="11" r="G26"/>
  <c i="11" r="B27"/>
  <c i="11" r="F27"/>
  <c i="11" r="D31"/>
  <c i="11" r="H31"/>
  <c i="11" r="C32"/>
  <c i="11" r="G32"/>
  <c i="11" r="B33"/>
  <c i="11" r="F33"/>
  <c i="11" r="P22"/>
  <c i="11" r="T22"/>
  <c i="11" r="O23"/>
  <c i="11" r="S23"/>
  <c i="11" r="M24"/>
  <c i="11" r="Q24"/>
  <c i="11" r="O25"/>
  <c i="11" r="S25"/>
  <c i="11" r="N26"/>
  <c i="11" r="R26"/>
  <c i="11" r="M27"/>
  <c i="11" r="Q27"/>
  <c i="11" r="O31"/>
  <c i="11" r="S31"/>
  <c i="11" r="N32"/>
  <c i="11" r="R32"/>
  <c i="11" r="M33"/>
  <c i="11" r="Q33"/>
  <c i="12" r="F32"/>
  <c i="12" r="F26"/>
  <c i="12" r="F33"/>
  <c i="12" r="F27"/>
  <c i="12" r="F24"/>
  <c i="12" r="F23"/>
  <c i="12" r="F22"/>
  <c i="12" r="F25"/>
  <c i="12" r="F31"/>
  <c i="12" r="M32"/>
  <c i="12" r="M26"/>
  <c i="12" r="M33"/>
  <c i="12" r="M27"/>
  <c i="12" r="M24"/>
  <c i="12" r="M22"/>
  <c i="12" r="M31"/>
  <c i="12" r="M25"/>
  <c i="12" r="M23"/>
  <c i="12" r="Q32"/>
  <c i="12" r="Q26"/>
  <c i="12" r="Q33"/>
  <c i="12" r="Q27"/>
  <c i="12" r="Q24"/>
  <c i="12" r="Q22"/>
  <c i="12" r="Q31"/>
  <c i="12" r="Q25"/>
  <c i="12" r="Q23"/>
  <c i="13" r="B31"/>
  <c i="13" r="B26"/>
  <c i="13" r="B24"/>
  <c i="13" r="B33"/>
  <c i="13" r="B22"/>
  <c i="13" r="B32"/>
  <c i="13" r="B27"/>
  <c i="13" r="B25"/>
  <c i="13" r="B23"/>
  <c i="13" r="F33"/>
  <c i="13" r="F24"/>
  <c i="13" r="F32"/>
  <c i="13" r="F27"/>
  <c i="13" r="F22"/>
  <c i="13" r="F31"/>
  <c i="13" r="F26"/>
  <c i="13" r="F25"/>
  <c i="13" r="F23"/>
  <c i="13" r="M22"/>
  <c i="13" r="M32"/>
  <c i="13" r="M27"/>
  <c i="13" r="M31"/>
  <c i="13" r="M26"/>
  <c i="13" r="M24"/>
  <c i="13" r="M25"/>
  <c i="13" r="M33"/>
  <c i="13" r="M23"/>
  <c i="13" r="Q22"/>
  <c i="13" r="Q31"/>
  <c i="13" r="Q26"/>
  <c i="13" r="Q24"/>
  <c i="13" r="Q25"/>
  <c i="13" r="Q33"/>
  <c i="13" r="Q23"/>
  <c i="13" r="Q32"/>
  <c i="13" r="Q27"/>
  <c i="14" r="B22"/>
  <c i="14" r="B32"/>
  <c i="14" r="B26"/>
  <c i="14" r="B31"/>
  <c i="14" r="B23"/>
  <c i="14" r="B33"/>
  <c i="14" r="B25"/>
  <c i="14" r="B24"/>
  <c i="14" r="B27"/>
  <c i="14" r="F22"/>
  <c i="14" r="F32"/>
  <c i="14" r="F26"/>
  <c i="14" r="F25"/>
  <c i="14" r="F27"/>
  <c i="14" r="F24"/>
  <c i="14" r="F31"/>
  <c i="14" r="F33"/>
  <c i="14" r="F23"/>
  <c i="14" r="M22"/>
  <c i="14" r="M32"/>
  <c i="14" r="M26"/>
  <c i="14" r="M25"/>
  <c i="14" r="M27"/>
  <c i="14" r="M31"/>
  <c i="14" r="M23"/>
  <c i="14" r="M33"/>
  <c i="14" r="M24"/>
  <c i="14" r="Q22"/>
  <c i="14" r="Q32"/>
  <c i="14" r="Q26"/>
  <c i="14" r="Q31"/>
  <c i="14" r="Q23"/>
  <c i="14" r="Q33"/>
  <c i="14" r="Q24"/>
  <c i="14" r="Q25"/>
  <c i="14" r="Q27"/>
  <c i="15" r="B22"/>
  <c i="15" r="B32"/>
  <c i="15" r="B26"/>
  <c i="15" r="B31"/>
  <c i="15" r="B23"/>
  <c i="15" r="B33"/>
  <c i="15" r="B24"/>
  <c i="15" r="B25"/>
  <c i="15" r="B27"/>
  <c i="15" r="F22"/>
  <c i="15" r="F32"/>
  <c i="15" r="F26"/>
  <c i="15" r="F25"/>
  <c i="15" r="F27"/>
  <c i="15" r="F31"/>
  <c i="15" r="F23"/>
  <c i="15" r="F33"/>
  <c i="15" r="F24"/>
  <c i="15" r="M31"/>
  <c i="15" r="M25"/>
  <c i="15" r="M22"/>
  <c i="15" r="M33"/>
  <c i="15" r="M27"/>
  <c i="15" r="M26"/>
  <c i="15" r="M32"/>
  <c i="15" r="M23"/>
  <c i="15" r="M24"/>
  <c i="15" r="Q31"/>
  <c i="15" r="Q25"/>
  <c i="15" r="Q22"/>
  <c i="15" r="Q33"/>
  <c i="15" r="Q27"/>
  <c i="15" r="Q32"/>
  <c i="15" r="Q23"/>
  <c i="15" r="Q24"/>
  <c i="15" r="Q26"/>
  <c i="16" r="B22"/>
  <c i="16" r="B32"/>
  <c i="16" r="B26"/>
  <c i="16" r="B31"/>
  <c i="16" r="B23"/>
  <c i="16" r="B33"/>
  <c i="16" r="B24"/>
  <c i="16" r="B25"/>
  <c i="16" r="B27"/>
  <c i="16" r="F22"/>
  <c i="16" r="F32"/>
  <c i="16" r="F26"/>
  <c i="16" r="F25"/>
  <c i="16" r="F27"/>
  <c i="16" r="F31"/>
  <c i="16" r="F23"/>
  <c i="16" r="F33"/>
  <c i="16" r="F24"/>
  <c i="16" r="M22"/>
  <c i="16" r="M32"/>
  <c i="16" r="M26"/>
  <c i="16" r="M25"/>
  <c i="16" r="M27"/>
  <c i="16" r="M31"/>
  <c i="16" r="M23"/>
  <c i="16" r="M33"/>
  <c i="16" r="M24"/>
  <c i="16" r="Q22"/>
  <c i="16" r="Q32"/>
  <c i="16" r="Q26"/>
  <c i="16" r="Q31"/>
  <c i="16" r="Q23"/>
  <c i="16" r="Q33"/>
  <c i="16" r="Q24"/>
  <c i="16" r="Q25"/>
  <c i="16" r="Q27"/>
  <c i="17" r="B22"/>
  <c i="17" r="B32"/>
  <c i="17" r="B26"/>
  <c i="17" r="B31"/>
  <c i="17" r="B23"/>
  <c i="17" r="B33"/>
  <c i="17" r="B24"/>
  <c i="17" r="B25"/>
  <c i="17" r="B27"/>
  <c i="17" r="F22"/>
  <c i="17" r="F32"/>
  <c i="17" r="F26"/>
  <c i="17" r="F25"/>
  <c i="17" r="F27"/>
  <c i="17" r="F31"/>
  <c i="17" r="F23"/>
  <c i="17" r="F33"/>
  <c i="17" r="F24"/>
  <c i="17" r="M22"/>
  <c i="17" r="M32"/>
  <c i="17" r="M26"/>
  <c i="17" r="M25"/>
  <c i="17" r="M27"/>
  <c i="17" r="M31"/>
  <c i="17" r="M23"/>
  <c i="17" r="M33"/>
  <c i="17" r="M24"/>
  <c i="17" r="Q22"/>
  <c i="17" r="Q32"/>
  <c i="17" r="Q26"/>
  <c i="17" r="Q31"/>
  <c i="17" r="Q23"/>
  <c i="17" r="Q33"/>
  <c i="17" r="Q24"/>
  <c i="17" r="Q25"/>
  <c i="17" r="Q27"/>
  <c i="7" r="D22"/>
  <c i="7" r="H22"/>
  <c i="7" r="C23"/>
  <c i="7" r="G23"/>
  <c i="7" r="E24"/>
  <c i="7" r="I24"/>
  <c i="7" r="C25"/>
  <c i="7" r="G25"/>
  <c i="7" r="B26"/>
  <c i="7" r="F26"/>
  <c i="7" r="E27"/>
  <c i="7" r="I27"/>
  <c i="7" r="C31"/>
  <c i="7" r="G31"/>
  <c i="7" r="B32"/>
  <c i="7" r="F32"/>
  <c i="7" r="E33"/>
  <c i="7" r="I33"/>
  <c i="7" r="O22"/>
  <c i="7" r="S22"/>
  <c i="7" r="N23"/>
  <c i="7" r="R23"/>
  <c i="7" r="P24"/>
  <c i="7" r="T24"/>
  <c i="7" r="N25"/>
  <c i="7" r="R25"/>
  <c i="7" r="M26"/>
  <c i="7" r="Q26"/>
  <c i="7" r="P27"/>
  <c i="7" r="T27"/>
  <c i="7" r="N31"/>
  <c i="7" r="R31"/>
  <c i="7" r="M32"/>
  <c i="7" r="Q32"/>
  <c i="7" r="P33"/>
  <c i="7" r="T33"/>
  <c i="11" r="D22"/>
  <c i="11" r="H22"/>
  <c i="11" r="C23"/>
  <c i="11" r="G23"/>
  <c i="11" r="E24"/>
  <c i="11" r="I24"/>
  <c i="11" r="C25"/>
  <c i="11" r="G25"/>
  <c i="11" r="B26"/>
  <c i="11" r="F26"/>
  <c i="11" r="E27"/>
  <c i="11" r="I27"/>
  <c i="11" r="C31"/>
  <c i="11" r="G31"/>
  <c i="11" r="B32"/>
  <c i="11" r="F32"/>
  <c i="11" r="E33"/>
  <c i="11" r="I33"/>
  <c i="11" r="O22"/>
  <c i="11" r="S22"/>
  <c i="11" r="N23"/>
  <c i="11" r="R23"/>
  <c i="11" r="P24"/>
  <c i="11" r="T24"/>
  <c i="11" r="N25"/>
  <c i="11" r="R25"/>
  <c i="11" r="M26"/>
  <c i="11" r="Q26"/>
  <c i="11" r="P27"/>
  <c i="11" r="T27"/>
  <c i="11" r="N31"/>
  <c i="11" r="R31"/>
  <c i="11" r="M32"/>
  <c i="11" r="Q32"/>
  <c i="11" r="P33"/>
  <c i="11" r="T33"/>
  <c i="12" r="B32"/>
  <c i="12" r="B26"/>
  <c i="12" r="B24"/>
  <c i="12" r="B33"/>
  <c i="12" r="B27"/>
  <c i="12" r="B22"/>
  <c i="12" r="B23"/>
  <c i="12" r="B31"/>
  <c i="12" r="B25"/>
  <c i="12" r="E33"/>
  <c i="12" r="E27"/>
  <c i="12" r="E24"/>
  <c i="12" r="E22"/>
  <c i="12" r="E31"/>
  <c i="12" r="E25"/>
  <c i="12" r="E23"/>
  <c i="12" r="E32"/>
  <c i="12" r="E26"/>
  <c i="12" r="I33"/>
  <c i="12" r="I27"/>
  <c i="12" r="I24"/>
  <c i="12" r="I22"/>
  <c i="12" r="I31"/>
  <c i="12" r="I25"/>
  <c i="12" r="I23"/>
  <c i="12" r="I26"/>
  <c i="12" r="I32"/>
  <c i="12" r="P33"/>
  <c i="12" r="P27"/>
  <c i="12" r="P24"/>
  <c i="12" r="P22"/>
  <c i="12" r="P31"/>
  <c i="12" r="P25"/>
  <c i="12" r="P23"/>
  <c i="12" r="P32"/>
  <c i="12" r="P26"/>
  <c i="12" r="T33"/>
  <c i="12" r="T27"/>
  <c i="12" r="T24"/>
  <c i="12" r="T22"/>
  <c i="12" r="T31"/>
  <c i="12" r="T25"/>
  <c i="12" r="T23"/>
  <c i="12" r="T32"/>
  <c i="12" r="T26"/>
  <c i="13" r="E31"/>
  <c i="13" r="E33"/>
  <c i="13" r="E24"/>
  <c i="13" r="E32"/>
  <c i="13" r="E27"/>
  <c i="13" r="E22"/>
  <c i="13" r="E26"/>
  <c i="13" r="E25"/>
  <c i="13" r="E23"/>
  <c i="13" r="I31"/>
  <c i="13" r="I32"/>
  <c i="13" r="I27"/>
  <c i="13" r="I24"/>
  <c i="13" r="I26"/>
  <c i="13" r="I22"/>
  <c i="13" r="I25"/>
  <c i="13" r="I23"/>
  <c i="13" r="I33"/>
  <c i="13" r="P31"/>
  <c i="13" r="P25"/>
  <c i="13" r="P23"/>
  <c i="13" r="P33"/>
  <c i="13" r="P32"/>
  <c i="13" r="P27"/>
  <c i="13" r="P26"/>
  <c i="13" r="P24"/>
  <c i="13" r="P22"/>
  <c i="13" r="T31"/>
  <c i="13" r="T25"/>
  <c i="13" r="T23"/>
  <c i="13" r="T33"/>
  <c i="13" r="T32"/>
  <c i="13" r="T27"/>
  <c i="13" r="T26"/>
  <c i="13" r="T24"/>
  <c i="13" r="T22"/>
  <c i="14" r="E31"/>
  <c i="14" r="E25"/>
  <c i="14" r="E23"/>
  <c i="14" r="E33"/>
  <c i="14" r="E27"/>
  <c i="14" r="E26"/>
  <c i="14" r="E24"/>
  <c i="14" r="E22"/>
  <c i="14" r="E32"/>
  <c i="14" r="I31"/>
  <c i="14" r="I25"/>
  <c i="14" r="I23"/>
  <c i="14" r="I33"/>
  <c i="14" r="I27"/>
  <c i="14" r="I32"/>
  <c i="14" r="I26"/>
  <c i="14" r="I24"/>
  <c i="14" r="I22"/>
  <c i="14" r="P31"/>
  <c i="14" r="P25"/>
  <c i="14" r="P23"/>
  <c i="14" r="P33"/>
  <c i="14" r="P27"/>
  <c i="14" r="P24"/>
  <c i="14" r="P32"/>
  <c i="14" r="P26"/>
  <c i="14" r="P22"/>
  <c i="14" r="T31"/>
  <c i="14" r="T25"/>
  <c i="14" r="T23"/>
  <c i="14" r="T33"/>
  <c i="14" r="T27"/>
  <c i="14" r="T24"/>
  <c i="14" r="T26"/>
  <c i="14" r="T22"/>
  <c i="14" r="T32"/>
  <c i="15" r="E31"/>
  <c i="15" r="E25"/>
  <c i="15" r="E23"/>
  <c i="15" r="E33"/>
  <c i="15" r="E27"/>
  <c i="15" r="E24"/>
  <c i="15" r="E26"/>
  <c i="15" r="E22"/>
  <c i="15" r="E32"/>
  <c i="15" r="I31"/>
  <c i="15" r="I25"/>
  <c i="15" r="I23"/>
  <c i="15" r="I33"/>
  <c i="15" r="I27"/>
  <c i="15" r="I24"/>
  <c i="15" r="I32"/>
  <c i="15" r="I26"/>
  <c i="15" r="I22"/>
  <c i="15" r="P32"/>
  <c i="15" r="P26"/>
  <c i="15" r="P23"/>
  <c i="15" r="P24"/>
  <c i="15" r="P33"/>
  <c i="15" r="P25"/>
  <c i="15" r="P27"/>
  <c i="15" r="P31"/>
  <c i="15" r="P22"/>
  <c i="15" r="T32"/>
  <c i="15" r="T26"/>
  <c i="15" r="T23"/>
  <c i="15" r="T24"/>
  <c i="15" r="T27"/>
  <c i="15" r="T31"/>
  <c i="15" r="T22"/>
  <c i="15" r="T33"/>
  <c i="15" r="T25"/>
  <c i="16" r="E31"/>
  <c i="16" r="E25"/>
  <c i="16" r="E23"/>
  <c i="16" r="E33"/>
  <c i="16" r="E27"/>
  <c i="16" r="E24"/>
  <c i="16" r="E26"/>
  <c i="16" r="E22"/>
  <c i="16" r="E32"/>
  <c i="16" r="I31"/>
  <c i="16" r="I25"/>
  <c i="16" r="I23"/>
  <c i="16" r="I33"/>
  <c i="16" r="I27"/>
  <c i="16" r="I24"/>
  <c i="16" r="I32"/>
  <c i="16" r="I26"/>
  <c i="16" r="I22"/>
  <c i="16" r="P31"/>
  <c i="16" r="P25"/>
  <c i="16" r="P23"/>
  <c i="16" r="P33"/>
  <c i="16" r="P27"/>
  <c i="16" r="P24"/>
  <c i="16" r="P32"/>
  <c i="16" r="P26"/>
  <c i="16" r="P22"/>
  <c i="16" r="T31"/>
  <c i="16" r="T25"/>
  <c i="16" r="T23"/>
  <c i="16" r="T33"/>
  <c i="16" r="T27"/>
  <c i="16" r="T24"/>
  <c i="16" r="T26"/>
  <c i="16" r="T22"/>
  <c i="16" r="T32"/>
  <c i="17" r="E31"/>
  <c i="17" r="E25"/>
  <c i="17" r="E23"/>
  <c i="17" r="E33"/>
  <c i="17" r="E27"/>
  <c i="17" r="E24"/>
  <c i="17" r="E26"/>
  <c i="17" r="E22"/>
  <c i="17" r="E32"/>
  <c i="17" r="I31"/>
  <c i="17" r="I25"/>
  <c i="17" r="I23"/>
  <c i="17" r="I33"/>
  <c i="17" r="I27"/>
  <c i="17" r="I24"/>
  <c i="17" r="I32"/>
  <c i="17" r="I26"/>
  <c i="17" r="I22"/>
  <c i="17" r="P31"/>
  <c i="17" r="P25"/>
  <c i="17" r="P23"/>
  <c i="17" r="P33"/>
  <c i="17" r="P27"/>
  <c i="17" r="P24"/>
  <c i="17" r="P32"/>
  <c i="17" r="P26"/>
  <c i="17" r="P22"/>
  <c i="17" r="T31"/>
  <c i="17" r="T25"/>
  <c i="17" r="T23"/>
  <c i="17" r="T33"/>
  <c i="17" r="T27"/>
  <c i="17" r="T24"/>
  <c i="17" r="T26"/>
  <c i="17" r="T22"/>
  <c i="17" r="T32"/>
  <c i="7" r="C22"/>
  <c i="7" r="G22"/>
  <c i="7" r="B23"/>
  <c i="7" r="F23"/>
  <c i="7" r="D24"/>
  <c i="7" r="H24"/>
  <c i="7" r="B25"/>
  <c i="7" r="F25"/>
  <c i="7" r="E26"/>
  <c i="7" r="I26"/>
  <c i="7" r="D27"/>
  <c i="7" r="H27"/>
  <c i="7" r="B31"/>
  <c i="7" r="F31"/>
  <c i="7" r="E32"/>
  <c i="7" r="I32"/>
  <c i="7" r="D33"/>
  <c i="7" r="H33"/>
  <c i="7" r="N22"/>
  <c i="7" r="R22"/>
  <c i="7" r="M23"/>
  <c i="7" r="Q23"/>
  <c i="7" r="O24"/>
  <c i="7" r="S24"/>
  <c i="7" r="M25"/>
  <c i="7" r="Q25"/>
  <c i="7" r="P26"/>
  <c i="7" r="T26"/>
  <c i="7" r="O27"/>
  <c i="7" r="S27"/>
  <c i="7" r="M31"/>
  <c i="7" r="Q31"/>
  <c i="7" r="P32"/>
  <c i="7" r="T32"/>
  <c i="7" r="O33"/>
  <c i="7" r="S33"/>
  <c i="11" r="C22"/>
  <c i="11" r="G22"/>
  <c i="11" r="B23"/>
  <c i="11" r="F23"/>
  <c i="11" r="D24"/>
  <c i="11" r="H24"/>
  <c i="11" r="B25"/>
  <c i="11" r="F25"/>
  <c i="11" r="E26"/>
  <c i="11" r="I26"/>
  <c i="11" r="D27"/>
  <c i="11" r="H27"/>
  <c i="11" r="B31"/>
  <c i="11" r="F31"/>
  <c i="11" r="E32"/>
  <c i="11" r="I32"/>
  <c i="11" r="D33"/>
  <c i="11" r="H33"/>
  <c i="11" r="N22"/>
  <c i="11" r="R22"/>
  <c i="11" r="M23"/>
  <c i="11" r="Q23"/>
  <c i="11" r="O24"/>
  <c i="11" r="S24"/>
  <c i="11" r="M25"/>
  <c i="11" r="Q25"/>
  <c i="11" r="P26"/>
  <c i="11" r="T26"/>
  <c i="11" r="O27"/>
  <c i="11" r="S27"/>
  <c i="11" r="M31"/>
  <c i="11" r="Q31"/>
  <c i="11" r="P32"/>
  <c i="11" r="T32"/>
  <c i="11" r="O33"/>
  <c i="11" r="S33"/>
  <c i="12" r="D22"/>
  <c i="12" r="D31"/>
  <c i="12" r="D25"/>
  <c i="12" r="D23"/>
  <c i="12" r="D32"/>
  <c i="12" r="D26"/>
  <c i="12" r="D33"/>
  <c i="12" r="D27"/>
  <c i="12" r="D24"/>
  <c i="12" r="H22"/>
  <c i="12" r="H23"/>
  <c i="12" r="H31"/>
  <c i="12" r="H25"/>
  <c i="12" r="H24"/>
  <c i="12" r="H32"/>
  <c i="12" r="H26"/>
  <c i="12" r="H33"/>
  <c i="12" r="H27"/>
  <c i="12" r="O22"/>
  <c i="12" r="O31"/>
  <c i="12" r="O25"/>
  <c i="12" r="O23"/>
  <c i="12" r="O32"/>
  <c i="12" r="O26"/>
  <c i="12" r="O33"/>
  <c i="12" r="O27"/>
  <c i="12" r="O24"/>
  <c i="12" r="S22"/>
  <c i="12" r="S31"/>
  <c i="12" r="S25"/>
  <c i="12" r="S23"/>
  <c i="12" r="S32"/>
  <c i="12" r="S26"/>
  <c i="12" r="S33"/>
  <c i="12" r="S27"/>
  <c i="12" r="S24"/>
  <c i="13" r="D32"/>
  <c i="13" r="D26"/>
  <c i="13" r="D27"/>
  <c i="13" r="D22"/>
  <c i="13" r="D25"/>
  <c i="13" r="D23"/>
  <c i="13" r="D31"/>
  <c i="13" r="D33"/>
  <c i="13" r="D24"/>
  <c i="13" r="H32"/>
  <c i="13" r="H26"/>
  <c i="13" r="H22"/>
  <c i="13" r="H31"/>
  <c i="13" r="H25"/>
  <c i="13" r="H23"/>
  <c i="13" r="H33"/>
  <c i="13" r="H27"/>
  <c i="13" r="H24"/>
  <c i="13" r="O32"/>
  <c i="13" r="O26"/>
  <c i="13" r="O33"/>
  <c i="13" r="O25"/>
  <c i="13" r="O27"/>
  <c i="13" r="O23"/>
  <c i="13" r="O24"/>
  <c i="13" r="O22"/>
  <c i="13" r="O31"/>
  <c i="13" r="S32"/>
  <c i="13" r="S26"/>
  <c i="13" r="S27"/>
  <c i="13" r="S23"/>
  <c i="13" r="S24"/>
  <c i="13" r="S22"/>
  <c i="13" r="S31"/>
  <c i="13" r="S33"/>
  <c i="13" r="S25"/>
  <c i="14" r="D32"/>
  <c i="14" r="D26"/>
  <c i="14" r="D27"/>
  <c i="14" r="D31"/>
  <c i="14" r="D33"/>
  <c i="14" r="D23"/>
  <c i="14" r="D25"/>
  <c i="14" r="D24"/>
  <c i="14" r="D22"/>
  <c i="14" r="H32"/>
  <c i="14" r="H26"/>
  <c i="14" r="H33"/>
  <c i="14" r="H25"/>
  <c i="14" r="H23"/>
  <c i="14" r="H27"/>
  <c i="14" r="H24"/>
  <c i="14" r="H22"/>
  <c i="14" r="H31"/>
  <c i="14" r="O32"/>
  <c i="14" r="O26"/>
  <c i="14" r="O22"/>
  <c i="14" r="O33"/>
  <c i="14" r="O24"/>
  <c i="14" r="O25"/>
  <c i="14" r="O27"/>
  <c i="14" r="O31"/>
  <c i="14" r="O23"/>
  <c i="14" r="S32"/>
  <c i="14" r="S26"/>
  <c i="14" r="S22"/>
  <c i="14" r="S27"/>
  <c i="14" r="S31"/>
  <c i="14" r="S23"/>
  <c i="14" r="S33"/>
  <c i="14" r="S24"/>
  <c i="14" r="S25"/>
  <c i="15" r="D32"/>
  <c i="15" r="D26"/>
  <c i="15" r="D22"/>
  <c i="15" r="D27"/>
  <c i="15" r="D31"/>
  <c i="15" r="D23"/>
  <c i="15" r="D33"/>
  <c i="15" r="D24"/>
  <c i="15" r="D25"/>
  <c i="15" r="H32"/>
  <c i="15" r="H26"/>
  <c i="15" r="H22"/>
  <c i="15" r="H33"/>
  <c i="15" r="H24"/>
  <c i="15" r="H25"/>
  <c i="15" r="H27"/>
  <c i="15" r="H31"/>
  <c i="15" r="H23"/>
  <c i="15" r="O33"/>
  <c i="15" r="O27"/>
  <c i="15" r="O31"/>
  <c i="15" r="O25"/>
  <c i="15" r="O22"/>
  <c i="15" r="O24"/>
  <c i="15" r="O26"/>
  <c i="15" r="O32"/>
  <c i="15" r="O23"/>
  <c i="15" r="S33"/>
  <c i="15" r="S27"/>
  <c i="15" r="S31"/>
  <c i="15" r="S25"/>
  <c i="15" r="S22"/>
  <c i="15" r="S32"/>
  <c i="15" r="S23"/>
  <c i="15" r="S24"/>
  <c i="15" r="S26"/>
  <c i="16" r="D32"/>
  <c i="16" r="D26"/>
  <c i="16" r="D22"/>
  <c i="16" r="D27"/>
  <c i="16" r="D31"/>
  <c i="16" r="D23"/>
  <c i="16" r="D33"/>
  <c i="16" r="D24"/>
  <c i="16" r="D25"/>
  <c i="16" r="H32"/>
  <c i="16" r="H26"/>
  <c i="16" r="H22"/>
  <c i="16" r="H33"/>
  <c i="16" r="H24"/>
  <c i="16" r="H25"/>
  <c i="16" r="H27"/>
  <c i="16" r="H31"/>
  <c i="16" r="H23"/>
  <c i="16" r="O32"/>
  <c i="16" r="O26"/>
  <c i="16" r="O22"/>
  <c i="16" r="O33"/>
  <c i="16" r="O24"/>
  <c i="16" r="O25"/>
  <c i="16" r="O27"/>
  <c i="16" r="O31"/>
  <c i="16" r="O23"/>
  <c i="16" r="S32"/>
  <c i="16" r="S26"/>
  <c i="16" r="S22"/>
  <c i="16" r="S27"/>
  <c i="16" r="S31"/>
  <c i="16" r="S23"/>
  <c i="16" r="S33"/>
  <c i="16" r="S24"/>
  <c i="16" r="S25"/>
  <c i="17" r="D32"/>
  <c i="17" r="D26"/>
  <c i="17" r="D22"/>
  <c i="17" r="D27"/>
  <c i="17" r="D31"/>
  <c i="17" r="D23"/>
  <c i="17" r="D33"/>
  <c i="17" r="D24"/>
  <c i="17" r="D25"/>
  <c i="17" r="H32"/>
  <c i="17" r="H26"/>
  <c i="17" r="H22"/>
  <c i="17" r="H33"/>
  <c i="17" r="H24"/>
  <c i="17" r="H25"/>
  <c i="17" r="H27"/>
  <c i="17" r="H31"/>
  <c i="17" r="H23"/>
  <c i="17" r="O32"/>
  <c i="17" r="O26"/>
  <c i="17" r="O22"/>
  <c i="17" r="O33"/>
  <c i="17" r="O24"/>
  <c i="17" r="O25"/>
  <c i="17" r="O27"/>
  <c i="17" r="O31"/>
  <c i="17" r="O23"/>
  <c i="17" r="S32"/>
  <c i="17" r="S26"/>
  <c i="17" r="S22"/>
  <c i="17" r="S27"/>
  <c i="17" r="S31"/>
  <c i="17" r="S23"/>
  <c i="17" r="S33"/>
  <c i="17" r="S24"/>
  <c i="17" r="S25"/>
  <c i="7" r="B22"/>
  <c i="7" r="F22"/>
  <c i="7" r="E23"/>
  <c i="7" r="I23"/>
  <c i="7" r="C24"/>
  <c i="7" r="G24"/>
  <c i="7" r="E25"/>
  <c i="7" r="I25"/>
  <c i="7" r="D26"/>
  <c i="7" r="H26"/>
  <c i="7" r="C27"/>
  <c i="7" r="G27"/>
  <c i="7" r="M22"/>
  <c i="7" r="Q22"/>
  <c i="7" r="P23"/>
  <c i="7" r="T23"/>
  <c i="7" r="N24"/>
  <c i="7" r="R24"/>
  <c i="7" r="P25"/>
  <c i="7" r="T25"/>
  <c i="7" r="O26"/>
  <c i="7" r="S26"/>
  <c i="7" r="N27"/>
  <c i="7" r="R27"/>
  <c i="11" r="B22"/>
  <c i="11" r="F22"/>
  <c i="11" r="E23"/>
  <c i="11" r="I23"/>
  <c i="11" r="C24"/>
  <c i="11" r="G24"/>
  <c i="11" r="E25"/>
  <c i="11" r="I25"/>
  <c i="11" r="D26"/>
  <c i="11" r="H26"/>
  <c i="11" r="C27"/>
  <c i="11" r="G27"/>
  <c i="11" r="M22"/>
  <c i="11" r="Q22"/>
  <c i="11" r="P23"/>
  <c i="11" r="T23"/>
  <c i="11" r="N24"/>
  <c i="11" r="R24"/>
  <c i="11" r="P25"/>
  <c i="11" r="T25"/>
  <c i="11" r="O26"/>
  <c i="11" r="S26"/>
  <c i="11" r="N27"/>
  <c i="11" r="R27"/>
  <c i="7" r="J16"/>
  <c i="7" r="J29" s="1"/>
  <c i="18" r="U5"/>
  <c i="18" r="U14"/>
  <c i="18" r="P16"/>
  <c i="18" r="P33" s="1"/>
  <c i="18" r="D16"/>
  <c i="18" r="D33" s="1"/>
  <c i="18" r="U6"/>
  <c i="18" r="U7"/>
  <c i="18" r="U8"/>
  <c i="18" r="U9"/>
  <c i="18" r="U10"/>
  <c i="18" r="U15"/>
  <c i="18" r="J6"/>
  <c i="18" r="J7"/>
  <c i="18" r="J8"/>
  <c i="18" r="J9"/>
  <c i="18" r="J10"/>
  <c i="18" r="J14"/>
  <c i="18" r="J15"/>
  <c i="18" r="H16"/>
  <c i="18" r="H33" s="1"/>
  <c i="18" r="J5"/>
  <c i="17" r="J16"/>
  <c i="17" r="J28" s="1"/>
  <c i="17" r="U16"/>
  <c i="17" r="U26" s="1"/>
  <c i="16" r="J16"/>
  <c i="16" r="J29" s="1"/>
  <c i="16" r="U16"/>
  <c i="15" r="J16"/>
  <c i="15" r="U16"/>
  <c i="14" r="J16"/>
  <c i="14" r="J29" s="1"/>
  <c i="14" r="U16"/>
  <c i="14" r="U30" s="1"/>
  <c i="13" r="J16"/>
  <c i="13" r="J30" s="1"/>
  <c i="13" r="U16"/>
  <c i="13" r="U26" s="1"/>
  <c i="12" r="J16"/>
  <c i="12" r="J30" s="1"/>
  <c i="12" r="U16"/>
  <c i="11" r="J16"/>
  <c i="11" r="J22" s="1"/>
  <c i="11" r="U16"/>
  <c i="11" r="U30" s="1"/>
  <c i="7" r="U16"/>
  <c i="7" r="U30" s="1"/>
  <c i="13" l="1" r="S45"/>
  <c i="18" r="N32"/>
  <c i="18" r="N22"/>
  <c i="18" r="G27"/>
  <c i="18" r="M31"/>
  <c i="18" r="M25"/>
  <c i="18" r="N25"/>
  <c i="18" r="B32"/>
  <c i="18" r="E23"/>
  <c i="18" r="E24"/>
  <c i="18" r="I22"/>
  <c i="18" r="F26"/>
  <c i="18" r="M23"/>
  <c i="18" r="R32"/>
  <c i="18" r="G32"/>
  <c i="18" r="M27"/>
  <c i="18" r="R27"/>
  <c i="18" r="R22"/>
  <c i="18" r="B31"/>
  <c i="18" r="N31"/>
  <c i="18" r="Q23"/>
  <c i="18" r="B23"/>
  <c i="18" r="N23"/>
  <c i="18" r="B22"/>
  <c i="18" r="Q25"/>
  <c i="18" r="B25"/>
  <c i="18" r="N27"/>
  <c i="18" r="N24"/>
  <c i="18" r="E22"/>
  <c i="18" r="E27"/>
  <c i="18" r="S32"/>
  <c i="18" r="M26"/>
  <c i="18" r="M22"/>
  <c i="18" r="E26"/>
  <c i="12" r="S45"/>
  <c i="12" r="Q45"/>
  <c i="18" r="F22"/>
  <c i="18" r="M32"/>
  <c i="18" r="S23"/>
  <c i="18" r="F32"/>
  <c i="18" r="F25"/>
  <c i="18" r="F23"/>
  <c i="18" r="R31"/>
  <c i="18" r="R25"/>
  <c i="18" r="R24"/>
  <c i="18" r="R23"/>
  <c i="18" r="I32"/>
  <c i="18" r="E33"/>
  <c i="18" r="P50" s="1"/>
  <c i="18" r="AA50" s="1"/>
  <c i="18" r="E31"/>
  <c i="18" r="B24"/>
  <c i="18" r="F31"/>
  <c i="18" r="I31"/>
  <c i="18" r="F27"/>
  <c i="18" r="I26"/>
  <c i="18" r="B27"/>
  <c i="18" r="I25"/>
  <c i="18" r="B26"/>
  <c i="18" r="I27"/>
  <c i="18" r="I30"/>
  <c i="18" r="I29"/>
  <c i="18" r="I28"/>
  <c i="18" r="F24"/>
  <c i="18" r="I24"/>
  <c i="18" r="I23"/>
  <c i="18" r="C27"/>
  <c i="18" r="C24"/>
  <c i="7" r="O45"/>
  <c i="18" r="O22"/>
  <c i="11" r="S47"/>
  <c i="7" r="Q45"/>
  <c i="18" r="Q32"/>
  <c i="18" r="Q26"/>
  <c i="18" r="R30"/>
  <c i="18" r="R29"/>
  <c i="16" r="Q45"/>
  <c i="18" r="E29"/>
  <c i="18" r="F29"/>
  <c i="18" r="R26"/>
  <c i="18" r="E25"/>
  <c i="18" r="R28"/>
  <c i="18" r="M24"/>
  <c i="18" r="N26"/>
  <c i="18" r="E32"/>
  <c i="18" r="B29"/>
  <c i="18" r="E28"/>
  <c i="17" r="S45"/>
  <c i="17" r="O45"/>
  <c i="18" r="N30"/>
  <c i="18" r="M28"/>
  <c i="18" r="N29"/>
  <c i="18" r="N28"/>
  <c i="11" r="O47"/>
  <c i="11" r="S46"/>
  <c i="12" r="S46"/>
  <c i="18" r="M30"/>
  <c i="12" r="O45"/>
  <c i="18" r="M29"/>
  <c i="18" r="B30"/>
  <c i="18" r="B28"/>
  <c i="14" r="S45"/>
  <c i="14" r="Q45"/>
  <c i="18" r="F30"/>
  <c i="14" r="O45"/>
  <c i="18" r="F28"/>
  <c i="15" r="S45"/>
  <c i="11" r="O46"/>
  <c i="13" r="O46"/>
  <c i="15" r="O46"/>
  <c i="17" r="O46"/>
  <c i="11" r="N46"/>
  <c i="12" r="N46"/>
  <c i="13" r="N46"/>
  <c i="14" r="N46"/>
  <c i="15" r="N46"/>
  <c i="16" r="N46"/>
  <c i="17" r="N46"/>
  <c i="11" r="T46"/>
  <c i="12" r="T46"/>
  <c i="13" r="T46"/>
  <c i="14" r="T46"/>
  <c i="15" r="T46"/>
  <c i="16" r="T46"/>
  <c i="17" r="T46"/>
  <c i="7" r="N47"/>
  <c i="7" r="N45"/>
  <c i="7" r="T47"/>
  <c i="7" r="T45"/>
  <c i="18" r="G22"/>
  <c i="18" r="S31"/>
  <c i="18" r="S25"/>
  <c i="18" r="G31"/>
  <c i="18" r="G23"/>
  <c i="7" r="N46"/>
  <c i="11" r="N47"/>
  <c i="11" r="N45"/>
  <c i="12" r="N45"/>
  <c i="13" r="N45"/>
  <c i="14" r="N45"/>
  <c i="16" r="S46"/>
  <c i="18" r="S30"/>
  <c i="11" r="O45"/>
  <c i="18" r="G29"/>
  <c i="18" r="S27"/>
  <c i="18" r="G25"/>
  <c i="18" r="G24"/>
  <c i="15" r="O45"/>
  <c i="16" r="O45"/>
  <c i="18" r="S26"/>
  <c i="18" r="S24"/>
  <c i="18" r="S22"/>
  <c i="18" r="G26"/>
  <c i="7" r="O47"/>
  <c i="18" r="T25"/>
  <c i="15" r="N45"/>
  <c i="16" r="N45"/>
  <c i="17" r="N45"/>
  <c i="7" r="O46"/>
  <c i="13" r="O45"/>
  <c i="11" r="U28"/>
  <c i="17" r="U28"/>
  <c i="17" r="U45" s="1"/>
  <c i="18" r="D28"/>
  <c i="13" r="U29"/>
  <c i="18" r="C29"/>
  <c i="18" r="P29"/>
  <c i="18" r="C22"/>
  <c i="18" r="C32"/>
  <c i="18" r="C25"/>
  <c i="18" r="C23"/>
  <c i="18" r="C31"/>
  <c i="7" r="R46"/>
  <c i="11" r="R47"/>
  <c i="11" r="R45"/>
  <c i="12" r="R45"/>
  <c i="13" r="R45"/>
  <c i="14" r="R45"/>
  <c i="15" r="R45"/>
  <c i="16" r="R45"/>
  <c i="17" r="R45"/>
  <c i="11" r="S45"/>
  <c i="16" r="S45"/>
  <c i="18" r="S29"/>
  <c i="18" r="D30"/>
  <c i="18" r="G28"/>
  <c i="18" r="C28"/>
  <c i="18" r="G30"/>
  <c i="15" r="J29"/>
  <c i="18" r="C26"/>
  <c i="14" r="S46"/>
  <c i="7" r="Q46"/>
  <c i="12" r="Q46"/>
  <c i="14" r="Q46"/>
  <c i="16" r="Q46"/>
  <c i="7" r="J28"/>
  <c i="18" r="S28"/>
  <c i="18" r="C30"/>
  <c i="12" r="U30"/>
  <c i="12" r="U47" s="1"/>
  <c i="16" r="U30"/>
  <c i="11" r="U26"/>
  <c i="11" r="U29"/>
  <c i="15" r="U29"/>
  <c i="18" r="T27"/>
  <c i="7" r="T46"/>
  <c i="11" r="T47"/>
  <c i="11" r="T45"/>
  <c i="12" r="T45"/>
  <c i="13" r="T45"/>
  <c i="14" r="T45"/>
  <c i="15" r="T45"/>
  <c i="16" r="T45"/>
  <c i="17" r="T45"/>
  <c i="7" r="S45"/>
  <c i="11" r="Q45"/>
  <c i="13" r="Q45"/>
  <c i="15" r="Q45"/>
  <c i="17" r="Q45"/>
  <c i="18" r="Q30"/>
  <c i="13" r="U30"/>
  <c i="13" r="U47" s="1"/>
  <c i="17" r="U29"/>
  <c i="18" r="O29"/>
  <c i="14" r="U29"/>
  <c i="14" r="U46" s="1"/>
  <c i="18" r="T28"/>
  <c i="11" r="J30"/>
  <c i="11" r="U47" s="1"/>
  <c i="18" r="D29"/>
  <c i="18" r="T29"/>
  <c i="18" r="Q28"/>
  <c i="7" r="U26"/>
  <c i="7" r="U28"/>
  <c i="12" r="J31"/>
  <c i="12" r="J28"/>
  <c i="14" r="J30"/>
  <c i="14" r="U47" s="1"/>
  <c i="16" r="J22"/>
  <c i="16" r="J28"/>
  <c i="18" r="T30"/>
  <c i="18" r="T32"/>
  <c i="18" r="T26"/>
  <c i="18" r="T24"/>
  <c i="7" r="P47"/>
  <c i="7" r="P45"/>
  <c i="11" r="P46"/>
  <c i="12" r="P46"/>
  <c i="13" r="P46"/>
  <c i="14" r="P46"/>
  <c i="15" r="P46"/>
  <c i="16" r="P46"/>
  <c i="17" r="P46"/>
  <c i="7" r="S46"/>
  <c i="11" r="J29"/>
  <c i="16" r="J30"/>
  <c i="12" r="U29"/>
  <c i="17" r="U30"/>
  <c i="15" r="J28"/>
  <c i="13" r="U28"/>
  <c i="18" r="P28"/>
  <c i="15" r="J30"/>
  <c i="18" r="H29"/>
  <c i="18" r="P30"/>
  <c i="18" r="P47" s="1"/>
  <c i="18" r="AA47" s="1"/>
  <c i="16" r="U28"/>
  <c i="14" r="U28"/>
  <c i="13" r="J22"/>
  <c i="13" r="J29"/>
  <c i="17" r="J22"/>
  <c i="17" r="J29"/>
  <c i="7" r="J27"/>
  <c i="7" r="J30"/>
  <c i="7" r="U47" s="1"/>
  <c i="11" r="Q46"/>
  <c i="13" r="Q46"/>
  <c i="15" r="Q46"/>
  <c i="17" r="Q46"/>
  <c i="16" r="U29"/>
  <c i="16" r="U46" s="1"/>
  <c i="12" r="U28"/>
  <c i="18" r="T23"/>
  <c i="7" r="R47"/>
  <c i="7" r="R45"/>
  <c i="11" r="R46"/>
  <c i="12" r="R46"/>
  <c i="13" r="R46"/>
  <c i="14" r="R46"/>
  <c i="15" r="R46"/>
  <c i="16" r="R46"/>
  <c i="17" r="R46"/>
  <c i="7" r="S47"/>
  <c i="7" r="P46"/>
  <c i="11" r="P47"/>
  <c i="11" r="P45"/>
  <c i="12" r="P45"/>
  <c i="13" r="P45"/>
  <c i="14" r="P45"/>
  <c i="15" r="P45"/>
  <c i="16" r="P45"/>
  <c i="17" r="P45"/>
  <c i="18" r="O30"/>
  <c i="7" r="M45"/>
  <c i="11" r="M45"/>
  <c i="12" r="M45"/>
  <c i="13" r="M45"/>
  <c i="14" r="M45"/>
  <c i="15" r="M45"/>
  <c i="16" r="M45"/>
  <c i="17" r="M45"/>
  <c i="14" r="J28"/>
  <c i="18" r="Q29"/>
  <c i="15" r="U28"/>
  <c i="11" r="J28"/>
  <c i="17" r="J30"/>
  <c i="12" r="J29"/>
  <c i="7" r="U29"/>
  <c i="7" r="U46" s="1"/>
  <c i="15" r="U30"/>
  <c i="13" r="J28"/>
  <c i="18" r="H30"/>
  <c i="18" r="H28"/>
  <c i="18" r="O28"/>
  <c i="18" r="Q31"/>
  <c i="18" r="Q22"/>
  <c i="18" r="Q27"/>
  <c i="18" r="Q24"/>
  <c i="18" r="T31"/>
  <c i="18" r="T22"/>
  <c i="18" r="O32"/>
  <c i="18" r="O31"/>
  <c i="18" r="O27"/>
  <c i="18" r="O26"/>
  <c i="18" r="O25"/>
  <c i="18" r="O24"/>
  <c i="18" r="O23"/>
  <c i="15" r="J24"/>
  <c i="12" r="J23"/>
  <c i="13" r="U25"/>
  <c i="15" r="J26"/>
  <c i="16" r="J23"/>
  <c i="12" r="J32"/>
  <c i="15" r="U23"/>
  <c i="16" r="J32"/>
  <c i="13" r="J27"/>
  <c i="15" r="U32"/>
  <c i="14" r="J22"/>
  <c i="17" r="J27"/>
  <c i="14" r="J25"/>
  <c i="17" r="U25"/>
  <c i="12" r="J22"/>
  <c i="14" r="J31"/>
  <c i="17" r="J24"/>
  <c i="16" r="J25"/>
  <c i="15" r="J27"/>
  <c i="14" r="J32"/>
  <c i="14" r="J23"/>
  <c i="13" r="J24"/>
  <c i="12" r="J25"/>
  <c i="17" r="U32"/>
  <c i="17" r="U23"/>
  <c i="16" r="U24"/>
  <c i="15" r="U25"/>
  <c i="14" r="U27"/>
  <c i="13" r="U32"/>
  <c i="13" r="U23"/>
  <c i="12" r="U24"/>
  <c i="17" r="J26"/>
  <c i="17" r="U43" s="1"/>
  <c i="16" r="J31"/>
  <c i="13" r="J26"/>
  <c i="16" r="U31"/>
  <c i="16" r="U22"/>
  <c i="12" r="U31"/>
  <c i="12" r="U22"/>
  <c i="11" r="J24"/>
  <c i="7" r="J31"/>
  <c i="11" r="U32"/>
  <c i="11" r="U23"/>
  <c i="7" r="U31"/>
  <c i="7" r="J26"/>
  <c i="14" r="U33"/>
  <c i="11" r="U33"/>
  <c i="13" r="U33"/>
  <c i="15" r="U33"/>
  <c i="17" r="U33"/>
  <c i="7" r="U33"/>
  <c i="12" r="J33"/>
  <c i="14" r="J33"/>
  <c i="16" r="J33"/>
  <c i="17" r="J25"/>
  <c i="16" r="J27"/>
  <c i="15" r="J32"/>
  <c i="15" r="J23"/>
  <c i="14" r="J24"/>
  <c i="13" r="J25"/>
  <c i="12" r="J27"/>
  <c i="12" r="J26"/>
  <c i="17" r="U24"/>
  <c i="16" r="U25"/>
  <c i="15" r="U27"/>
  <c i="14" r="U32"/>
  <c i="14" r="U23"/>
  <c i="13" r="U24"/>
  <c i="12" r="U25"/>
  <c i="17" r="J31"/>
  <c i="14" r="J26"/>
  <c i="13" r="J31"/>
  <c i="17" r="U31"/>
  <c i="17" r="U22"/>
  <c i="14" r="U26"/>
  <c i="13" r="U31"/>
  <c i="13" r="U22"/>
  <c i="11" r="J25"/>
  <c i="7" r="U22"/>
  <c i="11" r="U24"/>
  <c i="11" r="J26"/>
  <c i="7" r="U24"/>
  <c i="11" r="U31"/>
  <c i="11" r="U22"/>
  <c i="11" r="U39" s="1"/>
  <c i="7" r="J22"/>
  <c i="12" r="U33"/>
  <c i="16" r="U27"/>
  <c i="14" r="U24"/>
  <c i="12" r="U27"/>
  <c i="15" r="U26"/>
  <c i="14" r="U31"/>
  <c i="14" r="U22"/>
  <c i="11" r="J27"/>
  <c i="7" r="U25"/>
  <c i="7" r="U27"/>
  <c i="11" r="U25"/>
  <c i="7" r="J32"/>
  <c i="11" r="J31"/>
  <c i="16" r="U33"/>
  <c i="11" r="J33"/>
  <c i="13" r="J33"/>
  <c i="15" r="J33"/>
  <c i="17" r="J33"/>
  <c i="7" r="J33"/>
  <c i="17" r="J32"/>
  <c i="17" r="J23"/>
  <c i="16" r="J24"/>
  <c i="15" r="J25"/>
  <c i="14" r="J27"/>
  <c i="13" r="J32"/>
  <c i="13" r="J23"/>
  <c i="12" r="J24"/>
  <c i="17" r="U27"/>
  <c i="16" r="U32"/>
  <c i="16" r="U23"/>
  <c i="15" r="U24"/>
  <c i="14" r="U25"/>
  <c i="13" r="U27"/>
  <c i="12" r="U32"/>
  <c i="12" r="U23"/>
  <c i="16" r="J26"/>
  <c i="15" r="J31"/>
  <c i="15" r="J22"/>
  <c i="16" r="U26"/>
  <c i="15" r="U31"/>
  <c i="15" r="U22"/>
  <c i="12" r="U26"/>
  <c i="11" r="J32"/>
  <c i="11" r="J23"/>
  <c i="7" r="J23"/>
  <c i="11" r="U27"/>
  <c i="7" r="J25"/>
  <c i="7" r="U23"/>
  <c i="7" r="U32"/>
  <c i="7" r="J24"/>
  <c i="18" r="D26"/>
  <c i="18" r="D27"/>
  <c i="18" r="D25"/>
  <c i="18" r="H31"/>
  <c i="18" r="P26"/>
  <c i="18" r="P22"/>
  <c i="18" r="H24"/>
  <c i="18" r="H23"/>
  <c i="18" r="D32"/>
  <c i="18" r="H27"/>
  <c i="18" r="P32"/>
  <c i="18" r="P27"/>
  <c i="18" r="P25"/>
  <c i="18" r="P24"/>
  <c i="18" r="P23"/>
  <c i="18" r="D31"/>
  <c i="18" r="H26"/>
  <c i="18" r="H25"/>
  <c i="18" r="D24"/>
  <c i="18" r="D23"/>
  <c i="18" r="D22"/>
  <c i="18" r="H32"/>
  <c i="18" r="P31"/>
  <c i="18" r="H22"/>
  <c i="7" r="R50"/>
  <c i="7" r="O40"/>
  <c i="7" r="R43"/>
  <c i="7" r="Q48"/>
  <c i="7" r="S43"/>
  <c i="7" r="P48"/>
  <c i="7" r="N50"/>
  <c i="7" r="M41"/>
  <c i="7" r="P40"/>
  <c i="7" r="O50"/>
  <c i="7" r="N41"/>
  <c i="7" r="O49"/>
  <c i="7" r="S42"/>
  <c i="7" r="P49"/>
  <c i="7" r="T42"/>
  <c i="7" r="Q44"/>
  <c i="7" r="P39"/>
  <c i="7" r="M42"/>
  <c i="7" r="O41"/>
  <c i="7" r="M43"/>
  <c i="7" r="N42"/>
  <c i="7" r="P41"/>
  <c i="7" r="S49"/>
  <c i="7" r="O42"/>
  <c i="7" r="S50"/>
  <c i="7" r="M48"/>
  <c i="7" r="N44"/>
  <c i="7" r="O43"/>
  <c i="7" r="P42"/>
  <c i="7" r="T40"/>
  <c i="7" r="T50"/>
  <c i="7" r="M49"/>
  <c i="7" r="N48"/>
  <c i="7" r="O44"/>
  <c i="7" r="P43"/>
  <c i="7" r="M40"/>
  <c i="7" r="N39"/>
  <c i="7" r="N49"/>
  <c i="7" r="O48"/>
  <c i="7" r="P44"/>
  <c i="7" r="N40"/>
  <c i="7" r="O39"/>
  <c i="17" r="M50"/>
  <c i="14" r="S50"/>
  <c i="18" r="U16"/>
  <c i="18" r="J16"/>
  <c i="17" r="S50"/>
  <c i="17" r="O49"/>
  <c i="17" r="M49"/>
  <c i="17" r="O48"/>
  <c i="17" r="M48"/>
  <c i="17" r="O44"/>
  <c i="17" r="M44"/>
  <c i="17" r="O43"/>
  <c i="17" r="M43"/>
  <c i="17" r="O42"/>
  <c i="17" r="M42"/>
  <c i="17" r="O41"/>
  <c i="17" r="M41"/>
  <c i="17" r="O40"/>
  <c i="17" r="M40"/>
  <c i="17" r="O39"/>
  <c i="17" r="M39"/>
  <c i="17" r="T49"/>
  <c i="17" r="P49"/>
  <c i="17" r="N49"/>
  <c i="17" r="T48"/>
  <c i="17" r="P48"/>
  <c i="17" r="N48"/>
  <c i="17" r="T44"/>
  <c i="17" r="P44"/>
  <c i="17" r="N44"/>
  <c i="17" r="T43"/>
  <c i="17" r="P43"/>
  <c i="17" r="N43"/>
  <c i="17" r="T42"/>
  <c i="17" r="P42"/>
  <c i="17" r="N42"/>
  <c i="17" r="T41"/>
  <c i="17" r="P41"/>
  <c i="17" r="N41"/>
  <c i="17" r="T40"/>
  <c i="17" r="P40"/>
  <c i="17" r="N40"/>
  <c i="17" r="T39"/>
  <c i="17" r="P39"/>
  <c i="17" r="N39"/>
  <c i="17" r="N50"/>
  <c i="17" r="O50"/>
  <c i="16" r="S49"/>
  <c i="16" r="Q49"/>
  <c i="16" r="O49"/>
  <c i="16" r="S48"/>
  <c i="16" r="Q48"/>
  <c i="16" r="O48"/>
  <c i="16" r="S44"/>
  <c i="16" r="Q44"/>
  <c i="16" r="O44"/>
  <c i="16" r="S43"/>
  <c i="16" r="Q43"/>
  <c i="16" r="O43"/>
  <c i="16" r="S42"/>
  <c i="16" r="Q42"/>
  <c i="16" r="O42"/>
  <c i="16" r="S41"/>
  <c i="16" r="Q41"/>
  <c i="16" r="O41"/>
  <c i="16" r="S40"/>
  <c i="16" r="Q40"/>
  <c i="16" r="O40"/>
  <c i="16" r="S39"/>
  <c i="16" r="Q39"/>
  <c i="16" r="O39"/>
  <c i="16" r="R49"/>
  <c i="16" r="P49"/>
  <c i="16" r="N49"/>
  <c i="16" r="R48"/>
  <c i="16" r="P48"/>
  <c i="16" r="N48"/>
  <c i="16" r="R44"/>
  <c i="16" r="P44"/>
  <c i="16" r="N44"/>
  <c i="16" r="R43"/>
  <c i="16" r="P43"/>
  <c i="16" r="N43"/>
  <c i="16" r="R42"/>
  <c i="16" r="P42"/>
  <c i="16" r="N42"/>
  <c i="16" r="R41"/>
  <c i="16" r="P41"/>
  <c i="16" r="N41"/>
  <c i="16" r="R40"/>
  <c i="16" r="P40"/>
  <c i="16" r="N40"/>
  <c i="16" r="R39"/>
  <c i="16" r="P39"/>
  <c i="16" r="N39"/>
  <c i="16" r="S50"/>
  <c i="16" r="O50"/>
  <c i="16" r="T50"/>
  <c i="15" r="O49"/>
  <c i="15" r="O48"/>
  <c i="15" r="O44"/>
  <c i="15" r="O43"/>
  <c i="15" r="O42"/>
  <c i="15" r="O41"/>
  <c i="15" r="O40"/>
  <c i="15" r="O39"/>
  <c i="15" r="P49"/>
  <c i="15" r="N49"/>
  <c i="15" r="P48"/>
  <c i="15" r="N48"/>
  <c i="15" r="P44"/>
  <c i="15" r="N44"/>
  <c i="15" r="P43"/>
  <c i="15" r="N43"/>
  <c i="15" r="P42"/>
  <c i="15" r="N42"/>
  <c i="15" r="P41"/>
  <c i="15" r="N41"/>
  <c i="15" r="P40"/>
  <c i="15" r="N40"/>
  <c i="15" r="P39"/>
  <c i="15" r="N39"/>
  <c i="15" r="S50"/>
  <c i="15" r="O50"/>
  <c i="15" r="T50"/>
  <c i="15" r="P50"/>
  <c i="14" r="S49"/>
  <c i="14" r="S48"/>
  <c i="14" r="S44"/>
  <c i="14" r="S43"/>
  <c i="14" r="S42"/>
  <c i="14" r="S41"/>
  <c i="14" r="S40"/>
  <c i="14" r="S39"/>
  <c i="14" r="R49"/>
  <c i="14" r="R48"/>
  <c i="14" r="R44"/>
  <c i="14" r="R43"/>
  <c i="14" r="R42"/>
  <c i="14" r="R41"/>
  <c i="14" r="R40"/>
  <c i="14" r="R39"/>
  <c i="14" r="R50"/>
  <c i="14" r="N50"/>
  <c i="14" r="M50"/>
  <c i="13" r="T50"/>
  <c i="13" r="P50"/>
  <c i="13" r="S50"/>
  <c i="12" r="S49"/>
  <c i="12" r="O49"/>
  <c i="12" r="S48"/>
  <c i="12" r="O48"/>
  <c i="12" r="S44"/>
  <c i="12" r="O44"/>
  <c i="12" r="S43"/>
  <c i="12" r="O43"/>
  <c i="12" r="S42"/>
  <c i="12" r="O42"/>
  <c i="12" r="S41"/>
  <c i="12" r="O41"/>
  <c i="12" r="S40"/>
  <c i="12" r="O40"/>
  <c i="12" r="S39"/>
  <c i="12" r="O39"/>
  <c i="12" r="R49"/>
  <c i="12" r="R48"/>
  <c i="12" r="R44"/>
  <c i="12" r="R43"/>
  <c i="12" r="R42"/>
  <c i="12" r="R41"/>
  <c i="12" r="R40"/>
  <c i="12" r="R39"/>
  <c i="12" r="S50"/>
  <c i="12" r="O50"/>
  <c i="12" r="T50"/>
  <c i="12" r="P50"/>
  <c i="11" r="Q49"/>
  <c i="11" r="M49"/>
  <c i="11" r="Q48"/>
  <c i="11" r="M48"/>
  <c i="11" r="Q44"/>
  <c i="11" r="M44"/>
  <c i="11" r="Q43"/>
  <c i="11" r="M43"/>
  <c i="11" r="Q42"/>
  <c i="11" r="M42"/>
  <c i="11" r="Q41"/>
  <c i="11" r="M41"/>
  <c i="11" r="Q40"/>
  <c i="11" r="M40"/>
  <c i="11" r="Q39"/>
  <c i="11" r="M39"/>
  <c i="11" r="S50"/>
  <c i="11" r="O50"/>
  <c i="11" r="R50"/>
  <c i="7" r="M39"/>
  <c i="18" l="1" r="P48"/>
  <c i="18" r="AA48" s="1"/>
  <c i="18" r="P41"/>
  <c i="18" r="AA41" s="1"/>
  <c i="11" r="U45"/>
  <c i="18" r="T46"/>
  <c i="18" r="AE46" s="1"/>
  <c i="18" r="R45"/>
  <c i="18" r="AC45" s="1"/>
  <c i="18" r="P40"/>
  <c i="18" r="AA40" s="1"/>
  <c i="18" r="P43"/>
  <c i="18" r="AA43" s="1"/>
  <c i="18" r="P39"/>
  <c i="18" r="AA39" s="1"/>
  <c i="18" r="P44"/>
  <c i="18" r="AA44" s="1"/>
  <c i="18" r="R47"/>
  <c i="18" r="AC47" s="1"/>
  <c i="18" r="M45"/>
  <c i="18" r="X45" s="1"/>
  <c i="15" r="U41"/>
  <c i="18" r="T47"/>
  <c i="18" r="AE47" s="1"/>
  <c i="18" r="T45"/>
  <c i="18" r="AE45" s="1"/>
  <c i="18" r="Q45"/>
  <c i="18" r="AB45" s="1"/>
  <c i="18" r="Q46"/>
  <c i="18" r="AB46" s="1"/>
  <c i="18" r="P46"/>
  <c i="18" r="AA46" s="1"/>
  <c i="18" r="P42"/>
  <c i="18" r="AA42" s="1"/>
  <c i="18" r="M46"/>
  <c i="18" r="X46" s="1"/>
  <c i="18" r="R46"/>
  <c i="18" r="AC46" s="1"/>
  <c i="18" r="P45"/>
  <c i="18" r="AA45" s="1"/>
  <c i="18" r="N46"/>
  <c i="18" r="Y46" s="1"/>
  <c i="17" r="U48"/>
  <c i="18" r="P49"/>
  <c i="18" r="AA49" s="1"/>
  <c i="18" r="O45"/>
  <c i="18" r="Z45" s="1"/>
  <c i="18" r="M47"/>
  <c i="18" r="X47" s="1"/>
  <c i="18" r="N45"/>
  <c i="18" r="Y45" s="1"/>
  <c i="16" r="U49"/>
  <c i="16" r="U45"/>
  <c i="18" r="N47"/>
  <c i="18" r="Y47" s="1"/>
  <c i="18" r="Q47"/>
  <c i="18" r="AB47" s="1"/>
  <c i="12" r="U42"/>
  <c i="12" r="U39"/>
  <c i="15" r="U47"/>
  <c i="18" r="S47"/>
  <c i="18" r="AD47" s="1"/>
  <c i="18" r="S45"/>
  <c i="18" r="AD45" s="1"/>
  <c i="18" r="S46"/>
  <c i="18" r="AD46" s="1"/>
  <c i="7" r="U44"/>
  <c i="7" r="U45"/>
  <c i="13" r="U46"/>
  <c i="15" r="U46"/>
  <c i="17" r="U47"/>
  <c i="11" r="U46"/>
  <c i="15" r="U45"/>
  <c i="15" r="U42"/>
  <c i="18" r="O47"/>
  <c i="18" r="Z47" s="1"/>
  <c i="12" r="U46"/>
  <c i="18" r="U33"/>
  <c i="18" r="U30"/>
  <c i="18" r="U28"/>
  <c i="18" r="J33"/>
  <c i="18" r="J29"/>
  <c i="18" r="J28"/>
  <c i="18" r="J30"/>
  <c i="11" r="U40"/>
  <c i="17" r="U39"/>
  <c i="16" r="U39"/>
  <c i="13" r="U49"/>
  <c i="13" r="U45"/>
  <c i="18" r="O46"/>
  <c i="18" r="Z46" s="1"/>
  <c i="16" r="U47"/>
  <c i="18" r="U29"/>
  <c i="11" r="U43"/>
  <c i="13" r="U44"/>
  <c i="12" r="U45"/>
  <c i="14" r="U45"/>
  <c i="17" r="U46"/>
  <c i="14" r="U42"/>
  <c i="7" r="U50"/>
  <c i="17" r="U50"/>
  <c i="11" r="U50"/>
  <c i="16" r="U40"/>
  <c i="16" r="U44"/>
  <c i="14" r="U43"/>
  <c i="17" r="U49"/>
  <c i="15" r="U40"/>
  <c i="12" r="U44"/>
  <c i="14" r="U41"/>
  <c i="11" r="U49"/>
  <c i="13" r="U40"/>
  <c i="16" r="U41"/>
  <c i="13" r="U41"/>
  <c i="16" r="U42"/>
  <c i="17" r="U42"/>
  <c i="7" r="U40"/>
  <c i="15" r="U39"/>
  <c i="7" r="U48"/>
  <c i="16" r="U48"/>
  <c i="17" r="U41"/>
  <c i="18" r="U24"/>
  <c i="18" r="J26"/>
  <c i="18" r="U22"/>
  <c i="18" r="U27"/>
  <c i="18" r="J24"/>
  <c i="18" r="J27"/>
  <c i="18" r="J22"/>
  <c i="18" r="U23"/>
  <c i="18" r="U32"/>
  <c i="18" r="J31"/>
  <c i="18" r="U31"/>
  <c i="18" r="U25"/>
  <c i="18" r="J23"/>
  <c i="18" r="J25"/>
  <c i="18" r="J32"/>
  <c i="18" r="U26"/>
  <c i="7" r="U49"/>
  <c i="7" r="U43"/>
  <c i="7" r="T39"/>
  <c i="7" r="U42"/>
  <c i="7" r="Q43"/>
  <c i="7" r="M50"/>
  <c i="7" r="S40"/>
  <c i="7" r="Q50"/>
  <c i="7" r="T43"/>
  <c i="7" r="P50"/>
  <c i="7" r="M44"/>
  <c i="7" r="S48"/>
  <c i="7" r="R48"/>
  <c i="7" r="N43"/>
  <c i="7" r="S39"/>
  <c i="7" r="R39"/>
  <c i="7" r="Q39"/>
  <c i="7" r="R42"/>
  <c i="7" r="Q42"/>
  <c i="7" r="U39"/>
  <c i="7" r="R49"/>
  <c i="7" r="Q49"/>
  <c i="7" r="R44"/>
  <c i="7" r="T48"/>
  <c i="7" r="R41"/>
  <c i="7" r="Q41"/>
  <c i="7" r="R40"/>
  <c i="7" r="Q40"/>
  <c i="7" r="T41"/>
  <c i="7" r="S41"/>
  <c i="7" r="T49"/>
  <c i="7" r="T44"/>
  <c i="7" r="S44"/>
  <c i="7" r="U41"/>
  <c i="17" r="Q50"/>
  <c i="17" r="S39"/>
  <c i="17" r="S40"/>
  <c i="17" r="S41"/>
  <c i="17" r="S42"/>
  <c i="17" r="S43"/>
  <c i="17" r="S44"/>
  <c i="17" r="S48"/>
  <c i="17" r="S49"/>
  <c i="17" r="U44"/>
  <c i="17" r="R50"/>
  <c i="17" r="R39"/>
  <c i="17" r="R40"/>
  <c i="17" r="R41"/>
  <c i="17" r="R42"/>
  <c i="17" r="R43"/>
  <c i="17" r="R44"/>
  <c i="17" r="R48"/>
  <c i="17" r="R49"/>
  <c i="17" r="Q39"/>
  <c i="17" r="Q40"/>
  <c i="17" r="Q41"/>
  <c i="17" r="Q42"/>
  <c i="17" r="Q43"/>
  <c i="17" r="Q44"/>
  <c i="17" r="Q48"/>
  <c i="17" r="Q49"/>
  <c i="16" r="P50"/>
  <c i="16" r="M39"/>
  <c i="16" r="M40"/>
  <c i="16" r="M41"/>
  <c i="16" r="M42"/>
  <c i="16" r="M43"/>
  <c i="16" r="M44"/>
  <c i="16" r="M48"/>
  <c i="16" r="M49"/>
  <c i="16" r="U50"/>
  <c i="16" r="T39"/>
  <c i="16" r="T40"/>
  <c i="16" r="T41"/>
  <c i="16" r="T42"/>
  <c i="16" r="T43"/>
  <c i="16" r="T44"/>
  <c i="16" r="T48"/>
  <c i="16" r="T49"/>
  <c i="15" r="U48"/>
  <c i="15" r="S39"/>
  <c i="15" r="S40"/>
  <c i="15" r="S41"/>
  <c i="15" r="S42"/>
  <c i="15" r="S43"/>
  <c i="15" r="S44"/>
  <c i="15" r="S48"/>
  <c i="15" r="S49"/>
  <c i="15" r="U44"/>
  <c i="15" r="R39"/>
  <c i="15" r="R40"/>
  <c i="15" r="R41"/>
  <c i="15" r="R42"/>
  <c i="15" r="R43"/>
  <c i="15" r="R44"/>
  <c i="15" r="R48"/>
  <c i="15" r="R49"/>
  <c i="15" r="Q39"/>
  <c i="15" r="Q40"/>
  <c i="15" r="Q41"/>
  <c i="15" r="Q42"/>
  <c i="15" r="Q43"/>
  <c i="15" r="Q44"/>
  <c i="15" r="Q48"/>
  <c i="15" r="Q49"/>
  <c i="15" r="M39"/>
  <c i="15" r="M40"/>
  <c i="15" r="M41"/>
  <c i="15" r="M42"/>
  <c i="15" r="M43"/>
  <c i="15" r="M44"/>
  <c i="15" r="M48"/>
  <c i="15" r="M49"/>
  <c i="15" r="U50"/>
  <c i="15" r="U49"/>
  <c i="15" r="T39"/>
  <c i="15" r="T40"/>
  <c i="15" r="T41"/>
  <c i="15" r="T42"/>
  <c i="15" r="T43"/>
  <c i="15" r="T44"/>
  <c i="15" r="T48"/>
  <c i="15" r="T49"/>
  <c i="14" r="U39"/>
  <c i="14" r="M39"/>
  <c i="14" r="M40"/>
  <c i="14" r="M41"/>
  <c i="14" r="M42"/>
  <c i="14" r="M43"/>
  <c i="14" r="M44"/>
  <c i="14" r="M48"/>
  <c i="14" r="M49"/>
  <c i="14" r="U50"/>
  <c i="14" r="Q39"/>
  <c i="14" r="Q40"/>
  <c i="14" r="Q41"/>
  <c i="14" r="Q42"/>
  <c i="14" r="Q43"/>
  <c i="14" r="Q44"/>
  <c i="14" r="Q48"/>
  <c i="14" r="Q49"/>
  <c i="14" r="U48"/>
  <c i="14" r="N39"/>
  <c i="14" r="N40"/>
  <c i="14" r="N41"/>
  <c i="14" r="N42"/>
  <c i="14" r="N43"/>
  <c i="14" r="N44"/>
  <c i="14" r="N48"/>
  <c i="14" r="N49"/>
  <c i="14" r="U44"/>
  <c i="14" r="O39"/>
  <c i="14" r="O40"/>
  <c i="14" r="O41"/>
  <c i="14" r="O42"/>
  <c i="14" r="O43"/>
  <c i="14" r="O44"/>
  <c i="14" r="O48"/>
  <c i="14" r="O49"/>
  <c i="14" r="U49"/>
  <c i="13" r="U39"/>
  <c i="13" r="U48"/>
  <c i="13" r="O39"/>
  <c i="13" r="O40"/>
  <c i="13" r="O41"/>
  <c i="13" r="O42"/>
  <c i="13" r="O43"/>
  <c i="13" r="O44"/>
  <c i="13" r="O48"/>
  <c i="13" r="O49"/>
  <c i="13" r="S39"/>
  <c i="13" r="S40"/>
  <c i="13" r="S41"/>
  <c i="13" r="S42"/>
  <c i="13" r="S43"/>
  <c i="13" r="S44"/>
  <c i="13" r="S48"/>
  <c i="13" r="S49"/>
  <c i="13" r="O50"/>
  <c i="13" r="U42"/>
  <c i="12" r="U49"/>
  <c i="12" r="U41"/>
  <c i="12" r="N39"/>
  <c i="12" r="N40"/>
  <c i="12" r="N41"/>
  <c i="12" r="N42"/>
  <c i="12" r="N43"/>
  <c i="12" r="N44"/>
  <c i="12" r="N48"/>
  <c i="12" r="N49"/>
  <c i="12" r="U48"/>
  <c i="12" r="Q39"/>
  <c i="12" r="Q40"/>
  <c i="12" r="Q41"/>
  <c i="12" r="Q42"/>
  <c i="12" r="Q43"/>
  <c i="12" r="Q44"/>
  <c i="12" r="Q48"/>
  <c i="12" r="Q49"/>
  <c i="12" r="U40"/>
  <c i="12" r="P39"/>
  <c i="12" r="P40"/>
  <c i="12" r="P41"/>
  <c i="12" r="P42"/>
  <c i="12" r="P43"/>
  <c i="12" r="P44"/>
  <c i="12" r="P48"/>
  <c i="12" r="P49"/>
  <c i="12" r="M39"/>
  <c i="12" r="M40"/>
  <c i="12" r="M41"/>
  <c i="12" r="M42"/>
  <c i="12" r="M43"/>
  <c i="12" r="M44"/>
  <c i="12" r="M48"/>
  <c i="12" r="M49"/>
  <c i="12" r="U50"/>
  <c i="12" r="T39"/>
  <c i="12" r="T40"/>
  <c i="12" r="T41"/>
  <c i="12" r="T42"/>
  <c i="12" r="T43"/>
  <c i="12" r="T44"/>
  <c i="12" r="T48"/>
  <c i="12" r="T49"/>
  <c i="11" r="U41"/>
  <c i="18" r="S39"/>
  <c i="18" r="AD39" s="1"/>
  <c i="11" r="O39"/>
  <c i="11" r="O40"/>
  <c i="11" r="O41"/>
  <c i="11" r="O42"/>
  <c i="11" r="O43"/>
  <c i="11" r="O44"/>
  <c i="11" r="O48"/>
  <c i="11" r="O49"/>
  <c i="11" r="N39"/>
  <c i="11" r="N40"/>
  <c i="11" r="N41"/>
  <c i="11" r="N42"/>
  <c i="11" r="N43"/>
  <c i="11" r="N44"/>
  <c i="11" r="N48"/>
  <c i="11" r="N49"/>
  <c i="18" r="O50"/>
  <c i="18" r="Z50" s="1"/>
  <c i="11" r="R39"/>
  <c i="11" r="R40"/>
  <c i="11" r="R41"/>
  <c i="11" r="R42"/>
  <c i="11" r="R43"/>
  <c i="11" r="R44"/>
  <c i="11" r="R48"/>
  <c i="11" r="R49"/>
  <c i="11" r="N50"/>
  <c i="11" r="U44"/>
  <c i="11" r="U48"/>
  <c i="11" r="S39"/>
  <c i="11" r="S40"/>
  <c i="11" r="S41"/>
  <c i="11" r="S42"/>
  <c i="11" r="S43"/>
  <c i="11" r="S44"/>
  <c i="11" r="S48"/>
  <c i="11" r="S49"/>
  <c i="11" r="P50"/>
  <c i="11" r="M50"/>
  <c i="17" r="U40"/>
  <c i="17" r="T50"/>
  <c i="17" r="P50"/>
  <c i="16" r="U43"/>
  <c i="16" r="N50"/>
  <c i="16" r="Q50"/>
  <c i="16" r="R50"/>
  <c i="16" r="M50"/>
  <c i="15" r="U43"/>
  <c i="15" r="N50"/>
  <c i="15" r="Q50"/>
  <c i="15" r="R50"/>
  <c i="15" r="M50"/>
  <c i="14" r="P50"/>
  <c i="14" r="Q50"/>
  <c i="14" r="P39"/>
  <c i="14" r="T39"/>
  <c i="14" r="P40"/>
  <c i="14" r="T40"/>
  <c i="14" r="P41"/>
  <c i="14" r="T41"/>
  <c i="14" r="P42"/>
  <c i="14" r="T42"/>
  <c i="14" r="P43"/>
  <c i="14" r="T43"/>
  <c i="14" r="P44"/>
  <c i="14" r="T44"/>
  <c i="14" r="P48"/>
  <c i="14" r="T48"/>
  <c i="14" r="P49"/>
  <c i="14" r="T49"/>
  <c i="14" r="U40"/>
  <c i="14" r="T50"/>
  <c i="14" r="O50"/>
  <c i="13" r="M50"/>
  <c i="13" r="R50"/>
  <c i="13" r="P39"/>
  <c i="13" r="T39"/>
  <c i="13" r="P40"/>
  <c i="13" r="T40"/>
  <c i="13" r="P41"/>
  <c i="13" r="T41"/>
  <c i="13" r="P42"/>
  <c i="13" r="T42"/>
  <c i="13" r="P43"/>
  <c i="13" r="T43"/>
  <c i="13" r="P44"/>
  <c i="13" r="T44"/>
  <c i="13" r="P48"/>
  <c i="13" r="T48"/>
  <c i="13" r="P49"/>
  <c i="13" r="T49"/>
  <c i="13" r="Q50"/>
  <c i="13" r="U43"/>
  <c i="13" r="N50"/>
  <c i="13" r="N39"/>
  <c i="13" r="R39"/>
  <c i="13" r="N40"/>
  <c i="13" r="R40"/>
  <c i="13" r="N41"/>
  <c i="13" r="R41"/>
  <c i="13" r="N42"/>
  <c i="13" r="R42"/>
  <c i="13" r="N43"/>
  <c i="13" r="R43"/>
  <c i="13" r="N44"/>
  <c i="13" r="R44"/>
  <c i="13" r="N48"/>
  <c i="13" r="R48"/>
  <c i="13" r="N49"/>
  <c i="13" r="R49"/>
  <c i="13" r="M39"/>
  <c i="13" r="Q39"/>
  <c i="13" r="M40"/>
  <c i="13" r="Q40"/>
  <c i="13" r="M41"/>
  <c i="13" r="Q41"/>
  <c i="13" r="M42"/>
  <c i="13" r="Q42"/>
  <c i="13" r="M43"/>
  <c i="13" r="Q43"/>
  <c i="13" r="M44"/>
  <c i="13" r="Q44"/>
  <c i="13" r="M48"/>
  <c i="13" r="Q48"/>
  <c i="13" r="M49"/>
  <c i="13" r="Q49"/>
  <c i="13" r="U50"/>
  <c i="12" r="U43"/>
  <c i="12" r="N50"/>
  <c i="12" r="Q50"/>
  <c i="12" r="R50"/>
  <c i="12" r="M50"/>
  <c i="11" r="P39"/>
  <c i="11" r="T39"/>
  <c i="11" r="P40"/>
  <c i="11" r="T40"/>
  <c i="11" r="P41"/>
  <c i="11" r="T41"/>
  <c i="11" r="P42"/>
  <c i="11" r="T42"/>
  <c i="11" r="P43"/>
  <c i="11" r="T43"/>
  <c i="11" r="P44"/>
  <c i="11" r="T44"/>
  <c i="11" r="P48"/>
  <c i="11" r="T48"/>
  <c i="11" r="P49"/>
  <c i="11" r="T49"/>
  <c i="11" r="U42"/>
  <c i="11" r="T50"/>
  <c i="11" r="Q50"/>
  <c i="18" l="1" r="U43"/>
  <c i="18" r="AF43" s="1"/>
  <c i="18" r="U46"/>
  <c i="18" r="AF46" s="1"/>
  <c i="18" r="U50"/>
  <c i="18" r="AF50" s="1"/>
  <c i="18" r="U47"/>
  <c i="18" r="AF47" s="1"/>
  <c i="18" r="U45"/>
  <c i="18" r="AF45" s="1"/>
  <c i="18" r="M50"/>
  <c i="18" r="X50" s="1"/>
  <c i="18" r="T42"/>
  <c i="18" r="AE42" s="1"/>
  <c i="18" r="N41"/>
  <c i="18" r="Y41" s="1"/>
  <c i="18" r="T50"/>
  <c i="18" r="AE50" s="1"/>
  <c i="18" r="U40"/>
  <c i="18" r="AF40" s="1"/>
  <c i="18" r="U41"/>
  <c i="18" r="AF41" s="1"/>
  <c i="18" r="T43"/>
  <c i="18" r="AE43" s="1"/>
  <c i="18" r="M40"/>
  <c i="18" r="X40" s="1"/>
  <c i="18" r="T41"/>
  <c i="18" r="AE41" s="1"/>
  <c i="18" r="M39"/>
  <c i="18" r="X39" s="1"/>
  <c i="18" r="U39"/>
  <c i="18" r="AF39" s="1"/>
  <c i="18" r="T48"/>
  <c i="18" r="AE48" s="1"/>
  <c i="18" r="O40"/>
  <c i="18" r="Z40" s="1"/>
  <c i="18" r="T39"/>
  <c i="18" r="AE39" s="1"/>
  <c i="18" r="M48"/>
  <c i="18" r="X48" s="1"/>
  <c i="18" r="U42"/>
  <c i="18" r="AF42" s="1"/>
  <c i="18" r="Q48"/>
  <c i="18" r="AB48" s="1"/>
  <c i="18" r="Q49"/>
  <c i="18" r="AB49" s="1"/>
  <c i="18" r="S49"/>
  <c i="18" r="AD49" s="1"/>
  <c i="18" r="U49"/>
  <c i="18" r="AF49" s="1"/>
  <c i="18" r="T44"/>
  <c i="18" r="AE44" s="1"/>
  <c i="18" r="T49"/>
  <c i="18" r="AE49" s="1"/>
  <c i="18" r="N42"/>
  <c i="18" r="Y42" s="1"/>
  <c i="18" r="N43"/>
  <c i="18" r="Y43" s="1"/>
  <c i="18" r="Q39"/>
  <c i="18" r="AB39" s="1"/>
  <c i="18" r="M41"/>
  <c i="18" r="X41" s="1"/>
  <c i="18" r="T40"/>
  <c i="18" r="AE40" s="1"/>
  <c i="18" r="U48"/>
  <c i="18" r="AF48" s="1"/>
  <c i="18" r="U44"/>
  <c i="18" r="AF44" s="1"/>
  <c i="18" r="M43"/>
  <c i="18" r="X43" s="1"/>
  <c i="18" r="Q42"/>
  <c i="18" r="AB42" s="1"/>
  <c i="18" r="S40"/>
  <c i="18" r="AD40" s="1"/>
  <c i="18" r="N49"/>
  <c i="18" r="Y49" s="1"/>
  <c i="18" r="N40"/>
  <c i="18" r="Y40" s="1"/>
  <c i="18" r="R48"/>
  <c i="18" r="AC48" s="1"/>
  <c i="18" r="R39"/>
  <c i="18" r="AC39" s="1"/>
  <c i="18" r="S43"/>
  <c i="18" r="AD43" s="1"/>
  <c i="18" r="N50"/>
  <c i="18" r="Y50" s="1"/>
  <c i="18" r="O48"/>
  <c i="18" r="Z48" s="1"/>
  <c i="18" r="S50"/>
  <c i="18" r="AD50" s="1"/>
  <c i="18" r="R40"/>
  <c i="18" r="AC40" s="1"/>
  <c i="18" r="S44"/>
  <c i="18" r="AD44" s="1"/>
  <c i="18" r="R50"/>
  <c i="18" r="AC50" s="1"/>
  <c i="18" r="O39"/>
  <c i="18" r="Z39" s="1"/>
  <c i="18" r="Q43"/>
  <c i="18" r="AB43" s="1"/>
  <c i="18" r="N44"/>
  <c i="18" r="Y44" s="1"/>
  <c i="18" r="R41"/>
  <c i="18" r="AC41" s="1"/>
  <c i="18" r="S42"/>
  <c i="18" r="AD42" s="1"/>
  <c i="18" r="M44"/>
  <c i="18" r="X44" s="1"/>
  <c i="18" r="N48"/>
  <c i="18" r="Y48" s="1"/>
  <c i="18" r="N39"/>
  <c i="18" r="Y39" s="1"/>
  <c i="18" r="Q40"/>
  <c i="18" r="AB40" s="1"/>
  <c i="18" r="M49"/>
  <c i="18" r="X49" s="1"/>
  <c i="18" r="S41"/>
  <c i="18" r="AD41" s="1"/>
  <c i="18" r="R49"/>
  <c i="18" r="AC49" s="1"/>
  <c i="18" r="R42"/>
  <c i="18" r="AC42" s="1"/>
  <c i="18" r="O49"/>
  <c i="18" r="Z49" s="1"/>
  <c i="18" r="O42"/>
  <c i="18" r="Z42" s="1"/>
  <c i="18" r="R43"/>
  <c i="18" r="AC43" s="1"/>
  <c i="18" r="S48"/>
  <c i="18" r="AD48" s="1"/>
  <c i="18" r="O43"/>
  <c i="18" r="Z43" s="1"/>
  <c i="18" r="Q44"/>
  <c i="18" r="AB44" s="1"/>
  <c i="18" r="Q41"/>
  <c i="18" r="AB41" s="1"/>
  <c i="18" r="Q50"/>
  <c i="18" r="AB50" s="1"/>
  <c i="18" r="R44"/>
  <c i="18" r="AC44" s="1"/>
  <c i="18" r="M42"/>
  <c i="18" r="X42" s="1"/>
  <c i="18" r="O44"/>
  <c i="18" r="Z44" s="1"/>
  <c i="18" r="O41"/>
  <c i="18" r="Z41" s="1"/>
</calcChain>
</file>

<file path=xl/sharedStrings.xml><?xml version="1.0" encoding="utf-8"?>
<sst xmlns="http://schemas.openxmlformats.org/spreadsheetml/2006/main" count="1105" uniqueCount="60">
  <si>
    <t>Mode</t>
  </si>
  <si>
    <t>Drive Alone</t>
  </si>
  <si>
    <t>Shared Ride 2</t>
  </si>
  <si>
    <t>Shared Ride 3+</t>
  </si>
  <si>
    <t>Bike</t>
  </si>
  <si>
    <t>Walk</t>
  </si>
  <si>
    <t>Work Tour Mode</t>
  </si>
  <si>
    <t>Total</t>
  </si>
  <si>
    <t>Table X. Estimated-Observed Workbased Tour Mode Share Difference</t>
  </si>
  <si>
    <t>Shared Ride 2 - Driver</t>
  </si>
  <si>
    <t>Shared Ride 3+ - Driver</t>
  </si>
  <si>
    <t>DA</t>
  </si>
  <si>
    <t>SR2</t>
  </si>
  <si>
    <t>SR3+</t>
  </si>
  <si>
    <t>D-Trans</t>
  </si>
  <si>
    <t>W-Trans</t>
  </si>
  <si>
    <t>Sch Bus</t>
  </si>
  <si>
    <t>Table X. Estimated-Observed Work Tour Mode Share Difference</t>
  </si>
  <si>
    <t>Table X. Estimated-Observed School Tour Mode Share Difference</t>
  </si>
  <si>
    <t>Table X. Estimated-Observed Escort Tour Mode Share Difference</t>
  </si>
  <si>
    <t>Table X. Estimated-Observed Personal Business Tour Mode Share Difference</t>
  </si>
  <si>
    <t>Table X. Estimated-Observed Shop Tour Mode Share Difference</t>
  </si>
  <si>
    <t>Table X. Estimated-Observed Meal Tour Mode Share Difference</t>
  </si>
  <si>
    <t>Table X. Estimated-Observed Social/Recreational Tour Mode Share Difference</t>
  </si>
  <si>
    <t>School Bus</t>
  </si>
  <si>
    <t>Table X. Estimated Work Tour Mode Shares: DaySim</t>
  </si>
  <si>
    <t>Table X. Estimated Work Tour Modes: DaySim</t>
  </si>
  <si>
    <t>Table X. Estimated Workbased Tour Mode Shares: DaySim</t>
  </si>
  <si>
    <t>Table X. Estimated Workbased Tour Modes: DaySim</t>
  </si>
  <si>
    <t>Table X. Estimated School Tour Modes: DaySim</t>
  </si>
  <si>
    <t>Table X. Estimated School Tour Mode Shares: DaySim</t>
  </si>
  <si>
    <t>Table X. Estimated Escort Tour Modes: DaySim</t>
  </si>
  <si>
    <t>Table X. Estimated Escort Tour Mode Shares: DaySim</t>
  </si>
  <si>
    <t>Table X. Estimated Personal Business Tour Modes: DaySim</t>
  </si>
  <si>
    <t>Table X. Estimated Personal Business Tour Mode Shares: DaySim</t>
  </si>
  <si>
    <t>Table X. Estimated Shop Tour Modes: DaySim</t>
  </si>
  <si>
    <t>Table X. Estimated Shop Tour Mode Shares: DaySim</t>
  </si>
  <si>
    <t>Table X. Estimated Meal Tour Mode Shares: DaySim</t>
  </si>
  <si>
    <t>Table X. Estimated Meal Tour Modes: DaySim</t>
  </si>
  <si>
    <t>Table X. Estimated Social/Recreational Tour Modes: DaySim</t>
  </si>
  <si>
    <t>Table X. Estimated Social/Recreational Tour Mode Shares: DaySim</t>
  </si>
  <si>
    <t>Workbased Tour Mode</t>
  </si>
  <si>
    <t>School Tour Mode</t>
  </si>
  <si>
    <t>Escort Tour Mode</t>
  </si>
  <si>
    <t>Personal Business Tour Mode</t>
  </si>
  <si>
    <t>Meal Tour Mode</t>
  </si>
  <si>
    <t>SocRec Tour Mode</t>
  </si>
  <si>
    <t>All Purposes Tour Mode</t>
  </si>
  <si>
    <t>TRIP MODE CHOICE ALL PURPOSES: EST-OBS</t>
  </si>
  <si>
    <t>For work-based tours, it is based on Work tour mode</t>
  </si>
  <si>
    <t>This set of summaries is just a crosstabulations from the trip file based on tour mode</t>
  </si>
  <si>
    <t>Transit - localbus</t>
  </si>
  <si>
    <t>Transit - lightrail</t>
  </si>
  <si>
    <t>Transit - premium bus</t>
  </si>
  <si>
    <t>Transit - commuter rail</t>
  </si>
  <si>
    <t>Transit - ferry</t>
  </si>
  <si>
    <t>SR3</t>
  </si>
  <si>
    <t>Shop Tour Mode</t>
  </si>
  <si>
    <t>Table X. Observed Work Tour Modes: Survey</t>
  </si>
  <si>
    <t>Table X. Observed Work Tour Mode Shares: 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</si>
</sst>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mm/dd/yyyy\ hh:mm:ss"/>
  </numFmts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5" fontId="5" numFmtId="0">
      <alignment wrapText="1"/>
    </xf>
    <xf borderId="0" fillId="0" fontId="5" numFmtId="165">
      <alignment wrapText="1"/>
    </xf>
    <xf borderId="0" fillId="0" fontId="5" numFmtId="0">
      <alignment wrapText="1"/>
    </xf>
    <xf borderId="0" fillId="0" fontId="5" numFmtId="0">
      <alignment wrapText="1"/>
    </xf>
    <xf borderId="0" fillId="0" fontId="5" numFmtId="0">
      <alignment wrapText="1"/>
    </xf>
    <xf borderId="0" fillId="0" fontId="5" numFmtId="165">
      <alignment wrapText="1"/>
    </xf>
  </cellStyleXfs>
  <cellXfs count="33">
    <xf borderId="0" fillId="0" fontId="0" numFmtId="0" xfId="0"/>
    <xf applyBorder="1" applyFont="1" borderId="1" fillId="0" fontId="1" numFmtId="0" xfId="0"/>
    <xf applyBorder="1" borderId="1" fillId="0" fontId="0" numFmtId="0" xfId="0"/>
    <xf applyBorder="1" applyFont="1" borderId="0" fillId="0" fontId="1" numFmtId="0" xfId="0"/>
    <xf applyBorder="1" borderId="2" fillId="0" fontId="0" numFmtId="0" xfId="0"/>
    <xf applyAlignment="1" applyBorder="1" borderId="2" fillId="0" fontId="0" numFmtId="0" xfId="0">
      <alignment horizontal="center"/>
    </xf>
    <xf applyNumberFormat="1" borderId="0" fillId="0" fontId="0" numFmtId="3" xfId="0"/>
    <xf applyAlignment="1" applyBorder="1" borderId="0" fillId="0" fontId="0" numFmtId="0" xfId="0">
      <alignment horizontal="center"/>
    </xf>
    <xf applyBorder="1" applyNumberFormat="1" borderId="0" fillId="0" fontId="0" numFmtId="3" xfId="0"/>
    <xf applyBorder="1" applyFill="1" applyNumberFormat="1" borderId="1" fillId="0" fontId="0" numFmtId="3" xfId="0"/>
    <xf applyBorder="1" applyNumberFormat="1" borderId="2" fillId="0" fontId="0" numFmtId="3" xfId="0"/>
    <xf applyAlignment="1" applyBorder="1" borderId="0" fillId="0" fontId="0" numFmtId="0" xfId="0">
      <alignment horizontal="center"/>
    </xf>
    <xf applyBorder="1" applyFill="1" borderId="3" fillId="0" fontId="0" numFmtId="0" xfId="0"/>
    <xf applyNumberFormat="1" borderId="0" fillId="0" fontId="0" numFmtId="164" xfId="0"/>
    <xf applyBorder="1" applyNumberFormat="1" borderId="2" fillId="0" fontId="0" numFmtId="164" xfId="0"/>
    <xf applyBorder="1" applyNumberFormat="1" borderId="3" fillId="0" fontId="0" numFmtId="164" xfId="0"/>
    <xf applyBorder="1" applyNumberFormat="1" borderId="3" fillId="0" fontId="0" numFmtId="3" xfId="0"/>
    <xf applyBorder="1" applyNumberFormat="1" borderId="0" fillId="0" fontId="0" numFmtId="164" xfId="0"/>
    <xf applyBorder="1" applyFill="1" applyFont="1" borderId="1" fillId="2" fontId="1" numFmtId="0" xfId="0"/>
    <xf applyBorder="1" applyFill="1" borderId="1" fillId="2" fontId="0" numFmtId="0" xfId="0"/>
    <xf applyBorder="1" applyFill="1" borderId="2" fillId="2" fontId="0" numFmtId="0" xfId="0"/>
    <xf applyFill="1" borderId="0" fillId="2" fontId="0" numFmtId="0" xfId="0"/>
    <xf applyFill="1" applyNumberFormat="1" borderId="0" fillId="2" fontId="0" numFmtId="164" xfId="0"/>
    <xf applyBorder="1" applyFill="1" applyFont="1" borderId="0" fillId="3" fontId="3" numFmtId="0" xfId="0"/>
    <xf applyAlignment="1" applyBorder="1" applyFill="1" applyFont="1" borderId="0" fillId="3" fontId="4" numFmtId="0" xfId="0">
      <alignment horizontal="center"/>
    </xf>
    <xf applyBorder="1" applyFill="1" applyFont="1" borderId="2" fillId="3" fontId="4" numFmtId="0" xfId="0"/>
    <xf applyAlignment="1" applyBorder="1" applyFill="1" applyFont="1" borderId="2" fillId="3" fontId="4" numFmtId="0" xfId="0">
      <alignment horizontal="center"/>
    </xf>
    <xf applyFill="1" borderId="0" fillId="4" fontId="0" numFmtId="0" xfId="0"/>
    <xf applyBorder="1" applyFill="1" applyNumberFormat="1" borderId="1" fillId="4" fontId="0" numFmtId="3" xfId="0"/>
    <xf applyBorder="1" applyFill="1" applyNumberFormat="1" borderId="3" fillId="4" fontId="0" numFmtId="164" xfId="0"/>
    <xf applyAlignment="1" applyBorder="1" applyFill="1" applyFont="1" borderId="0" fillId="3" fontId="4" numFmtId="0" xfId="0">
      <alignment horizontal="center"/>
    </xf>
    <xf applyAlignment="1" applyBorder="1" borderId="0" fillId="0" fontId="0" numFmtId="0" xfId="0">
      <alignment horizontal="center"/>
    </xf>
    <xf applyAlignment="1" applyBorder="1" applyFont="1" borderId="0" fillId="0" fontId="0" numFmtId="0" xfId="0">
      <alignment horizontal="center"/>
    </xf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theme/theme1.xml" Type="http://schemas.openxmlformats.org/officeDocument/2006/relationships/theme"/>
<Relationship Id="rId12" Target="styles.xml" Type="http://schemas.openxmlformats.org/officeDocument/2006/relationships/styles"/>
<Relationship Id="rId13" Target="sharedStrings.xml" Type="http://schemas.openxmlformats.org/officeDocument/2006/relationships/sharedStrings"/>
<Relationship Id="rId14" Target="calcChain.xml" Type="http://schemas.openxmlformats.org/officeDocument/2006/relationships/calcChain"/>
<Relationship Id="rId15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2:AG50"/>
  <sheetViews>
    <sheetView workbookViewId="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  <col min="24" max="24" customWidth="true" width="25.0" collapsed="true"/>
    <col min="25" max="33" customWidth="true" width="10.7109375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26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47</v>
      </c>
      <c r="C3" s="32"/>
      <c r="D3" s="32"/>
      <c r="E3" s="32"/>
      <c r="F3" s="32"/>
      <c r="G3" s="32"/>
      <c r="H3" s="32"/>
      <c r="I3" s="32"/>
      <c r="J3" s="11"/>
      <c r="L3" s="3"/>
      <c r="M3" s="31" t="s">
        <v>47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>
        <f>SUM(Work!B5,Workbased!B5,School!B5,Escort!B5,Personal_Business!B5,Shop!B5,Meal!B5,SocRec!B5)</f>
        <v>1786793.2191620001</v>
      </c>
      <c r="C5" s="6">
        <f>SUM(Work!C5,Workbased!C5,School!C5,Escort!C5,Personal_Business!C5,Shop!C5,Meal!C5,SocRec!C5)</f>
        <v>313719.96508099994</v>
      </c>
      <c r="D5" s="6">
        <f>SUM(Work!D5,Workbased!D5,School!D5,Escort!D5,Personal_Business!D5,Shop!D5,Meal!D5,SocRec!D5)</f>
        <v>125667.24389900001</v>
      </c>
      <c r="E5" s="6">
        <f>SUM(Work!E5,Workbased!E5,School!E5,Escort!E5,Personal_Business!E5,Shop!E5,Meal!E5,SocRec!E5)</f>
        <v>13714.826576000001</v>
      </c>
      <c r="F5" s="6">
        <f>SUM(Work!F5,Workbased!F5,School!F5,Escort!F5,Personal_Business!F5,Shop!F5,Meal!F5,SocRec!F5)</f>
        <v>535.12946799999997</v>
      </c>
      <c r="G5" s="6">
        <f>SUM(Work!G5,Workbased!G5,School!G5,Escort!G5,Personal_Business!G5,Shop!G5,Meal!G5,SocRec!G5)</f>
        <v>0</v>
      </c>
      <c r="H5" s="6">
        <f>SUM(Work!H5,Workbased!H5,School!H5,Escort!H5,Personal_Business!H5,Shop!H5,Meal!H5,SocRec!H5)</f>
        <v>0</v>
      </c>
      <c r="I5" s="6">
        <f>SUM(Work!I5,Workbased!I5,School!I5,Escort!I5,Personal_Business!I5,Shop!I5,Meal!I5,SocRec!I5)</f>
        <v>72.390905000000004</v>
      </c>
      <c r="J5" s="6">
        <f>SUM(B5:I5)</f>
        <v>2240502.7750909999</v>
      </c>
      <c r="K5" s="6"/>
      <c r="L5" t="s">
        <v>1</v>
      </c>
      <c r="M5" s="6">
        <f>SUM(Work!M5,Workbased!M5,School!M5,Escort!M5,Personal_Business!M5,Shop!M5,Meal!M5,SocRec!M5)</f>
        <v>1983218</v>
      </c>
      <c r="N5" s="6">
        <f>SUM(Work!N5,Workbased!N5,School!N5,Escort!N5,Personal_Business!N5,Shop!N5,Meal!N5,SocRec!N5)</f>
        <v>286789</v>
      </c>
      <c r="O5" s="6">
        <f>SUM(Work!O5,Workbased!O5,School!O5,Escort!O5,Personal_Business!O5,Shop!O5,Meal!O5,SocRec!O5)</f>
        <v>130657</v>
      </c>
      <c r="P5" s="6">
        <f>SUM(Work!P5,Workbased!P5,School!P5,Escort!P5,Personal_Business!P5,Shop!P5,Meal!P5,SocRec!P5)</f>
        <v>9019</v>
      </c>
      <c r="Q5" s="6">
        <f>SUM(Work!Q5,Workbased!Q5,School!Q5,Escort!Q5,Personal_Business!Q5,Shop!Q5,Meal!Q5,SocRec!Q5)</f>
        <v>1689</v>
      </c>
      <c r="R5" s="6">
        <f>SUM(Work!R5,Workbased!R5,School!R5,Escort!R5,Personal_Business!R5,Shop!R5,Meal!R5,SocRec!R5)</f>
        <v>0</v>
      </c>
      <c r="S5" s="6">
        <f>SUM(Work!S5,Workbased!S5,School!S5,Escort!S5,Personal_Business!S5,Shop!S5,Meal!S5,SocRec!S5)</f>
        <v>0</v>
      </c>
      <c r="T5" s="6">
        <f>SUM(Work!T5,Workbased!T5,School!T5,Escort!T5,Personal_Business!T5,Shop!T5,Meal!T5,SocRec!T5)</f>
        <v>486</v>
      </c>
      <c r="U5" s="6">
        <f ref="U5:U15" si="0" t="shared">SUM(M5:T5)</f>
        <v>2411858</v>
      </c>
    </row>
    <row r="6" spans="1:21" x14ac:dyDescent="0.25">
      <c r="A6" t="s">
        <v>12</v>
      </c>
      <c r="B6" s="6">
        <f>SUM(Work!B6,Workbased!B6,School!B6,Escort!B6,Personal_Business!B6,Shop!B6,Meal!B6,SocRec!B6)</f>
        <v>0</v>
      </c>
      <c r="C6" s="6">
        <f>SUM(Work!C6,Workbased!C6,School!C6,Escort!C6,Personal_Business!C6,Shop!C6,Meal!C6,SocRec!C6)</f>
        <v>923684.4619339999</v>
      </c>
      <c r="D6" s="6">
        <f>SUM(Work!D6,Workbased!D6,School!D6,Escort!D6,Personal_Business!D6,Shop!D6,Meal!D6,SocRec!D6)</f>
        <v>159133.19762000002</v>
      </c>
      <c r="E6" s="6">
        <f>SUM(Work!E6,Workbased!E6,School!E6,Escort!E6,Personal_Business!E6,Shop!E6,Meal!E6,SocRec!E6)</f>
        <v>3931.1896040000001</v>
      </c>
      <c r="F6" s="6">
        <f>SUM(Work!F6,Workbased!F6,School!F6,Escort!F6,Personal_Business!F6,Shop!F6,Meal!F6,SocRec!F6)</f>
        <v>2472.3518100000001</v>
      </c>
      <c r="G6" s="6">
        <f>SUM(Work!G6,Workbased!G6,School!G6,Escort!G6,Personal_Business!G6,Shop!G6,Meal!G6,SocRec!G6)</f>
        <v>0</v>
      </c>
      <c r="H6" s="6">
        <f>SUM(Work!H6,Workbased!H6,School!H6,Escort!H6,Personal_Business!H6,Shop!H6,Meal!H6,SocRec!H6)</f>
        <v>0</v>
      </c>
      <c r="I6" s="6">
        <f>SUM(Work!I6,Workbased!I6,School!I6,Escort!I6,Personal_Business!I6,Shop!I6,Meal!I6,SocRec!I6)</f>
        <v>21139.567041999999</v>
      </c>
      <c r="J6" s="6">
        <f ref="J6:J15" si="1" t="shared">SUM(B6:I6)</f>
        <v>1110360.7680099998</v>
      </c>
      <c r="K6" s="6"/>
      <c r="L6" t="s">
        <v>12</v>
      </c>
      <c r="M6" s="6">
        <f>SUM(Work!M6,Workbased!M6,School!M6,Escort!M6,Personal_Business!M6,Shop!M6,Meal!M6,SocRec!M6)</f>
        <v>0</v>
      </c>
      <c r="N6" s="6">
        <f>SUM(Work!N6,Workbased!N6,School!N6,Escort!N6,Personal_Business!N6,Shop!N6,Meal!N6,SocRec!N6)</f>
        <v>1027043</v>
      </c>
      <c r="O6" s="6">
        <f>SUM(Work!O6,Workbased!O6,School!O6,Escort!O6,Personal_Business!O6,Shop!O6,Meal!O6,SocRec!O6)</f>
        <v>177551</v>
      </c>
      <c r="P6" s="6">
        <f>SUM(Work!P6,Workbased!P6,School!P6,Escort!P6,Personal_Business!P6,Shop!P6,Meal!P6,SocRec!P6)</f>
        <v>300</v>
      </c>
      <c r="Q6" s="6">
        <f>SUM(Work!Q6,Workbased!Q6,School!Q6,Escort!Q6,Personal_Business!Q6,Shop!Q6,Meal!Q6,SocRec!Q6)</f>
        <v>5425</v>
      </c>
      <c r="R6" s="6">
        <f>SUM(Work!R6,Workbased!R6,School!R6,Escort!R6,Personal_Business!R6,Shop!R6,Meal!R6,SocRec!R6)</f>
        <v>0</v>
      </c>
      <c r="S6" s="6">
        <f>SUM(Work!S6,Workbased!S6,School!S6,Escort!S6,Personal_Business!S6,Shop!S6,Meal!S6,SocRec!S6)</f>
        <v>0</v>
      </c>
      <c r="T6" s="6">
        <f>SUM(Work!T6,Workbased!T6,School!T6,Escort!T6,Personal_Business!T6,Shop!T6,Meal!T6,SocRec!T6)</f>
        <v>10182</v>
      </c>
      <c r="U6" s="6">
        <f si="0" t="shared"/>
        <v>1220501</v>
      </c>
    </row>
    <row r="7" spans="1:21" x14ac:dyDescent="0.25">
      <c r="A7" t="s">
        <v>56</v>
      </c>
      <c r="B7" s="6">
        <f>SUM(Work!B7,Workbased!B7,School!B7,Escort!B7,Personal_Business!B7,Shop!B7,Meal!B7,SocRec!B7)</f>
        <v>0</v>
      </c>
      <c r="C7" s="6">
        <f>SUM(Work!C7,Workbased!C7,School!C7,Escort!C7,Personal_Business!C7,Shop!C7,Meal!C7,SocRec!C7)</f>
        <v>0</v>
      </c>
      <c r="D7" s="6">
        <f>SUM(Work!D7,Workbased!D7,School!D7,Escort!D7,Personal_Business!D7,Shop!D7,Meal!D7,SocRec!D7)</f>
        <v>669786.72801800002</v>
      </c>
      <c r="E7" s="6">
        <f>SUM(Work!E7,Workbased!E7,School!E7,Escort!E7,Personal_Business!E7,Shop!E7,Meal!E7,SocRec!E7)</f>
        <v>1238.8607769999999</v>
      </c>
      <c r="F7" s="6">
        <f>SUM(Work!F7,Workbased!F7,School!F7,Escort!F7,Personal_Business!F7,Shop!F7,Meal!F7,SocRec!F7)</f>
        <v>2296.7920720000002</v>
      </c>
      <c r="G7" s="6">
        <f>SUM(Work!G7,Workbased!G7,School!G7,Escort!G7,Personal_Business!G7,Shop!G7,Meal!G7,SocRec!G7)</f>
        <v>0</v>
      </c>
      <c r="H7" s="6">
        <f>SUM(Work!H7,Workbased!H7,School!H7,Escort!H7,Personal_Business!H7,Shop!H7,Meal!H7,SocRec!H7)</f>
        <v>0</v>
      </c>
      <c r="I7" s="6">
        <f>SUM(Work!I7,Workbased!I7,School!I7,Escort!I7,Personal_Business!I7,Shop!I7,Meal!I7,SocRec!I7)</f>
        <v>21413.447768999999</v>
      </c>
      <c r="J7" s="6">
        <f si="1" t="shared"/>
        <v>694735.82863599993</v>
      </c>
      <c r="K7" s="6"/>
      <c r="L7" t="s">
        <v>56</v>
      </c>
      <c r="M7" s="6">
        <f>SUM(Work!M7,Workbased!M7,School!M7,Escort!M7,Personal_Business!M7,Shop!M7,Meal!M7,SocRec!M7)</f>
        <v>0</v>
      </c>
      <c r="N7" s="6">
        <f>SUM(Work!N7,Workbased!N7,School!N7,Escort!N7,Personal_Business!N7,Shop!N7,Meal!N7,SocRec!N7)</f>
        <v>0</v>
      </c>
      <c r="O7" s="6">
        <f>SUM(Work!O7,Workbased!O7,School!O7,Escort!O7,Personal_Business!O7,Shop!O7,Meal!O7,SocRec!O7)</f>
        <v>758887</v>
      </c>
      <c r="P7" s="6">
        <f>SUM(Work!P7,Workbased!P7,School!P7,Escort!P7,Personal_Business!P7,Shop!P7,Meal!P7,SocRec!P7)</f>
        <v>0</v>
      </c>
      <c r="Q7" s="6">
        <f>SUM(Work!Q7,Workbased!Q7,School!Q7,Escort!Q7,Personal_Business!Q7,Shop!Q7,Meal!Q7,SocRec!Q7)</f>
        <v>1441</v>
      </c>
      <c r="R7" s="6">
        <f>SUM(Work!R7,Workbased!R7,School!R7,Escort!R7,Personal_Business!R7,Shop!R7,Meal!R7,SocRec!R7)</f>
        <v>0</v>
      </c>
      <c r="S7" s="6">
        <f>SUM(Work!S7,Workbased!S7,School!S7,Escort!S7,Personal_Business!S7,Shop!S7,Meal!S7,SocRec!S7)</f>
        <v>0</v>
      </c>
      <c r="T7" s="6">
        <f>SUM(Work!T7,Workbased!T7,School!T7,Escort!T7,Personal_Business!T7,Shop!T7,Meal!T7,SocRec!T7)</f>
        <v>10674</v>
      </c>
      <c r="U7" s="6">
        <f si="0" t="shared"/>
        <v>771002</v>
      </c>
    </row>
    <row r="8" spans="1:21" x14ac:dyDescent="0.25">
      <c r="A8" t="s">
        <v>51</v>
      </c>
      <c r="B8" s="6">
        <f>SUM(Work!B8,Workbased!B8,School!B8,Escort!B8,Personal_Business!B8,Shop!B8,Meal!B8,SocRec!B8)</f>
        <v>0</v>
      </c>
      <c r="C8" s="6">
        <f>SUM(Work!C8,Workbased!C8,School!C8,Escort!C8,Personal_Business!C8,Shop!C8,Meal!C8,SocRec!C8)</f>
        <v>0</v>
      </c>
      <c r="D8" s="6">
        <f>SUM(Work!D8,Workbased!D8,School!D8,Escort!D8,Personal_Business!D8,Shop!D8,Meal!D8,SocRec!D8)</f>
        <v>0</v>
      </c>
      <c r="E8" s="6">
        <f>SUM(Work!E8,Workbased!E8,School!E8,Escort!E8,Personal_Business!E8,Shop!E8,Meal!E8,SocRec!E8)</f>
        <v>0</v>
      </c>
      <c r="F8" s="6">
        <f>SUM(Work!F8,Workbased!F8,School!F8,Escort!F8,Personal_Business!F8,Shop!F8,Meal!F8,SocRec!F8)</f>
        <v>0</v>
      </c>
      <c r="G8" s="6">
        <f>SUM(Work!G8,Workbased!G8,School!G8,Escort!G8,Personal_Business!G8,Shop!G8,Meal!G8,SocRec!G8)</f>
        <v>0</v>
      </c>
      <c r="H8" s="6">
        <f>SUM(Work!H8,Workbased!H8,School!H8,Escort!H8,Personal_Business!H8,Shop!H8,Meal!H8,SocRec!H8)</f>
        <v>0</v>
      </c>
      <c r="I8" s="6">
        <f>SUM(Work!I8,Workbased!I8,School!I8,Escort!I8,Personal_Business!I8,Shop!I8,Meal!I8,SocRec!I8)</f>
        <v>0</v>
      </c>
      <c r="J8" s="6">
        <f si="1" t="shared"/>
        <v>0</v>
      </c>
      <c r="K8" s="6"/>
      <c r="L8" t="s">
        <v>51</v>
      </c>
      <c r="M8" s="6">
        <f>SUM(Work!M8,Workbased!M8,School!M8,Escort!M8,Personal_Business!M8,Shop!M8,Meal!M8,SocRec!M8)</f>
        <v>0</v>
      </c>
      <c r="N8" s="6">
        <f>SUM(Work!N8,Workbased!N8,School!N8,Escort!N8,Personal_Business!N8,Shop!N8,Meal!N8,SocRec!N8)</f>
        <v>0</v>
      </c>
      <c r="O8" s="6">
        <f>SUM(Work!O8,Workbased!O8,School!O8,Escort!O8,Personal_Business!O8,Shop!O8,Meal!O8,SocRec!O8)</f>
        <v>0</v>
      </c>
      <c r="P8" s="6">
        <f>SUM(Work!P8,Workbased!P8,School!P8,Escort!P8,Personal_Business!P8,Shop!P8,Meal!P8,SocRec!P8)</f>
        <v>0</v>
      </c>
      <c r="Q8" s="6">
        <f>SUM(Work!Q8,Workbased!Q8,School!Q8,Escort!Q8,Personal_Business!Q8,Shop!Q8,Meal!Q8,SocRec!Q8)</f>
        <v>0</v>
      </c>
      <c r="R8" s="6">
        <f>SUM(Work!R8,Workbased!R8,School!R8,Escort!R8,Personal_Business!R8,Shop!R8,Meal!R8,SocRec!R8)</f>
        <v>0</v>
      </c>
      <c r="S8" s="6">
        <f>SUM(Work!S8,Workbased!S8,School!S8,Escort!S8,Personal_Business!S8,Shop!S8,Meal!S8,SocRec!S8)</f>
        <v>0</v>
      </c>
      <c r="T8" s="6">
        <f>SUM(Work!T8,Workbased!T8,School!T8,Escort!T8,Personal_Business!T8,Shop!T8,Meal!T8,SocRec!T8)</f>
        <v>0</v>
      </c>
      <c r="U8" s="6">
        <f si="0" t="shared"/>
        <v>0</v>
      </c>
    </row>
    <row r="9" spans="1:21" x14ac:dyDescent="0.25">
      <c r="A9" t="s">
        <v>52</v>
      </c>
      <c r="B9" s="6">
        <f>SUM(Work!B9,Workbased!B9,School!B9,Escort!B9,Personal_Business!B9,Shop!B9,Meal!B9,SocRec!B9)</f>
        <v>0</v>
      </c>
      <c r="C9" s="6">
        <f>SUM(Work!C9,Workbased!C9,School!C9,Escort!C9,Personal_Business!C9,Shop!C9,Meal!C9,SocRec!C9)</f>
        <v>0</v>
      </c>
      <c r="D9" s="6">
        <f>SUM(Work!D9,Workbased!D9,School!D9,Escort!D9,Personal_Business!D9,Shop!D9,Meal!D9,SocRec!D9)</f>
        <v>0</v>
      </c>
      <c r="E9" s="6">
        <f>SUM(Work!E9,Workbased!E9,School!E9,Escort!E9,Personal_Business!E9,Shop!E9,Meal!E9,SocRec!E9)</f>
        <v>0</v>
      </c>
      <c r="F9" s="6">
        <f>SUM(Work!F9,Workbased!F9,School!F9,Escort!F9,Personal_Business!F9,Shop!F9,Meal!F9,SocRec!F9)</f>
        <v>0</v>
      </c>
      <c r="G9" s="6">
        <f>SUM(Work!G9,Workbased!G9,School!G9,Escort!G9,Personal_Business!G9,Shop!G9,Meal!G9,SocRec!G9)</f>
        <v>0</v>
      </c>
      <c r="H9" s="6">
        <f>SUM(Work!H9,Workbased!H9,School!H9,Escort!H9,Personal_Business!H9,Shop!H9,Meal!H9,SocRec!H9)</f>
        <v>0</v>
      </c>
      <c r="I9" s="6">
        <f>SUM(Work!I9,Workbased!I9,School!I9,Escort!I9,Personal_Business!I9,Shop!I9,Meal!I9,SocRec!I9)</f>
        <v>0</v>
      </c>
      <c r="J9" s="6">
        <f si="1" t="shared"/>
        <v>0</v>
      </c>
      <c r="K9" s="6"/>
      <c r="L9" t="s">
        <v>52</v>
      </c>
      <c r="M9" s="6">
        <f>SUM(Work!M9,Workbased!M9,School!M9,Escort!M9,Personal_Business!M9,Shop!M9,Meal!M9,SocRec!M9)</f>
        <v>0</v>
      </c>
      <c r="N9" s="6">
        <f>SUM(Work!N9,Workbased!N9,School!N9,Escort!N9,Personal_Business!N9,Shop!N9,Meal!N9,SocRec!N9)</f>
        <v>0</v>
      </c>
      <c r="O9" s="6">
        <f>SUM(Work!O9,Workbased!O9,School!O9,Escort!O9,Personal_Business!O9,Shop!O9,Meal!O9,SocRec!O9)</f>
        <v>0</v>
      </c>
      <c r="P9" s="6">
        <f>SUM(Work!P9,Workbased!P9,School!P9,Escort!P9,Personal_Business!P9,Shop!P9,Meal!P9,SocRec!P9)</f>
        <v>0</v>
      </c>
      <c r="Q9" s="6">
        <f>SUM(Work!Q9,Workbased!Q9,School!Q9,Escort!Q9,Personal_Business!Q9,Shop!Q9,Meal!Q9,SocRec!Q9)</f>
        <v>0</v>
      </c>
      <c r="R9" s="6">
        <f>SUM(Work!R9,Workbased!R9,School!R9,Escort!R9,Personal_Business!R9,Shop!R9,Meal!R9,SocRec!R9)</f>
        <v>0</v>
      </c>
      <c r="S9" s="6">
        <f>SUM(Work!S9,Workbased!S9,School!S9,Escort!S9,Personal_Business!S9,Shop!S9,Meal!S9,SocRec!S9)</f>
        <v>0</v>
      </c>
      <c r="T9" s="6">
        <f>SUM(Work!T9,Workbased!T9,School!T9,Escort!T9,Personal_Business!T9,Shop!T9,Meal!T9,SocRec!T9)</f>
        <v>0</v>
      </c>
      <c r="U9" s="6">
        <f si="0" t="shared"/>
        <v>0</v>
      </c>
    </row>
    <row r="10" spans="1:21" x14ac:dyDescent="0.25">
      <c r="A10" t="s">
        <v>53</v>
      </c>
      <c r="B10" s="6">
        <f>SUM(Work!B10,Workbased!B10,School!B10,Escort!B10,Personal_Business!B10,Shop!B10,Meal!B10,SocRec!B10)</f>
        <v>0</v>
      </c>
      <c r="C10" s="6">
        <f>SUM(Work!C10,Workbased!C10,School!C10,Escort!C10,Personal_Business!C10,Shop!C10,Meal!C10,SocRec!C10)</f>
        <v>0</v>
      </c>
      <c r="D10" s="6">
        <f>SUM(Work!D10,Workbased!D10,School!D10,Escort!D10,Personal_Business!D10,Shop!D10,Meal!D10,SocRec!D10)</f>
        <v>0</v>
      </c>
      <c r="E10" s="6">
        <f>SUM(Work!E10,Workbased!E10,School!E10,Escort!E10,Personal_Business!E10,Shop!E10,Meal!E10,SocRec!E10)</f>
        <v>8331.8229379999993</v>
      </c>
      <c r="F10" s="6">
        <f>SUM(Work!F10,Workbased!F10,School!F10,Escort!F10,Personal_Business!F10,Shop!F10,Meal!F10,SocRec!F10)</f>
        <v>38062.748741999996</v>
      </c>
      <c r="G10" s="6">
        <f>SUM(Work!G10,Workbased!G10,School!G10,Escort!G10,Personal_Business!G10,Shop!G10,Meal!G10,SocRec!G10)</f>
        <v>0</v>
      </c>
      <c r="H10" s="6">
        <f>SUM(Work!H10,Workbased!H10,School!H10,Escort!H10,Personal_Business!H10,Shop!H10,Meal!H10,SocRec!H10)</f>
        <v>0</v>
      </c>
      <c r="I10" s="6">
        <f>SUM(Work!I10,Workbased!I10,School!I10,Escort!I10,Personal_Business!I10,Shop!I10,Meal!I10,SocRec!I10)</f>
        <v>47.067196000000003</v>
      </c>
      <c r="J10" s="6">
        <f si="1" t="shared"/>
        <v>46441.638875999997</v>
      </c>
      <c r="K10" s="6"/>
      <c r="L10" t="s">
        <v>53</v>
      </c>
      <c r="M10" s="6">
        <f>SUM(Work!M10,Workbased!M10,School!M10,Escort!M10,Personal_Business!M10,Shop!M10,Meal!M10,SocRec!M10)</f>
        <v>0</v>
      </c>
      <c r="N10" s="6">
        <f>SUM(Work!N10,Workbased!N10,School!N10,Escort!N10,Personal_Business!N10,Shop!N10,Meal!N10,SocRec!N10)</f>
        <v>0</v>
      </c>
      <c r="O10" s="6">
        <f>SUM(Work!O10,Workbased!O10,School!O10,Escort!O10,Personal_Business!O10,Shop!O10,Meal!O10,SocRec!O10)</f>
        <v>0</v>
      </c>
      <c r="P10" s="6">
        <f>SUM(Work!P10,Workbased!P10,School!P10,Escort!P10,Personal_Business!P10,Shop!P10,Meal!P10,SocRec!P10)</f>
        <v>4548</v>
      </c>
      <c r="Q10" s="6">
        <f>SUM(Work!Q10,Workbased!Q10,School!Q10,Escort!Q10,Personal_Business!Q10,Shop!Q10,Meal!Q10,SocRec!Q10)</f>
        <v>52945</v>
      </c>
      <c r="R10" s="6">
        <f>SUM(Work!R10,Workbased!R10,School!R10,Escort!R10,Personal_Business!R10,Shop!R10,Meal!R10,SocRec!R10)</f>
        <v>0</v>
      </c>
      <c r="S10" s="6">
        <f>SUM(Work!S10,Workbased!S10,School!S10,Escort!S10,Personal_Business!S10,Shop!S10,Meal!S10,SocRec!S10)</f>
        <v>0</v>
      </c>
      <c r="T10" s="6">
        <f>SUM(Work!T10,Workbased!T10,School!T10,Escort!T10,Personal_Business!T10,Shop!T10,Meal!T10,SocRec!T10)</f>
        <v>19</v>
      </c>
      <c r="U10" s="6">
        <f si="0" t="shared"/>
        <v>57512</v>
      </c>
    </row>
    <row r="11" spans="1:21" x14ac:dyDescent="0.25">
      <c r="A11" t="s">
        <v>54</v>
      </c>
      <c r="B11" s="6">
        <f>SUM(Work!B11,Workbased!B11,School!B11,Escort!B11,Personal_Business!B11,Shop!B11,Meal!B11,SocRec!B11)</f>
        <v>0</v>
      </c>
      <c r="C11" s="6">
        <f>SUM(Work!C11,Workbased!C11,School!C11,Escort!C11,Personal_Business!C11,Shop!C11,Meal!C11,SocRec!C11)</f>
        <v>0</v>
      </c>
      <c r="D11" s="6">
        <f>SUM(Work!D11,Workbased!D11,School!D11,Escort!D11,Personal_Business!D11,Shop!D11,Meal!D11,SocRec!D11)</f>
        <v>0</v>
      </c>
      <c r="E11" s="6">
        <f>SUM(Work!E11,Workbased!E11,School!E11,Escort!E11,Personal_Business!E11,Shop!E11,Meal!E11,SocRec!E11)</f>
        <v>0</v>
      </c>
      <c r="F11" s="6">
        <f>SUM(Work!F11,Workbased!F11,School!F11,Escort!F11,Personal_Business!F11,Shop!F11,Meal!F11,SocRec!F11)</f>
        <v>0</v>
      </c>
      <c r="G11" s="6">
        <f>SUM(Work!G11,Workbased!G11,School!G11,Escort!G11,Personal_Business!G11,Shop!G11,Meal!G11,SocRec!G11)</f>
        <v>0</v>
      </c>
      <c r="H11" s="6">
        <f>SUM(Work!H11,Workbased!H11,School!H11,Escort!H11,Personal_Business!H11,Shop!H11,Meal!H11,SocRec!H11)</f>
        <v>0</v>
      </c>
      <c r="I11" s="6">
        <f>SUM(Work!I11,Workbased!I11,School!I11,Escort!I11,Personal_Business!I11,Shop!I11,Meal!I11,SocRec!I11)</f>
        <v>0</v>
      </c>
      <c r="J11" s="6">
        <f si="1" t="shared"/>
        <v>0</v>
      </c>
      <c r="K11" s="6"/>
      <c r="L11" t="s">
        <v>54</v>
      </c>
      <c r="M11" s="6">
        <f>SUM(Work!M11,Workbased!M11,School!M11,Escort!M11,Personal_Business!M11,Shop!M11,Meal!M11,SocRec!M11)</f>
        <v>0</v>
      </c>
      <c r="N11" s="6">
        <f>SUM(Work!N11,Workbased!N11,School!N11,Escort!N11,Personal_Business!N11,Shop!N11,Meal!N11,SocRec!N11)</f>
        <v>0</v>
      </c>
      <c r="O11" s="6">
        <f>SUM(Work!O11,Workbased!O11,School!O11,Escort!O11,Personal_Business!O11,Shop!O11,Meal!O11,SocRec!O11)</f>
        <v>0</v>
      </c>
      <c r="P11" s="6">
        <f>SUM(Work!P11,Workbased!P11,School!P11,Escort!P11,Personal_Business!P11,Shop!P11,Meal!P11,SocRec!P11)</f>
        <v>0</v>
      </c>
      <c r="Q11" s="6">
        <f>SUM(Work!Q11,Workbased!Q11,School!Q11,Escort!Q11,Personal_Business!Q11,Shop!Q11,Meal!Q11,SocRec!Q11)</f>
        <v>0</v>
      </c>
      <c r="R11" s="6">
        <f>SUM(Work!R11,Workbased!R11,School!R11,Escort!R11,Personal_Business!R11,Shop!R11,Meal!R11,SocRec!R11)</f>
        <v>0</v>
      </c>
      <c r="S11" s="6">
        <f>SUM(Work!S11,Workbased!S11,School!S11,Escort!S11,Personal_Business!S11,Shop!S11,Meal!S11,SocRec!S11)</f>
        <v>0</v>
      </c>
      <c r="T11" s="6">
        <f>SUM(Work!T11,Workbased!T11,School!T11,Escort!T11,Personal_Business!T11,Shop!T11,Meal!T11,SocRec!T11)</f>
        <v>0</v>
      </c>
      <c r="U11" s="6">
        <f si="0" t="shared"/>
        <v>0</v>
      </c>
    </row>
    <row r="12" spans="1:21" x14ac:dyDescent="0.25">
      <c r="A12" t="s">
        <v>55</v>
      </c>
      <c r="B12" s="6">
        <f>SUM(Work!B12,Workbased!B12,School!B12,Escort!B12,Personal_Business!B12,Shop!B12,Meal!B12,SocRec!B12)</f>
        <v>0</v>
      </c>
      <c r="C12" s="6">
        <f>SUM(Work!C12,Workbased!C12,School!C12,Escort!C12,Personal_Business!C12,Shop!C12,Meal!C12,SocRec!C12)</f>
        <v>0</v>
      </c>
      <c r="D12" s="6">
        <f>SUM(Work!D12,Workbased!D12,School!D12,Escort!D12,Personal_Business!D12,Shop!D12,Meal!D12,SocRec!D12)</f>
        <v>0</v>
      </c>
      <c r="E12" s="6">
        <f>SUM(Work!E12,Workbased!E12,School!E12,Escort!E12,Personal_Business!E12,Shop!E12,Meal!E12,SocRec!E12)</f>
        <v>3233.1720810000002</v>
      </c>
      <c r="F12" s="6">
        <f>SUM(Work!F12,Workbased!F12,School!F12,Escort!F12,Personal_Business!F12,Shop!F12,Meal!F12,SocRec!F12)</f>
        <v>1838.503463</v>
      </c>
      <c r="G12" s="6">
        <f>SUM(Work!G12,Workbased!G12,School!G12,Escort!G12,Personal_Business!G12,Shop!G12,Meal!G12,SocRec!G12)</f>
        <v>0</v>
      </c>
      <c r="H12" s="6">
        <f>SUM(Work!H12,Workbased!H12,School!H12,Escort!H12,Personal_Business!H12,Shop!H12,Meal!H12,SocRec!H12)</f>
        <v>0</v>
      </c>
      <c r="I12" s="6">
        <f>SUM(Work!I12,Workbased!I12,School!I12,Escort!I12,Personal_Business!I12,Shop!I12,Meal!I12,SocRec!I12)</f>
        <v>0</v>
      </c>
      <c r="J12" s="6">
        <f si="1" t="shared"/>
        <v>5071.6755439999997</v>
      </c>
      <c r="K12" s="6"/>
      <c r="L12" t="s">
        <v>55</v>
      </c>
      <c r="M12" s="6">
        <f>SUM(Work!M12,Workbased!M12,School!M12,Escort!M12,Personal_Business!M12,Shop!M12,Meal!M12,SocRec!M12)</f>
        <v>0</v>
      </c>
      <c r="N12" s="6">
        <f>SUM(Work!N12,Workbased!N12,School!N12,Escort!N12,Personal_Business!N12,Shop!N12,Meal!N12,SocRec!N12)</f>
        <v>0</v>
      </c>
      <c r="O12" s="6">
        <f>SUM(Work!O12,Workbased!O12,School!O12,Escort!O12,Personal_Business!O12,Shop!O12,Meal!O12,SocRec!O12)</f>
        <v>0</v>
      </c>
      <c r="P12" s="6">
        <f>SUM(Work!P12,Workbased!P12,School!P12,Escort!P12,Personal_Business!P12,Shop!P12,Meal!P12,SocRec!P12)</f>
        <v>2398</v>
      </c>
      <c r="Q12" s="6">
        <f>SUM(Work!Q12,Workbased!Q12,School!Q12,Escort!Q12,Personal_Business!Q12,Shop!Q12,Meal!Q12,SocRec!Q12)</f>
        <v>12485</v>
      </c>
      <c r="R12" s="6">
        <f>SUM(Work!R12,Workbased!R12,School!R12,Escort!R12,Personal_Business!R12,Shop!R12,Meal!R12,SocRec!R12)</f>
        <v>0</v>
      </c>
      <c r="S12" s="6">
        <f>SUM(Work!S12,Workbased!S12,School!S12,Escort!S12,Personal_Business!S12,Shop!S12,Meal!S12,SocRec!S12)</f>
        <v>0</v>
      </c>
      <c r="T12" s="6">
        <f>SUM(Work!T12,Workbased!T12,School!T12,Escort!T12,Personal_Business!T12,Shop!T12,Meal!T12,SocRec!T12)</f>
        <v>7</v>
      </c>
      <c r="U12" s="6">
        <f si="0" t="shared"/>
        <v>14890</v>
      </c>
    </row>
    <row r="13" spans="1:21" x14ac:dyDescent="0.25">
      <c r="A13" t="s">
        <v>24</v>
      </c>
      <c r="B13" s="6">
        <f>SUM(Work!B13,Workbased!B13,School!B13,Escort!B13,Personal_Business!B13,Shop!B13,Meal!B13,SocRec!B13)</f>
        <v>0</v>
      </c>
      <c r="C13" s="6">
        <f>SUM(Work!C13,Workbased!C13,School!C13,Escort!C13,Personal_Business!C13,Shop!C13,Meal!C13,SocRec!C13)</f>
        <v>0</v>
      </c>
      <c r="D13" s="6">
        <f>SUM(Work!D13,Workbased!D13,School!D13,Escort!D13,Personal_Business!D13,Shop!D13,Meal!D13,SocRec!D13)</f>
        <v>0</v>
      </c>
      <c r="E13" s="6">
        <f>SUM(Work!E13,Workbased!E13,School!E13,Escort!E13,Personal_Business!E13,Shop!E13,Meal!E13,SocRec!E13)</f>
        <v>0</v>
      </c>
      <c r="F13" s="6">
        <f>SUM(Work!F13,Workbased!F13,School!F13,Escort!F13,Personal_Business!F13,Shop!F13,Meal!F13,SocRec!F13)</f>
        <v>0</v>
      </c>
      <c r="G13" s="6">
        <f>SUM(Work!G13,Workbased!G13,School!G13,Escort!G13,Personal_Business!G13,Shop!G13,Meal!G13,SocRec!G13)</f>
        <v>0</v>
      </c>
      <c r="H13" s="6">
        <f>SUM(Work!H13,Workbased!H13,School!H13,Escort!H13,Personal_Business!H13,Shop!H13,Meal!H13,SocRec!H13)</f>
        <v>0</v>
      </c>
      <c r="I13" s="6">
        <f>SUM(Work!I13,Workbased!I13,School!I13,Escort!I13,Personal_Business!I13,Shop!I13,Meal!I13,SocRec!I13)</f>
        <v>145779.72685900002</v>
      </c>
      <c r="J13" s="6">
        <f si="1" t="shared"/>
        <v>145779.72685900002</v>
      </c>
      <c r="K13" s="6"/>
      <c r="L13" t="s">
        <v>24</v>
      </c>
      <c r="M13" s="6">
        <f>SUM(Work!M13,Workbased!M13,School!M13,Escort!M13,Personal_Business!M13,Shop!M13,Meal!M13,SocRec!M13)</f>
        <v>0</v>
      </c>
      <c r="N13" s="6">
        <f>SUM(Work!N13,Workbased!N13,School!N13,Escort!N13,Personal_Business!N13,Shop!N13,Meal!N13,SocRec!N13)</f>
        <v>0</v>
      </c>
      <c r="O13" s="6">
        <f>SUM(Work!O13,Workbased!O13,School!O13,Escort!O13,Personal_Business!O13,Shop!O13,Meal!O13,SocRec!O13)</f>
        <v>0</v>
      </c>
      <c r="P13" s="6">
        <f>SUM(Work!P13,Workbased!P13,School!P13,Escort!P13,Personal_Business!P13,Shop!P13,Meal!P13,SocRec!P13)</f>
        <v>0</v>
      </c>
      <c r="Q13" s="6">
        <f>SUM(Work!Q13,Workbased!Q13,School!Q13,Escort!Q13,Personal_Business!Q13,Shop!Q13,Meal!Q13,SocRec!Q13)</f>
        <v>0</v>
      </c>
      <c r="R13" s="6">
        <f>SUM(Work!R13,Workbased!R13,School!R13,Escort!R13,Personal_Business!R13,Shop!R13,Meal!R13,SocRec!R13)</f>
        <v>0</v>
      </c>
      <c r="S13" s="6">
        <f>SUM(Work!S13,Workbased!S13,School!S13,Escort!S13,Personal_Business!S13,Shop!S13,Meal!S13,SocRec!S13)</f>
        <v>0</v>
      </c>
      <c r="T13" s="6">
        <f>SUM(Work!T13,Workbased!T13,School!T13,Escort!T13,Personal_Business!T13,Shop!T13,Meal!T13,SocRec!T13)</f>
        <v>67356</v>
      </c>
      <c r="U13" s="6">
        <f si="0" t="shared"/>
        <v>67356</v>
      </c>
    </row>
    <row r="14" spans="1:21" x14ac:dyDescent="0.25">
      <c r="A14" t="s">
        <v>4</v>
      </c>
      <c r="B14" s="6">
        <f>SUM(Work!B14,Workbased!B14,School!B14,Escort!B14,Personal_Business!B14,Shop!B14,Meal!B14,SocRec!B14)</f>
        <v>810.40676500000006</v>
      </c>
      <c r="C14" s="6">
        <f>SUM(Work!C14,Workbased!C14,School!C14,Escort!C14,Personal_Business!C14,Shop!C14,Meal!C14,SocRec!C14)</f>
        <v>377.84703100000002</v>
      </c>
      <c r="D14" s="6">
        <f>SUM(Work!D14,Workbased!D14,School!D14,Escort!D14,Personal_Business!D14,Shop!D14,Meal!D14,SocRec!D14)</f>
        <v>860.29161399999998</v>
      </c>
      <c r="E14" s="6">
        <f>SUM(Work!E14,Workbased!E14,School!E14,Escort!E14,Personal_Business!E14,Shop!E14,Meal!E14,SocRec!E14)</f>
        <v>0</v>
      </c>
      <c r="F14" s="6">
        <f>SUM(Work!F14,Workbased!F14,School!F14,Escort!F14,Personal_Business!F14,Shop!F14,Meal!F14,SocRec!F14)</f>
        <v>319.83829499999996</v>
      </c>
      <c r="G14" s="6">
        <f>SUM(Work!G14,Workbased!G14,School!G14,Escort!G14,Personal_Business!G14,Shop!G14,Meal!G14,SocRec!G14)</f>
        <v>18330.641322999996</v>
      </c>
      <c r="H14" s="6">
        <f>SUM(Work!H14,Workbased!H14,School!H14,Escort!H14,Personal_Business!H14,Shop!H14,Meal!H14,SocRec!H14)</f>
        <v>0</v>
      </c>
      <c r="I14" s="6">
        <f>SUM(Work!I14,Workbased!I14,School!I14,Escort!I14,Personal_Business!I14,Shop!I14,Meal!I14,SocRec!I14)</f>
        <v>141.28004000000001</v>
      </c>
      <c r="J14" s="6">
        <f si="1" t="shared"/>
        <v>20840.305067999998</v>
      </c>
      <c r="K14" s="6"/>
      <c r="L14" t="s">
        <v>4</v>
      </c>
      <c r="M14" s="6">
        <f>SUM(Work!M14,Workbased!M14,School!M14,Escort!M14,Personal_Business!M14,Shop!M14,Meal!M14,SocRec!M14)</f>
        <v>1635</v>
      </c>
      <c r="N14" s="6">
        <f>SUM(Work!N14,Workbased!N14,School!N14,Escort!N14,Personal_Business!N14,Shop!N14,Meal!N14,SocRec!N14)</f>
        <v>5703</v>
      </c>
      <c r="O14" s="6">
        <f>SUM(Work!O14,Workbased!O14,School!O14,Escort!O14,Personal_Business!O14,Shop!O14,Meal!O14,SocRec!O14)</f>
        <v>3981</v>
      </c>
      <c r="P14" s="6">
        <f>SUM(Work!P14,Workbased!P14,School!P14,Escort!P14,Personal_Business!P14,Shop!P14,Meal!P14,SocRec!P14)</f>
        <v>0</v>
      </c>
      <c r="Q14" s="6">
        <f>SUM(Work!Q14,Workbased!Q14,School!Q14,Escort!Q14,Personal_Business!Q14,Shop!Q14,Meal!Q14,SocRec!Q14)</f>
        <v>2325</v>
      </c>
      <c r="R14" s="6">
        <f>SUM(Work!R14,Workbased!R14,School!R14,Escort!R14,Personal_Business!R14,Shop!R14,Meal!R14,SocRec!R14)</f>
        <v>69580</v>
      </c>
      <c r="S14" s="6">
        <f>SUM(Work!S14,Workbased!S14,School!S14,Escort!S14,Personal_Business!S14,Shop!S14,Meal!S14,SocRec!S14)</f>
        <v>0</v>
      </c>
      <c r="T14" s="6">
        <f>SUM(Work!T14,Workbased!T14,School!T14,Escort!T14,Personal_Business!T14,Shop!T14,Meal!T14,SocRec!T14)</f>
        <v>508</v>
      </c>
      <c r="U14" s="6">
        <f si="0" t="shared"/>
        <v>83732</v>
      </c>
    </row>
    <row r="15" spans="1:21" x14ac:dyDescent="0.25">
      <c r="A15" s="4" t="s">
        <v>5</v>
      </c>
      <c r="B15" s="6">
        <f>SUM(Work!B15,Workbased!B15,School!B15,Escort!B15,Personal_Business!B15,Shop!B15,Meal!B15,SocRec!B15)</f>
        <v>13309.781621999999</v>
      </c>
      <c r="C15" s="6">
        <f>SUM(Work!C15,Workbased!C15,School!C15,Escort!C15,Personal_Business!C15,Shop!C15,Meal!C15,SocRec!C15)</f>
        <v>11189.720584000001</v>
      </c>
      <c r="D15" s="6">
        <f>SUM(Work!D15,Workbased!D15,School!D15,Escort!D15,Personal_Business!D15,Shop!D15,Meal!D15,SocRec!D15)</f>
        <v>14158.514909000001</v>
      </c>
      <c r="E15" s="6">
        <f>SUM(Work!E15,Workbased!E15,School!E15,Escort!E15,Personal_Business!E15,Shop!E15,Meal!E15,SocRec!E15)</f>
        <v>329.14896699999997</v>
      </c>
      <c r="F15" s="6">
        <f>SUM(Work!F15,Workbased!F15,School!F15,Escort!F15,Personal_Business!F15,Shop!F15,Meal!F15,SocRec!F15)</f>
        <v>2579.793424</v>
      </c>
      <c r="G15" s="6">
        <f>SUM(Work!G15,Workbased!G15,School!G15,Escort!G15,Personal_Business!G15,Shop!G15,Meal!G15,SocRec!G15)</f>
        <v>817.964426</v>
      </c>
      <c r="H15" s="6">
        <f>SUM(Work!H15,Workbased!H15,School!H15,Escort!H15,Personal_Business!H15,Shop!H15,Meal!H15,SocRec!H15)</f>
        <v>127939.585704</v>
      </c>
      <c r="I15" s="6">
        <f>SUM(Work!I15,Workbased!I15,School!I15,Escort!I15,Personal_Business!I15,Shop!I15,Meal!I15,SocRec!I15)</f>
        <v>2275.437132</v>
      </c>
      <c r="J15" s="6">
        <f si="1" t="shared"/>
        <v>172599.94676799999</v>
      </c>
      <c r="K15" s="6"/>
      <c r="L15" s="4" t="s">
        <v>5</v>
      </c>
      <c r="M15" s="6">
        <f>SUM(Work!M15,Workbased!M15,School!M15,Escort!M15,Personal_Business!M15,Shop!M15,Meal!M15,SocRec!M15)</f>
        <v>10652</v>
      </c>
      <c r="N15" s="6">
        <f>SUM(Work!N15,Workbased!N15,School!N15,Escort!N15,Personal_Business!N15,Shop!N15,Meal!N15,SocRec!N15)</f>
        <v>15512</v>
      </c>
      <c r="O15" s="6">
        <f>SUM(Work!O15,Workbased!O15,School!O15,Escort!O15,Personal_Business!O15,Shop!O15,Meal!O15,SocRec!O15)</f>
        <v>11775</v>
      </c>
      <c r="P15" s="6">
        <f>SUM(Work!P15,Workbased!P15,School!P15,Escort!P15,Personal_Business!P15,Shop!P15,Meal!P15,SocRec!P15)</f>
        <v>0</v>
      </c>
      <c r="Q15" s="6">
        <f>SUM(Work!Q15,Workbased!Q15,School!Q15,Escort!Q15,Personal_Business!Q15,Shop!Q15,Meal!Q15,SocRec!Q15)</f>
        <v>9203</v>
      </c>
      <c r="R15" s="6">
        <f>SUM(Work!R15,Workbased!R15,School!R15,Escort!R15,Personal_Business!R15,Shop!R15,Meal!R15,SocRec!R15)</f>
        <v>2375</v>
      </c>
      <c r="S15" s="6">
        <f>SUM(Work!S15,Workbased!S15,School!S15,Escort!S15,Personal_Business!S15,Shop!S15,Meal!S15,SocRec!S15)</f>
        <v>162776</v>
      </c>
      <c r="T15" s="6">
        <f>SUM(Work!T15,Workbased!T15,School!T15,Escort!T15,Personal_Business!T15,Shop!T15,Meal!T15,SocRec!T15)</f>
        <v>2721</v>
      </c>
      <c r="U15" s="6">
        <f si="0" t="shared"/>
        <v>215014</v>
      </c>
    </row>
    <row ht="15.75" r="16" spans="1:21" thickBot="1" x14ac:dyDescent="0.3">
      <c r="A16" s="12" t="s">
        <v>7</v>
      </c>
      <c r="B16" s="16">
        <f ref="B16:J16" si="2" t="shared">SUM(B5:B15)</f>
        <v>1800913.4075490001</v>
      </c>
      <c r="C16" s="16">
        <f si="2" t="shared"/>
        <v>1248971.9946299999</v>
      </c>
      <c r="D16" s="16">
        <f si="2" t="shared"/>
        <v>969605.97606000013</v>
      </c>
      <c r="E16" s="16">
        <f si="2" t="shared"/>
        <v>30779.020943</v>
      </c>
      <c r="F16" s="16">
        <f si="2" t="shared"/>
        <v>48105.157274000005</v>
      </c>
      <c r="G16" s="16">
        <f si="2" t="shared"/>
        <v>19148.605748999995</v>
      </c>
      <c r="H16" s="16">
        <f si="2" t="shared"/>
        <v>127939.585704</v>
      </c>
      <c r="I16" s="16">
        <f si="2" t="shared"/>
        <v>190868.91694300002</v>
      </c>
      <c r="J16" s="16">
        <f si="2" t="shared"/>
        <v>4436332.6648519998</v>
      </c>
      <c r="L16" s="9" t="s">
        <v>7</v>
      </c>
      <c r="M16" s="16">
        <f ref="M16:U16" si="3" t="shared">SUM(M5:M15)</f>
        <v>1995505</v>
      </c>
      <c r="N16" s="16">
        <f si="3" t="shared"/>
        <v>1335047</v>
      </c>
      <c r="O16" s="16">
        <f si="3" t="shared"/>
        <v>1082851</v>
      </c>
      <c r="P16" s="16">
        <f si="3" t="shared"/>
        <v>16265</v>
      </c>
      <c r="Q16" s="16">
        <f si="3" t="shared"/>
        <v>85513</v>
      </c>
      <c r="R16" s="16">
        <f si="3" t="shared"/>
        <v>71955</v>
      </c>
      <c r="S16" s="16">
        <f si="3" t="shared"/>
        <v>162776</v>
      </c>
      <c r="T16" s="16">
        <f si="3" t="shared"/>
        <v>91953</v>
      </c>
      <c r="U16" s="16">
        <f si="3" t="shared"/>
        <v>4841865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25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47</v>
      </c>
      <c r="C20" s="32"/>
      <c r="D20" s="32"/>
      <c r="E20" s="32"/>
      <c r="F20" s="32"/>
      <c r="G20" s="32"/>
      <c r="H20" s="32"/>
      <c r="I20" s="32"/>
      <c r="J20" s="11"/>
      <c r="L20" s="3"/>
      <c r="M20" s="31" t="s">
        <v>47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D33" si="4" t="shared">B5/B$16</f>
        <v>0.99215942958289305</v>
      </c>
      <c r="C22" s="13">
        <f si="4" t="shared"/>
        <v>0.25118254566943876</v>
      </c>
      <c r="D22" s="13">
        <f si="4" t="shared"/>
        <v>0.1296065071810403</v>
      </c>
      <c r="E22" s="13">
        <f ref="E22:E33" si="5" t="shared">IF(E$16&gt;0,E5/E$16,0)</f>
        <v>0.44559008557805124</v>
      </c>
      <c r="F22" s="13">
        <f ref="F22:J33" si="6" t="shared">F5/F$16</f>
        <v>1.1124160034484038E-2</v>
      </c>
      <c r="G22" s="13">
        <f si="6" t="shared"/>
        <v>0</v>
      </c>
      <c r="H22" s="13">
        <f si="6" t="shared"/>
        <v>0</v>
      </c>
      <c r="I22" s="13">
        <f si="6" t="shared"/>
        <v>3.7927026652337739E-4</v>
      </c>
      <c r="J22" s="13">
        <f si="6" t="shared"/>
        <v>0.50503488902939275</v>
      </c>
      <c r="K22" s="6"/>
      <c r="L22" t="s">
        <v>1</v>
      </c>
      <c r="M22" s="13">
        <f ref="M22:P22" si="7" t="shared">M5/M$16</f>
        <v>0.99384266138145483</v>
      </c>
      <c r="N22" s="13">
        <f si="7" t="shared"/>
        <v>0.21481565817533016</v>
      </c>
      <c r="O22" s="13">
        <f si="7" t="shared"/>
        <v>0.12066018316462745</v>
      </c>
      <c r="P22" s="13">
        <f si="7" t="shared"/>
        <v>0.55450353519827855</v>
      </c>
      <c r="Q22" s="13">
        <f ref="Q22:U33" si="8" t="shared">Q5/Q$16</f>
        <v>1.9751382830680717E-2</v>
      </c>
      <c r="R22" s="13">
        <f si="8" t="shared"/>
        <v>0</v>
      </c>
      <c r="S22" s="13">
        <f si="8" t="shared"/>
        <v>0</v>
      </c>
      <c r="T22" s="13">
        <f si="8" t="shared"/>
        <v>5.2853087990603898E-3</v>
      </c>
      <c r="U22" s="13">
        <f si="8" t="shared"/>
        <v>0.49812582548253614</v>
      </c>
    </row>
    <row r="23" spans="1:21" x14ac:dyDescent="0.25">
      <c r="A23" t="s">
        <v>12</v>
      </c>
      <c r="B23" s="13">
        <f si="4" t="shared"/>
        <v>0</v>
      </c>
      <c r="C23" s="13">
        <f si="4" t="shared"/>
        <v>0.73955578340060035</v>
      </c>
      <c r="D23" s="13">
        <f si="4" t="shared"/>
        <v>0.16412151074670431</v>
      </c>
      <c r="E23" s="13">
        <f si="5" t="shared"/>
        <v>0.127723023135798</v>
      </c>
      <c r="F23" s="13">
        <f si="6" t="shared"/>
        <v>5.1394734995207324E-2</v>
      </c>
      <c r="G23" s="13">
        <f si="6" t="shared"/>
        <v>0</v>
      </c>
      <c r="H23" s="13">
        <f si="6" t="shared"/>
        <v>0</v>
      </c>
      <c r="I23" s="13">
        <f si="6" t="shared"/>
        <v>0.1107543720610779</v>
      </c>
      <c r="J23" s="13">
        <f si="6" t="shared"/>
        <v>0.25028798602213082</v>
      </c>
      <c r="K23" s="6"/>
      <c r="L23" t="s">
        <v>12</v>
      </c>
      <c r="M23" s="13">
        <f ref="M23:P23" si="9" t="shared">M6/M$16</f>
        <v>0</v>
      </c>
      <c r="N23" s="13">
        <f si="9" t="shared"/>
        <v>0.76929351550919178</v>
      </c>
      <c r="O23" s="13">
        <f si="9" t="shared"/>
        <v>0.16396623358153614</v>
      </c>
      <c r="P23" s="13">
        <f si="9" t="shared"/>
        <v>1.8444512757454658E-2</v>
      </c>
      <c r="Q23" s="13">
        <f si="8" t="shared"/>
        <v>6.3440646451416741E-2</v>
      </c>
      <c r="R23" s="13">
        <f si="8" t="shared"/>
        <v>0</v>
      </c>
      <c r="S23" s="13">
        <f si="8" t="shared"/>
        <v>0</v>
      </c>
      <c r="T23" s="13">
        <f si="8" t="shared"/>
        <v>0.11073048187661087</v>
      </c>
      <c r="U23" s="13">
        <f si="8" t="shared"/>
        <v>0.25207249685813216</v>
      </c>
    </row>
    <row r="24" spans="1:21" x14ac:dyDescent="0.25">
      <c r="A24" t="s">
        <v>56</v>
      </c>
      <c r="B24" s="13">
        <f si="4" t="shared"/>
        <v>0</v>
      </c>
      <c r="C24" s="13">
        <f si="4" t="shared"/>
        <v>0</v>
      </c>
      <c r="D24" s="13">
        <f si="4" t="shared"/>
        <v>0.69078238434511563</v>
      </c>
      <c r="E24" s="13">
        <f si="5" t="shared"/>
        <v>4.0250168427847642E-2</v>
      </c>
      <c r="F24" s="13">
        <f si="6" t="shared"/>
        <v>4.7745235691005132E-2</v>
      </c>
      <c r="G24" s="13">
        <f si="6" t="shared"/>
        <v>0</v>
      </c>
      <c r="H24" s="13">
        <f si="6" t="shared"/>
        <v>0</v>
      </c>
      <c r="I24" s="13">
        <f si="6" t="shared"/>
        <v>0.11218928734946815</v>
      </c>
      <c r="J24" s="13">
        <f si="6" t="shared"/>
        <v>0.15660138252034736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0.70082310493318101</v>
      </c>
      <c r="P24" s="13">
        <f si="10" t="shared"/>
        <v>0</v>
      </c>
      <c r="Q24" s="13">
        <f si="8" t="shared"/>
        <v>1.6851238992901665E-2</v>
      </c>
      <c r="R24" s="13">
        <f si="8" t="shared"/>
        <v>0</v>
      </c>
      <c r="S24" s="13">
        <f si="8" t="shared"/>
        <v>0</v>
      </c>
      <c r="T24" s="13">
        <f si="8" t="shared"/>
        <v>0.11608104140158559</v>
      </c>
      <c r="U24" s="13">
        <f si="8" t="shared"/>
        <v>0.15923657516266976</v>
      </c>
    </row>
    <row r="25" spans="1:21" x14ac:dyDescent="0.25">
      <c r="A25" t="s">
        <v>51</v>
      </c>
      <c r="B25" s="13">
        <f si="4" t="shared"/>
        <v>0</v>
      </c>
      <c r="C25" s="13">
        <f si="4" t="shared"/>
        <v>0</v>
      </c>
      <c r="D25" s="13">
        <f si="4" t="shared"/>
        <v>0</v>
      </c>
      <c r="E25" s="13">
        <f si="5" t="shared"/>
        <v>0</v>
      </c>
      <c r="F25" s="13">
        <f si="6" t="shared"/>
        <v>0</v>
      </c>
      <c r="G25" s="13">
        <f si="6" t="shared"/>
        <v>0</v>
      </c>
      <c r="H25" s="13">
        <f si="6" t="shared"/>
        <v>0</v>
      </c>
      <c r="I25" s="13">
        <f si="6" t="shared"/>
        <v>0</v>
      </c>
      <c r="J25" s="13">
        <f si="6" t="shared"/>
        <v>0</v>
      </c>
      <c r="K25" s="6"/>
      <c r="L25" t="s">
        <v>51</v>
      </c>
      <c r="M25" s="13">
        <f ref="M25:P25" si="11" t="shared">M8/M$16</f>
        <v>0</v>
      </c>
      <c r="N25" s="13">
        <f si="11" t="shared"/>
        <v>0</v>
      </c>
      <c r="O25" s="13">
        <f si="11" t="shared"/>
        <v>0</v>
      </c>
      <c r="P25" s="13">
        <f si="11" t="shared"/>
        <v>0</v>
      </c>
      <c r="Q25" s="13">
        <f si="8" t="shared"/>
        <v>0</v>
      </c>
      <c r="R25" s="13">
        <f si="8" t="shared"/>
        <v>0</v>
      </c>
      <c r="S25" s="13">
        <f si="8" t="shared"/>
        <v>0</v>
      </c>
      <c r="T25" s="13">
        <f si="8" t="shared"/>
        <v>0</v>
      </c>
      <c r="U25" s="13">
        <f si="8" t="shared"/>
        <v>0</v>
      </c>
    </row>
    <row r="26" spans="1:21" x14ac:dyDescent="0.25">
      <c r="A26" t="s">
        <v>52</v>
      </c>
      <c r="B26" s="13">
        <f si="4" t="shared"/>
        <v>0</v>
      </c>
      <c r="C26" s="13">
        <f si="4" t="shared"/>
        <v>0</v>
      </c>
      <c r="D26" s="13">
        <f si="4" t="shared"/>
        <v>0</v>
      </c>
      <c r="E26" s="13">
        <f si="5" t="shared"/>
        <v>0</v>
      </c>
      <c r="F26" s="13">
        <f si="6" t="shared"/>
        <v>0</v>
      </c>
      <c r="G26" s="13">
        <f si="6" t="shared"/>
        <v>0</v>
      </c>
      <c r="H26" s="13">
        <f si="6" t="shared"/>
        <v>0</v>
      </c>
      <c r="I26" s="13">
        <f si="6" t="shared"/>
        <v>0</v>
      </c>
      <c r="J26" s="13">
        <f si="6" t="shared"/>
        <v>0</v>
      </c>
      <c r="K26" s="6"/>
      <c r="L26" t="s">
        <v>52</v>
      </c>
      <c r="M26" s="13">
        <f ref="M26:P26" si="12" t="shared">M9/M$16</f>
        <v>0</v>
      </c>
      <c r="N26" s="13">
        <f si="12" t="shared"/>
        <v>0</v>
      </c>
      <c r="O26" s="13">
        <f si="12" t="shared"/>
        <v>0</v>
      </c>
      <c r="P26" s="13">
        <f si="12" t="shared"/>
        <v>0</v>
      </c>
      <c r="Q26" s="13">
        <f si="8" t="shared"/>
        <v>0</v>
      </c>
      <c r="R26" s="13">
        <f si="8" t="shared"/>
        <v>0</v>
      </c>
      <c r="S26" s="13">
        <f si="8" t="shared"/>
        <v>0</v>
      </c>
      <c r="T26" s="13">
        <f si="8" t="shared"/>
        <v>0</v>
      </c>
      <c r="U26" s="13">
        <f si="8" t="shared"/>
        <v>0</v>
      </c>
    </row>
    <row r="27" spans="1:21" x14ac:dyDescent="0.25">
      <c r="A27" t="s">
        <v>53</v>
      </c>
      <c r="B27" s="13">
        <f si="4" t="shared"/>
        <v>0</v>
      </c>
      <c r="C27" s="13">
        <f si="4" t="shared"/>
        <v>0</v>
      </c>
      <c r="D27" s="13">
        <f si="4" t="shared"/>
        <v>0</v>
      </c>
      <c r="E27" s="13">
        <f si="5" t="shared"/>
        <v>0.27069811458362475</v>
      </c>
      <c r="F27" s="13">
        <f si="6" t="shared"/>
        <v>0.79124050099659993</v>
      </c>
      <c r="G27" s="13">
        <f si="6" t="shared"/>
        <v>0</v>
      </c>
      <c r="H27" s="13">
        <f si="6" t="shared"/>
        <v>0</v>
      </c>
      <c r="I27" s="13">
        <f si="6" t="shared"/>
        <v>2.4659434733448967E-4</v>
      </c>
      <c r="J27" s="13">
        <f si="6" t="shared"/>
        <v>1.0468475289048084E-2</v>
      </c>
      <c r="K27" s="6"/>
      <c r="L27" t="s">
        <v>53</v>
      </c>
      <c r="M27" s="13">
        <f ref="M27:P27" si="13" t="shared">M10/M$16</f>
        <v>0</v>
      </c>
      <c r="N27" s="13">
        <f si="13" t="shared"/>
        <v>0</v>
      </c>
      <c r="O27" s="13">
        <f si="13" t="shared"/>
        <v>0</v>
      </c>
      <c r="P27" s="13">
        <f si="13" t="shared"/>
        <v>0.27961881340301259</v>
      </c>
      <c r="Q27" s="13">
        <f si="8" t="shared"/>
        <v>0.61914562698069298</v>
      </c>
      <c r="R27" s="13">
        <f si="8" t="shared"/>
        <v>0</v>
      </c>
      <c r="S27" s="13">
        <f si="8" t="shared"/>
        <v>0</v>
      </c>
      <c r="T27" s="13">
        <f si="8" t="shared"/>
        <v>2.0662729872869835E-4</v>
      </c>
      <c r="U27" s="13">
        <f si="8" t="shared"/>
        <v>1.1878067645421753E-2</v>
      </c>
    </row>
    <row r="28" spans="1:21" x14ac:dyDescent="0.25">
      <c r="A28" t="s">
        <v>54</v>
      </c>
      <c r="B28" s="13">
        <f si="4" t="shared"/>
        <v>0</v>
      </c>
      <c r="C28" s="13">
        <f si="4" t="shared"/>
        <v>0</v>
      </c>
      <c r="D28" s="13">
        <f si="4" t="shared"/>
        <v>0</v>
      </c>
      <c r="E28" s="13">
        <f si="5" t="shared"/>
        <v>0</v>
      </c>
      <c r="F28" s="13">
        <f si="6" t="shared"/>
        <v>0</v>
      </c>
      <c r="G28" s="13">
        <f si="6" t="shared"/>
        <v>0</v>
      </c>
      <c r="H28" s="13">
        <f si="6" t="shared"/>
        <v>0</v>
      </c>
      <c r="I28" s="13">
        <f si="6" t="shared"/>
        <v>0</v>
      </c>
      <c r="J28" s="13">
        <f si="6" t="shared"/>
        <v>0</v>
      </c>
      <c r="K28" s="6"/>
      <c r="L28" t="s">
        <v>54</v>
      </c>
      <c r="M28" s="13">
        <f ref="M28:P28" si="14" t="shared">M11/M$16</f>
        <v>0</v>
      </c>
      <c r="N28" s="13">
        <f si="14" t="shared"/>
        <v>0</v>
      </c>
      <c r="O28" s="13">
        <f si="14" t="shared"/>
        <v>0</v>
      </c>
      <c r="P28" s="13">
        <f si="14" t="shared"/>
        <v>0</v>
      </c>
      <c r="Q28" s="13">
        <f si="8" t="shared"/>
        <v>0</v>
      </c>
      <c r="R28" s="13">
        <f si="8" t="shared"/>
        <v>0</v>
      </c>
      <c r="S28" s="13">
        <f si="8" t="shared"/>
        <v>0</v>
      </c>
      <c r="T28" s="13">
        <f si="8" t="shared"/>
        <v>0</v>
      </c>
      <c r="U28" s="13">
        <f si="8" t="shared"/>
        <v>0</v>
      </c>
    </row>
    <row r="29" spans="1:21" x14ac:dyDescent="0.25">
      <c r="A29" t="s">
        <v>55</v>
      </c>
      <c r="B29" s="13">
        <f si="4" t="shared"/>
        <v>0</v>
      </c>
      <c r="C29" s="13">
        <f si="4" t="shared"/>
        <v>0</v>
      </c>
      <c r="D29" s="13">
        <f si="4" t="shared"/>
        <v>0</v>
      </c>
      <c r="E29" s="13">
        <f si="5" t="shared"/>
        <v>0.10504466945155749</v>
      </c>
      <c r="F29" s="13">
        <f si="6" t="shared"/>
        <v>3.8218427444861071E-2</v>
      </c>
      <c r="G29" s="13">
        <f si="6" t="shared"/>
        <v>0</v>
      </c>
      <c r="H29" s="13">
        <f si="6" t="shared"/>
        <v>0</v>
      </c>
      <c r="I29" s="13">
        <f si="6" t="shared"/>
        <v>0</v>
      </c>
      <c r="J29" s="13">
        <f si="6" t="shared"/>
        <v>1.1432135340484425E-3</v>
      </c>
      <c r="K29" s="6"/>
      <c r="L29" t="s">
        <v>55</v>
      </c>
      <c r="M29" s="13">
        <f ref="M29:P29" si="15" t="shared">M12/M$16</f>
        <v>0</v>
      </c>
      <c r="N29" s="13">
        <f si="15" t="shared"/>
        <v>0</v>
      </c>
      <c r="O29" s="13">
        <f si="15" t="shared"/>
        <v>0</v>
      </c>
      <c r="P29" s="13">
        <f si="15" t="shared"/>
        <v>0.14743313864125424</v>
      </c>
      <c r="Q29" s="13">
        <f si="8" t="shared"/>
        <v>0.14600119280109458</v>
      </c>
      <c r="R29" s="13">
        <f si="8" t="shared"/>
        <v>0</v>
      </c>
      <c r="S29" s="13">
        <f si="8" t="shared"/>
        <v>0</v>
      </c>
      <c r="T29" s="13">
        <f si="8" t="shared"/>
        <v>7.6125846900046762E-5</v>
      </c>
      <c r="U29" s="13">
        <f si="8" t="shared"/>
        <v>3.0752612887802529E-3</v>
      </c>
    </row>
    <row r="30" spans="1:21" x14ac:dyDescent="0.25">
      <c r="A30" t="s">
        <v>24</v>
      </c>
      <c r="B30" s="13">
        <f si="4" t="shared"/>
        <v>0</v>
      </c>
      <c r="C30" s="13">
        <f si="4" t="shared"/>
        <v>0</v>
      </c>
      <c r="D30" s="13">
        <f si="4" t="shared"/>
        <v>0</v>
      </c>
      <c r="E30" s="13">
        <f si="5" t="shared"/>
        <v>0</v>
      </c>
      <c r="F30" s="13">
        <f si="6" t="shared"/>
        <v>0</v>
      </c>
      <c r="G30" s="13">
        <f si="6" t="shared"/>
        <v>0</v>
      </c>
      <c r="H30" s="13">
        <f si="6" t="shared"/>
        <v>0</v>
      </c>
      <c r="I30" s="13">
        <f si="6" t="shared"/>
        <v>0.76376881680810726</v>
      </c>
      <c r="J30" s="13">
        <f si="6" t="shared"/>
        <v>3.2860413740830992E-2</v>
      </c>
      <c r="K30" s="6"/>
      <c r="L30" t="s">
        <v>24</v>
      </c>
      <c r="M30" s="13">
        <f ref="M30:P30" si="16" t="shared">M13/M$16</f>
        <v>0</v>
      </c>
      <c r="N30" s="13">
        <f si="16" t="shared"/>
        <v>0</v>
      </c>
      <c r="O30" s="13">
        <f si="16" t="shared"/>
        <v>0</v>
      </c>
      <c r="P30" s="13">
        <f si="16" t="shared"/>
        <v>0</v>
      </c>
      <c r="Q30" s="13">
        <f si="8" t="shared"/>
        <v>0</v>
      </c>
      <c r="R30" s="13">
        <f si="8" t="shared"/>
        <v>0</v>
      </c>
      <c r="S30" s="13">
        <f si="8" t="shared"/>
        <v>0</v>
      </c>
      <c r="T30" s="13">
        <f si="8" t="shared"/>
        <v>0.73250464911422142</v>
      </c>
      <c r="U30" s="13">
        <f si="8" t="shared"/>
        <v>1.3911168527003541E-2</v>
      </c>
    </row>
    <row r="31" spans="1:21" x14ac:dyDescent="0.25">
      <c r="A31" t="s">
        <v>4</v>
      </c>
      <c r="B31" s="13">
        <f si="4" t="shared"/>
        <v>4.4999762987102431E-4</v>
      </c>
      <c r="C31" s="13">
        <f si="4" t="shared"/>
        <v>3.0252642383061184E-4</v>
      </c>
      <c r="D31" s="13">
        <f si="4" t="shared"/>
        <v>8.8725898482577457E-4</v>
      </c>
      <c r="E31" s="13">
        <f si="5" t="shared"/>
        <v>0</v>
      </c>
      <c r="F31" s="13">
        <f si="6" t="shared"/>
        <v>6.6487319265634533E-3</v>
      </c>
      <c r="G31" s="13">
        <f si="6" t="shared"/>
        <v>0.95728334288554062</v>
      </c>
      <c r="H31" s="13">
        <f si="6" t="shared"/>
        <v>0</v>
      </c>
      <c r="I31" s="13">
        <f si="6" t="shared"/>
        <v>7.4019406754527277E-4</v>
      </c>
      <c r="J31" s="13">
        <f si="6" t="shared"/>
        <v>4.6976425445081566E-3</v>
      </c>
      <c r="K31" s="6"/>
      <c r="L31" t="s">
        <v>4</v>
      </c>
      <c r="M31" s="13">
        <f ref="M31:P31" si="17" t="shared">M14/M$16</f>
        <v>8.1934146995372103E-4</v>
      </c>
      <c r="N31" s="13">
        <f si="17" t="shared"/>
        <v>4.2717597208188178E-3</v>
      </c>
      <c r="O31" s="13">
        <f si="17" t="shared"/>
        <v>3.6764060798761787E-3</v>
      </c>
      <c r="P31" s="13">
        <f si="17" t="shared"/>
        <v>0</v>
      </c>
      <c r="Q31" s="13">
        <f si="8" t="shared"/>
        <v>2.7188848479178605E-2</v>
      </c>
      <c r="R31" s="13">
        <f si="8" t="shared"/>
        <v>0.96699325967618655</v>
      </c>
      <c r="S31" s="13">
        <f si="8" t="shared"/>
        <v>0</v>
      </c>
      <c r="T31" s="13">
        <f si="8" t="shared"/>
        <v>5.5245614607462509E-3</v>
      </c>
      <c r="U31" s="13">
        <f si="8" t="shared"/>
        <v>1.7293336348700346E-2</v>
      </c>
    </row>
    <row r="32" spans="1:21" x14ac:dyDescent="0.25">
      <c r="A32" s="4" t="s">
        <v>5</v>
      </c>
      <c r="B32" s="14">
        <f si="4" t="shared"/>
        <v>7.3905727872359455E-3</v>
      </c>
      <c r="C32" s="14">
        <f si="4" t="shared"/>
        <v>8.9591445061303274E-3</v>
      </c>
      <c r="D32" s="14">
        <f si="4" t="shared"/>
        <v>1.4602338742313876E-2</v>
      </c>
      <c r="E32" s="13">
        <f si="5" t="shared"/>
        <v>1.0693938823120933E-2</v>
      </c>
      <c r="F32" s="14">
        <f si="6" t="shared"/>
        <v>5.3628208911278896E-2</v>
      </c>
      <c r="G32" s="14">
        <f si="6" t="shared"/>
        <v>4.2716657114459461E-2</v>
      </c>
      <c r="H32" s="14">
        <f si="6" t="shared"/>
        <v>1</v>
      </c>
      <c r="I32" s="14">
        <f si="6" t="shared"/>
        <v>1.1921465099943556E-2</v>
      </c>
      <c r="J32" s="14">
        <f si="6" t="shared"/>
        <v>3.890599731969336E-2</v>
      </c>
      <c r="K32" s="6"/>
      <c r="L32" s="4" t="s">
        <v>5</v>
      </c>
      <c r="M32" s="14">
        <f ref="M32:P32" si="18" t="shared">M15/M$16</f>
        <v>5.3379971485914592E-3</v>
      </c>
      <c r="N32" s="14">
        <f si="18" t="shared"/>
        <v>1.1619066594659215E-2</v>
      </c>
      <c r="O32" s="14">
        <f si="18" t="shared"/>
        <v>1.0874072240779202E-2</v>
      </c>
      <c r="P32" s="14">
        <f si="18" t="shared"/>
        <v>0</v>
      </c>
      <c r="Q32" s="14">
        <f si="8" t="shared"/>
        <v>0.1076210634640347</v>
      </c>
      <c r="R32" s="14">
        <f si="8" t="shared"/>
        <v>3.3006740323813497E-2</v>
      </c>
      <c r="S32" s="14">
        <f si="8" t="shared"/>
        <v>1</v>
      </c>
      <c r="T32" s="14">
        <f si="8" t="shared"/>
        <v>2.959120420214675E-2</v>
      </c>
      <c r="U32" s="14">
        <f si="8" t="shared"/>
        <v>4.4407268686756034E-2</v>
      </c>
    </row>
    <row ht="15.75" r="33" spans="1:32" thickBot="1" x14ac:dyDescent="0.3">
      <c r="A33" s="12" t="s">
        <v>7</v>
      </c>
      <c r="B33" s="15">
        <f si="4" t="shared"/>
        <v>1</v>
      </c>
      <c r="C33" s="15">
        <f si="4" t="shared"/>
        <v>1</v>
      </c>
      <c r="D33" s="15">
        <f si="4" t="shared"/>
        <v>1</v>
      </c>
      <c r="E33" s="15">
        <f si="5" t="shared"/>
        <v>1</v>
      </c>
      <c r="F33" s="15">
        <f si="6" t="shared"/>
        <v>1</v>
      </c>
      <c r="G33" s="15">
        <f si="6" t="shared"/>
        <v>1</v>
      </c>
      <c r="H33" s="15">
        <f si="6" t="shared"/>
        <v>1</v>
      </c>
      <c r="I33" s="15">
        <f si="6" t="shared"/>
        <v>1</v>
      </c>
      <c r="J33" s="15">
        <f si="6" t="shared"/>
        <v>1</v>
      </c>
      <c r="L33" s="9" t="s">
        <v>7</v>
      </c>
      <c r="M33" s="15">
        <f ref="M33:P33" si="19" t="shared">M16/M$16</f>
        <v>1</v>
      </c>
      <c r="N33" s="15">
        <f si="19" t="shared"/>
        <v>1</v>
      </c>
      <c r="O33" s="15">
        <f si="19" t="shared"/>
        <v>1</v>
      </c>
      <c r="P33" s="15">
        <f si="19" t="shared"/>
        <v>1</v>
      </c>
      <c r="Q33" s="15">
        <f si="8" t="shared"/>
        <v>1</v>
      </c>
      <c r="R33" s="15">
        <f si="8" t="shared"/>
        <v>1</v>
      </c>
      <c r="S33" s="15">
        <f si="8" t="shared"/>
        <v>1</v>
      </c>
      <c r="T33" s="15">
        <f si="8" t="shared"/>
        <v>1</v>
      </c>
      <c r="U33" s="15">
        <f si="8" t="shared"/>
        <v>1</v>
      </c>
    </row>
    <row ht="15.75" r="36" spans="1:32" thickBot="1" x14ac:dyDescent="0.3">
      <c r="L36" s="1" t="s">
        <v>17</v>
      </c>
      <c r="M36" s="1"/>
      <c r="N36" s="2"/>
      <c r="O36" s="2"/>
      <c r="P36" s="2"/>
      <c r="Q36" s="2"/>
      <c r="R36" s="2"/>
      <c r="S36" s="2"/>
      <c r="T36" s="2"/>
      <c r="U36" s="2"/>
      <c r="W36" s="18" t="s">
        <v>48</v>
      </c>
      <c r="X36" s="18"/>
      <c r="Y36" s="19"/>
      <c r="Z36" s="19"/>
      <c r="AA36" s="19"/>
      <c r="AB36" s="19"/>
      <c r="AC36" s="19"/>
      <c r="AD36" s="19"/>
      <c r="AE36" s="19"/>
      <c r="AF36" s="19"/>
    </row>
    <row r="37" spans="1:32" x14ac:dyDescent="0.25">
      <c r="L37" s="3"/>
      <c r="M37" s="31" t="s">
        <v>47</v>
      </c>
      <c r="N37" s="32"/>
      <c r="O37" s="32"/>
      <c r="P37" s="32"/>
      <c r="Q37" s="32"/>
      <c r="R37" s="32"/>
      <c r="S37" s="32"/>
      <c r="T37" s="32"/>
      <c r="U37" s="32"/>
      <c r="W37" s="23"/>
      <c r="X37" s="30" t="s">
        <v>47</v>
      </c>
      <c r="Y37" s="30"/>
      <c r="Z37" s="30"/>
      <c r="AA37" s="30"/>
      <c r="AB37" s="30"/>
      <c r="AC37" s="30"/>
      <c r="AD37" s="30"/>
      <c r="AE37" s="30"/>
      <c r="AF37" s="24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  <c r="W38" s="25" t="s">
        <v>0</v>
      </c>
      <c r="X38" s="26" t="s">
        <v>11</v>
      </c>
      <c r="Y38" s="26" t="s">
        <v>12</v>
      </c>
      <c r="Z38" s="26" t="s">
        <v>13</v>
      </c>
      <c r="AA38" s="26" t="s">
        <v>14</v>
      </c>
      <c r="AB38" s="26" t="s">
        <v>15</v>
      </c>
      <c r="AC38" s="5" t="s">
        <v>4</v>
      </c>
      <c r="AD38" s="5" t="s">
        <v>5</v>
      </c>
      <c r="AE38" s="5" t="s">
        <v>16</v>
      </c>
      <c r="AF38" s="26" t="s">
        <v>7</v>
      </c>
    </row>
    <row r="39" spans="1:32" x14ac:dyDescent="0.25">
      <c r="L39" t="s">
        <v>1</v>
      </c>
      <c r="M39" s="13">
        <f ref="M39:P44" si="20" t="shared">M22-B22</f>
        <v>1.6832317985617795E-3</v>
      </c>
      <c r="N39" s="13">
        <f si="20" t="shared"/>
        <v>-3.6366887494108602E-2</v>
      </c>
      <c r="O39" s="13">
        <f si="20" t="shared"/>
        <v>-8.9463240164128488E-3</v>
      </c>
      <c r="P39" s="13">
        <f si="20" t="shared"/>
        <v>0.10891344962022731</v>
      </c>
      <c r="Q39" s="13">
        <f ref="Q39:Q50" si="21" t="shared">Q22-F22</f>
        <v>8.6272227961966784E-3</v>
      </c>
      <c r="R39" s="13">
        <f ref="R39:R50" si="22" t="shared">R22-G22</f>
        <v>0</v>
      </c>
      <c r="S39" s="13">
        <f ref="S39:S50" si="23" t="shared">S22-H22</f>
        <v>0</v>
      </c>
      <c r="T39" s="13">
        <f ref="T39:T50" si="24" t="shared">T22-I22</f>
        <v>4.9060385325370125E-3</v>
      </c>
      <c r="U39" s="13">
        <f ref="U39:U50" si="25" t="shared">U22-J22</f>
        <v>-6.9090635468566086E-3</v>
      </c>
      <c r="W39" s="21" t="s">
        <v>1</v>
      </c>
      <c r="X39" s="22">
        <f>M39</f>
        <v>1.6832317985617795E-3</v>
      </c>
      <c r="Y39" s="22">
        <f ref="Y39:AF39" si="26" t="shared">N39</f>
        <v>-3.6366887494108602E-2</v>
      </c>
      <c r="Z39" s="22">
        <f si="26" t="shared"/>
        <v>-8.9463240164128488E-3</v>
      </c>
      <c r="AA39" s="22">
        <f si="26" t="shared"/>
        <v>0.10891344962022731</v>
      </c>
      <c r="AB39" s="22">
        <f si="26" t="shared"/>
        <v>8.6272227961966784E-3</v>
      </c>
      <c r="AC39" s="22">
        <f si="26" t="shared"/>
        <v>0</v>
      </c>
      <c r="AD39" s="22">
        <f si="26" t="shared"/>
        <v>0</v>
      </c>
      <c r="AE39" s="22">
        <f si="26" t="shared"/>
        <v>4.9060385325370125E-3</v>
      </c>
      <c r="AF39" s="22">
        <f si="26" t="shared"/>
        <v>-6.9090635468566086E-3</v>
      </c>
    </row>
    <row r="40" spans="1:32" x14ac:dyDescent="0.25">
      <c r="L40" t="s">
        <v>9</v>
      </c>
      <c r="M40" s="13">
        <f si="20" t="shared"/>
        <v>0</v>
      </c>
      <c r="N40" s="13">
        <f si="20" t="shared"/>
        <v>2.973773210859143E-2</v>
      </c>
      <c r="O40" s="13">
        <f si="20" t="shared"/>
        <v>-1.5527716516816614E-4</v>
      </c>
      <c r="P40" s="13">
        <f si="20" t="shared"/>
        <v>-0.10927851037834335</v>
      </c>
      <c r="Q40" s="13">
        <f si="21" t="shared"/>
        <v>1.2045911456209417E-2</v>
      </c>
      <c r="R40" s="13">
        <f si="22" t="shared"/>
        <v>0</v>
      </c>
      <c r="S40" s="13">
        <f si="23" t="shared"/>
        <v>0</v>
      </c>
      <c r="T40" s="13">
        <f si="24" t="shared"/>
        <v>-2.3890184467023623E-5</v>
      </c>
      <c r="U40" s="13">
        <f si="25" t="shared"/>
        <v>1.7845108360013406E-3</v>
      </c>
      <c r="W40" s="27" t="s">
        <v>9</v>
      </c>
      <c r="X40" s="22">
        <f ref="X40:X49" si="27" t="shared">M40</f>
        <v>0</v>
      </c>
      <c r="Y40" s="22">
        <f ref="Y40:Y50" si="28" t="shared">N40</f>
        <v>2.973773210859143E-2</v>
      </c>
      <c r="Z40" s="22">
        <f ref="Z40:Z50" si="29" t="shared">O40</f>
        <v>-1.5527716516816614E-4</v>
      </c>
      <c r="AA40" s="22">
        <f ref="AA40:AA50" si="30" t="shared">P40</f>
        <v>-0.10927851037834335</v>
      </c>
      <c r="AB40" s="22">
        <f ref="AB40:AB50" si="31" t="shared">Q40</f>
        <v>1.2045911456209417E-2</v>
      </c>
      <c r="AC40" s="22">
        <f ref="AC40:AC50" si="32" t="shared">R40</f>
        <v>0</v>
      </c>
      <c r="AD40" s="22">
        <f ref="AD40:AD50" si="33" t="shared">S40</f>
        <v>0</v>
      </c>
      <c r="AE40" s="22">
        <f ref="AE40:AE50" si="34" t="shared">T40</f>
        <v>-2.3890184467023623E-5</v>
      </c>
      <c r="AF40" s="22">
        <f ref="AF40:AF50" si="35" t="shared">U40</f>
        <v>1.7845108360013406E-3</v>
      </c>
    </row>
    <row r="41" spans="1:32" x14ac:dyDescent="0.25">
      <c r="L41" t="s">
        <v>10</v>
      </c>
      <c r="M41" s="13">
        <f si="20" t="shared"/>
        <v>0</v>
      </c>
      <c r="N41" s="13">
        <f si="20" t="shared"/>
        <v>0</v>
      </c>
      <c r="O41" s="13">
        <f si="20" t="shared"/>
        <v>1.0040720588065377E-2</v>
      </c>
      <c r="P41" s="13">
        <f si="20" t="shared"/>
        <v>-4.0250168427847642E-2</v>
      </c>
      <c r="Q41" s="13">
        <f si="21" t="shared"/>
        <v>-3.0893996698103467E-2</v>
      </c>
      <c r="R41" s="13">
        <f si="22" t="shared"/>
        <v>0</v>
      </c>
      <c r="S41" s="13">
        <f si="23" t="shared"/>
        <v>0</v>
      </c>
      <c r="T41" s="13">
        <f si="24" t="shared"/>
        <v>3.8917540521174465E-3</v>
      </c>
      <c r="U41" s="13">
        <f si="25" t="shared"/>
        <v>2.6351926423223981E-3</v>
      </c>
      <c r="W41" s="27" t="s">
        <v>10</v>
      </c>
      <c r="X41" s="22">
        <f si="27" t="shared"/>
        <v>0</v>
      </c>
      <c r="Y41" s="22">
        <f si="28" t="shared"/>
        <v>0</v>
      </c>
      <c r="Z41" s="22">
        <f si="29" t="shared"/>
        <v>1.0040720588065377E-2</v>
      </c>
      <c r="AA41" s="22">
        <f si="30" t="shared"/>
        <v>-4.0250168427847642E-2</v>
      </c>
      <c r="AB41" s="22">
        <f si="31" t="shared"/>
        <v>-3.0893996698103467E-2</v>
      </c>
      <c r="AC41" s="22">
        <f si="32" t="shared"/>
        <v>0</v>
      </c>
      <c r="AD41" s="22">
        <f si="33" t="shared"/>
        <v>0</v>
      </c>
      <c r="AE41" s="22">
        <f si="34" t="shared"/>
        <v>3.8917540521174465E-3</v>
      </c>
      <c r="AF41" s="22">
        <f si="35" t="shared"/>
        <v>2.6351926423223981E-3</v>
      </c>
    </row>
    <row r="42" spans="1:32" x14ac:dyDescent="0.25">
      <c r="L42" t="s">
        <v>51</v>
      </c>
      <c r="M42" s="13">
        <f si="20" t="shared"/>
        <v>0</v>
      </c>
      <c r="N42" s="13">
        <f si="20" t="shared"/>
        <v>0</v>
      </c>
      <c r="O42" s="13">
        <f si="20" t="shared"/>
        <v>0</v>
      </c>
      <c r="P42" s="13">
        <f si="20" t="shared"/>
        <v>0</v>
      </c>
      <c r="Q42" s="13">
        <f si="21" t="shared"/>
        <v>0</v>
      </c>
      <c r="R42" s="13">
        <f si="22" t="shared"/>
        <v>0</v>
      </c>
      <c r="S42" s="13">
        <f si="23" t="shared"/>
        <v>0</v>
      </c>
      <c r="T42" s="13">
        <f si="24" t="shared"/>
        <v>0</v>
      </c>
      <c r="U42" s="13">
        <f si="25" t="shared"/>
        <v>0</v>
      </c>
      <c r="W42" t="s">
        <v>51</v>
      </c>
      <c r="X42" s="22">
        <f si="27" t="shared"/>
        <v>0</v>
      </c>
      <c r="Y42" s="22">
        <f si="28" t="shared"/>
        <v>0</v>
      </c>
      <c r="Z42" s="22">
        <f si="29" t="shared"/>
        <v>0</v>
      </c>
      <c r="AA42" s="22">
        <f si="30" t="shared"/>
        <v>0</v>
      </c>
      <c r="AB42" s="22">
        <f si="31" t="shared"/>
        <v>0</v>
      </c>
      <c r="AC42" s="22">
        <f si="32" t="shared"/>
        <v>0</v>
      </c>
      <c r="AD42" s="22">
        <f si="33" t="shared"/>
        <v>0</v>
      </c>
      <c r="AE42" s="22">
        <f si="34" t="shared"/>
        <v>0</v>
      </c>
      <c r="AF42" s="22">
        <f si="35" t="shared"/>
        <v>0</v>
      </c>
    </row>
    <row r="43" spans="1:32" x14ac:dyDescent="0.25">
      <c r="L43" t="s">
        <v>52</v>
      </c>
      <c r="M43" s="13">
        <f si="20" t="shared"/>
        <v>0</v>
      </c>
      <c r="N43" s="13">
        <f si="20" t="shared"/>
        <v>0</v>
      </c>
      <c r="O43" s="13">
        <f si="20" t="shared"/>
        <v>0</v>
      </c>
      <c r="P43" s="13">
        <f si="20" t="shared"/>
        <v>0</v>
      </c>
      <c r="Q43" s="13">
        <f si="21" t="shared"/>
        <v>0</v>
      </c>
      <c r="R43" s="13">
        <f si="22" t="shared"/>
        <v>0</v>
      </c>
      <c r="S43" s="13">
        <f si="23" t="shared"/>
        <v>0</v>
      </c>
      <c r="T43" s="13">
        <f si="24" t="shared"/>
        <v>0</v>
      </c>
      <c r="U43" s="13">
        <f si="25" t="shared"/>
        <v>0</v>
      </c>
      <c r="W43" t="s">
        <v>52</v>
      </c>
      <c r="X43" s="22">
        <f si="27" t="shared"/>
        <v>0</v>
      </c>
      <c r="Y43" s="22">
        <f si="28" t="shared"/>
        <v>0</v>
      </c>
      <c r="Z43" s="22">
        <f si="29" t="shared"/>
        <v>0</v>
      </c>
      <c r="AA43" s="22">
        <f si="30" t="shared"/>
        <v>0</v>
      </c>
      <c r="AB43" s="22">
        <f si="31" t="shared"/>
        <v>0</v>
      </c>
      <c r="AC43" s="22">
        <f si="32" t="shared"/>
        <v>0</v>
      </c>
      <c r="AD43" s="22">
        <f si="33" t="shared"/>
        <v>0</v>
      </c>
      <c r="AE43" s="22">
        <f si="34" t="shared"/>
        <v>0</v>
      </c>
      <c r="AF43" s="22">
        <f si="35" t="shared"/>
        <v>0</v>
      </c>
    </row>
    <row r="44" spans="1:32" x14ac:dyDescent="0.25">
      <c r="L44" t="s">
        <v>53</v>
      </c>
      <c r="M44" s="13">
        <f si="20" t="shared"/>
        <v>0</v>
      </c>
      <c r="N44" s="13">
        <f si="20" t="shared"/>
        <v>0</v>
      </c>
      <c r="O44" s="13">
        <f si="20" t="shared"/>
        <v>0</v>
      </c>
      <c r="P44" s="13">
        <f si="20" t="shared"/>
        <v>8.92069881938784E-3</v>
      </c>
      <c r="Q44" s="13">
        <f si="21" t="shared"/>
        <v>-0.17209487401590695</v>
      </c>
      <c r="R44" s="13">
        <f si="22" t="shared"/>
        <v>0</v>
      </c>
      <c r="S44" s="13">
        <f si="23" t="shared"/>
        <v>0</v>
      </c>
      <c r="T44" s="13">
        <f si="24" t="shared"/>
        <v>-3.9967048605791313E-5</v>
      </c>
      <c r="U44" s="13">
        <f si="25" t="shared"/>
        <v>1.4095923563736696E-3</v>
      </c>
      <c r="W44" t="s">
        <v>53</v>
      </c>
      <c r="X44" s="22">
        <f si="27" t="shared"/>
        <v>0</v>
      </c>
      <c r="Y44" s="22">
        <f si="28" t="shared"/>
        <v>0</v>
      </c>
      <c r="Z44" s="22">
        <f si="29" t="shared"/>
        <v>0</v>
      </c>
      <c r="AA44" s="22">
        <f si="30" t="shared"/>
        <v>8.92069881938784E-3</v>
      </c>
      <c r="AB44" s="22">
        <f si="31" t="shared"/>
        <v>-0.17209487401590695</v>
      </c>
      <c r="AC44" s="22">
        <f si="32" t="shared"/>
        <v>0</v>
      </c>
      <c r="AD44" s="22">
        <f si="33" t="shared"/>
        <v>0</v>
      </c>
      <c r="AE44" s="22">
        <f si="34" t="shared"/>
        <v>-3.9967048605791313E-5</v>
      </c>
      <c r="AF44" s="22">
        <f si="35" t="shared"/>
        <v>1.4095923563736696E-3</v>
      </c>
    </row>
    <row r="45" spans="1:32" x14ac:dyDescent="0.25">
      <c r="L45" t="s">
        <v>54</v>
      </c>
      <c r="M45" s="13">
        <f ref="M45:M47" si="36" t="shared">M28-B28</f>
        <v>0</v>
      </c>
      <c r="N45" s="13">
        <f ref="N45:N47" si="37" t="shared">N28-C28</f>
        <v>0</v>
      </c>
      <c r="O45" s="13">
        <f ref="O45:O47" si="38" t="shared">O28-D28</f>
        <v>0</v>
      </c>
      <c r="P45" s="13">
        <f ref="P45:P47" si="39" t="shared">P28-E28</f>
        <v>0</v>
      </c>
      <c r="Q45" s="13">
        <f si="21" t="shared"/>
        <v>0</v>
      </c>
      <c r="R45" s="13">
        <f si="22" t="shared"/>
        <v>0</v>
      </c>
      <c r="S45" s="13">
        <f si="23" t="shared"/>
        <v>0</v>
      </c>
      <c r="T45" s="13">
        <f si="24" t="shared"/>
        <v>0</v>
      </c>
      <c r="U45" s="13">
        <f si="25" t="shared"/>
        <v>0</v>
      </c>
      <c r="W45" t="s">
        <v>54</v>
      </c>
      <c r="X45" s="22">
        <f si="27" t="shared"/>
        <v>0</v>
      </c>
      <c r="Y45" s="22">
        <f si="28" t="shared"/>
        <v>0</v>
      </c>
      <c r="Z45" s="22">
        <f si="29" t="shared"/>
        <v>0</v>
      </c>
      <c r="AA45" s="22">
        <f si="30" t="shared"/>
        <v>0</v>
      </c>
      <c r="AB45" s="22">
        <f si="31" t="shared"/>
        <v>0</v>
      </c>
      <c r="AC45" s="22">
        <f si="32" t="shared"/>
        <v>0</v>
      </c>
      <c r="AD45" s="22">
        <f si="33" t="shared"/>
        <v>0</v>
      </c>
      <c r="AE45" s="22">
        <f si="34" t="shared"/>
        <v>0</v>
      </c>
      <c r="AF45" s="22">
        <f si="35" t="shared"/>
        <v>0</v>
      </c>
    </row>
    <row r="46" spans="1:32" x14ac:dyDescent="0.25">
      <c r="L46" t="s">
        <v>55</v>
      </c>
      <c r="M46" s="13">
        <f si="36" t="shared"/>
        <v>0</v>
      </c>
      <c r="N46" s="13">
        <f si="37" t="shared"/>
        <v>0</v>
      </c>
      <c r="O46" s="13">
        <f si="38" t="shared"/>
        <v>0</v>
      </c>
      <c r="P46" s="13">
        <f si="39" t="shared"/>
        <v>4.2388469189696742E-2</v>
      </c>
      <c r="Q46" s="13">
        <f si="21" t="shared"/>
        <v>0.10778276535623352</v>
      </c>
      <c r="R46" s="13">
        <f si="22" t="shared"/>
        <v>0</v>
      </c>
      <c r="S46" s="13">
        <f si="23" t="shared"/>
        <v>0</v>
      </c>
      <c r="T46" s="13">
        <f si="24" t="shared"/>
        <v>7.6125846900046762E-5</v>
      </c>
      <c r="U46" s="13">
        <f si="25" t="shared"/>
        <v>1.9320477547318104E-3</v>
      </c>
      <c r="W46" t="s">
        <v>55</v>
      </c>
      <c r="X46" s="22">
        <f si="27" t="shared"/>
        <v>0</v>
      </c>
      <c r="Y46" s="22">
        <f si="28" t="shared"/>
        <v>0</v>
      </c>
      <c r="Z46" s="22">
        <f si="29" t="shared"/>
        <v>0</v>
      </c>
      <c r="AA46" s="22">
        <f si="30" t="shared"/>
        <v>4.2388469189696742E-2</v>
      </c>
      <c r="AB46" s="22">
        <f si="31" t="shared"/>
        <v>0.10778276535623352</v>
      </c>
      <c r="AC46" s="22">
        <f si="32" t="shared"/>
        <v>0</v>
      </c>
      <c r="AD46" s="22">
        <f si="33" t="shared"/>
        <v>0</v>
      </c>
      <c r="AE46" s="22">
        <f si="34" t="shared"/>
        <v>7.6125846900046762E-5</v>
      </c>
      <c r="AF46" s="22">
        <f si="35" t="shared"/>
        <v>1.9320477547318104E-3</v>
      </c>
    </row>
    <row r="47" spans="1:32" x14ac:dyDescent="0.25">
      <c r="L47" t="s">
        <v>24</v>
      </c>
      <c r="M47" s="13">
        <f si="36" t="shared"/>
        <v>0</v>
      </c>
      <c r="N47" s="13">
        <f si="37" t="shared"/>
        <v>0</v>
      </c>
      <c r="O47" s="13">
        <f si="38" t="shared"/>
        <v>0</v>
      </c>
      <c r="P47" s="13">
        <f si="39" t="shared"/>
        <v>0</v>
      </c>
      <c r="Q47" s="13">
        <f si="21" t="shared"/>
        <v>0</v>
      </c>
      <c r="R47" s="13">
        <f si="22" t="shared"/>
        <v>0</v>
      </c>
      <c r="S47" s="13">
        <f si="23" t="shared"/>
        <v>0</v>
      </c>
      <c r="T47" s="13">
        <f si="24" t="shared"/>
        <v>-3.1264167693885847E-2</v>
      </c>
      <c r="U47" s="13">
        <f si="25" t="shared"/>
        <v>-1.8949245213827452E-2</v>
      </c>
      <c r="W47" s="21" t="s">
        <v>24</v>
      </c>
      <c r="X47" s="22">
        <f si="27" t="shared"/>
        <v>0</v>
      </c>
      <c r="Y47" s="22">
        <f si="28" t="shared"/>
        <v>0</v>
      </c>
      <c r="Z47" s="22">
        <f si="29" t="shared"/>
        <v>0</v>
      </c>
      <c r="AA47" s="22">
        <f si="30" t="shared"/>
        <v>0</v>
      </c>
      <c r="AB47" s="22">
        <f si="31" t="shared"/>
        <v>0</v>
      </c>
      <c r="AC47" s="22">
        <f si="32" t="shared"/>
        <v>0</v>
      </c>
      <c r="AD47" s="22">
        <f si="33" t="shared"/>
        <v>0</v>
      </c>
      <c r="AE47" s="22">
        <f si="34" t="shared"/>
        <v>-3.1264167693885847E-2</v>
      </c>
      <c r="AF47" s="22">
        <f si="35" t="shared"/>
        <v>-1.8949245213827452E-2</v>
      </c>
    </row>
    <row r="48" spans="1:32" x14ac:dyDescent="0.25">
      <c r="L48" t="s">
        <v>4</v>
      </c>
      <c r="M48" s="13">
        <f ref="M48:P50" si="40" t="shared">M31-B31</f>
        <v>3.6934384008269672E-4</v>
      </c>
      <c r="N48" s="13">
        <f si="40" t="shared"/>
        <v>3.9692332969882057E-3</v>
      </c>
      <c r="O48" s="13">
        <f si="40" t="shared"/>
        <v>2.7891470950504042E-3</v>
      </c>
      <c r="P48" s="13">
        <f si="40" t="shared"/>
        <v>0</v>
      </c>
      <c r="Q48" s="13">
        <f si="21" t="shared"/>
        <v>2.0540116552615152E-2</v>
      </c>
      <c r="R48" s="13">
        <f si="22" t="shared"/>
        <v>9.7099167906459227E-3</v>
      </c>
      <c r="S48" s="13">
        <f si="23" t="shared"/>
        <v>0</v>
      </c>
      <c r="T48" s="13">
        <f si="24" t="shared"/>
        <v>4.7843673932009782E-3</v>
      </c>
      <c r="U48" s="13">
        <f si="25" t="shared"/>
        <v>1.259569380419219E-2</v>
      </c>
      <c r="W48" s="27" t="s">
        <v>4</v>
      </c>
      <c r="X48" s="22">
        <f si="27" t="shared"/>
        <v>3.6934384008269672E-4</v>
      </c>
      <c r="Y48" s="22">
        <f si="28" t="shared"/>
        <v>3.9692332969882057E-3</v>
      </c>
      <c r="Z48" s="22">
        <f si="29" t="shared"/>
        <v>2.7891470950504042E-3</v>
      </c>
      <c r="AA48" s="22">
        <f si="30" t="shared"/>
        <v>0</v>
      </c>
      <c r="AB48" s="22">
        <f si="31" t="shared"/>
        <v>2.0540116552615152E-2</v>
      </c>
      <c r="AC48" s="22">
        <f si="32" t="shared"/>
        <v>9.7099167906459227E-3</v>
      </c>
      <c r="AD48" s="22">
        <f si="33" t="shared"/>
        <v>0</v>
      </c>
      <c r="AE48" s="22">
        <f si="34" t="shared"/>
        <v>4.7843673932009782E-3</v>
      </c>
      <c r="AF48" s="22">
        <f si="35" t="shared"/>
        <v>1.259569380419219E-2</v>
      </c>
    </row>
    <row r="49" spans="12:32" x14ac:dyDescent="0.25">
      <c r="L49" s="4" t="s">
        <v>5</v>
      </c>
      <c r="M49" s="17">
        <f si="40" t="shared"/>
        <v>-2.0525756386444863E-3</v>
      </c>
      <c r="N49" s="17">
        <f si="40" t="shared"/>
        <v>2.6599220885288877E-3</v>
      </c>
      <c r="O49" s="17">
        <f si="40" t="shared"/>
        <v>-3.7282665015346741E-3</v>
      </c>
      <c r="P49" s="17">
        <f si="40" t="shared"/>
        <v>-1.0693938823120933E-2</v>
      </c>
      <c r="Q49" s="17">
        <f si="21" t="shared"/>
        <v>5.3992854552755806E-2</v>
      </c>
      <c r="R49" s="17">
        <f si="22" t="shared"/>
        <v>-9.7099167906459644E-3</v>
      </c>
      <c r="S49" s="17">
        <f si="23" t="shared"/>
        <v>0</v>
      </c>
      <c r="T49" s="17">
        <f si="24" t="shared"/>
        <v>1.7669739102203194E-2</v>
      </c>
      <c r="U49" s="13">
        <f si="25" t="shared"/>
        <v>5.5012713670626739E-3</v>
      </c>
      <c r="W49" s="20" t="s">
        <v>5</v>
      </c>
      <c r="X49" s="22">
        <f si="27" t="shared"/>
        <v>-2.0525756386444863E-3</v>
      </c>
      <c r="Y49" s="22">
        <f si="28" t="shared"/>
        <v>2.6599220885288877E-3</v>
      </c>
      <c r="Z49" s="22">
        <f si="29" t="shared"/>
        <v>-3.7282665015346741E-3</v>
      </c>
      <c r="AA49" s="22">
        <f si="30" t="shared"/>
        <v>-1.0693938823120933E-2</v>
      </c>
      <c r="AB49" s="22">
        <f si="31" t="shared"/>
        <v>5.3992854552755806E-2</v>
      </c>
      <c r="AC49" s="22">
        <f si="32" t="shared"/>
        <v>-9.7099167906459644E-3</v>
      </c>
      <c r="AD49" s="22">
        <f si="33" t="shared"/>
        <v>0</v>
      </c>
      <c r="AE49" s="22">
        <f si="34" t="shared"/>
        <v>1.7669739102203194E-2</v>
      </c>
      <c r="AF49" s="22">
        <f si="35" t="shared"/>
        <v>5.5012713670626739E-3</v>
      </c>
    </row>
    <row ht="15.75" r="50" spans="12:32" thickBot="1" x14ac:dyDescent="0.3">
      <c r="L50" s="9" t="s">
        <v>7</v>
      </c>
      <c r="M50" s="15">
        <f si="40" t="shared"/>
        <v>0</v>
      </c>
      <c r="N50" s="15">
        <f si="40" t="shared"/>
        <v>0</v>
      </c>
      <c r="O50" s="15">
        <f si="40" t="shared"/>
        <v>0</v>
      </c>
      <c r="P50" s="15">
        <f si="40" t="shared"/>
        <v>0</v>
      </c>
      <c r="Q50" s="15">
        <f si="21" t="shared"/>
        <v>0</v>
      </c>
      <c r="R50" s="15">
        <f si="22" t="shared"/>
        <v>0</v>
      </c>
      <c r="S50" s="15">
        <f si="23" t="shared"/>
        <v>0</v>
      </c>
      <c r="T50" s="15">
        <f si="24" t="shared"/>
        <v>0</v>
      </c>
      <c r="U50" s="15">
        <f si="25" t="shared"/>
        <v>0</v>
      </c>
      <c r="W50" s="28" t="s">
        <v>7</v>
      </c>
      <c r="X50" s="29">
        <f>M50</f>
        <v>0</v>
      </c>
      <c r="Y50" s="29">
        <f si="28" t="shared"/>
        <v>0</v>
      </c>
      <c r="Z50" s="29">
        <f si="29" t="shared"/>
        <v>0</v>
      </c>
      <c r="AA50" s="29">
        <f si="30" t="shared"/>
        <v>0</v>
      </c>
      <c r="AB50" s="29">
        <f si="31" t="shared"/>
        <v>0</v>
      </c>
      <c r="AC50" s="29">
        <f si="32" t="shared"/>
        <v>0</v>
      </c>
      <c r="AD50" s="29">
        <f si="33" t="shared"/>
        <v>0</v>
      </c>
      <c r="AE50" s="29">
        <f si="34" t="shared"/>
        <v>0</v>
      </c>
      <c r="AF50" s="29">
        <f si="35" t="shared"/>
        <v>0</v>
      </c>
    </row>
  </sheetData>
  <mergeCells count="6">
    <mergeCell ref="X37:AE37"/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2:AF50"/>
  <sheetViews>
    <sheetView workbookViewId="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28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41</v>
      </c>
      <c r="C3" s="31"/>
      <c r="D3" s="31"/>
      <c r="E3" s="31"/>
      <c r="F3" s="31"/>
      <c r="G3" s="31"/>
      <c r="H3" s="31"/>
      <c r="I3" s="31"/>
      <c r="J3" s="7"/>
      <c r="L3" s="3"/>
      <c r="M3" s="31" t="s">
        <v>41</v>
      </c>
      <c r="N3" s="31"/>
      <c r="O3" s="31"/>
      <c r="P3" s="31"/>
      <c r="Q3" s="31"/>
      <c r="R3" s="31"/>
      <c r="S3" s="31"/>
      <c r="T3" s="31"/>
      <c r="U3" s="31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134655.7503</v>
      </c>
      <c r="C5" s="6" t="n">
        <v>4900.0103</v>
      </c>
      <c r="D5" s="6" t="n">
        <v>1547.0225</v>
      </c>
      <c r="E5" s="6" t="n">
        <v>0.0</v>
      </c>
      <c r="F5" s="6" t="n">
        <v>16.0528</v>
      </c>
      <c r="G5" s="6" t="n">
        <v>0.0</v>
      </c>
      <c r="H5" s="6" t="n">
        <v>0.0</v>
      </c>
      <c r="I5" s="6" t="n">
        <v>0.0</v>
      </c>
      <c r="J5" s="6">
        <f>SUM(B5:I5)</f>
        <v>213616.53482500001</v>
      </c>
      <c r="K5" s="6"/>
      <c r="L5" t="s">
        <v>1</v>
      </c>
      <c r="M5" s="6" t="n">
        <v>655045.0</v>
      </c>
      <c r="N5" s="6" t="n">
        <v>22655.0</v>
      </c>
      <c r="O5" s="6" t="n">
        <v>6982.0</v>
      </c>
      <c r="P5" s="6" t="n">
        <v>0.0</v>
      </c>
      <c r="Q5" s="6" t="n">
        <v>326.0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177228</v>
      </c>
    </row>
    <row r="6" spans="1:21" x14ac:dyDescent="0.25">
      <c r="A6" t="s">
        <v>12</v>
      </c>
      <c r="B6" s="6" t="n">
        <v>0.0</v>
      </c>
      <c r="C6" s="6" t="n">
        <v>25999.9458</v>
      </c>
      <c r="D6" s="6" t="n">
        <v>117.1286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128167.481724</v>
      </c>
      <c r="K6" s="6"/>
      <c r="L6" t="s">
        <v>12</v>
      </c>
      <c r="M6" s="6" t="n">
        <v>0.0</v>
      </c>
      <c r="N6" s="6" t="n">
        <v>154396.0</v>
      </c>
      <c r="O6" s="6" t="n">
        <v>20968.0</v>
      </c>
      <c r="P6" s="6" t="n">
        <v>0.0</v>
      </c>
      <c r="Q6" s="6" t="n">
        <v>1882.0</v>
      </c>
      <c r="R6" s="6" t="n">
        <v>0.0</v>
      </c>
      <c r="S6" s="6" t="n">
        <v>0.0</v>
      </c>
      <c r="T6" s="6" t="n">
        <v>0.0</v>
      </c>
      <c r="U6" s="6">
        <f si="0" t="shared"/>
        <v>45685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10820.4943</v>
      </c>
      <c r="E7" s="6" t="n">
        <v>0.0</v>
      </c>
      <c r="F7" s="6" t="n">
        <v>1263.856</v>
      </c>
      <c r="G7" s="6" t="n">
        <v>0.0</v>
      </c>
      <c r="H7" s="6" t="n">
        <v>0.0</v>
      </c>
      <c r="I7" s="6" t="n">
        <v>0.0</v>
      </c>
      <c r="J7" s="6">
        <f si="1" t="shared"/>
        <v>85750.065938000014</v>
      </c>
      <c r="K7" s="6"/>
      <c r="L7" t="s">
        <v>56</v>
      </c>
      <c r="M7" s="6" t="n">
        <v>0.0</v>
      </c>
      <c r="N7" s="6" t="n">
        <v>0.0</v>
      </c>
      <c r="O7" s="6" t="n">
        <v>79423.0</v>
      </c>
      <c r="P7" s="6" t="n">
        <v>0.0</v>
      </c>
      <c r="Q7" s="6" t="n">
        <v>891.0</v>
      </c>
      <c r="R7" s="6" t="n">
        <v>0.0</v>
      </c>
      <c r="S7" s="6" t="n">
        <v>0.0</v>
      </c>
      <c r="T7" s="6" t="n">
        <v>0.0</v>
      </c>
      <c r="U7" s="6">
        <f si="0" t="shared"/>
        <v>16392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5146.5568</v>
      </c>
      <c r="G8" s="6" t="n">
        <v>0.0</v>
      </c>
      <c r="H8" s="6" t="n">
        <v>0.0</v>
      </c>
      <c r="I8" s="6" t="n">
        <v>0.0</v>
      </c>
      <c r="J8" s="6">
        <f si="1" t="shared"/>
        <v>0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6994.0</v>
      </c>
      <c r="R8" s="6" t="n">
        <v>0.0</v>
      </c>
      <c r="S8" s="6" t="n">
        <v>0.0</v>
      </c>
      <c r="T8" s="6" t="n">
        <v>0.0</v>
      </c>
      <c r="U8" s="6">
        <f si="0" t="shared"/>
        <v>0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204.0416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890.46461900000008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323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154.66719800000001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47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1267.9498</v>
      </c>
      <c r="J13" s="6">
        <f si="1" t="shared"/>
        <v>4436.8282310000004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0.0</v>
      </c>
      <c r="G14" s="6" t="n">
        <v>745.53</v>
      </c>
      <c r="H14" s="6" t="n">
        <v>0.0</v>
      </c>
      <c r="I14" s="6" t="n">
        <v>0.0</v>
      </c>
      <c r="J14" s="6">
        <f si="1" t="shared"/>
        <v>5350.8902280000002</v>
      </c>
      <c r="K14" s="6"/>
      <c r="L14" t="s">
        <v>4</v>
      </c>
      <c r="M14" s="6" t="n">
        <v>716.0</v>
      </c>
      <c r="N14" s="6" t="n">
        <v>350.0</v>
      </c>
      <c r="O14" s="6" t="n">
        <v>143.0</v>
      </c>
      <c r="P14" s="6" t="n">
        <v>0.0</v>
      </c>
      <c r="Q14" s="6" t="n">
        <v>81.0</v>
      </c>
      <c r="R14" s="6" t="n">
        <v>4735.0</v>
      </c>
      <c r="S14" s="6" t="n">
        <v>0.0</v>
      </c>
      <c r="T14" s="6" t="n">
        <v>0.0</v>
      </c>
      <c r="U14" s="6">
        <f si="0" t="shared"/>
        <v>1627</v>
      </c>
    </row>
    <row r="15" spans="1:21" x14ac:dyDescent="0.25">
      <c r="A15" s="4" t="s">
        <v>5</v>
      </c>
      <c r="B15" s="10" t="n">
        <v>1159.9862</v>
      </c>
      <c r="C15" s="10" t="n">
        <v>541.5049</v>
      </c>
      <c r="D15" s="10" t="n">
        <v>0.0</v>
      </c>
      <c r="E15" s="10" t="n">
        <v>0.0</v>
      </c>
      <c r="F15" s="10" t="n">
        <v>2300.9092</v>
      </c>
      <c r="G15" s="10" t="n">
        <v>0.0</v>
      </c>
      <c r="H15" s="10" t="n">
        <v>131666.3552</v>
      </c>
      <c r="I15" s="10" t="n">
        <v>0.0</v>
      </c>
      <c r="J15" s="6">
        <f si="1" t="shared"/>
        <v>55810.044645000002</v>
      </c>
      <c r="K15" s="6"/>
      <c r="L15" s="4" t="s">
        <v>5</v>
      </c>
      <c r="M15" s="8" t="n">
        <v>11381.0</v>
      </c>
      <c r="N15" s="8" t="n">
        <v>3056.0</v>
      </c>
      <c r="O15" s="8" t="n">
        <v>1536.0</v>
      </c>
      <c r="P15" s="8" t="n">
        <v>0.0</v>
      </c>
      <c r="Q15" s="8" t="n">
        <v>1983.0</v>
      </c>
      <c r="R15" s="8" t="n">
        <v>574.0</v>
      </c>
      <c r="S15" s="8" t="n">
        <v>452594.0</v>
      </c>
      <c r="T15" s="8" t="n">
        <v>0.0</v>
      </c>
      <c r="U15" s="6">
        <f si="0" t="shared"/>
        <v>26809</v>
      </c>
    </row>
    <row ht="15.75" r="16" spans="1:21" thickBot="1" x14ac:dyDescent="0.3">
      <c r="A16" s="12" t="s">
        <v>7</v>
      </c>
      <c r="B16" s="16">
        <f ref="B16:J16" si="2" t="shared">SUM(B5:B15)</f>
        <v>200199.984558</v>
      </c>
      <c r="C16" s="16">
        <f si="2" t="shared"/>
        <v>135872.33665000001</v>
      </c>
      <c r="D16" s="16">
        <f si="2" t="shared"/>
        <v>99555.576453000001</v>
      </c>
      <c r="E16" s="16">
        <f si="2" t="shared"/>
        <v>784.58784400000002</v>
      </c>
      <c r="F16" s="16">
        <f si="2" t="shared"/>
        <v>875.56505300000003</v>
      </c>
      <c r="G16" s="16">
        <f si="2" t="shared"/>
        <v>5679.4318410000005</v>
      </c>
      <c r="H16" s="16">
        <f si="2" t="shared"/>
        <v>46218.024618000003</v>
      </c>
      <c r="I16" s="16">
        <f si="2" t="shared"/>
        <v>4991.4703910000007</v>
      </c>
      <c r="J16" s="16">
        <f si="2" t="shared"/>
        <v>494176.97740800004</v>
      </c>
      <c r="L16" s="9" t="s">
        <v>7</v>
      </c>
      <c r="M16" s="16">
        <f ref="M16:U16" si="3" t="shared">SUM(M5:M15)</f>
        <v>172658</v>
      </c>
      <c r="N16" s="16">
        <f si="3" t="shared"/>
        <v>47535</v>
      </c>
      <c r="O16" s="16">
        <f si="3" t="shared"/>
        <v>20982</v>
      </c>
      <c r="P16" s="16">
        <f si="3" t="shared"/>
        <v>0</v>
      </c>
      <c r="Q16" s="16">
        <f si="3" t="shared"/>
        <v>512</v>
      </c>
      <c r="R16" s="16">
        <f si="3" t="shared"/>
        <v>1463</v>
      </c>
      <c r="S16" s="16">
        <f si="3" t="shared"/>
        <v>24961</v>
      </c>
      <c r="T16" s="16">
        <f si="3" t="shared"/>
        <v>0</v>
      </c>
      <c r="U16" s="16">
        <f si="3" t="shared"/>
        <v>268111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27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41</v>
      </c>
      <c r="C20" s="31"/>
      <c r="D20" s="31"/>
      <c r="E20" s="31"/>
      <c r="F20" s="31"/>
      <c r="G20" s="31"/>
      <c r="H20" s="31"/>
      <c r="I20" s="31"/>
      <c r="J20" s="7"/>
      <c r="L20" s="3"/>
      <c r="M20" s="31" t="s">
        <v>41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0.99491279763957752</v>
      </c>
      <c r="C22" s="13">
        <f si="4" t="shared"/>
        <v>8.7623277986807177E-2</v>
      </c>
      <c r="D22" s="13">
        <f si="4" t="shared"/>
        <v>2.1466749831024656E-2</v>
      </c>
      <c r="E22" s="13">
        <f si="4" t="shared"/>
        <v>0.5</v>
      </c>
      <c r="F22" s="13">
        <f si="4" t="shared"/>
        <v>0</v>
      </c>
      <c r="G22" s="13">
        <f si="4" t="shared"/>
        <v>0</v>
      </c>
      <c r="H22" s="13">
        <f si="4" t="shared"/>
        <v>0</v>
      </c>
      <c r="I22" s="13">
        <f si="4" t="shared"/>
        <v>0</v>
      </c>
      <c r="J22" s="13">
        <f si="4" t="shared"/>
        <v>0.43226727385285485</v>
      </c>
      <c r="K22" s="6"/>
      <c r="L22" t="s">
        <v>1</v>
      </c>
      <c r="M22" s="13">
        <f ref="M22:P22" si="5" t="shared">M5/M$16</f>
        <v>0.99069258302540286</v>
      </c>
      <c r="N22" s="13">
        <f si="5" t="shared"/>
        <v>0.1083622593878195</v>
      </c>
      <c r="O22" s="13">
        <f si="5" t="shared"/>
        <v>4.8517777142312458E-2</v>
      </c>
      <c r="P22" s="13" t="e">
        <f si="5" t="shared"/>
        <v>#DIV/0!</v>
      </c>
      <c r="Q22" s="13">
        <f ref="Q22:U33" si="6" t="shared">Q5/Q$16</f>
        <v>1.5625E-2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0.66102472483411723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0.90172041379255974</v>
      </c>
      <c r="D23" s="13">
        <f si="7" t="shared"/>
        <v>5.3747707558362064E-2</v>
      </c>
      <c r="E23" s="13">
        <f si="7" t="shared"/>
        <v>0</v>
      </c>
      <c r="F23" s="13">
        <f si="7" t="shared"/>
        <v>0</v>
      </c>
      <c r="G23" s="13">
        <f si="7" t="shared"/>
        <v>0</v>
      </c>
      <c r="H23" s="13">
        <f si="7" t="shared"/>
        <v>0</v>
      </c>
      <c r="I23" s="13">
        <f si="7" t="shared"/>
        <v>5.9649374768774417E-2</v>
      </c>
      <c r="J23" s="13">
        <f si="7" t="shared"/>
        <v>0.25935542848687376</v>
      </c>
      <c r="K23" s="6"/>
      <c r="L23" t="s">
        <v>12</v>
      </c>
      <c r="M23" s="13">
        <f ref="M23:P23" si="8" t="shared">M6/M$16</f>
        <v>0</v>
      </c>
      <c r="N23" s="13">
        <f si="8" t="shared"/>
        <v>0.88496897023246024</v>
      </c>
      <c r="O23" s="13">
        <f si="8" t="shared"/>
        <v>0.1687637022209513</v>
      </c>
      <c r="P23" s="13" t="e">
        <f si="8" t="shared"/>
        <v>#DIV/0!</v>
      </c>
      <c r="Q23" s="13">
        <f si="6" t="shared"/>
        <v>0.150390625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0.17039584351257503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0.8583563940021256</v>
      </c>
      <c r="E24" s="13">
        <f si="9" t="shared"/>
        <v>0</v>
      </c>
      <c r="F24" s="13">
        <f si="9" t="shared"/>
        <v>4.4538391369533109E-2</v>
      </c>
      <c r="G24" s="13">
        <f si="9" t="shared"/>
        <v>0</v>
      </c>
      <c r="H24" s="13">
        <f si="9" t="shared"/>
        <v>0</v>
      </c>
      <c r="I24" s="13">
        <f si="9" t="shared"/>
        <v>5.1468615833766634E-2</v>
      </c>
      <c r="J24" s="13">
        <f si="9" t="shared"/>
        <v>0.17352096487328558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0.77995424649699741</v>
      </c>
      <c r="P24" s="13" t="e">
        <f si="10" t="shared"/>
        <v>#DIV/0!</v>
      </c>
      <c r="Q24" s="13">
        <f si="6" t="shared"/>
        <v>5.2734375E-2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6.1138856667574251E-2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</v>
      </c>
      <c r="F25" s="13">
        <f si="11" t="shared"/>
        <v>0</v>
      </c>
      <c r="G25" s="13">
        <f si="11" t="shared"/>
        <v>0</v>
      </c>
      <c r="H25" s="13">
        <f si="11" t="shared"/>
        <v>0</v>
      </c>
      <c r="I25" s="13">
        <f si="11" t="shared"/>
        <v>0</v>
      </c>
      <c r="J25" s="13">
        <f si="11" t="shared"/>
        <v>0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0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0.5</v>
      </c>
      <c r="F27" s="13">
        <f si="15" t="shared"/>
        <v>0.56897051257709341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1.8019144146911945E-3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0.630859375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1.2047249087131823E-3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0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0.17664843688090873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3.1297936785975444E-4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9.1796875E-2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1.7530052851244448E-4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0.88888200939745887</v>
      </c>
      <c r="J30" s="13">
        <f si="21" t="shared"/>
        <v>8.9782171850083733E-3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6.8437439344709984E-4</v>
      </c>
      <c r="C31" s="13">
        <f si="23" t="shared"/>
        <v>1.6728000680924476E-3</v>
      </c>
      <c r="D31" s="13">
        <f si="23" t="shared"/>
        <v>0</v>
      </c>
      <c r="E31" s="13">
        <f si="23" t="shared"/>
        <v>0</v>
      </c>
      <c r="F31" s="13">
        <f si="23" t="shared"/>
        <v>2.8594861014855966E-2</v>
      </c>
      <c r="G31" s="13">
        <f si="23" t="shared"/>
        <v>0.87360051302709163</v>
      </c>
      <c r="H31" s="13">
        <f si="23" t="shared"/>
        <v>0</v>
      </c>
      <c r="I31" s="13">
        <f si="23" t="shared"/>
        <v>0</v>
      </c>
      <c r="J31" s="13">
        <f si="23" t="shared"/>
        <v>1.0827882464427768E-2</v>
      </c>
      <c r="K31" s="6"/>
      <c r="L31" t="s">
        <v>4</v>
      </c>
      <c r="M31" s="13">
        <f ref="M31:P31" si="24" t="shared">M14/M$16</f>
        <v>8.2822689941966195E-4</v>
      </c>
      <c r="N31" s="13">
        <f si="24" t="shared"/>
        <v>1.4305248764068582E-3</v>
      </c>
      <c r="O31" s="13">
        <f si="24" t="shared"/>
        <v>3.8127919168811362E-4</v>
      </c>
      <c r="P31" s="13" t="e">
        <f si="24" t="shared"/>
        <v>#DIV/0!</v>
      </c>
      <c r="Q31" s="13">
        <f si="6" t="shared"/>
        <v>1.171875E-2</v>
      </c>
      <c r="R31" s="13">
        <f si="6" t="shared"/>
        <v>0.9583048530416951</v>
      </c>
      <c r="S31" s="13">
        <f si="6" t="shared"/>
        <v>0</v>
      </c>
      <c r="T31" s="13" t="e">
        <f si="6" t="shared"/>
        <v>#DIV/0!</v>
      </c>
      <c r="U31" s="13">
        <f si="6" t="shared"/>
        <v>6.0683821253137695E-3</v>
      </c>
    </row>
    <row r="32" spans="1:21" x14ac:dyDescent="0.25">
      <c r="A32" s="4" t="s">
        <v>5</v>
      </c>
      <c r="B32" s="14">
        <f ref="B32:J32" si="25" t="shared">B15/B$16</f>
        <v>4.402827966975372E-3</v>
      </c>
      <c r="C32" s="14">
        <f si="25" t="shared"/>
        <v>8.9835081525404814E-3</v>
      </c>
      <c r="D32" s="14">
        <f si="25" t="shared"/>
        <v>6.642914860848774E-2</v>
      </c>
      <c r="E32" s="14">
        <f si="25" t="shared"/>
        <v>0</v>
      </c>
      <c r="F32" s="14">
        <f si="25" t="shared"/>
        <v>0.18124779815760875</v>
      </c>
      <c r="G32" s="14">
        <f si="25" t="shared"/>
        <v>0.12639948697290826</v>
      </c>
      <c r="H32" s="14">
        <f si="25" t="shared"/>
        <v>1</v>
      </c>
      <c r="I32" s="14">
        <f si="25" t="shared"/>
        <v>0</v>
      </c>
      <c r="J32" s="14">
        <f si="25" t="shared"/>
        <v>0.11293533935499868</v>
      </c>
      <c r="K32" s="6"/>
      <c r="L32" s="4" t="s">
        <v>5</v>
      </c>
      <c r="M32" s="14">
        <f ref="M32:P32" si="26" t="shared">M15/M$16</f>
        <v>8.479190075177518E-3</v>
      </c>
      <c r="N32" s="14">
        <f si="26" t="shared"/>
        <v>5.2382455033133483E-3</v>
      </c>
      <c r="O32" s="14">
        <f si="26" t="shared"/>
        <v>2.3829949480507102E-3</v>
      </c>
      <c r="P32" s="14" t="e">
        <f si="26" t="shared"/>
        <v>#DIV/0!</v>
      </c>
      <c r="Q32" s="14">
        <f si="6" t="shared"/>
        <v>4.6875E-2</v>
      </c>
      <c r="R32" s="14">
        <f si="6" t="shared"/>
        <v>4.1695146958304855E-2</v>
      </c>
      <c r="S32" s="14">
        <f si="6" t="shared"/>
        <v>1</v>
      </c>
      <c r="T32" s="14" t="e">
        <f si="6" t="shared"/>
        <v>#DIV/0!</v>
      </c>
      <c r="U32" s="14">
        <f si="6" t="shared"/>
        <v>9.9992167423194125E-2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8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41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1" si="29" t="shared">M22-B22</f>
        <v>-4.2202146141746555E-3</v>
      </c>
      <c r="N39" s="13">
        <f si="29" t="shared"/>
        <v>2.0738981401012324E-2</v>
      </c>
      <c r="O39" s="13">
        <f si="29" t="shared"/>
        <v>2.7051027311287803E-2</v>
      </c>
      <c r="P39" s="13" t="e">
        <f si="29" t="shared"/>
        <v>#DIV/0!</v>
      </c>
      <c r="Q39" s="13">
        <f ref="Q39:Q50" si="30" t="shared">Q22-F22</f>
        <v>1.5625E-2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0.22875745098126238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9</v>
      </c>
      <c r="M40" s="13">
        <f si="29" t="shared"/>
        <v>0</v>
      </c>
      <c r="N40" s="13">
        <f si="29" t="shared"/>
        <v>-1.6751443560099499E-2</v>
      </c>
      <c r="O40" s="13">
        <f si="29" t="shared"/>
        <v>0.11501599466258924</v>
      </c>
      <c r="P40" s="13" t="e">
        <f si="29" t="shared"/>
        <v>#DIV/0!</v>
      </c>
      <c r="Q40" s="13">
        <f si="30" t="shared"/>
        <v>0.150390625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-8.8959584974298733E-2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10</v>
      </c>
      <c r="M41" s="13">
        <f si="29" t="shared"/>
        <v>0</v>
      </c>
      <c r="N41" s="13">
        <f si="29" t="shared"/>
        <v>0</v>
      </c>
      <c r="O41" s="13">
        <f si="29" t="shared"/>
        <v>-7.8402147505128195E-2</v>
      </c>
      <c r="P41" s="13" t="e">
        <f si="29" t="shared"/>
        <v>#DIV/0!</v>
      </c>
      <c r="Q41" s="13">
        <f si="30" t="shared"/>
        <v>8.1959836304668909E-3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-0.11238210820571133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ref="M42:P42" si="35" t="shared">M25-B25</f>
        <v>0</v>
      </c>
      <c r="N42" s="13">
        <f si="35" t="shared"/>
        <v>0</v>
      </c>
      <c r="O42" s="13">
        <f si="35" t="shared"/>
        <v>0</v>
      </c>
      <c r="P42" s="13" t="e">
        <f si="35" t="shared"/>
        <v>#DIV/0!</v>
      </c>
      <c r="Q42" s="13">
        <f si="30" t="shared"/>
        <v>0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0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ref="M43:P43" si="36" t="shared">M26-B26</f>
        <v>0</v>
      </c>
      <c r="N43" s="13">
        <f si="36" t="shared"/>
        <v>0</v>
      </c>
      <c r="O43" s="13">
        <f si="36" t="shared"/>
        <v>0</v>
      </c>
      <c r="P43" s="13" t="e">
        <f si="36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ref="M44:P44" si="37" t="shared">M27-B27</f>
        <v>0</v>
      </c>
      <c r="N44" s="13">
        <f si="37" t="shared"/>
        <v>0</v>
      </c>
      <c r="O44" s="13">
        <f si="37" t="shared"/>
        <v>0</v>
      </c>
      <c r="P44" s="13" t="e">
        <f si="37" t="shared"/>
        <v>#DIV/0!</v>
      </c>
      <c r="Q44" s="13">
        <f si="30" t="shared"/>
        <v>6.1888862422906588E-2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-5.9718950597801223E-4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8" t="shared">M28-B28</f>
        <v>0</v>
      </c>
      <c r="N45" s="13">
        <f ref="N45:N47" si="39" t="shared">N28-C28</f>
        <v>0</v>
      </c>
      <c r="O45" s="13">
        <f ref="O45:O47" si="40" t="shared">O28-D28</f>
        <v>0</v>
      </c>
      <c r="P45" s="13" t="e">
        <f ref="P45:P47" si="41" t="shared">P28-E28</f>
        <v>#DIV/0!</v>
      </c>
      <c r="Q45" s="13">
        <f si="30" t="shared"/>
        <v>0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8" t="shared"/>
        <v>0</v>
      </c>
      <c r="N46" s="13">
        <f si="39" t="shared"/>
        <v>0</v>
      </c>
      <c r="O46" s="13">
        <f si="40" t="shared"/>
        <v>0</v>
      </c>
      <c r="P46" s="13" t="e">
        <f si="41" t="shared"/>
        <v>#DIV/0!</v>
      </c>
      <c r="Q46" s="13">
        <f si="30" t="shared"/>
        <v>-8.4851561880908727E-2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-1.3767883934730996E-4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8" t="shared"/>
        <v>0</v>
      </c>
      <c r="N47" s="13">
        <f si="39" t="shared"/>
        <v>0</v>
      </c>
      <c r="O47" s="13">
        <f si="40" t="shared"/>
        <v>0</v>
      </c>
      <c r="P47" s="13" t="e">
        <f si="41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-8.9782171850083733E-3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48" si="42" t="shared">M31-B31</f>
        <v>1.4385250597256211E-4</v>
      </c>
      <c r="N48" s="13">
        <f si="42" t="shared"/>
        <v>-2.4227519168558941E-4</v>
      </c>
      <c r="O48" s="13">
        <f si="42" t="shared"/>
        <v>3.8127919168811362E-4</v>
      </c>
      <c r="P48" s="13" t="e">
        <f si="42" t="shared"/>
        <v>#DIV/0!</v>
      </c>
      <c r="Q48" s="13">
        <f si="30" t="shared"/>
        <v>-1.6876111014855966E-2</v>
      </c>
      <c r="R48" s="13">
        <f si="31" t="shared"/>
        <v>8.4704340014603474E-2</v>
      </c>
      <c r="S48" s="13">
        <f si="32" t="shared"/>
        <v>0</v>
      </c>
      <c r="T48" s="13" t="e">
        <f si="33" t="shared"/>
        <v>#DIV/0!</v>
      </c>
      <c r="U48" s="13">
        <f si="34" t="shared"/>
        <v>-4.759500339113998E-3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ref="M49:P49" si="43" t="shared">M32-B32</f>
        <v>4.0763621082021461E-3</v>
      </c>
      <c r="N49" s="17">
        <f si="43" t="shared"/>
        <v>-3.7452626492271331E-3</v>
      </c>
      <c r="O49" s="17">
        <f si="43" t="shared"/>
        <v>-6.4046153660437033E-2</v>
      </c>
      <c r="P49" s="17" t="e">
        <f si="43" t="shared"/>
        <v>#DIV/0!</v>
      </c>
      <c r="Q49" s="17">
        <f si="30" t="shared"/>
        <v>-0.13437279815760875</v>
      </c>
      <c r="R49" s="17">
        <f si="31" t="shared"/>
        <v>-8.4704340014603405E-2</v>
      </c>
      <c r="S49" s="17">
        <f si="32" t="shared"/>
        <v>0</v>
      </c>
      <c r="T49" s="17" t="e">
        <f si="33" t="shared"/>
        <v>#DIV/0!</v>
      </c>
      <c r="U49" s="13">
        <f si="34" t="shared"/>
        <v>-1.2943171931804553E-2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ref="M50:P50" si="44" t="shared">M33-B33</f>
        <v>0</v>
      </c>
      <c r="N50" s="15">
        <f si="44" t="shared"/>
        <v>0</v>
      </c>
      <c r="O50" s="15">
        <f si="44" t="shared"/>
        <v>0</v>
      </c>
      <c r="P50" s="15" t="e">
        <f si="44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2:AF50"/>
  <sheetViews>
    <sheetView workbookViewId="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26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6</v>
      </c>
      <c r="C3" s="31"/>
      <c r="D3" s="31"/>
      <c r="E3" s="31"/>
      <c r="F3" s="31"/>
      <c r="G3" s="31"/>
      <c r="H3" s="31"/>
      <c r="I3" s="31"/>
      <c r="J3" s="11"/>
      <c r="L3" s="3"/>
      <c r="M3" s="32" t="s">
        <v>6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2312529.6121</v>
      </c>
      <c r="C5" s="6" t="n">
        <v>307852.8909</v>
      </c>
      <c r="D5" s="6" t="n">
        <v>155673.1738</v>
      </c>
      <c r="E5" s="6" t="n">
        <v>75115.3232</v>
      </c>
      <c r="F5" s="6" t="n">
        <v>11543.4378</v>
      </c>
      <c r="G5" s="6" t="n">
        <v>0.0</v>
      </c>
      <c r="H5" s="6" t="n">
        <v>0.0</v>
      </c>
      <c r="I5" s="6" t="n">
        <v>1192.0104999999999</v>
      </c>
      <c r="J5" s="6">
        <f>SUM(B5:I5)</f>
        <v>1255688.2865299999</v>
      </c>
      <c r="K5" s="6"/>
      <c r="L5" t="s">
        <v>1</v>
      </c>
      <c r="M5" s="6" t="n">
        <v>2747812.0</v>
      </c>
      <c r="N5" s="6" t="n">
        <v>471856.0</v>
      </c>
      <c r="O5" s="6" t="n">
        <v>161901.0</v>
      </c>
      <c r="P5" s="6" t="n">
        <v>96587.0</v>
      </c>
      <c r="Q5" s="6" t="n">
        <v>26509.0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1192879</v>
      </c>
    </row>
    <row r="6" spans="1:21" x14ac:dyDescent="0.25">
      <c r="A6" t="s">
        <v>12</v>
      </c>
      <c r="B6" s="6" t="n">
        <v>0.0</v>
      </c>
      <c r="C6" s="6" t="n">
        <v>358673.1667</v>
      </c>
      <c r="D6" s="6" t="n">
        <v>71528.09</v>
      </c>
      <c r="E6" s="6" t="n">
        <v>3923.2953</v>
      </c>
      <c r="F6" s="6" t="n">
        <v>37849.4541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246545.08350000001</v>
      </c>
      <c r="K6" s="6"/>
      <c r="L6" t="s">
        <v>12</v>
      </c>
      <c r="M6" s="6" t="n">
        <v>0.0</v>
      </c>
      <c r="N6" s="6" t="n">
        <v>457761.0</v>
      </c>
      <c r="O6" s="6" t="n">
        <v>84745.0</v>
      </c>
      <c r="P6" s="6" t="n">
        <v>2487.0</v>
      </c>
      <c r="Q6" s="6" t="n">
        <v>37206.0</v>
      </c>
      <c r="R6" s="6" t="n">
        <v>0.0</v>
      </c>
      <c r="S6" s="6" t="n">
        <v>0.0</v>
      </c>
      <c r="T6" s="6" t="n">
        <v>0.0</v>
      </c>
      <c r="U6" s="6">
        <f si="0" t="shared"/>
        <v>167448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169708.2807</v>
      </c>
      <c r="E7" s="6" t="n">
        <v>3104.3109</v>
      </c>
      <c r="F7" s="6" t="n">
        <v>8670.8973</v>
      </c>
      <c r="G7" s="6" t="n">
        <v>0.0</v>
      </c>
      <c r="H7" s="6" t="n">
        <v>0.0</v>
      </c>
      <c r="I7" s="6" t="n">
        <v>0.0</v>
      </c>
      <c r="J7" s="6">
        <f si="1" t="shared"/>
        <v>78245.327632000015</v>
      </c>
      <c r="K7" s="6"/>
      <c r="L7" t="s">
        <v>56</v>
      </c>
      <c r="M7" s="6" t="n">
        <v>0.0</v>
      </c>
      <c r="N7" s="6" t="n">
        <v>0.0</v>
      </c>
      <c r="O7" s="6" t="n">
        <v>232971.0</v>
      </c>
      <c r="P7" s="6" t="n">
        <v>1744.0</v>
      </c>
      <c r="Q7" s="6" t="n">
        <v>16535.0</v>
      </c>
      <c r="R7" s="6" t="n">
        <v>0.0</v>
      </c>
      <c r="S7" s="6" t="n">
        <v>1.0</v>
      </c>
      <c r="T7" s="6" t="n">
        <v>0.0</v>
      </c>
      <c r="U7" s="6">
        <f si="0" t="shared"/>
        <v>79288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74408.2234</v>
      </c>
      <c r="F8" s="6" t="n">
        <v>296506.9995</v>
      </c>
      <c r="G8" s="6" t="n">
        <v>0.0</v>
      </c>
      <c r="H8" s="6" t="n">
        <v>0.0</v>
      </c>
      <c r="I8" s="6" t="n">
        <v>0.0</v>
      </c>
      <c r="J8" s="6">
        <f si="1" t="shared"/>
        <v>0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63018.0</v>
      </c>
      <c r="Q8" s="6" t="n">
        <v>191915.0</v>
      </c>
      <c r="R8" s="6" t="n">
        <v>0.0</v>
      </c>
      <c r="S8" s="6" t="n">
        <v>0.0</v>
      </c>
      <c r="T8" s="6" t="n">
        <v>0.0</v>
      </c>
      <c r="U8" s="6">
        <f si="0" t="shared"/>
        <v>0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1630.5507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19225.027671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24195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4425.9367560000001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7478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3096.929</v>
      </c>
      <c r="J13" s="6">
        <f si="1" t="shared"/>
        <v>744.46245999999996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292.58500000000004</v>
      </c>
      <c r="C14" s="6" t="n">
        <v>3526.2728</v>
      </c>
      <c r="D14" s="6" t="n">
        <v>281.3623</v>
      </c>
      <c r="E14" s="6" t="n">
        <v>207.5312</v>
      </c>
      <c r="F14" s="6" t="n">
        <v>4400.5678</v>
      </c>
      <c r="G14" s="6" t="n">
        <v>75630.7195</v>
      </c>
      <c r="H14" s="6" t="n">
        <v>0.0</v>
      </c>
      <c r="I14" s="6" t="n">
        <v>0.0</v>
      </c>
      <c r="J14" s="6">
        <f si="1" t="shared"/>
        <v>9894.2931819999994</v>
      </c>
      <c r="K14" s="6"/>
      <c r="L14" t="s">
        <v>4</v>
      </c>
      <c r="M14" s="6" t="n">
        <v>3970.0</v>
      </c>
      <c r="N14" s="6" t="n">
        <v>5926.0</v>
      </c>
      <c r="O14" s="6" t="n">
        <v>3115.0</v>
      </c>
      <c r="P14" s="6" t="n">
        <v>0.0</v>
      </c>
      <c r="Q14" s="6" t="n">
        <v>7642.0</v>
      </c>
      <c r="R14" s="6" t="n">
        <v>110003.0</v>
      </c>
      <c r="S14" s="6" t="n">
        <v>0.0</v>
      </c>
      <c r="T14" s="6" t="n">
        <v>0.0</v>
      </c>
      <c r="U14" s="6">
        <f si="0" t="shared"/>
        <v>18712</v>
      </c>
    </row>
    <row r="15" spans="1:21" x14ac:dyDescent="0.25">
      <c r="A15" s="4" t="s">
        <v>5</v>
      </c>
      <c r="B15" s="10" t="n">
        <v>37397.7367</v>
      </c>
      <c r="C15" s="10" t="n">
        <v>11086.6034</v>
      </c>
      <c r="D15" s="10" t="n">
        <v>10397.7509</v>
      </c>
      <c r="E15" s="10" t="n">
        <v>9864.0747</v>
      </c>
      <c r="F15" s="10" t="n">
        <v>84090.2064</v>
      </c>
      <c r="G15" s="10" t="n">
        <v>5777.9887</v>
      </c>
      <c r="H15" s="10" t="n">
        <v>74818.1155</v>
      </c>
      <c r="I15" s="10" t="n">
        <v>0.0</v>
      </c>
      <c r="J15" s="6">
        <f si="1" t="shared"/>
        <v>28480.170909</v>
      </c>
      <c r="K15" s="6"/>
      <c r="L15" s="4" t="s">
        <v>5</v>
      </c>
      <c r="M15" s="8" t="n">
        <v>68051.0</v>
      </c>
      <c r="N15" s="8" t="n">
        <v>61774.0</v>
      </c>
      <c r="O15" s="8" t="n">
        <v>32876.0</v>
      </c>
      <c r="P15" s="8" t="n">
        <v>0.0</v>
      </c>
      <c r="Q15" s="8" t="n">
        <v>121480.0</v>
      </c>
      <c r="R15" s="8" t="n">
        <v>15954.0</v>
      </c>
      <c r="S15" s="8" t="n">
        <v>199456.0</v>
      </c>
      <c r="T15" s="8" t="n">
        <v>0.0</v>
      </c>
      <c r="U15" s="6">
        <f si="0" t="shared"/>
        <v>25593</v>
      </c>
    </row>
    <row ht="15.75" r="16" spans="1:21" thickBot="1" x14ac:dyDescent="0.3">
      <c r="A16" s="12" t="s">
        <v>7</v>
      </c>
      <c r="B16" s="16">
        <f ref="B16:J16" si="2" t="shared">SUM(B5:B15)</f>
        <v>1025346.986854</v>
      </c>
      <c r="C16" s="16">
        <f si="2" t="shared"/>
        <v>378349.84868</v>
      </c>
      <c r="D16" s="16">
        <f si="2" t="shared"/>
        <v>175041.19087799999</v>
      </c>
      <c r="E16" s="16">
        <f si="2" t="shared"/>
        <v>21541.663630000003</v>
      </c>
      <c r="F16" s="16">
        <f si="2" t="shared"/>
        <v>20150.564725</v>
      </c>
      <c r="G16" s="16">
        <f si="2" t="shared"/>
        <v>8941.5531089999986</v>
      </c>
      <c r="H16" s="16">
        <f si="2" t="shared"/>
        <v>12819.824724</v>
      </c>
      <c r="I16" s="16">
        <f si="2" t="shared"/>
        <v>1056.95604</v>
      </c>
      <c r="J16" s="16">
        <f si="2" t="shared"/>
        <v>1643248.58864</v>
      </c>
      <c r="L16" s="9" t="s">
        <v>7</v>
      </c>
      <c r="M16" s="16">
        <f ref="M16:U16" si="3" t="shared">SUM(M5:M15)</f>
        <v>1005617</v>
      </c>
      <c r="N16" s="16">
        <f si="3" t="shared"/>
        <v>284598</v>
      </c>
      <c r="O16" s="16">
        <f si="3" t="shared"/>
        <v>145433</v>
      </c>
      <c r="P16" s="16">
        <f si="3" t="shared"/>
        <v>16265</v>
      </c>
      <c r="Q16" s="16">
        <f si="3" t="shared"/>
        <v>33391</v>
      </c>
      <c r="R16" s="16">
        <f si="3" t="shared"/>
        <v>16358</v>
      </c>
      <c r="S16" s="16">
        <f si="3" t="shared"/>
        <v>13931</v>
      </c>
      <c r="T16" s="16">
        <f si="3" t="shared"/>
        <v>0</v>
      </c>
      <c r="U16" s="16">
        <f si="3" t="shared"/>
        <v>1515593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25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6</v>
      </c>
      <c r="C20" s="31"/>
      <c r="D20" s="31"/>
      <c r="E20" s="31"/>
      <c r="F20" s="31"/>
      <c r="G20" s="31"/>
      <c r="H20" s="31"/>
      <c r="I20" s="31"/>
      <c r="J20" s="11"/>
      <c r="L20" s="3"/>
      <c r="M20" s="32" t="s">
        <v>6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0.99080966156548345</v>
      </c>
      <c r="C22" s="13">
        <f si="4" t="shared"/>
        <v>0.43601547474259722</v>
      </c>
      <c r="D22" s="13">
        <f si="4" t="shared"/>
        <v>0.36460041222800665</v>
      </c>
      <c r="E22" s="13">
        <f si="4" t="shared"/>
        <v>0.48141991543110907</v>
      </c>
      <c r="F22" s="13">
        <f si="4" t="shared"/>
        <v>2.6556549421966634E-2</v>
      </c>
      <c r="G22" s="13">
        <f si="4" t="shared"/>
        <v>0</v>
      </c>
      <c r="H22" s="13">
        <f si="4" t="shared"/>
        <v>0</v>
      </c>
      <c r="I22" s="13">
        <f si="4" t="shared"/>
        <v>6.8489986584494095E-2</v>
      </c>
      <c r="J22" s="13">
        <f si="4" t="shared"/>
        <v>0.76414992546516891</v>
      </c>
      <c r="K22" s="6"/>
      <c r="L22" t="s">
        <v>1</v>
      </c>
      <c r="M22" s="13">
        <f ref="M22:P22" si="5" t="shared">M5/M$16</f>
        <v>0.99588710214723897</v>
      </c>
      <c r="N22" s="13">
        <f si="5" t="shared"/>
        <v>0.47668641381879001</v>
      </c>
      <c r="O22" s="13">
        <f si="5" t="shared"/>
        <v>0.31122234981056568</v>
      </c>
      <c r="P22" s="13">
        <f si="5" t="shared"/>
        <v>0.55450353519827855</v>
      </c>
      <c r="Q22" s="13">
        <f ref="Q22:U33" si="6" t="shared">Q5/Q$16</f>
        <v>4.3514719535204097E-2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0.78707080330933177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0.55338603492368132</v>
      </c>
      <c r="D23" s="13">
        <f si="7" t="shared"/>
        <v>0.19040917359405946</v>
      </c>
      <c r="E23" s="13">
        <f si="7" t="shared"/>
        <v>0.12954581154603237</v>
      </c>
      <c r="F23" s="13">
        <f si="7" t="shared"/>
        <v>4.8649237347862966E-2</v>
      </c>
      <c r="G23" s="13">
        <f si="7" t="shared"/>
        <v>0</v>
      </c>
      <c r="H23" s="13">
        <f si="7" t="shared"/>
        <v>0</v>
      </c>
      <c r="I23" s="13">
        <f si="7" t="shared"/>
        <v>6.7335366189874846E-2</v>
      </c>
      <c r="J23" s="13">
        <f si="7" t="shared"/>
        <v>0.15003517130907615</v>
      </c>
      <c r="K23" s="6"/>
      <c r="L23" t="s">
        <v>12</v>
      </c>
      <c r="M23" s="13">
        <f ref="M23:P23" si="8" t="shared">M6/M$16</f>
        <v>0</v>
      </c>
      <c r="N23" s="13">
        <f si="8" t="shared"/>
        <v>0.50884756744601156</v>
      </c>
      <c r="O23" s="13">
        <f si="8" t="shared"/>
        <v>0.13584262168833758</v>
      </c>
      <c r="P23" s="13">
        <f si="8" t="shared"/>
        <v>1.8444512757454658E-2</v>
      </c>
      <c r="Q23" s="13">
        <f si="6" t="shared"/>
        <v>7.7116588302237124E-2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0.11048348732146428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0.43824606162823715</v>
      </c>
      <c r="E24" s="13">
        <f si="9" t="shared"/>
        <v>2.0705659584194333E-2</v>
      </c>
      <c r="F24" s="13">
        <f si="9" t="shared"/>
        <v>4.5618999395065335E-2</v>
      </c>
      <c r="G24" s="13">
        <f si="9" t="shared"/>
        <v>0</v>
      </c>
      <c r="H24" s="13">
        <f si="9" t="shared"/>
        <v>0</v>
      </c>
      <c r="I24" s="13">
        <f si="9" t="shared"/>
        <v>0.15982893006600349</v>
      </c>
      <c r="J24" s="13">
        <f si="9" t="shared"/>
        <v>4.7616245145695277E-2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0.54036566666437469</v>
      </c>
      <c r="P24" s="13">
        <f si="10" t="shared"/>
        <v>0</v>
      </c>
      <c r="Q24" s="13">
        <f si="6" t="shared"/>
        <v>2.0993680931987661E-2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5.2314836502939777E-2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</v>
      </c>
      <c r="F25" s="13">
        <f si="11" t="shared"/>
        <v>0</v>
      </c>
      <c r="G25" s="13">
        <f si="11" t="shared"/>
        <v>0</v>
      </c>
      <c r="H25" s="13">
        <f si="11" t="shared"/>
        <v>0</v>
      </c>
      <c r="I25" s="13">
        <f si="11" t="shared"/>
        <v>0</v>
      </c>
      <c r="J25" s="13">
        <f si="11" t="shared"/>
        <v>0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>
        <f si="12" t="shared"/>
        <v>0</v>
      </c>
      <c r="Q25" s="13">
        <f si="6" t="shared"/>
        <v>0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0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>
        <f si="14" t="shared"/>
        <v>0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0.21798775659370925</v>
      </c>
      <c r="F27" s="13">
        <f si="15" t="shared"/>
        <v>0.72103233538532996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1.1699403123730164E-2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>
        <f si="16" t="shared"/>
        <v>0.27961881340301259</v>
      </c>
      <c r="Q27" s="13">
        <f si="6" t="shared"/>
        <v>0.58839208169866131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1.5964048395578495E-2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>
        <f si="18" t="shared"/>
        <v>0</v>
      </c>
      <c r="Q28" s="13">
        <f si="6" t="shared"/>
        <v>0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0.13506121212236197</v>
      </c>
      <c r="F29" s="13">
        <f si="19" t="shared"/>
        <v>7.5258116866498886E-2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2.6934066985342935E-3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>
        <f si="20" t="shared"/>
        <v>0.14743313864125424</v>
      </c>
      <c r="Q29" s="13">
        <f si="6" t="shared"/>
        <v>0.15213680333023868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4.9340423187491629E-3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0.70434571715962746</v>
      </c>
      <c r="J30" s="13">
        <f si="21" t="shared"/>
        <v>4.5304311541575012E-4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>
        <f si="22" t="shared"/>
        <v>0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6.5674842822343541E-4</v>
      </c>
      <c r="C31" s="13">
        <f si="23" t="shared"/>
        <v>3.9793798656264338E-4</v>
      </c>
      <c r="D31" s="13">
        <f si="23" t="shared"/>
        <v>1.30753468856093E-3</v>
      </c>
      <c r="E31" s="13">
        <f si="23" t="shared"/>
        <v>0</v>
      </c>
      <c r="F31" s="13">
        <f si="23" t="shared"/>
        <v>0</v>
      </c>
      <c r="G31" s="13">
        <f si="23" t="shared"/>
        <v>0.9888065133897983</v>
      </c>
      <c r="H31" s="13">
        <f si="23" t="shared"/>
        <v>0</v>
      </c>
      <c r="I31" s="13">
        <f si="23" t="shared"/>
        <v>0</v>
      </c>
      <c r="J31" s="13">
        <f si="23" t="shared"/>
        <v>6.0211785668952272E-3</v>
      </c>
      <c r="K31" s="6"/>
      <c r="L31" t="s">
        <v>4</v>
      </c>
      <c r="M31" s="13">
        <f ref="M31:P31" si="24" t="shared">M14/M$16</f>
        <v>5.2902844721201012E-4</v>
      </c>
      <c r="N31" s="13">
        <f si="24" t="shared"/>
        <v>3.4821045826042346E-3</v>
      </c>
      <c r="O31" s="13">
        <f si="24" t="shared"/>
        <v>2.7022752745250391E-3</v>
      </c>
      <c r="P31" s="13">
        <f si="24" t="shared"/>
        <v>0</v>
      </c>
      <c r="Q31" s="13">
        <f si="6" t="shared"/>
        <v>2.8510676529603787E-2</v>
      </c>
      <c r="R31" s="13">
        <f si="6" t="shared"/>
        <v>0.96857806577821248</v>
      </c>
      <c r="S31" s="13">
        <f si="6" t="shared"/>
        <v>0</v>
      </c>
      <c r="T31" s="13" t="e">
        <f si="6" t="shared"/>
        <v>#DIV/0!</v>
      </c>
      <c r="U31" s="13">
        <f si="6" t="shared"/>
        <v>1.2346322528541634E-2</v>
      </c>
    </row>
    <row r="32" spans="1:21" x14ac:dyDescent="0.25">
      <c r="A32" s="4" t="s">
        <v>5</v>
      </c>
      <c r="B32" s="14">
        <f ref="B32:J32" si="25" t="shared">B15/B$16</f>
        <v>8.5335900062930622E-3</v>
      </c>
      <c r="C32" s="14">
        <f si="25" t="shared"/>
        <v>1.020055234715893E-2</v>
      </c>
      <c r="D32" s="14">
        <f si="25" t="shared"/>
        <v>5.4368178611358502E-3</v>
      </c>
      <c r="E32" s="14">
        <f si="25" t="shared"/>
        <v>1.5279644722592854E-2</v>
      </c>
      <c r="F32" s="14">
        <f si="25" t="shared"/>
        <v>8.2884761583276179E-2</v>
      </c>
      <c r="G32" s="14">
        <f si="25" t="shared"/>
        <v>1.1193486610201827E-2</v>
      </c>
      <c r="H32" s="14">
        <f si="25" t="shared"/>
        <v>1</v>
      </c>
      <c r="I32" s="14">
        <f si="25" t="shared"/>
        <v>0</v>
      </c>
      <c r="J32" s="14">
        <f si="25" t="shared"/>
        <v>1.7331626575484243E-2</v>
      </c>
      <c r="K32" s="6"/>
      <c r="L32" s="4" t="s">
        <v>5</v>
      </c>
      <c r="M32" s="14">
        <f ref="M32:P32" si="26" t="shared">M15/M$16</f>
        <v>3.5838694055490309E-3</v>
      </c>
      <c r="N32" s="14">
        <f si="26" t="shared"/>
        <v>1.0983914152594185E-2</v>
      </c>
      <c r="O32" s="14">
        <f si="26" t="shared"/>
        <v>9.8670865621970257E-3</v>
      </c>
      <c r="P32" s="14">
        <f si="26" t="shared"/>
        <v>0</v>
      </c>
      <c r="Q32" s="14">
        <f si="6" t="shared"/>
        <v>8.933544967206733E-2</v>
      </c>
      <c r="R32" s="14">
        <f si="6" t="shared"/>
        <v>3.1421934221787504E-2</v>
      </c>
      <c r="S32" s="14">
        <f si="6" t="shared"/>
        <v>1</v>
      </c>
      <c r="T32" s="14" t="e">
        <f si="6" t="shared"/>
        <v>#DIV/0!</v>
      </c>
      <c r="U32" s="14">
        <f si="6" t="shared"/>
        <v>1.6886459623394936E-2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>
        <f si="28" t="shared"/>
        <v>1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17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2" t="s">
        <v>6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5.0774405817555213E-3</v>
      </c>
      <c r="N39" s="13">
        <f si="29" t="shared"/>
        <v>4.0670939076192791E-2</v>
      </c>
      <c r="O39" s="13">
        <f si="29" t="shared"/>
        <v>-5.3378062417440975E-2</v>
      </c>
      <c r="P39" s="13">
        <f si="29" t="shared"/>
        <v>7.3083619767169483E-2</v>
      </c>
      <c r="Q39" s="13">
        <f ref="Q39:Q50" si="30" t="shared">Q22-F22</f>
        <v>1.6958170113237463E-2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2.2920877844162857E-2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9</v>
      </c>
      <c r="M40" s="13">
        <f si="29" t="shared"/>
        <v>0</v>
      </c>
      <c r="N40" s="13">
        <f si="29" t="shared"/>
        <v>-4.4538467477669763E-2</v>
      </c>
      <c r="O40" s="13">
        <f si="29" t="shared"/>
        <v>-5.4566551905721877E-2</v>
      </c>
      <c r="P40" s="13">
        <f si="29" t="shared"/>
        <v>-0.11110129878857772</v>
      </c>
      <c r="Q40" s="13">
        <f si="30" t="shared"/>
        <v>2.8467350954374158E-2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-3.9551683987611871E-2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10</v>
      </c>
      <c r="M41" s="13">
        <f si="29" t="shared"/>
        <v>0</v>
      </c>
      <c r="N41" s="13">
        <f si="29" t="shared"/>
        <v>0</v>
      </c>
      <c r="O41" s="13">
        <f si="29" t="shared"/>
        <v>0.10211960503613754</v>
      </c>
      <c r="P41" s="13">
        <f si="29" t="shared"/>
        <v>-2.0705659584194333E-2</v>
      </c>
      <c r="Q41" s="13">
        <f si="30" t="shared"/>
        <v>-2.4625318463077674E-2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4.6985913572444998E-3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>
        <f si="29" t="shared"/>
        <v>0</v>
      </c>
      <c r="Q42" s="13">
        <f si="30" t="shared"/>
        <v>0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0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>
        <f si="29" t="shared"/>
        <v>0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>
        <f si="29" t="shared"/>
        <v>6.1631056809303336E-2</v>
      </c>
      <c r="Q44" s="13">
        <f si="30" t="shared"/>
        <v>-0.13264025368666865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4.2646452718483312E-3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>
        <f ref="P45:P47" si="38" t="shared">P28-E28</f>
        <v>0</v>
      </c>
      <c r="Q45" s="13">
        <f si="30" t="shared"/>
        <v>0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>
        <f si="38" t="shared"/>
        <v>1.2371926518892268E-2</v>
      </c>
      <c r="Q46" s="13">
        <f si="30" t="shared"/>
        <v>7.6878686463739798E-2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2.2406356202148694E-3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>
        <f si="38" t="shared"/>
        <v>0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-4.5304311541575012E-4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-1.2771998101142529E-4</v>
      </c>
      <c r="N48" s="13">
        <f si="39" t="shared"/>
        <v>3.0841665960415912E-3</v>
      </c>
      <c r="O48" s="13">
        <f si="39" t="shared"/>
        <v>1.394740585964109E-3</v>
      </c>
      <c r="P48" s="13">
        <f si="39" t="shared"/>
        <v>0</v>
      </c>
      <c r="Q48" s="13">
        <f si="30" t="shared"/>
        <v>2.8510676529603787E-2</v>
      </c>
      <c r="R48" s="13">
        <f si="31" t="shared"/>
        <v>-2.022844761158582E-2</v>
      </c>
      <c r="S48" s="13">
        <f si="32" t="shared"/>
        <v>0</v>
      </c>
      <c r="T48" s="13" t="e">
        <f si="33" t="shared"/>
        <v>#DIV/0!</v>
      </c>
      <c r="U48" s="13">
        <f si="34" t="shared"/>
        <v>6.3251439616464067E-3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-4.9497206007440312E-3</v>
      </c>
      <c r="N49" s="17">
        <f si="39" t="shared"/>
        <v>7.8336180543525473E-4</v>
      </c>
      <c r="O49" s="17">
        <f si="39" t="shared"/>
        <v>4.4302687010611755E-3</v>
      </c>
      <c r="P49" s="17">
        <f si="39" t="shared"/>
        <v>-1.5279644722592854E-2</v>
      </c>
      <c r="Q49" s="17">
        <f si="30" t="shared"/>
        <v>6.4506880887911511E-3</v>
      </c>
      <c r="R49" s="17">
        <f si="31" t="shared"/>
        <v>2.0228447611585675E-2</v>
      </c>
      <c r="S49" s="17">
        <f si="32" t="shared"/>
        <v>0</v>
      </c>
      <c r="T49" s="17" t="e">
        <f si="33" t="shared"/>
        <v>#DIV/0!</v>
      </c>
      <c r="U49" s="13">
        <f si="34" t="shared"/>
        <v>-4.4516695208930701E-4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>
        <f si="39" t="shared"/>
        <v>0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2:AF50"/>
  <sheetViews>
    <sheetView workbookViewId="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29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42</v>
      </c>
      <c r="C3" s="32"/>
      <c r="D3" s="32"/>
      <c r="E3" s="32"/>
      <c r="F3" s="32"/>
      <c r="G3" s="32"/>
      <c r="H3" s="32"/>
      <c r="I3" s="32"/>
      <c r="J3" s="11"/>
      <c r="L3" s="3"/>
      <c r="M3" s="31" t="s">
        <v>42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164152.7896</v>
      </c>
      <c r="C5" s="6" t="n">
        <v>19166.1395</v>
      </c>
      <c r="D5" s="6" t="n">
        <v>5545.5331</v>
      </c>
      <c r="E5" s="6" t="n">
        <v>11217.4631</v>
      </c>
      <c r="F5" s="6" t="n">
        <v>426.3381</v>
      </c>
      <c r="G5" s="6" t="n">
        <v>0.0</v>
      </c>
      <c r="H5" s="6" t="n">
        <v>0.0</v>
      </c>
      <c r="I5" s="6" t="n">
        <v>225.4541</v>
      </c>
      <c r="J5" s="6">
        <f>SUM(B5:I5)</f>
        <v>61814.118419999999</v>
      </c>
      <c r="K5" s="6"/>
      <c r="L5" t="s">
        <v>1</v>
      </c>
      <c r="M5" s="6" t="n">
        <v>216396.0</v>
      </c>
      <c r="N5" s="6" t="n">
        <v>21562.0</v>
      </c>
      <c r="O5" s="6" t="n">
        <v>14963.0</v>
      </c>
      <c r="P5" s="6" t="n">
        <v>0.0</v>
      </c>
      <c r="Q5" s="6" t="n">
        <v>3845.0</v>
      </c>
      <c r="R5" s="6" t="n">
        <v>0.0</v>
      </c>
      <c r="S5" s="6" t="n">
        <v>0.0</v>
      </c>
      <c r="T5" s="6" t="n">
        <v>1302.0</v>
      </c>
      <c r="U5" s="6">
        <f ref="U5:U15" si="0" t="shared">SUM(M5:T5)</f>
        <v>95953</v>
      </c>
    </row>
    <row r="6" spans="1:21" x14ac:dyDescent="0.25">
      <c r="A6" t="s">
        <v>12</v>
      </c>
      <c r="B6" s="6" t="n">
        <v>0.0</v>
      </c>
      <c r="C6" s="6" t="n">
        <v>190135.424</v>
      </c>
      <c r="D6" s="6" t="n">
        <v>83371.385</v>
      </c>
      <c r="E6" s="6" t="n">
        <v>194.78300000000002</v>
      </c>
      <c r="F6" s="6" t="n">
        <v>6965.9555</v>
      </c>
      <c r="G6" s="6" t="n">
        <v>0.0</v>
      </c>
      <c r="H6" s="6" t="n">
        <v>0.0</v>
      </c>
      <c r="I6" s="6" t="n">
        <v>35382.1367</v>
      </c>
      <c r="J6" s="6">
        <f ref="J6:J15" si="1" t="shared">SUM(B6:I6)</f>
        <v>141246.60391999999</v>
      </c>
      <c r="K6" s="6"/>
      <c r="L6" t="s">
        <v>12</v>
      </c>
      <c r="M6" s="6" t="n">
        <v>0.0</v>
      </c>
      <c r="N6" s="6" t="n">
        <v>319068.0</v>
      </c>
      <c r="O6" s="6" t="n">
        <v>116387.0</v>
      </c>
      <c r="P6" s="6" t="n">
        <v>0.0</v>
      </c>
      <c r="Q6" s="6" t="n">
        <v>13638.0</v>
      </c>
      <c r="R6" s="6" t="n">
        <v>0.0</v>
      </c>
      <c r="S6" s="6" t="n">
        <v>0.0</v>
      </c>
      <c r="T6" s="6" t="n">
        <v>62777.0</v>
      </c>
      <c r="U6" s="6">
        <f si="0" t="shared"/>
        <v>162676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317872.1733</v>
      </c>
      <c r="E7" s="6" t="n">
        <v>7.92</v>
      </c>
      <c r="F7" s="6" t="n">
        <v>3489.6486999999997</v>
      </c>
      <c r="G7" s="6" t="n">
        <v>0.0</v>
      </c>
      <c r="H7" s="6" t="n">
        <v>0.0</v>
      </c>
      <c r="I7" s="6" t="n">
        <v>56304.7385</v>
      </c>
      <c r="J7" s="6">
        <f si="1" t="shared"/>
        <v>180916.523239</v>
      </c>
      <c r="K7" s="6"/>
      <c r="L7" t="s">
        <v>56</v>
      </c>
      <c r="M7" s="6" t="n">
        <v>0.0</v>
      </c>
      <c r="N7" s="6" t="n">
        <v>0.0</v>
      </c>
      <c r="O7" s="6" t="n">
        <v>399289.0</v>
      </c>
      <c r="P7" s="6" t="n">
        <v>0.0</v>
      </c>
      <c r="Q7" s="6" t="n">
        <v>6481.0</v>
      </c>
      <c r="R7" s="6" t="n">
        <v>0.0</v>
      </c>
      <c r="S7" s="6" t="n">
        <v>0.0</v>
      </c>
      <c r="T7" s="6" t="n">
        <v>61513.0</v>
      </c>
      <c r="U7" s="6">
        <f si="0" t="shared"/>
        <v>195352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9460.2343</v>
      </c>
      <c r="F8" s="6" t="n">
        <v>65868.3029</v>
      </c>
      <c r="G8" s="6" t="n">
        <v>0.0</v>
      </c>
      <c r="H8" s="6" t="n">
        <v>0.0</v>
      </c>
      <c r="I8" s="6" t="n">
        <v>7010.2069</v>
      </c>
      <c r="J8" s="6">
        <f si="1" t="shared"/>
        <v>0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50004.0</v>
      </c>
      <c r="R8" s="6" t="n">
        <v>0.0</v>
      </c>
      <c r="S8" s="6" t="n">
        <v>0.0</v>
      </c>
      <c r="T8" s="6" t="n">
        <v>213.0</v>
      </c>
      <c r="U8" s="6">
        <f si="0" t="shared"/>
        <v>0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13.651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8506.521037999999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14773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49.705393999999998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3908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278924.7859</v>
      </c>
      <c r="J13" s="6">
        <f si="1" t="shared"/>
        <v>139878.06709699999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324843.0</v>
      </c>
      <c r="U13" s="6">
        <f si="0" t="shared"/>
        <v>67356</v>
      </c>
    </row>
    <row r="14" spans="1:21" x14ac:dyDescent="0.25">
      <c r="A14" t="s">
        <v>4</v>
      </c>
      <c r="B14" s="6" t="n">
        <v>33.649</v>
      </c>
      <c r="C14" s="6" t="n">
        <v>1774.9364</v>
      </c>
      <c r="D14" s="6" t="n">
        <v>797.1228</v>
      </c>
      <c r="E14" s="6" t="n">
        <v>0.0</v>
      </c>
      <c r="F14" s="6" t="n">
        <v>930.8630999999999</v>
      </c>
      <c r="G14" s="6" t="n">
        <v>16234.1846</v>
      </c>
      <c r="H14" s="6" t="n">
        <v>0.0</v>
      </c>
      <c r="I14" s="6" t="n">
        <v>1238.5049999999999</v>
      </c>
      <c r="J14" s="6">
        <f si="1" t="shared"/>
        <v>1495.169316</v>
      </c>
      <c r="K14" s="6"/>
      <c r="L14" t="s">
        <v>4</v>
      </c>
      <c r="M14" s="6" t="n">
        <v>868.0</v>
      </c>
      <c r="N14" s="6" t="n">
        <v>4866.0</v>
      </c>
      <c r="O14" s="6" t="n">
        <v>4949.0</v>
      </c>
      <c r="P14" s="6" t="n">
        <v>0.0</v>
      </c>
      <c r="Q14" s="6" t="n">
        <v>3261.0</v>
      </c>
      <c r="R14" s="6" t="n">
        <v>29522.0</v>
      </c>
      <c r="S14" s="6" t="n">
        <v>0.0</v>
      </c>
      <c r="T14" s="6" t="n">
        <v>3877.0</v>
      </c>
      <c r="U14" s="6">
        <f si="0" t="shared"/>
        <v>30098</v>
      </c>
    </row>
    <row r="15" spans="1:21" x14ac:dyDescent="0.25">
      <c r="A15" s="4" t="s">
        <v>5</v>
      </c>
      <c r="B15" s="10" t="n">
        <v>1878.1336000000001</v>
      </c>
      <c r="C15" s="10" t="n">
        <v>13596.7477</v>
      </c>
      <c r="D15" s="10" t="n">
        <v>16257.455100000001</v>
      </c>
      <c r="E15" s="10" t="n">
        <v>386.34499999999997</v>
      </c>
      <c r="F15" s="10" t="n">
        <v>16002.2073</v>
      </c>
      <c r="G15" s="10" t="n">
        <v>934.0091</v>
      </c>
      <c r="H15" s="10" t="n">
        <v>101782.1504</v>
      </c>
      <c r="I15" s="10" t="n">
        <v>10369.604000000001</v>
      </c>
      <c r="J15" s="6">
        <f si="1" t="shared"/>
        <v>21634.753571000001</v>
      </c>
      <c r="K15" s="6"/>
      <c r="L15" s="4" t="s">
        <v>5</v>
      </c>
      <c r="M15" s="8" t="n">
        <v>8749.0</v>
      </c>
      <c r="N15" s="8" t="n">
        <v>28874.0</v>
      </c>
      <c r="O15" s="8" t="n">
        <v>32015.0</v>
      </c>
      <c r="P15" s="8" t="n">
        <v>0.0</v>
      </c>
      <c r="Q15" s="8" t="n">
        <v>39714.0</v>
      </c>
      <c r="R15" s="8" t="n">
        <v>3573.0</v>
      </c>
      <c r="S15" s="8" t="n">
        <v>180165.0</v>
      </c>
      <c r="T15" s="8" t="n">
        <v>34636.0</v>
      </c>
      <c r="U15" s="6">
        <f si="0" t="shared"/>
        <v>81725</v>
      </c>
    </row>
    <row ht="15.75" r="16" spans="1:21" thickBot="1" x14ac:dyDescent="0.3">
      <c r="A16" s="12" t="s">
        <v>7</v>
      </c>
      <c r="B16" s="16">
        <f ref="B16:J16" si="2" t="shared">SUM(B5:B15)</f>
        <v>50672.729727999998</v>
      </c>
      <c r="C16" s="16">
        <f si="2" t="shared"/>
        <v>84241.894967</v>
      </c>
      <c r="D16" s="16">
        <f si="2" t="shared"/>
        <v>213048.50267900003</v>
      </c>
      <c r="E16" s="16">
        <f si="2" t="shared"/>
        <v>4458.4101689999998</v>
      </c>
      <c r="F16" s="16">
        <f si="2" t="shared"/>
        <v>8836.508679999999</v>
      </c>
      <c r="G16" s="16">
        <f si="2" t="shared"/>
        <v>1102.6537579999999</v>
      </c>
      <c r="H16" s="16">
        <f si="2" t="shared"/>
        <v>11101.637694999999</v>
      </c>
      <c r="I16" s="16">
        <f si="2" t="shared"/>
        <v>182079.124319</v>
      </c>
      <c r="J16" s="16">
        <f si="2" t="shared"/>
        <v>555541.4619949999</v>
      </c>
      <c r="L16" s="9" t="s">
        <v>7</v>
      </c>
      <c r="M16" s="16">
        <f ref="M16:U16" si="3" t="shared">SUM(M5:M15)</f>
        <v>83339</v>
      </c>
      <c r="N16" s="16">
        <f si="3" t="shared"/>
        <v>128215</v>
      </c>
      <c r="O16" s="16">
        <f si="3" t="shared"/>
        <v>237609</v>
      </c>
      <c r="P16" s="16">
        <f si="3" t="shared"/>
        <v>0</v>
      </c>
      <c r="Q16" s="16">
        <f si="3" t="shared"/>
        <v>23952</v>
      </c>
      <c r="R16" s="16">
        <f si="3" t="shared"/>
        <v>27257</v>
      </c>
      <c r="S16" s="16">
        <f si="3" t="shared"/>
        <v>59516</v>
      </c>
      <c r="T16" s="16">
        <f si="3" t="shared"/>
        <v>91953</v>
      </c>
      <c r="U16" s="16">
        <f si="3" t="shared"/>
        <v>651841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30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42</v>
      </c>
      <c r="C20" s="32"/>
      <c r="D20" s="32"/>
      <c r="E20" s="32"/>
      <c r="F20" s="32"/>
      <c r="G20" s="32"/>
      <c r="H20" s="32"/>
      <c r="I20" s="32"/>
      <c r="J20" s="11"/>
      <c r="L20" s="3"/>
      <c r="M20" s="31" t="s">
        <v>42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0.97130824360944912</v>
      </c>
      <c r="C22" s="13">
        <f si="4" t="shared"/>
        <v>8.5747273798027213E-2</v>
      </c>
      <c r="D22" s="13">
        <f si="4" t="shared"/>
        <v>1.7153325003678704E-2</v>
      </c>
      <c r="E22" s="13">
        <f si="4" t="shared"/>
        <v>0.38517659948393146</v>
      </c>
      <c r="F22" s="13">
        <f si="4" t="shared"/>
        <v>0</v>
      </c>
      <c r="G22" s="13">
        <f si="4" t="shared"/>
        <v>0</v>
      </c>
      <c r="H22" s="13">
        <f si="4" t="shared"/>
        <v>0</v>
      </c>
      <c r="I22" s="13">
        <f si="4" t="shared"/>
        <v>0</v>
      </c>
      <c r="J22" s="13">
        <f si="4" t="shared"/>
        <v>0.11126823585411587</v>
      </c>
      <c r="K22" s="6"/>
      <c r="L22" t="s">
        <v>1</v>
      </c>
      <c r="M22" s="13">
        <f ref="M22:P22" si="5" t="shared">M5/M$16</f>
        <v>0.98244519372682659</v>
      </c>
      <c r="N22" s="13">
        <f si="5" t="shared"/>
        <v>5.8596888039620952E-2</v>
      </c>
      <c r="O22" s="13">
        <f si="5" t="shared"/>
        <v>2.4775997542180642E-2</v>
      </c>
      <c r="P22" s="13" t="e">
        <f si="5" t="shared"/>
        <v>#DIV/0!</v>
      </c>
      <c r="Q22" s="13">
        <f ref="Q22:U33" si="6" t="shared">Q5/Q$16</f>
        <v>7.974281897127589E-3</v>
      </c>
      <c r="R22" s="13">
        <f si="6" t="shared"/>
        <v>0</v>
      </c>
      <c r="S22" s="13">
        <f si="6" t="shared"/>
        <v>0</v>
      </c>
      <c r="T22" s="13">
        <f si="6" t="shared"/>
        <v>5.2853087990603898E-3</v>
      </c>
      <c r="U22" s="13">
        <f si="6" t="shared"/>
        <v>0.14720307559665624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0.89078141967717828</v>
      </c>
      <c r="D23" s="13">
        <f si="7" t="shared"/>
        <v>0.21116194940258734</v>
      </c>
      <c r="E23" s="13">
        <f si="7" t="shared"/>
        <v>9.5790423898075398E-3</v>
      </c>
      <c r="F23" s="13">
        <f si="7" t="shared"/>
        <v>8.9848638500969594E-2</v>
      </c>
      <c r="G23" s="13">
        <f si="7" t="shared"/>
        <v>0</v>
      </c>
      <c r="H23" s="13">
        <f si="7" t="shared"/>
        <v>0</v>
      </c>
      <c r="I23" s="13">
        <f si="7" t="shared"/>
        <v>0.11193538240162346</v>
      </c>
      <c r="J23" s="13">
        <f si="7" t="shared"/>
        <v>0.25425033698253702</v>
      </c>
      <c r="K23" s="6"/>
      <c r="L23" t="s">
        <v>12</v>
      </c>
      <c r="M23" s="13">
        <f ref="M23:P23" si="8" t="shared">M6/M$16</f>
        <v>0</v>
      </c>
      <c r="N23" s="13">
        <f si="8" t="shared"/>
        <v>0.87770541668291546</v>
      </c>
      <c r="O23" s="13">
        <f si="8" t="shared"/>
        <v>0.16525889170864741</v>
      </c>
      <c r="P23" s="13" t="e">
        <f si="8" t="shared"/>
        <v>#DIV/0!</v>
      </c>
      <c r="Q23" s="13">
        <f si="6" t="shared"/>
        <v>2.8891115564462257E-2</v>
      </c>
      <c r="R23" s="13">
        <f si="6" t="shared"/>
        <v>0</v>
      </c>
      <c r="S23" s="13">
        <f si="6" t="shared"/>
        <v>0</v>
      </c>
      <c r="T23" s="13">
        <f si="6" t="shared"/>
        <v>0.11073048187661087</v>
      </c>
      <c r="U23" s="13">
        <f si="6" t="shared"/>
        <v>0.2495639273994732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0.74792969581243862</v>
      </c>
      <c r="E24" s="13">
        <f si="9" t="shared"/>
        <v>0.17782716101641838</v>
      </c>
      <c r="F24" s="13">
        <f si="9" t="shared"/>
        <v>0.15147919404295773</v>
      </c>
      <c r="G24" s="13">
        <f si="9" t="shared"/>
        <v>0</v>
      </c>
      <c r="H24" s="13">
        <f si="9" t="shared"/>
        <v>0</v>
      </c>
      <c r="I24" s="13">
        <f si="9" t="shared"/>
        <v>0.10676593417124342</v>
      </c>
      <c r="J24" s="13">
        <f si="9" t="shared"/>
        <v>0.32565800325562078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0.77635948133277777</v>
      </c>
      <c r="P24" s="13" t="e">
        <f si="10" t="shared"/>
        <v>#DIV/0!</v>
      </c>
      <c r="Q24" s="13">
        <f si="6" t="shared"/>
        <v>8.6840347361389451E-3</v>
      </c>
      <c r="R24" s="13">
        <f si="6" t="shared"/>
        <v>0</v>
      </c>
      <c r="S24" s="13">
        <f si="6" t="shared"/>
        <v>0</v>
      </c>
      <c r="T24" s="13">
        <f si="6" t="shared"/>
        <v>0.11608104140158559</v>
      </c>
      <c r="U24" s="13">
        <f si="6" t="shared"/>
        <v>0.2996927164753368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</v>
      </c>
      <c r="F25" s="13">
        <f si="11" t="shared"/>
        <v>0</v>
      </c>
      <c r="G25" s="13">
        <f si="11" t="shared"/>
        <v>0</v>
      </c>
      <c r="H25" s="13">
        <f si="11" t="shared"/>
        <v>0</v>
      </c>
      <c r="I25" s="13">
        <f si="11" t="shared"/>
        <v>0</v>
      </c>
      <c r="J25" s="13">
        <f si="11" t="shared"/>
        <v>0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</v>
      </c>
      <c r="R25" s="13">
        <f si="6" t="shared"/>
        <v>0</v>
      </c>
      <c r="S25" s="13">
        <f si="6" t="shared"/>
        <v>0</v>
      </c>
      <c r="T25" s="13">
        <f si="6" t="shared"/>
        <v>0</v>
      </c>
      <c r="U25" s="13">
        <f si="6" t="shared"/>
        <v>0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>
        <f si="6" t="shared"/>
        <v>0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0.41626851582753066</v>
      </c>
      <c r="F27" s="13">
        <f si="15" t="shared"/>
        <v>0.74730397458286668</v>
      </c>
      <c r="G27" s="13">
        <f si="15" t="shared"/>
        <v>0</v>
      </c>
      <c r="H27" s="13">
        <f si="15" t="shared"/>
        <v>0</v>
      </c>
      <c r="I27" s="13">
        <f si="15" t="shared"/>
        <v>2.5849858503020344E-4</v>
      </c>
      <c r="J27" s="13">
        <f si="15" t="shared"/>
        <v>1.531212631268296E-2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0.61598196392785576</v>
      </c>
      <c r="R27" s="13">
        <f si="6" t="shared"/>
        <v>0</v>
      </c>
      <c r="S27" s="13">
        <f si="6" t="shared"/>
        <v>0</v>
      </c>
      <c r="T27" s="13">
        <f si="6" t="shared"/>
        <v>2.0662729872869835E-4</v>
      </c>
      <c r="U27" s="13">
        <f si="6" t="shared"/>
        <v>2.2663502295805264E-2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0</v>
      </c>
      <c r="R28" s="13">
        <f si="6" t="shared"/>
        <v>0</v>
      </c>
      <c r="S28" s="13">
        <f si="6" t="shared"/>
        <v>0</v>
      </c>
      <c r="T28" s="13">
        <f si="6" t="shared"/>
        <v>0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1.1148681282312049E-2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8.9471978961756356E-5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0.16286740146960588</v>
      </c>
      <c r="R29" s="13">
        <f si="6" t="shared"/>
        <v>0</v>
      </c>
      <c r="S29" s="13">
        <f si="6" t="shared"/>
        <v>0</v>
      </c>
      <c r="T29" s="13">
        <f si="6" t="shared"/>
        <v>7.6125846900046762E-5</v>
      </c>
      <c r="U29" s="13">
        <f si="6" t="shared"/>
        <v>5.9953270812974331E-3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0.76822682237825157</v>
      </c>
      <c r="J30" s="13">
        <f si="21" t="shared"/>
        <v>0.25178690820786831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>
        <f si="6" t="shared"/>
        <v>0.73250464911422142</v>
      </c>
      <c r="U30" s="13">
        <f si="6" t="shared"/>
        <v>0.10333194751480806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1.1792409467366043E-3</v>
      </c>
      <c r="E31" s="13">
        <f si="23" t="shared"/>
        <v>0</v>
      </c>
      <c r="F31" s="13">
        <f si="23" t="shared"/>
        <v>0</v>
      </c>
      <c r="G31" s="13">
        <f si="23" t="shared"/>
        <v>1</v>
      </c>
      <c r="H31" s="13">
        <f si="23" t="shared"/>
        <v>0</v>
      </c>
      <c r="I31" s="13">
        <f si="23" t="shared"/>
        <v>7.7592662271639345E-4</v>
      </c>
      <c r="J31" s="13">
        <f si="23" t="shared"/>
        <v>2.6913730446521686E-3</v>
      </c>
      <c r="K31" s="6"/>
      <c r="L31" t="s">
        <v>4</v>
      </c>
      <c r="M31" s="13">
        <f ref="M31:P31" si="24" t="shared">M14/M$16</f>
        <v>1.6798857677677917E-3</v>
      </c>
      <c r="N31" s="13">
        <f si="24" t="shared"/>
        <v>1.1332527395390556E-2</v>
      </c>
      <c r="O31" s="13">
        <f si="24" t="shared"/>
        <v>5.7447318914687576E-3</v>
      </c>
      <c r="P31" s="13" t="e">
        <f si="24" t="shared"/>
        <v>#DIV/0!</v>
      </c>
      <c r="Q31" s="13">
        <f si="6" t="shared"/>
        <v>2.7972611890447561E-2</v>
      </c>
      <c r="R31" s="13">
        <f si="6" t="shared"/>
        <v>0.95248926881168139</v>
      </c>
      <c r="S31" s="13">
        <f si="6" t="shared"/>
        <v>0</v>
      </c>
      <c r="T31" s="13">
        <f si="6" t="shared"/>
        <v>5.5245614607462509E-3</v>
      </c>
      <c r="U31" s="13">
        <f si="6" t="shared"/>
        <v>4.6173836871261552E-2</v>
      </c>
    </row>
    <row r="32" spans="1:21" x14ac:dyDescent="0.25">
      <c r="A32" s="4" t="s">
        <v>5</v>
      </c>
      <c r="B32" s="14">
        <f ref="B32:J32" si="25" t="shared">B15/B$16</f>
        <v>2.8691756390550851E-2</v>
      </c>
      <c r="C32" s="14">
        <f si="25" t="shared"/>
        <v>2.34713065247945E-2</v>
      </c>
      <c r="D32" s="14">
        <f si="25" t="shared"/>
        <v>2.2575788834558616E-2</v>
      </c>
      <c r="E32" s="14">
        <f si="25" t="shared"/>
        <v>0</v>
      </c>
      <c r="F32" s="14">
        <f si="25" t="shared"/>
        <v>1.1368192873206119E-2</v>
      </c>
      <c r="G32" s="14">
        <f si="25" t="shared"/>
        <v>0</v>
      </c>
      <c r="H32" s="14">
        <f si="25" t="shared"/>
        <v>1</v>
      </c>
      <c r="I32" s="14">
        <f si="25" t="shared"/>
        <v>1.2037435841134968E-2</v>
      </c>
      <c r="J32" s="14">
        <f si="25" t="shared"/>
        <v>3.894354436356133E-2</v>
      </c>
      <c r="K32" s="6"/>
      <c r="L32" s="4" t="s">
        <v>5</v>
      </c>
      <c r="M32" s="14">
        <f ref="M32:P32" si="26" t="shared">M15/M$16</f>
        <v>1.5874920505405631E-2</v>
      </c>
      <c r="N32" s="14">
        <f si="26" t="shared"/>
        <v>5.2365167882073078E-2</v>
      </c>
      <c r="O32" s="14">
        <f si="26" t="shared"/>
        <v>2.7860897524925404E-2</v>
      </c>
      <c r="P32" s="14" t="e">
        <f si="26" t="shared"/>
        <v>#DIV/0!</v>
      </c>
      <c r="Q32" s="14">
        <f si="6" t="shared"/>
        <v>0.14762859051436206</v>
      </c>
      <c r="R32" s="14">
        <f si="6" t="shared"/>
        <v>4.7510731188318597E-2</v>
      </c>
      <c r="S32" s="14">
        <f si="6" t="shared"/>
        <v>1</v>
      </c>
      <c r="T32" s="14">
        <f si="6" t="shared"/>
        <v>2.959120420214675E-2</v>
      </c>
      <c r="U32" s="14">
        <f si="6" t="shared"/>
        <v>0.12537566676536149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>
        <f si="6" t="shared"/>
        <v>1</v>
      </c>
      <c r="U33" s="15">
        <f si="6" t="shared"/>
        <v>1</v>
      </c>
    </row>
    <row ht="15.75" r="36" spans="1:32" thickBot="1" x14ac:dyDescent="0.3">
      <c r="L36" s="1" t="s">
        <v>18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42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1.1136950117377475E-2</v>
      </c>
      <c r="N39" s="13">
        <f si="29" t="shared"/>
        <v>-2.7150385758406261E-2</v>
      </c>
      <c r="O39" s="13">
        <f si="29" t="shared"/>
        <v>7.622672538501938E-3</v>
      </c>
      <c r="P39" s="13" t="e">
        <f si="29" t="shared"/>
        <v>#DIV/0!</v>
      </c>
      <c r="Q39" s="13">
        <f ref="Q39:Q50" si="30" t="shared">Q22-F22</f>
        <v>7.974281897127589E-3</v>
      </c>
      <c r="R39" s="13">
        <f ref="R39:R50" si="31" t="shared">R22-G22</f>
        <v>0</v>
      </c>
      <c r="S39" s="13">
        <f ref="S39:S50" si="32" t="shared">S22-H22</f>
        <v>0</v>
      </c>
      <c r="T39" s="13">
        <f ref="T39:T50" si="33" t="shared">T22-I22</f>
        <v>5.2853087990603898E-3</v>
      </c>
      <c r="U39" s="13">
        <f ref="U39:U50" si="34" t="shared">U22-J22</f>
        <v>3.5934839742540373E-2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-1.3076002994262814E-2</v>
      </c>
      <c r="O40" s="13">
        <f si="29" t="shared"/>
        <v>-4.590305769393993E-2</v>
      </c>
      <c r="P40" s="13" t="e">
        <f si="29" t="shared"/>
        <v>#DIV/0!</v>
      </c>
      <c r="Q40" s="13">
        <f si="30" t="shared"/>
        <v>-6.0957522936507337E-2</v>
      </c>
      <c r="R40" s="13">
        <f si="31" t="shared"/>
        <v>0</v>
      </c>
      <c r="S40" s="13">
        <f si="32" t="shared"/>
        <v>0</v>
      </c>
      <c r="T40" s="13">
        <f si="33" t="shared"/>
        <v>-1.2049005250125838E-3</v>
      </c>
      <c r="U40" s="13">
        <f si="34" t="shared"/>
        <v>-4.6864095830638219E-3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2.8429785520339146E-2</v>
      </c>
      <c r="P41" s="13" t="e">
        <f si="29" t="shared"/>
        <v>#DIV/0!</v>
      </c>
      <c r="Q41" s="13">
        <f si="30" t="shared"/>
        <v>-0.1427951593068188</v>
      </c>
      <c r="R41" s="13">
        <f si="31" t="shared"/>
        <v>0</v>
      </c>
      <c r="S41" s="13">
        <f si="32" t="shared"/>
        <v>0</v>
      </c>
      <c r="T41" s="13">
        <f si="33" t="shared"/>
        <v>9.3151072303421789E-3</v>
      </c>
      <c r="U41" s="13">
        <f si="34" t="shared"/>
        <v>-2.596528678028398E-2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0</v>
      </c>
      <c r="R42" s="13">
        <f si="31" t="shared"/>
        <v>0</v>
      </c>
      <c r="S42" s="13">
        <f si="32" t="shared"/>
        <v>0</v>
      </c>
      <c r="T42" s="13">
        <f si="33" t="shared"/>
        <v>0</v>
      </c>
      <c r="U42" s="13">
        <f si="34" t="shared"/>
        <v>0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>
        <f si="33" t="shared"/>
        <v>0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-0.13132201065501092</v>
      </c>
      <c r="R44" s="13">
        <f si="31" t="shared"/>
        <v>0</v>
      </c>
      <c r="S44" s="13">
        <f si="32" t="shared"/>
        <v>0</v>
      </c>
      <c r="T44" s="13">
        <f si="33" t="shared"/>
        <v>-5.1871286301505092E-5</v>
      </c>
      <c r="U44" s="13">
        <f si="34" t="shared"/>
        <v>7.3513759831223043E-3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0</v>
      </c>
      <c r="R45" s="13">
        <f si="31" t="shared"/>
        <v>0</v>
      </c>
      <c r="S45" s="13">
        <f si="32" t="shared"/>
        <v>0</v>
      </c>
      <c r="T45" s="13">
        <f si="33" t="shared"/>
        <v>0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0.16286740146960588</v>
      </c>
      <c r="R46" s="13">
        <f si="31" t="shared"/>
        <v>0</v>
      </c>
      <c r="S46" s="13">
        <f si="32" t="shared"/>
        <v>0</v>
      </c>
      <c r="T46" s="13">
        <f si="33" t="shared"/>
        <v>7.6125846900046762E-5</v>
      </c>
      <c r="U46" s="13">
        <f si="34" t="shared"/>
        <v>5.905855102335677E-3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>
        <f si="33" t="shared"/>
        <v>-3.5722173264030155E-2</v>
      </c>
      <c r="U47" s="13">
        <f si="34" t="shared"/>
        <v>-0.14845496069306025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1.6798857677677917E-3</v>
      </c>
      <c r="N48" s="13">
        <f si="39" t="shared"/>
        <v>1.1332527395390556E-2</v>
      </c>
      <c r="O48" s="13">
        <f si="39" t="shared"/>
        <v>4.5654909447321538E-3</v>
      </c>
      <c r="P48" s="13" t="e">
        <f si="39" t="shared"/>
        <v>#DIV/0!</v>
      </c>
      <c r="Q48" s="13">
        <f si="30" t="shared"/>
        <v>2.7972611890447561E-2</v>
      </c>
      <c r="R48" s="13">
        <f si="31" t="shared"/>
        <v>-4.7510731188318611E-2</v>
      </c>
      <c r="S48" s="13">
        <f si="32" t="shared"/>
        <v>0</v>
      </c>
      <c r="T48" s="13">
        <f si="33" t="shared"/>
        <v>4.7486348380298572E-3</v>
      </c>
      <c r="U48" s="13">
        <f si="34" t="shared"/>
        <v>4.3482463826609384E-2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-1.281683588514522E-2</v>
      </c>
      <c r="N49" s="17">
        <f si="39" t="shared"/>
        <v>2.8893861357278578E-2</v>
      </c>
      <c r="O49" s="17">
        <f si="39" t="shared"/>
        <v>5.2851086903667882E-3</v>
      </c>
      <c r="P49" s="17" t="e">
        <f si="39" t="shared"/>
        <v>#DIV/0!</v>
      </c>
      <c r="Q49" s="17">
        <f si="30" t="shared"/>
        <v>0.13626039764115594</v>
      </c>
      <c r="R49" s="17">
        <f si="31" t="shared"/>
        <v>4.7510731188318597E-2</v>
      </c>
      <c r="S49" s="17">
        <f si="32" t="shared"/>
        <v>0</v>
      </c>
      <c r="T49" s="17">
        <f si="33" t="shared"/>
        <v>1.755376836101178E-2</v>
      </c>
      <c r="U49" s="13">
        <f si="34" t="shared"/>
        <v>8.6432122401800163E-2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>
        <f si="33" t="shared"/>
        <v>0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2:AF50"/>
  <sheetViews>
    <sheetView workbookViewId="0" zoomScaleNormal="10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31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43</v>
      </c>
      <c r="C3" s="31"/>
      <c r="D3" s="31"/>
      <c r="E3" s="31"/>
      <c r="F3" s="31"/>
      <c r="G3" s="31"/>
      <c r="H3" s="31"/>
      <c r="I3" s="31"/>
      <c r="J3" s="11"/>
      <c r="L3" s="3"/>
      <c r="M3" s="31" t="s">
        <v>43</v>
      </c>
      <c r="N3" s="31"/>
      <c r="O3" s="31"/>
      <c r="P3" s="31"/>
      <c r="Q3" s="31"/>
      <c r="R3" s="31"/>
      <c r="S3" s="31"/>
      <c r="T3" s="31"/>
      <c r="U3" s="31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43039.3156</v>
      </c>
      <c r="C5" s="6" t="n">
        <v>324625.4207</v>
      </c>
      <c r="D5" s="6" t="n">
        <v>119711.5799</v>
      </c>
      <c r="E5" s="6" t="n">
        <v>316.7754</v>
      </c>
      <c r="F5" s="6" t="n">
        <v>248.0932</v>
      </c>
      <c r="G5" s="6" t="n">
        <v>0.0</v>
      </c>
      <c r="H5" s="6" t="n">
        <v>0.0</v>
      </c>
      <c r="I5" s="6" t="n">
        <v>0.0</v>
      </c>
      <c r="J5" s="6">
        <f>SUM(B5:I5)</f>
        <v>173182.396821</v>
      </c>
      <c r="K5" s="6"/>
      <c r="L5" t="s">
        <v>1</v>
      </c>
      <c r="M5" s="6" t="n">
        <v>9559.0</v>
      </c>
      <c r="N5" s="6" t="n">
        <v>293272.0</v>
      </c>
      <c r="O5" s="6" t="n">
        <v>214798.0</v>
      </c>
      <c r="P5" s="6" t="n">
        <v>0.0</v>
      </c>
      <c r="Q5" s="6" t="n">
        <v>0.0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179169</v>
      </c>
    </row>
    <row r="6" spans="1:21" x14ac:dyDescent="0.25">
      <c r="A6" t="s">
        <v>12</v>
      </c>
      <c r="B6" s="6" t="n">
        <v>0.0</v>
      </c>
      <c r="C6" s="6" t="n">
        <v>341733.4923</v>
      </c>
      <c r="D6" s="6" t="n">
        <v>180321.9346</v>
      </c>
      <c r="E6" s="6" t="n">
        <v>0.0</v>
      </c>
      <c r="F6" s="6" t="n">
        <v>519.071</v>
      </c>
      <c r="G6" s="6" t="n">
        <v>0.0</v>
      </c>
      <c r="H6" s="6" t="n">
        <v>0.0</v>
      </c>
      <c r="I6" s="6" t="n">
        <v>527.7052</v>
      </c>
      <c r="J6" s="6">
        <f ref="J6:J15" si="1" t="shared">SUM(B6:I6)</f>
        <v>186514.97396399998</v>
      </c>
      <c r="K6" s="6"/>
      <c r="L6" t="s">
        <v>12</v>
      </c>
      <c r="M6" s="6" t="n">
        <v>0.0</v>
      </c>
      <c r="N6" s="6" t="n">
        <v>446773.0</v>
      </c>
      <c r="O6" s="6" t="n">
        <v>184903.0</v>
      </c>
      <c r="P6" s="6" t="n">
        <v>0.0</v>
      </c>
      <c r="Q6" s="6" t="n">
        <v>0.0</v>
      </c>
      <c r="R6" s="6" t="n">
        <v>0.0</v>
      </c>
      <c r="S6" s="6" t="n">
        <v>0.0</v>
      </c>
      <c r="T6" s="6" t="n">
        <v>0.0</v>
      </c>
      <c r="U6" s="6">
        <f si="0" t="shared"/>
        <v>228272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366011.5628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0.0</v>
      </c>
      <c r="J7" s="6">
        <f si="1" t="shared"/>
        <v>147269.231654</v>
      </c>
      <c r="K7" s="6"/>
      <c r="L7" t="s">
        <v>56</v>
      </c>
      <c r="M7" s="6" t="n">
        <v>0.0</v>
      </c>
      <c r="N7" s="6" t="n">
        <v>0.0</v>
      </c>
      <c r="O7" s="6" t="n">
        <v>508407.0</v>
      </c>
      <c r="P7" s="6" t="n">
        <v>0.0</v>
      </c>
      <c r="Q7" s="6" t="n">
        <v>0.0</v>
      </c>
      <c r="R7" s="6" t="n">
        <v>0.0</v>
      </c>
      <c r="S7" s="6" t="n">
        <v>0.0</v>
      </c>
      <c r="T7" s="6" t="n">
        <v>0.0</v>
      </c>
      <c r="U7" s="6">
        <f si="0" t="shared"/>
        <v>191746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316.7754</v>
      </c>
      <c r="F8" s="6" t="n">
        <v>5636.4383</v>
      </c>
      <c r="G8" s="6" t="n">
        <v>0.0</v>
      </c>
      <c r="H8" s="6" t="n">
        <v>0.0</v>
      </c>
      <c r="I8" s="6" t="n">
        <v>0.0</v>
      </c>
      <c r="J8" s="6">
        <f si="1" t="shared"/>
        <v>0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0.0</v>
      </c>
      <c r="R8" s="6" t="n">
        <v>0.0</v>
      </c>
      <c r="S8" s="6" t="n">
        <v>0.0</v>
      </c>
      <c r="T8" s="6" t="n">
        <v>0.0</v>
      </c>
      <c r="U8" s="6">
        <f si="0" t="shared"/>
        <v>0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2662.1047389999999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1583.1156</v>
      </c>
      <c r="J13" s="6">
        <f si="1" t="shared"/>
        <v>389.56202400000001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4675.0865</v>
      </c>
      <c r="D14" s="6" t="n">
        <v>143.3432</v>
      </c>
      <c r="E14" s="6" t="n">
        <v>0.0</v>
      </c>
      <c r="F14" s="6" t="n">
        <v>0.0</v>
      </c>
      <c r="G14" s="6" t="n">
        <v>3693.4988999999996</v>
      </c>
      <c r="H14" s="6" t="n">
        <v>0.0</v>
      </c>
      <c r="I14" s="6" t="n">
        <v>0.0</v>
      </c>
      <c r="J14" s="6">
        <f si="1" t="shared"/>
        <v>343.87319600000001</v>
      </c>
      <c r="K14" s="6"/>
      <c r="L14" t="s">
        <v>4</v>
      </c>
      <c r="M14" s="6" t="n">
        <v>7.0</v>
      </c>
      <c r="N14" s="6" t="n">
        <v>6608.0</v>
      </c>
      <c r="O14" s="6" t="n">
        <v>7802.0</v>
      </c>
      <c r="P14" s="6" t="n">
        <v>0.0</v>
      </c>
      <c r="Q14" s="6" t="n">
        <v>0.0</v>
      </c>
      <c r="R14" s="6" t="n">
        <v>9538.0</v>
      </c>
      <c r="S14" s="6" t="n">
        <v>0.0</v>
      </c>
      <c r="T14" s="6" t="n">
        <v>0.0</v>
      </c>
      <c r="U14" s="6">
        <f si="0" t="shared"/>
        <v>10753</v>
      </c>
    </row>
    <row r="15" spans="1:21" x14ac:dyDescent="0.25">
      <c r="A15" s="4" t="s">
        <v>5</v>
      </c>
      <c r="B15" s="10" t="n">
        <v>3527.6729</v>
      </c>
      <c r="C15" s="10" t="n">
        <v>7260.1966</v>
      </c>
      <c r="D15" s="10" t="n">
        <v>26094.017</v>
      </c>
      <c r="E15" s="10" t="n">
        <v>316.7754</v>
      </c>
      <c r="F15" s="10" t="n">
        <v>180.3135</v>
      </c>
      <c r="G15" s="10" t="n">
        <v>294.9753</v>
      </c>
      <c r="H15" s="10" t="n">
        <v>54229.8969</v>
      </c>
      <c r="I15" s="10" t="n">
        <v>0.0</v>
      </c>
      <c r="J15" s="6">
        <f si="1" t="shared"/>
        <v>12167.964876</v>
      </c>
      <c r="K15" s="6"/>
      <c r="L15" s="4" t="s">
        <v>5</v>
      </c>
      <c r="M15" s="8" t="n">
        <v>37.0</v>
      </c>
      <c r="N15" s="8" t="n">
        <v>38788.0</v>
      </c>
      <c r="O15" s="8" t="n">
        <v>43021.0</v>
      </c>
      <c r="P15" s="8" t="n">
        <v>0.0</v>
      </c>
      <c r="Q15" s="8" t="n">
        <v>0.0</v>
      </c>
      <c r="R15" s="8" t="n">
        <v>570.0</v>
      </c>
      <c r="S15" s="8" t="n">
        <v>45746.0</v>
      </c>
      <c r="T15" s="8" t="n">
        <v>0.0</v>
      </c>
      <c r="U15" s="6">
        <f si="0" t="shared"/>
        <v>28651</v>
      </c>
    </row>
    <row ht="15.75" r="16" spans="1:21" thickBot="1" x14ac:dyDescent="0.3">
      <c r="A16" s="12" t="s">
        <v>7</v>
      </c>
      <c r="B16" s="16">
        <f ref="B16:J16" si="2" t="shared">SUM(B5:B15)</f>
        <v>9658.8914440000008</v>
      </c>
      <c r="C16" s="16">
        <f si="2" t="shared"/>
        <v>234020.39646799999</v>
      </c>
      <c r="D16" s="16">
        <f si="2" t="shared"/>
        <v>262672.75975199998</v>
      </c>
      <c r="E16" s="16">
        <f si="2" t="shared"/>
        <v>2013.1207829999998</v>
      </c>
      <c r="F16" s="16">
        <f si="2" t="shared"/>
        <v>1991.064478</v>
      </c>
      <c r="G16" s="16">
        <f si="2" t="shared"/>
        <v>0</v>
      </c>
      <c r="H16" s="16">
        <f si="2" t="shared"/>
        <v>10226.064229</v>
      </c>
      <c r="I16" s="16">
        <f si="2" t="shared"/>
        <v>1947.8101200000001</v>
      </c>
      <c r="J16" s="16">
        <f si="2" t="shared"/>
        <v>522530.10727399995</v>
      </c>
      <c r="L16" s="9" t="s">
        <v>7</v>
      </c>
      <c r="M16" s="16">
        <f ref="M16:U16" si="3" t="shared">SUM(M5:M15)</f>
        <v>2150</v>
      </c>
      <c r="N16" s="16">
        <f si="3" t="shared"/>
        <v>284194</v>
      </c>
      <c r="O16" s="16">
        <f si="3" t="shared"/>
        <v>324202</v>
      </c>
      <c r="P16" s="16">
        <f si="3" t="shared"/>
        <v>0</v>
      </c>
      <c r="Q16" s="16">
        <f si="3" t="shared"/>
        <v>0</v>
      </c>
      <c r="R16" s="16">
        <f si="3" t="shared"/>
        <v>6545</v>
      </c>
      <c r="S16" s="16">
        <f si="3" t="shared"/>
        <v>21500</v>
      </c>
      <c r="T16" s="16">
        <f si="3" t="shared"/>
        <v>0</v>
      </c>
      <c r="U16" s="16">
        <f si="3" t="shared"/>
        <v>638591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32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43</v>
      </c>
      <c r="C20" s="31"/>
      <c r="D20" s="31"/>
      <c r="E20" s="31"/>
      <c r="F20" s="31"/>
      <c r="G20" s="31"/>
      <c r="H20" s="31"/>
      <c r="I20" s="31"/>
      <c r="J20" s="11"/>
      <c r="L20" s="3"/>
      <c r="M20" s="31" t="s">
        <v>43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1</v>
      </c>
      <c r="C22" s="13">
        <f si="4" t="shared"/>
        <v>0.48464486207085222</v>
      </c>
      <c r="D22" s="13">
        <f si="4" t="shared"/>
        <v>0.18820254675313206</v>
      </c>
      <c r="E22" s="13">
        <f si="4" t="shared"/>
        <v>0.33333333333333337</v>
      </c>
      <c r="F22" s="13">
        <f si="4" t="shared"/>
        <v>0</v>
      </c>
      <c r="G22" s="13" t="e">
        <f si="4" t="shared"/>
        <v>#DIV/0!</v>
      </c>
      <c r="H22" s="13">
        <f si="4" t="shared"/>
        <v>0</v>
      </c>
      <c r="I22" s="13">
        <f si="4" t="shared"/>
        <v>0</v>
      </c>
      <c r="J22" s="13">
        <f si="4" t="shared"/>
        <v>0.3314304657476666</v>
      </c>
      <c r="K22" s="6"/>
      <c r="L22" t="s">
        <v>1</v>
      </c>
      <c r="M22" s="13">
        <f ref="M22:P22" si="5" t="shared">M5/M$16</f>
        <v>0.99767441860465111</v>
      </c>
      <c r="N22" s="13">
        <f si="5" t="shared"/>
        <v>0.37100712893305277</v>
      </c>
      <c r="O22" s="13">
        <f si="5" t="shared"/>
        <v>0.22080678095755116</v>
      </c>
      <c r="P22" s="13" t="e">
        <f si="5" t="shared"/>
        <v>#DIV/0!</v>
      </c>
      <c r="Q22" s="13" t="e">
        <f ref="Q22:U33" si="6" t="shared">Q5/Q$16</f>
        <v>#DIV/0!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0.2805692532466007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0.51189761187068461</v>
      </c>
      <c r="D23" s="13">
        <f si="7" t="shared"/>
        <v>0.24996840045382765</v>
      </c>
      <c r="E23" s="13">
        <f si="7" t="shared"/>
        <v>0.33333333333333337</v>
      </c>
      <c r="F23" s="13">
        <f si="7" t="shared"/>
        <v>0</v>
      </c>
      <c r="G23" s="13" t="e">
        <f si="7" t="shared"/>
        <v>#DIV/0!</v>
      </c>
      <c r="H23" s="13">
        <f si="7" t="shared"/>
        <v>0</v>
      </c>
      <c r="I23" s="13">
        <f si="7" t="shared"/>
        <v>0.19999999999999998</v>
      </c>
      <c r="J23" s="13">
        <f si="7" t="shared"/>
        <v>0.35694588956229623</v>
      </c>
      <c r="K23" s="6"/>
      <c r="L23" t="s">
        <v>12</v>
      </c>
      <c r="M23" s="13">
        <f ref="M23:P23" si="8" t="shared">M6/M$16</f>
        <v>0</v>
      </c>
      <c r="N23" s="13">
        <f si="8" t="shared"/>
        <v>0.60741254213670948</v>
      </c>
      <c r="O23" s="13">
        <f si="8" t="shared"/>
        <v>0.17164915700705116</v>
      </c>
      <c r="P23" s="13" t="e">
        <f si="8" t="shared"/>
        <v>#DIV/0!</v>
      </c>
      <c r="Q23" s="13" t="e">
        <f si="6" t="shared"/>
        <v>#DIV/0!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0.35746197487906972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0.55620744884219986</v>
      </c>
      <c r="E24" s="13">
        <f si="9" t="shared"/>
        <v>0</v>
      </c>
      <c r="F24" s="13">
        <f si="9" t="shared"/>
        <v>0</v>
      </c>
      <c r="G24" s="13" t="e">
        <f si="9" t="shared"/>
        <v>#DIV/0!</v>
      </c>
      <c r="H24" s="13">
        <f si="9" t="shared"/>
        <v>0</v>
      </c>
      <c r="I24" s="13">
        <f si="9" t="shared"/>
        <v>0.6</v>
      </c>
      <c r="J24" s="13">
        <f si="9" t="shared"/>
        <v>0.28183874881830723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0.59143990475074182</v>
      </c>
      <c r="P24" s="13" t="e">
        <f si="10" t="shared"/>
        <v>#DIV/0!</v>
      </c>
      <c r="Q24" s="13" t="e">
        <f si="6" t="shared"/>
        <v>#DIV/0!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0.30026417534854077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</v>
      </c>
      <c r="F25" s="13">
        <f si="11" t="shared"/>
        <v>0</v>
      </c>
      <c r="G25" s="13" t="e">
        <f si="11" t="shared"/>
        <v>#DIV/0!</v>
      </c>
      <c r="H25" s="13">
        <f si="11" t="shared"/>
        <v>0</v>
      </c>
      <c r="I25" s="13">
        <f si="11" t="shared"/>
        <v>0</v>
      </c>
      <c r="J25" s="13">
        <f si="11" t="shared"/>
        <v>0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 t="e">
        <f si="6" t="shared"/>
        <v>#DIV/0!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0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 t="e">
        <f si="13" t="shared"/>
        <v>#DIV/0!</v>
      </c>
      <c r="H26" s="13">
        <f si="13" t="shared"/>
        <v>0</v>
      </c>
      <c r="I26" s="13">
        <f si="13" t="shared"/>
        <v>0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 t="e">
        <f si="6" t="shared"/>
        <v>#DIV/0!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0.33333333333333337</v>
      </c>
      <c r="F27" s="13">
        <f si="15" t="shared"/>
        <v>1</v>
      </c>
      <c r="G27" s="13" t="e">
        <f si="15" t="shared"/>
        <v>#DIV/0!</v>
      </c>
      <c r="H27" s="13">
        <f si="15" t="shared"/>
        <v>0</v>
      </c>
      <c r="I27" s="13">
        <f si="15" t="shared"/>
        <v>0</v>
      </c>
      <c r="J27" s="13">
        <f si="15" t="shared"/>
        <v>5.0946437381149175E-3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 t="e">
        <f si="6" t="shared"/>
        <v>#DIV/0!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0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 t="e">
        <f si="17" t="shared"/>
        <v>#DIV/0!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 t="e">
        <f si="6" t="shared"/>
        <v>#DIV/0!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 t="e">
        <f si="19" t="shared"/>
        <v>#DIV/0!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 t="e">
        <f si="6" t="shared"/>
        <v>#DIV/0!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0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 t="e">
        <f si="21" t="shared"/>
        <v>#DIV/0!</v>
      </c>
      <c r="H30" s="13">
        <f si="21" t="shared"/>
        <v>0</v>
      </c>
      <c r="I30" s="13">
        <f si="21" t="shared"/>
        <v>0.19999999999999998</v>
      </c>
      <c r="J30" s="13">
        <f si="21" t="shared"/>
        <v>7.455302930434298E-4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 t="e">
        <f si="6" t="shared"/>
        <v>#DIV/0!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1.3091315457478905E-3</v>
      </c>
      <c r="E31" s="13">
        <f si="23" t="shared"/>
        <v>0</v>
      </c>
      <c r="F31" s="13">
        <f si="23" t="shared"/>
        <v>0</v>
      </c>
      <c r="G31" s="13" t="e">
        <f si="23" t="shared"/>
        <v>#DIV/0!</v>
      </c>
      <c r="H31" s="13">
        <f si="23" t="shared"/>
        <v>0</v>
      </c>
      <c r="I31" s="13">
        <f si="23" t="shared"/>
        <v>0</v>
      </c>
      <c r="J31" s="13">
        <f si="23" t="shared"/>
        <v>6.5809259832693746E-4</v>
      </c>
      <c r="K31" s="6"/>
      <c r="L31" t="s">
        <v>4</v>
      </c>
      <c r="M31" s="13">
        <f ref="M31:P31" si="24" t="shared">M14/M$16</f>
        <v>1.3953488372093023E-3</v>
      </c>
      <c r="N31" s="13">
        <f si="24" t="shared"/>
        <v>8.1036193586071486E-3</v>
      </c>
      <c r="O31" s="13">
        <f si="24" t="shared"/>
        <v>6.0394445438337824E-3</v>
      </c>
      <c r="P31" s="13" t="e">
        <f si="24" t="shared"/>
        <v>#DIV/0!</v>
      </c>
      <c r="Q31" s="13" t="e">
        <f si="6" t="shared"/>
        <v>#DIV/0!</v>
      </c>
      <c r="R31" s="13">
        <f si="6" t="shared"/>
        <v>0.99144385026737969</v>
      </c>
      <c r="S31" s="13">
        <f si="6" t="shared"/>
        <v>0</v>
      </c>
      <c r="T31" s="13" t="e">
        <f si="6" t="shared"/>
        <v>#DIV/0!</v>
      </c>
      <c r="U31" s="13">
        <f si="6" t="shared"/>
        <v>1.6838633804735739E-2</v>
      </c>
    </row>
    <row r="32" spans="1:21" x14ac:dyDescent="0.25">
      <c r="A32" s="4" t="s">
        <v>5</v>
      </c>
      <c r="B32" s="14">
        <f ref="B32:J32" si="25" t="shared">B15/B$16</f>
        <v>0</v>
      </c>
      <c r="C32" s="14">
        <f si="25" t="shared"/>
        <v>3.4575260584632029E-3</v>
      </c>
      <c r="D32" s="14">
        <f si="25" t="shared"/>
        <v>4.3124724050925311E-3</v>
      </c>
      <c r="E32" s="14">
        <f si="25" t="shared"/>
        <v>0</v>
      </c>
      <c r="F32" s="14">
        <f si="25" t="shared"/>
        <v>0</v>
      </c>
      <c r="G32" s="14" t="e">
        <f si="25" t="shared"/>
        <v>#DIV/0!</v>
      </c>
      <c r="H32" s="14">
        <f si="25" t="shared"/>
        <v>1</v>
      </c>
      <c r="I32" s="14">
        <f si="25" t="shared"/>
        <v>0</v>
      </c>
      <c r="J32" s="14">
        <f si="25" t="shared"/>
        <v>2.3286629242244724E-2</v>
      </c>
      <c r="K32" s="6"/>
      <c r="L32" s="4" t="s">
        <v>5</v>
      </c>
      <c r="M32" s="14">
        <f ref="M32:P32" si="26" t="shared">M15/M$16</f>
        <v>9.3023255813953494E-4</v>
      </c>
      <c r="N32" s="14">
        <f si="26" t="shared"/>
        <v>1.3476709571630647E-2</v>
      </c>
      <c r="O32" s="14">
        <f si="26" t="shared"/>
        <v>1.0064712740822081E-2</v>
      </c>
      <c r="P32" s="14" t="e">
        <f si="26" t="shared"/>
        <v>#DIV/0!</v>
      </c>
      <c r="Q32" s="14" t="e">
        <f si="6" t="shared"/>
        <v>#DIV/0!</v>
      </c>
      <c r="R32" s="14">
        <f si="6" t="shared"/>
        <v>8.5561497326203211E-3</v>
      </c>
      <c r="S32" s="14">
        <f si="6" t="shared"/>
        <v>1</v>
      </c>
      <c r="T32" s="14" t="e">
        <f si="6" t="shared"/>
        <v>#DIV/0!</v>
      </c>
      <c r="U32" s="14">
        <f si="6" t="shared"/>
        <v>4.4865962721053067E-2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 t="e">
        <f si="27" t="shared"/>
        <v>#DIV/0!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 t="e">
        <f si="6" t="shared"/>
        <v>#DIV/0!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19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43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16</v>
      </c>
      <c r="S38" s="5" t="s">
        <v>4</v>
      </c>
      <c r="T38" s="5" t="s">
        <v>5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-2.3255813953488857E-3</v>
      </c>
      <c r="N39" s="13">
        <f si="29" t="shared"/>
        <v>-0.11363773313779946</v>
      </c>
      <c r="O39" s="13">
        <f si="29" t="shared"/>
        <v>3.2604234204419102E-2</v>
      </c>
      <c r="P39" s="13" t="e">
        <f si="29" t="shared"/>
        <v>#DIV/0!</v>
      </c>
      <c r="Q39" s="13" t="e">
        <f ref="Q39:Q50" si="30" t="shared">Q22-F22</f>
        <v>#DIV/0!</v>
      </c>
      <c r="R39" s="13" t="e">
        <f ref="R39:R50" si="31" t="shared">R22-G22</f>
        <v>#DIV/0!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-5.08612125010659E-2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9.5514930266024867E-2</v>
      </c>
      <c r="O40" s="13">
        <f si="29" t="shared"/>
        <v>-7.8319243446776488E-2</v>
      </c>
      <c r="P40" s="13" t="e">
        <f si="29" t="shared"/>
        <v>#DIV/0!</v>
      </c>
      <c r="Q40" s="13" t="e">
        <f si="30" t="shared"/>
        <v>#DIV/0!</v>
      </c>
      <c r="R40" s="13" t="e">
        <f si="31" t="shared"/>
        <v>#DIV/0!</v>
      </c>
      <c r="S40" s="13">
        <f si="32" t="shared"/>
        <v>0</v>
      </c>
      <c r="T40" s="13" t="e">
        <f si="33" t="shared"/>
        <v>#DIV/0!</v>
      </c>
      <c r="U40" s="13">
        <f si="34" t="shared"/>
        <v>5.1608531677349578E-4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3.523245590854196E-2</v>
      </c>
      <c r="P41" s="13" t="e">
        <f si="29" t="shared"/>
        <v>#DIV/0!</v>
      </c>
      <c r="Q41" s="13" t="e">
        <f si="30" t="shared"/>
        <v>#DIV/0!</v>
      </c>
      <c r="R41" s="13" t="e">
        <f si="31" t="shared"/>
        <v>#DIV/0!</v>
      </c>
      <c r="S41" s="13">
        <f si="32" t="shared"/>
        <v>0</v>
      </c>
      <c r="T41" s="13" t="e">
        <f si="33" t="shared"/>
        <v>#DIV/0!</v>
      </c>
      <c r="U41" s="13">
        <f si="34" t="shared"/>
        <v>1.8425426530233546E-2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 t="e">
        <f si="30" t="shared"/>
        <v>#DIV/0!</v>
      </c>
      <c r="R42" s="13" t="e">
        <f si="31" t="shared"/>
        <v>#DIV/0!</v>
      </c>
      <c r="S42" s="13">
        <f si="32" t="shared"/>
        <v>0</v>
      </c>
      <c r="T42" s="13" t="e">
        <f si="33" t="shared"/>
        <v>#DIV/0!</v>
      </c>
      <c r="U42" s="13">
        <f si="34" t="shared"/>
        <v>0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 t="e">
        <f si="30" t="shared"/>
        <v>#DIV/0!</v>
      </c>
      <c r="R43" s="13" t="e">
        <f si="31" t="shared"/>
        <v>#DIV/0!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 t="e">
        <f si="30" t="shared"/>
        <v>#DIV/0!</v>
      </c>
      <c r="R44" s="13" t="e">
        <f si="31" t="shared"/>
        <v>#DIV/0!</v>
      </c>
      <c r="S44" s="13">
        <f si="32" t="shared"/>
        <v>0</v>
      </c>
      <c r="T44" s="13" t="e">
        <f si="33" t="shared"/>
        <v>#DIV/0!</v>
      </c>
      <c r="U44" s="13">
        <f si="34" t="shared"/>
        <v>-5.0946437381149175E-3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 t="e">
        <f si="30" t="shared"/>
        <v>#DIV/0!</v>
      </c>
      <c r="R45" s="13" t="e">
        <f si="31" t="shared"/>
        <v>#DIV/0!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 t="e">
        <f si="30" t="shared"/>
        <v>#DIV/0!</v>
      </c>
      <c r="R46" s="13" t="e">
        <f si="31" t="shared"/>
        <v>#DIV/0!</v>
      </c>
      <c r="S46" s="13">
        <f si="32" t="shared"/>
        <v>0</v>
      </c>
      <c r="T46" s="13" t="e">
        <f si="33" t="shared"/>
        <v>#DIV/0!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 t="e">
        <f si="30" t="shared"/>
        <v>#DIV/0!</v>
      </c>
      <c r="R47" s="13" t="e">
        <f si="31" t="shared"/>
        <v>#DIV/0!</v>
      </c>
      <c r="S47" s="13">
        <f si="32" t="shared"/>
        <v>0</v>
      </c>
      <c r="T47" s="13" t="e">
        <f si="33" t="shared"/>
        <v>#DIV/0!</v>
      </c>
      <c r="U47" s="13">
        <f si="34" t="shared"/>
        <v>-7.455302930434298E-4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1.3953488372093023E-3</v>
      </c>
      <c r="N48" s="13">
        <f si="39" t="shared"/>
        <v>8.1036193586071486E-3</v>
      </c>
      <c r="O48" s="13">
        <f si="39" t="shared"/>
        <v>4.7303129980858921E-3</v>
      </c>
      <c r="P48" s="13" t="e">
        <f si="39" t="shared"/>
        <v>#DIV/0!</v>
      </c>
      <c r="Q48" s="13" t="e">
        <f si="30" t="shared"/>
        <v>#DIV/0!</v>
      </c>
      <c r="R48" s="13" t="e">
        <f si="31" t="shared"/>
        <v>#DIV/0!</v>
      </c>
      <c r="S48" s="13">
        <f si="32" t="shared"/>
        <v>0</v>
      </c>
      <c r="T48" s="13" t="e">
        <f si="33" t="shared"/>
        <v>#DIV/0!</v>
      </c>
      <c r="U48" s="13">
        <f si="34" t="shared"/>
        <v>1.6180541206408799E-2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9.3023255813953494E-4</v>
      </c>
      <c r="N49" s="17">
        <f si="39" t="shared"/>
        <v>1.0019183513167444E-2</v>
      </c>
      <c r="O49" s="17">
        <f si="39" t="shared"/>
        <v>5.7522403357295497E-3</v>
      </c>
      <c r="P49" s="17" t="e">
        <f si="39" t="shared"/>
        <v>#DIV/0!</v>
      </c>
      <c r="Q49" s="17" t="e">
        <f si="30" t="shared"/>
        <v>#DIV/0!</v>
      </c>
      <c r="R49" s="17" t="e">
        <f si="31" t="shared"/>
        <v>#DIV/0!</v>
      </c>
      <c r="S49" s="17">
        <f si="32" t="shared"/>
        <v>0</v>
      </c>
      <c r="T49" s="17" t="e">
        <f si="33" t="shared"/>
        <v>#DIV/0!</v>
      </c>
      <c r="U49" s="13">
        <f si="34" t="shared"/>
        <v>2.1579333478808343E-2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 t="e">
        <f si="30" t="shared"/>
        <v>#DIV/0!</v>
      </c>
      <c r="R50" s="15" t="e">
        <f si="31" t="shared"/>
        <v>#DIV/0!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2:AF50"/>
  <sheetViews>
    <sheetView workbookViewId="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33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44</v>
      </c>
      <c r="C3" s="31"/>
      <c r="D3" s="31"/>
      <c r="E3" s="31"/>
      <c r="F3" s="31"/>
      <c r="G3" s="31"/>
      <c r="H3" s="31"/>
      <c r="I3" s="31"/>
      <c r="J3" s="11"/>
      <c r="L3" s="3"/>
      <c r="M3" s="31" t="s">
        <v>44</v>
      </c>
      <c r="N3" s="31"/>
      <c r="O3" s="31"/>
      <c r="P3" s="31"/>
      <c r="Q3" s="31"/>
      <c r="R3" s="31"/>
      <c r="S3" s="31"/>
      <c r="T3" s="31"/>
      <c r="U3" s="31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564485.3393</v>
      </c>
      <c r="C5" s="6" t="n">
        <v>22951.1266</v>
      </c>
      <c r="D5" s="6" t="n">
        <v>12246.3546</v>
      </c>
      <c r="E5" s="6" t="n">
        <v>2856.1367</v>
      </c>
      <c r="F5" s="6" t="n">
        <v>859.1177</v>
      </c>
      <c r="G5" s="6" t="n">
        <v>0.0</v>
      </c>
      <c r="H5" s="6" t="n">
        <v>0.0</v>
      </c>
      <c r="I5" s="6" t="n">
        <v>0.0</v>
      </c>
      <c r="J5" s="6">
        <f>SUM(B5:I5)</f>
        <v>218470.64789299999</v>
      </c>
      <c r="K5" s="6"/>
      <c r="L5" t="s">
        <v>1</v>
      </c>
      <c r="M5" s="6" t="n">
        <v>675341.0</v>
      </c>
      <c r="N5" s="6" t="n">
        <v>43280.0</v>
      </c>
      <c r="O5" s="6" t="n">
        <v>12266.0</v>
      </c>
      <c r="P5" s="6" t="n">
        <v>0.0</v>
      </c>
      <c r="Q5" s="6" t="n">
        <v>688.0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293222</v>
      </c>
    </row>
    <row r="6" spans="1:21" x14ac:dyDescent="0.25">
      <c r="A6" t="s">
        <v>12</v>
      </c>
      <c r="B6" s="6" t="n">
        <v>0.0</v>
      </c>
      <c r="C6" s="6" t="n">
        <v>348224.7446</v>
      </c>
      <c r="D6" s="6" t="n">
        <v>11423.8949</v>
      </c>
      <c r="E6" s="6" t="n">
        <v>0.0</v>
      </c>
      <c r="F6" s="6" t="n">
        <v>6242.4872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111643.19730299999</v>
      </c>
      <c r="K6" s="6"/>
      <c r="L6" t="s">
        <v>12</v>
      </c>
      <c r="M6" s="6" t="n">
        <v>0.0</v>
      </c>
      <c r="N6" s="6" t="n">
        <v>369146.0</v>
      </c>
      <c r="O6" s="6" t="n">
        <v>54989.0</v>
      </c>
      <c r="P6" s="6" t="n">
        <v>0.0</v>
      </c>
      <c r="Q6" s="6" t="n">
        <v>7464.0</v>
      </c>
      <c r="R6" s="6" t="n">
        <v>0.0</v>
      </c>
      <c r="S6" s="6" t="n">
        <v>0.0</v>
      </c>
      <c r="T6" s="6" t="n">
        <v>0.0</v>
      </c>
      <c r="U6" s="6">
        <f si="0" t="shared"/>
        <v>182265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190716.4425</v>
      </c>
      <c r="E7" s="6" t="n">
        <v>264.2893</v>
      </c>
      <c r="F7" s="6" t="n">
        <v>219.4993</v>
      </c>
      <c r="G7" s="6" t="n">
        <v>0.0</v>
      </c>
      <c r="H7" s="6" t="n">
        <v>0.0</v>
      </c>
      <c r="I7" s="6" t="n">
        <v>734.7289</v>
      </c>
      <c r="J7" s="6">
        <f si="1" t="shared"/>
        <v>61366.443348000001</v>
      </c>
      <c r="K7" s="6"/>
      <c r="L7" t="s">
        <v>56</v>
      </c>
      <c r="M7" s="6" t="n">
        <v>0.0</v>
      </c>
      <c r="N7" s="6" t="n">
        <v>0.0</v>
      </c>
      <c r="O7" s="6" t="n">
        <v>221877.0</v>
      </c>
      <c r="P7" s="6" t="n">
        <v>0.0</v>
      </c>
      <c r="Q7" s="6" t="n">
        <v>3216.0</v>
      </c>
      <c r="R7" s="6" t="n">
        <v>0.0</v>
      </c>
      <c r="S7" s="6" t="n">
        <v>0.0</v>
      </c>
      <c r="T7" s="6" t="n">
        <v>0.0</v>
      </c>
      <c r="U7" s="6">
        <f si="0" t="shared"/>
        <v>85730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2288.7723</v>
      </c>
      <c r="F8" s="6" t="n">
        <v>58316.4842</v>
      </c>
      <c r="G8" s="6" t="n">
        <v>0.0</v>
      </c>
      <c r="H8" s="6" t="n">
        <v>0.0</v>
      </c>
      <c r="I8" s="6" t="n">
        <v>0.0</v>
      </c>
      <c r="J8" s="6">
        <f si="1" t="shared"/>
        <v>0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29656.0</v>
      </c>
      <c r="R8" s="6" t="n">
        <v>0.0</v>
      </c>
      <c r="S8" s="6" t="n">
        <v>0.0</v>
      </c>
      <c r="T8" s="6" t="n">
        <v>0.0</v>
      </c>
      <c r="U8" s="6">
        <f si="0" t="shared"/>
        <v>0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7653.0306390000005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6839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167.34271000000001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1470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3841.1739</v>
      </c>
      <c r="J13" s="6">
        <f si="1" t="shared"/>
        <v>131.941979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1232.9328</v>
      </c>
      <c r="C14" s="6" t="n">
        <v>485.03960000000006</v>
      </c>
      <c r="D14" s="6" t="n">
        <v>0.0</v>
      </c>
      <c r="E14" s="6" t="n">
        <v>0.0</v>
      </c>
      <c r="F14" s="6" t="n">
        <v>1102.2096</v>
      </c>
      <c r="G14" s="6" t="n">
        <v>11853.0281</v>
      </c>
      <c r="H14" s="6" t="n">
        <v>0.0</v>
      </c>
      <c r="I14" s="6" t="n">
        <v>0.0</v>
      </c>
      <c r="J14" s="6">
        <f si="1" t="shared"/>
        <v>739.08515799999998</v>
      </c>
      <c r="K14" s="6"/>
      <c r="L14" t="s">
        <v>4</v>
      </c>
      <c r="M14" s="6" t="n">
        <v>1396.0</v>
      </c>
      <c r="N14" s="6" t="n">
        <v>1183.0</v>
      </c>
      <c r="O14" s="6" t="n">
        <v>587.0</v>
      </c>
      <c r="P14" s="6" t="n">
        <v>0.0</v>
      </c>
      <c r="Q14" s="6" t="n">
        <v>1037.0</v>
      </c>
      <c r="R14" s="6" t="n">
        <v>12145.0</v>
      </c>
      <c r="S14" s="6" t="n">
        <v>0.0</v>
      </c>
      <c r="T14" s="6" t="n">
        <v>0.0</v>
      </c>
      <c r="U14" s="6">
        <f si="0" t="shared"/>
        <v>7064</v>
      </c>
    </row>
    <row r="15" spans="1:21" x14ac:dyDescent="0.25">
      <c r="A15" s="4" t="s">
        <v>5</v>
      </c>
      <c r="B15" s="10" t="n">
        <v>9144.6971</v>
      </c>
      <c r="C15" s="10" t="n">
        <v>3437.496</v>
      </c>
      <c r="D15" s="10" t="n">
        <v>1950.0654</v>
      </c>
      <c r="E15" s="10" t="n">
        <v>200.7764</v>
      </c>
      <c r="F15" s="10" t="n">
        <v>14243.8045</v>
      </c>
      <c r="G15" s="10" t="n">
        <v>2154.6166</v>
      </c>
      <c r="H15" s="10" t="n">
        <v>105205.6263</v>
      </c>
      <c r="I15" s="10" t="n">
        <v>0.0</v>
      </c>
      <c r="J15" s="6">
        <f si="1" t="shared"/>
        <v>17470.148429999997</v>
      </c>
      <c r="K15" s="6"/>
      <c r="L15" s="4" t="s">
        <v>5</v>
      </c>
      <c r="M15" s="8" t="n">
        <v>14375.0</v>
      </c>
      <c r="N15" s="8" t="n">
        <v>6852.0</v>
      </c>
      <c r="O15" s="8" t="n">
        <v>3314.0</v>
      </c>
      <c r="P15" s="8" t="n">
        <v>0.0</v>
      </c>
      <c r="Q15" s="8" t="n">
        <v>15234.0</v>
      </c>
      <c r="R15" s="8" t="n">
        <v>1044.0</v>
      </c>
      <c r="S15" s="8" t="n">
        <v>160481.0</v>
      </c>
      <c r="T15" s="8" t="n">
        <v>0.0</v>
      </c>
      <c r="U15" s="6">
        <f si="0" t="shared"/>
        <v>13200</v>
      </c>
    </row>
    <row ht="15.75" r="16" spans="1:21" thickBot="1" x14ac:dyDescent="0.3">
      <c r="A16" s="12" t="s">
        <v>7</v>
      </c>
      <c r="B16" s="16">
        <f ref="B16:J16" si="2" t="shared">SUM(B5:B15)</f>
        <v>208713.433838</v>
      </c>
      <c r="C16" s="16">
        <f si="2" t="shared"/>
        <v>114081.644499</v>
      </c>
      <c r="D16" s="16">
        <f si="2" t="shared"/>
        <v>69165.140889000002</v>
      </c>
      <c r="E16" s="16">
        <f si="2" t="shared"/>
        <v>1057.0506230000001</v>
      </c>
      <c r="F16" s="16">
        <f si="2" t="shared"/>
        <v>7807.2675509999999</v>
      </c>
      <c r="G16" s="16">
        <f si="2" t="shared"/>
        <v>739.08515799999998</v>
      </c>
      <c r="H16" s="16">
        <f si="2" t="shared"/>
        <v>15682.388965</v>
      </c>
      <c r="I16" s="16">
        <f si="2" t="shared"/>
        <v>395.82593700000001</v>
      </c>
      <c r="J16" s="16">
        <f si="2" t="shared"/>
        <v>417641.83745999995</v>
      </c>
      <c r="L16" s="9" t="s">
        <v>7</v>
      </c>
      <c r="M16" s="16">
        <f ref="M16:U16" si="3" t="shared">SUM(M5:M15)</f>
        <v>278713</v>
      </c>
      <c r="N16" s="16">
        <f si="3" t="shared"/>
        <v>178180</v>
      </c>
      <c r="O16" s="16">
        <f si="3" t="shared"/>
        <v>106726</v>
      </c>
      <c r="P16" s="16">
        <f si="3" t="shared"/>
        <v>0</v>
      </c>
      <c r="Q16" s="16">
        <f si="3" t="shared"/>
        <v>10408</v>
      </c>
      <c r="R16" s="16">
        <f si="3" t="shared"/>
        <v>6158</v>
      </c>
      <c r="S16" s="16">
        <f si="3" t="shared"/>
        <v>9605</v>
      </c>
      <c r="T16" s="16">
        <f si="3" t="shared"/>
        <v>0</v>
      </c>
      <c r="U16" s="16">
        <f si="3" t="shared"/>
        <v>589790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34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44</v>
      </c>
      <c r="C20" s="31"/>
      <c r="D20" s="31"/>
      <c r="E20" s="31"/>
      <c r="F20" s="31"/>
      <c r="G20" s="31"/>
      <c r="H20" s="31"/>
      <c r="I20" s="31"/>
      <c r="J20" s="11"/>
      <c r="L20" s="3"/>
      <c r="M20" s="31" t="s">
        <v>44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0.99797918185119128</v>
      </c>
      <c r="C22" s="13">
        <f si="4" t="shared"/>
        <v>6.2121441622995897E-2</v>
      </c>
      <c r="D22" s="13">
        <f si="4" t="shared"/>
        <v>4.0021327643102289E-2</v>
      </c>
      <c r="E22" s="13">
        <f si="4" t="shared"/>
        <v>0.3065027908318067</v>
      </c>
      <c r="F22" s="13">
        <f si="4" t="shared"/>
        <v>0</v>
      </c>
      <c r="G22" s="13">
        <f si="4" t="shared"/>
        <v>0</v>
      </c>
      <c r="H22" s="13">
        <f si="4" t="shared"/>
        <v>0</v>
      </c>
      <c r="I22" s="13">
        <f si="4" t="shared"/>
        <v>0</v>
      </c>
      <c r="J22" s="13">
        <f si="4" t="shared"/>
        <v>0.52310527417867758</v>
      </c>
      <c r="K22" s="6"/>
      <c r="L22" t="s">
        <v>1</v>
      </c>
      <c r="M22" s="13">
        <f ref="M22:P22" si="5" t="shared">M5/M$16</f>
        <v>0.99333723220660675</v>
      </c>
      <c r="N22" s="13">
        <f si="5" t="shared"/>
        <v>7.5906386799865305E-2</v>
      </c>
      <c r="O22" s="13">
        <f si="5" t="shared"/>
        <v>2.6535239772876338E-2</v>
      </c>
      <c r="P22" s="13" t="e">
        <f si="5" t="shared"/>
        <v>#DIV/0!</v>
      </c>
      <c r="Q22" s="13">
        <f ref="Q22:U33" si="6" t="shared">Q5/Q$16</f>
        <v>8.6471944657955417E-4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0.49716339714135538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0.93039263062104949</v>
      </c>
      <c r="D23" s="13">
        <f si="7" t="shared"/>
        <v>7.1816170691701403E-2</v>
      </c>
      <c r="E23" s="13">
        <f si="7" t="shared"/>
        <v>0.40377417761571099</v>
      </c>
      <c r="F23" s="13">
        <f si="7" t="shared"/>
        <v>1.3896111705061765E-2</v>
      </c>
      <c r="G23" s="13">
        <f si="7" t="shared"/>
        <v>0</v>
      </c>
      <c r="H23" s="13">
        <f si="7" t="shared"/>
        <v>0</v>
      </c>
      <c r="I23" s="13">
        <f si="7" t="shared"/>
        <v>0</v>
      </c>
      <c r="J23" s="13">
        <f si="7" t="shared"/>
        <v>0.26731803973947588</v>
      </c>
      <c r="K23" s="6"/>
      <c r="L23" t="s">
        <v>12</v>
      </c>
      <c r="M23" s="13">
        <f ref="M23:P23" si="8" t="shared">M6/M$16</f>
        <v>0</v>
      </c>
      <c r="N23" s="13">
        <f si="8" t="shared"/>
        <v>0.91823436973846673</v>
      </c>
      <c r="O23" s="13">
        <f si="8" t="shared"/>
        <v>0.16917152334014204</v>
      </c>
      <c r="P23" s="13" t="e">
        <f si="8" t="shared"/>
        <v>#DIV/0!</v>
      </c>
      <c r="Q23" s="13">
        <f si="6" t="shared"/>
        <v>5.7551883166794771E-2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0.30903372386781736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0.8846397181955431</v>
      </c>
      <c r="E24" s="13">
        <f si="9" t="shared"/>
        <v>0</v>
      </c>
      <c r="F24" s="13">
        <f si="9" t="shared"/>
        <v>0</v>
      </c>
      <c r="G24" s="13">
        <f si="9" t="shared"/>
        <v>0</v>
      </c>
      <c r="H24" s="13">
        <f si="9" t="shared"/>
        <v>0</v>
      </c>
      <c r="I24" s="13">
        <f si="9" t="shared"/>
        <v>0.45528245158932068</v>
      </c>
      <c r="J24" s="13">
        <f si="9" t="shared"/>
        <v>0.14693557456124695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0.80180087326424676</v>
      </c>
      <c r="P24" s="13" t="e">
        <f si="10" t="shared"/>
        <v>#DIV/0!</v>
      </c>
      <c r="Q24" s="13">
        <f si="6" t="shared"/>
        <v>1.5084550345887779E-2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0.14535682191966631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</v>
      </c>
      <c r="F25" s="13">
        <f si="11" t="shared"/>
        <v>0</v>
      </c>
      <c r="G25" s="13">
        <f si="11" t="shared"/>
        <v>0</v>
      </c>
      <c r="H25" s="13">
        <f si="11" t="shared"/>
        <v>0</v>
      </c>
      <c r="I25" s="13">
        <f si="11" t="shared"/>
        <v>0</v>
      </c>
      <c r="J25" s="13">
        <f si="11" t="shared"/>
        <v>0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0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0.28972303155248219</v>
      </c>
      <c r="F27" s="13">
        <f si="15" t="shared"/>
        <v>0.94101792720796185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1.8324386956881388E-2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0.65709069946195231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1.1595652689940488E-2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0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2.143422252495571E-2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4.006847374720389E-4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0.14123750960799386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2.4924125536207801E-3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0.33333333333333331</v>
      </c>
      <c r="J30" s="13">
        <f si="21" t="shared"/>
        <v>3.1592136411055051E-4</v>
      </c>
      <c r="K30" s="6"/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0</v>
      </c>
      <c r="E31" s="13">
        <f si="23" t="shared"/>
        <v>0</v>
      </c>
      <c r="F31" s="13">
        <f si="23" t="shared"/>
        <v>0</v>
      </c>
      <c r="G31" s="13">
        <f si="23" t="shared"/>
        <v>1</v>
      </c>
      <c r="H31" s="13">
        <f si="23" t="shared"/>
        <v>0</v>
      </c>
      <c r="I31" s="13">
        <f si="23" t="shared"/>
        <v>0</v>
      </c>
      <c r="J31" s="13">
        <f si="23" t="shared"/>
        <v>1.769662643223062E-3</v>
      </c>
      <c r="K31" s="6"/>
      <c r="L31" t="s">
        <v>4</v>
      </c>
      <c r="M31" s="13">
        <f ref="M31:P31" si="24" t="shared">M14/M$16</f>
        <v>1.1086673388037156E-3</v>
      </c>
      <c r="N31" s="13">
        <f si="24" t="shared"/>
        <v>1.9699180603883711E-3</v>
      </c>
      <c r="O31" s="13">
        <f si="24" t="shared"/>
        <v>9.2760901748402457E-4</v>
      </c>
      <c r="P31" s="13" t="e">
        <f si="24" t="shared"/>
        <v>#DIV/0!</v>
      </c>
      <c r="Q31" s="13">
        <f si="6" t="shared"/>
        <v>2.6806302843966179E-2</v>
      </c>
      <c r="R31" s="13">
        <f si="6" t="shared"/>
        <v>0.97856446898343619</v>
      </c>
      <c r="S31" s="13">
        <f si="6" t="shared"/>
        <v>0</v>
      </c>
      <c r="T31" s="13" t="e">
        <f si="6" t="shared"/>
        <v>#DIV/0!</v>
      </c>
      <c r="U31" s="13">
        <f si="6" t="shared"/>
        <v>1.1977144407331422E-2</v>
      </c>
    </row>
    <row r="32" spans="1:21" x14ac:dyDescent="0.25">
      <c r="A32" s="4" t="s">
        <v>5</v>
      </c>
      <c r="B32" s="14">
        <f ref="B32:J32" si="25" t="shared">B15/B$16</f>
        <v>2.0208181488086318E-3</v>
      </c>
      <c r="C32" s="14">
        <f si="25" t="shared"/>
        <v>7.4859277559545159E-3</v>
      </c>
      <c r="D32" s="14">
        <f si="25" t="shared"/>
        <v>3.5227834696531448E-3</v>
      </c>
      <c r="E32" s="14">
        <f si="25" t="shared"/>
        <v>0</v>
      </c>
      <c r="F32" s="14">
        <f si="25" t="shared"/>
        <v>2.3651738562020751E-2</v>
      </c>
      <c r="G32" s="14">
        <f si="25" t="shared"/>
        <v>0</v>
      </c>
      <c r="H32" s="14">
        <f si="25" t="shared"/>
        <v>1</v>
      </c>
      <c r="I32" s="14">
        <f si="25" t="shared"/>
        <v>0.21138421507734598</v>
      </c>
      <c r="J32" s="14">
        <f si="25" t="shared"/>
        <v>4.1830455818912579E-2</v>
      </c>
      <c r="K32" s="6"/>
      <c r="L32" s="4" t="s">
        <v>5</v>
      </c>
      <c r="M32" s="14">
        <f ref="M32:P32" si="26" t="shared">M15/M$16</f>
        <v>5.5541004545894878E-3</v>
      </c>
      <c r="N32" s="14">
        <f si="26" t="shared"/>
        <v>3.8893254012796049E-3</v>
      </c>
      <c r="O32" s="14">
        <f si="26" t="shared"/>
        <v>1.5647546052508293E-3</v>
      </c>
      <c r="P32" s="14" t="e">
        <f si="26" t="shared"/>
        <v>#DIV/0!</v>
      </c>
      <c r="Q32" s="14">
        <f si="6" t="shared"/>
        <v>0.10136433512682552</v>
      </c>
      <c r="R32" s="14">
        <f si="6" t="shared"/>
        <v>2.143553101656382E-2</v>
      </c>
      <c r="S32" s="14">
        <f si="6" t="shared"/>
        <v>1</v>
      </c>
      <c r="T32" s="14" t="e">
        <f si="6" t="shared"/>
        <v>#DIV/0!</v>
      </c>
      <c r="U32" s="14">
        <f si="6" t="shared"/>
        <v>2.2380847420268232E-2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20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44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-4.641949644584531E-3</v>
      </c>
      <c r="N39" s="13">
        <f si="29" t="shared"/>
        <v>1.3784945176869408E-2</v>
      </c>
      <c r="O39" s="13">
        <f si="29" t="shared"/>
        <v>-1.3486087870225951E-2</v>
      </c>
      <c r="P39" s="13" t="e">
        <f si="29" t="shared"/>
        <v>#DIV/0!</v>
      </c>
      <c r="Q39" s="13">
        <f ref="Q39:Q50" si="30" t="shared">Q22-F22</f>
        <v>8.6471944657955417E-4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-2.5941877037322203E-2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-1.2158260882582761E-2</v>
      </c>
      <c r="O40" s="13">
        <f si="29" t="shared"/>
        <v>9.7355352648440641E-2</v>
      </c>
      <c r="P40" s="13" t="e">
        <f si="29" t="shared"/>
        <v>#DIV/0!</v>
      </c>
      <c r="Q40" s="13">
        <f si="30" t="shared"/>
        <v>4.3655771461733009E-2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4.1715684128341479E-2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-8.283884493129634E-2</v>
      </c>
      <c r="P41" s="13" t="e">
        <f si="29" t="shared"/>
        <v>#DIV/0!</v>
      </c>
      <c r="Q41" s="13">
        <f si="30" t="shared"/>
        <v>1.5084550345887779E-2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-1.5787526415806385E-3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0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0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-0.28392722774600954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-6.7287342669409E-3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0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0.11980328708303815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2.0917278161487413E-3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-3.1592136411055051E-4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1.1086673388037156E-3</v>
      </c>
      <c r="N48" s="13">
        <f si="39" t="shared"/>
        <v>1.9699180603883711E-3</v>
      </c>
      <c r="O48" s="13">
        <f si="39" t="shared"/>
        <v>9.2760901748402457E-4</v>
      </c>
      <c r="P48" s="13" t="e">
        <f si="39" t="shared"/>
        <v>#DIV/0!</v>
      </c>
      <c r="Q48" s="13">
        <f si="30" t="shared"/>
        <v>2.6806302843966179E-2</v>
      </c>
      <c r="R48" s="13">
        <f si="31" t="shared"/>
        <v>-2.1435531016563814E-2</v>
      </c>
      <c r="S48" s="13">
        <f si="32" t="shared"/>
        <v>0</v>
      </c>
      <c r="T48" s="13" t="e">
        <f si="33" t="shared"/>
        <v>#DIV/0!</v>
      </c>
      <c r="U48" s="13">
        <f si="34" t="shared"/>
        <v>1.0207481764108361E-2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3.5332823057808559E-3</v>
      </c>
      <c r="N49" s="17">
        <f si="39" t="shared"/>
        <v>-3.5966023546749109E-3</v>
      </c>
      <c r="O49" s="17">
        <f si="39" t="shared"/>
        <v>-1.9580288644023155E-3</v>
      </c>
      <c r="P49" s="17" t="e">
        <f si="39" t="shared"/>
        <v>#DIV/0!</v>
      </c>
      <c r="Q49" s="17">
        <f si="30" t="shared"/>
        <v>7.7712596564804767E-2</v>
      </c>
      <c r="R49" s="17">
        <f si="31" t="shared"/>
        <v>2.143553101656382E-2</v>
      </c>
      <c r="S49" s="17">
        <f si="32" t="shared"/>
        <v>0</v>
      </c>
      <c r="T49" s="17" t="e">
        <f si="33" t="shared"/>
        <v>#DIV/0!</v>
      </c>
      <c r="U49" s="13">
        <f si="34" t="shared"/>
        <v>-1.9449608398644347E-2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2:AF50"/>
  <sheetViews>
    <sheetView tabSelected="1" workbookViewId="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35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57</v>
      </c>
      <c r="C3" s="31"/>
      <c r="D3" s="31"/>
      <c r="E3" s="31"/>
      <c r="F3" s="31"/>
      <c r="G3" s="31"/>
      <c r="H3" s="31"/>
      <c r="I3" s="31"/>
      <c r="J3" s="11"/>
      <c r="L3" s="3"/>
      <c r="M3" s="32" t="s">
        <v>57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592782.1988</v>
      </c>
      <c r="C5" s="6" t="n">
        <v>6965.9928</v>
      </c>
      <c r="D5" s="6" t="n">
        <v>1130.2688</v>
      </c>
      <c r="E5" s="6" t="n">
        <v>454.42659999999995</v>
      </c>
      <c r="F5" s="6" t="n">
        <v>381.3979</v>
      </c>
      <c r="G5" s="6" t="n">
        <v>0.0</v>
      </c>
      <c r="H5" s="6" t="n">
        <v>0.0</v>
      </c>
      <c r="I5" s="6" t="n">
        <v>0.0</v>
      </c>
      <c r="J5" s="6">
        <f>SUM(B5:I5)</f>
        <v>210564.84388499998</v>
      </c>
      <c r="K5" s="6"/>
      <c r="L5" t="s">
        <v>1</v>
      </c>
      <c r="M5" s="6" t="n">
        <v>605611.0</v>
      </c>
      <c r="N5" s="6" t="n">
        <v>22332.0</v>
      </c>
      <c r="O5" s="6" t="n">
        <v>6443.0</v>
      </c>
      <c r="P5" s="6" t="n">
        <v>0.0</v>
      </c>
      <c r="Q5" s="6" t="n">
        <v>304.0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249469</v>
      </c>
    </row>
    <row r="6" spans="1:21" x14ac:dyDescent="0.25">
      <c r="A6" t="s">
        <v>12</v>
      </c>
      <c r="B6" s="6" t="n">
        <v>0.0</v>
      </c>
      <c r="C6" s="6" t="n">
        <v>344888.0078</v>
      </c>
      <c r="D6" s="6" t="n">
        <v>6820.3175</v>
      </c>
      <c r="E6" s="6" t="n">
        <v>0.0</v>
      </c>
      <c r="F6" s="6" t="n">
        <v>683.1718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123484.866995</v>
      </c>
      <c r="K6" s="6"/>
      <c r="L6" t="s">
        <v>12</v>
      </c>
      <c r="M6" s="6" t="n">
        <v>0.0</v>
      </c>
      <c r="N6" s="6" t="n">
        <v>331411.0</v>
      </c>
      <c r="O6" s="6" t="n">
        <v>48809.0</v>
      </c>
      <c r="P6" s="6" t="n">
        <v>0.0</v>
      </c>
      <c r="Q6" s="6" t="n">
        <v>5043.0</v>
      </c>
      <c r="R6" s="6" t="n">
        <v>0.0</v>
      </c>
      <c r="S6" s="6" t="n">
        <v>0.0</v>
      </c>
      <c r="T6" s="6" t="n">
        <v>0.0</v>
      </c>
      <c r="U6" s="6">
        <f si="0" t="shared"/>
        <v>161188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168677.3593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0.0</v>
      </c>
      <c r="J7" s="6">
        <f si="1" t="shared"/>
        <v>40075.00114</v>
      </c>
      <c r="K7" s="6"/>
      <c r="L7" t="s">
        <v>56</v>
      </c>
      <c r="M7" s="6" t="n">
        <v>0.0</v>
      </c>
      <c r="N7" s="6" t="n">
        <v>0.0</v>
      </c>
      <c r="O7" s="6" t="n">
        <v>207105.0</v>
      </c>
      <c r="P7" s="6" t="n">
        <v>0.0</v>
      </c>
      <c r="Q7" s="6" t="n">
        <v>2227.0</v>
      </c>
      <c r="R7" s="6" t="n">
        <v>0.0</v>
      </c>
      <c r="S7" s="6" t="n">
        <v>1.0</v>
      </c>
      <c r="T7" s="6" t="n">
        <v>0.0</v>
      </c>
      <c r="U7" s="6">
        <f si="0" t="shared"/>
        <v>72812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778.9041</v>
      </c>
      <c r="F8" s="6" t="n">
        <v>60483.0994</v>
      </c>
      <c r="G8" s="6" t="n">
        <v>0.0</v>
      </c>
      <c r="H8" s="6" t="n">
        <v>0.0</v>
      </c>
      <c r="I8" s="6" t="n">
        <v>0.0</v>
      </c>
      <c r="J8" s="6">
        <f si="1" t="shared"/>
        <v>0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17268.0</v>
      </c>
      <c r="R8" s="6" t="n">
        <v>0.0</v>
      </c>
      <c r="S8" s="6" t="n">
        <v>0.0</v>
      </c>
      <c r="T8" s="6" t="n">
        <v>0.0</v>
      </c>
      <c r="U8" s="6">
        <f si="0" t="shared"/>
        <v>0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53.9733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7071.3939039999996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4519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274.02348599999999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789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1" t="shared"/>
        <v>0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190.751</v>
      </c>
      <c r="C14" s="6" t="n">
        <v>77.1846</v>
      </c>
      <c r="D14" s="6" t="n">
        <v>0.0</v>
      </c>
      <c r="E14" s="6" t="n">
        <v>0.0</v>
      </c>
      <c r="F14" s="6" t="n">
        <v>0.0</v>
      </c>
      <c r="G14" s="6" t="n">
        <v>6390.0028999999995</v>
      </c>
      <c r="H14" s="6" t="n">
        <v>0.0</v>
      </c>
      <c r="I14" s="6" t="n">
        <v>0.0</v>
      </c>
      <c r="J14" s="6">
        <f si="1" t="shared"/>
        <v>1478.7114129999998</v>
      </c>
      <c r="K14" s="6"/>
      <c r="L14" t="s">
        <v>4</v>
      </c>
      <c r="M14" s="6" t="n">
        <v>1228.0</v>
      </c>
      <c r="N14" s="6" t="n">
        <v>675.0</v>
      </c>
      <c r="O14" s="6" t="n">
        <v>337.0</v>
      </c>
      <c r="P14" s="6" t="n">
        <v>0.0</v>
      </c>
      <c r="Q14" s="6" t="n">
        <v>452.0</v>
      </c>
      <c r="R14" s="6" t="n">
        <v>12433.0</v>
      </c>
      <c r="S14" s="6" t="n">
        <v>0.0</v>
      </c>
      <c r="T14" s="6" t="n">
        <v>0.0</v>
      </c>
      <c r="U14" s="6">
        <f si="0" t="shared"/>
        <v>6780</v>
      </c>
    </row>
    <row r="15" spans="1:21" x14ac:dyDescent="0.25">
      <c r="A15" s="4" t="s">
        <v>5</v>
      </c>
      <c r="B15" s="10" t="n">
        <v>6852.5218</v>
      </c>
      <c r="C15" s="10" t="n">
        <v>5067.3082</v>
      </c>
      <c r="D15" s="10" t="n">
        <v>2261.0363</v>
      </c>
      <c r="E15" s="10" t="n">
        <v>129.9491</v>
      </c>
      <c r="F15" s="10" t="n">
        <v>31968.0937</v>
      </c>
      <c r="G15" s="10" t="n">
        <v>73.4036</v>
      </c>
      <c r="H15" s="10" t="n">
        <v>132364.1261</v>
      </c>
      <c r="I15" s="10" t="n">
        <v>0.0</v>
      </c>
      <c r="J15" s="6">
        <f si="1" t="shared"/>
        <v>10366.294554</v>
      </c>
      <c r="K15" s="6"/>
      <c r="L15" s="4" t="s">
        <v>5</v>
      </c>
      <c r="M15" s="8" t="n">
        <v>13847.0</v>
      </c>
      <c r="N15" s="8" t="n">
        <v>4141.0</v>
      </c>
      <c r="O15" s="8" t="n">
        <v>2030.0</v>
      </c>
      <c r="P15" s="8" t="n">
        <v>0.0</v>
      </c>
      <c r="Q15" s="8" t="n">
        <v>7944.0</v>
      </c>
      <c r="R15" s="8" t="n">
        <v>1107.0</v>
      </c>
      <c r="S15" s="8" t="n">
        <v>199489.0</v>
      </c>
      <c r="T15" s="8" t="n">
        <v>0.0</v>
      </c>
      <c r="U15" s="6">
        <f si="0" t="shared"/>
        <v>16094</v>
      </c>
    </row>
    <row ht="15.75" r="16" spans="1:21" thickBot="1" x14ac:dyDescent="0.3">
      <c r="A16" s="12" t="s">
        <v>7</v>
      </c>
      <c r="B16" s="16">
        <f ref="B16:J16" si="2" t="shared">SUM(B5:B15)</f>
        <v>207794.21977</v>
      </c>
      <c r="C16" s="16">
        <f si="2" t="shared"/>
        <v>126356.64056700001</v>
      </c>
      <c r="D16" s="16">
        <f si="2" t="shared"/>
        <v>41216.218920999992</v>
      </c>
      <c r="E16" s="16">
        <f si="2" t="shared"/>
        <v>924.18789399999991</v>
      </c>
      <c r="F16" s="16">
        <f si="2" t="shared"/>
        <v>7977.7281359999997</v>
      </c>
      <c r="G16" s="16">
        <f si="2" t="shared"/>
        <v>1147.5993079999998</v>
      </c>
      <c r="H16" s="16">
        <f si="2" t="shared"/>
        <v>7898.5407809999997</v>
      </c>
      <c r="I16" s="16">
        <f si="2" t="shared"/>
        <v>0</v>
      </c>
      <c r="J16" s="16">
        <f si="2" t="shared"/>
        <v>393315.13537700003</v>
      </c>
      <c r="L16" s="9" t="s">
        <v>7</v>
      </c>
      <c r="M16" s="16">
        <f ref="M16:U16" si="3" t="shared">SUM(M5:M15)</f>
        <v>247353</v>
      </c>
      <c r="N16" s="16">
        <f si="3" t="shared"/>
        <v>148313</v>
      </c>
      <c r="O16" s="16">
        <f si="3" t="shared"/>
        <v>89003</v>
      </c>
      <c r="P16" s="16">
        <f si="3" t="shared"/>
        <v>0</v>
      </c>
      <c r="Q16" s="16">
        <f si="3" t="shared"/>
        <v>7224</v>
      </c>
      <c r="R16" s="16">
        <f si="3" t="shared"/>
        <v>6399</v>
      </c>
      <c r="S16" s="16">
        <f si="3" t="shared"/>
        <v>13359</v>
      </c>
      <c r="T16" s="16">
        <f si="3" t="shared"/>
        <v>0</v>
      </c>
      <c r="U16" s="16">
        <f si="3" t="shared"/>
        <v>511651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36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57</v>
      </c>
      <c r="C20" s="31"/>
      <c r="D20" s="31"/>
      <c r="E20" s="31"/>
      <c r="F20" s="31"/>
      <c r="G20" s="31"/>
      <c r="H20" s="31"/>
      <c r="I20" s="31"/>
      <c r="J20" s="11"/>
      <c r="L20" s="3"/>
      <c r="M20" s="32" t="s">
        <v>57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0.99515630459252402</v>
      </c>
      <c r="C22" s="13">
        <f si="4" t="shared"/>
        <v>2.390927282051376E-2</v>
      </c>
      <c r="D22" s="13">
        <f si="4" t="shared"/>
        <v>1.2528523200775731E-2</v>
      </c>
      <c r="E22" s="13">
        <f si="4" t="shared"/>
        <v>0.25930038421386203</v>
      </c>
      <c r="F22" s="13">
        <f si="4" t="shared"/>
        <v>0</v>
      </c>
      <c r="G22" s="13">
        <f si="4" t="shared"/>
        <v>0</v>
      </c>
      <c r="H22" s="13">
        <f si="4" t="shared"/>
        <v>0</v>
      </c>
      <c r="I22" s="13" t="e">
        <f si="4" t="shared"/>
        <v>#DIV/0!</v>
      </c>
      <c r="J22" s="13">
        <f si="4" t="shared"/>
        <v>0.53535911778012202</v>
      </c>
      <c r="K22" s="6"/>
      <c r="L22" t="s">
        <v>1</v>
      </c>
      <c r="M22" s="13">
        <f ref="M22:P22" si="5" t="shared">M5/M$16</f>
        <v>0.99222972836391721</v>
      </c>
      <c r="N22" s="13">
        <f si="5" t="shared"/>
        <v>2.2351378503570152E-2</v>
      </c>
      <c r="O22" s="13">
        <f si="5" t="shared"/>
        <v>8.1120861094569844E-3</v>
      </c>
      <c r="P22" s="13" t="e">
        <f si="5" t="shared"/>
        <v>#DIV/0!</v>
      </c>
      <c r="Q22" s="13">
        <f ref="Q22:U33" si="6" t="shared">Q5/Q$16</f>
        <v>1.3842746400885935E-4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0.4875764925701308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0.96891880094803906</v>
      </c>
      <c r="D23" s="13">
        <f si="7" t="shared"/>
        <v>1.1304750149281654E-2</v>
      </c>
      <c r="E23" s="13">
        <f si="7" t="shared"/>
        <v>0</v>
      </c>
      <c r="F23" s="13">
        <f si="7" t="shared"/>
        <v>7.390616199859934E-2</v>
      </c>
      <c r="G23" s="13">
        <f si="7" t="shared"/>
        <v>0</v>
      </c>
      <c r="H23" s="13">
        <f si="7" t="shared"/>
        <v>0</v>
      </c>
      <c r="I23" s="13" t="e">
        <f si="7" t="shared"/>
        <v>#DIV/0!</v>
      </c>
      <c r="J23" s="13">
        <f si="7" t="shared"/>
        <v>0.31395910273485256</v>
      </c>
      <c r="K23" s="6"/>
      <c r="L23" t="s">
        <v>12</v>
      </c>
      <c r="M23" s="13">
        <f ref="M23:P23" si="8" t="shared">M6/M$16</f>
        <v>0</v>
      </c>
      <c r="N23" s="13">
        <f si="8" t="shared"/>
        <v>0.97576746475359544</v>
      </c>
      <c r="O23" s="13">
        <f si="8" t="shared"/>
        <v>0.1752974618833073</v>
      </c>
      <c r="P23" s="13" t="e">
        <f si="8" t="shared"/>
        <v>#DIV/0!</v>
      </c>
      <c r="Q23" s="13">
        <f si="6" t="shared"/>
        <v>0.12001661129568106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0.31503505319055369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0.97231143926163177</v>
      </c>
      <c r="E24" s="13">
        <f si="9" t="shared"/>
        <v>0</v>
      </c>
      <c r="F24" s="13">
        <f si="9" t="shared"/>
        <v>0</v>
      </c>
      <c r="G24" s="13">
        <f si="9" t="shared"/>
        <v>0</v>
      </c>
      <c r="H24" s="13">
        <f si="9" t="shared"/>
        <v>0</v>
      </c>
      <c r="I24" s="13" t="e">
        <f si="9" t="shared"/>
        <v>#DIV/0!</v>
      </c>
      <c r="J24" s="13">
        <f si="9" t="shared"/>
        <v>0.10189031017478478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0.81577025493522692</v>
      </c>
      <c r="P24" s="13" t="e">
        <f si="10" t="shared"/>
        <v>#DIV/0!</v>
      </c>
      <c r="Q24" s="13">
        <f si="6" t="shared"/>
        <v>2.8516057585825028E-2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0.1423079403734186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</v>
      </c>
      <c r="F25" s="13">
        <f si="11" t="shared"/>
        <v>0</v>
      </c>
      <c r="G25" s="13">
        <f si="11" t="shared"/>
        <v>0</v>
      </c>
      <c r="H25" s="13">
        <f si="11" t="shared"/>
        <v>0</v>
      </c>
      <c r="I25" s="13" t="e">
        <f si="11" t="shared"/>
        <v>#DIV/0!</v>
      </c>
      <c r="J25" s="13">
        <f si="11" t="shared"/>
        <v>0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0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 t="e">
        <f si="13" t="shared"/>
        <v>#DIV/0!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0.44419769471682785</v>
      </c>
      <c r="F27" s="13">
        <f si="15" t="shared"/>
        <v>0.83493341192493098</v>
      </c>
      <c r="G27" s="13">
        <f si="15" t="shared"/>
        <v>0</v>
      </c>
      <c r="H27" s="13">
        <f si="15" t="shared"/>
        <v>0</v>
      </c>
      <c r="I27" s="13" t="e">
        <f si="15" t="shared"/>
        <v>#DIV/0!</v>
      </c>
      <c r="J27" s="13">
        <f si="15" t="shared"/>
        <v>1.7978951908936669E-2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0.62555370985603542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8.8321922560495331E-3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 t="e">
        <f si="17" t="shared"/>
        <v>#DIV/0!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0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0.29650192106931017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 t="e">
        <f si="19" t="shared"/>
        <v>#DIV/0!</v>
      </c>
      <c r="J29" s="13">
        <f si="19" t="shared"/>
        <v>6.9670211327449493E-4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0.10921926910299003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1.5420667603503169E-3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 t="e">
        <f si="21" t="shared"/>
        <v>#DIV/0!</v>
      </c>
      <c r="J30" s="13">
        <f si="21" t="shared"/>
        <v>0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8.8097530415385888E-4</v>
      </c>
      <c r="E31" s="13">
        <f si="23" t="shared"/>
        <v>0</v>
      </c>
      <c r="F31" s="13">
        <f si="23" t="shared"/>
        <v>3.695308099929967E-2</v>
      </c>
      <c r="G31" s="13">
        <f si="23" t="shared"/>
        <v>1</v>
      </c>
      <c r="H31" s="13">
        <f si="23" t="shared"/>
        <v>0</v>
      </c>
      <c r="I31" s="13" t="e">
        <f si="23" t="shared"/>
        <v>#DIV/0!</v>
      </c>
      <c r="J31" s="13">
        <f si="23" t="shared"/>
        <v>3.7596097378317945E-3</v>
      </c>
      <c r="K31" s="6"/>
      <c r="L31" t="s">
        <v>4</v>
      </c>
      <c r="M31" s="13">
        <f ref="M31:P31" si="24" t="shared">M14/M$16</f>
        <v>1.1683707090676078E-3</v>
      </c>
      <c r="N31" s="13">
        <f si="24" t="shared"/>
        <v>6.2705224761147029E-4</v>
      </c>
      <c r="O31" s="13">
        <f si="24" t="shared"/>
        <v>1.6853364493331686E-4</v>
      </c>
      <c r="P31" s="13" t="e">
        <f si="24" t="shared"/>
        <v>#DIV/0!</v>
      </c>
      <c r="Q31" s="13">
        <f si="6" t="shared"/>
        <v>2.0487264673311186E-2</v>
      </c>
      <c r="R31" s="13">
        <f si="6" t="shared"/>
        <v>0.97437099546804185</v>
      </c>
      <c r="S31" s="13">
        <f si="6" t="shared"/>
        <v>0</v>
      </c>
      <c r="T31" s="13" t="e">
        <f si="6" t="shared"/>
        <v>#DIV/0!</v>
      </c>
      <c r="U31" s="13">
        <f si="6" t="shared"/>
        <v>1.3251220069930479E-2</v>
      </c>
    </row>
    <row r="32" spans="1:21" x14ac:dyDescent="0.25">
      <c r="A32" s="4" t="s">
        <v>5</v>
      </c>
      <c r="B32" s="14">
        <f ref="B32:J32" si="25" t="shared">B15/B$16</f>
        <v>4.843695407475963E-3</v>
      </c>
      <c r="C32" s="14">
        <f si="25" t="shared"/>
        <v>7.1719262314470988E-3</v>
      </c>
      <c r="D32" s="14">
        <f si="25" t="shared"/>
        <v>2.9743120841572265E-3</v>
      </c>
      <c r="E32" s="14">
        <f si="25" t="shared"/>
        <v>0</v>
      </c>
      <c r="F32" s="14">
        <f si="25" t="shared"/>
        <v>5.4207345077169976E-2</v>
      </c>
      <c r="G32" s="14">
        <f si="25" t="shared"/>
        <v>0</v>
      </c>
      <c r="H32" s="14">
        <f si="25" t="shared"/>
        <v>1</v>
      </c>
      <c r="I32" s="14" t="e">
        <f si="25" t="shared"/>
        <v>#DIV/0!</v>
      </c>
      <c r="J32" s="14">
        <f si="25" t="shared"/>
        <v>2.6356205550197579E-2</v>
      </c>
      <c r="K32" s="6"/>
      <c r="L32" s="4" t="s">
        <v>5</v>
      </c>
      <c r="M32" s="14">
        <f ref="M32:P32" si="26" t="shared">M15/M$16</f>
        <v>6.6019009270152371E-3</v>
      </c>
      <c r="N32" s="14">
        <f si="26" t="shared"/>
        <v>1.2541044952229406E-3</v>
      </c>
      <c r="O32" s="14">
        <f si="26" t="shared"/>
        <v>6.5166342707549186E-4</v>
      </c>
      <c r="P32" s="14" t="e">
        <f si="26" t="shared"/>
        <v>#DIV/0!</v>
      </c>
      <c r="Q32" s="14">
        <f si="6" t="shared"/>
        <v>9.6068660022148394E-2</v>
      </c>
      <c r="R32" s="14">
        <f si="6" t="shared"/>
        <v>2.5629004531958117E-2</v>
      </c>
      <c r="S32" s="14">
        <f si="6" t="shared"/>
        <v>1</v>
      </c>
      <c r="T32" s="14" t="e">
        <f si="6" t="shared"/>
        <v>#DIV/0!</v>
      </c>
      <c r="U32" s="14">
        <f si="6" t="shared"/>
        <v>3.1455034779566543E-2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 t="e">
        <f si="27" t="shared"/>
        <v>#DIV/0!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21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2" t="s">
        <v>57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-2.9265762286068142E-3</v>
      </c>
      <c r="N39" s="13">
        <f si="29" t="shared"/>
        <v>-1.5578943169436074E-3</v>
      </c>
      <c r="O39" s="13">
        <f si="29" t="shared"/>
        <v>-4.4164370913187465E-3</v>
      </c>
      <c r="P39" s="13" t="e">
        <f si="29" t="shared"/>
        <v>#DIV/0!</v>
      </c>
      <c r="Q39" s="13">
        <f ref="Q39:Q50" si="30" t="shared">Q22-F22</f>
        <v>1.3842746400885935E-4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-4.7782625209991214E-2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6.8486638055563764E-3</v>
      </c>
      <c r="O40" s="13">
        <f si="29" t="shared"/>
        <v>0.16399271173402566</v>
      </c>
      <c r="P40" s="13" t="e">
        <f si="29" t="shared"/>
        <v>#DIV/0!</v>
      </c>
      <c r="Q40" s="13">
        <f si="30" t="shared"/>
        <v>4.6110449297081718E-2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1.0759504557011357E-3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-0.15654118432640485</v>
      </c>
      <c r="P41" s="13" t="e">
        <f si="29" t="shared"/>
        <v>#DIV/0!</v>
      </c>
      <c r="Q41" s="13">
        <f si="30" t="shared"/>
        <v>2.8516057585825028E-2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4.0417630198633814E-2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0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0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-0.20937970206889556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-9.1467596528871358E-3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0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0.10921926910299003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8.4536464707582199E-4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1.1683707090676078E-3</v>
      </c>
      <c r="N48" s="13">
        <f si="39" t="shared"/>
        <v>6.2705224761147029E-4</v>
      </c>
      <c r="O48" s="13">
        <f si="39" t="shared"/>
        <v>-7.1244165922054205E-4</v>
      </c>
      <c r="P48" s="13" t="e">
        <f si="39" t="shared"/>
        <v>#DIV/0!</v>
      </c>
      <c r="Q48" s="13">
        <f si="30" t="shared"/>
        <v>-1.6465816325988484E-2</v>
      </c>
      <c r="R48" s="13">
        <f si="31" t="shared"/>
        <v>-2.5629004531958155E-2</v>
      </c>
      <c r="S48" s="13">
        <f si="32" t="shared"/>
        <v>0</v>
      </c>
      <c r="T48" s="13" t="e">
        <f si="33" t="shared"/>
        <v>#DIV/0!</v>
      </c>
      <c r="U48" s="13">
        <f si="34" t="shared"/>
        <v>9.4916103320986846E-3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1.7582055195392741E-3</v>
      </c>
      <c r="N49" s="17">
        <f si="39" t="shared"/>
        <v>-5.9178217362241582E-3</v>
      </c>
      <c r="O49" s="17">
        <f si="39" t="shared"/>
        <v>-2.3226486570817346E-3</v>
      </c>
      <c r="P49" s="17" t="e">
        <f si="39" t="shared"/>
        <v>#DIV/0!</v>
      </c>
      <c r="Q49" s="17">
        <f si="30" t="shared"/>
        <v>4.1861314944978419E-2</v>
      </c>
      <c r="R49" s="17">
        <f si="31" t="shared"/>
        <v>2.5629004531958117E-2</v>
      </c>
      <c r="S49" s="17">
        <f si="32" t="shared"/>
        <v>0</v>
      </c>
      <c r="T49" s="17" t="e">
        <f si="33" t="shared"/>
        <v>#DIV/0!</v>
      </c>
      <c r="U49" s="13">
        <f si="34" t="shared"/>
        <v>5.098829229368964E-3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AF50"/>
  <sheetViews>
    <sheetView workbookViewId="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38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45</v>
      </c>
      <c r="C3" s="32"/>
      <c r="D3" s="32"/>
      <c r="E3" s="32"/>
      <c r="F3" s="32"/>
      <c r="G3" s="32"/>
      <c r="H3" s="32"/>
      <c r="I3" s="32"/>
      <c r="J3" s="11"/>
      <c r="L3" s="3"/>
      <c r="M3" s="31" t="s">
        <v>45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114682.8139</v>
      </c>
      <c r="C5" s="6" t="n">
        <v>4967.7285</v>
      </c>
      <c r="D5" s="6" t="n">
        <v>314.726</v>
      </c>
      <c r="E5" s="6" t="n">
        <v>467.6184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47458.691338999997</v>
      </c>
      <c r="K5" s="6"/>
      <c r="L5" t="s">
        <v>1</v>
      </c>
      <c r="M5" s="6" t="n">
        <v>98959.0</v>
      </c>
      <c r="N5" s="6" t="n">
        <v>11537.0</v>
      </c>
      <c r="O5" s="6" t="n">
        <v>3074.0</v>
      </c>
      <c r="P5" s="6" t="n">
        <v>0.0</v>
      </c>
      <c r="Q5" s="6" t="n">
        <v>131.0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44454</v>
      </c>
    </row>
    <row r="6" spans="1:21" x14ac:dyDescent="0.25">
      <c r="A6" t="s">
        <v>12</v>
      </c>
      <c r="B6" s="6" t="n">
        <v>0.0</v>
      </c>
      <c r="C6" s="6" t="n">
        <v>177189.3816</v>
      </c>
      <c r="D6" s="6" t="n">
        <v>803.1369</v>
      </c>
      <c r="E6" s="6" t="n">
        <v>0.0</v>
      </c>
      <c r="F6" s="6" t="n">
        <v>231.9358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115148.32551</v>
      </c>
      <c r="K6" s="6"/>
      <c r="L6" t="s">
        <v>12</v>
      </c>
      <c r="M6" s="6" t="n">
        <v>0.0</v>
      </c>
      <c r="N6" s="6" t="n">
        <v>149293.0</v>
      </c>
      <c r="O6" s="6" t="n">
        <v>17038.0</v>
      </c>
      <c r="P6" s="6" t="n">
        <v>0.0</v>
      </c>
      <c r="Q6" s="6" t="n">
        <v>1483.0</v>
      </c>
      <c r="R6" s="6" t="n">
        <v>0.0</v>
      </c>
      <c r="S6" s="6" t="n">
        <v>0.0</v>
      </c>
      <c r="T6" s="6" t="n">
        <v>0.0</v>
      </c>
      <c r="U6" s="6">
        <f si="0" t="shared"/>
        <v>97202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71551.4155</v>
      </c>
      <c r="E7" s="6" t="n">
        <v>0.0</v>
      </c>
      <c r="F7" s="6" t="n">
        <v>206.9108</v>
      </c>
      <c r="G7" s="6" t="n">
        <v>0.0</v>
      </c>
      <c r="H7" s="6" t="n">
        <v>0.0</v>
      </c>
      <c r="I7" s="6" t="n">
        <v>0.0</v>
      </c>
      <c r="J7" s="6">
        <f si="1" t="shared"/>
        <v>58028.285539999997</v>
      </c>
      <c r="K7" s="6"/>
      <c r="L7" t="s">
        <v>56</v>
      </c>
      <c r="M7" s="6" t="n">
        <v>0.0</v>
      </c>
      <c r="N7" s="6" t="n">
        <v>0.0</v>
      </c>
      <c r="O7" s="6" t="n">
        <v>84610.0</v>
      </c>
      <c r="P7" s="6" t="n">
        <v>0.0</v>
      </c>
      <c r="Q7" s="6" t="n">
        <v>638.0</v>
      </c>
      <c r="R7" s="6" t="n">
        <v>0.0</v>
      </c>
      <c r="S7" s="6" t="n">
        <v>0.0</v>
      </c>
      <c r="T7" s="6" t="n">
        <v>0.0</v>
      </c>
      <c r="U7" s="6">
        <f si="0" t="shared"/>
        <v>39241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701.4276</v>
      </c>
      <c r="F8" s="6" t="n">
        <v>19376.6577</v>
      </c>
      <c r="G8" s="6" t="n">
        <v>0.0</v>
      </c>
      <c r="H8" s="6" t="n">
        <v>0.0</v>
      </c>
      <c r="I8" s="6" t="n">
        <v>0.0</v>
      </c>
      <c r="J8" s="6">
        <f si="1" t="shared"/>
        <v>0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5988.0</v>
      </c>
      <c r="R8" s="6" t="n">
        <v>0.0</v>
      </c>
      <c r="S8" s="6" t="n">
        <v>0.0</v>
      </c>
      <c r="T8" s="6" t="n">
        <v>0.0</v>
      </c>
      <c r="U8" s="6">
        <f si="0" t="shared"/>
        <v>0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50.073321999999997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2082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339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1" t="shared"/>
        <v>198.86506800000001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7002.825000000001</v>
      </c>
      <c r="E14" s="6" t="n">
        <v>0.0</v>
      </c>
      <c r="F14" s="6" t="n">
        <v>109.1218</v>
      </c>
      <c r="G14" s="6" t="n">
        <v>5504.4922</v>
      </c>
      <c r="H14" s="6" t="n">
        <v>0.0</v>
      </c>
      <c r="I14" s="6" t="n">
        <v>0.0</v>
      </c>
      <c r="J14" s="6">
        <f si="1" t="shared"/>
        <v>931.97340900000006</v>
      </c>
      <c r="K14" s="6"/>
      <c r="L14" t="s">
        <v>4</v>
      </c>
      <c r="M14" s="6" t="n">
        <v>190.0</v>
      </c>
      <c r="N14" s="6" t="n">
        <v>250.0</v>
      </c>
      <c r="O14" s="6" t="n">
        <v>135.0</v>
      </c>
      <c r="P14" s="6" t="n">
        <v>0.0</v>
      </c>
      <c r="Q14" s="6" t="n">
        <v>105.0</v>
      </c>
      <c r="R14" s="6" t="n">
        <v>1467.0</v>
      </c>
      <c r="S14" s="6" t="n">
        <v>0.0</v>
      </c>
      <c r="T14" s="6" t="n">
        <v>0.0</v>
      </c>
      <c r="U14" s="6">
        <f si="0" t="shared"/>
        <v>992</v>
      </c>
    </row>
    <row r="15" spans="1:21" x14ac:dyDescent="0.25">
      <c r="A15" s="4" t="s">
        <v>5</v>
      </c>
      <c r="B15" s="10" t="n">
        <v>188.6961</v>
      </c>
      <c r="C15" s="10" t="n">
        <v>2079.1909</v>
      </c>
      <c r="D15" s="10" t="n">
        <v>2419.2479</v>
      </c>
      <c r="E15" s="10" t="n">
        <v>0.0</v>
      </c>
      <c r="F15" s="10" t="n">
        <v>3065.9258</v>
      </c>
      <c r="G15" s="10" t="n">
        <v>1227.161</v>
      </c>
      <c r="H15" s="10" t="n">
        <v>54650.7777</v>
      </c>
      <c r="I15" s="10" t="n">
        <v>0.0</v>
      </c>
      <c r="J15" s="6">
        <f si="1" t="shared"/>
        <v>6520.8031350000001</v>
      </c>
      <c r="K15" s="6"/>
      <c r="L15" s="4" t="s">
        <v>5</v>
      </c>
      <c r="M15" s="8" t="n">
        <v>1806.0</v>
      </c>
      <c r="N15" s="8" t="n">
        <v>1511.0</v>
      </c>
      <c r="O15" s="8" t="n">
        <v>647.0</v>
      </c>
      <c r="P15" s="8" t="n">
        <v>0.0</v>
      </c>
      <c r="Q15" s="8" t="n">
        <v>1629.0</v>
      </c>
      <c r="R15" s="8" t="n">
        <v>131.0</v>
      </c>
      <c r="S15" s="8" t="n">
        <v>76085.0</v>
      </c>
      <c r="T15" s="8" t="n">
        <v>0.0</v>
      </c>
      <c r="U15" s="6">
        <f si="0" t="shared"/>
        <v>5039</v>
      </c>
    </row>
    <row ht="15.75" r="16" spans="1:21" thickBot="1" x14ac:dyDescent="0.3">
      <c r="A16" s="12" t="s">
        <v>7</v>
      </c>
      <c r="B16" s="16">
        <f ref="B16:J16" si="2" t="shared">SUM(B5:B15)</f>
        <v>44256.308644999997</v>
      </c>
      <c r="C16" s="16">
        <f si="2" t="shared"/>
        <v>116907.19610299999</v>
      </c>
      <c r="D16" s="16">
        <f si="2" t="shared"/>
        <v>60483.993854</v>
      </c>
      <c r="E16" s="16">
        <f si="2" t="shared"/>
        <v>0</v>
      </c>
      <c r="F16" s="16">
        <f si="2" t="shared"/>
        <v>50.073321999999997</v>
      </c>
      <c r="G16" s="16">
        <f si="2" t="shared"/>
        <v>931.97340900000006</v>
      </c>
      <c r="H16" s="16">
        <f si="2" t="shared"/>
        <v>5309.7418539999999</v>
      </c>
      <c r="I16" s="16">
        <f si="2" t="shared"/>
        <v>397.73013600000002</v>
      </c>
      <c r="J16" s="16">
        <f si="2" t="shared"/>
        <v>228337.01732300004</v>
      </c>
      <c r="L16" s="9" t="s">
        <v>7</v>
      </c>
      <c r="M16" s="16">
        <f ref="M16:U16" si="3" t="shared">SUM(M5:M15)</f>
        <v>39476</v>
      </c>
      <c r="N16" s="16">
        <f si="3" t="shared"/>
        <v>93649</v>
      </c>
      <c r="O16" s="16">
        <f si="3" t="shared"/>
        <v>48111</v>
      </c>
      <c r="P16" s="16">
        <f si="3" t="shared"/>
        <v>0</v>
      </c>
      <c r="Q16" s="16">
        <f si="3" t="shared"/>
        <v>3134</v>
      </c>
      <c r="R16" s="16">
        <f si="3" t="shared"/>
        <v>754</v>
      </c>
      <c r="S16" s="16">
        <f si="3" t="shared"/>
        <v>4225</v>
      </c>
      <c r="T16" s="16">
        <f si="3" t="shared"/>
        <v>0</v>
      </c>
      <c r="U16" s="16">
        <f si="3" t="shared"/>
        <v>189349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37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45</v>
      </c>
      <c r="C20" s="32"/>
      <c r="D20" s="32"/>
      <c r="E20" s="32"/>
      <c r="F20" s="32"/>
      <c r="G20" s="32"/>
      <c r="H20" s="32"/>
      <c r="I20" s="32"/>
      <c r="J20" s="11"/>
      <c r="L20" s="3"/>
      <c r="M20" s="31" t="s">
        <v>45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0.98430808690867944</v>
      </c>
      <c r="C22" s="13">
        <f si="4" t="shared"/>
        <v>2.6284715256472961E-2</v>
      </c>
      <c r="D22" s="13">
        <f si="4" t="shared"/>
        <v>1.3623050157517131E-2</v>
      </c>
      <c r="E22" s="13" t="e">
        <f si="4" t="shared"/>
        <v>#DIV/0!</v>
      </c>
      <c r="F22" s="13">
        <f si="4" t="shared"/>
        <v>0</v>
      </c>
      <c r="G22" s="13">
        <f si="4" t="shared"/>
        <v>0</v>
      </c>
      <c r="H22" s="13">
        <f si="4" t="shared"/>
        <v>0</v>
      </c>
      <c r="I22" s="13">
        <f si="4" t="shared"/>
        <v>0</v>
      </c>
      <c r="J22" s="13">
        <f si="4" t="shared"/>
        <v>0.20784492981208597</v>
      </c>
      <c r="K22" s="6"/>
      <c r="L22" t="s">
        <v>1</v>
      </c>
      <c r="M22" s="13">
        <f ref="M22:P22" si="5" t="shared">M5/M$16</f>
        <v>0.99214712736852773</v>
      </c>
      <c r="N22" s="13">
        <f si="5" t="shared"/>
        <v>4.8105158624224501E-2</v>
      </c>
      <c r="O22" s="13">
        <f si="5" t="shared"/>
        <v>1.6087796969508013E-2</v>
      </c>
      <c r="P22" s="13" t="e">
        <f si="5" t="shared"/>
        <v>#DIV/0!</v>
      </c>
      <c r="Q22" s="13">
        <f ref="Q22:U33" si="6" t="shared">Q5/Q$16</f>
        <v>2.8717294192724951E-3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0.23477282689636597</v>
      </c>
    </row>
    <row r="23" spans="1:21" x14ac:dyDescent="0.25">
      <c r="A23" t="s">
        <v>9</v>
      </c>
      <c r="B23" s="13">
        <f ref="B23:J23" si="7" t="shared">B6/B$16</f>
        <v>0</v>
      </c>
      <c r="C23" s="13">
        <f si="7" t="shared"/>
        <v>0.97142733028121719</v>
      </c>
      <c r="D23" s="13">
        <f si="7" t="shared"/>
        <v>2.6147084678592395E-2</v>
      </c>
      <c r="E23" s="13" t="e">
        <f si="7" t="shared"/>
        <v>#DIV/0!</v>
      </c>
      <c r="F23" s="13">
        <f si="7" t="shared"/>
        <v>0</v>
      </c>
      <c r="G23" s="13">
        <f si="7" t="shared"/>
        <v>0</v>
      </c>
      <c r="H23" s="13">
        <f si="7" t="shared"/>
        <v>0</v>
      </c>
      <c r="I23" s="13">
        <f si="7" t="shared"/>
        <v>0</v>
      </c>
      <c r="J23" s="13">
        <f si="7" t="shared"/>
        <v>0.50429109944584216</v>
      </c>
      <c r="K23" s="6"/>
      <c r="L23" t="s">
        <v>12</v>
      </c>
      <c r="M23" s="13">
        <f ref="M23:P23" si="8" t="shared">M6/M$16</f>
        <v>0</v>
      </c>
      <c r="N23" s="13">
        <f si="8" t="shared"/>
        <v>0.94867003384980086</v>
      </c>
      <c r="O23" s="13">
        <f si="8" t="shared"/>
        <v>0.16809045748373552</v>
      </c>
      <c r="P23" s="13" t="e">
        <f si="8" t="shared"/>
        <v>#DIV/0!</v>
      </c>
      <c r="Q23" s="13">
        <f si="6" t="shared"/>
        <v>8.7109125717932348E-2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0.51334836730059308</v>
      </c>
    </row>
    <row r="24" spans="1:21" x14ac:dyDescent="0.25">
      <c r="A24" t="s">
        <v>10</v>
      </c>
      <c r="B24" s="13">
        <f ref="B24:J24" si="9" t="shared">B7/B$16</f>
        <v>0</v>
      </c>
      <c r="C24" s="13">
        <f si="9" t="shared"/>
        <v>0</v>
      </c>
      <c r="D24" s="13">
        <f si="9" t="shared"/>
        <v>0.95611114258744589</v>
      </c>
      <c r="E24" s="13" t="e">
        <f si="9" t="shared"/>
        <v>#DIV/0!</v>
      </c>
      <c r="F24" s="13">
        <f si="9" t="shared"/>
        <v>0</v>
      </c>
      <c r="G24" s="13">
        <f si="9" t="shared"/>
        <v>0</v>
      </c>
      <c r="H24" s="13">
        <f si="9" t="shared"/>
        <v>0</v>
      </c>
      <c r="I24" s="13">
        <f si="9" t="shared"/>
        <v>0.5</v>
      </c>
      <c r="J24" s="13">
        <f si="9" t="shared"/>
        <v>0.25413437654707816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0.81438756209598639</v>
      </c>
      <c r="P24" s="13" t="e">
        <f si="10" t="shared"/>
        <v>#DIV/0!</v>
      </c>
      <c r="Q24" s="13">
        <f si="6" t="shared"/>
        <v>1.9144862795149969E-2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0.20724165429973224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 t="e">
        <f si="11" t="shared"/>
        <v>#DIV/0!</v>
      </c>
      <c r="F25" s="13">
        <f si="11" t="shared"/>
        <v>0</v>
      </c>
      <c r="G25" s="13">
        <f si="11" t="shared"/>
        <v>0</v>
      </c>
      <c r="H25" s="13">
        <f si="11" t="shared"/>
        <v>0</v>
      </c>
      <c r="I25" s="13">
        <f si="11" t="shared"/>
        <v>0</v>
      </c>
      <c r="J25" s="13">
        <f si="11" t="shared"/>
        <v>0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0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 t="e">
        <f si="13" t="shared"/>
        <v>#DIV/0!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 t="e">
        <f si="15" t="shared"/>
        <v>#DIV/0!</v>
      </c>
      <c r="F27" s="13">
        <f si="15" t="shared"/>
        <v>1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2.192956822641135E-4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0.66432673899170391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1.0995569028619111E-2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 t="e">
        <f si="17" t="shared"/>
        <v>#DIV/0!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0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 t="e">
        <f si="19" t="shared"/>
        <v>#DIV/0!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0.10816847479259732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1.7903448130172327E-3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 t="e">
        <f si="21" t="shared"/>
        <v>#DIV/0!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0.5</v>
      </c>
      <c r="J30" s="13">
        <f si="21" t="shared"/>
        <v>8.7092785187208727E-4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0</v>
      </c>
      <c r="E31" s="13" t="e">
        <f si="23" t="shared"/>
        <v>#DIV/0!</v>
      </c>
      <c r="F31" s="13">
        <f si="23" t="shared"/>
        <v>0</v>
      </c>
      <c r="G31" s="13">
        <f si="23" t="shared"/>
        <v>1</v>
      </c>
      <c r="H31" s="13">
        <f si="23" t="shared"/>
        <v>0</v>
      </c>
      <c r="I31" s="13">
        <f si="23" t="shared"/>
        <v>0</v>
      </c>
      <c r="J31" s="13">
        <f si="23" t="shared"/>
        <v>4.081569514774089E-3</v>
      </c>
      <c r="K31" s="6"/>
      <c r="L31" t="s">
        <v>4</v>
      </c>
      <c r="M31" s="13">
        <f ref="M31:P31" si="24" t="shared">M14/M$16</f>
        <v>1.2159286655182896E-3</v>
      </c>
      <c r="N31" s="13">
        <f si="24" t="shared"/>
        <v>1.07849523219682E-3</v>
      </c>
      <c r="O31" s="13">
        <f si="24" t="shared"/>
        <v>5.6120221986655856E-4</v>
      </c>
      <c r="P31" s="13" t="e">
        <f si="24" t="shared"/>
        <v>#DIV/0!</v>
      </c>
      <c r="Q31" s="13">
        <f si="6" t="shared"/>
        <v>2.5845564773452456E-2</v>
      </c>
      <c r="R31" s="13">
        <f si="6" t="shared"/>
        <v>0.9748010610079576</v>
      </c>
      <c r="S31" s="13">
        <f si="6" t="shared"/>
        <v>0</v>
      </c>
      <c r="T31" s="13" t="e">
        <f si="6" t="shared"/>
        <v>#DIV/0!</v>
      </c>
      <c r="U31" s="13">
        <f si="6" t="shared"/>
        <v>5.2390031106580972E-3</v>
      </c>
    </row>
    <row r="32" spans="1:21" x14ac:dyDescent="0.25">
      <c r="A32" s="4" t="s">
        <v>5</v>
      </c>
      <c r="B32" s="14">
        <f ref="B32:J32" si="25" t="shared">B15/B$16</f>
        <v>1.5691913091320588E-2</v>
      </c>
      <c r="C32" s="14">
        <f si="25" t="shared"/>
        <v>2.2879544623099221E-3</v>
      </c>
      <c r="D32" s="14">
        <f si="25" t="shared"/>
        <v>4.1187225764444972E-3</v>
      </c>
      <c r="E32" s="14" t="e">
        <f si="25" t="shared"/>
        <v>#DIV/0!</v>
      </c>
      <c r="F32" s="14">
        <f si="25" t="shared"/>
        <v>0</v>
      </c>
      <c r="G32" s="14">
        <f si="25" t="shared"/>
        <v>0</v>
      </c>
      <c r="H32" s="14">
        <f si="25" t="shared"/>
        <v>1</v>
      </c>
      <c r="I32" s="14">
        <f si="25" t="shared"/>
        <v>0</v>
      </c>
      <c r="J32" s="14">
        <f si="25" t="shared"/>
        <v>2.8557801146083243E-2</v>
      </c>
      <c r="K32" s="6"/>
      <c r="L32" s="4" t="s">
        <v>5</v>
      </c>
      <c r="M32" s="14">
        <f ref="M32:P32" si="26" t="shared">M15/M$16</f>
        <v>6.6369439659539975E-3</v>
      </c>
      <c r="N32" s="14">
        <f si="26" t="shared"/>
        <v>2.1463122937778298E-3</v>
      </c>
      <c r="O32" s="14">
        <f si="26" t="shared"/>
        <v>8.7298123090353555E-4</v>
      </c>
      <c r="P32" s="14" t="e">
        <f si="26" t="shared"/>
        <v>#DIV/0!</v>
      </c>
      <c r="Q32" s="14">
        <f si="6" t="shared"/>
        <v>9.2533503509891507E-2</v>
      </c>
      <c r="R32" s="14">
        <f si="6" t="shared"/>
        <v>2.5198938992042442E-2</v>
      </c>
      <c r="S32" s="14">
        <f si="6" t="shared"/>
        <v>1</v>
      </c>
      <c r="T32" s="14" t="e">
        <f si="6" t="shared"/>
        <v>#DIV/0!</v>
      </c>
      <c r="U32" s="14">
        <f si="6" t="shared"/>
        <v>2.6612234551014264E-2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 t="e">
        <f si="27" t="shared"/>
        <v>#DIV/0!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22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45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7.8390404598482899E-3</v>
      </c>
      <c r="N39" s="13">
        <f si="29" t="shared"/>
        <v>2.1820443367751539E-2</v>
      </c>
      <c r="O39" s="13">
        <f si="29" t="shared"/>
        <v>2.4647468119908828E-3</v>
      </c>
      <c r="P39" s="13" t="e">
        <f si="29" t="shared"/>
        <v>#DIV/0!</v>
      </c>
      <c r="Q39" s="13">
        <f ref="Q39:Q50" si="30" t="shared">Q22-F22</f>
        <v>2.8717294192724951E-3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2.6927897084280006E-2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-2.275729643141633E-2</v>
      </c>
      <c r="O40" s="13">
        <f si="29" t="shared"/>
        <v>0.14194337280514313</v>
      </c>
      <c r="P40" s="13" t="e">
        <f si="29" t="shared"/>
        <v>#DIV/0!</v>
      </c>
      <c r="Q40" s="13">
        <f si="30" t="shared"/>
        <v>8.7109125717932348E-2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9.0572678547509167E-3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-0.1417235804914595</v>
      </c>
      <c r="P41" s="13" t="e">
        <f si="29" t="shared"/>
        <v>#DIV/0!</v>
      </c>
      <c r="Q41" s="13">
        <f si="30" t="shared"/>
        <v>1.9144862795149969E-2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-4.6892722247345919E-2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0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0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-0.33567326100829609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1.0776273346354998E-2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0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0.10816847479259732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1.7903448130172327E-3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-8.7092785187208727E-4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1.2159286655182896E-3</v>
      </c>
      <c r="N48" s="13">
        <f si="39" t="shared"/>
        <v>1.07849523219682E-3</v>
      </c>
      <c r="O48" s="13">
        <f si="39" t="shared"/>
        <v>5.6120221986655856E-4</v>
      </c>
      <c r="P48" s="13" t="e">
        <f si="39" t="shared"/>
        <v>#DIV/0!</v>
      </c>
      <c r="Q48" s="13">
        <f si="30" t="shared"/>
        <v>2.5845564773452456E-2</v>
      </c>
      <c r="R48" s="13">
        <f si="31" t="shared"/>
        <v>-2.5198938992042397E-2</v>
      </c>
      <c r="S48" s="13">
        <f si="32" t="shared"/>
        <v>0</v>
      </c>
      <c r="T48" s="13" t="e">
        <f si="33" t="shared"/>
        <v>#DIV/0!</v>
      </c>
      <c r="U48" s="13">
        <f si="34" t="shared"/>
        <v>1.1574335958840082E-3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-9.0549691253665916E-3</v>
      </c>
      <c r="N49" s="17">
        <f si="39" t="shared"/>
        <v>-1.4164216853209234E-4</v>
      </c>
      <c r="O49" s="17">
        <f si="39" t="shared"/>
        <v>-3.2457413455409616E-3</v>
      </c>
      <c r="P49" s="17" t="e">
        <f si="39" t="shared"/>
        <v>#DIV/0!</v>
      </c>
      <c r="Q49" s="17">
        <f si="30" t="shared"/>
        <v>9.2533503509891507E-2</v>
      </c>
      <c r="R49" s="17">
        <f si="31" t="shared"/>
        <v>2.5198938992042442E-2</v>
      </c>
      <c r="S49" s="17">
        <f si="32" t="shared"/>
        <v>0</v>
      </c>
      <c r="T49" s="17" t="e">
        <f si="33" t="shared"/>
        <v>#DIV/0!</v>
      </c>
      <c r="U49" s="13">
        <f si="34" t="shared"/>
        <v>-1.9455665950689795E-3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9"/>
  <dimension ref="A2:AF50"/>
  <sheetViews>
    <sheetView workbookViewId="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39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46</v>
      </c>
      <c r="C3" s="31"/>
      <c r="D3" s="31"/>
      <c r="E3" s="31"/>
      <c r="F3" s="31"/>
      <c r="G3" s="31"/>
      <c r="H3" s="31"/>
      <c r="I3" s="31"/>
      <c r="J3" s="11"/>
      <c r="L3" s="3"/>
      <c r="M3" s="31" t="s">
        <v>46</v>
      </c>
      <c r="N3" s="31"/>
      <c r="O3" s="31"/>
      <c r="P3" s="31"/>
      <c r="Q3" s="31"/>
      <c r="R3" s="31"/>
      <c r="S3" s="31"/>
      <c r="T3" s="31"/>
      <c r="U3" s="31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509230.5325</v>
      </c>
      <c r="C5" s="6" t="n">
        <v>17983.4247</v>
      </c>
      <c r="D5" s="6" t="n">
        <v>6472.0516</v>
      </c>
      <c r="E5" s="6" t="n">
        <v>1890.7426</v>
      </c>
      <c r="F5" s="6" t="n">
        <v>959.9519</v>
      </c>
      <c r="G5" s="6" t="n">
        <v>0.0</v>
      </c>
      <c r="H5" s="6" t="n">
        <v>0.0</v>
      </c>
      <c r="I5" s="6" t="n">
        <v>0.0</v>
      </c>
      <c r="J5" s="6">
        <f>SUM(B5:I5)</f>
        <v>59707.255377999994</v>
      </c>
      <c r="K5" s="6"/>
      <c r="L5" t="s">
        <v>1</v>
      </c>
      <c r="M5" s="6" t="n">
        <v>544368.0</v>
      </c>
      <c r="N5" s="6" t="n">
        <v>37907.0</v>
      </c>
      <c r="O5" s="6" t="n">
        <v>11242.0</v>
      </c>
      <c r="P5" s="6" t="n">
        <v>0.0</v>
      </c>
      <c r="Q5" s="6" t="n">
        <v>347.0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179484</v>
      </c>
    </row>
    <row r="6" spans="1:21" x14ac:dyDescent="0.25">
      <c r="A6" t="s">
        <v>12</v>
      </c>
      <c r="B6" s="6" t="n">
        <v>0.0</v>
      </c>
      <c r="C6" s="6" t="n">
        <v>417427.7782</v>
      </c>
      <c r="D6" s="6" t="n">
        <v>20333.4698</v>
      </c>
      <c r="E6" s="6" t="n">
        <v>225.5385</v>
      </c>
      <c r="F6" s="6" t="n">
        <v>6599.1296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57610.235094000003</v>
      </c>
      <c r="K6" s="6"/>
      <c r="L6" t="s">
        <v>12</v>
      </c>
      <c r="M6" s="6" t="n">
        <v>0.0</v>
      </c>
      <c r="N6" s="6" t="n">
        <v>442512.0</v>
      </c>
      <c r="O6" s="6" t="n">
        <v>52572.0</v>
      </c>
      <c r="P6" s="6" t="n">
        <v>0.0</v>
      </c>
      <c r="Q6" s="6" t="n">
        <v>3479.0</v>
      </c>
      <c r="R6" s="6" t="n">
        <v>0.0</v>
      </c>
      <c r="S6" s="6" t="n">
        <v>0.0</v>
      </c>
      <c r="T6" s="6" t="n">
        <v>0.0</v>
      </c>
      <c r="U6" s="6">
        <f si="0" t="shared"/>
        <v>175765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282093.9473</v>
      </c>
      <c r="E7" s="6" t="n">
        <v>0.0</v>
      </c>
      <c r="F7" s="6" t="n">
        <v>2481.0793</v>
      </c>
      <c r="G7" s="6" t="n">
        <v>0.0</v>
      </c>
      <c r="H7" s="6" t="n">
        <v>0.0</v>
      </c>
      <c r="I7" s="6" t="n">
        <v>0.0</v>
      </c>
      <c r="J7" s="6">
        <f si="1" t="shared"/>
        <v>43084.950145000003</v>
      </c>
      <c r="K7" s="6"/>
      <c r="L7" t="s">
        <v>56</v>
      </c>
      <c r="M7" s="6" t="n">
        <v>0.0</v>
      </c>
      <c r="N7" s="6" t="n">
        <v>0.0</v>
      </c>
      <c r="O7" s="6" t="n">
        <v>285334.0</v>
      </c>
      <c r="P7" s="6" t="n">
        <v>0.0</v>
      </c>
      <c r="Q7" s="6" t="n">
        <v>1464.0</v>
      </c>
      <c r="R7" s="6" t="n">
        <v>0.0</v>
      </c>
      <c r="S7" s="6" t="n">
        <v>0.0</v>
      </c>
      <c r="T7" s="6" t="n">
        <v>0.0</v>
      </c>
      <c r="U7" s="6">
        <f si="0" t="shared"/>
        <v>90441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2073.8936</v>
      </c>
      <c r="F8" s="6" t="n">
        <v>26514.793700000002</v>
      </c>
      <c r="G8" s="6" t="n">
        <v>0.0</v>
      </c>
      <c r="H8" s="6" t="n">
        <v>0.0</v>
      </c>
      <c r="I8" s="6" t="n">
        <v>0.0</v>
      </c>
      <c r="J8" s="6">
        <f si="1" t="shared"/>
        <v>0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16761.0</v>
      </c>
      <c r="R8" s="6" t="n">
        <v>0.0</v>
      </c>
      <c r="S8" s="6" t="n">
        <v>0.0</v>
      </c>
      <c r="T8" s="6" t="n">
        <v>0.0</v>
      </c>
      <c r="U8" s="6">
        <f si="0" t="shared"/>
        <v>0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90.3517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383.022944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4781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859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1127.8642</v>
      </c>
      <c r="J13" s="6">
        <f si="1" t="shared"/>
        <v>0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1433.779</v>
      </c>
      <c r="C14" s="6" t="n">
        <v>29.0346</v>
      </c>
      <c r="D14" s="6" t="n">
        <v>0.0</v>
      </c>
      <c r="E14" s="6" t="n">
        <v>0.0</v>
      </c>
      <c r="F14" s="6" t="n">
        <v>213.8028</v>
      </c>
      <c r="G14" s="6" t="n">
        <v>25667.9863</v>
      </c>
      <c r="H14" s="6" t="n">
        <v>0.0</v>
      </c>
      <c r="I14" s="6" t="n">
        <v>1127.8642</v>
      </c>
      <c r="J14" s="6">
        <f si="1" t="shared"/>
        <v>606.309166</v>
      </c>
      <c r="K14" s="6"/>
      <c r="L14" t="s">
        <v>4</v>
      </c>
      <c r="M14" s="6" t="n">
        <v>792.0</v>
      </c>
      <c r="N14" s="6" t="n">
        <v>851.0</v>
      </c>
      <c r="O14" s="6" t="n">
        <v>424.0</v>
      </c>
      <c r="P14" s="6" t="n">
        <v>0.0</v>
      </c>
      <c r="Q14" s="6" t="n">
        <v>369.0</v>
      </c>
      <c r="R14" s="6" t="n">
        <v>27045.0</v>
      </c>
      <c r="S14" s="6" t="n">
        <v>0.0</v>
      </c>
      <c r="T14" s="6" t="n">
        <v>0.0</v>
      </c>
      <c r="U14" s="6">
        <f si="0" t="shared"/>
        <v>7706</v>
      </c>
    </row>
    <row r="15" spans="1:21" x14ac:dyDescent="0.25">
      <c r="A15" s="4" t="s">
        <v>5</v>
      </c>
      <c r="B15" s="10" t="n">
        <v>10135.8794</v>
      </c>
      <c r="C15" s="10" t="n">
        <v>7494.2837</v>
      </c>
      <c r="D15" s="10" t="n">
        <v>9725.9186</v>
      </c>
      <c r="E15" s="10" t="n">
        <v>251.7942</v>
      </c>
      <c r="F15" s="10" t="n">
        <v>8617.6514</v>
      </c>
      <c r="G15" s="10" t="n">
        <v>424.99060000000003</v>
      </c>
      <c r="H15" s="10" t="n">
        <v>512810.6368</v>
      </c>
      <c r="I15" s="10" t="n">
        <v>0.0</v>
      </c>
      <c r="J15" s="6">
        <f si="1" t="shared"/>
        <v>20149.766648000001</v>
      </c>
      <c r="K15" s="6"/>
      <c r="L15" s="4" t="s">
        <v>5</v>
      </c>
      <c r="M15" s="8" t="n">
        <v>5127.0</v>
      </c>
      <c r="N15" s="8" t="n">
        <v>3207.0</v>
      </c>
      <c r="O15" s="8" t="n">
        <v>1675.0</v>
      </c>
      <c r="P15" s="8" t="n">
        <v>0.0</v>
      </c>
      <c r="Q15" s="8" t="n">
        <v>3747.0</v>
      </c>
      <c r="R15" s="8" t="n">
        <v>1055.0</v>
      </c>
      <c r="S15" s="8" t="n">
        <v>308314.0</v>
      </c>
      <c r="T15" s="8" t="n">
        <v>0.0</v>
      </c>
      <c r="U15" s="6">
        <f si="0" t="shared"/>
        <v>17903</v>
      </c>
    </row>
    <row ht="15.75" r="16" spans="1:21" thickBot="1" x14ac:dyDescent="0.3">
      <c r="A16" s="12" t="s">
        <v>7</v>
      </c>
      <c r="B16" s="16">
        <f ref="B16:J16" si="2" t="shared">SUM(B5:B15)</f>
        <v>54270.852712</v>
      </c>
      <c r="C16" s="16">
        <f si="2" t="shared"/>
        <v>59142.036695999996</v>
      </c>
      <c r="D16" s="16">
        <f si="2" t="shared"/>
        <v>48422.592634000001</v>
      </c>
      <c r="E16" s="16">
        <f si="2" t="shared"/>
        <v>0</v>
      </c>
      <c r="F16" s="16">
        <f si="2" t="shared"/>
        <v>416.38532900000001</v>
      </c>
      <c r="G16" s="16">
        <f si="2" t="shared"/>
        <v>606.309166</v>
      </c>
      <c r="H16" s="16">
        <f si="2" t="shared"/>
        <v>18683.362838000001</v>
      </c>
      <c r="I16" s="16">
        <f si="2" t="shared"/>
        <v>0</v>
      </c>
      <c r="J16" s="16">
        <f si="2" t="shared"/>
        <v>181541.53937499999</v>
      </c>
      <c r="L16" s="9" t="s">
        <v>7</v>
      </c>
      <c r="M16" s="16">
        <f ref="M16:U16" si="3" t="shared">SUM(M5:M15)</f>
        <v>166199</v>
      </c>
      <c r="N16" s="16">
        <f si="3" t="shared"/>
        <v>170363</v>
      </c>
      <c r="O16" s="16">
        <f si="3" t="shared"/>
        <v>110785</v>
      </c>
      <c r="P16" s="16">
        <f si="3" t="shared"/>
        <v>0</v>
      </c>
      <c r="Q16" s="16">
        <f si="3" t="shared"/>
        <v>6892</v>
      </c>
      <c r="R16" s="16">
        <f si="3" t="shared"/>
        <v>7021</v>
      </c>
      <c r="S16" s="16">
        <f si="3" t="shared"/>
        <v>15679</v>
      </c>
      <c r="T16" s="16">
        <f si="3" t="shared"/>
        <v>0</v>
      </c>
      <c r="U16" s="16">
        <f si="3" t="shared"/>
        <v>476939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40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46</v>
      </c>
      <c r="C20" s="31"/>
      <c r="D20" s="31"/>
      <c r="E20" s="31"/>
      <c r="F20" s="31"/>
      <c r="G20" s="31"/>
      <c r="H20" s="31"/>
      <c r="I20" s="31"/>
      <c r="J20" s="11"/>
      <c r="L20" s="3"/>
      <c r="M20" s="31" t="s">
        <v>46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0.9981237596810878</v>
      </c>
      <c r="C22" s="13">
        <f si="4" t="shared"/>
        <v>5.1178776739772225E-2</v>
      </c>
      <c r="D22" s="13">
        <f si="4" t="shared"/>
        <v>5.186444176961745E-2</v>
      </c>
      <c r="E22" s="13" t="e">
        <f si="4" t="shared"/>
        <v>#DIV/0!</v>
      </c>
      <c r="F22" s="13">
        <f si="4" t="shared"/>
        <v>0</v>
      </c>
      <c r="G22" s="13">
        <f si="4" t="shared"/>
        <v>0</v>
      </c>
      <c r="H22" s="13">
        <f si="4" t="shared"/>
        <v>0</v>
      </c>
      <c r="I22" s="13" t="e">
        <f si="4" t="shared"/>
        <v>#DIV/0!</v>
      </c>
      <c r="J22" s="13">
        <f si="4" t="shared"/>
        <v>0.32889032220149972</v>
      </c>
      <c r="K22" s="6"/>
      <c r="L22" t="s">
        <v>1</v>
      </c>
      <c r="M22" s="13">
        <f ref="M22:P22" si="5" t="shared">M5/M$16</f>
        <v>0.99406133610912217</v>
      </c>
      <c r="N22" s="13">
        <f si="5" t="shared"/>
        <v>6.8547748043882764E-2</v>
      </c>
      <c r="O22" s="13">
        <f si="5" t="shared"/>
        <v>2.3252245340073113E-2</v>
      </c>
      <c r="P22" s="13" t="e">
        <f si="5" t="shared"/>
        <v>#DIV/0!</v>
      </c>
      <c r="Q22" s="13">
        <f ref="Q22:U33" si="6" t="shared">Q5/Q$16</f>
        <v>2.6117237376668601E-3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0.37632485496048762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0.92691416319972053</v>
      </c>
      <c r="D23" s="13">
        <f si="7" t="shared"/>
        <v>5.7631024862566847E-2</v>
      </c>
      <c r="E23" s="13" t="e">
        <f si="7" t="shared"/>
        <v>#DIV/0!</v>
      </c>
      <c r="F23" s="13">
        <f si="7" t="shared"/>
        <v>0</v>
      </c>
      <c r="G23" s="13">
        <f si="7" t="shared"/>
        <v>0</v>
      </c>
      <c r="H23" s="13">
        <f si="7" t="shared"/>
        <v>0</v>
      </c>
      <c r="I23" s="13" t="e">
        <f si="7" t="shared"/>
        <v>#DIV/0!</v>
      </c>
      <c r="J23" s="13">
        <f si="7" t="shared"/>
        <v>0.31733913512211565</v>
      </c>
      <c r="K23" s="6"/>
      <c r="L23" t="s">
        <v>12</v>
      </c>
      <c r="M23" s="13">
        <f ref="M23:P23" si="8" t="shared">M6/M$16</f>
        <v>0</v>
      </c>
      <c r="N23" s="13">
        <f si="8" t="shared"/>
        <v>0.92642768676297083</v>
      </c>
      <c r="O23" s="13">
        <f si="8" t="shared"/>
        <v>0.15881211355327887</v>
      </c>
      <c r="P23" s="13" t="e">
        <f si="8" t="shared"/>
        <v>#DIV/0!</v>
      </c>
      <c r="Q23" s="13">
        <f si="6" t="shared"/>
        <v>4.962275101567034E-2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0.36852721207533878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0.889769584843498</v>
      </c>
      <c r="E24" s="13" t="e">
        <f si="9" t="shared"/>
        <v>#DIV/0!</v>
      </c>
      <c r="F24" s="13">
        <f si="9" t="shared"/>
        <v>0</v>
      </c>
      <c r="G24" s="13">
        <f si="9" t="shared"/>
        <v>0</v>
      </c>
      <c r="H24" s="13">
        <f si="9" t="shared"/>
        <v>0</v>
      </c>
      <c r="I24" s="13" t="e">
        <f si="9" t="shared"/>
        <v>#DIV/0!</v>
      </c>
      <c r="J24" s="13">
        <f si="9" t="shared"/>
        <v>0.23732832878541302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0.81562485896105064</v>
      </c>
      <c r="P24" s="13" t="e">
        <f si="10" t="shared"/>
        <v>#DIV/0!</v>
      </c>
      <c r="Q24" s="13">
        <f si="6" t="shared"/>
        <v>1.1897852582704585E-2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0.189628023709531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 t="e">
        <f si="11" t="shared"/>
        <v>#DIV/0!</v>
      </c>
      <c r="F25" s="13">
        <f si="11" t="shared"/>
        <v>0</v>
      </c>
      <c r="G25" s="13">
        <f si="11" t="shared"/>
        <v>0</v>
      </c>
      <c r="H25" s="13">
        <f si="11" t="shared"/>
        <v>0</v>
      </c>
      <c r="I25" s="13" t="e">
        <f si="11" t="shared"/>
        <v>#DIV/0!</v>
      </c>
      <c r="J25" s="13">
        <f si="11" t="shared"/>
        <v>0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0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 t="e">
        <f si="13" t="shared"/>
        <v>#DIV/0!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 t="e">
        <f si="13" t="shared"/>
        <v>#DIV/0!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 t="e">
        <f si="15" t="shared"/>
        <v>#DIV/0!</v>
      </c>
      <c r="F27" s="13">
        <f si="15" t="shared"/>
        <v>0.91987617556045065</v>
      </c>
      <c r="G27" s="13">
        <f si="15" t="shared"/>
        <v>0</v>
      </c>
      <c r="H27" s="13">
        <f si="15" t="shared"/>
        <v>0</v>
      </c>
      <c r="I27" s="13" t="e">
        <f si="15" t="shared"/>
        <v>#DIV/0!</v>
      </c>
      <c r="J27" s="13">
        <f si="15" t="shared"/>
        <v>2.1098363785976904E-3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0.6937028438769588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1.0024342735653826E-2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 t="e">
        <f si="17" t="shared"/>
        <v>#DIV/0!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 t="e">
        <f si="17" t="shared"/>
        <v>#DIV/0!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0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 t="e">
        <f si="19" t="shared"/>
        <v>#DIV/0!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 t="e">
        <f si="19" t="shared"/>
        <v>#DIV/0!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0.12463726059199072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1.80106889979641E-3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 t="e">
        <f si="21" t="shared"/>
        <v>#DIV/0!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 t="e">
        <f si="21" t="shared"/>
        <v>#DIV/0!</v>
      </c>
      <c r="J30" s="13">
        <f si="21" t="shared"/>
        <v>0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0</v>
      </c>
      <c r="E31" s="13" t="e">
        <f si="23" t="shared"/>
        <v>#DIV/0!</v>
      </c>
      <c r="F31" s="13">
        <f si="23" t="shared"/>
        <v>0</v>
      </c>
      <c r="G31" s="13">
        <f si="23" t="shared"/>
        <v>1</v>
      </c>
      <c r="H31" s="13">
        <f si="23" t="shared"/>
        <v>0</v>
      </c>
      <c r="I31" s="13" t="e">
        <f si="23" t="shared"/>
        <v>#DIV/0!</v>
      </c>
      <c r="J31" s="13">
        <f si="23" t="shared"/>
        <v>3.3397820029915123E-3</v>
      </c>
      <c r="K31" s="6"/>
      <c r="L31" t="s">
        <v>4</v>
      </c>
      <c r="M31" s="13">
        <f ref="M31:P31" si="24" t="shared">M14/M$16</f>
        <v>1.0288870570821726E-3</v>
      </c>
      <c r="N31" s="13">
        <f si="24" t="shared"/>
        <v>2.0133479687490827E-3</v>
      </c>
      <c r="O31" s="13">
        <f si="24" t="shared"/>
        <v>1.0470731597237892E-3</v>
      </c>
      <c r="P31" s="13" t="e">
        <f si="24" t="shared"/>
        <v>#DIV/0!</v>
      </c>
      <c r="Q31" s="13">
        <f si="6" t="shared"/>
        <v>2.7423099245502031E-2</v>
      </c>
      <c r="R31" s="13">
        <f si="6" t="shared"/>
        <v>0.9809143996581684</v>
      </c>
      <c r="S31" s="13">
        <f si="6" t="shared"/>
        <v>0</v>
      </c>
      <c r="T31" s="13" t="e">
        <f si="6" t="shared"/>
        <v>#DIV/0!</v>
      </c>
      <c r="U31" s="13">
        <f si="6" t="shared"/>
        <v>1.6157202493400625E-2</v>
      </c>
    </row>
    <row r="32" spans="1:21" x14ac:dyDescent="0.25">
      <c r="A32" s="4" t="s">
        <v>5</v>
      </c>
      <c r="B32" s="14">
        <f ref="B32:J32" si="25" t="shared">B15/B$16</f>
        <v>1.8762403189122017E-3</v>
      </c>
      <c r="C32" s="14">
        <f si="25" t="shared"/>
        <v>2.1907060060507324E-2</v>
      </c>
      <c r="D32" s="14">
        <f si="25" t="shared"/>
        <v>7.3494852431779439E-4</v>
      </c>
      <c r="E32" s="14" t="e">
        <f si="25" t="shared"/>
        <v>#DIV/0!</v>
      </c>
      <c r="F32" s="14">
        <f si="25" t="shared"/>
        <v>8.0123824439549365E-2</v>
      </c>
      <c r="G32" s="14">
        <f si="25" t="shared"/>
        <v>0</v>
      </c>
      <c r="H32" s="14">
        <f si="25" t="shared"/>
        <v>1</v>
      </c>
      <c r="I32" s="14" t="e">
        <f si="25" t="shared"/>
        <v>#DIV/0!</v>
      </c>
      <c r="J32" s="14">
        <f si="25" t="shared"/>
        <v>0.11099259550938245</v>
      </c>
      <c r="K32" s="6"/>
      <c r="L32" s="4" t="s">
        <v>5</v>
      </c>
      <c r="M32" s="14">
        <f ref="M32:P32" si="26" t="shared">M15/M$16</f>
        <v>4.9097768337956309E-3</v>
      </c>
      <c r="N32" s="14">
        <f si="26" t="shared"/>
        <v>3.0112172243973163E-3</v>
      </c>
      <c r="O32" s="14">
        <f si="26" t="shared"/>
        <v>1.2637089858735389E-3</v>
      </c>
      <c r="P32" s="14" t="e">
        <f si="26" t="shared"/>
        <v>#DIV/0!</v>
      </c>
      <c r="Q32" s="14">
        <f si="6" t="shared"/>
        <v>9.0104468949506675E-2</v>
      </c>
      <c r="R32" s="14">
        <f si="6" t="shared"/>
        <v>1.9085600341831647E-2</v>
      </c>
      <c r="S32" s="14">
        <f si="6" t="shared"/>
        <v>1</v>
      </c>
      <c r="T32" s="14" t="e">
        <f si="6" t="shared"/>
        <v>#DIV/0!</v>
      </c>
      <c r="U32" s="14">
        <f si="6" t="shared"/>
        <v>3.7537295125791771E-2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 t="e">
        <f si="27" t="shared"/>
        <v>#DIV/0!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 t="e">
        <f si="27" t="shared"/>
        <v>#DIV/0!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23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46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-4.0624235719656232E-3</v>
      </c>
      <c r="N39" s="13">
        <f si="29" t="shared"/>
        <v>1.7368971304110539E-2</v>
      </c>
      <c r="O39" s="13">
        <f si="29" t="shared"/>
        <v>-2.8612196429544337E-2</v>
      </c>
      <c r="P39" s="13" t="e">
        <f si="29" t="shared"/>
        <v>#DIV/0!</v>
      </c>
      <c r="Q39" s="13">
        <f ref="Q39:Q50" si="30" t="shared">Q22-F22</f>
        <v>2.6117237376668601E-3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4.7434532758987902E-2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-4.8647643674970542E-4</v>
      </c>
      <c r="O40" s="13">
        <f si="29" t="shared"/>
        <v>0.10118108869071202</v>
      </c>
      <c r="P40" s="13" t="e">
        <f si="29" t="shared"/>
        <v>#DIV/0!</v>
      </c>
      <c r="Q40" s="13">
        <f si="30" t="shared"/>
        <v>4.962275101567034E-2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5.1188076953223138E-2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-7.414472588244736E-2</v>
      </c>
      <c r="P41" s="13" t="e">
        <f si="29" t="shared"/>
        <v>#DIV/0!</v>
      </c>
      <c r="Q41" s="13">
        <f si="30" t="shared"/>
        <v>1.1897852582704585E-2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-4.7700305075882021E-2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0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0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-0.22617333168349185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7.9145063570561364E-3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0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0.12463726059199072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1.80106889979641E-3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1.0288870570821726E-3</v>
      </c>
      <c r="N48" s="13">
        <f si="39" t="shared"/>
        <v>2.0133479687490827E-3</v>
      </c>
      <c r="O48" s="13">
        <f si="39" t="shared"/>
        <v>1.0470731597237892E-3</v>
      </c>
      <c r="P48" s="13" t="e">
        <f si="39" t="shared"/>
        <v>#DIV/0!</v>
      </c>
      <c r="Q48" s="13">
        <f si="30" t="shared"/>
        <v>2.7423099245502031E-2</v>
      </c>
      <c r="R48" s="13">
        <f si="31" t="shared"/>
        <v>-1.9085600341831599E-2</v>
      </c>
      <c r="S48" s="13">
        <f si="32" t="shared"/>
        <v>0</v>
      </c>
      <c r="T48" s="13" t="e">
        <f si="33" t="shared"/>
        <v>#DIV/0!</v>
      </c>
      <c r="U48" s="13">
        <f si="34" t="shared"/>
        <v>1.2817420490409112E-2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3.0335365148834292E-3</v>
      </c>
      <c r="N49" s="17">
        <f si="39" t="shared"/>
        <v>-1.8895842836110007E-2</v>
      </c>
      <c r="O49" s="17">
        <f si="39" t="shared"/>
        <v>5.2876046155574455E-4</v>
      </c>
      <c r="P49" s="17" t="e">
        <f si="39" t="shared"/>
        <v>#DIV/0!</v>
      </c>
      <c r="Q49" s="17">
        <f si="30" t="shared"/>
        <v>9.9806445099573093E-3</v>
      </c>
      <c r="R49" s="17">
        <f si="31" t="shared"/>
        <v>1.9085600341831647E-2</v>
      </c>
      <c r="S49" s="17">
        <f si="32" t="shared"/>
        <v>0</v>
      </c>
      <c r="T49" s="17" t="e">
        <f si="33" t="shared"/>
        <v>#DIV/0!</v>
      </c>
      <c r="U49" s="13">
        <f si="34" t="shared"/>
        <v>-7.3455300383590688E-2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B2:B3"/>
  <sheetViews>
    <sheetView workbookViewId="0"/>
  </sheetViews>
  <sheetFormatPr defaultRowHeight="15" x14ac:dyDescent="0.25"/>
  <sheetData>
    <row r="2" spans="2:2" x14ac:dyDescent="0.25">
      <c r="B2" t="s">
        <v>50</v>
      </c>
    </row>
    <row r="3" spans="2:2" x14ac:dyDescent="0.25">
      <c r="B3" t="s">
        <v>49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baseType="lpstr" size="34">
      <vt:lpstr>All Purposes</vt:lpstr>
      <vt:lpstr>Workbased</vt:lpstr>
      <vt:lpstr>Work</vt:lpstr>
      <vt:lpstr>School</vt:lpstr>
      <vt:lpstr>Escort</vt:lpstr>
      <vt:lpstr>Personal_Business</vt:lpstr>
      <vt:lpstr>Shop</vt:lpstr>
      <vt:lpstr>Meal</vt:lpstr>
      <vt:lpstr>SocRec</vt:lpstr>
      <vt:lpstr>Documentation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purp1</vt:lpstr>
      <vt:lpstr>purp2</vt:lpstr>
      <vt:lpstr>purp3</vt:lpstr>
      <vt:lpstr>purp4</vt:lpstr>
      <vt:lpstr>purp5</vt:lpstr>
      <vt:lpstr>purp6</vt:lpstr>
      <vt:lpstr>purp7</vt:lpstr>
      <vt:lpstr>purp8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2011-03-29T15:31:17Z</dcterms:created>
  <dc:creator>Bhargava Sana</dc:creator>
  <cp:lastModifiedBy>Nagendra Dhakar</cp:lastModifiedBy>
  <dcterms:modified xsi:type="dcterms:W3CDTF">2014-09-15T17:27:31Z</dcterms:modified>
</cp:coreProperties>
</file>