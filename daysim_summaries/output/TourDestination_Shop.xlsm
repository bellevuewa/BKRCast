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10050" yWindow="-15" windowWidth="14190" windowHeight="10695" activeTab="6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71027"/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P84" i="6"/>
  <c r="O84" i="6"/>
  <c r="N84" i="6"/>
  <c r="M84" i="6" s="1"/>
  <c r="P83" i="6"/>
  <c r="O83" i="6"/>
  <c r="N83" i="6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P54" i="6"/>
  <c r="O54" i="6"/>
  <c r="N54" i="6"/>
  <c r="M54" i="6" s="1"/>
  <c r="P53" i="6"/>
  <c r="O53" i="6"/>
  <c r="N53" i="6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P46" i="6"/>
  <c r="O46" i="6"/>
  <c r="N46" i="6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M42" i="6" s="1"/>
  <c r="P41" i="6"/>
  <c r="O41" i="6"/>
  <c r="N41" i="6"/>
  <c r="M41" i="6" s="1"/>
  <c r="P40" i="6"/>
  <c r="O40" i="6"/>
  <c r="N40" i="6"/>
  <c r="R40" i="6" s="1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P30" i="6"/>
  <c r="O30" i="6"/>
  <c r="N30" i="6"/>
  <c r="M30" i="6" s="1"/>
  <c r="P29" i="6"/>
  <c r="O29" i="6"/>
  <c r="N29" i="6"/>
  <c r="M29" i="6" s="1"/>
  <c r="P28" i="6"/>
  <c r="O28" i="6"/>
  <c r="N28" i="6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P22" i="6"/>
  <c r="O22" i="6"/>
  <c r="N22" i="6"/>
  <c r="M22" i="6" s="1"/>
  <c r="P21" i="6"/>
  <c r="O21" i="6"/>
  <c r="N21" i="6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P4" i="6"/>
  <c r="O4" i="6"/>
  <c r="N4" i="6"/>
  <c r="M4" i="6" s="1"/>
  <c r="P3" i="6"/>
  <c r="O3" i="6"/>
  <c r="N3" i="6"/>
  <c r="B36" i="6"/>
  <c r="B46" i="6" s="1"/>
  <c r="B35" i="6"/>
  <c r="B45" i="6" s="1"/>
  <c r="B34" i="6"/>
  <c r="B44" i="6" s="1"/>
  <c r="B33" i="6"/>
  <c r="B43" i="6" s="1"/>
  <c r="D24" i="6" l="1"/>
  <c r="D23" i="6"/>
  <c r="Q75" i="6"/>
  <c r="Q36" i="6"/>
  <c r="D25" i="6"/>
  <c r="D26" i="6"/>
  <c r="M40" i="6"/>
  <c r="Q33" i="6"/>
  <c r="R39" i="6"/>
  <c r="R41" i="6"/>
  <c r="R42" i="6"/>
  <c r="Q25" i="6"/>
  <c r="Q5" i="6"/>
  <c r="Q78" i="6"/>
  <c r="Q79" i="6"/>
  <c r="Q77" i="6"/>
  <c r="Q83" i="6"/>
  <c r="Q99" i="6"/>
  <c r="Q21" i="6"/>
  <c r="Q80" i="6"/>
  <c r="Q35" i="6"/>
  <c r="Q37" i="6"/>
  <c r="Q20" i="6"/>
  <c r="Q89" i="6"/>
  <c r="Q27" i="6"/>
  <c r="Q88" i="6"/>
  <c r="Q85" i="6"/>
  <c r="Q70" i="6"/>
  <c r="Q93" i="6"/>
  <c r="Q82" i="6"/>
  <c r="Q95" i="6"/>
  <c r="Q29" i="6"/>
  <c r="Q96" i="6"/>
  <c r="Q23" i="6"/>
  <c r="Q28" i="6"/>
  <c r="Q50" i="6"/>
  <c r="Q16" i="6"/>
  <c r="Q15" i="6"/>
  <c r="Q102" i="6"/>
  <c r="Q51" i="6"/>
  <c r="Q58" i="6"/>
  <c r="Q26" i="6"/>
  <c r="Q49" i="6"/>
  <c r="Q60" i="6"/>
  <c r="Q67" i="6"/>
  <c r="Q103" i="6"/>
  <c r="Q87" i="6"/>
  <c r="Q44" i="6"/>
  <c r="Q101" i="6"/>
  <c r="Q9" i="6"/>
  <c r="Q68" i="6"/>
  <c r="Q104" i="6"/>
  <c r="Q31" i="6"/>
  <c r="Q97" i="6"/>
  <c r="Q11" i="6"/>
  <c r="Q3" i="6"/>
  <c r="Q10" i="6"/>
  <c r="Q38" i="6"/>
  <c r="Q59" i="6"/>
  <c r="Q6" i="6"/>
  <c r="Q69" i="6"/>
  <c r="Q12" i="6"/>
  <c r="Q71" i="6"/>
  <c r="Q45" i="6"/>
  <c r="Q61" i="6"/>
  <c r="Q86" i="6"/>
  <c r="Q94" i="6"/>
  <c r="Q7" i="6"/>
  <c r="Q13" i="6"/>
  <c r="Q72" i="6"/>
  <c r="Q46" i="6"/>
  <c r="Q34" i="6"/>
  <c r="Q43" i="6"/>
  <c r="Q62" i="6"/>
  <c r="Q66" i="6"/>
  <c r="Q17" i="6"/>
  <c r="Q73" i="6"/>
  <c r="Q81" i="6"/>
  <c r="Q22" i="6"/>
  <c r="Q18" i="6"/>
  <c r="Q4" i="6"/>
  <c r="Q84" i="6"/>
  <c r="Q90" i="6"/>
  <c r="Q8" i="6"/>
  <c r="Q63" i="6"/>
  <c r="Q74" i="6"/>
  <c r="Q19" i="6"/>
  <c r="Q47" i="6"/>
  <c r="M21" i="6"/>
  <c r="M46" i="6"/>
  <c r="M85" i="6"/>
  <c r="Q98" i="6"/>
  <c r="M3" i="6"/>
  <c r="M28" i="6"/>
  <c r="M47" i="6"/>
  <c r="M93" i="6"/>
  <c r="M10" i="6"/>
  <c r="M35" i="6"/>
  <c r="Q14" i="6"/>
  <c r="M23" i="6"/>
  <c r="M5" i="6"/>
  <c r="M31" i="6"/>
  <c r="Q91" i="6"/>
  <c r="Q30" i="6"/>
  <c r="Q64" i="6"/>
  <c r="Q92" i="6"/>
  <c r="Q32" i="6"/>
  <c r="Q65" i="6"/>
  <c r="Q57" i="6"/>
  <c r="M53" i="6"/>
  <c r="M83" i="6"/>
  <c r="M55" i="6"/>
  <c r="Q48" i="6"/>
  <c r="Q76" i="6"/>
  <c r="Q100" i="6"/>
  <c r="Q24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G7" i="6" l="1"/>
  <c r="D7" i="6"/>
  <c r="G6" i="6"/>
  <c r="D6" i="6"/>
  <c r="G5" i="6"/>
  <c r="D5" i="6"/>
  <c r="G4" i="6"/>
  <c r="D4" i="6"/>
  <c r="G8" i="6" l="1"/>
  <c r="G15" i="6" s="1"/>
  <c r="D8" i="6"/>
  <c r="D14" i="6" s="1"/>
  <c r="U13" i="1"/>
  <c r="S15" i="1"/>
  <c r="H15" i="1"/>
  <c r="J13" i="1"/>
  <c r="F26" i="1" l="1"/>
  <c r="C26" i="1"/>
  <c r="E26" i="1"/>
  <c r="H26" i="1"/>
  <c r="B26" i="1"/>
  <c r="D26" i="1"/>
  <c r="G26" i="1"/>
  <c r="G12" i="6"/>
  <c r="G16" i="6"/>
  <c r="G13" i="6"/>
  <c r="D16" i="6"/>
  <c r="D12" i="6"/>
  <c r="I12" i="6" s="1"/>
  <c r="J12" i="6" s="1"/>
  <c r="K12" i="6" s="1"/>
  <c r="D33" i="6" s="1"/>
  <c r="D43" i="6" s="1"/>
  <c r="Q39" i="6" s="1"/>
  <c r="D13" i="6"/>
  <c r="I13" i="6" s="1"/>
  <c r="J13" i="6" s="1"/>
  <c r="G14" i="6"/>
  <c r="I14" i="6" s="1"/>
  <c r="J14" i="6" s="1"/>
  <c r="D15" i="6"/>
  <c r="I15" i="6" s="1"/>
  <c r="J15" i="6" s="1"/>
  <c r="S28" i="1"/>
  <c r="U26" i="1"/>
  <c r="W39" i="1"/>
  <c r="L39" i="1"/>
  <c r="A39" i="1"/>
  <c r="A26" i="1"/>
  <c r="L26" i="1"/>
  <c r="L13" i="1"/>
  <c r="AD32" i="1"/>
  <c r="S32" i="1"/>
  <c r="H32" i="1"/>
  <c r="H19" i="1"/>
  <c r="S19" i="1"/>
  <c r="S6" i="1"/>
  <c r="H6" i="1"/>
  <c r="K14" i="6" l="1"/>
  <c r="D35" i="6" s="1"/>
  <c r="D45" i="6" s="1"/>
  <c r="Q41" i="6" s="1"/>
  <c r="K13" i="6"/>
  <c r="D34" i="6" s="1"/>
  <c r="D44" i="6" s="1"/>
  <c r="Q40" i="6" s="1"/>
  <c r="K15" i="6"/>
  <c r="D36" i="6" s="1"/>
  <c r="D46" i="6" s="1"/>
  <c r="Q42" i="6" s="1"/>
  <c r="Q54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55" i="6" l="1"/>
  <c r="Q56" i="6"/>
  <c r="Q15" i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G25" i="1"/>
  <c r="G23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T28" i="1" s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2" i="3" s="1"/>
  <c r="B102" i="3"/>
  <c r="C13" i="3" s="1"/>
  <c r="H20" i="1" l="1"/>
  <c r="H21" i="1"/>
  <c r="H22" i="1"/>
  <c r="J23" i="1"/>
  <c r="J25" i="1"/>
  <c r="H28" i="1"/>
  <c r="F21" i="1"/>
  <c r="J24" i="1"/>
  <c r="E21" i="1"/>
  <c r="D21" i="1"/>
  <c r="U20" i="1"/>
  <c r="U22" i="1"/>
  <c r="G22" i="1"/>
  <c r="U21" i="1"/>
  <c r="G21" i="1"/>
  <c r="B21" i="1"/>
  <c r="C21" i="1"/>
  <c r="J15" i="1"/>
  <c r="E20" i="1"/>
  <c r="U15" i="1"/>
  <c r="U28" i="1" s="1"/>
  <c r="F22" i="1"/>
  <c r="D20" i="1"/>
  <c r="F20" i="1"/>
  <c r="C22" i="1"/>
  <c r="C20" i="1"/>
  <c r="G20" i="1"/>
  <c r="E22" i="1"/>
  <c r="B20" i="1"/>
  <c r="B22" i="1"/>
  <c r="D22" i="1"/>
  <c r="C43" i="4"/>
  <c r="C13" i="4"/>
  <c r="C23" i="4"/>
  <c r="C39" i="4"/>
  <c r="C51" i="4"/>
  <c r="C81" i="4"/>
  <c r="C19" i="4"/>
  <c r="C31" i="4"/>
  <c r="C63" i="4"/>
  <c r="C11" i="4"/>
  <c r="C21" i="4"/>
  <c r="C33" i="4"/>
  <c r="C49" i="4"/>
  <c r="C71" i="4"/>
  <c r="C15" i="4"/>
  <c r="C27" i="4"/>
  <c r="C41" i="4"/>
  <c r="C59" i="4"/>
  <c r="C83" i="4"/>
  <c r="C91" i="4"/>
  <c r="C73" i="4"/>
  <c r="C95" i="4"/>
  <c r="C55" i="4"/>
  <c r="C65" i="4"/>
  <c r="C75" i="4"/>
  <c r="C87" i="4"/>
  <c r="C97" i="4"/>
  <c r="C17" i="4"/>
  <c r="C25" i="4"/>
  <c r="C35" i="4"/>
  <c r="C47" i="4"/>
  <c r="C57" i="4"/>
  <c r="C67" i="4"/>
  <c r="C79" i="4"/>
  <c r="C89" i="4"/>
  <c r="C99" i="4"/>
  <c r="G18" i="4"/>
  <c r="C29" i="4"/>
  <c r="C37" i="4"/>
  <c r="C45" i="4"/>
  <c r="C53" i="4"/>
  <c r="C61" i="4"/>
  <c r="C69" i="4"/>
  <c r="C77" i="4"/>
  <c r="C85" i="4"/>
  <c r="C93" i="4"/>
  <c r="C101" i="4"/>
  <c r="G34" i="4"/>
  <c r="G66" i="4"/>
  <c r="G12" i="4"/>
  <c r="G20" i="4"/>
  <c r="G28" i="4"/>
  <c r="G36" i="4"/>
  <c r="G44" i="4"/>
  <c r="G52" i="4"/>
  <c r="G60" i="4"/>
  <c r="G68" i="4"/>
  <c r="G82" i="4"/>
  <c r="G98" i="4"/>
  <c r="G26" i="4"/>
  <c r="G42" i="4"/>
  <c r="G50" i="4"/>
  <c r="G58" i="4"/>
  <c r="G78" i="4"/>
  <c r="G94" i="4"/>
  <c r="G16" i="4"/>
  <c r="G24" i="4"/>
  <c r="G32" i="4"/>
  <c r="G40" i="4"/>
  <c r="G48" i="4"/>
  <c r="G56" i="4"/>
  <c r="G64" i="4"/>
  <c r="G74" i="4"/>
  <c r="G90" i="4"/>
  <c r="G14" i="4"/>
  <c r="G22" i="4"/>
  <c r="G30" i="4"/>
  <c r="G38" i="4"/>
  <c r="G46" i="4"/>
  <c r="G54" i="4"/>
  <c r="G62" i="4"/>
  <c r="G70" i="4"/>
  <c r="G86" i="4"/>
  <c r="G102" i="4"/>
  <c r="G72" i="4"/>
  <c r="G76" i="4"/>
  <c r="G80" i="4"/>
  <c r="G84" i="4"/>
  <c r="G88" i="4"/>
  <c r="G92" i="4"/>
  <c r="G96" i="4"/>
  <c r="G100" i="4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81" i="3"/>
  <c r="G85" i="3"/>
  <c r="G89" i="3"/>
  <c r="G93" i="3"/>
  <c r="G97" i="3"/>
  <c r="G101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3"/>
  <c r="C98" i="3"/>
  <c r="C94" i="3"/>
  <c r="C92" i="3"/>
  <c r="C88" i="3"/>
  <c r="C84" i="3"/>
  <c r="C78" i="3"/>
  <c r="C74" i="3"/>
  <c r="C66" i="3"/>
  <c r="C34" i="3"/>
  <c r="C11" i="3"/>
  <c r="C100" i="3"/>
  <c r="C96" i="3"/>
  <c r="C90" i="3"/>
  <c r="C86" i="3"/>
  <c r="C82" i="3"/>
  <c r="C80" i="3"/>
  <c r="C76" i="3"/>
  <c r="C72" i="3"/>
  <c r="C70" i="3"/>
  <c r="C68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S35" i="1" l="1"/>
  <c r="S36" i="1"/>
  <c r="S38" i="1"/>
  <c r="S37" i="1"/>
  <c r="S39" i="1"/>
  <c r="S34" i="1"/>
  <c r="R39" i="1"/>
  <c r="N39" i="1"/>
  <c r="S33" i="1"/>
  <c r="Q39" i="1"/>
  <c r="P39" i="1"/>
  <c r="O39" i="1"/>
  <c r="M39" i="1"/>
  <c r="F28" i="1"/>
  <c r="G28" i="1"/>
  <c r="U39" i="1"/>
  <c r="S41" i="1"/>
  <c r="J27" i="1"/>
  <c r="U35" i="1"/>
  <c r="Q41" i="1"/>
  <c r="R41" i="1"/>
  <c r="I28" i="1"/>
  <c r="J21" i="1"/>
  <c r="Q38" i="1"/>
  <c r="N41" i="1"/>
  <c r="Q34" i="1"/>
  <c r="O34" i="1"/>
  <c r="M34" i="1"/>
  <c r="P33" i="1"/>
  <c r="O33" i="1"/>
  <c r="Q33" i="1"/>
  <c r="U34" i="1"/>
  <c r="J22" i="1"/>
  <c r="D28" i="1"/>
  <c r="M37" i="1"/>
  <c r="U41" i="1"/>
  <c r="T41" i="1"/>
  <c r="U37" i="1"/>
  <c r="P37" i="1"/>
  <c r="N37" i="1"/>
  <c r="R37" i="1"/>
  <c r="R35" i="1"/>
  <c r="N35" i="1"/>
  <c r="M35" i="1"/>
  <c r="O37" i="1"/>
  <c r="O35" i="1"/>
  <c r="Q37" i="1"/>
  <c r="U38" i="1"/>
  <c r="Q35" i="1"/>
  <c r="O38" i="1"/>
  <c r="P35" i="1"/>
  <c r="N38" i="1"/>
  <c r="M38" i="1"/>
  <c r="R34" i="1"/>
  <c r="E28" i="1"/>
  <c r="N33" i="1"/>
  <c r="B28" i="1"/>
  <c r="J20" i="1"/>
  <c r="O36" i="1"/>
  <c r="P34" i="1"/>
  <c r="R38" i="1"/>
  <c r="C28" i="1"/>
  <c r="U33" i="1"/>
  <c r="N34" i="1"/>
  <c r="U36" i="1"/>
  <c r="M33" i="1"/>
  <c r="N36" i="1"/>
  <c r="M36" i="1"/>
  <c r="P41" i="1"/>
  <c r="O41" i="1"/>
  <c r="Q36" i="1"/>
  <c r="P38" i="1"/>
  <c r="R33" i="1"/>
  <c r="M41" i="1"/>
  <c r="R36" i="1"/>
  <c r="P36" i="1"/>
  <c r="J28" i="1" l="1"/>
  <c r="G39" i="1" l="1"/>
  <c r="AC39" i="1" s="1"/>
  <c r="D39" i="1"/>
  <c r="Z39" i="1" s="1"/>
  <c r="B39" i="1"/>
  <c r="X39" i="1" s="1"/>
  <c r="H39" i="1"/>
  <c r="AD39" i="1" s="1"/>
  <c r="E39" i="1"/>
  <c r="AA39" i="1" s="1"/>
  <c r="C39" i="1"/>
  <c r="Y39" i="1" s="1"/>
  <c r="F39" i="1"/>
  <c r="AB39" i="1" s="1"/>
  <c r="H33" i="1"/>
  <c r="AD33" i="1" s="1"/>
  <c r="H36" i="1"/>
  <c r="AD36" i="1" s="1"/>
  <c r="H38" i="1"/>
  <c r="AD38" i="1" s="1"/>
  <c r="H37" i="1"/>
  <c r="AD37" i="1" s="1"/>
  <c r="H35" i="1"/>
  <c r="AD35" i="1" s="1"/>
  <c r="H34" i="1"/>
  <c r="AD34" i="1" s="1"/>
  <c r="J40" i="1"/>
  <c r="G38" i="1"/>
  <c r="J39" i="1"/>
  <c r="AF39" i="1" s="1"/>
  <c r="G37" i="1"/>
  <c r="AC37" i="1" s="1"/>
  <c r="G35" i="1"/>
  <c r="AC35" i="1" s="1"/>
  <c r="G34" i="1"/>
  <c r="AC34" i="1" s="1"/>
  <c r="G36" i="1"/>
  <c r="AC36" i="1" s="1"/>
  <c r="H41" i="1"/>
  <c r="AD41" i="1" s="1"/>
  <c r="J35" i="1"/>
  <c r="AF35" i="1" s="1"/>
  <c r="G41" i="1"/>
  <c r="AC41" i="1" s="1"/>
  <c r="F41" i="1"/>
  <c r="AB41" i="1" s="1"/>
  <c r="B41" i="1"/>
  <c r="X41" i="1" s="1"/>
  <c r="C41" i="1"/>
  <c r="Y41" i="1" s="1"/>
  <c r="D37" i="1"/>
  <c r="Z37" i="1" s="1"/>
  <c r="C38" i="1"/>
  <c r="Y38" i="1" s="1"/>
  <c r="C36" i="1"/>
  <c r="Y36" i="1" s="1"/>
  <c r="F37" i="1"/>
  <c r="AB37" i="1" s="1"/>
  <c r="E37" i="1"/>
  <c r="AA37" i="1" s="1"/>
  <c r="D36" i="1"/>
  <c r="Z36" i="1" s="1"/>
  <c r="C37" i="1"/>
  <c r="Y37" i="1" s="1"/>
  <c r="J41" i="1"/>
  <c r="AF41" i="1" s="1"/>
  <c r="F36" i="1"/>
  <c r="AB36" i="1" s="1"/>
  <c r="C34" i="1"/>
  <c r="Y34" i="1" s="1"/>
  <c r="D38" i="1"/>
  <c r="Z38" i="1" s="1"/>
  <c r="F38" i="1"/>
  <c r="AB38" i="1" s="1"/>
  <c r="B38" i="1"/>
  <c r="X38" i="1" s="1"/>
  <c r="J38" i="1"/>
  <c r="AF38" i="1" s="1"/>
  <c r="E38" i="1"/>
  <c r="AA38" i="1" s="1"/>
  <c r="J36" i="1"/>
  <c r="AF36" i="1" s="1"/>
  <c r="E34" i="1"/>
  <c r="AA34" i="1" s="1"/>
  <c r="D34" i="1"/>
  <c r="Z34" i="1" s="1"/>
  <c r="AC38" i="1"/>
  <c r="I41" i="1"/>
  <c r="AE41" i="1" s="1"/>
  <c r="B37" i="1"/>
  <c r="X37" i="1" s="1"/>
  <c r="B36" i="1"/>
  <c r="X36" i="1" s="1"/>
  <c r="J37" i="1"/>
  <c r="AF37" i="1" s="1"/>
  <c r="E36" i="1"/>
  <c r="AA36" i="1" s="1"/>
  <c r="F34" i="1"/>
  <c r="AB34" i="1" s="1"/>
  <c r="B34" i="1"/>
  <c r="X34" i="1" s="1"/>
  <c r="J34" i="1"/>
  <c r="AF34" i="1" s="1"/>
  <c r="B35" i="1"/>
  <c r="X35" i="1" s="1"/>
  <c r="B33" i="1"/>
  <c r="X33" i="1" s="1"/>
  <c r="G33" i="1"/>
  <c r="AC33" i="1" s="1"/>
  <c r="D35" i="1"/>
  <c r="Z35" i="1" s="1"/>
  <c r="C35" i="1"/>
  <c r="Y35" i="1" s="1"/>
  <c r="E35" i="1"/>
  <c r="AA35" i="1" s="1"/>
  <c r="F33" i="1"/>
  <c r="AB33" i="1" s="1"/>
  <c r="F35" i="1"/>
  <c r="AB35" i="1" s="1"/>
  <c r="E33" i="1"/>
  <c r="AA33" i="1" s="1"/>
  <c r="D33" i="1"/>
  <c r="Z33" i="1" s="1"/>
  <c r="C33" i="1"/>
  <c r="Y33" i="1" s="1"/>
  <c r="J33" i="1"/>
  <c r="AF33" i="1" s="1"/>
  <c r="E41" i="1"/>
  <c r="AA41" i="1" s="1"/>
  <c r="D41" i="1"/>
  <c r="Z41" i="1" s="1"/>
  <c r="Q52" i="6" l="1"/>
  <c r="Q53" i="6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<sst xmlns="http://schemas.openxmlformats.org/spreadsheetml/2006/main" count="716" uniqueCount="285">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</sst>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8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171" fontId="0" fillId="5" borderId="0" xfId="0" applyNumberFormat="1" applyFont="1" applyFill="1" applyBorder="1" applyAlignment="1">
      <alignment horizontal="right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3.3792264370698571E-2</c:v>
                </c:pt>
                <c:pt idx="1">
                  <c:v>5.4844825397588261E-2</c:v>
                </c:pt>
                <c:pt idx="2">
                  <c:v>7.1243427693169034E-2</c:v>
                </c:pt>
                <c:pt idx="3">
                  <c:v>0.11149876199853537</c:v>
                </c:pt>
                <c:pt idx="4">
                  <c:v>0.2315889709745762</c:v>
                </c:pt>
                <c:pt idx="5">
                  <c:v>0.11870372474404918</c:v>
                </c:pt>
                <c:pt idx="6">
                  <c:v>0.14440233124297966</c:v>
                </c:pt>
                <c:pt idx="7">
                  <c:v>3.9010524194174293E-2</c:v>
                </c:pt>
                <c:pt idx="8">
                  <c:v>4.656892435643787E-2</c:v>
                </c:pt>
                <c:pt idx="9">
                  <c:v>2.9943211467801403E-2</c:v>
                </c:pt>
                <c:pt idx="10">
                  <c:v>4.407094689345014E-2</c:v>
                </c:pt>
                <c:pt idx="11">
                  <c:v>1.2546115919171848E-2</c:v>
                </c:pt>
                <c:pt idx="12">
                  <c:v>5.7379983732213646E-3</c:v>
                </c:pt>
                <c:pt idx="13">
                  <c:v>4.4632309982139996E-3</c:v>
                </c:pt>
                <c:pt idx="14">
                  <c:v>7.1946397291233616E-3</c:v>
                </c:pt>
                <c:pt idx="15">
                  <c:v>6.8372854639192678E-3</c:v>
                </c:pt>
                <c:pt idx="16">
                  <c:v>6.5928986509542981E-3</c:v>
                </c:pt>
                <c:pt idx="17">
                  <c:v>4.3053148375877554E-3</c:v>
                </c:pt>
                <c:pt idx="18">
                  <c:v>1.4368165462305287E-3</c:v>
                </c:pt>
                <c:pt idx="19">
                  <c:v>8.7258080370456663E-4</c:v>
                </c:pt>
                <c:pt idx="20">
                  <c:v>2.0768431869907139E-4</c:v>
                </c:pt>
                <c:pt idx="21">
                  <c:v>0</c:v>
                </c:pt>
                <c:pt idx="22">
                  <c:v>3.2281675688435743E-3</c:v>
                </c:pt>
                <c:pt idx="23">
                  <c:v>1.0159192336205841E-3</c:v>
                </c:pt>
                <c:pt idx="24">
                  <c:v>1.7052351171693235E-3</c:v>
                </c:pt>
                <c:pt idx="25">
                  <c:v>0</c:v>
                </c:pt>
                <c:pt idx="26">
                  <c:v>1.3180468998200088E-2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1.2838301711119459E-3</c:v>
                </c:pt>
                <c:pt idx="32">
                  <c:v>6.7018510384683413E-4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2.6414404929734909E-4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3.6132901501026665E-4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6.4151350183615588E-4</c:v>
                </c:pt>
                <c:pt idx="55">
                  <c:v>0</c:v>
                </c:pt>
                <c:pt idx="56">
                  <c:v>9.649438743696753E-4</c:v>
                </c:pt>
                <c:pt idx="57">
                  <c:v>8.2178439240814145E-4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0.15473474827092987</c:v>
                </c:pt>
                <c:pt idx="1">
                  <c:v>0.11087492009928243</c:v>
                </c:pt>
                <c:pt idx="2">
                  <c:v>7.4002551675366152E-2</c:v>
                </c:pt>
                <c:pt idx="3">
                  <c:v>4.6060029012292697E-2</c:v>
                </c:pt>
                <c:pt idx="4">
                  <c:v>0.13948103900686595</c:v>
                </c:pt>
                <c:pt idx="5">
                  <c:v>8.8800420411768388E-2</c:v>
                </c:pt>
                <c:pt idx="6">
                  <c:v>7.2836159638856271E-2</c:v>
                </c:pt>
                <c:pt idx="7">
                  <c:v>3.5039205510692256E-2</c:v>
                </c:pt>
                <c:pt idx="8">
                  <c:v>5.980054620833504E-2</c:v>
                </c:pt>
                <c:pt idx="9">
                  <c:v>4.1148528668874605E-2</c:v>
                </c:pt>
                <c:pt idx="10">
                  <c:v>2.2661993533560135E-2</c:v>
                </c:pt>
                <c:pt idx="11">
                  <c:v>1.3685472814684237E-2</c:v>
                </c:pt>
                <c:pt idx="12">
                  <c:v>2.7466129507051643E-2</c:v>
                </c:pt>
                <c:pt idx="13">
                  <c:v>9.0996242172276184E-3</c:v>
                </c:pt>
                <c:pt idx="14">
                  <c:v>2.1971970341309276E-2</c:v>
                </c:pt>
                <c:pt idx="15">
                  <c:v>1.1654953972989154E-2</c:v>
                </c:pt>
                <c:pt idx="16">
                  <c:v>2.4871502192465405E-2</c:v>
                </c:pt>
                <c:pt idx="17">
                  <c:v>5.1833065308398204E-3</c:v>
                </c:pt>
                <c:pt idx="18">
                  <c:v>4.4685833444438761E-3</c:v>
                </c:pt>
                <c:pt idx="19">
                  <c:v>4.4905949162447126E-3</c:v>
                </c:pt>
                <c:pt idx="20">
                  <c:v>2.8174892539788617E-3</c:v>
                </c:pt>
                <c:pt idx="21">
                  <c:v>3.7946051468663389E-3</c:v>
                </c:pt>
                <c:pt idx="22">
                  <c:v>2.554371915587821E-3</c:v>
                </c:pt>
                <c:pt idx="23">
                  <c:v>4.0934798532601922E-3</c:v>
                </c:pt>
                <c:pt idx="24">
                  <c:v>2.7937138224032902E-3</c:v>
                </c:pt>
                <c:pt idx="25">
                  <c:v>1.7260271997894656E-3</c:v>
                </c:pt>
                <c:pt idx="26">
                  <c:v>1.2684656870821617E-3</c:v>
                </c:pt>
                <c:pt idx="27">
                  <c:v>3.1185614539004885E-3</c:v>
                </c:pt>
                <c:pt idx="28">
                  <c:v>1.4735382931698432E-3</c:v>
                </c:pt>
                <c:pt idx="29">
                  <c:v>1.7224131352833432E-3</c:v>
                </c:pt>
                <c:pt idx="30">
                  <c:v>1.1670438779058487E-3</c:v>
                </c:pt>
                <c:pt idx="31">
                  <c:v>1.204164729332884E-3</c:v>
                </c:pt>
                <c:pt idx="32">
                  <c:v>6.8489580787991459E-4</c:v>
                </c:pt>
                <c:pt idx="33">
                  <c:v>7.3331511416186649E-4</c:v>
                </c:pt>
                <c:pt idx="34">
                  <c:v>3.3110054050559045E-4</c:v>
                </c:pt>
                <c:pt idx="35">
                  <c:v>2.9688000275872014E-4</c:v>
                </c:pt>
                <c:pt idx="36">
                  <c:v>4.6437722780211948E-4</c:v>
                </c:pt>
                <c:pt idx="37">
                  <c:v>2.7436435061720186E-4</c:v>
                </c:pt>
                <c:pt idx="38">
                  <c:v>2.8613345392383997E-4</c:v>
                </c:pt>
                <c:pt idx="39">
                  <c:v>1.9919787608537799E-4</c:v>
                </c:pt>
                <c:pt idx="40">
                  <c:v>1.9212052380437227E-4</c:v>
                </c:pt>
                <c:pt idx="41">
                  <c:v>6.3806905742717202E-5</c:v>
                </c:pt>
                <c:pt idx="42">
                  <c:v>4.4180402030919278E-5</c:v>
                </c:pt>
                <c:pt idx="43">
                  <c:v>5.1367140705660195E-5</c:v>
                </c:pt>
                <c:pt idx="44">
                  <c:v>4.6060238573883803E-5</c:v>
                </c:pt>
                <c:pt idx="45">
                  <c:v>7.1964450417600804E-5</c:v>
                </c:pt>
                <c:pt idx="46">
                  <c:v>1.5842814406139757E-5</c:v>
                </c:pt>
                <c:pt idx="47">
                  <c:v>4.2585282041858841E-5</c:v>
                </c:pt>
                <c:pt idx="48">
                  <c:v>3.5127962537902082E-5</c:v>
                </c:pt>
                <c:pt idx="49">
                  <c:v>2.8648645692645772E-5</c:v>
                </c:pt>
                <c:pt idx="50">
                  <c:v>1.5079932489485113E-5</c:v>
                </c:pt>
                <c:pt idx="51">
                  <c:v>4.2129368579472799E-5</c:v>
                </c:pt>
                <c:pt idx="52">
                  <c:v>0</c:v>
                </c:pt>
                <c:pt idx="53">
                  <c:v>0</c:v>
                </c:pt>
                <c:pt idx="54">
                  <c:v>3.5127962537902085E-7</c:v>
                </c:pt>
                <c:pt idx="55">
                  <c:v>1.3965157351802704E-5</c:v>
                </c:pt>
                <c:pt idx="56">
                  <c:v>0</c:v>
                </c:pt>
                <c:pt idx="57">
                  <c:v>0</c:v>
                </c:pt>
                <c:pt idx="58">
                  <c:v>3.5127962537902085E-7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1.7516892902937368E-3</c:v>
                </c:pt>
                <c:pt idx="2">
                  <c:v>5.375022304364545E-3</c:v>
                </c:pt>
                <c:pt idx="3">
                  <c:v>3.817094805128238E-3</c:v>
                </c:pt>
                <c:pt idx="4">
                  <c:v>1.3856257787509851E-2</c:v>
                </c:pt>
                <c:pt idx="5">
                  <c:v>2.8341813204943965E-2</c:v>
                </c:pt>
                <c:pt idx="6">
                  <c:v>1.1545354338456904E-2</c:v>
                </c:pt>
                <c:pt idx="7">
                  <c:v>2.3320497665309949E-2</c:v>
                </c:pt>
                <c:pt idx="8">
                  <c:v>8.0246098191349684E-3</c:v>
                </c:pt>
                <c:pt idx="9">
                  <c:v>1.2491300773986204E-2</c:v>
                </c:pt>
                <c:pt idx="10">
                  <c:v>1.0619858892807116E-2</c:v>
                </c:pt>
                <c:pt idx="11">
                  <c:v>1.4475583411985595E-2</c:v>
                </c:pt>
                <c:pt idx="12">
                  <c:v>2.2079208855273681E-2</c:v>
                </c:pt>
                <c:pt idx="13">
                  <c:v>3.3588576523464177E-2</c:v>
                </c:pt>
                <c:pt idx="14">
                  <c:v>2.3181618634354695E-2</c:v>
                </c:pt>
                <c:pt idx="15">
                  <c:v>1.2216140129587074E-2</c:v>
                </c:pt>
                <c:pt idx="16">
                  <c:v>4.286689188854155E-2</c:v>
                </c:pt>
                <c:pt idx="17">
                  <c:v>2.7270087295846773E-2</c:v>
                </c:pt>
                <c:pt idx="18">
                  <c:v>0.12567330211842484</c:v>
                </c:pt>
                <c:pt idx="19">
                  <c:v>5.6100521383492044E-2</c:v>
                </c:pt>
                <c:pt idx="20">
                  <c:v>7.6812163885463303E-2</c:v>
                </c:pt>
                <c:pt idx="21">
                  <c:v>7.061683037884689E-2</c:v>
                </c:pt>
                <c:pt idx="22">
                  <c:v>5.6195878928019645E-2</c:v>
                </c:pt>
                <c:pt idx="23">
                  <c:v>2.666689760512387E-2</c:v>
                </c:pt>
                <c:pt idx="24">
                  <c:v>2.1261579710412745E-2</c:v>
                </c:pt>
                <c:pt idx="25">
                  <c:v>1.5507474624609314E-2</c:v>
                </c:pt>
                <c:pt idx="26">
                  <c:v>7.183390513302057E-2</c:v>
                </c:pt>
                <c:pt idx="27">
                  <c:v>8.4717477878141594E-3</c:v>
                </c:pt>
                <c:pt idx="28">
                  <c:v>2.6486774434350605E-2</c:v>
                </c:pt>
                <c:pt idx="29">
                  <c:v>1.0203965133940363E-2</c:v>
                </c:pt>
                <c:pt idx="30">
                  <c:v>3.9263726585382908E-3</c:v>
                </c:pt>
                <c:pt idx="31">
                  <c:v>4.6548715049969285E-3</c:v>
                </c:pt>
                <c:pt idx="32">
                  <c:v>5.8620306307551493E-3</c:v>
                </c:pt>
                <c:pt idx="33">
                  <c:v>5.5565518610558072E-3</c:v>
                </c:pt>
                <c:pt idx="34">
                  <c:v>1.0981230804829604E-2</c:v>
                </c:pt>
                <c:pt idx="35">
                  <c:v>2.0907867354633685E-3</c:v>
                </c:pt>
                <c:pt idx="36">
                  <c:v>2.051939630561763E-3</c:v>
                </c:pt>
                <c:pt idx="37">
                  <c:v>1.5044794473363996E-2</c:v>
                </c:pt>
                <c:pt idx="38">
                  <c:v>1.2540700469479743E-2</c:v>
                </c:pt>
                <c:pt idx="39">
                  <c:v>1.5762453072464566E-3</c:v>
                </c:pt>
                <c:pt idx="40">
                  <c:v>7.4452722805074521E-4</c:v>
                </c:pt>
                <c:pt idx="41">
                  <c:v>3.6159981822715464E-3</c:v>
                </c:pt>
                <c:pt idx="42">
                  <c:v>1.7258013282091813E-3</c:v>
                </c:pt>
                <c:pt idx="43">
                  <c:v>0</c:v>
                </c:pt>
                <c:pt idx="44">
                  <c:v>2.2691086201241927E-4</c:v>
                </c:pt>
                <c:pt idx="45">
                  <c:v>4.0474306494623351E-2</c:v>
                </c:pt>
                <c:pt idx="46">
                  <c:v>2.3187066389564227E-3</c:v>
                </c:pt>
                <c:pt idx="47">
                  <c:v>1.931798065724172E-3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1.5726094189963324E-3</c:v>
                </c:pt>
                <c:pt idx="53">
                  <c:v>0</c:v>
                </c:pt>
                <c:pt idx="54">
                  <c:v>1.5189821170501669E-2</c:v>
                </c:pt>
                <c:pt idx="55">
                  <c:v>2.6414404929734909E-4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9.2927198029633799E-4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3.4257852737384249E-2</c:v>
                </c:pt>
                <c:pt idx="1">
                  <c:v>2.6613873116647192E-2</c:v>
                </c:pt>
                <c:pt idx="2">
                  <c:v>3.4233091507511068E-2</c:v>
                </c:pt>
                <c:pt idx="3">
                  <c:v>3.4755719216534149E-2</c:v>
                </c:pt>
                <c:pt idx="4">
                  <c:v>3.3452313107842011E-2</c:v>
                </c:pt>
                <c:pt idx="5">
                  <c:v>3.2808908121550517E-2</c:v>
                </c:pt>
                <c:pt idx="6">
                  <c:v>3.0864269074202443E-2</c:v>
                </c:pt>
                <c:pt idx="7">
                  <c:v>2.7248280641249966E-2</c:v>
                </c:pt>
                <c:pt idx="8">
                  <c:v>2.5561269818537798E-2</c:v>
                </c:pt>
                <c:pt idx="9">
                  <c:v>2.2678003801917982E-2</c:v>
                </c:pt>
                <c:pt idx="10">
                  <c:v>1.9793987385589712E-2</c:v>
                </c:pt>
                <c:pt idx="11">
                  <c:v>1.8046105912003389E-2</c:v>
                </c:pt>
                <c:pt idx="12">
                  <c:v>1.6259297844889439E-2</c:v>
                </c:pt>
                <c:pt idx="13">
                  <c:v>1.4459469957194966E-2</c:v>
                </c:pt>
                <c:pt idx="14">
                  <c:v>1.2313412796679734E-2</c:v>
                </c:pt>
                <c:pt idx="15">
                  <c:v>1.1428922756396931E-2</c:v>
                </c:pt>
                <c:pt idx="16">
                  <c:v>1.0084049090341987E-2</c:v>
                </c:pt>
                <c:pt idx="17">
                  <c:v>9.3293809132482825E-3</c:v>
                </c:pt>
                <c:pt idx="18">
                  <c:v>9.0399460041147989E-2</c:v>
                </c:pt>
                <c:pt idx="19">
                  <c:v>3.1806627065481617E-2</c:v>
                </c:pt>
                <c:pt idx="20">
                  <c:v>3.0519758431792499E-2</c:v>
                </c:pt>
                <c:pt idx="21">
                  <c:v>4.2872431711545082E-2</c:v>
                </c:pt>
                <c:pt idx="22">
                  <c:v>3.5221868084002482E-2</c:v>
                </c:pt>
                <c:pt idx="23">
                  <c:v>2.8282809990084836E-2</c:v>
                </c:pt>
                <c:pt idx="24">
                  <c:v>2.4068661786008801E-2</c:v>
                </c:pt>
                <c:pt idx="25">
                  <c:v>2.7020625653048518E-2</c:v>
                </c:pt>
                <c:pt idx="26">
                  <c:v>2.6423424799047274E-2</c:v>
                </c:pt>
                <c:pt idx="27">
                  <c:v>1.5952329940290756E-2</c:v>
                </c:pt>
                <c:pt idx="28">
                  <c:v>1.4142409136173612E-2</c:v>
                </c:pt>
                <c:pt idx="29">
                  <c:v>1.4805443114298208E-2</c:v>
                </c:pt>
                <c:pt idx="30">
                  <c:v>1.8579027637287242E-2</c:v>
                </c:pt>
                <c:pt idx="31">
                  <c:v>2.2059125576401235E-2</c:v>
                </c:pt>
                <c:pt idx="32">
                  <c:v>2.4868359421887309E-2</c:v>
                </c:pt>
                <c:pt idx="33">
                  <c:v>1.4655612455356119E-2</c:v>
                </c:pt>
                <c:pt idx="34">
                  <c:v>1.928419609339007E-2</c:v>
                </c:pt>
                <c:pt idx="35">
                  <c:v>9.6183765170690851E-3</c:v>
                </c:pt>
                <c:pt idx="36">
                  <c:v>1.8145055476338112E-2</c:v>
                </c:pt>
                <c:pt idx="37">
                  <c:v>4.3705195038643294E-3</c:v>
                </c:pt>
                <c:pt idx="38">
                  <c:v>5.2746422707670385E-3</c:v>
                </c:pt>
                <c:pt idx="39">
                  <c:v>7.5545314289453607E-3</c:v>
                </c:pt>
                <c:pt idx="40">
                  <c:v>1.0191992772970808E-2</c:v>
                </c:pt>
                <c:pt idx="41">
                  <c:v>3.2003930128739469E-3</c:v>
                </c:pt>
                <c:pt idx="42">
                  <c:v>8.2664960241085987E-3</c:v>
                </c:pt>
                <c:pt idx="43">
                  <c:v>3.6242312449632236E-3</c:v>
                </c:pt>
                <c:pt idx="44">
                  <c:v>3.0181215025191842E-3</c:v>
                </c:pt>
                <c:pt idx="45">
                  <c:v>2.5474844440016783E-3</c:v>
                </c:pt>
                <c:pt idx="46">
                  <c:v>2.2528878073897881E-3</c:v>
                </c:pt>
                <c:pt idx="47">
                  <c:v>3.4931186476781853E-3</c:v>
                </c:pt>
                <c:pt idx="48">
                  <c:v>1.6649812474453271E-3</c:v>
                </c:pt>
                <c:pt idx="49">
                  <c:v>3.3753194091248806E-3</c:v>
                </c:pt>
                <c:pt idx="50">
                  <c:v>2.0663980919135732E-3</c:v>
                </c:pt>
                <c:pt idx="51">
                  <c:v>1.2065751828811992E-3</c:v>
                </c:pt>
                <c:pt idx="52">
                  <c:v>4.6221189604392235E-3</c:v>
                </c:pt>
                <c:pt idx="53">
                  <c:v>1.0866793076023567E-3</c:v>
                </c:pt>
                <c:pt idx="54">
                  <c:v>7.492328555614733E-4</c:v>
                </c:pt>
                <c:pt idx="55">
                  <c:v>7.5556353771487881E-4</c:v>
                </c:pt>
                <c:pt idx="56">
                  <c:v>1.0671381748537207E-3</c:v>
                </c:pt>
                <c:pt idx="57">
                  <c:v>6.078548856751012E-4</c:v>
                </c:pt>
                <c:pt idx="58">
                  <c:v>9.8984351037205171E-4</c:v>
                </c:pt>
                <c:pt idx="59">
                  <c:v>5.1397040949862261E-4</c:v>
                </c:pt>
                <c:pt idx="60">
                  <c:v>1.8294910879628561E-3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L31" sqref="L31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6" max="6" width="10.5703125" bestFit="1" customWidth="1" collapsed="1"/>
    <col min="12" max="12" width="15.7109375" bestFit="1" customWidth="1" collapsed="1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>
        <v>23418.229396264702</v>
      </c>
      <c r="C11" s="11">
        <f>B11/B$102</f>
        <v>3.3792264370698571E-2</v>
      </c>
      <c r="E11" s="19">
        <v>0</v>
      </c>
      <c r="F11" s="343">
        <v>110122.20542536123</v>
      </c>
      <c r="G11" s="11">
        <f>F11/F$102</f>
        <v>0.15473474827092987</v>
      </c>
      <c r="K11" s="8">
        <v>5.6679191572369731</v>
      </c>
      <c r="L11" s="8">
        <v>6.1694427830337135</v>
      </c>
    </row>
    <row r="12" spans="1:12" x14ac:dyDescent="0.25">
      <c r="A12">
        <v>1</v>
      </c>
      <c r="B12" s="341">
        <v>38007.772674520398</v>
      </c>
      <c r="C12" s="11">
        <f>B12/B$102</f>
        <v>5.4844825397588261E-2</v>
      </c>
      <c r="E12" s="20">
        <v>1</v>
      </c>
      <c r="F12" s="343">
        <v>78907.878573694325</v>
      </c>
      <c r="G12" s="11">
        <f>F12/F$102</f>
        <v>0.11087492009928243</v>
      </c>
      <c r="K12" s="8"/>
      <c r="L12" s="289"/>
    </row>
    <row r="13" spans="1:12" x14ac:dyDescent="0.25">
      <c r="A13">
        <v>2</v>
      </c>
      <c r="B13" s="341">
        <v>49372.096358878596</v>
      </c>
      <c r="C13" s="11">
        <f t="shared" ref="C13:C76" si="0">B13/B$102</f>
        <v>7.1243427693169034E-2</v>
      </c>
      <c r="E13" s="21">
        <v>2</v>
      </c>
      <c r="F13" s="343">
        <v>52666.413256618194</v>
      </c>
      <c r="G13" s="11">
        <f t="shared" ref="G13:G76" si="1">F13/F$102</f>
        <v>7.4002551675366152E-2</v>
      </c>
    </row>
    <row r="14" spans="1:12" x14ac:dyDescent="0.25">
      <c r="A14">
        <v>3</v>
      </c>
      <c r="B14" s="341">
        <v>77269.269594887606</v>
      </c>
      <c r="C14" s="11">
        <f t="shared" si="0"/>
        <v>0.11149876199853537</v>
      </c>
      <c r="E14" s="22">
        <v>3</v>
      </c>
      <c r="F14" s="343">
        <v>32780.174029873793</v>
      </c>
      <c r="G14" s="11">
        <f t="shared" si="1"/>
        <v>4.6060029012292697E-2</v>
      </c>
    </row>
    <row r="15" spans="1:12" x14ac:dyDescent="0.25">
      <c r="A15">
        <v>4</v>
      </c>
      <c r="B15" s="341">
        <v>160492.46029899589</v>
      </c>
      <c r="C15" s="11">
        <f t="shared" si="0"/>
        <v>0.2315889709745762</v>
      </c>
      <c r="E15" s="23">
        <v>4</v>
      </c>
      <c r="F15" s="343">
        <v>99266.388462161616</v>
      </c>
      <c r="G15" s="11">
        <f t="shared" si="1"/>
        <v>0.13948103900686595</v>
      </c>
    </row>
    <row r="16" spans="1:12" x14ac:dyDescent="0.25">
      <c r="A16">
        <v>5</v>
      </c>
      <c r="B16" s="341">
        <v>82262.349328019904</v>
      </c>
      <c r="C16" s="11">
        <f t="shared" si="0"/>
        <v>0.11870372474404918</v>
      </c>
      <c r="E16" s="24">
        <v>5</v>
      </c>
      <c r="F16" s="343">
        <v>63197.815925101851</v>
      </c>
      <c r="G16" s="11">
        <f t="shared" si="1"/>
        <v>8.8800420411768388E-2</v>
      </c>
    </row>
    <row r="17" spans="1:7" x14ac:dyDescent="0.25">
      <c r="A17">
        <v>6</v>
      </c>
      <c r="B17" s="341">
        <v>100071.62826696339</v>
      </c>
      <c r="C17" s="11">
        <f t="shared" si="0"/>
        <v>0.14440233124297966</v>
      </c>
      <c r="E17" s="25">
        <v>6</v>
      </c>
      <c r="F17" s="343">
        <v>51836.31100171843</v>
      </c>
      <c r="G17" s="11">
        <f t="shared" si="1"/>
        <v>7.2836159638856271E-2</v>
      </c>
    </row>
    <row r="18" spans="1:7" x14ac:dyDescent="0.25">
      <c r="A18">
        <v>7</v>
      </c>
      <c r="B18" s="341">
        <v>27034.512822995599</v>
      </c>
      <c r="C18" s="11">
        <f t="shared" si="0"/>
        <v>3.9010524194174293E-2</v>
      </c>
      <c r="E18" s="26">
        <v>7</v>
      </c>
      <c r="F18" s="343">
        <v>24936.833066311443</v>
      </c>
      <c r="G18" s="11">
        <f t="shared" si="1"/>
        <v>3.5039205510692256E-2</v>
      </c>
    </row>
    <row r="19" spans="1:7" x14ac:dyDescent="0.25">
      <c r="A19">
        <v>8</v>
      </c>
      <c r="B19" s="341">
        <v>32272.5266751284</v>
      </c>
      <c r="C19" s="11">
        <f t="shared" si="0"/>
        <v>4.656892435643787E-2</v>
      </c>
      <c r="E19" s="27">
        <v>8</v>
      </c>
      <c r="F19" s="343">
        <v>42559.076792321735</v>
      </c>
      <c r="G19" s="11">
        <f t="shared" si="1"/>
        <v>5.980054620833504E-2</v>
      </c>
    </row>
    <row r="20" spans="1:7" x14ac:dyDescent="0.25">
      <c r="A20">
        <v>9</v>
      </c>
      <c r="B20" s="341">
        <v>20750.814071573899</v>
      </c>
      <c r="C20" s="11">
        <f t="shared" si="0"/>
        <v>2.9943211467801403E-2</v>
      </c>
      <c r="E20" s="28">
        <v>9</v>
      </c>
      <c r="F20" s="343">
        <v>29284.739062560559</v>
      </c>
      <c r="G20" s="11">
        <f t="shared" si="1"/>
        <v>4.1148528668874605E-2</v>
      </c>
    </row>
    <row r="21" spans="1:7" x14ac:dyDescent="0.25">
      <c r="A21">
        <v>10</v>
      </c>
      <c r="B21" s="341">
        <v>30541.4142343276</v>
      </c>
      <c r="C21" s="11">
        <f t="shared" si="0"/>
        <v>4.407094689345014E-2</v>
      </c>
      <c r="E21" s="29">
        <v>10</v>
      </c>
      <c r="F21" s="343">
        <v>16128.172470228297</v>
      </c>
      <c r="G21" s="11">
        <f t="shared" si="1"/>
        <v>2.2661993533560135E-2</v>
      </c>
    </row>
    <row r="22" spans="1:7" x14ac:dyDescent="0.25">
      <c r="A22">
        <v>11</v>
      </c>
      <c r="B22" s="341">
        <v>8694.5289431997007</v>
      </c>
      <c r="C22" s="11">
        <f t="shared" si="0"/>
        <v>1.2546115919171848E-2</v>
      </c>
      <c r="E22" s="30">
        <v>11</v>
      </c>
      <c r="F22" s="343">
        <v>9739.728570877116</v>
      </c>
      <c r="G22" s="11">
        <f t="shared" si="1"/>
        <v>1.3685472814684237E-2</v>
      </c>
    </row>
    <row r="23" spans="1:7" x14ac:dyDescent="0.25">
      <c r="A23">
        <v>12</v>
      </c>
      <c r="B23" s="341">
        <v>3976.4651668625002</v>
      </c>
      <c r="C23" s="11">
        <f t="shared" si="0"/>
        <v>5.7379983732213646E-3</v>
      </c>
      <c r="E23" s="31">
        <v>12</v>
      </c>
      <c r="F23" s="343">
        <v>19547.197960468431</v>
      </c>
      <c r="G23" s="11">
        <f t="shared" si="1"/>
        <v>2.7466129507051643E-2</v>
      </c>
    </row>
    <row r="24" spans="1:7" x14ac:dyDescent="0.25">
      <c r="A24">
        <v>13</v>
      </c>
      <c r="B24" s="341">
        <v>3093.0442014216001</v>
      </c>
      <c r="C24" s="11">
        <f t="shared" si="0"/>
        <v>4.4632309982139996E-3</v>
      </c>
      <c r="E24" s="32">
        <v>13</v>
      </c>
      <c r="F24" s="343">
        <v>6476.0546583148534</v>
      </c>
      <c r="G24" s="11">
        <f t="shared" si="1"/>
        <v>9.0996242172276184E-3</v>
      </c>
    </row>
    <row r="25" spans="1:7" x14ac:dyDescent="0.25">
      <c r="A25">
        <v>14</v>
      </c>
      <c r="B25" s="341">
        <v>4985.9258246744002</v>
      </c>
      <c r="C25" s="11">
        <f t="shared" si="0"/>
        <v>7.1946397291233616E-3</v>
      </c>
      <c r="E25" s="33">
        <v>14</v>
      </c>
      <c r="F25" s="343">
        <v>15637.09417931807</v>
      </c>
      <c r="G25" s="11">
        <f t="shared" si="1"/>
        <v>2.1971970341309276E-2</v>
      </c>
    </row>
    <row r="26" spans="1:7" x14ac:dyDescent="0.25">
      <c r="A26">
        <v>15</v>
      </c>
      <c r="B26" s="341">
        <v>4738.2773076505</v>
      </c>
      <c r="C26" s="11">
        <f t="shared" si="0"/>
        <v>6.8372854639192678E-3</v>
      </c>
      <c r="E26" s="34">
        <v>15</v>
      </c>
      <c r="F26" s="343">
        <v>8294.6413134648683</v>
      </c>
      <c r="G26" s="11">
        <f t="shared" si="1"/>
        <v>1.1654953972989154E-2</v>
      </c>
    </row>
    <row r="27" spans="1:7" x14ac:dyDescent="0.25">
      <c r="A27">
        <v>16</v>
      </c>
      <c r="B27" s="341">
        <v>4568.9158708242003</v>
      </c>
      <c r="C27" s="11">
        <f t="shared" si="0"/>
        <v>6.5928986509542981E-3</v>
      </c>
      <c r="E27" s="35">
        <v>16</v>
      </c>
      <c r="F27" s="343">
        <v>17700.643871409957</v>
      </c>
      <c r="G27" s="11">
        <f t="shared" si="1"/>
        <v>2.4871502192465405E-2</v>
      </c>
    </row>
    <row r="28" spans="1:7" x14ac:dyDescent="0.25">
      <c r="A28">
        <v>17</v>
      </c>
      <c r="B28" s="341">
        <v>2983.6074133344</v>
      </c>
      <c r="C28" s="11">
        <f t="shared" si="0"/>
        <v>4.3053148375877554E-3</v>
      </c>
      <c r="E28" s="36">
        <v>17</v>
      </c>
      <c r="F28" s="343">
        <v>3688.8750132086216</v>
      </c>
      <c r="G28" s="11">
        <f t="shared" si="1"/>
        <v>5.1833065308398204E-3</v>
      </c>
    </row>
    <row r="29" spans="1:7" x14ac:dyDescent="0.25">
      <c r="A29">
        <v>18</v>
      </c>
      <c r="B29" s="341">
        <v>995.72195313290001</v>
      </c>
      <c r="C29" s="11">
        <f t="shared" si="0"/>
        <v>1.4368165462305287E-3</v>
      </c>
      <c r="E29" s="37">
        <v>18</v>
      </c>
      <c r="F29" s="343">
        <v>3180.2181379167669</v>
      </c>
      <c r="G29" s="11">
        <f t="shared" si="1"/>
        <v>4.4685833444438761E-3</v>
      </c>
    </row>
    <row r="30" spans="1:7" x14ac:dyDescent="0.25">
      <c r="A30">
        <v>19</v>
      </c>
      <c r="B30" s="341">
        <v>604.70340796839992</v>
      </c>
      <c r="C30" s="11">
        <f t="shared" si="0"/>
        <v>8.7258080370456663E-4</v>
      </c>
      <c r="E30" s="38">
        <v>19</v>
      </c>
      <c r="F30" s="343">
        <v>3195.883415811184</v>
      </c>
      <c r="G30" s="11">
        <f t="shared" si="1"/>
        <v>4.4905949162447126E-3</v>
      </c>
    </row>
    <row r="31" spans="1:7" x14ac:dyDescent="0.25">
      <c r="A31">
        <v>20</v>
      </c>
      <c r="B31" s="341">
        <v>143.9264017335</v>
      </c>
      <c r="C31" s="11">
        <f t="shared" si="0"/>
        <v>2.0768431869907139E-4</v>
      </c>
      <c r="E31" s="39">
        <v>20</v>
      </c>
      <c r="F31" s="343">
        <v>2005.1613091272159</v>
      </c>
      <c r="G31" s="11">
        <f t="shared" si="1"/>
        <v>2.8174892539788617E-3</v>
      </c>
    </row>
    <row r="32" spans="1:7" x14ac:dyDescent="0.25">
      <c r="A32">
        <v>21</v>
      </c>
      <c r="B32" s="341">
        <v>0</v>
      </c>
      <c r="C32" s="11">
        <f t="shared" si="0"/>
        <v>0</v>
      </c>
      <c r="E32" s="40">
        <v>21</v>
      </c>
      <c r="F32" s="343">
        <v>2700.5588089346675</v>
      </c>
      <c r="G32" s="11">
        <f t="shared" si="1"/>
        <v>3.7946051468663389E-3</v>
      </c>
    </row>
    <row r="33" spans="1:7" x14ac:dyDescent="0.25">
      <c r="A33">
        <v>22</v>
      </c>
      <c r="B33" s="341">
        <v>2237.1382937662001</v>
      </c>
      <c r="C33" s="11">
        <f t="shared" si="0"/>
        <v>3.2281675688435743E-3</v>
      </c>
      <c r="E33" s="41">
        <v>22</v>
      </c>
      <c r="F33" s="343">
        <v>1817.9049758662529</v>
      </c>
      <c r="G33" s="11">
        <f t="shared" si="1"/>
        <v>2.554371915587821E-3</v>
      </c>
    </row>
    <row r="34" spans="1:7" x14ac:dyDescent="0.25">
      <c r="A34">
        <v>23</v>
      </c>
      <c r="B34" s="341">
        <v>704.03774662800004</v>
      </c>
      <c r="C34" s="11">
        <f t="shared" si="0"/>
        <v>1.0159192336205841E-3</v>
      </c>
      <c r="E34" s="42">
        <v>23</v>
      </c>
      <c r="F34" s="343">
        <v>2913.2630798352184</v>
      </c>
      <c r="G34" s="11">
        <f t="shared" si="1"/>
        <v>4.0934798532601922E-3</v>
      </c>
    </row>
    <row r="35" spans="1:7" x14ac:dyDescent="0.25">
      <c r="A35">
        <v>24</v>
      </c>
      <c r="B35" s="341">
        <v>1181.7375334889998</v>
      </c>
      <c r="C35" s="11">
        <f t="shared" si="0"/>
        <v>1.7052351171693235E-3</v>
      </c>
      <c r="E35" s="43">
        <v>24</v>
      </c>
      <c r="F35" s="343">
        <v>1988.2407208993059</v>
      </c>
      <c r="G35" s="11">
        <f t="shared" si="1"/>
        <v>2.7937138224032902E-3</v>
      </c>
    </row>
    <row r="36" spans="1:7" x14ac:dyDescent="0.25">
      <c r="A36">
        <v>25</v>
      </c>
      <c r="B36" s="341">
        <v>0</v>
      </c>
      <c r="C36" s="11">
        <f t="shared" si="0"/>
        <v>0</v>
      </c>
      <c r="E36" s="44">
        <v>25</v>
      </c>
      <c r="F36" s="343">
        <v>1228.3855048005778</v>
      </c>
      <c r="G36" s="11">
        <f t="shared" si="1"/>
        <v>1.7260271997894656E-3</v>
      </c>
    </row>
    <row r="37" spans="1:7" x14ac:dyDescent="0.25">
      <c r="A37">
        <v>26</v>
      </c>
      <c r="B37" s="341">
        <v>9134.1391971899993</v>
      </c>
      <c r="C37" s="11">
        <f t="shared" si="0"/>
        <v>1.3180468998200088E-2</v>
      </c>
      <c r="E37" s="45">
        <v>26</v>
      </c>
      <c r="F37" s="343">
        <v>902.74641299899099</v>
      </c>
      <c r="G37" s="11">
        <f t="shared" si="1"/>
        <v>1.2684656870821617E-3</v>
      </c>
    </row>
    <row r="38" spans="1:7" x14ac:dyDescent="0.25">
      <c r="A38">
        <v>27</v>
      </c>
      <c r="B38" s="341">
        <v>0</v>
      </c>
      <c r="C38" s="11">
        <f t="shared" si="0"/>
        <v>0</v>
      </c>
      <c r="E38" s="46">
        <v>27</v>
      </c>
      <c r="F38" s="343">
        <v>2219.4295004554051</v>
      </c>
      <c r="G38" s="11">
        <f t="shared" si="1"/>
        <v>3.1185614539004885E-3</v>
      </c>
    </row>
    <row r="39" spans="1:7" x14ac:dyDescent="0.25">
      <c r="A39">
        <v>28</v>
      </c>
      <c r="B39" s="341">
        <v>0</v>
      </c>
      <c r="C39" s="11">
        <f t="shared" si="0"/>
        <v>0</v>
      </c>
      <c r="E39" s="47">
        <v>28</v>
      </c>
      <c r="F39" s="343">
        <v>1048.6932536863878</v>
      </c>
      <c r="G39" s="11">
        <f t="shared" si="1"/>
        <v>1.4735382931698432E-3</v>
      </c>
    </row>
    <row r="40" spans="1:7" x14ac:dyDescent="0.25">
      <c r="A40">
        <v>29</v>
      </c>
      <c r="B40" s="341">
        <v>0</v>
      </c>
      <c r="C40" s="11">
        <f t="shared" si="0"/>
        <v>0</v>
      </c>
      <c r="E40" s="48">
        <v>29</v>
      </c>
      <c r="F40" s="343">
        <v>1225.8134338313159</v>
      </c>
      <c r="G40" s="11">
        <f t="shared" si="1"/>
        <v>1.7224131352833432E-3</v>
      </c>
    </row>
    <row r="41" spans="1:7" x14ac:dyDescent="0.25">
      <c r="A41">
        <v>30</v>
      </c>
      <c r="B41" s="341">
        <v>0</v>
      </c>
      <c r="C41" s="11">
        <f t="shared" si="0"/>
        <v>0</v>
      </c>
      <c r="E41" s="49">
        <v>30</v>
      </c>
      <c r="F41" s="343">
        <v>830.56615982683388</v>
      </c>
      <c r="G41" s="11">
        <f t="shared" si="1"/>
        <v>1.1670438779058487E-3</v>
      </c>
    </row>
    <row r="42" spans="1:7" x14ac:dyDescent="0.25">
      <c r="A42">
        <v>31</v>
      </c>
      <c r="B42" s="341">
        <v>889.70153414799995</v>
      </c>
      <c r="C42" s="11">
        <f t="shared" si="0"/>
        <v>1.2838301711119459E-3</v>
      </c>
      <c r="E42" s="50">
        <v>31</v>
      </c>
      <c r="F42" s="343">
        <v>856.98446645861122</v>
      </c>
      <c r="G42" s="11">
        <f t="shared" si="1"/>
        <v>1.204164729332884E-3</v>
      </c>
    </row>
    <row r="43" spans="1:7" x14ac:dyDescent="0.25">
      <c r="A43">
        <v>32</v>
      </c>
      <c r="B43" s="341">
        <v>464.44204885699997</v>
      </c>
      <c r="C43" s="11">
        <f t="shared" si="0"/>
        <v>6.7018510384683413E-4</v>
      </c>
      <c r="E43" s="51">
        <v>32</v>
      </c>
      <c r="F43" s="343">
        <v>487.42921478930867</v>
      </c>
      <c r="G43" s="11">
        <f t="shared" si="1"/>
        <v>6.8489580787991459E-4</v>
      </c>
    </row>
    <row r="44" spans="1:7" x14ac:dyDescent="0.25">
      <c r="A44">
        <v>33</v>
      </c>
      <c r="B44" s="341">
        <v>0</v>
      </c>
      <c r="C44" s="11">
        <f t="shared" si="0"/>
        <v>0</v>
      </c>
      <c r="E44" s="52">
        <v>33</v>
      </c>
      <c r="F44" s="343">
        <v>521.88844810643377</v>
      </c>
      <c r="G44" s="11">
        <f t="shared" si="1"/>
        <v>7.3331511416186649E-4</v>
      </c>
    </row>
    <row r="45" spans="1:7" x14ac:dyDescent="0.25">
      <c r="A45">
        <v>34</v>
      </c>
      <c r="B45" s="341">
        <v>0</v>
      </c>
      <c r="C45" s="11">
        <f t="shared" si="0"/>
        <v>0</v>
      </c>
      <c r="E45" s="53">
        <v>34</v>
      </c>
      <c r="F45" s="343">
        <v>235.63887326822774</v>
      </c>
      <c r="G45" s="11">
        <f t="shared" si="1"/>
        <v>3.3110054050559045E-4</v>
      </c>
    </row>
    <row r="46" spans="1:7" x14ac:dyDescent="0.25">
      <c r="A46">
        <v>35</v>
      </c>
      <c r="B46" s="341">
        <v>0</v>
      </c>
      <c r="C46" s="11">
        <f t="shared" si="0"/>
        <v>0</v>
      </c>
      <c r="E46" s="54">
        <v>35</v>
      </c>
      <c r="F46" s="343">
        <v>211.2846727435408</v>
      </c>
      <c r="G46" s="11">
        <f t="shared" si="1"/>
        <v>2.9688000275872014E-4</v>
      </c>
    </row>
    <row r="47" spans="1:7" x14ac:dyDescent="0.25">
      <c r="A47">
        <v>36</v>
      </c>
      <c r="B47" s="341">
        <v>183.053312801</v>
      </c>
      <c r="C47" s="11">
        <f t="shared" si="0"/>
        <v>2.6414404929734909E-4</v>
      </c>
      <c r="E47" s="55">
        <v>36</v>
      </c>
      <c r="F47" s="343">
        <v>330.48972545808022</v>
      </c>
      <c r="G47" s="11">
        <f t="shared" si="1"/>
        <v>4.6437722780211948E-4</v>
      </c>
    </row>
    <row r="48" spans="1:7" x14ac:dyDescent="0.25">
      <c r="A48">
        <v>37</v>
      </c>
      <c r="B48" s="341">
        <v>0</v>
      </c>
      <c r="C48" s="11">
        <f t="shared" si="0"/>
        <v>0</v>
      </c>
      <c r="E48" s="56">
        <v>37</v>
      </c>
      <c r="F48" s="343">
        <v>195.26064906352769</v>
      </c>
      <c r="G48" s="11">
        <f t="shared" si="1"/>
        <v>2.7436435061720186E-4</v>
      </c>
    </row>
    <row r="49" spans="1:7" x14ac:dyDescent="0.25">
      <c r="A49">
        <v>38</v>
      </c>
      <c r="B49" s="341">
        <v>0</v>
      </c>
      <c r="C49" s="11">
        <f t="shared" si="0"/>
        <v>0</v>
      </c>
      <c r="E49" s="57">
        <v>38</v>
      </c>
      <c r="F49" s="343">
        <v>203.63652860247018</v>
      </c>
      <c r="G49" s="11">
        <f t="shared" si="1"/>
        <v>2.8613345392383997E-4</v>
      </c>
    </row>
    <row r="50" spans="1:7" x14ac:dyDescent="0.25">
      <c r="A50">
        <v>39</v>
      </c>
      <c r="B50" s="341">
        <v>0</v>
      </c>
      <c r="C50" s="11">
        <f t="shared" si="0"/>
        <v>0</v>
      </c>
      <c r="E50" s="58">
        <v>39</v>
      </c>
      <c r="F50" s="343">
        <v>141.76589082732102</v>
      </c>
      <c r="G50" s="11">
        <f t="shared" si="1"/>
        <v>1.9919787608537799E-4</v>
      </c>
    </row>
    <row r="51" spans="1:7" x14ac:dyDescent="0.25">
      <c r="A51">
        <v>40</v>
      </c>
      <c r="B51" s="341">
        <v>0</v>
      </c>
      <c r="C51" s="11">
        <f t="shared" si="0"/>
        <v>0</v>
      </c>
      <c r="E51" s="59">
        <v>40</v>
      </c>
      <c r="F51" s="343">
        <v>136.72905423783092</v>
      </c>
      <c r="G51" s="11">
        <f t="shared" si="1"/>
        <v>1.9212052380437227E-4</v>
      </c>
    </row>
    <row r="52" spans="1:7" x14ac:dyDescent="0.25">
      <c r="A52">
        <v>41</v>
      </c>
      <c r="B52" s="341">
        <v>0</v>
      </c>
      <c r="C52" s="11">
        <f t="shared" si="0"/>
        <v>0</v>
      </c>
      <c r="E52" s="60">
        <v>41</v>
      </c>
      <c r="F52" s="343">
        <v>45.410337757186561</v>
      </c>
      <c r="G52" s="11">
        <f t="shared" si="1"/>
        <v>6.3806905742717202E-5</v>
      </c>
    </row>
    <row r="53" spans="1:7" x14ac:dyDescent="0.25">
      <c r="A53">
        <v>42</v>
      </c>
      <c r="B53" s="341">
        <v>0</v>
      </c>
      <c r="C53" s="11">
        <f t="shared" si="0"/>
        <v>0</v>
      </c>
      <c r="E53" s="61">
        <v>42</v>
      </c>
      <c r="F53" s="343">
        <v>31.44247405699225</v>
      </c>
      <c r="G53" s="11">
        <f t="shared" si="1"/>
        <v>4.4180402030919278E-5</v>
      </c>
    </row>
    <row r="54" spans="1:7" x14ac:dyDescent="0.25">
      <c r="A54">
        <v>43</v>
      </c>
      <c r="B54" s="341">
        <v>0</v>
      </c>
      <c r="C54" s="11">
        <f t="shared" si="0"/>
        <v>0</v>
      </c>
      <c r="E54" s="62">
        <v>43</v>
      </c>
      <c r="F54" s="343">
        <v>36.557159165035898</v>
      </c>
      <c r="G54" s="11">
        <f t="shared" si="1"/>
        <v>5.1367140705660195E-5</v>
      </c>
    </row>
    <row r="55" spans="1:7" x14ac:dyDescent="0.25">
      <c r="A55">
        <v>44</v>
      </c>
      <c r="B55" s="341">
        <v>0</v>
      </c>
      <c r="C55" s="11">
        <f t="shared" si="0"/>
        <v>0</v>
      </c>
      <c r="E55" s="63">
        <v>44</v>
      </c>
      <c r="F55" s="343">
        <v>32.78032317145216</v>
      </c>
      <c r="G55" s="11">
        <f t="shared" si="1"/>
        <v>4.6060238573883803E-5</v>
      </c>
    </row>
    <row r="56" spans="1:7" x14ac:dyDescent="0.25">
      <c r="A56">
        <v>45</v>
      </c>
      <c r="B56" s="341">
        <v>250.40304101000001</v>
      </c>
      <c r="C56" s="11">
        <f t="shared" si="0"/>
        <v>3.6132901501026665E-4</v>
      </c>
      <c r="E56" s="64">
        <v>45</v>
      </c>
      <c r="F56" s="343">
        <v>51.215929716926496</v>
      </c>
      <c r="G56" s="11">
        <f t="shared" si="1"/>
        <v>7.1964450417600804E-5</v>
      </c>
    </row>
    <row r="57" spans="1:7" x14ac:dyDescent="0.25">
      <c r="A57">
        <v>46</v>
      </c>
      <c r="B57" s="341">
        <v>0</v>
      </c>
      <c r="C57" s="11">
        <f t="shared" si="0"/>
        <v>0</v>
      </c>
      <c r="E57" s="65">
        <v>46</v>
      </c>
      <c r="F57" s="343">
        <v>11.27507351803126</v>
      </c>
      <c r="G57" s="11">
        <f t="shared" si="1"/>
        <v>1.5842814406139757E-5</v>
      </c>
    </row>
    <row r="58" spans="1:7" x14ac:dyDescent="0.25">
      <c r="A58">
        <v>47</v>
      </c>
      <c r="B58" s="341">
        <v>0</v>
      </c>
      <c r="C58" s="11">
        <f t="shared" si="0"/>
        <v>0</v>
      </c>
      <c r="E58" s="66">
        <v>47</v>
      </c>
      <c r="F58" s="343">
        <v>30.30725308641977</v>
      </c>
      <c r="G58" s="11">
        <f t="shared" si="1"/>
        <v>4.2585282041858841E-5</v>
      </c>
    </row>
    <row r="59" spans="1:7" x14ac:dyDescent="0.25">
      <c r="A59">
        <v>48</v>
      </c>
      <c r="B59" s="341">
        <v>0</v>
      </c>
      <c r="C59" s="11">
        <f t="shared" si="0"/>
        <v>0</v>
      </c>
      <c r="E59" s="67">
        <v>48</v>
      </c>
      <c r="F59" s="343">
        <v>25</v>
      </c>
      <c r="G59" s="11">
        <f t="shared" si="1"/>
        <v>3.5127962537902082E-5</v>
      </c>
    </row>
    <row r="60" spans="1:7" x14ac:dyDescent="0.25">
      <c r="A60">
        <v>49</v>
      </c>
      <c r="B60" s="341">
        <v>0</v>
      </c>
      <c r="C60" s="11">
        <f t="shared" si="0"/>
        <v>0</v>
      </c>
      <c r="E60" s="68">
        <v>49</v>
      </c>
      <c r="F60" s="343">
        <v>20.388775510204077</v>
      </c>
      <c r="G60" s="11">
        <f t="shared" si="1"/>
        <v>2.8648645692645772E-5</v>
      </c>
    </row>
    <row r="61" spans="1:7" x14ac:dyDescent="0.25">
      <c r="A61">
        <v>50</v>
      </c>
      <c r="B61" s="341">
        <v>0</v>
      </c>
      <c r="C61" s="11">
        <f t="shared" si="0"/>
        <v>0</v>
      </c>
      <c r="E61" s="69">
        <v>50</v>
      </c>
      <c r="F61" s="343">
        <v>10.732142857142859</v>
      </c>
      <c r="G61" s="11">
        <f t="shared" si="1"/>
        <v>1.5079932489485113E-5</v>
      </c>
    </row>
    <row r="62" spans="1:7" x14ac:dyDescent="0.25">
      <c r="A62">
        <v>51</v>
      </c>
      <c r="B62" s="341">
        <v>0</v>
      </c>
      <c r="C62" s="11">
        <f t="shared" si="0"/>
        <v>0</v>
      </c>
      <c r="E62" s="70">
        <v>51</v>
      </c>
      <c r="F62" s="343">
        <v>29.982786885245901</v>
      </c>
      <c r="G62" s="11">
        <f t="shared" si="1"/>
        <v>4.2129368579472799E-5</v>
      </c>
    </row>
    <row r="63" spans="1:7" x14ac:dyDescent="0.25">
      <c r="A63">
        <v>52</v>
      </c>
      <c r="B63" s="341">
        <v>0</v>
      </c>
      <c r="C63" s="11">
        <f t="shared" si="0"/>
        <v>0</v>
      </c>
      <c r="E63" s="71">
        <v>52</v>
      </c>
      <c r="F63" s="343">
        <v>0</v>
      </c>
      <c r="G63" s="11">
        <f t="shared" si="1"/>
        <v>0</v>
      </c>
    </row>
    <row r="64" spans="1:7" x14ac:dyDescent="0.25">
      <c r="A64">
        <v>53</v>
      </c>
      <c r="B64" s="341">
        <v>0</v>
      </c>
      <c r="C64" s="11">
        <f t="shared" si="0"/>
        <v>0</v>
      </c>
      <c r="E64" s="72">
        <v>53</v>
      </c>
      <c r="F64" s="343">
        <v>0</v>
      </c>
      <c r="G64" s="11">
        <f t="shared" si="1"/>
        <v>0</v>
      </c>
    </row>
    <row r="65" spans="1:7" x14ac:dyDescent="0.25">
      <c r="A65">
        <v>54</v>
      </c>
      <c r="B65" s="341">
        <v>444.57246729600001</v>
      </c>
      <c r="C65" s="11">
        <f t="shared" si="0"/>
        <v>6.4151350183615588E-4</v>
      </c>
      <c r="E65" s="73">
        <v>54</v>
      </c>
      <c r="F65" s="343">
        <v>0.25</v>
      </c>
      <c r="G65" s="11">
        <f t="shared" si="1"/>
        <v>3.5127962537902085E-7</v>
      </c>
    </row>
    <row r="66" spans="1:7" x14ac:dyDescent="0.25">
      <c r="A66">
        <v>55</v>
      </c>
      <c r="B66" s="341">
        <v>0</v>
      </c>
      <c r="C66" s="11">
        <f t="shared" si="0"/>
        <v>0</v>
      </c>
      <c r="E66" s="74">
        <v>55</v>
      </c>
      <c r="F66" s="343">
        <v>9.9387755102040796</v>
      </c>
      <c r="G66" s="11">
        <f t="shared" si="1"/>
        <v>1.3965157351802704E-5</v>
      </c>
    </row>
    <row r="67" spans="1:7" x14ac:dyDescent="0.25">
      <c r="A67">
        <v>56</v>
      </c>
      <c r="B67" s="341">
        <v>668.71153577099994</v>
      </c>
      <c r="C67" s="11">
        <f t="shared" si="0"/>
        <v>9.649438743696753E-4</v>
      </c>
      <c r="E67" s="75">
        <v>56</v>
      </c>
      <c r="F67" s="343">
        <v>0</v>
      </c>
      <c r="G67" s="11">
        <f t="shared" si="1"/>
        <v>0</v>
      </c>
    </row>
    <row r="68" spans="1:7" x14ac:dyDescent="0.25">
      <c r="A68">
        <v>57</v>
      </c>
      <c r="B68" s="341">
        <v>569.50120905100005</v>
      </c>
      <c r="C68" s="11">
        <f t="shared" si="0"/>
        <v>8.2178439240814145E-4</v>
      </c>
      <c r="E68" s="76">
        <v>57</v>
      </c>
      <c r="F68" s="343">
        <v>0</v>
      </c>
      <c r="G68" s="11">
        <f t="shared" si="1"/>
        <v>0</v>
      </c>
    </row>
    <row r="69" spans="1:7" x14ac:dyDescent="0.25">
      <c r="A69">
        <v>58</v>
      </c>
      <c r="B69" s="341">
        <v>0</v>
      </c>
      <c r="C69" s="11">
        <f t="shared" si="0"/>
        <v>0</v>
      </c>
      <c r="E69" s="77">
        <v>58</v>
      </c>
      <c r="F69" s="343">
        <v>0.25</v>
      </c>
      <c r="G69" s="11">
        <f t="shared" si="1"/>
        <v>3.5127962537902085E-7</v>
      </c>
    </row>
    <row r="70" spans="1:7" x14ac:dyDescent="0.25">
      <c r="A70">
        <v>59</v>
      </c>
      <c r="B70" s="341">
        <v>0</v>
      </c>
      <c r="C70" s="11">
        <f t="shared" si="0"/>
        <v>0</v>
      </c>
      <c r="E70" s="78">
        <v>59</v>
      </c>
      <c r="F70" s="343">
        <v>0</v>
      </c>
      <c r="G70" s="11">
        <f t="shared" si="1"/>
        <v>0</v>
      </c>
    </row>
    <row r="71" spans="1:7" x14ac:dyDescent="0.25">
      <c r="A71">
        <v>60</v>
      </c>
      <c r="B71" s="341">
        <v>0</v>
      </c>
      <c r="C71" s="11">
        <f t="shared" si="0"/>
        <v>0</v>
      </c>
      <c r="E71" s="79">
        <v>60</v>
      </c>
      <c r="F71" s="343">
        <v>0</v>
      </c>
      <c r="G71" s="11">
        <f t="shared" si="1"/>
        <v>0</v>
      </c>
    </row>
    <row r="72" spans="1:7" x14ac:dyDescent="0.25">
      <c r="A72">
        <v>61</v>
      </c>
      <c r="B72" s="341">
        <v>0</v>
      </c>
      <c r="C72" s="11">
        <f t="shared" si="0"/>
        <v>0</v>
      </c>
      <c r="E72" s="80">
        <v>61</v>
      </c>
      <c r="F72" s="343">
        <v>0</v>
      </c>
      <c r="G72" s="11">
        <f t="shared" si="1"/>
        <v>0</v>
      </c>
    </row>
    <row r="73" spans="1:7" x14ac:dyDescent="0.25">
      <c r="A73">
        <v>62</v>
      </c>
      <c r="B73" s="341">
        <v>0</v>
      </c>
      <c r="C73" s="11">
        <f t="shared" si="0"/>
        <v>0</v>
      </c>
      <c r="E73" s="81">
        <v>62</v>
      </c>
      <c r="F73" s="343">
        <v>0</v>
      </c>
      <c r="G73" s="11">
        <f t="shared" si="1"/>
        <v>0</v>
      </c>
    </row>
    <row r="74" spans="1:7" x14ac:dyDescent="0.25">
      <c r="A74">
        <v>63</v>
      </c>
      <c r="B74" s="341">
        <v>0</v>
      </c>
      <c r="C74" s="11">
        <f t="shared" si="0"/>
        <v>0</v>
      </c>
      <c r="E74" s="82">
        <v>63</v>
      </c>
      <c r="F74" s="343">
        <v>0</v>
      </c>
      <c r="G74" s="11">
        <f t="shared" si="1"/>
        <v>0</v>
      </c>
    </row>
    <row r="75" spans="1:7" x14ac:dyDescent="0.25">
      <c r="A75">
        <v>64</v>
      </c>
      <c r="B75" s="341">
        <v>0</v>
      </c>
      <c r="C75" s="11">
        <f t="shared" si="0"/>
        <v>0</v>
      </c>
      <c r="E75" s="83">
        <v>64</v>
      </c>
      <c r="F75" s="343">
        <v>0</v>
      </c>
      <c r="G75" s="11">
        <f t="shared" si="1"/>
        <v>0</v>
      </c>
    </row>
    <row r="76" spans="1:7" x14ac:dyDescent="0.25">
      <c r="A76">
        <v>65</v>
      </c>
      <c r="B76" s="341">
        <v>0</v>
      </c>
      <c r="C76" s="11">
        <f t="shared" si="0"/>
        <v>0</v>
      </c>
      <c r="E76" s="84">
        <v>65</v>
      </c>
      <c r="F76" s="343">
        <v>0</v>
      </c>
      <c r="G76" s="11">
        <f t="shared" si="1"/>
        <v>0</v>
      </c>
    </row>
    <row r="77" spans="1:7" x14ac:dyDescent="0.25">
      <c r="A77">
        <v>66</v>
      </c>
      <c r="B77" s="341">
        <v>0</v>
      </c>
      <c r="C77" s="11">
        <f t="shared" ref="C77:C102" si="2">B77/B$102</f>
        <v>0</v>
      </c>
      <c r="E77" s="85">
        <v>66</v>
      </c>
      <c r="F77" s="343">
        <v>0</v>
      </c>
      <c r="G77" s="11">
        <f t="shared" ref="G77:G102" si="3">F77/F$102</f>
        <v>0</v>
      </c>
    </row>
    <row r="78" spans="1:7" x14ac:dyDescent="0.25">
      <c r="A78">
        <v>67</v>
      </c>
      <c r="B78" s="341">
        <v>0</v>
      </c>
      <c r="C78" s="11">
        <f t="shared" si="2"/>
        <v>0</v>
      </c>
      <c r="E78" s="86">
        <v>67</v>
      </c>
      <c r="F78" s="343">
        <v>0</v>
      </c>
      <c r="G78" s="11">
        <f t="shared" si="3"/>
        <v>0</v>
      </c>
    </row>
    <row r="79" spans="1:7" x14ac:dyDescent="0.25">
      <c r="A79">
        <v>68</v>
      </c>
      <c r="B79" s="341">
        <v>0</v>
      </c>
      <c r="C79" s="11">
        <f t="shared" si="2"/>
        <v>0</v>
      </c>
      <c r="E79" s="87">
        <v>68</v>
      </c>
      <c r="F79" s="343">
        <v>0</v>
      </c>
      <c r="G79" s="11">
        <f t="shared" si="3"/>
        <v>0</v>
      </c>
    </row>
    <row r="80" spans="1:7" x14ac:dyDescent="0.25">
      <c r="A80">
        <v>69</v>
      </c>
      <c r="B80" s="341">
        <v>0</v>
      </c>
      <c r="C80" s="11">
        <f t="shared" si="2"/>
        <v>0</v>
      </c>
      <c r="E80" s="88">
        <v>69</v>
      </c>
      <c r="F80" s="343">
        <v>0</v>
      </c>
      <c r="G80" s="11">
        <f t="shared" si="3"/>
        <v>0</v>
      </c>
    </row>
    <row r="81" spans="1:7" x14ac:dyDescent="0.25">
      <c r="A81">
        <v>70</v>
      </c>
      <c r="B81" s="341">
        <v>0</v>
      </c>
      <c r="C81" s="11">
        <f t="shared" si="2"/>
        <v>0</v>
      </c>
      <c r="E81" s="89">
        <v>70</v>
      </c>
      <c r="F81" s="343">
        <v>0</v>
      </c>
      <c r="G81" s="11">
        <f t="shared" si="3"/>
        <v>0</v>
      </c>
    </row>
    <row r="82" spans="1:7" x14ac:dyDescent="0.25">
      <c r="A82">
        <v>71</v>
      </c>
      <c r="B82" s="341">
        <v>0</v>
      </c>
      <c r="C82" s="11">
        <f t="shared" si="2"/>
        <v>0</v>
      </c>
      <c r="E82" s="90">
        <v>71</v>
      </c>
      <c r="F82" s="343">
        <v>0</v>
      </c>
      <c r="G82" s="11">
        <f t="shared" si="3"/>
        <v>0</v>
      </c>
    </row>
    <row r="83" spans="1:7" x14ac:dyDescent="0.25">
      <c r="A83">
        <v>72</v>
      </c>
      <c r="B83" s="341">
        <v>0</v>
      </c>
      <c r="C83" s="11">
        <f t="shared" si="2"/>
        <v>0</v>
      </c>
      <c r="E83" s="91">
        <v>72</v>
      </c>
      <c r="F83" s="343">
        <v>0</v>
      </c>
      <c r="G83" s="11">
        <f t="shared" si="3"/>
        <v>0</v>
      </c>
    </row>
    <row r="84" spans="1:7" x14ac:dyDescent="0.25">
      <c r="A84">
        <v>73</v>
      </c>
      <c r="B84" s="341">
        <v>0</v>
      </c>
      <c r="C84" s="11">
        <f t="shared" si="2"/>
        <v>0</v>
      </c>
      <c r="E84" s="92">
        <v>73</v>
      </c>
      <c r="F84" s="343">
        <v>0</v>
      </c>
      <c r="G84" s="11">
        <f t="shared" si="3"/>
        <v>0</v>
      </c>
    </row>
    <row r="85" spans="1:7" x14ac:dyDescent="0.25">
      <c r="A85">
        <v>74</v>
      </c>
      <c r="B85" s="341">
        <v>0</v>
      </c>
      <c r="C85" s="11">
        <f t="shared" si="2"/>
        <v>0</v>
      </c>
      <c r="E85" s="93">
        <v>74</v>
      </c>
      <c r="F85" s="343">
        <v>0</v>
      </c>
      <c r="G85" s="11">
        <f t="shared" si="3"/>
        <v>0</v>
      </c>
    </row>
    <row r="86" spans="1:7" x14ac:dyDescent="0.25">
      <c r="A86">
        <v>75</v>
      </c>
      <c r="B86" s="341">
        <v>0</v>
      </c>
      <c r="C86" s="11">
        <f t="shared" si="2"/>
        <v>0</v>
      </c>
      <c r="E86" s="94">
        <v>75</v>
      </c>
      <c r="F86" s="343">
        <v>0</v>
      </c>
      <c r="G86" s="11">
        <f t="shared" si="3"/>
        <v>0</v>
      </c>
    </row>
    <row r="87" spans="1:7" x14ac:dyDescent="0.25">
      <c r="A87">
        <v>76</v>
      </c>
      <c r="B87" s="341">
        <v>0</v>
      </c>
      <c r="C87" s="11">
        <f t="shared" si="2"/>
        <v>0</v>
      </c>
      <c r="E87" s="95">
        <v>76</v>
      </c>
      <c r="F87" s="343">
        <v>0</v>
      </c>
      <c r="G87" s="11">
        <f t="shared" si="3"/>
        <v>0</v>
      </c>
    </row>
    <row r="88" spans="1:7" x14ac:dyDescent="0.25">
      <c r="A88">
        <v>77</v>
      </c>
      <c r="B88" s="341">
        <v>0</v>
      </c>
      <c r="C88" s="11">
        <f t="shared" si="2"/>
        <v>0</v>
      </c>
      <c r="E88" s="96">
        <v>77</v>
      </c>
      <c r="F88" s="343">
        <v>0</v>
      </c>
      <c r="G88" s="11">
        <f t="shared" si="3"/>
        <v>0</v>
      </c>
    </row>
    <row r="89" spans="1:7" x14ac:dyDescent="0.25">
      <c r="A89">
        <v>78</v>
      </c>
      <c r="B89" s="341">
        <v>0</v>
      </c>
      <c r="C89" s="11">
        <f t="shared" si="2"/>
        <v>0</v>
      </c>
      <c r="E89" s="97">
        <v>78</v>
      </c>
      <c r="F89" s="343">
        <v>0</v>
      </c>
      <c r="G89" s="11">
        <f t="shared" si="3"/>
        <v>0</v>
      </c>
    </row>
    <row r="90" spans="1:7" x14ac:dyDescent="0.25">
      <c r="A90">
        <v>79</v>
      </c>
      <c r="B90" s="341">
        <v>0</v>
      </c>
      <c r="C90" s="11">
        <f t="shared" si="2"/>
        <v>0</v>
      </c>
      <c r="E90" s="98">
        <v>79</v>
      </c>
      <c r="F90" s="343">
        <v>0</v>
      </c>
      <c r="G90" s="11">
        <f t="shared" si="3"/>
        <v>0</v>
      </c>
    </row>
    <row r="91" spans="1:7" x14ac:dyDescent="0.25">
      <c r="A91">
        <v>80</v>
      </c>
      <c r="B91" s="341">
        <v>0</v>
      </c>
      <c r="C91" s="11">
        <f t="shared" si="2"/>
        <v>0</v>
      </c>
      <c r="E91" s="99">
        <v>80</v>
      </c>
      <c r="F91" s="343">
        <v>0</v>
      </c>
      <c r="G91" s="11">
        <f t="shared" si="3"/>
        <v>0</v>
      </c>
    </row>
    <row r="92" spans="1:7" x14ac:dyDescent="0.25">
      <c r="A92">
        <v>81</v>
      </c>
      <c r="B92" s="341">
        <v>0</v>
      </c>
      <c r="C92" s="11">
        <f t="shared" si="2"/>
        <v>0</v>
      </c>
      <c r="E92" s="100">
        <v>81</v>
      </c>
      <c r="F92" s="343">
        <v>0</v>
      </c>
      <c r="G92" s="11">
        <f t="shared" si="3"/>
        <v>0</v>
      </c>
    </row>
    <row r="93" spans="1:7" x14ac:dyDescent="0.25">
      <c r="A93">
        <v>82</v>
      </c>
      <c r="B93" s="341">
        <v>0</v>
      </c>
      <c r="C93" s="11">
        <f t="shared" si="2"/>
        <v>0</v>
      </c>
      <c r="E93" s="101">
        <v>82</v>
      </c>
      <c r="F93" s="343">
        <v>0</v>
      </c>
      <c r="G93" s="11">
        <f t="shared" si="3"/>
        <v>0</v>
      </c>
    </row>
    <row r="94" spans="1:7" x14ac:dyDescent="0.25">
      <c r="A94">
        <v>83</v>
      </c>
      <c r="B94" s="341">
        <v>0</v>
      </c>
      <c r="C94" s="11">
        <f t="shared" si="2"/>
        <v>0</v>
      </c>
      <c r="E94" s="102">
        <v>83</v>
      </c>
      <c r="F94" s="343">
        <v>0</v>
      </c>
      <c r="G94" s="11">
        <f t="shared" si="3"/>
        <v>0</v>
      </c>
    </row>
    <row r="95" spans="1:7" x14ac:dyDescent="0.25">
      <c r="A95">
        <v>84</v>
      </c>
      <c r="B95" s="341">
        <v>0</v>
      </c>
      <c r="C95" s="11">
        <f t="shared" si="2"/>
        <v>0</v>
      </c>
      <c r="E95" s="103">
        <v>84</v>
      </c>
      <c r="F95" s="343">
        <v>0</v>
      </c>
      <c r="G95" s="11">
        <f t="shared" si="3"/>
        <v>0</v>
      </c>
    </row>
    <row r="96" spans="1:7" x14ac:dyDescent="0.25">
      <c r="A96">
        <v>85</v>
      </c>
      <c r="B96" s="341">
        <v>0</v>
      </c>
      <c r="C96" s="11">
        <f t="shared" si="2"/>
        <v>0</v>
      </c>
      <c r="E96" s="104">
        <v>85</v>
      </c>
      <c r="F96" s="343">
        <v>0</v>
      </c>
      <c r="G96" s="11">
        <f t="shared" si="3"/>
        <v>0</v>
      </c>
    </row>
    <row r="97" spans="1:7" x14ac:dyDescent="0.25">
      <c r="A97">
        <v>86</v>
      </c>
      <c r="B97" s="341">
        <v>0</v>
      </c>
      <c r="C97" s="11">
        <f t="shared" si="2"/>
        <v>0</v>
      </c>
      <c r="E97" s="105">
        <v>86</v>
      </c>
      <c r="F97" s="343">
        <v>0</v>
      </c>
      <c r="G97" s="11">
        <f t="shared" si="3"/>
        <v>0</v>
      </c>
    </row>
    <row r="98" spans="1:7" x14ac:dyDescent="0.25">
      <c r="A98">
        <v>87</v>
      </c>
      <c r="B98" s="341">
        <v>0</v>
      </c>
      <c r="C98" s="11">
        <f t="shared" si="2"/>
        <v>0</v>
      </c>
      <c r="E98" s="106">
        <v>87</v>
      </c>
      <c r="F98" s="343">
        <v>0</v>
      </c>
      <c r="G98" s="11">
        <f t="shared" si="3"/>
        <v>0</v>
      </c>
    </row>
    <row r="99" spans="1:7" x14ac:dyDescent="0.25">
      <c r="A99">
        <v>88</v>
      </c>
      <c r="B99" s="341">
        <v>0</v>
      </c>
      <c r="C99" s="11">
        <f t="shared" si="2"/>
        <v>0</v>
      </c>
      <c r="E99" s="107">
        <v>88</v>
      </c>
      <c r="F99" s="343">
        <v>0</v>
      </c>
      <c r="G99" s="11">
        <f t="shared" si="3"/>
        <v>0</v>
      </c>
    </row>
    <row r="100" spans="1:7" x14ac:dyDescent="0.25">
      <c r="A100">
        <v>89</v>
      </c>
      <c r="B100" s="341">
        <v>0</v>
      </c>
      <c r="C100" s="11">
        <f t="shared" si="2"/>
        <v>0</v>
      </c>
      <c r="E100" s="108">
        <v>89</v>
      </c>
      <c r="F100" s="343">
        <v>0</v>
      </c>
      <c r="G100" s="11">
        <f t="shared" si="3"/>
        <v>0</v>
      </c>
    </row>
    <row r="101" spans="1:7" ht="15.75" thickBot="1" x14ac:dyDescent="0.3">
      <c r="A101" s="1">
        <v>90</v>
      </c>
      <c r="B101" s="342">
        <v>0</v>
      </c>
      <c r="C101" s="11">
        <f t="shared" si="2"/>
        <v>0</v>
      </c>
      <c r="E101" s="292">
        <v>90</v>
      </c>
      <c r="F101" s="344">
        <v>0</v>
      </c>
      <c r="G101" s="11">
        <f t="shared" si="3"/>
        <v>0</v>
      </c>
    </row>
    <row r="102" spans="1:7" x14ac:dyDescent="0.25">
      <c r="B102" s="341">
        <f>SUM(B11:B101)</f>
        <v>693005.6281333653</v>
      </c>
      <c r="C102" s="11">
        <f t="shared" si="2"/>
        <v>1</v>
      </c>
      <c r="F102" s="341">
        <f>SUM(F11:F101)</f>
        <v>711683.74690179375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G19" sqref="G19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>
        <v>0</v>
      </c>
      <c r="C11" s="11">
        <f>B11/B$102</f>
        <v>0</v>
      </c>
      <c r="E11" s="109">
        <v>0</v>
      </c>
      <c r="F11" s="199">
        <v>24380.756996951499</v>
      </c>
      <c r="G11" s="11">
        <f>F11/F$102</f>
        <v>3.4257852737384249E-2</v>
      </c>
      <c r="K11" s="8">
        <v>21.438274583191962</v>
      </c>
      <c r="L11" s="8">
        <v>19.178514833739673</v>
      </c>
    </row>
    <row r="12" spans="1:12" x14ac:dyDescent="0.25">
      <c r="A12">
        <v>1</v>
      </c>
      <c r="B12" s="8">
        <v>1213.9305369145</v>
      </c>
      <c r="C12" s="11">
        <f>B12/B$102</f>
        <v>1.7516892902937368E-3</v>
      </c>
      <c r="E12" s="110">
        <v>1</v>
      </c>
      <c r="F12" s="200">
        <v>18940.660939224395</v>
      </c>
      <c r="G12" s="11">
        <f>F12/F$102</f>
        <v>2.6613873116647192E-2</v>
      </c>
      <c r="K12" s="8"/>
      <c r="L12" s="290"/>
    </row>
    <row r="13" spans="1:12" x14ac:dyDescent="0.25">
      <c r="A13">
        <v>2</v>
      </c>
      <c r="B13" s="8">
        <v>3724.920708267</v>
      </c>
      <c r="C13" s="11">
        <f t="shared" ref="C13:C76" si="0">B13/B$102</f>
        <v>5.375022304364545E-3</v>
      </c>
      <c r="E13" s="111">
        <v>2</v>
      </c>
      <c r="F13" s="201">
        <v>24363.134832097458</v>
      </c>
      <c r="G13" s="11">
        <f t="shared" ref="G13:G76" si="1">F13/F$102</f>
        <v>3.4233091507511068E-2</v>
      </c>
    </row>
    <row r="14" spans="1:12" x14ac:dyDescent="0.25">
      <c r="A14">
        <v>3</v>
      </c>
      <c r="B14" s="8">
        <v>2645.2681830725001</v>
      </c>
      <c r="C14" s="11">
        <f t="shared" si="0"/>
        <v>3.817094805128238E-3</v>
      </c>
      <c r="E14" s="112">
        <v>3</v>
      </c>
      <c r="F14" s="202">
        <v>24735.080478289703</v>
      </c>
      <c r="G14" s="11">
        <f t="shared" si="1"/>
        <v>3.4755719216534149E-2</v>
      </c>
    </row>
    <row r="15" spans="1:12" x14ac:dyDescent="0.25">
      <c r="A15">
        <v>4</v>
      </c>
      <c r="B15" s="8">
        <v>9602.4646316110993</v>
      </c>
      <c r="C15" s="11">
        <f t="shared" si="0"/>
        <v>1.3856257787509851E-2</v>
      </c>
      <c r="E15" s="113">
        <v>4</v>
      </c>
      <c r="F15" s="203">
        <v>23807.467535120995</v>
      </c>
      <c r="G15" s="11">
        <f t="shared" si="1"/>
        <v>3.3452313107842011E-2</v>
      </c>
    </row>
    <row r="16" spans="1:12" x14ac:dyDescent="0.25">
      <c r="A16">
        <v>5</v>
      </c>
      <c r="B16" s="8">
        <v>19641.0360625307</v>
      </c>
      <c r="C16" s="11">
        <f t="shared" si="0"/>
        <v>2.8341813204943965E-2</v>
      </c>
      <c r="E16" s="114">
        <v>5</v>
      </c>
      <c r="F16" s="204">
        <v>23349.566663701768</v>
      </c>
      <c r="G16" s="11">
        <f t="shared" si="1"/>
        <v>3.2808908121550517E-2</v>
      </c>
    </row>
    <row r="17" spans="1:7" x14ac:dyDescent="0.25">
      <c r="A17">
        <v>6</v>
      </c>
      <c r="B17" s="8">
        <v>8000.9955353446003</v>
      </c>
      <c r="C17" s="11">
        <f t="shared" si="0"/>
        <v>1.1545354338456904E-2</v>
      </c>
      <c r="E17" s="115">
        <v>6</v>
      </c>
      <c r="F17" s="205">
        <v>21965.598660113556</v>
      </c>
      <c r="G17" s="11">
        <f t="shared" si="1"/>
        <v>3.0864269074202443E-2</v>
      </c>
    </row>
    <row r="18" spans="1:7" x14ac:dyDescent="0.25">
      <c r="A18">
        <v>7</v>
      </c>
      <c r="B18" s="8">
        <v>16161.236132930801</v>
      </c>
      <c r="C18" s="11">
        <f t="shared" si="0"/>
        <v>2.3320497665309949E-2</v>
      </c>
      <c r="E18" s="116">
        <v>7</v>
      </c>
      <c r="F18" s="206">
        <v>19392.15846339639</v>
      </c>
      <c r="G18" s="11">
        <f t="shared" si="1"/>
        <v>2.7248280641249966E-2</v>
      </c>
    </row>
    <row r="19" spans="1:7" x14ac:dyDescent="0.25">
      <c r="A19">
        <v>8</v>
      </c>
      <c r="B19" s="8">
        <v>5561.0997682347997</v>
      </c>
      <c r="C19" s="11">
        <f t="shared" si="0"/>
        <v>8.0246098191349684E-3</v>
      </c>
      <c r="E19" s="117">
        <v>8</v>
      </c>
      <c r="F19" s="207">
        <v>18191.540280024718</v>
      </c>
      <c r="G19" s="11">
        <f t="shared" si="1"/>
        <v>2.5561269818537798E-2</v>
      </c>
    </row>
    <row r="20" spans="1:7" x14ac:dyDescent="0.25">
      <c r="A20">
        <v>9</v>
      </c>
      <c r="B20" s="8">
        <v>8656.5417390791008</v>
      </c>
      <c r="C20" s="11">
        <f t="shared" si="0"/>
        <v>1.2491300773986204E-2</v>
      </c>
      <c r="E20" s="118">
        <v>9</v>
      </c>
      <c r="F20" s="208">
        <v>16139.566718002116</v>
      </c>
      <c r="G20" s="11">
        <f t="shared" si="1"/>
        <v>2.2678003801917982E-2</v>
      </c>
    </row>
    <row r="21" spans="1:7" x14ac:dyDescent="0.25">
      <c r="A21">
        <v>10</v>
      </c>
      <c r="B21" s="8">
        <v>7359.6219826975002</v>
      </c>
      <c r="C21" s="11">
        <f t="shared" si="0"/>
        <v>1.0619858892807116E-2</v>
      </c>
      <c r="E21" s="119">
        <v>10</v>
      </c>
      <c r="F21" s="209">
        <v>14087.05910870333</v>
      </c>
      <c r="G21" s="11">
        <f t="shared" si="1"/>
        <v>1.9793987385589712E-2</v>
      </c>
    </row>
    <row r="22" spans="1:7" x14ac:dyDescent="0.25">
      <c r="A22">
        <v>11</v>
      </c>
      <c r="B22" s="8">
        <v>10031.66077502</v>
      </c>
      <c r="C22" s="11">
        <f t="shared" si="0"/>
        <v>1.4475583411985595E-2</v>
      </c>
      <c r="E22" s="120">
        <v>11</v>
      </c>
      <c r="F22" s="210">
        <v>12843.120272441185</v>
      </c>
      <c r="G22" s="11">
        <f t="shared" si="1"/>
        <v>1.8046105912003389E-2</v>
      </c>
    </row>
    <row r="23" spans="1:7" x14ac:dyDescent="0.25">
      <c r="A23">
        <v>12</v>
      </c>
      <c r="B23" s="8">
        <v>15301.016001436699</v>
      </c>
      <c r="C23" s="11">
        <f t="shared" si="0"/>
        <v>2.2079208855273681E-2</v>
      </c>
      <c r="E23" s="121">
        <v>12</v>
      </c>
      <c r="F23" s="211">
        <v>11571.478012243178</v>
      </c>
      <c r="G23" s="11">
        <f t="shared" si="1"/>
        <v>1.6259297844889439E-2</v>
      </c>
    </row>
    <row r="24" spans="1:7" x14ac:dyDescent="0.25">
      <c r="A24">
        <v>13</v>
      </c>
      <c r="B24" s="8">
        <v>23277.0725717489</v>
      </c>
      <c r="C24" s="11">
        <f t="shared" si="0"/>
        <v>3.3588576523464177E-2</v>
      </c>
      <c r="E24" s="122">
        <v>13</v>
      </c>
      <c r="F24" s="212">
        <v>10290.569757350435</v>
      </c>
      <c r="G24" s="11">
        <f t="shared" si="1"/>
        <v>1.4459469957194966E-2</v>
      </c>
    </row>
    <row r="25" spans="1:7" x14ac:dyDescent="0.25">
      <c r="A25">
        <v>14</v>
      </c>
      <c r="B25" s="8">
        <v>16064.992182849101</v>
      </c>
      <c r="C25" s="11">
        <f t="shared" si="0"/>
        <v>2.3181618634354695E-2</v>
      </c>
      <c r="E25" s="123">
        <v>14</v>
      </c>
      <c r="F25" s="213">
        <v>8763.255756289529</v>
      </c>
      <c r="G25" s="11">
        <f t="shared" si="1"/>
        <v>1.2313412796679734E-2</v>
      </c>
    </row>
    <row r="26" spans="1:7" x14ac:dyDescent="0.25">
      <c r="A26">
        <v>15</v>
      </c>
      <c r="B26" s="8">
        <v>8465.8538638697009</v>
      </c>
      <c r="C26" s="11">
        <f t="shared" si="0"/>
        <v>1.2216140129587074E-2</v>
      </c>
      <c r="E26" s="124">
        <v>15</v>
      </c>
      <c r="F26" s="214">
        <v>8133.778570323746</v>
      </c>
      <c r="G26" s="11">
        <f t="shared" si="1"/>
        <v>1.1428922756396931E-2</v>
      </c>
    </row>
    <row r="27" spans="1:7" x14ac:dyDescent="0.25">
      <c r="A27">
        <v>16</v>
      </c>
      <c r="B27" s="8">
        <v>29706.997339343801</v>
      </c>
      <c r="C27" s="11">
        <f t="shared" si="0"/>
        <v>4.286689188854155E-2</v>
      </c>
      <c r="E27" s="125">
        <v>16</v>
      </c>
      <c r="F27" s="215">
        <v>7176.6538405562114</v>
      </c>
      <c r="G27" s="11">
        <f t="shared" si="1"/>
        <v>1.0084049090341987E-2</v>
      </c>
    </row>
    <row r="28" spans="1:7" x14ac:dyDescent="0.25">
      <c r="A28">
        <v>17</v>
      </c>
      <c r="B28" s="8">
        <v>18898.323975709998</v>
      </c>
      <c r="C28" s="11">
        <f t="shared" si="0"/>
        <v>2.7270087295846773E-2</v>
      </c>
      <c r="E28" s="126">
        <v>17</v>
      </c>
      <c r="F28" s="216">
        <v>6639.5687646146171</v>
      </c>
      <c r="G28" s="11">
        <f t="shared" si="1"/>
        <v>9.3293809132482825E-3</v>
      </c>
    </row>
    <row r="29" spans="1:7" x14ac:dyDescent="0.25">
      <c r="A29">
        <v>18</v>
      </c>
      <c r="B29" s="8">
        <v>87092.3056741732</v>
      </c>
      <c r="C29" s="11">
        <f t="shared" si="0"/>
        <v>0.12567330211842484</v>
      </c>
      <c r="E29" s="127">
        <v>18</v>
      </c>
      <c r="F29" s="217">
        <v>64335.826439983197</v>
      </c>
      <c r="G29" s="11">
        <f t="shared" si="1"/>
        <v>9.0399460041147989E-2</v>
      </c>
    </row>
    <row r="30" spans="1:7" x14ac:dyDescent="0.25">
      <c r="A30">
        <v>19</v>
      </c>
      <c r="B30" s="8">
        <v>38877.977059976198</v>
      </c>
      <c r="C30" s="11">
        <f t="shared" si="0"/>
        <v>5.6100521383492044E-2</v>
      </c>
      <c r="E30" s="128">
        <v>19</v>
      </c>
      <c r="F30" s="218">
        <v>22636.259526269965</v>
      </c>
      <c r="G30" s="11">
        <f t="shared" si="1"/>
        <v>3.1806627065481617E-2</v>
      </c>
    </row>
    <row r="31" spans="1:7" x14ac:dyDescent="0.25">
      <c r="A31">
        <v>20</v>
      </c>
      <c r="B31" s="8">
        <v>53231.261881728497</v>
      </c>
      <c r="C31" s="11">
        <f t="shared" si="0"/>
        <v>7.6812163885463303E-2</v>
      </c>
      <c r="E31" s="129">
        <v>20</v>
      </c>
      <c r="F31" s="219">
        <v>21720.416035275703</v>
      </c>
      <c r="G31" s="11">
        <f t="shared" si="1"/>
        <v>3.0519758431792499E-2</v>
      </c>
    </row>
    <row r="32" spans="1:7" x14ac:dyDescent="0.25">
      <c r="A32">
        <v>21</v>
      </c>
      <c r="B32" s="8">
        <v>48937.860893480101</v>
      </c>
      <c r="C32" s="11">
        <f t="shared" si="0"/>
        <v>7.061683037884689E-2</v>
      </c>
      <c r="E32" s="130">
        <v>21</v>
      </c>
      <c r="F32" s="220">
        <v>30511.612839263693</v>
      </c>
      <c r="G32" s="11">
        <f t="shared" si="1"/>
        <v>4.2872431711545082E-2</v>
      </c>
    </row>
    <row r="33" spans="1:7" x14ac:dyDescent="0.25">
      <c r="A33">
        <v>22</v>
      </c>
      <c r="B33" s="8">
        <v>38944.060375018802</v>
      </c>
      <c r="C33" s="11">
        <f t="shared" si="0"/>
        <v>5.6195878928019645E-2</v>
      </c>
      <c r="E33" s="131">
        <v>22</v>
      </c>
      <c r="F33" s="221">
        <v>25066.831050903595</v>
      </c>
      <c r="G33" s="11">
        <f t="shared" si="1"/>
        <v>3.5221868084002482E-2</v>
      </c>
    </row>
    <row r="34" spans="1:7" x14ac:dyDescent="0.25">
      <c r="A34">
        <v>23</v>
      </c>
      <c r="B34" s="8">
        <v>18480.310125207001</v>
      </c>
      <c r="C34" s="11">
        <f t="shared" si="0"/>
        <v>2.666689760512387E-2</v>
      </c>
      <c r="E34" s="132">
        <v>23</v>
      </c>
      <c r="F34" s="222">
        <v>20128.416186655064</v>
      </c>
      <c r="G34" s="11">
        <f t="shared" si="1"/>
        <v>2.8282809990084836E-2</v>
      </c>
    </row>
    <row r="35" spans="1:7" x14ac:dyDescent="0.25">
      <c r="A35">
        <v>24</v>
      </c>
      <c r="B35" s="8">
        <v>14734.394402322199</v>
      </c>
      <c r="C35" s="11">
        <f t="shared" si="0"/>
        <v>2.1261579710412745E-2</v>
      </c>
      <c r="E35" s="133">
        <v>24</v>
      </c>
      <c r="F35" s="223">
        <v>17129.275402778767</v>
      </c>
      <c r="G35" s="11">
        <f t="shared" si="1"/>
        <v>2.4068661786008801E-2</v>
      </c>
    </row>
    <row r="36" spans="1:7" x14ac:dyDescent="0.25">
      <c r="A36">
        <v>25</v>
      </c>
      <c r="B36" s="8">
        <v>10746.767192989601</v>
      </c>
      <c r="C36" s="11">
        <f t="shared" si="0"/>
        <v>1.5507474624609314E-2</v>
      </c>
      <c r="E36" s="134">
        <v>25</v>
      </c>
      <c r="F36" s="224">
        <v>19230.140108392301</v>
      </c>
      <c r="G36" s="11">
        <f t="shared" si="1"/>
        <v>2.7020625653048518E-2</v>
      </c>
    </row>
    <row r="37" spans="1:7" x14ac:dyDescent="0.25">
      <c r="A37">
        <v>26</v>
      </c>
      <c r="B37" s="8">
        <v>49781.300547981496</v>
      </c>
      <c r="C37" s="11">
        <f t="shared" si="0"/>
        <v>7.183390513302057E-2</v>
      </c>
      <c r="E37" s="135">
        <v>26</v>
      </c>
      <c r="F37" s="225">
        <v>18805.121966963743</v>
      </c>
      <c r="G37" s="11">
        <f t="shared" si="1"/>
        <v>2.6423424799047274E-2</v>
      </c>
    </row>
    <row r="38" spans="1:7" x14ac:dyDescent="0.25">
      <c r="A38">
        <v>27</v>
      </c>
      <c r="B38" s="8">
        <v>5870.9688970815996</v>
      </c>
      <c r="C38" s="11">
        <f t="shared" si="0"/>
        <v>8.4717477878141594E-3</v>
      </c>
      <c r="E38" s="136">
        <v>27</v>
      </c>
      <c r="F38" s="226">
        <v>11353.013943719794</v>
      </c>
      <c r="G38" s="11">
        <f t="shared" si="1"/>
        <v>1.5952329940290756E-2</v>
      </c>
    </row>
    <row r="39" spans="1:7" x14ac:dyDescent="0.25">
      <c r="A39">
        <v>28</v>
      </c>
      <c r="B39" s="8">
        <v>18355.483754103901</v>
      </c>
      <c r="C39" s="11">
        <f t="shared" si="0"/>
        <v>2.6486774434350605E-2</v>
      </c>
      <c r="E39" s="137">
        <v>28</v>
      </c>
      <c r="F39" s="227">
        <v>10064.922724250198</v>
      </c>
      <c r="G39" s="11">
        <f t="shared" si="1"/>
        <v>1.4142409136173612E-2</v>
      </c>
    </row>
    <row r="40" spans="1:7" x14ac:dyDescent="0.25">
      <c r="A40">
        <v>29</v>
      </c>
      <c r="B40" s="8">
        <v>7071.4052670973006</v>
      </c>
      <c r="C40" s="11">
        <f t="shared" si="0"/>
        <v>1.0203965133940363E-2</v>
      </c>
      <c r="E40" s="138">
        <v>29</v>
      </c>
      <c r="F40" s="228">
        <v>10536.793230125113</v>
      </c>
      <c r="G40" s="11">
        <f t="shared" si="1"/>
        <v>1.4805443114298208E-2</v>
      </c>
    </row>
    <row r="41" spans="1:7" x14ac:dyDescent="0.25">
      <c r="A41">
        <v>30</v>
      </c>
      <c r="B41" s="8">
        <v>2720.9983505159998</v>
      </c>
      <c r="C41" s="11">
        <f t="shared" si="0"/>
        <v>3.9263726585382908E-3</v>
      </c>
      <c r="E41" s="139">
        <v>30</v>
      </c>
      <c r="F41" s="229">
        <v>13222.392002696568</v>
      </c>
      <c r="G41" s="11">
        <f t="shared" si="1"/>
        <v>1.8579027637287242E-2</v>
      </c>
    </row>
    <row r="42" spans="1:7" x14ac:dyDescent="0.25">
      <c r="A42">
        <v>31</v>
      </c>
      <c r="B42" s="8">
        <v>3225.8521512005</v>
      </c>
      <c r="C42" s="11">
        <f t="shared" si="0"/>
        <v>4.6548715049969285E-3</v>
      </c>
      <c r="E42" s="140">
        <v>31</v>
      </c>
      <c r="F42" s="230">
        <v>15699.121143590424</v>
      </c>
      <c r="G42" s="11">
        <f t="shared" si="1"/>
        <v>2.2059125576401235E-2</v>
      </c>
    </row>
    <row r="43" spans="1:7" x14ac:dyDescent="0.25">
      <c r="A43">
        <v>32</v>
      </c>
      <c r="B43" s="8">
        <v>4062.4202194034997</v>
      </c>
      <c r="C43" s="11">
        <f t="shared" si="0"/>
        <v>5.8620306307551493E-3</v>
      </c>
      <c r="E43" s="141">
        <v>32</v>
      </c>
      <c r="F43" s="231">
        <v>17698.407212669288</v>
      </c>
      <c r="G43" s="11">
        <f t="shared" si="1"/>
        <v>2.4868359421887309E-2</v>
      </c>
    </row>
    <row r="44" spans="1:7" x14ac:dyDescent="0.25">
      <c r="A44">
        <v>33</v>
      </c>
      <c r="B44" s="8">
        <v>3850.7217127265999</v>
      </c>
      <c r="C44" s="11">
        <f t="shared" si="0"/>
        <v>5.5565518610558072E-3</v>
      </c>
      <c r="E44" s="142">
        <v>33</v>
      </c>
      <c r="F44" s="232">
        <v>10430.161185368443</v>
      </c>
      <c r="G44" s="11">
        <f t="shared" si="1"/>
        <v>1.4655612455356119E-2</v>
      </c>
    </row>
    <row r="45" spans="1:7" x14ac:dyDescent="0.25">
      <c r="A45">
        <v>34</v>
      </c>
      <c r="B45" s="8">
        <v>7610.0547515784001</v>
      </c>
      <c r="C45" s="11">
        <f t="shared" si="0"/>
        <v>1.0981230804829604E-2</v>
      </c>
      <c r="E45" s="143">
        <v>34</v>
      </c>
      <c r="F45" s="233">
        <v>13724.24893173278</v>
      </c>
      <c r="G45" s="11">
        <f t="shared" si="1"/>
        <v>1.928419609339007E-2</v>
      </c>
    </row>
    <row r="46" spans="1:7" x14ac:dyDescent="0.25">
      <c r="A46">
        <v>35</v>
      </c>
      <c r="B46" s="8">
        <v>1448.9269749027001</v>
      </c>
      <c r="C46" s="11">
        <f t="shared" si="0"/>
        <v>2.0907867354633685E-3</v>
      </c>
      <c r="E46" s="144">
        <v>35</v>
      </c>
      <c r="F46" s="234">
        <v>6845.2422387799525</v>
      </c>
      <c r="G46" s="11">
        <f t="shared" si="1"/>
        <v>9.6183765170690851E-3</v>
      </c>
    </row>
    <row r="47" spans="1:7" x14ac:dyDescent="0.25">
      <c r="A47">
        <v>36</v>
      </c>
      <c r="B47" s="8">
        <v>1422.0057125692001</v>
      </c>
      <c r="C47" s="11">
        <f t="shared" si="0"/>
        <v>2.051939630561763E-3</v>
      </c>
      <c r="E47" s="145">
        <v>36</v>
      </c>
      <c r="F47" s="235">
        <v>12913.541069141222</v>
      </c>
      <c r="G47" s="11">
        <f t="shared" si="1"/>
        <v>1.8145055476338112E-2</v>
      </c>
    </row>
    <row r="48" spans="1:7" x14ac:dyDescent="0.25">
      <c r="A48">
        <v>37</v>
      </c>
      <c r="B48" s="8">
        <v>10426.127244150999</v>
      </c>
      <c r="C48" s="11">
        <f t="shared" si="0"/>
        <v>1.5044794473363996E-2</v>
      </c>
      <c r="E48" s="146">
        <v>37</v>
      </c>
      <c r="F48" s="236">
        <v>3110.4276964175351</v>
      </c>
      <c r="G48" s="11">
        <f t="shared" si="1"/>
        <v>4.3705195038643294E-3</v>
      </c>
    </row>
    <row r="49" spans="1:7" x14ac:dyDescent="0.25">
      <c r="A49">
        <v>38</v>
      </c>
      <c r="B49" s="8">
        <v>8690.7760060841993</v>
      </c>
      <c r="C49" s="11">
        <f t="shared" si="0"/>
        <v>1.2540700469479743E-2</v>
      </c>
      <c r="E49" s="147">
        <v>38</v>
      </c>
      <c r="F49" s="237">
        <v>3753.8771748260724</v>
      </c>
      <c r="G49" s="11">
        <f t="shared" si="1"/>
        <v>5.2746422707670385E-3</v>
      </c>
    </row>
    <row r="50" spans="1:7" x14ac:dyDescent="0.25">
      <c r="A50">
        <v>39</v>
      </c>
      <c r="B50" s="8">
        <v>1092.3468692406</v>
      </c>
      <c r="C50" s="11">
        <f t="shared" si="0"/>
        <v>1.5762453072464566E-3</v>
      </c>
      <c r="E50" s="148">
        <v>39</v>
      </c>
      <c r="F50" s="238">
        <v>5376.4372334391974</v>
      </c>
      <c r="G50" s="11">
        <f t="shared" si="1"/>
        <v>7.5545314289453607E-3</v>
      </c>
    </row>
    <row r="51" spans="1:7" x14ac:dyDescent="0.25">
      <c r="A51">
        <v>40</v>
      </c>
      <c r="B51" s="8">
        <v>515.96155933770001</v>
      </c>
      <c r="C51" s="11">
        <f t="shared" si="0"/>
        <v>7.4452722805074521E-4</v>
      </c>
      <c r="E51" s="149">
        <v>40</v>
      </c>
      <c r="F51" s="239">
        <v>7253.4756050638689</v>
      </c>
      <c r="G51" s="11">
        <f t="shared" si="1"/>
        <v>1.0191992772970808E-2</v>
      </c>
    </row>
    <row r="52" spans="1:7" x14ac:dyDescent="0.25">
      <c r="A52">
        <v>41</v>
      </c>
      <c r="B52" s="8">
        <v>2505.9070916342002</v>
      </c>
      <c r="C52" s="11">
        <f t="shared" si="0"/>
        <v>3.6159981822715464E-3</v>
      </c>
      <c r="E52" s="150">
        <v>41</v>
      </c>
      <c r="F52" s="240">
        <v>2277.6676909604516</v>
      </c>
      <c r="G52" s="11">
        <f t="shared" si="1"/>
        <v>3.2003930128739469E-3</v>
      </c>
    </row>
    <row r="53" spans="1:7" x14ac:dyDescent="0.25">
      <c r="A53">
        <v>42</v>
      </c>
      <c r="B53" s="8">
        <v>1195.9900334889999</v>
      </c>
      <c r="C53" s="11">
        <f t="shared" si="0"/>
        <v>1.7258013282091813E-3</v>
      </c>
      <c r="E53" s="151">
        <v>42</v>
      </c>
      <c r="F53" s="241">
        <v>5883.1308641863889</v>
      </c>
      <c r="G53" s="11">
        <f t="shared" si="1"/>
        <v>8.2664960241085987E-3</v>
      </c>
    </row>
    <row r="54" spans="1:7" x14ac:dyDescent="0.25">
      <c r="A54">
        <v>43</v>
      </c>
      <c r="B54" s="8">
        <v>0</v>
      </c>
      <c r="C54" s="11">
        <f t="shared" si="0"/>
        <v>0</v>
      </c>
      <c r="E54" s="152">
        <v>43</v>
      </c>
      <c r="F54" s="242">
        <v>2579.3064720539801</v>
      </c>
      <c r="G54" s="11">
        <f t="shared" si="1"/>
        <v>3.6242312449632236E-3</v>
      </c>
    </row>
    <row r="55" spans="1:7" x14ac:dyDescent="0.25">
      <c r="A55">
        <v>44</v>
      </c>
      <c r="B55" s="8">
        <v>157.25050445919999</v>
      </c>
      <c r="C55" s="11">
        <f t="shared" si="0"/>
        <v>2.2691086201241927E-4</v>
      </c>
      <c r="E55" s="153">
        <v>44</v>
      </c>
      <c r="F55" s="243">
        <v>2147.9480195177248</v>
      </c>
      <c r="G55" s="11">
        <f t="shared" si="1"/>
        <v>3.0181215025191842E-3</v>
      </c>
    </row>
    <row r="56" spans="1:7" x14ac:dyDescent="0.25">
      <c r="A56">
        <v>45</v>
      </c>
      <c r="B56" s="8">
        <v>28048.922195568801</v>
      </c>
      <c r="C56" s="11">
        <f t="shared" si="0"/>
        <v>4.0474306494623351E-2</v>
      </c>
      <c r="E56" s="154">
        <v>45</v>
      </c>
      <c r="F56" s="244">
        <v>1813.0032742811475</v>
      </c>
      <c r="G56" s="11">
        <f t="shared" si="1"/>
        <v>2.5474844440016783E-3</v>
      </c>
    </row>
    <row r="57" spans="1:7" x14ac:dyDescent="0.25">
      <c r="A57">
        <v>46</v>
      </c>
      <c r="B57" s="8">
        <v>1606.876750787</v>
      </c>
      <c r="C57" s="11">
        <f t="shared" si="0"/>
        <v>2.3187066389564227E-3</v>
      </c>
      <c r="E57" s="155">
        <v>46</v>
      </c>
      <c r="F57" s="245">
        <v>1603.3436361125314</v>
      </c>
      <c r="G57" s="11">
        <f t="shared" si="1"/>
        <v>2.2528878073897881E-3</v>
      </c>
    </row>
    <row r="58" spans="1:7" x14ac:dyDescent="0.25">
      <c r="A58">
        <v>47</v>
      </c>
      <c r="B58" s="8">
        <v>1338.7469319639999</v>
      </c>
      <c r="C58" s="11">
        <f t="shared" si="0"/>
        <v>1.931798065724172E-3</v>
      </c>
      <c r="E58" s="156">
        <v>47</v>
      </c>
      <c r="F58" s="246">
        <v>2485.9957675521382</v>
      </c>
      <c r="G58" s="11">
        <f t="shared" si="1"/>
        <v>3.4931186476781853E-3</v>
      </c>
    </row>
    <row r="59" spans="1:7" x14ac:dyDescent="0.25">
      <c r="A59">
        <v>48</v>
      </c>
      <c r="B59" s="8">
        <v>0</v>
      </c>
      <c r="C59" s="11">
        <f t="shared" si="0"/>
        <v>0</v>
      </c>
      <c r="E59" s="157">
        <v>48</v>
      </c>
      <c r="F59" s="247">
        <v>1184.9400927031131</v>
      </c>
      <c r="G59" s="11">
        <f t="shared" si="1"/>
        <v>1.6649812474453271E-3</v>
      </c>
    </row>
    <row r="60" spans="1:7" x14ac:dyDescent="0.25">
      <c r="A60">
        <v>49</v>
      </c>
      <c r="B60" s="8">
        <v>0</v>
      </c>
      <c r="C60" s="11">
        <f t="shared" si="0"/>
        <v>0</v>
      </c>
      <c r="E60" s="158">
        <v>49</v>
      </c>
      <c r="F60" s="248">
        <v>2402.1599640763438</v>
      </c>
      <c r="G60" s="11">
        <f t="shared" si="1"/>
        <v>3.3753194091248806E-3</v>
      </c>
    </row>
    <row r="61" spans="1:7" x14ac:dyDescent="0.25">
      <c r="A61">
        <v>50</v>
      </c>
      <c r="B61" s="8">
        <v>0</v>
      </c>
      <c r="C61" s="11">
        <f t="shared" si="0"/>
        <v>0</v>
      </c>
      <c r="E61" s="159">
        <v>50</v>
      </c>
      <c r="F61" s="249">
        <v>1470.6219366437692</v>
      </c>
      <c r="G61" s="11">
        <f t="shared" si="1"/>
        <v>2.0663980919135732E-3</v>
      </c>
    </row>
    <row r="62" spans="1:7" x14ac:dyDescent="0.25">
      <c r="A62">
        <v>51</v>
      </c>
      <c r="B62" s="8">
        <v>0</v>
      </c>
      <c r="C62" s="11">
        <f t="shared" si="0"/>
        <v>0</v>
      </c>
      <c r="E62" s="160">
        <v>51</v>
      </c>
      <c r="F62" s="250">
        <v>858.69994707160902</v>
      </c>
      <c r="G62" s="11">
        <f t="shared" si="1"/>
        <v>1.2065751828811992E-3</v>
      </c>
    </row>
    <row r="63" spans="1:7" x14ac:dyDescent="0.25">
      <c r="A63">
        <v>52</v>
      </c>
      <c r="B63" s="8">
        <v>1089.82717822</v>
      </c>
      <c r="C63" s="11">
        <f t="shared" si="0"/>
        <v>1.5726094189963324E-3</v>
      </c>
      <c r="E63" s="161">
        <v>52</v>
      </c>
      <c r="F63" s="251">
        <v>3289.4869403912107</v>
      </c>
      <c r="G63" s="11">
        <f t="shared" si="1"/>
        <v>4.6221189604392235E-3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162">
        <v>53</v>
      </c>
      <c r="F64" s="252">
        <v>773.37200131509223</v>
      </c>
      <c r="G64" s="11">
        <f t="shared" si="1"/>
        <v>1.0866793076023567E-3</v>
      </c>
    </row>
    <row r="65" spans="1:7" x14ac:dyDescent="0.25">
      <c r="A65">
        <v>54</v>
      </c>
      <c r="B65" s="8">
        <v>10526.631561496999</v>
      </c>
      <c r="C65" s="11">
        <f t="shared" si="0"/>
        <v>1.5189821170501669E-2</v>
      </c>
      <c r="E65" s="163">
        <v>54</v>
      </c>
      <c r="F65" s="253">
        <v>533.21684594791986</v>
      </c>
      <c r="G65" s="11">
        <f t="shared" si="1"/>
        <v>7.492328555614733E-4</v>
      </c>
    </row>
    <row r="66" spans="1:7" x14ac:dyDescent="0.25">
      <c r="A66">
        <v>55</v>
      </c>
      <c r="B66" s="8">
        <v>183.053312801</v>
      </c>
      <c r="C66" s="11">
        <f t="shared" si="0"/>
        <v>2.6414404929734909E-4</v>
      </c>
      <c r="E66" s="164">
        <v>55</v>
      </c>
      <c r="F66" s="254">
        <v>537.72228954329978</v>
      </c>
      <c r="G66" s="11">
        <f t="shared" si="1"/>
        <v>7.5556353771487881E-4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165">
        <v>56</v>
      </c>
      <c r="F67" s="255">
        <v>759.46489474183761</v>
      </c>
      <c r="G67" s="11">
        <f t="shared" si="1"/>
        <v>1.0671381748537207E-3</v>
      </c>
    </row>
    <row r="68" spans="1:7" x14ac:dyDescent="0.25">
      <c r="A68">
        <v>57</v>
      </c>
      <c r="B68" s="8">
        <v>0</v>
      </c>
      <c r="C68" s="11">
        <f t="shared" si="0"/>
        <v>0</v>
      </c>
      <c r="E68" s="166">
        <v>57</v>
      </c>
      <c r="F68" s="256">
        <v>432.60044260981755</v>
      </c>
      <c r="G68" s="11">
        <f t="shared" si="1"/>
        <v>6.078548856751012E-4</v>
      </c>
    </row>
    <row r="69" spans="1:7" x14ac:dyDescent="0.25">
      <c r="A69">
        <v>58</v>
      </c>
      <c r="B69" s="8">
        <v>0</v>
      </c>
      <c r="C69" s="11">
        <f t="shared" si="0"/>
        <v>0</v>
      </c>
      <c r="E69" s="167">
        <v>58</v>
      </c>
      <c r="F69" s="257">
        <v>704.45553830800645</v>
      </c>
      <c r="G69" s="11">
        <f t="shared" si="1"/>
        <v>9.8984351037205171E-4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168">
        <v>59</v>
      </c>
      <c r="F70" s="258">
        <v>365.78438682862907</v>
      </c>
      <c r="G70" s="11">
        <f t="shared" si="1"/>
        <v>5.1397040949862261E-4</v>
      </c>
    </row>
    <row r="71" spans="1:7" x14ac:dyDescent="0.25">
      <c r="A71">
        <v>60</v>
      </c>
      <c r="B71" s="8">
        <v>643.99071241199999</v>
      </c>
      <c r="C71" s="11">
        <f t="shared" si="0"/>
        <v>9.2927198029633799E-4</v>
      </c>
      <c r="E71" s="169">
        <v>60</v>
      </c>
      <c r="F71" s="259">
        <v>1302.0190724048448</v>
      </c>
      <c r="G71" s="11">
        <f t="shared" si="1"/>
        <v>1.8294910879628561E-3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170">
        <v>61</v>
      </c>
      <c r="F72" s="260">
        <v>222.99186470115748</v>
      </c>
      <c r="G72" s="11">
        <f t="shared" si="1"/>
        <v>3.1332999477916756E-4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171">
        <v>62</v>
      </c>
      <c r="F73" s="261">
        <v>222.0012369236901</v>
      </c>
      <c r="G73" s="11">
        <f t="shared" si="1"/>
        <v>3.119380453609324E-4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172">
        <v>63</v>
      </c>
      <c r="F74" s="262">
        <v>207.9353010303474</v>
      </c>
      <c r="G74" s="11">
        <f t="shared" si="1"/>
        <v>2.9217373859605743E-4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173">
        <v>64</v>
      </c>
      <c r="F75" s="263">
        <v>293.53668527408155</v>
      </c>
      <c r="G75" s="11">
        <f t="shared" si="1"/>
        <v>4.1245382735231558E-4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174">
        <v>65</v>
      </c>
      <c r="F76" s="264">
        <v>184.01266849677702</v>
      </c>
      <c r="G76" s="11">
        <f t="shared" si="1"/>
        <v>2.5855960501816708E-4</v>
      </c>
    </row>
    <row r="77" spans="1:7" x14ac:dyDescent="0.25">
      <c r="A77">
        <v>66</v>
      </c>
      <c r="B77" s="8">
        <v>250.40304101000001</v>
      </c>
      <c r="C77" s="11">
        <f t="shared" ref="C77:C102" si="2">B77/B$102</f>
        <v>3.6132901501026665E-4</v>
      </c>
      <c r="E77" s="175">
        <v>66</v>
      </c>
      <c r="F77" s="265">
        <v>86.659004327795799</v>
      </c>
      <c r="G77" s="11">
        <f t="shared" ref="G77:G102" si="3">F77/F$102</f>
        <v>1.217661703039482E-4</v>
      </c>
    </row>
    <row r="78" spans="1:7" x14ac:dyDescent="0.25">
      <c r="A78">
        <v>67</v>
      </c>
      <c r="B78" s="8">
        <v>1607.3470591099999</v>
      </c>
      <c r="C78" s="11">
        <f t="shared" si="2"/>
        <v>2.3193852890335755E-3</v>
      </c>
      <c r="E78" s="176">
        <v>67</v>
      </c>
      <c r="F78" s="266">
        <v>88.245005357555542</v>
      </c>
      <c r="G78" s="11">
        <f t="shared" si="3"/>
        <v>1.2399468969428716E-4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177">
        <v>68</v>
      </c>
      <c r="F79" s="267">
        <v>73.206314956672941</v>
      </c>
      <c r="G79" s="11">
        <f t="shared" si="3"/>
        <v>1.0286354757343471E-4</v>
      </c>
    </row>
    <row r="80" spans="1:7" x14ac:dyDescent="0.25">
      <c r="A80">
        <v>69</v>
      </c>
      <c r="B80" s="8">
        <v>0</v>
      </c>
      <c r="C80" s="11">
        <f t="shared" si="2"/>
        <v>0</v>
      </c>
      <c r="E80" s="178">
        <v>69</v>
      </c>
      <c r="F80" s="268">
        <v>95.461386465207966</v>
      </c>
      <c r="G80" s="11">
        <f t="shared" si="3"/>
        <v>1.3413456030264071E-4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179">
        <v>70</v>
      </c>
      <c r="F81" s="269">
        <v>60.968161979067339</v>
      </c>
      <c r="G81" s="11">
        <f t="shared" si="3"/>
        <v>8.5667492400216932E-5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180">
        <v>71</v>
      </c>
      <c r="F82" s="270">
        <v>20.229611211573239</v>
      </c>
      <c r="G82" s="11">
        <f t="shared" si="3"/>
        <v>2.8425000991858745E-5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181">
        <v>72</v>
      </c>
      <c r="F83" s="271">
        <v>55.294852680798996</v>
      </c>
      <c r="G83" s="11">
        <f t="shared" si="3"/>
        <v>7.7695820540396867E-5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182">
        <v>73</v>
      </c>
      <c r="F84" s="272">
        <v>45.537567866824737</v>
      </c>
      <c r="G84" s="11">
        <f t="shared" si="3"/>
        <v>6.3985679123719722E-5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183">
        <v>74</v>
      </c>
      <c r="F85" s="273">
        <v>29.929937246216319</v>
      </c>
      <c r="G85" s="11">
        <f t="shared" si="3"/>
        <v>4.205510857387388E-5</v>
      </c>
    </row>
    <row r="86" spans="1:7" x14ac:dyDescent="0.25">
      <c r="A86">
        <v>75</v>
      </c>
      <c r="B86" s="8">
        <v>444.57246729600001</v>
      </c>
      <c r="C86" s="11">
        <f t="shared" si="2"/>
        <v>6.4151350183615588E-4</v>
      </c>
      <c r="E86" s="184">
        <v>75</v>
      </c>
      <c r="F86" s="274">
        <v>14.86622325043378</v>
      </c>
      <c r="G86" s="11">
        <f t="shared" si="3"/>
        <v>2.0888805336853069E-5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185">
        <v>76</v>
      </c>
      <c r="F87" s="275">
        <v>50.623866144018599</v>
      </c>
      <c r="G87" s="11">
        <f t="shared" si="3"/>
        <v>7.1132530937234183E-5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186">
        <v>77</v>
      </c>
      <c r="F88" s="276">
        <v>12.18877551020408</v>
      </c>
      <c r="G88" s="11">
        <f t="shared" si="3"/>
        <v>1.7126673980213888E-5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187">
        <v>78</v>
      </c>
      <c r="F89" s="277">
        <v>0.25</v>
      </c>
      <c r="G89" s="11">
        <f t="shared" si="3"/>
        <v>3.512796253790208E-7</v>
      </c>
    </row>
    <row r="90" spans="1:7" x14ac:dyDescent="0.25">
      <c r="A90">
        <v>79</v>
      </c>
      <c r="B90" s="8">
        <v>256.37131749600002</v>
      </c>
      <c r="C90" s="11">
        <f t="shared" si="2"/>
        <v>3.6994117664894736E-4</v>
      </c>
      <c r="E90" s="188">
        <v>79</v>
      </c>
      <c r="F90" s="278">
        <v>15.232142857142859</v>
      </c>
      <c r="G90" s="11">
        <f t="shared" si="3"/>
        <v>2.1402965746307485E-5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189">
        <v>80</v>
      </c>
      <c r="F91" s="279">
        <v>10</v>
      </c>
      <c r="G91" s="11">
        <f t="shared" si="3"/>
        <v>1.4051185015160832E-5</v>
      </c>
    </row>
    <row r="92" spans="1:7" x14ac:dyDescent="0.25">
      <c r="A92">
        <v>81</v>
      </c>
      <c r="B92" s="8">
        <v>668.71153577099994</v>
      </c>
      <c r="C92" s="11">
        <f t="shared" si="2"/>
        <v>9.649438743696753E-4</v>
      </c>
      <c r="E92" s="190">
        <v>81</v>
      </c>
      <c r="F92" s="280">
        <v>19.91280864197531</v>
      </c>
      <c r="G92" s="11">
        <f t="shared" si="3"/>
        <v>2.7979855839988858E-5</v>
      </c>
    </row>
    <row r="93" spans="1:7" x14ac:dyDescent="0.25">
      <c r="A93">
        <v>82</v>
      </c>
      <c r="B93" s="8">
        <v>569.50120905100005</v>
      </c>
      <c r="C93" s="11">
        <f t="shared" si="2"/>
        <v>8.2178439240814145E-4</v>
      </c>
      <c r="E93" s="191">
        <v>82</v>
      </c>
      <c r="F93" s="281">
        <v>0.25</v>
      </c>
      <c r="G93" s="11">
        <f t="shared" si="3"/>
        <v>3.512796253790208E-7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192">
        <v>83</v>
      </c>
      <c r="F94" s="282">
        <v>1.98</v>
      </c>
      <c r="G94" s="11">
        <f t="shared" si="3"/>
        <v>2.7821346330018446E-6</v>
      </c>
    </row>
    <row r="95" spans="1:7" x14ac:dyDescent="0.25">
      <c r="A95">
        <v>84</v>
      </c>
      <c r="B95" s="8">
        <v>258.88381724599998</v>
      </c>
      <c r="C95" s="11">
        <f t="shared" si="2"/>
        <v>3.7356668796949385E-4</v>
      </c>
      <c r="E95" s="193">
        <v>84</v>
      </c>
      <c r="F95" s="283">
        <v>10.015873015873</v>
      </c>
      <c r="G95" s="11">
        <f t="shared" si="3"/>
        <v>1.4073488483438843E-5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94">
        <v>85</v>
      </c>
      <c r="F96" s="284">
        <v>0</v>
      </c>
      <c r="G96" s="11">
        <f t="shared" si="3"/>
        <v>0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95">
        <v>86</v>
      </c>
      <c r="F97" s="285">
        <v>0</v>
      </c>
      <c r="G97" s="11">
        <f t="shared" si="3"/>
        <v>0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96">
        <v>87</v>
      </c>
      <c r="F98" s="286">
        <v>0.5</v>
      </c>
      <c r="G98" s="11">
        <f t="shared" si="3"/>
        <v>7.0255925075804159E-7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97">
        <v>88</v>
      </c>
      <c r="F99" s="287">
        <v>100.00040049057246</v>
      </c>
      <c r="G99" s="11">
        <f t="shared" si="3"/>
        <v>1.4051241288832135E-4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98">
        <v>89</v>
      </c>
      <c r="F100" s="288">
        <v>10.032786885245899</v>
      </c>
      <c r="G100" s="11">
        <f t="shared" si="3"/>
        <v>1.4097254474226929E-5</v>
      </c>
    </row>
    <row r="101" spans="1:7" ht="15.75" thickBot="1" x14ac:dyDescent="0.3">
      <c r="A101" s="1">
        <v>90</v>
      </c>
      <c r="B101" s="9">
        <v>149.32180002199999</v>
      </c>
      <c r="C101" s="11">
        <f t="shared" si="2"/>
        <v>2.1546982298571433E-4</v>
      </c>
      <c r="E101" s="292">
        <v>90</v>
      </c>
      <c r="F101" s="292">
        <v>29.967751479289902</v>
      </c>
      <c r="G101" s="11">
        <f t="shared" si="3"/>
        <v>4.2108242052386209E-5</v>
      </c>
    </row>
    <row r="102" spans="1:7" x14ac:dyDescent="0.25">
      <c r="B102" s="8">
        <f>SUM(B11:B101)</f>
        <v>693005.6281333653</v>
      </c>
      <c r="C102" s="11">
        <f t="shared" si="2"/>
        <v>1</v>
      </c>
      <c r="F102" s="8">
        <f>SUM(F11:F101)</f>
        <v>711683.74690179387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opLeftCell="F13" zoomScaleNormal="100" workbookViewId="0">
      <selection activeCell="AD37" sqref="AD37"/>
    </sheetView>
  </sheetViews>
  <sheetFormatPr defaultRowHeight="15" x14ac:dyDescent="0.25"/>
  <cols>
    <col min="4" max="4" width="12.28515625" bestFit="1" customWidth="1" collapsed="1"/>
    <col min="13" max="14" width="10.5703125" bestFit="1" customWidth="1" collapsed="1"/>
    <col min="15" max="15" width="12.42578125" bestFit="1" customWidth="1" collapsed="1"/>
    <col min="16" max="19" width="10.57031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r="5" spans="1:21" ht="15.75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>
        <v>10186.0086381006</v>
      </c>
      <c r="C7" s="12">
        <v>2849.560516044</v>
      </c>
      <c r="D7" s="12">
        <v>1770.9887547650001</v>
      </c>
      <c r="E7" s="12">
        <v>593.11938678000001</v>
      </c>
      <c r="F7" s="12">
        <v>369.3324893894</v>
      </c>
      <c r="G7" s="12">
        <v>194.27564340800001</v>
      </c>
      <c r="H7" s="12">
        <v>2005.698525535</v>
      </c>
      <c r="I7" s="12"/>
      <c r="J7" s="12">
        <f>SUM(B7:I7)</f>
        <v>17968.983954021998</v>
      </c>
      <c r="K7" s="12"/>
      <c r="L7" t="str">
        <f>$A$7</f>
        <v>Bellevue</v>
      </c>
      <c r="M7" s="343">
        <v>12956.25</v>
      </c>
      <c r="N7" s="343">
        <v>3851.25</v>
      </c>
      <c r="O7" s="343">
        <v>749.75</v>
      </c>
      <c r="P7" s="343">
        <v>1996.25</v>
      </c>
      <c r="Q7" s="343">
        <v>814.5</v>
      </c>
      <c r="R7" s="343">
        <v>391.75</v>
      </c>
      <c r="S7" s="343">
        <v>2289.75</v>
      </c>
      <c r="T7" s="291"/>
      <c r="U7" s="12">
        <f>SUM(M7:T7)</f>
        <v>23049.5</v>
      </c>
    </row>
    <row r="8" spans="1:21" x14ac:dyDescent="0.25">
      <c r="A8" t="s">
        <v>250</v>
      </c>
      <c r="B8" s="12">
        <v>421.44957801700002</v>
      </c>
      <c r="C8" s="12">
        <v>388.869709796</v>
      </c>
      <c r="D8" s="12">
        <v>0</v>
      </c>
      <c r="E8" s="12">
        <v>796.751705152</v>
      </c>
      <c r="F8" s="12">
        <v>0</v>
      </c>
      <c r="G8" s="12">
        <v>0</v>
      </c>
      <c r="H8" s="12">
        <v>0</v>
      </c>
      <c r="I8" s="12"/>
      <c r="J8" s="12">
        <f t="shared" ref="J8:J14" si="0">SUM(B8:I8)</f>
        <v>1607.0709929650002</v>
      </c>
      <c r="K8" s="12"/>
      <c r="L8" t="str">
        <f>$A$8</f>
        <v>Bellevue Downtown</v>
      </c>
      <c r="M8" s="343">
        <v>482.75</v>
      </c>
      <c r="N8" s="343">
        <v>1167.25</v>
      </c>
      <c r="O8" s="343">
        <v>25.25</v>
      </c>
      <c r="P8" s="343">
        <v>25.75</v>
      </c>
      <c r="Q8" s="343">
        <v>11</v>
      </c>
      <c r="R8" s="343">
        <v>5.5</v>
      </c>
      <c r="S8" s="343">
        <v>14.75</v>
      </c>
      <c r="T8" s="291"/>
      <c r="U8" s="12">
        <f t="shared" ref="U8:U14" si="1">SUM(M8:T8)</f>
        <v>1732.25</v>
      </c>
    </row>
    <row r="9" spans="1:21" x14ac:dyDescent="0.25">
      <c r="A9" t="s">
        <v>251</v>
      </c>
      <c r="B9" s="12">
        <v>298.46687061299997</v>
      </c>
      <c r="C9" s="12">
        <v>1100.6198656510001</v>
      </c>
      <c r="D9" s="12">
        <v>12876.117613169001</v>
      </c>
      <c r="E9" s="12">
        <v>2825.6530529166998</v>
      </c>
      <c r="F9" s="12">
        <v>1120.8068290428</v>
      </c>
      <c r="G9" s="12">
        <v>0</v>
      </c>
      <c r="H9" s="12">
        <v>2711.074635077</v>
      </c>
      <c r="I9" s="12"/>
      <c r="J9" s="12">
        <f t="shared" si="0"/>
        <v>20932.738866469503</v>
      </c>
      <c r="K9" s="13"/>
      <c r="L9" t="str">
        <f>$A$9</f>
        <v>Kirkland</v>
      </c>
      <c r="M9" s="343">
        <v>1402.75</v>
      </c>
      <c r="N9" s="343">
        <v>748</v>
      </c>
      <c r="O9" s="343">
        <v>11790.25</v>
      </c>
      <c r="P9" s="343">
        <v>2105.75</v>
      </c>
      <c r="Q9" s="343">
        <v>1532</v>
      </c>
      <c r="R9" s="343">
        <v>210</v>
      </c>
      <c r="S9" s="343">
        <v>2273</v>
      </c>
      <c r="T9" s="291"/>
      <c r="U9" s="12">
        <f t="shared" si="1"/>
        <v>20061.75</v>
      </c>
    </row>
    <row r="10" spans="1:21" x14ac:dyDescent="0.25">
      <c r="A10" t="s">
        <v>252</v>
      </c>
      <c r="B10" s="12">
        <v>485.99543888599999</v>
      </c>
      <c r="C10" s="12">
        <v>0</v>
      </c>
      <c r="D10" s="12">
        <v>1478.4824081478</v>
      </c>
      <c r="E10" s="12">
        <v>17618.818946887699</v>
      </c>
      <c r="F10" s="12">
        <v>0</v>
      </c>
      <c r="G10" s="12">
        <v>0</v>
      </c>
      <c r="H10" s="12">
        <v>113.29750371999999</v>
      </c>
      <c r="I10" s="12"/>
      <c r="J10" s="12">
        <f t="shared" si="0"/>
        <v>19696.594297641499</v>
      </c>
      <c r="K10" s="13"/>
      <c r="L10" t="str">
        <f>$A$10</f>
        <v>Redmond</v>
      </c>
      <c r="M10" s="343">
        <v>2258</v>
      </c>
      <c r="N10" s="343">
        <v>491</v>
      </c>
      <c r="O10" s="343">
        <v>2438.75</v>
      </c>
      <c r="P10" s="343">
        <v>8950.75</v>
      </c>
      <c r="Q10" s="343">
        <v>424.25</v>
      </c>
      <c r="R10" s="343">
        <v>99.75</v>
      </c>
      <c r="S10" s="343">
        <v>1259.75</v>
      </c>
      <c r="T10" s="291"/>
      <c r="U10" s="12">
        <f t="shared" si="1"/>
        <v>15922.25</v>
      </c>
    </row>
    <row r="11" spans="1:21" x14ac:dyDescent="0.25">
      <c r="A11" t="s">
        <v>248</v>
      </c>
      <c r="B11" s="12">
        <v>0</v>
      </c>
      <c r="C11" s="12">
        <v>109.05930839929999</v>
      </c>
      <c r="D11" s="12">
        <v>0</v>
      </c>
      <c r="E11" s="12">
        <v>0</v>
      </c>
      <c r="F11" s="12">
        <v>89978.831413285807</v>
      </c>
      <c r="G11" s="12">
        <v>6946.5674062645003</v>
      </c>
      <c r="H11" s="12">
        <v>8080.0100283098</v>
      </c>
      <c r="I11" s="12"/>
      <c r="J11" s="12">
        <f t="shared" si="0"/>
        <v>105114.46815625941</v>
      </c>
      <c r="K11" s="13"/>
      <c r="L11" t="str">
        <f>$A$11</f>
        <v>Seattle</v>
      </c>
      <c r="M11" s="343">
        <v>1260.943161538873</v>
      </c>
      <c r="N11" s="343">
        <v>573.58612032832593</v>
      </c>
      <c r="O11" s="343">
        <v>1126.9718632331947</v>
      </c>
      <c r="P11" s="343">
        <v>453.66938077135814</v>
      </c>
      <c r="Q11" s="343">
        <v>72898.540567777658</v>
      </c>
      <c r="R11" s="343">
        <v>9426.1665661140796</v>
      </c>
      <c r="S11" s="343">
        <v>10258.768104134193</v>
      </c>
      <c r="T11" s="291"/>
      <c r="U11" s="12">
        <f t="shared" si="1"/>
        <v>95998.645763897686</v>
      </c>
    </row>
    <row r="12" spans="1:21" x14ac:dyDescent="0.25">
      <c r="A12" t="s">
        <v>253</v>
      </c>
      <c r="B12" s="12">
        <v>71.914494349799995</v>
      </c>
      <c r="C12" s="12">
        <v>0</v>
      </c>
      <c r="D12" s="12">
        <v>0</v>
      </c>
      <c r="E12" s="12">
        <v>0</v>
      </c>
      <c r="F12" s="12">
        <v>4435.5454678812002</v>
      </c>
      <c r="G12" s="12">
        <v>8152.8204414182001</v>
      </c>
      <c r="H12" s="12">
        <v>144.23053693029999</v>
      </c>
      <c r="I12" s="12"/>
      <c r="J12" s="12">
        <f t="shared" si="0"/>
        <v>12804.510940579501</v>
      </c>
      <c r="K12" s="13"/>
      <c r="L12" t="str">
        <f>$A$12</f>
        <v>Seattle Downtown</v>
      </c>
      <c r="M12" s="343">
        <v>85.908255130650488</v>
      </c>
      <c r="N12" s="343">
        <v>29.936125337923841</v>
      </c>
      <c r="O12" s="343">
        <v>23.99261517061327</v>
      </c>
      <c r="P12" s="343">
        <v>13.9962962962963</v>
      </c>
      <c r="Q12" s="343">
        <v>1379.3511382716902</v>
      </c>
      <c r="R12" s="343">
        <v>8182.8957917319176</v>
      </c>
      <c r="S12" s="343">
        <v>209.41090896653341</v>
      </c>
      <c r="T12" s="291"/>
      <c r="U12" s="12">
        <f t="shared" si="1"/>
        <v>9925.4911309056242</v>
      </c>
    </row>
    <row r="13" spans="1:21" x14ac:dyDescent="0.25">
      <c r="A13" t="s">
        <v>254</v>
      </c>
      <c r="B13" s="12">
        <v>776.05144189999999</v>
      </c>
      <c r="C13" s="12">
        <v>1602.1303793089999</v>
      </c>
      <c r="D13" s="12">
        <v>1020.4236710519999</v>
      </c>
      <c r="E13" s="12">
        <v>272.274861354</v>
      </c>
      <c r="F13" s="12">
        <v>7156.2331998110003</v>
      </c>
      <c r="G13" s="12">
        <v>3107.520417879</v>
      </c>
      <c r="H13" s="12">
        <v>510378.81412814639</v>
      </c>
      <c r="I13" s="12"/>
      <c r="J13" s="12">
        <f t="shared" si="0"/>
        <v>524313.44809945137</v>
      </c>
      <c r="K13" s="13"/>
      <c r="L13" t="str">
        <f>$A$13</f>
        <v>Rest</v>
      </c>
      <c r="M13" s="343">
        <v>5769.8698355936194</v>
      </c>
      <c r="N13" s="343">
        <v>1895.2691098746011</v>
      </c>
      <c r="O13" s="343">
        <v>4208.6845660007893</v>
      </c>
      <c r="P13" s="343">
        <v>5939.8179395010775</v>
      </c>
      <c r="Q13" s="343">
        <v>9157.555644456148</v>
      </c>
      <c r="R13" s="343">
        <v>1980.2140952484699</v>
      </c>
      <c r="S13" s="343">
        <v>511434.72028690297</v>
      </c>
      <c r="T13" s="291"/>
      <c r="U13" s="12">
        <f t="shared" si="1"/>
        <v>540386.13147757773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12239.886461866399</v>
      </c>
      <c r="C15" s="15">
        <f t="shared" si="2"/>
        <v>6050.2397791992998</v>
      </c>
      <c r="D15" s="15">
        <f t="shared" si="2"/>
        <v>17146.012447133799</v>
      </c>
      <c r="E15" s="15">
        <f t="shared" si="2"/>
        <v>22106.617953090397</v>
      </c>
      <c r="F15" s="15">
        <f t="shared" si="2"/>
        <v>103060.7493994102</v>
      </c>
      <c r="G15" s="15">
        <f t="shared" si="2"/>
        <v>18401.183908969702</v>
      </c>
      <c r="H15" s="15">
        <f t="shared" si="2"/>
        <v>523433.1253577185</v>
      </c>
      <c r="I15" s="15">
        <f t="shared" si="2"/>
        <v>0</v>
      </c>
      <c r="J15" s="15">
        <f t="shared" si="2"/>
        <v>702437.81530738831</v>
      </c>
      <c r="K15" s="12"/>
      <c r="L15" s="15" t="s">
        <v>4</v>
      </c>
      <c r="M15" s="15">
        <f t="shared" ref="M15:U15" si="3">SUM(M7:M14)</f>
        <v>24216.471252263145</v>
      </c>
      <c r="N15" s="15">
        <f t="shared" si="3"/>
        <v>8756.2913555408504</v>
      </c>
      <c r="O15" s="15">
        <f t="shared" si="3"/>
        <v>20363.649044404599</v>
      </c>
      <c r="P15" s="15">
        <f t="shared" si="3"/>
        <v>19485.98361656873</v>
      </c>
      <c r="Q15" s="15">
        <f t="shared" si="3"/>
        <v>86217.197350505507</v>
      </c>
      <c r="R15" s="15">
        <f t="shared" si="3"/>
        <v>20296.276453094466</v>
      </c>
      <c r="S15" s="15">
        <f t="shared" si="3"/>
        <v>527740.14930000366</v>
      </c>
      <c r="T15" s="15">
        <f t="shared" si="3"/>
        <v>0</v>
      </c>
      <c r="U15" s="15">
        <f t="shared" si="3"/>
        <v>707076.01837238111</v>
      </c>
    </row>
    <row r="18" spans="1:32" ht="15.75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13065.98117648986</v>
      </c>
      <c r="C20" s="12">
        <f t="shared" si="4"/>
        <v>3655.2397888838232</v>
      </c>
      <c r="D20" s="12">
        <f t="shared" si="4"/>
        <v>2271.7147172819996</v>
      </c>
      <c r="E20" s="12">
        <f t="shared" si="4"/>
        <v>760.81682417695106</v>
      </c>
      <c r="F20" s="12">
        <f t="shared" si="4"/>
        <v>473.75684879920692</v>
      </c>
      <c r="G20" s="12">
        <f t="shared" si="4"/>
        <v>249.20476606749904</v>
      </c>
      <c r="H20" s="12">
        <f t="shared" ref="H20" si="5">($U7/$J7)*H7</f>
        <v>2572.7858783006618</v>
      </c>
      <c r="I20" s="12"/>
      <c r="J20" s="12">
        <f>SUM(B20:I20)</f>
        <v>23049.500000000004</v>
      </c>
      <c r="K20" s="12"/>
      <c r="L20" t="str">
        <f>$A$7</f>
        <v>Bellevue</v>
      </c>
      <c r="M20" s="12">
        <f t="shared" ref="M20:M26" si="6">M7</f>
        <v>12956.25</v>
      </c>
      <c r="N20" s="12">
        <f t="shared" ref="N20:U20" si="7">N7</f>
        <v>3851.25</v>
      </c>
      <c r="O20" s="12">
        <f t="shared" si="7"/>
        <v>749.75</v>
      </c>
      <c r="P20" s="12">
        <f t="shared" si="7"/>
        <v>1996.25</v>
      </c>
      <c r="Q20" s="12">
        <f t="shared" si="7"/>
        <v>814.5</v>
      </c>
      <c r="R20" s="12">
        <f t="shared" si="7"/>
        <v>391.75</v>
      </c>
      <c r="S20" s="12">
        <f t="shared" ref="S20" si="8">S7</f>
        <v>2289.75</v>
      </c>
      <c r="T20" s="12"/>
      <c r="U20" s="12">
        <f t="shared" si="7"/>
        <v>23049.5</v>
      </c>
    </row>
    <row r="21" spans="1:32" x14ac:dyDescent="0.25">
      <c r="A21" t="str">
        <f>$A$8</f>
        <v>Bellevue Downtown</v>
      </c>
      <c r="B21" s="12">
        <f t="shared" ref="B21:G26" si="9">($U8/$J8)*B8</f>
        <v>454.27739951488746</v>
      </c>
      <c r="C21" s="12">
        <f t="shared" si="9"/>
        <v>419.15979925150168</v>
      </c>
      <c r="D21" s="12">
        <f t="shared" si="9"/>
        <v>0</v>
      </c>
      <c r="E21" s="12">
        <f t="shared" si="9"/>
        <v>858.81280123361057</v>
      </c>
      <c r="F21" s="12">
        <f t="shared" si="9"/>
        <v>0</v>
      </c>
      <c r="G21" s="12">
        <f t="shared" si="9"/>
        <v>0</v>
      </c>
      <c r="H21" s="12">
        <f t="shared" ref="H21" si="10">($U8/$J8)*H8</f>
        <v>0</v>
      </c>
      <c r="I21" s="12"/>
      <c r="J21" s="12">
        <f t="shared" ref="J21:J27" si="11">SUM(B21:I21)</f>
        <v>1732.2499999999998</v>
      </c>
      <c r="K21" s="12"/>
      <c r="L21" t="str">
        <f>$A$8</f>
        <v>Bellevue Downtown</v>
      </c>
      <c r="M21" s="12">
        <f t="shared" si="6"/>
        <v>482.75</v>
      </c>
      <c r="N21" s="12">
        <f t="shared" ref="N21:R26" si="12">N8</f>
        <v>1167.25</v>
      </c>
      <c r="O21" s="12">
        <f t="shared" si="12"/>
        <v>25.25</v>
      </c>
      <c r="P21" s="12">
        <f t="shared" si="12"/>
        <v>25.75</v>
      </c>
      <c r="Q21" s="12">
        <f t="shared" si="12"/>
        <v>11</v>
      </c>
      <c r="R21" s="12">
        <f t="shared" si="12"/>
        <v>5.5</v>
      </c>
      <c r="S21" s="12">
        <f t="shared" ref="S21" si="13">S8</f>
        <v>14.75</v>
      </c>
      <c r="T21" s="12"/>
      <c r="U21" s="12">
        <f t="shared" ref="U21:U26" si="14">U8</f>
        <v>1732.25</v>
      </c>
    </row>
    <row r="22" spans="1:32" x14ac:dyDescent="0.25">
      <c r="A22" t="str">
        <f>$A$9</f>
        <v>Kirkland</v>
      </c>
      <c r="B22" s="12">
        <f t="shared" si="9"/>
        <v>286.04798348254769</v>
      </c>
      <c r="C22" s="12">
        <f t="shared" si="9"/>
        <v>1054.8242506905167</v>
      </c>
      <c r="D22" s="12">
        <f t="shared" si="9"/>
        <v>12340.356136567083</v>
      </c>
      <c r="E22" s="12">
        <f t="shared" si="9"/>
        <v>2708.0806527976565</v>
      </c>
      <c r="F22" s="12">
        <f t="shared" si="9"/>
        <v>1074.1712561353779</v>
      </c>
      <c r="G22" s="12">
        <f t="shared" si="9"/>
        <v>0</v>
      </c>
      <c r="H22" s="12">
        <f t="shared" ref="H22" si="15">($U9/$J9)*H9</f>
        <v>2598.2697203268172</v>
      </c>
      <c r="I22" s="12"/>
      <c r="J22" s="12">
        <f t="shared" si="11"/>
        <v>20061.75</v>
      </c>
      <c r="K22" s="13"/>
      <c r="L22" t="str">
        <f>$A$9</f>
        <v>Kirkland</v>
      </c>
      <c r="M22" s="12">
        <f t="shared" si="6"/>
        <v>1402.75</v>
      </c>
      <c r="N22" s="12">
        <f t="shared" si="12"/>
        <v>748</v>
      </c>
      <c r="O22" s="12">
        <f t="shared" si="12"/>
        <v>11790.25</v>
      </c>
      <c r="P22" s="12">
        <f t="shared" si="12"/>
        <v>2105.75</v>
      </c>
      <c r="Q22" s="12">
        <f t="shared" si="12"/>
        <v>1532</v>
      </c>
      <c r="R22" s="12">
        <f t="shared" si="12"/>
        <v>210</v>
      </c>
      <c r="S22" s="12">
        <f t="shared" ref="S22" si="16">S9</f>
        <v>2273</v>
      </c>
      <c r="T22" s="12"/>
      <c r="U22" s="12">
        <f t="shared" si="14"/>
        <v>20061.75</v>
      </c>
    </row>
    <row r="23" spans="1:32" x14ac:dyDescent="0.25">
      <c r="A23" t="str">
        <f>$A$10</f>
        <v>Redmond</v>
      </c>
      <c r="B23" s="12">
        <f t="shared" si="9"/>
        <v>392.86694744629989</v>
      </c>
      <c r="C23" s="12">
        <f t="shared" si="9"/>
        <v>0</v>
      </c>
      <c r="D23" s="12">
        <f t="shared" si="9"/>
        <v>1195.1693865142015</v>
      </c>
      <c r="E23" s="12">
        <f t="shared" si="9"/>
        <v>14242.62670682484</v>
      </c>
      <c r="F23" s="12">
        <f t="shared" si="9"/>
        <v>0</v>
      </c>
      <c r="G23" s="12">
        <f t="shared" si="9"/>
        <v>0</v>
      </c>
      <c r="H23" s="12">
        <f t="shared" ref="H23" si="17">($U10/$J10)*H10</f>
        <v>91.586959214658634</v>
      </c>
      <c r="I23" s="12"/>
      <c r="J23" s="12">
        <f>SUM(B23:I23)</f>
        <v>15922.25</v>
      </c>
      <c r="K23" s="13"/>
      <c r="L23" t="str">
        <f>$A$10</f>
        <v>Redmond</v>
      </c>
      <c r="M23" s="12">
        <f t="shared" si="6"/>
        <v>2258</v>
      </c>
      <c r="N23" s="12">
        <f t="shared" si="12"/>
        <v>491</v>
      </c>
      <c r="O23" s="12">
        <f t="shared" si="12"/>
        <v>2438.75</v>
      </c>
      <c r="P23" s="12">
        <f t="shared" si="12"/>
        <v>8950.75</v>
      </c>
      <c r="Q23" s="12">
        <f t="shared" si="12"/>
        <v>424.25</v>
      </c>
      <c r="R23" s="12">
        <f t="shared" si="12"/>
        <v>99.75</v>
      </c>
      <c r="S23" s="12">
        <f t="shared" ref="S23" si="18">S10</f>
        <v>1259.75</v>
      </c>
      <c r="T23" s="12"/>
      <c r="U23" s="12">
        <f t="shared" si="14"/>
        <v>15922.25</v>
      </c>
    </row>
    <row r="24" spans="1:32" x14ac:dyDescent="0.25">
      <c r="A24" t="str">
        <f>$A$11</f>
        <v>Seattle</v>
      </c>
      <c r="B24" s="12">
        <f t="shared" si="9"/>
        <v>0</v>
      </c>
      <c r="C24" s="12">
        <f t="shared" si="9"/>
        <v>99.601378363218473</v>
      </c>
      <c r="D24" s="12">
        <f t="shared" si="9"/>
        <v>0</v>
      </c>
      <c r="E24" s="12">
        <f t="shared" si="9"/>
        <v>0</v>
      </c>
      <c r="F24" s="12">
        <f t="shared" si="9"/>
        <v>82175.614019687389</v>
      </c>
      <c r="G24" s="12">
        <f t="shared" si="9"/>
        <v>6344.1415383245967</v>
      </c>
      <c r="H24" s="12">
        <f t="shared" ref="H24" si="19">($U11/$J11)*H11</f>
        <v>7379.2888275224886</v>
      </c>
      <c r="I24" s="12"/>
      <c r="J24" s="12">
        <f t="shared" si="11"/>
        <v>95998.645763897686</v>
      </c>
      <c r="K24" s="13"/>
      <c r="L24" t="str">
        <f>$A$11</f>
        <v>Seattle</v>
      </c>
      <c r="M24" s="12">
        <f t="shared" si="6"/>
        <v>1260.943161538873</v>
      </c>
      <c r="N24" s="12">
        <f t="shared" si="12"/>
        <v>573.58612032832593</v>
      </c>
      <c r="O24" s="12">
        <f t="shared" si="12"/>
        <v>1126.9718632331947</v>
      </c>
      <c r="P24" s="12">
        <f t="shared" si="12"/>
        <v>453.66938077135814</v>
      </c>
      <c r="Q24" s="12">
        <f t="shared" si="12"/>
        <v>72898.540567777658</v>
      </c>
      <c r="R24" s="12">
        <f t="shared" si="12"/>
        <v>9426.1665661140796</v>
      </c>
      <c r="S24" s="12">
        <f t="shared" ref="S24" si="20">S11</f>
        <v>10258.768104134193</v>
      </c>
      <c r="T24" s="12"/>
      <c r="U24" s="12">
        <f t="shared" si="14"/>
        <v>95998.645763897686</v>
      </c>
    </row>
    <row r="25" spans="1:32" x14ac:dyDescent="0.25">
      <c r="A25" t="str">
        <f>$A$12</f>
        <v>Seattle Downtown</v>
      </c>
      <c r="B25" s="12">
        <f t="shared" si="9"/>
        <v>55.744938573983383</v>
      </c>
      <c r="C25" s="12">
        <f t="shared" si="9"/>
        <v>0</v>
      </c>
      <c r="D25" s="12">
        <f t="shared" si="9"/>
        <v>0</v>
      </c>
      <c r="E25" s="12">
        <f t="shared" si="9"/>
        <v>0</v>
      </c>
      <c r="F25" s="12">
        <f t="shared" si="9"/>
        <v>3438.2388680430954</v>
      </c>
      <c r="G25" s="12">
        <f t="shared" si="9"/>
        <v>6319.7061846940132</v>
      </c>
      <c r="H25" s="12">
        <f t="shared" ref="H25:H26" si="21">($U12/$J12)*H12</f>
        <v>111.8011395945326</v>
      </c>
      <c r="I25" s="12"/>
      <c r="J25" s="12">
        <f t="shared" si="11"/>
        <v>9925.4911309056242</v>
      </c>
      <c r="K25" s="13"/>
      <c r="L25" t="str">
        <f>$A$12</f>
        <v>Seattle Downtown</v>
      </c>
      <c r="M25" s="12">
        <f t="shared" si="6"/>
        <v>85.908255130650488</v>
      </c>
      <c r="N25" s="12">
        <f t="shared" si="12"/>
        <v>29.936125337923841</v>
      </c>
      <c r="O25" s="12">
        <f t="shared" si="12"/>
        <v>23.99261517061327</v>
      </c>
      <c r="P25" s="12">
        <f t="shared" si="12"/>
        <v>13.9962962962963</v>
      </c>
      <c r="Q25" s="12">
        <f t="shared" si="12"/>
        <v>1379.3511382716902</v>
      </c>
      <c r="R25" s="12">
        <f t="shared" si="12"/>
        <v>8182.8957917319176</v>
      </c>
      <c r="S25" s="12">
        <f t="shared" ref="S25:S26" si="22">S12</f>
        <v>209.41090896653341</v>
      </c>
      <c r="T25" s="12"/>
      <c r="U25" s="12">
        <f t="shared" si="14"/>
        <v>9925.4911309056242</v>
      </c>
    </row>
    <row r="26" spans="1:32" x14ac:dyDescent="0.25">
      <c r="A26" t="str">
        <f>$A$13</f>
        <v>Rest</v>
      </c>
      <c r="B26" s="12">
        <f t="shared" si="9"/>
        <v>799.84108368014222</v>
      </c>
      <c r="C26" s="12">
        <f t="shared" si="9"/>
        <v>1651.2432418732778</v>
      </c>
      <c r="D26" s="12">
        <f t="shared" si="9"/>
        <v>1051.7044757611197</v>
      </c>
      <c r="E26" s="12">
        <f t="shared" si="9"/>
        <v>280.62137173672818</v>
      </c>
      <c r="F26" s="12">
        <f t="shared" si="9"/>
        <v>7375.6055443837477</v>
      </c>
      <c r="G26" s="12">
        <f t="shared" si="9"/>
        <v>3202.7805946848375</v>
      </c>
      <c r="H26" s="12">
        <f t="shared" si="21"/>
        <v>526024.33516545792</v>
      </c>
      <c r="I26" s="12"/>
      <c r="J26" s="12">
        <f t="shared" si="11"/>
        <v>540386.13147757773</v>
      </c>
      <c r="K26" s="13"/>
      <c r="L26" t="str">
        <f>$A$13</f>
        <v>Rest</v>
      </c>
      <c r="M26" s="12">
        <f t="shared" si="6"/>
        <v>5769.8698355936194</v>
      </c>
      <c r="N26" s="12">
        <f t="shared" si="12"/>
        <v>1895.2691098746011</v>
      </c>
      <c r="O26" s="12">
        <f t="shared" si="12"/>
        <v>4208.6845660007893</v>
      </c>
      <c r="P26" s="12">
        <f t="shared" si="12"/>
        <v>5939.8179395010775</v>
      </c>
      <c r="Q26" s="12">
        <f t="shared" si="12"/>
        <v>9157.555644456148</v>
      </c>
      <c r="R26" s="12">
        <f t="shared" si="12"/>
        <v>1980.2140952484699</v>
      </c>
      <c r="S26" s="12">
        <f t="shared" si="22"/>
        <v>511434.72028690297</v>
      </c>
      <c r="T26" s="12"/>
      <c r="U26" s="12">
        <f t="shared" si="14"/>
        <v>540386.13147757773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23">SUM(B20:B27)</f>
        <v>15054.759529187722</v>
      </c>
      <c r="C28" s="15">
        <f t="shared" si="23"/>
        <v>6880.0684590623378</v>
      </c>
      <c r="D28" s="15">
        <f t="shared" si="23"/>
        <v>16858.944716124402</v>
      </c>
      <c r="E28" s="15">
        <f t="shared" si="23"/>
        <v>18850.958356769785</v>
      </c>
      <c r="F28" s="15">
        <f t="shared" si="23"/>
        <v>94537.38653704882</v>
      </c>
      <c r="G28" s="15">
        <f t="shared" si="23"/>
        <v>16115.833083770947</v>
      </c>
      <c r="H28" s="15">
        <f t="shared" si="23"/>
        <v>538778.06769041705</v>
      </c>
      <c r="I28" s="15">
        <f t="shared" si="23"/>
        <v>0</v>
      </c>
      <c r="J28" s="15">
        <f t="shared" si="23"/>
        <v>707076.01837238111</v>
      </c>
      <c r="K28" s="12"/>
      <c r="L28" s="15" t="s">
        <v>4</v>
      </c>
      <c r="M28" s="15">
        <f t="shared" ref="M28:U28" si="24">M15</f>
        <v>24216.471252263145</v>
      </c>
      <c r="N28" s="15">
        <f t="shared" si="24"/>
        <v>8756.2913555408504</v>
      </c>
      <c r="O28" s="15">
        <f t="shared" si="24"/>
        <v>20363.649044404599</v>
      </c>
      <c r="P28" s="15">
        <f t="shared" si="24"/>
        <v>19485.98361656873</v>
      </c>
      <c r="Q28" s="15">
        <f t="shared" si="24"/>
        <v>86217.197350505507</v>
      </c>
      <c r="R28" s="15">
        <f t="shared" si="24"/>
        <v>20296.276453094466</v>
      </c>
      <c r="S28" s="15">
        <f t="shared" si="24"/>
        <v>527740.14930000366</v>
      </c>
      <c r="T28" s="15">
        <f t="shared" si="24"/>
        <v>0</v>
      </c>
      <c r="U28" s="15">
        <f t="shared" si="24"/>
        <v>707076.01837238111</v>
      </c>
    </row>
    <row r="31" spans="1:32" ht="15.75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t="shared" ref="B33:J39" si="25">B20/$J$28</f>
        <v>1.8478891713180224E-2</v>
      </c>
      <c r="C33" s="16">
        <f t="shared" si="25"/>
        <v>5.1695145838743378E-3</v>
      </c>
      <c r="D33" s="16">
        <f t="shared" si="25"/>
        <v>3.212829537779066E-3</v>
      </c>
      <c r="E33" s="16">
        <f t="shared" si="25"/>
        <v>1.0760042830023793E-3</v>
      </c>
      <c r="F33" s="16">
        <f t="shared" si="25"/>
        <v>6.7002251029493016E-4</v>
      </c>
      <c r="G33" s="16">
        <f t="shared" si="25"/>
        <v>3.5244409312755893E-4</v>
      </c>
      <c r="H33" s="16">
        <f t="shared" ref="H33" si="26">H20/$J$28</f>
        <v>3.638626981329334E-3</v>
      </c>
      <c r="I33" s="16"/>
      <c r="J33" s="16">
        <f t="shared" ref="J33:J38" si="27">J20/$J$28</f>
        <v>3.2598333702587828E-2</v>
      </c>
      <c r="K33" s="12"/>
      <c r="L33" t="str">
        <f>$A$7</f>
        <v>Bellevue</v>
      </c>
      <c r="M33" s="16">
        <f t="shared" ref="M33:R33" si="28">M20/$U$28</f>
        <v>1.8323701643599796E-2</v>
      </c>
      <c r="N33" s="16">
        <f t="shared" si="28"/>
        <v>5.4467269429745273E-3</v>
      </c>
      <c r="O33" s="16">
        <f t="shared" si="28"/>
        <v>1.0603527492360017E-3</v>
      </c>
      <c r="P33" s="16">
        <f t="shared" si="28"/>
        <v>2.8232466497664136E-3</v>
      </c>
      <c r="Q33" s="16">
        <f t="shared" si="28"/>
        <v>1.151927061357417E-3</v>
      </c>
      <c r="R33" s="16">
        <f t="shared" si="28"/>
        <v>5.5404226677319601E-4</v>
      </c>
      <c r="S33" s="16">
        <f t="shared" ref="S33" si="29">S20/$U$28</f>
        <v>3.2383363888804735E-3</v>
      </c>
      <c r="T33" s="16"/>
      <c r="U33" s="16">
        <f t="shared" ref="U33:U39" si="30">U20/$U$28</f>
        <v>3.2598333702587828E-2</v>
      </c>
      <c r="W33" t="str">
        <f>$A$7</f>
        <v>Bellevue</v>
      </c>
      <c r="X33" s="16">
        <f t="shared" ref="X33:AD33" si="31">M33-B33</f>
        <v>-1.5519006958042772E-4</v>
      </c>
      <c r="Y33" s="16">
        <f t="shared" si="31"/>
        <v>2.7721235910018946E-4</v>
      </c>
      <c r="Z33" s="16">
        <f t="shared" si="31"/>
        <v>-2.1524767885430646E-3</v>
      </c>
      <c r="AA33" s="16">
        <f t="shared" si="31"/>
        <v>1.7472423667640343E-3</v>
      </c>
      <c r="AB33" s="16">
        <f t="shared" si="31"/>
        <v>4.8190455106248689E-4</v>
      </c>
      <c r="AC33" s="16">
        <f t="shared" si="31"/>
        <v>2.0159817364563708E-4</v>
      </c>
      <c r="AD33" s="16">
        <f t="shared" si="31"/>
        <v>-4.0029059244886056E-4</v>
      </c>
      <c r="AE33" s="16"/>
      <c r="AF33" s="16">
        <f t="shared" ref="AF33:AF39" si="32">U33-J33</f>
        <v>0</v>
      </c>
    </row>
    <row r="34" spans="1:32" x14ac:dyDescent="0.25">
      <c r="A34" t="str">
        <f>$A$8</f>
        <v>Bellevue Downtown</v>
      </c>
      <c r="B34" s="16">
        <f t="shared" si="25"/>
        <v>6.4247321039198732E-4</v>
      </c>
      <c r="C34" s="16">
        <f t="shared" si="25"/>
        <v>5.9280726309508553E-4</v>
      </c>
      <c r="D34" s="16">
        <f t="shared" si="25"/>
        <v>0</v>
      </c>
      <c r="E34" s="16">
        <f t="shared" si="25"/>
        <v>1.2145975523402879E-3</v>
      </c>
      <c r="F34" s="16">
        <f t="shared" si="25"/>
        <v>0</v>
      </c>
      <c r="G34" s="16">
        <f t="shared" ref="G34:H34" si="33">G21/$J$28</f>
        <v>0</v>
      </c>
      <c r="H34" s="16">
        <f t="shared" si="33"/>
        <v>0</v>
      </c>
      <c r="I34" s="16"/>
      <c r="J34" s="16">
        <f t="shared" si="27"/>
        <v>2.449878025827361E-3</v>
      </c>
      <c r="K34" s="12"/>
      <c r="L34" t="str">
        <f>$A$8</f>
        <v>Bellevue Downtown</v>
      </c>
      <c r="M34" s="16">
        <f t="shared" ref="M34:R39" si="34">M21/$U$28</f>
        <v>6.827413000249148E-4</v>
      </c>
      <c r="N34" s="16">
        <f t="shared" si="34"/>
        <v>1.6508125995941621E-3</v>
      </c>
      <c r="O34" s="16">
        <f t="shared" si="34"/>
        <v>3.5710446039625267E-5</v>
      </c>
      <c r="P34" s="16">
        <f t="shared" si="34"/>
        <v>3.6417583584964384E-5</v>
      </c>
      <c r="Q34" s="16">
        <f t="shared" si="34"/>
        <v>1.5557025997460512E-5</v>
      </c>
      <c r="R34" s="16">
        <f t="shared" si="34"/>
        <v>7.778512998730256E-6</v>
      </c>
      <c r="S34" s="16">
        <f t="shared" ref="S34" si="35">S21/$U$28</f>
        <v>2.0860557587503869E-5</v>
      </c>
      <c r="T34" s="16"/>
      <c r="U34" s="16">
        <f t="shared" si="30"/>
        <v>2.449878025827361E-3</v>
      </c>
      <c r="W34" t="str">
        <f>$A$8</f>
        <v>Bellevue Downtown</v>
      </c>
      <c r="X34" s="16">
        <f t="shared" ref="X34:X38" si="36">M34-B34</f>
        <v>4.0268089632927479E-5</v>
      </c>
      <c r="Y34" s="16">
        <f t="shared" ref="Y34:AD38" si="37">N34-C34</f>
        <v>1.0580053364990765E-3</v>
      </c>
      <c r="Z34" s="16">
        <f t="shared" si="37"/>
        <v>3.5710446039625267E-5</v>
      </c>
      <c r="AA34" s="16">
        <f t="shared" si="37"/>
        <v>-1.1781799687553235E-3</v>
      </c>
      <c r="AB34" s="16">
        <f t="shared" si="37"/>
        <v>1.5557025997460512E-5</v>
      </c>
      <c r="AC34" s="16">
        <f t="shared" si="37"/>
        <v>7.778512998730256E-6</v>
      </c>
      <c r="AD34" s="16">
        <f t="shared" si="37"/>
        <v>2.0860557587503869E-5</v>
      </c>
      <c r="AE34" s="16"/>
      <c r="AF34" s="16">
        <f t="shared" si="32"/>
        <v>0</v>
      </c>
    </row>
    <row r="35" spans="1:32" x14ac:dyDescent="0.25">
      <c r="A35" t="str">
        <f>$A$9</f>
        <v>Kirkland</v>
      </c>
      <c r="B35" s="16">
        <f t="shared" si="25"/>
        <v>4.0455053777810454E-4</v>
      </c>
      <c r="C35" s="16">
        <f t="shared" si="25"/>
        <v>1.4918116627949249E-3</v>
      </c>
      <c r="D35" s="16">
        <f t="shared" si="25"/>
        <v>1.7452658294045045E-2</v>
      </c>
      <c r="E35" s="16">
        <f t="shared" si="25"/>
        <v>3.8299710107993616E-3</v>
      </c>
      <c r="F35" s="16">
        <f t="shared" si="25"/>
        <v>1.5191736506748081E-3</v>
      </c>
      <c r="G35" s="16">
        <f t="shared" ref="G35:H35" si="38">G22/$J$28</f>
        <v>0</v>
      </c>
      <c r="H35" s="16">
        <f t="shared" si="38"/>
        <v>3.6746681443217046E-3</v>
      </c>
      <c r="I35" s="16"/>
      <c r="J35" s="16">
        <f t="shared" si="27"/>
        <v>2.8372833300413951E-2</v>
      </c>
      <c r="K35" s="13"/>
      <c r="L35" t="str">
        <f>$A$9</f>
        <v>Kirkland</v>
      </c>
      <c r="M35" s="16">
        <f t="shared" si="34"/>
        <v>1.9838743834488851E-3</v>
      </c>
      <c r="N35" s="16">
        <f t="shared" si="34"/>
        <v>1.0578777678273148E-3</v>
      </c>
      <c r="O35" s="16">
        <f t="shared" si="34"/>
        <v>1.6674656887868983E-2</v>
      </c>
      <c r="P35" s="16">
        <f t="shared" si="34"/>
        <v>2.9781097721956794E-3</v>
      </c>
      <c r="Q35" s="16">
        <f t="shared" si="34"/>
        <v>2.166669438919046E-3</v>
      </c>
      <c r="R35" s="16">
        <f t="shared" si="34"/>
        <v>2.9699776904242795E-4</v>
      </c>
      <c r="S35" s="16">
        <f t="shared" ref="S35" si="39">S22/$U$28</f>
        <v>3.2146472811116133E-3</v>
      </c>
      <c r="T35" s="16"/>
      <c r="U35" s="16">
        <f t="shared" si="30"/>
        <v>2.8372833300413951E-2</v>
      </c>
      <c r="W35" t="str">
        <f>$A$9</f>
        <v>Kirkland</v>
      </c>
      <c r="X35" s="16">
        <f t="shared" si="36"/>
        <v>1.5793238456707805E-3</v>
      </c>
      <c r="Y35" s="16">
        <f t="shared" si="37"/>
        <v>-4.3393389496761007E-4</v>
      </c>
      <c r="Z35" s="16">
        <f t="shared" si="37"/>
        <v>-7.7800140617606192E-4</v>
      </c>
      <c r="AA35" s="16">
        <f t="shared" si="37"/>
        <v>-8.5186123860368215E-4</v>
      </c>
      <c r="AB35" s="16">
        <f t="shared" si="37"/>
        <v>6.47495788244238E-4</v>
      </c>
      <c r="AC35" s="16">
        <f t="shared" si="37"/>
        <v>2.9699776904242795E-4</v>
      </c>
      <c r="AD35" s="16">
        <f t="shared" si="37"/>
        <v>-4.600208632100913E-4</v>
      </c>
      <c r="AE35" s="16"/>
      <c r="AF35" s="16">
        <f t="shared" si="32"/>
        <v>0</v>
      </c>
    </row>
    <row r="36" spans="1:32" x14ac:dyDescent="0.25">
      <c r="A36" t="str">
        <f>$A$10</f>
        <v>Redmond</v>
      </c>
      <c r="B36" s="16">
        <f t="shared" si="25"/>
        <v>5.5562193772409462E-4</v>
      </c>
      <c r="C36" s="16">
        <f t="shared" si="25"/>
        <v>0</v>
      </c>
      <c r="D36" s="16">
        <f t="shared" si="25"/>
        <v>1.6902982924882149E-3</v>
      </c>
      <c r="E36" s="16">
        <f t="shared" si="25"/>
        <v>2.0142992177290858E-2</v>
      </c>
      <c r="F36" s="16">
        <f t="shared" si="25"/>
        <v>0</v>
      </c>
      <c r="G36" s="16">
        <f t="shared" ref="G36:H36" si="40">G23/$J$28</f>
        <v>0</v>
      </c>
      <c r="H36" s="16">
        <f t="shared" si="40"/>
        <v>1.2952915504825454E-4</v>
      </c>
      <c r="I36" s="16"/>
      <c r="J36" s="16">
        <f t="shared" si="27"/>
        <v>2.2518441562551422E-2</v>
      </c>
      <c r="K36" s="13"/>
      <c r="L36" t="str">
        <f>$A$10</f>
        <v>Redmond</v>
      </c>
      <c r="M36" s="16">
        <f t="shared" si="34"/>
        <v>3.1934331547514398E-3</v>
      </c>
      <c r="N36" s="16">
        <f t="shared" si="34"/>
        <v>6.9440906952301018E-4</v>
      </c>
      <c r="O36" s="16">
        <f t="shared" si="34"/>
        <v>3.4490633773915295E-3</v>
      </c>
      <c r="P36" s="16">
        <f t="shared" si="34"/>
        <v>1.2658822767888152E-2</v>
      </c>
      <c r="Q36" s="16">
        <f t="shared" si="34"/>
        <v>6.0000620722023841E-4</v>
      </c>
      <c r="R36" s="16">
        <f t="shared" si="34"/>
        <v>1.4107394029515329E-4</v>
      </c>
      <c r="S36" s="16">
        <f t="shared" ref="S36" si="41">S23/$U$28</f>
        <v>1.7816330454818983E-3</v>
      </c>
      <c r="T36" s="16"/>
      <c r="U36" s="16">
        <f t="shared" si="30"/>
        <v>2.2518441562551422E-2</v>
      </c>
      <c r="W36" t="str">
        <f>$A$10</f>
        <v>Redmond</v>
      </c>
      <c r="X36" s="16">
        <f t="shared" si="36"/>
        <v>2.6378112170273452E-3</v>
      </c>
      <c r="Y36" s="16">
        <f t="shared" si="37"/>
        <v>6.9440906952301018E-4</v>
      </c>
      <c r="Z36" s="16">
        <f t="shared" si="37"/>
        <v>1.7587650849033147E-3</v>
      </c>
      <c r="AA36" s="16">
        <f t="shared" si="37"/>
        <v>-7.484169409402705E-3</v>
      </c>
      <c r="AB36" s="16">
        <f t="shared" si="37"/>
        <v>6.0000620722023841E-4</v>
      </c>
      <c r="AC36" s="16">
        <f t="shared" si="37"/>
        <v>1.4107394029515329E-4</v>
      </c>
      <c r="AD36" s="16">
        <f t="shared" si="37"/>
        <v>1.6521038904336437E-3</v>
      </c>
      <c r="AE36" s="16"/>
      <c r="AF36" s="16">
        <f t="shared" si="32"/>
        <v>0</v>
      </c>
    </row>
    <row r="37" spans="1:32" x14ac:dyDescent="0.25">
      <c r="A37" t="str">
        <f>$A$11</f>
        <v>Seattle</v>
      </c>
      <c r="B37" s="16">
        <f t="shared" si="25"/>
        <v>0</v>
      </c>
      <c r="C37" s="16">
        <f t="shared" si="25"/>
        <v>1.4086374841631733E-4</v>
      </c>
      <c r="D37" s="16">
        <f t="shared" si="25"/>
        <v>0</v>
      </c>
      <c r="E37" s="16">
        <f t="shared" si="25"/>
        <v>0</v>
      </c>
      <c r="F37" s="16">
        <f t="shared" si="25"/>
        <v>0.11621892396923249</v>
      </c>
      <c r="G37" s="16">
        <f t="shared" ref="G37:H37" si="42">G24/$J$28</f>
        <v>8.9723613493895345E-3</v>
      </c>
      <c r="H37" s="16">
        <f t="shared" si="42"/>
        <v>1.0436344375685205E-2</v>
      </c>
      <c r="I37" s="16"/>
      <c r="J37" s="16">
        <f t="shared" si="27"/>
        <v>0.13576849344272354</v>
      </c>
      <c r="K37" s="13"/>
      <c r="L37" t="str">
        <f>$A$11</f>
        <v>Seattle</v>
      </c>
      <c r="M37" s="16">
        <f t="shared" si="34"/>
        <v>1.7833205041254817E-3</v>
      </c>
      <c r="N37" s="16">
        <f t="shared" si="34"/>
        <v>8.1120856233911636E-4</v>
      </c>
      <c r="O37" s="16">
        <f t="shared" si="34"/>
        <v>1.5938482340659384E-3</v>
      </c>
      <c r="P37" s="16">
        <f t="shared" si="34"/>
        <v>6.4161330462834823E-4</v>
      </c>
      <c r="Q37" s="16">
        <f t="shared" si="34"/>
        <v>0.10309859007180426</v>
      </c>
      <c r="R37" s="16">
        <f t="shared" si="34"/>
        <v>1.3331192575039076E-2</v>
      </c>
      <c r="S37" s="16">
        <f t="shared" ref="S37" si="43">S24/$U$28</f>
        <v>1.4508720190721303E-2</v>
      </c>
      <c r="T37" s="16"/>
      <c r="U37" s="16">
        <f t="shared" si="30"/>
        <v>0.13576849344272354</v>
      </c>
      <c r="W37" t="str">
        <f>$A$11</f>
        <v>Seattle</v>
      </c>
      <c r="X37" s="16">
        <f t="shared" si="36"/>
        <v>1.7833205041254817E-3</v>
      </c>
      <c r="Y37" s="16">
        <f t="shared" si="37"/>
        <v>6.7034481392279897E-4</v>
      </c>
      <c r="Z37" s="16">
        <f t="shared" si="37"/>
        <v>1.5938482340659384E-3</v>
      </c>
      <c r="AA37" s="16">
        <f t="shared" si="37"/>
        <v>6.4161330462834823E-4</v>
      </c>
      <c r="AB37" s="16">
        <f t="shared" si="37"/>
        <v>-1.3120333897428227E-2</v>
      </c>
      <c r="AC37" s="16">
        <f t="shared" si="37"/>
        <v>4.3588312256495412E-3</v>
      </c>
      <c r="AD37" s="16">
        <f t="shared" si="37"/>
        <v>4.0723758150360972E-3</v>
      </c>
      <c r="AE37" s="16"/>
      <c r="AF37" s="16">
        <f t="shared" si="32"/>
        <v>0</v>
      </c>
    </row>
    <row r="38" spans="1:32" x14ac:dyDescent="0.25">
      <c r="A38" t="str">
        <f>$A$12</f>
        <v>Seattle Downtown</v>
      </c>
      <c r="B38" s="16">
        <f t="shared" si="25"/>
        <v>7.883867805657262E-5</v>
      </c>
      <c r="C38" s="16">
        <f t="shared" si="25"/>
        <v>0</v>
      </c>
      <c r="D38" s="16">
        <f t="shared" si="25"/>
        <v>0</v>
      </c>
      <c r="E38" s="16">
        <f t="shared" si="25"/>
        <v>0</v>
      </c>
      <c r="F38" s="16">
        <f t="shared" si="25"/>
        <v>4.8626155868750579E-3</v>
      </c>
      <c r="G38" s="16">
        <f t="shared" ref="G38:H39" si="44">G25/$J$28</f>
        <v>8.9378030374178859E-3</v>
      </c>
      <c r="H38" s="16">
        <f t="shared" si="44"/>
        <v>1.5811756683798686E-4</v>
      </c>
      <c r="I38" s="16"/>
      <c r="J38" s="16">
        <f t="shared" si="27"/>
        <v>1.4037374869187503E-2</v>
      </c>
      <c r="K38" s="13"/>
      <c r="L38" t="str">
        <f>$A$12</f>
        <v>Seattle Downtown</v>
      </c>
      <c r="M38" s="16">
        <f t="shared" si="34"/>
        <v>1.214979053149091E-4</v>
      </c>
      <c r="N38" s="16">
        <f t="shared" si="34"/>
        <v>4.2337916376847049E-5</v>
      </c>
      <c r="O38" s="16">
        <f t="shared" si="34"/>
        <v>3.3932157996026919E-5</v>
      </c>
      <c r="P38" s="16">
        <f t="shared" si="34"/>
        <v>1.9794613213603804E-5</v>
      </c>
      <c r="Q38" s="16">
        <f t="shared" si="34"/>
        <v>1.9507819561563123E-3</v>
      </c>
      <c r="R38" s="16">
        <f t="shared" si="34"/>
        <v>1.1572865687862151E-2</v>
      </c>
      <c r="S38" s="16">
        <f t="shared" ref="S38:S39" si="45">S25/$U$28</f>
        <v>2.9616463226765427E-4</v>
      </c>
      <c r="T38" s="16"/>
      <c r="U38" s="16">
        <f t="shared" si="30"/>
        <v>1.4037374869187503E-2</v>
      </c>
      <c r="W38" t="str">
        <f>$A$12</f>
        <v>Seattle Downtown</v>
      </c>
      <c r="X38" s="16">
        <f t="shared" si="36"/>
        <v>4.2659227258336484E-5</v>
      </c>
      <c r="Y38" s="16">
        <f t="shared" si="37"/>
        <v>4.2337916376847049E-5</v>
      </c>
      <c r="Z38" s="16">
        <f t="shared" si="37"/>
        <v>3.3932157996026919E-5</v>
      </c>
      <c r="AA38" s="16">
        <f t="shared" si="37"/>
        <v>1.9794613213603804E-5</v>
      </c>
      <c r="AB38" s="16">
        <f t="shared" si="37"/>
        <v>-2.9118336307187454E-3</v>
      </c>
      <c r="AC38" s="16">
        <f t="shared" si="37"/>
        <v>2.6350626504442649E-3</v>
      </c>
      <c r="AD38" s="16">
        <f t="shared" si="37"/>
        <v>1.3804706542966741E-4</v>
      </c>
      <c r="AE38" s="16"/>
      <c r="AF38" s="16">
        <f t="shared" si="32"/>
        <v>0</v>
      </c>
    </row>
    <row r="39" spans="1:32" x14ac:dyDescent="0.25">
      <c r="A39" t="str">
        <f>$A$13</f>
        <v>Rest</v>
      </c>
      <c r="B39" s="16">
        <f t="shared" si="25"/>
        <v>1.1311953211499057E-3</v>
      </c>
      <c r="C39" s="16">
        <f t="shared" si="25"/>
        <v>2.335312185632142E-3</v>
      </c>
      <c r="D39" s="16">
        <f t="shared" si="25"/>
        <v>1.4873994428237563E-3</v>
      </c>
      <c r="E39" s="16">
        <f t="shared" si="25"/>
        <v>3.9687581595921007E-4</v>
      </c>
      <c r="F39" s="16">
        <f t="shared" si="25"/>
        <v>1.0431135200090169E-2</v>
      </c>
      <c r="G39" s="16">
        <f t="shared" si="44"/>
        <v>4.5296128159703691E-3</v>
      </c>
      <c r="H39" s="16">
        <f t="shared" si="44"/>
        <v>0.74394311431508287</v>
      </c>
      <c r="I39" s="16"/>
      <c r="J39" s="16">
        <f t="shared" si="25"/>
        <v>0.76425464509670826</v>
      </c>
      <c r="K39" s="13"/>
      <c r="L39" t="str">
        <f>$A$13</f>
        <v>Rest</v>
      </c>
      <c r="M39" s="16">
        <f t="shared" si="34"/>
        <v>8.1601831849357417E-3</v>
      </c>
      <c r="N39" s="16">
        <f t="shared" si="34"/>
        <v>2.6804318922275467E-3</v>
      </c>
      <c r="O39" s="16">
        <f t="shared" si="34"/>
        <v>5.952237746216827E-3</v>
      </c>
      <c r="P39" s="16">
        <f t="shared" si="34"/>
        <v>8.4005365550000547E-3</v>
      </c>
      <c r="Q39" s="16">
        <f t="shared" si="34"/>
        <v>1.2951302839454141E-2</v>
      </c>
      <c r="R39" s="16">
        <f t="shared" si="34"/>
        <v>2.8005674691198358E-3</v>
      </c>
      <c r="S39" s="16">
        <f t="shared" si="45"/>
        <v>0.72330938540975409</v>
      </c>
      <c r="T39" s="16"/>
      <c r="U39" s="16">
        <f t="shared" si="30"/>
        <v>0.76425464509670826</v>
      </c>
      <c r="W39" t="str">
        <f>$A$13</f>
        <v>Rest</v>
      </c>
      <c r="X39" s="16">
        <f t="shared" ref="X39" si="46">M39-B39</f>
        <v>7.0289878637858358E-3</v>
      </c>
      <c r="Y39" s="16">
        <f t="shared" ref="Y39" si="47">N39-C39</f>
        <v>3.4511970659540465E-4</v>
      </c>
      <c r="Z39" s="16">
        <f t="shared" ref="Z39" si="48">O39-D39</f>
        <v>4.4648383033930707E-3</v>
      </c>
      <c r="AA39" s="16">
        <f t="shared" ref="AA39" si="49">P39-E39</f>
        <v>8.0036607390408451E-3</v>
      </c>
      <c r="AB39" s="16">
        <f t="shared" ref="AB39" si="50">Q39-F39</f>
        <v>2.5201676393639717E-3</v>
      </c>
      <c r="AC39" s="16">
        <f t="shared" ref="AC39" si="51">R39-G39</f>
        <v>-1.7290453468505333E-3</v>
      </c>
      <c r="AD39" s="16">
        <f t="shared" ref="AD39" si="52">S39-H39</f>
        <v>-2.0633728905328774E-2</v>
      </c>
      <c r="AE39" s="16"/>
      <c r="AF39" s="16">
        <f t="shared" si="32"/>
        <v>0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ref="B41:H41" si="53">B28/$J$28</f>
        <v>2.129157139828089E-2</v>
      </c>
      <c r="C41" s="18">
        <f t="shared" si="53"/>
        <v>9.7303094438128072E-3</v>
      </c>
      <c r="D41" s="18">
        <f t="shared" si="53"/>
        <v>2.3843185567136081E-2</v>
      </c>
      <c r="E41" s="18">
        <f t="shared" si="53"/>
        <v>2.6660440839392095E-2</v>
      </c>
      <c r="F41" s="18">
        <f t="shared" si="53"/>
        <v>0.13370187091716745</v>
      </c>
      <c r="G41" s="18">
        <f t="shared" si="53"/>
        <v>2.279222129590535E-2</v>
      </c>
      <c r="H41" s="18">
        <f t="shared" si="53"/>
        <v>0.76198040053830529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3.4248752076201171E-2</v>
      </c>
      <c r="N41" s="18">
        <f>N28/$U$28</f>
        <v>1.2383804750862523E-2</v>
      </c>
      <c r="O41" s="18">
        <f>O28/$U$28</f>
        <v>2.8799801598814935E-2</v>
      </c>
      <c r="P41" s="18">
        <f>P28/$U$28</f>
        <v>2.7558541246277213E-2</v>
      </c>
      <c r="Q41" s="18">
        <f t="shared" ref="Q41:S41" si="54">Q28/$U$28</f>
        <v>0.1219348346009089</v>
      </c>
      <c r="R41" s="18">
        <f t="shared" si="54"/>
        <v>2.8704518221130567E-2</v>
      </c>
      <c r="S41" s="18">
        <f t="shared" si="54"/>
        <v>0.74636974750580454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5">M41-B41</f>
        <v>1.2957180677920281E-2</v>
      </c>
      <c r="Y41" s="18">
        <f t="shared" si="55"/>
        <v>2.653495307049716E-3</v>
      </c>
      <c r="Z41" s="18">
        <f t="shared" si="55"/>
        <v>4.9566160316788545E-3</v>
      </c>
      <c r="AA41" s="18">
        <f t="shared" si="55"/>
        <v>8.9810040688511825E-4</v>
      </c>
      <c r="AB41" s="18">
        <f t="shared" si="55"/>
        <v>-1.1767036316258556E-2</v>
      </c>
      <c r="AC41" s="18">
        <f t="shared" si="55"/>
        <v>5.9122969252252168E-3</v>
      </c>
      <c r="AD41" s="18">
        <f t="shared" si="55"/>
        <v>-1.5610653032500754E-2</v>
      </c>
      <c r="AE41" s="18">
        <f t="shared" si="55"/>
        <v>0</v>
      </c>
      <c r="AF41" s="18">
        <f t="shared" si="5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4"/>
  <sheetViews>
    <sheetView topLeftCell="A5" workbookViewId="0">
      <selection activeCell="B39" sqref="B39"/>
    </sheetView>
  </sheetViews>
  <sheetFormatPr defaultRowHeight="15" x14ac:dyDescent="0.25"/>
  <cols>
    <col min="2" max="2" width="10.7109375" customWidth="1" collapsed="1"/>
    <col min="3" max="3" width="13.7109375" customWidth="1" collapsed="1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1:X104"/>
  <sheetViews>
    <sheetView tabSelected="1" topLeftCell="F1" workbookViewId="0">
      <selection activeCell="T18" sqref="T18"/>
    </sheetView>
  </sheetViews>
  <sheetFormatPr defaultRowHeight="15" x14ac:dyDescent="0.25"/>
  <cols>
    <col min="1" max="2" width="9.140625" style="296" collapsed="1"/>
    <col min="3" max="3" width="12.7109375" style="296" bestFit="1" customWidth="1" collapsed="1"/>
    <col min="4" max="4" width="18.85546875" style="295" customWidth="1" collapsed="1"/>
    <col min="5" max="5" width="6.7109375" style="296" customWidth="1" collapsed="1"/>
    <col min="6" max="6" width="12.7109375" style="296" customWidth="1" collapsed="1"/>
    <col min="7" max="8" width="18.85546875" style="295" customWidth="1" collapsed="1"/>
    <col min="9" max="9" width="6.5703125" style="295" customWidth="1" collapsed="1"/>
    <col min="10" max="10" width="10.140625" style="295" customWidth="1" collapsed="1"/>
    <col min="11" max="11" width="9.85546875" style="295" customWidth="1" collapsed="1"/>
    <col min="12" max="14" width="9.140625" style="296" collapsed="1"/>
    <col min="15" max="15" width="13" style="296" customWidth="1" collapsed="1"/>
    <col min="16" max="16" width="19.5703125" style="298" customWidth="1" collapsed="1"/>
    <col min="17" max="17" width="19.5703125" style="334" customWidth="1" collapsed="1"/>
    <col min="18" max="18" width="9.140625" style="296" collapsed="1"/>
    <col min="19" max="19" width="9.140625" style="296" customWidth="1" collapsed="1"/>
    <col min="20" max="16384" width="9.140625" style="296" collapsed="1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r="2" spans="3:24" ht="15.75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23418.229396264702</v>
      </c>
      <c r="F4" s="302" t="s">
        <v>48</v>
      </c>
      <c r="G4" s="303">
        <f>TLFD!F11</f>
        <v>110122.20542536123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126014.50383084279</v>
      </c>
      <c r="F5" s="305" t="s">
        <v>51</v>
      </c>
      <c r="G5" s="306">
        <f>TLFD!F12+TLFD!F13+(TLFD!F14/2)</f>
        <v>147964.37884524942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t="shared" ref="Q5:Q68" si="0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461518.92626112088</v>
      </c>
      <c r="F6" s="305" t="s">
        <v>54</v>
      </c>
      <c r="G6" s="306">
        <f>(TLFD!F14/2)+SUM(TLFD!F15:F20)</f>
        <v>327471.25132511248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t="shared" si="0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82053.96864513692</v>
      </c>
      <c r="F7" s="308" t="s">
        <v>57</v>
      </c>
      <c r="G7" s="309">
        <f>SUM(TLFD!F21:F101)</f>
        <v>126125.91130607056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t="shared" si="0"/>
        <v>-0.34490013167299999</v>
      </c>
      <c r="T7" s="321">
        <v>5</v>
      </c>
      <c r="U7" s="321" t="s">
        <v>270</v>
      </c>
      <c r="V7" s="321"/>
      <c r="W7" s="321"/>
      <c r="X7" s="321"/>
    </row>
    <row r="8" spans="3:24" ht="15.75" thickBot="1" x14ac:dyDescent="0.3">
      <c r="C8" s="311" t="s">
        <v>4</v>
      </c>
      <c r="D8" s="312">
        <f>SUM(D4:D7)</f>
        <v>693005.6281333653</v>
      </c>
      <c r="E8" s="313"/>
      <c r="F8" s="311" t="s">
        <v>4</v>
      </c>
      <c r="G8" s="312">
        <f>SUM(G4:G7)</f>
        <v>711683.74690179364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t="shared" si="0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t="shared" si="0"/>
        <v>-3.9895313632499998</v>
      </c>
      <c r="T9" s="321"/>
      <c r="U9" s="365" t="s">
        <v>271</v>
      </c>
      <c r="V9" s="321"/>
      <c r="W9" s="321"/>
      <c r="X9" s="321"/>
    </row>
    <row r="10" spans="3:24" ht="15.75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t="shared" si="0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t="shared" si="0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3.3792264370698571E-2</v>
      </c>
      <c r="F12" s="302" t="s">
        <v>48</v>
      </c>
      <c r="G12" s="316">
        <f>G4/G$8</f>
        <v>0.15473474827092989</v>
      </c>
      <c r="H12" s="316"/>
      <c r="I12" s="356">
        <f>D12/G12</f>
        <v>0.21838833712729247</v>
      </c>
      <c r="J12" s="357">
        <f>LN(I12)</f>
        <v>-1.5214804379691054</v>
      </c>
      <c r="K12" s="357">
        <f>K8*J12</f>
        <v>-1.5214804379691054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t="shared" si="0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t="shared" ref="D13:D16" si="1">D5/D$8</f>
        <v>0.18183763409002496</v>
      </c>
      <c r="F13" s="305" t="s">
        <v>51</v>
      </c>
      <c r="G13" s="317">
        <f t="shared" ref="G13:G16" si="2">G5/G$8</f>
        <v>0.20790748628079497</v>
      </c>
      <c r="H13" s="317"/>
      <c r="I13" s="356">
        <f t="shared" ref="I13:I15" si="3">D13/G13</f>
        <v>0.87460840079822477</v>
      </c>
      <c r="J13" s="357">
        <f t="shared" ref="J13:J15" si="4">LN(I13)</f>
        <v>-0.1339790347461948</v>
      </c>
      <c r="K13" s="357">
        <f>K8*(J13-J12)</f>
        <v>1.3875014032229105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t="shared" si="0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t="shared" si="1"/>
        <v>0.66596706797928629</v>
      </c>
      <c r="F14" s="305" t="s">
        <v>54</v>
      </c>
      <c r="G14" s="317">
        <f t="shared" si="2"/>
        <v>0.46013591395153886</v>
      </c>
      <c r="H14" s="317"/>
      <c r="I14" s="356">
        <f t="shared" si="3"/>
        <v>1.4473268610139947</v>
      </c>
      <c r="J14" s="357">
        <f t="shared" si="4"/>
        <v>0.3697183108853116</v>
      </c>
      <c r="K14" s="357">
        <f>K8*(J14-J13-J12)</f>
        <v>2.0251777836006117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t="shared" si="0"/>
        <v>-0.80534348065299999</v>
      </c>
      <c r="T14" s="321">
        <v>5</v>
      </c>
      <c r="U14" s="294" t="s">
        <v>275</v>
      </c>
      <c r="V14" s="321"/>
      <c r="W14" s="321"/>
      <c r="X14" s="321"/>
    </row>
    <row r="15" spans="3:24" ht="15.75" thickBot="1" x14ac:dyDescent="0.3">
      <c r="C15" s="308" t="s">
        <v>57</v>
      </c>
      <c r="D15" s="317">
        <f t="shared" si="1"/>
        <v>0.11840303355999017</v>
      </c>
      <c r="F15" s="308" t="s">
        <v>57</v>
      </c>
      <c r="G15" s="317">
        <f t="shared" si="2"/>
        <v>0.17722185149673633</v>
      </c>
      <c r="H15" s="317"/>
      <c r="I15" s="358">
        <f t="shared" si="3"/>
        <v>0.66810628915120351</v>
      </c>
      <c r="J15" s="359">
        <f t="shared" si="4"/>
        <v>-0.40330800260720551</v>
      </c>
      <c r="K15" s="359">
        <f>K8*(J15-J14-J13-J12)</f>
        <v>0.88243315922278309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t="shared" si="0"/>
        <v>-0.51977799879300002</v>
      </c>
      <c r="T15" s="321">
        <v>6</v>
      </c>
      <c r="U15" s="321" t="s">
        <v>276</v>
      </c>
      <c r="V15" s="321"/>
      <c r="W15" s="321"/>
      <c r="X15" s="321"/>
    </row>
    <row r="16" spans="3:24" ht="15.75" thickBot="1" x14ac:dyDescent="0.3">
      <c r="C16" s="311" t="s">
        <v>4</v>
      </c>
      <c r="D16" s="319">
        <f t="shared" si="1"/>
        <v>1</v>
      </c>
      <c r="E16" s="313"/>
      <c r="F16" s="311" t="s">
        <v>4</v>
      </c>
      <c r="G16" s="319">
        <f t="shared" si="2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t="shared" si="0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t="shared" si="0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t="shared" si="0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t="shared" si="0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t="shared" si="0"/>
        <v>0</v>
      </c>
    </row>
    <row r="21" spans="2:24" ht="15.75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t="shared" si="0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t="shared" si="0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t="shared" si="0"/>
        <v>-12.0946718381</v>
      </c>
    </row>
    <row r="24" spans="2:24" x14ac:dyDescent="0.25">
      <c r="B24" s="346">
        <v>38</v>
      </c>
      <c r="C24" s="305" t="s">
        <v>51</v>
      </c>
      <c r="D24" s="376">
        <f t="shared" ref="D24:D26" si="5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t="shared" si="0"/>
        <v>-4.03623745316</v>
      </c>
    </row>
    <row r="25" spans="2:24" x14ac:dyDescent="0.25">
      <c r="B25" s="346">
        <v>39</v>
      </c>
      <c r="C25" s="305" t="s">
        <v>54</v>
      </c>
      <c r="D25" s="376">
        <f t="shared" si="5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t="shared" si="0"/>
        <v>-2.16371815818</v>
      </c>
    </row>
    <row r="26" spans="2:24" ht="15.75" thickBot="1" x14ac:dyDescent="0.3">
      <c r="B26" s="347">
        <v>40</v>
      </c>
      <c r="C26" s="325" t="s">
        <v>57</v>
      </c>
      <c r="D26" s="377">
        <f t="shared" si="5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t="shared" si="0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t="shared" si="0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t="shared" si="0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t="shared" si="0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t="shared" si="0"/>
        <v>-5.1880432348000003</v>
      </c>
    </row>
    <row r="31" spans="2:24" ht="15.75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t="shared" si="0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t="shared" si="0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-1.5214804379691054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t="shared" si="0"/>
        <v>5.7553461640599997E-2</v>
      </c>
    </row>
    <row r="34" spans="2:18" x14ac:dyDescent="0.25">
      <c r="B34" s="346">
        <f t="shared" ref="B34:B36" si="6">B24</f>
        <v>38</v>
      </c>
      <c r="C34" s="305" t="s">
        <v>51</v>
      </c>
      <c r="D34" s="379">
        <f t="shared" ref="D34:D36" si="7">K13</f>
        <v>1.3875014032229105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t="shared" si="0"/>
        <v>0.237798002151</v>
      </c>
    </row>
    <row r="35" spans="2:18" x14ac:dyDescent="0.25">
      <c r="B35" s="346">
        <f t="shared" si="6"/>
        <v>39</v>
      </c>
      <c r="C35" s="305" t="s">
        <v>54</v>
      </c>
      <c r="D35" s="379">
        <f t="shared" si="7"/>
        <v>2.0251777836006117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t="shared" si="0"/>
        <v>0</v>
      </c>
    </row>
    <row r="36" spans="2:18" ht="15.75" thickBot="1" x14ac:dyDescent="0.3">
      <c r="B36" s="348">
        <f t="shared" si="6"/>
        <v>40</v>
      </c>
      <c r="C36" s="325" t="s">
        <v>57</v>
      </c>
      <c r="D36" s="326">
        <f t="shared" si="7"/>
        <v>0.88243315922278309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t="shared" si="0"/>
        <v>0</v>
      </c>
    </row>
    <row r="37" spans="2:18" ht="15.75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t="shared" si="0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t="shared" si="0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t="shared" si="0"/>
        <v>-22.331708826669107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t="shared" si="0"/>
        <v>-5.7961359440070899</v>
      </c>
      <c r="R40" s="296" t="str">
        <f>VLOOKUP(N40,Coeff_Descr!$A$2:$E$104,4,FALSE)</f>
        <v>distanceFromOrigin8</v>
      </c>
    </row>
    <row r="41" spans="2:18" ht="15.75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t="shared" si="0"/>
        <v>-1.6349197554493884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t="shared" si="0"/>
        <v>-0.47811256813721681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-22.331708826669107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t="shared" si="0"/>
        <v>-0.22141031751900001</v>
      </c>
    </row>
    <row r="44" spans="2:18" x14ac:dyDescent="0.25">
      <c r="B44" s="346">
        <f t="shared" ref="B44:B46" si="8">B34</f>
        <v>38</v>
      </c>
      <c r="C44" s="305" t="s">
        <v>51</v>
      </c>
      <c r="D44" s="380">
        <f t="shared" ref="D44:D46" si="9">D24+D34</f>
        <v>-5.7961359440070899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t="shared" si="0"/>
        <v>0.64228876129599999</v>
      </c>
    </row>
    <row r="45" spans="2:18" x14ac:dyDescent="0.25">
      <c r="B45" s="346">
        <f t="shared" si="8"/>
        <v>39</v>
      </c>
      <c r="C45" s="305" t="s">
        <v>54</v>
      </c>
      <c r="D45" s="380">
        <f t="shared" si="9"/>
        <v>-1.6349197554493884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t="shared" si="0"/>
        <v>0.74588429254199995</v>
      </c>
    </row>
    <row r="46" spans="2:18" ht="15.75" thickBot="1" x14ac:dyDescent="0.3">
      <c r="B46" s="348">
        <f t="shared" si="8"/>
        <v>40</v>
      </c>
      <c r="C46" s="325" t="s">
        <v>57</v>
      </c>
      <c r="D46" s="381">
        <f t="shared" si="9"/>
        <v>-0.47811256813721681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t="shared" si="0"/>
        <v>-32.156094092099998</v>
      </c>
    </row>
    <row r="47" spans="2:18" ht="15.75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t="shared" si="0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t="shared" si="0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t="shared" si="0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t="shared" si="0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t="shared" si="0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t="shared" si="0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t="shared" si="0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t="shared" si="0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t="shared" si="0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t="shared" si="0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t="shared" si="0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t="shared" si="0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t="shared" si="0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t="shared" si="0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t="shared" si="0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t="shared" si="0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t="shared" si="0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t="shared" si="0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t="shared" si="0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t="shared" si="0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t="shared" si="0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t="shared" si="0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t="shared" ref="Q69:Q104" si="10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t="shared" si="10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t="shared" si="10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t="shared" si="10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t="shared" si="10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t="shared" si="10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t="shared" si="10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t="shared" si="10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t="shared" si="10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t="shared" si="10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t="shared" si="10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t="shared" si="10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t="shared" si="10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t="shared" si="10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t="shared" si="10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t="shared" si="10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t="shared" si="10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t="shared" si="10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t="shared" si="10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t="shared" si="10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t="shared" si="10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t="shared" si="10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t="shared" si="10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t="shared" si="10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t="shared" si="10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t="shared" si="10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t="shared" si="10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t="shared" si="10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t="shared" si="10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t="shared" si="10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t="shared" si="10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t="shared" si="10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t="shared" si="10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t="shared" si="10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t="shared" si="10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2017-06-23T18:05:39Z</dcterms:modified>
</cp:coreProperties>
</file>