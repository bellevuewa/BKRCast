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5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Def" r:id="rId5" sheetId="6"/>
    <sheet name="OtherTourDestination" r:id="rId6" sheetId="9"/>
    <sheet name="Calibration" r:id="rId7" sheetId="7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7" l="1" r="J4"/>
  <c i="7" r="J5"/>
  <c i="7" r="J6"/>
  <c i="7" r="J7"/>
  <c i="7" r="J8"/>
  <c i="7" r="J9"/>
  <c i="7" r="J10"/>
  <c i="7" r="J11"/>
  <c i="7" r="J12"/>
  <c i="7" r="J13"/>
  <c i="7" r="J14"/>
  <c i="7" r="J15"/>
  <c i="7" r="J16"/>
  <c i="7" r="J17"/>
  <c i="7" r="J18"/>
  <c i="7" r="J19"/>
  <c i="7" r="J20"/>
  <c i="7" r="J21"/>
  <c i="7" r="J22"/>
  <c i="7" r="J23"/>
  <c i="7" r="J24"/>
  <c i="7" r="J25"/>
  <c i="7" r="J26"/>
  <c i="7" r="J27"/>
  <c i="7" r="J28"/>
  <c i="7" r="J29"/>
  <c i="7" r="J30"/>
  <c i="7" r="J31"/>
  <c i="7" r="J32"/>
  <c i="7" r="J33"/>
  <c i="7" r="J34"/>
  <c i="7" r="J35"/>
  <c i="7" r="J36"/>
  <c i="7" r="J37"/>
  <c i="7" r="J38"/>
  <c i="7" r="J39"/>
  <c i="7" r="J40"/>
  <c i="7" r="J41"/>
  <c i="7" r="J42"/>
  <c i="7" r="J43"/>
  <c i="7" r="J44"/>
  <c i="7" r="J45"/>
  <c i="7" r="J46"/>
  <c i="7" r="J47"/>
  <c i="7" r="J48"/>
  <c i="7" r="J49"/>
  <c i="7" r="J50"/>
  <c i="7" r="J51"/>
  <c i="7" r="J52"/>
  <c i="7" r="J53"/>
  <c i="7" r="J54"/>
  <c i="7" r="J55"/>
  <c i="7" r="J56"/>
  <c i="7" r="J57"/>
  <c i="7" r="J58"/>
  <c i="7" r="J59"/>
  <c i="7" r="J60"/>
  <c i="7" r="J61"/>
  <c i="7" r="J62"/>
  <c i="7" r="J63"/>
  <c i="7" r="J64"/>
  <c i="7" r="J65"/>
  <c i="7" r="J66"/>
  <c i="7" r="J67"/>
  <c i="7" r="J68"/>
  <c i="7" r="J69"/>
  <c i="7" r="J70"/>
  <c i="7" r="J71"/>
  <c i="7" r="J72"/>
  <c i="7" r="J73"/>
  <c i="7" r="J74"/>
  <c i="7" r="J75"/>
  <c i="7" r="J76"/>
  <c i="7" r="J77"/>
  <c i="7" r="J78"/>
  <c i="7" r="J79"/>
  <c i="7" r="J80"/>
  <c i="7" r="J81"/>
  <c i="7" r="J82"/>
  <c i="7" r="J83"/>
  <c i="7" r="J84"/>
  <c i="7" r="J85"/>
  <c i="7" r="J86"/>
  <c i="7" r="J87"/>
  <c i="7" r="J88"/>
  <c i="7" r="J89"/>
  <c i="7" r="J90"/>
  <c i="7" r="J91"/>
  <c i="7" r="J92"/>
  <c i="7" r="J93"/>
  <c i="7" r="J94"/>
  <c i="7" r="J95"/>
  <c i="7" r="J96"/>
  <c i="7" r="J97"/>
  <c i="7" r="J98"/>
  <c i="7" r="J99"/>
  <c i="7" r="J100"/>
  <c i="7" r="J101"/>
  <c i="7" r="J102"/>
  <c i="7" r="J103"/>
  <c i="7" r="J3"/>
  <c i="7" l="1" r="B26"/>
  <c i="7" r="B25"/>
  <c i="7" r="B24"/>
  <c i="7" r="B23"/>
  <c i="7" r="K103"/>
  <c i="7" r="K102"/>
  <c i="7" r="K101"/>
  <c i="7" r="K100"/>
  <c i="7" r="K99"/>
  <c i="7" r="K98"/>
  <c i="7" r="K97"/>
  <c i="7" r="K96"/>
  <c i="7" r="K95"/>
  <c i="7" r="K94"/>
  <c i="7" r="K93"/>
  <c i="7" r="K92"/>
  <c i="7" r="K91"/>
  <c i="7" r="K90"/>
  <c i="7" r="K89"/>
  <c i="7" r="K88"/>
  <c i="7" r="K87"/>
  <c i="7" r="K86"/>
  <c i="7" r="K85"/>
  <c i="7" r="K84"/>
  <c i="7" r="K83"/>
  <c i="7" r="K82"/>
  <c i="7" r="K81"/>
  <c i="7" r="K80"/>
  <c i="7" r="K79"/>
  <c i="7" r="K78"/>
  <c i="7" r="K77"/>
  <c i="7" r="K76"/>
  <c i="7" r="K75"/>
  <c i="7" r="K74"/>
  <c i="7" r="K73"/>
  <c i="7" r="K72"/>
  <c i="7" r="K71"/>
  <c i="7" r="K70"/>
  <c i="7" r="K69"/>
  <c i="7" r="K68"/>
  <c i="7" r="K67"/>
  <c i="7" r="K66"/>
  <c i="7" r="K65"/>
  <c i="7" r="K64"/>
  <c i="7" r="K63"/>
  <c i="7" r="K62"/>
  <c i="7" r="K61"/>
  <c i="7" r="K60"/>
  <c i="7" r="K59"/>
  <c i="7" r="K58"/>
  <c i="7" r="K57"/>
  <c i="7" r="K56"/>
  <c i="7" r="K55"/>
  <c i="7" r="K54"/>
  <c i="7" r="K53"/>
  <c i="7" r="K52"/>
  <c i="7" r="K51"/>
  <c i="7" r="K50"/>
  <c i="7" r="K45"/>
  <c i="7" r="K44"/>
  <c i="7" r="K43"/>
  <c i="7" r="K42"/>
  <c i="7" r="K41"/>
  <c i="7" r="K40"/>
  <c i="7" r="K39"/>
  <c i="7" r="K38"/>
  <c i="7" r="K37"/>
  <c i="7" r="K36"/>
  <c i="7" r="K35"/>
  <c i="7" r="K34"/>
  <c i="7" r="K33"/>
  <c i="7" r="K32"/>
  <c i="7" r="K31"/>
  <c i="7" r="K30"/>
  <c i="7" r="K29"/>
  <c i="7" r="K28"/>
  <c i="7" r="K27"/>
  <c i="7" r="K26"/>
  <c i="7" r="K25"/>
  <c i="7" r="K24"/>
  <c i="7" r="K23"/>
  <c i="7" r="K22"/>
  <c i="7" r="K21"/>
  <c i="7" r="K20"/>
  <c i="7" r="K19"/>
  <c i="7" r="K18"/>
  <c i="7" r="K17"/>
  <c i="7" r="K16"/>
  <c i="7" r="K15"/>
  <c i="7" r="K14"/>
  <c i="7" r="K13"/>
  <c i="7" r="K12"/>
  <c i="7" r="K11"/>
  <c i="7" r="K10"/>
  <c i="7" r="K9"/>
  <c i="7" r="K8"/>
  <c i="7" r="K7"/>
  <c i="7" r="K6"/>
  <c i="7" r="K5"/>
  <c i="7" r="K4"/>
  <c i="7" r="K3"/>
  <c i="7" r="E7"/>
  <c i="7" r="B7"/>
  <c i="7" r="E6"/>
  <c i="7" r="B6"/>
  <c i="7" r="E5"/>
  <c i="7" r="B5"/>
  <c i="7" r="E4"/>
  <c i="7" r="B4"/>
  <c i="7" l="1" r="B8"/>
  <c i="7" r="B16" s="1"/>
  <c i="7" r="E8"/>
  <c i="7" r="E16" s="1"/>
  <c i="7" r="B15"/>
  <c i="7" l="1" r="B14"/>
  <c i="7" r="B13"/>
  <c i="7" r="B12"/>
  <c i="7" r="E14"/>
  <c i="7" r="E13"/>
  <c i="7" r="E15"/>
  <c i="7" r="E12"/>
  <c i="7" r="B33" s="1"/>
  <c i="7" r="B43" s="1"/>
  <c i="7" r="K46" s="1"/>
  <c i="7" l="1" r="B34"/>
  <c i="7" r="B44" s="1"/>
  <c i="7" r="K47" s="1"/>
  <c i="7" r="B36"/>
  <c i="7" r="B46" s="1"/>
  <c i="7" r="K49" s="1"/>
  <c i="7" r="B35"/>
  <c i="7" r="B45" s="1"/>
  <c i="7" r="K48" s="1"/>
  <c i="1" r="H15"/>
  <c i="1" r="J13"/>
  <c i="1" l="1" r="S15"/>
  <c i="1" r="U13"/>
  <c i="1" l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C26"/>
  <c i="1" r="D26"/>
  <c i="1" r="E26"/>
  <c i="1" r="F26"/>
  <c i="1" r="G26"/>
  <c i="1" r="H26"/>
  <c i="1" r="B26"/>
  <c i="1" r="J26" s="1"/>
  <c i="1" r="AD32"/>
  <c i="1" r="S32"/>
  <c i="1" r="H32"/>
  <c i="1" r="S19"/>
  <c i="1" r="H19"/>
  <c i="1" r="W39"/>
  <c i="1" r="L39"/>
  <c i="1" r="L26"/>
  <c i="1" r="A39"/>
  <c i="1" r="A26"/>
  <c i="1" r="S6"/>
  <c i="1" r="L13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5"/>
  <c i="1" r="H24"/>
  <c i="1" r="H23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1" s="1"/>
  <c i="3" r="B102"/>
  <c i="3" r="C13" s="1"/>
  <c i="1" l="1" r="H22"/>
  <c i="1" r="U20"/>
  <c i="1" r="H20"/>
  <c i="1" r="U21"/>
  <c i="1" r="H21"/>
  <c i="1" r="J25"/>
  <c i="1" r="J24"/>
  <c i="1" r="G21"/>
  <c i="1" r="D21"/>
  <c i="1" r="E21"/>
  <c i="1" r="B21"/>
  <c i="1" r="F21"/>
  <c i="1" r="F22"/>
  <c i="1" r="B20"/>
  <c i="1" r="C21"/>
  <c i="1" r="J15"/>
  <c i="1" r="B22"/>
  <c i="1" r="C22"/>
  <c i="1" r="D22"/>
  <c i="1" r="C20"/>
  <c i="1" r="D20"/>
  <c i="1" r="E20"/>
  <c i="1" r="E22"/>
  <c i="1" r="U15"/>
  <c i="1" r="U28" s="1"/>
  <c i="1" r="G22"/>
  <c i="1" r="U22"/>
  <c i="1" r="F20"/>
  <c i="1" r="F28" s="1"/>
  <c i="1" r="G20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G28"/>
  <c i="1" r="S35"/>
  <c i="1" r="P39"/>
  <c i="1" r="N39"/>
  <c i="1" r="S37"/>
  <c i="1" r="S33"/>
  <c i="1" r="S39"/>
  <c i="1" r="O39"/>
  <c i="1" r="R39"/>
  <c i="1" r="S34"/>
  <c i="1" r="S36"/>
  <c i="1" r="Q39"/>
  <c i="1" r="S38"/>
  <c i="1" r="M39"/>
  <c i="1" r="U39"/>
  <c i="1" r="S41"/>
  <c i="1" r="H28"/>
  <c i="1" r="J21"/>
  <c i="1" r="M41"/>
  <c i="1" r="R41"/>
  <c i="1" r="Q41"/>
  <c i="1" r="U35"/>
  <c i="1" r="O41"/>
  <c i="1" r="P34"/>
  <c i="1" r="N34"/>
  <c i="1" r="O33"/>
  <c i="1" r="U36"/>
  <c i="1" r="Q38"/>
  <c i="1" r="Q33"/>
  <c i="1" r="Q34"/>
  <c i="1" r="N33"/>
  <c i="1" r="M34"/>
  <c i="1" r="O36"/>
  <c i="1" r="M33"/>
  <c i="1" r="R36"/>
  <c i="1" r="J22"/>
  <c i="1" r="P36"/>
  <c i="1" r="U38"/>
  <c i="1" r="U34"/>
  <c i="1" r="R38"/>
  <c i="1" r="U33"/>
  <c i="1" r="M36"/>
  <c i="1" r="P33"/>
  <c i="1" r="N41"/>
  <c i="1" r="N36"/>
  <c i="1" r="P41"/>
  <c i="1" r="D28"/>
  <c i="1" r="M37"/>
  <c i="1" r="O38"/>
  <c i="1" r="O35"/>
  <c i="1" r="R37"/>
  <c i="1" r="U41"/>
  <c i="1" r="P38"/>
  <c i="1" r="T41"/>
  <c i="1" r="U37"/>
  <c i="1" r="Q37"/>
  <c i="1" r="R35"/>
  <c i="1" r="P37"/>
  <c i="1" r="N37"/>
  <c i="1" r="N35"/>
  <c i="1" r="Q35"/>
  <c i="1" r="M35"/>
  <c i="1" r="O37"/>
  <c i="1" r="N38"/>
  <c i="1" r="P35"/>
  <c i="1" r="M38"/>
  <c i="1" r="E28"/>
  <c i="1" r="C28"/>
  <c i="1" r="R34"/>
  <c i="1" r="B28"/>
  <c i="1" r="J20"/>
  <c i="1" r="R33"/>
  <c i="1" r="Q36"/>
  <c i="1" r="O34"/>
  <c i="1" l="1" r="J28"/>
  <c i="1" r="H41" s="1"/>
  <c i="1" r="AD41" s="1"/>
  <c i="1" l="1" r="H39"/>
  <c i="1" r="AD39" s="1"/>
  <c i="1" r="E39"/>
  <c i="1" r="AA39" s="1"/>
  <c i="1" r="G39"/>
  <c i="1" r="AC39" s="1"/>
  <c i="1" r="B39"/>
  <c i="1" r="X39" s="1"/>
  <c i="1" r="F39"/>
  <c i="1" r="AB39" s="1"/>
  <c i="1" r="J39"/>
  <c i="1" r="AF39" s="1"/>
  <c i="1" r="C39"/>
  <c i="1" r="Y39" s="1"/>
  <c i="1" r="D39"/>
  <c i="1" r="Z39" s="1"/>
  <c i="1" r="H35"/>
  <c i="1" r="AD35" s="1"/>
  <c i="1" r="H36"/>
  <c i="1" r="AD36" s="1"/>
  <c i="1" r="H37"/>
  <c i="1" r="AD37" s="1"/>
  <c i="1" r="H38"/>
  <c i="1" r="AD38" s="1"/>
  <c i="1" r="H34"/>
  <c i="1" r="AD34" s="1"/>
  <c i="1" r="H33"/>
  <c i="1" r="AD33" s="1"/>
  <c i="1" r="C41"/>
  <c i="1" r="Y41" s="1"/>
  <c i="1" r="G41"/>
  <c i="1" r="AC41" s="1"/>
  <c i="1" r="F41"/>
  <c i="1" r="AB41" s="1"/>
  <c i="1" r="J33"/>
  <c i="1" r="AF33" s="1"/>
  <c i="1" r="J35"/>
  <c i="1" r="AF35" s="1"/>
  <c i="1" r="F38"/>
  <c i="1" r="AB38" s="1"/>
  <c i="1" r="E38"/>
  <c i="1" r="AA38" s="1"/>
  <c i="1" r="D38"/>
  <c i="1" r="Z38" s="1"/>
  <c i="1" r="G37"/>
  <c i="1" r="AC37" s="1"/>
  <c i="1" r="C37"/>
  <c i="1" r="Y37" s="1"/>
  <c i="1" r="B36"/>
  <c i="1" r="X36" s="1"/>
  <c i="1" r="D37"/>
  <c i="1" r="Z37" s="1"/>
  <c i="1" r="G36"/>
  <c i="1" r="AC36" s="1"/>
  <c i="1" r="F36"/>
  <c i="1" r="AB36" s="1"/>
  <c i="1" r="J41"/>
  <c i="1" r="AF41" s="1"/>
  <c i="1" r="B37"/>
  <c i="1" r="X37" s="1"/>
  <c i="1" r="F37"/>
  <c i="1" r="AB37" s="1"/>
  <c i="1" r="E37"/>
  <c i="1" r="AA37" s="1"/>
  <c i="1" r="F34"/>
  <c i="1" r="AB34" s="1"/>
  <c i="1" r="B33"/>
  <c i="1" r="X33" s="1"/>
  <c i="1" r="G34"/>
  <c i="1" r="AC34" s="1"/>
  <c i="1" r="C34"/>
  <c i="1" r="Y34" s="1"/>
  <c i="1" r="C38"/>
  <c i="1" r="Y38" s="1"/>
  <c i="1" r="B38"/>
  <c i="1" r="X38" s="1"/>
  <c i="1" r="D36"/>
  <c i="1" r="Z36" s="1"/>
  <c i="1" r="E36"/>
  <c i="1" r="AA36" s="1"/>
  <c i="1" r="B34"/>
  <c i="1" r="X34" s="1"/>
  <c i="1" r="J38"/>
  <c i="1" r="AF38" s="1"/>
  <c i="1" r="C36"/>
  <c i="1" r="Y36" s="1"/>
  <c i="1" r="I41"/>
  <c i="1" r="AE41" s="1"/>
  <c i="1" r="E34"/>
  <c i="1" r="AA34" s="1"/>
  <c i="1" r="D34"/>
  <c i="1" r="Z34" s="1"/>
  <c i="1" r="J37"/>
  <c i="1" r="AF37" s="1"/>
  <c i="1" r="F35"/>
  <c i="1" r="AB35" s="1"/>
  <c i="1" r="G38"/>
  <c i="1" r="AC38" s="1"/>
  <c i="1" r="J36"/>
  <c i="1" r="AF36" s="1"/>
  <c i="1" r="D33"/>
  <c i="1" r="Z33" s="1"/>
  <c i="1" r="E35"/>
  <c i="1" r="AA35" s="1"/>
  <c i="1" r="F33"/>
  <c i="1" r="AB33" s="1"/>
  <c i="1" r="J34"/>
  <c i="1" r="AF34" s="1"/>
  <c i="1" r="D35"/>
  <c i="1" r="Z35" s="1"/>
  <c i="1" r="E33"/>
  <c i="1" r="AA33" s="1"/>
  <c i="1" r="C33"/>
  <c i="1" r="Y33" s="1"/>
  <c i="1" r="C35"/>
  <c i="1" r="Y35" s="1"/>
  <c i="1" r="G35"/>
  <c i="1" r="AC35" s="1"/>
  <c i="1" r="B35"/>
  <c i="1" r="X35" s="1"/>
  <c i="1" r="G33"/>
  <c i="1" r="AC33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<sst xmlns="http://schemas.openxmlformats.org/spreadsheetml/2006/main" count="670" uniqueCount="268">
  <si>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</si>
  <si>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</si>
  <si>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</si>
  <si>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</si>
  <si>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</si>
  <si>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</si>
  <si>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</si>
  <si>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</si>
  <si>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</si>
  <si>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</si>
  <si>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</si>
  <si>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</si>
  <si>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</si>
  <si>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</si>
  <si>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</si>
  <si>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</si>
  <si>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</si>
  <si>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</si>
  <si>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</si>
  <si>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</si>
  <si>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</si>
  <si>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</si>
  <si>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</si>
  <si>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</si>
  <si>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</si>
  <si>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</si>
  <si>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</si>
  <si>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</si>
  <si>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</si>
  <si>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</si>
  <si>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</si>
  <si>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</si>
  <si>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</si>
  <si>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</si>
  <si>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</si>
  <si>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</si>
  <si>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</si>
  <si>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</si>
  <si>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</si>
  <si>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</si>
  <si>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</si>
  <si>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</si>
  <si>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</si>
  <si>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</si>
  <si>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</si>
  <si>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</si>
  <si>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</si>
  <si>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</si>
  <si>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</si>
  <si>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</si>
  <si>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</si>
  <si>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</si>
  <si>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</si>
  <si>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</si>
  <si>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</si>
  <si>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</si>
  <si>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</si>
  <si>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</si>
  <si>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</si>
  <si>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</si>
  <si>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</si>
  <si>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</si>
  <si>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</si>
  <si>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</si>
  <si>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</si>
  <si>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</si>
  <si>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</si>
  <si>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</si>
  <si>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</si>
  <si>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</si>
  <si>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</si>
  <si>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</si>
  <si>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</si>
  <si>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</si>
  <si>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</si>
  <si>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</si>
  <si>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</si>
  <si>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</si>
  <si>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</si>
  <si>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</si>
  <si>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</si>
  <si>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</si>
  <si>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</si>
  <si>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</si>
  <si>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</si>
  <si>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</si>
  <si>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</si>
  <si>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</si>
  <si>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</si>
  <si>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</si>
  <si>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</si>
  <si>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</si>
  <si>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</si>
  <si>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</si>
  <si>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</si>
  <si>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</si>
  <si>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</si>
  <si>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</si>
  <si>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</si>
  <si>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</si>
  <si>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</si>
  <si>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</si>
  <si>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</si>
  <si>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</si>
  <si>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</si>
  <si>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</si>
  <si>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</si>
  <si>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</si>
  <si>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</si>
  <si>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</si>
  <si>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</si>
  <si>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</si>
  <si>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</si>
  <si>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</si>
  <si>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</si>
  <si>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</si>
  <si>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</si>
  <si>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</si>
  <si>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</si>
  <si>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</si>
  <si>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</si>
  <si>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</si>
  <si>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</si>
  <si>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</si>
  <si>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</si>
  <si>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</si>
  <si>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</si>
  <si>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</si>
  <si>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</si>
  <si>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</si>
  <si>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</si>
  <si>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</si>
  <si>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</si>
  <si>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</si>
  <si>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</si>
  <si>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</si>
  <si>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</si>
  <si>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</si>
  <si>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</si>
  <si>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</si>
  <si>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</si>
  <si>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</si>
  <si>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</si>
  <si>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</si>
  <si>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</si>
  <si>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</si>
  <si>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</si>
  <si>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</si>
  <si>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</si>
  <si>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</si>
  <si>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</si>
  <si>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</si>
  <si>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</si>
  <si>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</si>
  <si>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</si>
  <si>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</si>
  <si>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</si>
  <si>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</si>
  <si>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</si>
  <si>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</si>
  <si>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</si>
  <si>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</si>
  <si>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</si>
  <si>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</si>
  <si>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</si>
  <si>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</si>
  <si>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</si>
  <si>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</si>
  <si>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</si>
  <si>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</si>
  <si>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</si>
  <si>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</si>
  <si>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</si>
  <si>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</si>
  <si>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</si>
  <si>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</si>
  <si>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</si>
  <si>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</si>
  <si>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</si>
  <si>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</si>
  <si>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</si>
  <si>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</si>
  <si>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</si>
  <si>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</si>
  <si>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</si>
  <si>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</si>
  <si>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</si>
  <si>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</si>
  <si>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</si>
  <si>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</si>
  <si>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</si>
  <si>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</si>
  <si>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</si>
  <si>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</si>
  <si>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</si>
  <si>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</si>
  <si>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</si>
  <si>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</si>
  <si>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</si>
  <si>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</si>
  <si>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</si>
  <si>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</si>
  <si>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</si>
  <si>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</si>
  <si>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</si>
  <si>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</si>
  <si>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</si>
  <si>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</si>
  <si>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</si>
  <si>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</si>
  <si>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</si>
  <si>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</si>
  <si>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</si>
  <si>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</si>
  <si>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</si>
  <si>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</si>
  <si>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</si>
  <si>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</si>
  <si>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</si>
  <si>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</si>
  <si>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</si>
  <si>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</si>
  <si>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</si>
  <si>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</si>
  <si>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</si>
  <si>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</si>
  <si>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</si>
  <si>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</si>
  <si>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</si>
  <si>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</si>
  <si>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</si>
  <si>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</si>
  <si>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</si>
  <si>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</si>
  <si>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</si>
  <si>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</si>
  <si>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Current</t>
  </si>
  <si>
    <t>Next</t>
  </si>
  <si>
    <t>OtherTourDestinationCoefficients_SACOG-v1.8.F12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</si>
  <si>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</si>
  <si>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</si>
  <si>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</si>
  <si>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</si>
  <si>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</si>
  <si>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</si>
  <si>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</si>
  <si>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Open "IndividualPersonDayPatternCoefficients_nashville-v1.8.F12" in Notepad+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</si>
  <si>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</si>
  <si>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</si>
  <si>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</si>
  <si>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</si>
  <si>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</si>
  <si>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</si>
  <si>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svn</t>
  </si>
  <si>
    <t>v1799,</t>
  </si>
  <si>
    <t>alo</t>
  </si>
  <si>
    <t>v0601)</t>
  </si>
  <si>
    <t>Created</t>
  </si>
  <si>
    <t>by</t>
  </si>
  <si>
    <t>ALOGIT</t>
  </si>
  <si>
    <t>version</t>
  </si>
  <si>
    <t>on</t>
  </si>
  <si>
    <t>May</t>
  </si>
  <si>
    <t>END</t>
  </si>
  <si>
    <t>T</t>
  </si>
  <si>
    <t>F</t>
  </si>
  <si>
    <t>Beta00924</t>
  </si>
  <si>
    <t>011:39:57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</si>
</sst>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0.0000000000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435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Alignment="1" applyFont="1" borderId="0" fillId="0" fontId="1" numFmtId="0" xfId="0">
      <alignment horizontal="right"/>
    </xf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applyNumberFormat="1" borderId="0" fillId="0" fontId="0" numFmtId="11" xfId="0"/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applyNumberFormat="1" borderId="0" fillId="0" fontId="0" numFmtId="11" xfId="0"/>
    <xf applyFill="1" applyFont="1" borderId="0" fillId="0" fontId="0" numFmtId="0" xfId="0"/>
    <xf applyFont="1" applyNumberFormat="1" borderId="0" fillId="0" fontId="0" numFmtId="169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9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9" xfId="0"/>
    <xf applyFill="1" applyFont="1" applyNumberFormat="1" borderId="0" fillId="4" fontId="0" numFmtId="1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4.8200614149796712E-2</c:v>
                </c:pt>
                <c:pt idx="1">
                  <c:v>0.19000386682833525</c:v>
                </c:pt>
                <c:pt idx="2">
                  <c:v>0.12159825735780808</c:v>
                </c:pt>
                <c:pt idx="3">
                  <c:v>0.13069727162428818</c:v>
                </c:pt>
                <c:pt idx="4">
                  <c:v>0.11527962305690219</c:v>
                </c:pt>
                <c:pt idx="5">
                  <c:v>7.742601914720719E-2</c:v>
                </c:pt>
                <c:pt idx="6">
                  <c:v>8.8493450718451522E-2</c:v>
                </c:pt>
                <c:pt idx="7">
                  <c:v>1.1574468298884335E-2</c:v>
                </c:pt>
                <c:pt idx="8">
                  <c:v>3.4161578245154055E-2</c:v>
                </c:pt>
                <c:pt idx="9">
                  <c:v>3.6731068788707161E-2</c:v>
                </c:pt>
                <c:pt idx="10">
                  <c:v>2.7111390102537575E-2</c:v>
                </c:pt>
                <c:pt idx="11">
                  <c:v>3.6252351287299222E-3</c:v>
                </c:pt>
                <c:pt idx="12">
                  <c:v>1.599415577758628E-2</c:v>
                </c:pt>
                <c:pt idx="13">
                  <c:v>3.7897842534644517E-3</c:v>
                </c:pt>
                <c:pt idx="14">
                  <c:v>1.3299453106401498E-2</c:v>
                </c:pt>
                <c:pt idx="15">
                  <c:v>5.4305816235343495E-3</c:v>
                </c:pt>
                <c:pt idx="16">
                  <c:v>8.5929262994481545E-3</c:v>
                </c:pt>
                <c:pt idx="17">
                  <c:v>1.1877701610185584E-2</c:v>
                </c:pt>
                <c:pt idx="18">
                  <c:v>1.4538622081799006E-2</c:v>
                </c:pt>
                <c:pt idx="19">
                  <c:v>1.4042287868720313E-2</c:v>
                </c:pt>
                <c:pt idx="20">
                  <c:v>6.5830852499427616E-4</c:v>
                </c:pt>
                <c:pt idx="21">
                  <c:v>0</c:v>
                </c:pt>
                <c:pt idx="22">
                  <c:v>9.9134025627054013E-3</c:v>
                </c:pt>
                <c:pt idx="23">
                  <c:v>0</c:v>
                </c:pt>
                <c:pt idx="24">
                  <c:v>1.5207155136099384E-3</c:v>
                </c:pt>
                <c:pt idx="25">
                  <c:v>0</c:v>
                </c:pt>
                <c:pt idx="26">
                  <c:v>5.5073361213201447E-3</c:v>
                </c:pt>
                <c:pt idx="27">
                  <c:v>0</c:v>
                </c:pt>
                <c:pt idx="28">
                  <c:v>0</c:v>
                </c:pt>
                <c:pt idx="29">
                  <c:v>9.9318812094285978E-3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5.1454976895216685E-2</c:v>
                </c:pt>
                <c:pt idx="1">
                  <c:v>8.9171974522292988E-2</c:v>
                </c:pt>
                <c:pt idx="2">
                  <c:v>0.11989509179467965</c:v>
                </c:pt>
                <c:pt idx="3">
                  <c:v>0.13294617209941301</c:v>
                </c:pt>
                <c:pt idx="4">
                  <c:v>0.11621081553640565</c:v>
                </c:pt>
                <c:pt idx="5">
                  <c:v>0.10009991257649557</c:v>
                </c:pt>
                <c:pt idx="6">
                  <c:v>8.2053203446983886E-2</c:v>
                </c:pt>
                <c:pt idx="7">
                  <c:v>5.9073310853003623E-2</c:v>
                </c:pt>
                <c:pt idx="8">
                  <c:v>5.3890345947296116E-2</c:v>
                </c:pt>
                <c:pt idx="9">
                  <c:v>4.4461096540527038E-2</c:v>
                </c:pt>
                <c:pt idx="10">
                  <c:v>3.7467216185837392E-2</c:v>
                </c:pt>
                <c:pt idx="11">
                  <c:v>2.9848882228050457E-2</c:v>
                </c:pt>
                <c:pt idx="12">
                  <c:v>2.3229674035219184E-2</c:v>
                </c:pt>
                <c:pt idx="13">
                  <c:v>1.5486449356812789E-2</c:v>
                </c:pt>
                <c:pt idx="14">
                  <c:v>1.2426626701636068E-2</c:v>
                </c:pt>
                <c:pt idx="15">
                  <c:v>8.929686524291245E-3</c:v>
                </c:pt>
                <c:pt idx="16">
                  <c:v>6.1820906706631694E-3</c:v>
                </c:pt>
                <c:pt idx="17">
                  <c:v>4.9956288247783188E-3</c:v>
                </c:pt>
                <c:pt idx="18">
                  <c:v>3.4344948170350943E-3</c:v>
                </c:pt>
                <c:pt idx="19">
                  <c:v>2.0606968902210565E-3</c:v>
                </c:pt>
                <c:pt idx="20">
                  <c:v>2.1855876108405146E-3</c:v>
                </c:pt>
                <c:pt idx="21">
                  <c:v>1.4362432871237666E-3</c:v>
                </c:pt>
                <c:pt idx="22">
                  <c:v>8.1178968402647678E-4</c:v>
                </c:pt>
                <c:pt idx="23">
                  <c:v>5.6200824278756091E-4</c:v>
                </c:pt>
                <c:pt idx="24">
                  <c:v>3.7467216185837392E-4</c:v>
                </c:pt>
                <c:pt idx="25">
                  <c:v>2.4978144123891593E-4</c:v>
                </c:pt>
                <c:pt idx="26">
                  <c:v>2.4978144123891593E-4</c:v>
                </c:pt>
                <c:pt idx="27">
                  <c:v>3.1222680154864492E-4</c:v>
                </c:pt>
                <c:pt idx="28">
                  <c:v>1.2489072061945796E-4</c:v>
                </c:pt>
                <c:pt idx="29">
                  <c:v>0</c:v>
                </c:pt>
                <c:pt idx="30">
                  <c:v>3.1222680154864492E-4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6.2445360309728982E-5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1.960239751910773E-2</c:v>
                </c:pt>
                <c:pt idx="4">
                  <c:v>6.5544872498086895E-2</c:v>
                </c:pt>
                <c:pt idx="5">
                  <c:v>0.12690540182871005</c:v>
                </c:pt>
                <c:pt idx="6">
                  <c:v>6.0459421603320657E-2</c:v>
                </c:pt>
                <c:pt idx="7">
                  <c:v>0.11150151948244538</c:v>
                </c:pt>
                <c:pt idx="8">
                  <c:v>6.9610843469852829E-2</c:v>
                </c:pt>
                <c:pt idx="9">
                  <c:v>6.8538345824723762E-2</c:v>
                </c:pt>
                <c:pt idx="10">
                  <c:v>5.6961875659953719E-2</c:v>
                </c:pt>
                <c:pt idx="11">
                  <c:v>5.6092632105650672E-2</c:v>
                </c:pt>
                <c:pt idx="12">
                  <c:v>6.2280051369557568E-2</c:v>
                </c:pt>
                <c:pt idx="13">
                  <c:v>1.103709797592241E-2</c:v>
                </c:pt>
                <c:pt idx="14">
                  <c:v>5.6443105131408343E-2</c:v>
                </c:pt>
                <c:pt idx="15">
                  <c:v>3.2745317736723296E-2</c:v>
                </c:pt>
                <c:pt idx="16">
                  <c:v>2.4909323042716109E-2</c:v>
                </c:pt>
                <c:pt idx="17">
                  <c:v>9.4518670425869228E-3</c:v>
                </c:pt>
                <c:pt idx="18">
                  <c:v>1.6241660335053795E-2</c:v>
                </c:pt>
                <c:pt idx="19">
                  <c:v>2.0352641291141605E-2</c:v>
                </c:pt>
                <c:pt idx="20">
                  <c:v>1.3614698194530882E-2</c:v>
                </c:pt>
                <c:pt idx="21">
                  <c:v>7.0879325231357222E-3</c:v>
                </c:pt>
                <c:pt idx="22">
                  <c:v>3.7051612840690541E-3</c:v>
                </c:pt>
                <c:pt idx="23">
                  <c:v>7.9861364854609974E-3</c:v>
                </c:pt>
                <c:pt idx="24">
                  <c:v>1.2870012469850568E-2</c:v>
                </c:pt>
                <c:pt idx="25">
                  <c:v>1.1937567590431217E-2</c:v>
                </c:pt>
                <c:pt idx="26">
                  <c:v>5.9240134585578877E-4</c:v>
                </c:pt>
                <c:pt idx="27">
                  <c:v>5.0175558218749734E-3</c:v>
                </c:pt>
                <c:pt idx="28">
                  <c:v>2.3715366971915612E-2</c:v>
                </c:pt>
                <c:pt idx="29">
                  <c:v>1.0213832098867081E-3</c:v>
                </c:pt>
                <c:pt idx="30">
                  <c:v>1.1413156861799546E-3</c:v>
                </c:pt>
                <c:pt idx="31">
                  <c:v>0</c:v>
                </c:pt>
                <c:pt idx="32">
                  <c:v>1.1133026378749132E-2</c:v>
                </c:pt>
                <c:pt idx="33">
                  <c:v>3.6557897878315335E-3</c:v>
                </c:pt>
                <c:pt idx="34">
                  <c:v>0</c:v>
                </c:pt>
                <c:pt idx="35">
                  <c:v>0</c:v>
                </c:pt>
                <c:pt idx="36">
                  <c:v>3.705772964477297E-3</c:v>
                </c:pt>
                <c:pt idx="37">
                  <c:v>7.5534235797337034E-4</c:v>
                </c:pt>
                <c:pt idx="38">
                  <c:v>7.385114910357912E-4</c:v>
                </c:pt>
                <c:pt idx="39">
                  <c:v>4.3902593698598264E-3</c:v>
                </c:pt>
                <c:pt idx="40">
                  <c:v>1.801666881232736E-3</c:v>
                </c:pt>
                <c:pt idx="41">
                  <c:v>1.2666426885085515E-3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5.2532013707497363E-3</c:v>
                </c:pt>
                <c:pt idx="46">
                  <c:v>0</c:v>
                </c:pt>
                <c:pt idx="47">
                  <c:v>9.9318812094285943E-3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1.7484700886724117E-3</c:v>
                </c:pt>
                <c:pt idx="1">
                  <c:v>9.1794679655301612E-3</c:v>
                </c:pt>
                <c:pt idx="2">
                  <c:v>9.9288122892469098E-3</c:v>
                </c:pt>
                <c:pt idx="3">
                  <c:v>1.7234919445485202E-2</c:v>
                </c:pt>
                <c:pt idx="4">
                  <c:v>2.7850630698139128E-2</c:v>
                </c:pt>
                <c:pt idx="5">
                  <c:v>4.5522667665792431E-2</c:v>
                </c:pt>
                <c:pt idx="6">
                  <c:v>5.9885100537030098E-2</c:v>
                </c:pt>
                <c:pt idx="7">
                  <c:v>7.2249281878356442E-2</c:v>
                </c:pt>
                <c:pt idx="8">
                  <c:v>7.7994255026851506E-2</c:v>
                </c:pt>
                <c:pt idx="9">
                  <c:v>7.4185088047958037E-2</c:v>
                </c:pt>
                <c:pt idx="10">
                  <c:v>7.7182465342825024E-2</c:v>
                </c:pt>
                <c:pt idx="11">
                  <c:v>6.7878106656675402E-2</c:v>
                </c:pt>
                <c:pt idx="12">
                  <c:v>6.1383789184463591E-2</c:v>
                </c:pt>
                <c:pt idx="13">
                  <c:v>5.470213563132259E-2</c:v>
                </c:pt>
                <c:pt idx="14">
                  <c:v>4.7271137754464843E-2</c:v>
                </c:pt>
                <c:pt idx="15">
                  <c:v>4.3461970775571374E-2</c:v>
                </c:pt>
                <c:pt idx="16">
                  <c:v>3.6967653303359563E-2</c:v>
                </c:pt>
                <c:pt idx="17">
                  <c:v>3.147246159610341E-2</c:v>
                </c:pt>
                <c:pt idx="18">
                  <c:v>2.8225302859997501E-2</c:v>
                </c:pt>
                <c:pt idx="19">
                  <c:v>2.4978144123891596E-2</c:v>
                </c:pt>
                <c:pt idx="20">
                  <c:v>2.2168102909953791E-2</c:v>
                </c:pt>
                <c:pt idx="21">
                  <c:v>1.7172474085175471E-2</c:v>
                </c:pt>
                <c:pt idx="22">
                  <c:v>1.6485575121768452E-2</c:v>
                </c:pt>
                <c:pt idx="23">
                  <c:v>1.3363307106282004E-2</c:v>
                </c:pt>
                <c:pt idx="24">
                  <c:v>1.0927938054202573E-2</c:v>
                </c:pt>
                <c:pt idx="25">
                  <c:v>9.3043586861496184E-3</c:v>
                </c:pt>
                <c:pt idx="26">
                  <c:v>6.4943174722118142E-3</c:v>
                </c:pt>
                <c:pt idx="27">
                  <c:v>6.8689896340701885E-3</c:v>
                </c:pt>
                <c:pt idx="28">
                  <c:v>5.5576370675658798E-3</c:v>
                </c:pt>
                <c:pt idx="29">
                  <c:v>4.4336205819907578E-3</c:v>
                </c:pt>
                <c:pt idx="30">
                  <c:v>2.8724865742475333E-3</c:v>
                </c:pt>
                <c:pt idx="31">
                  <c:v>2.7475958536280756E-3</c:v>
                </c:pt>
                <c:pt idx="32">
                  <c:v>2.3729236917697017E-3</c:v>
                </c:pt>
                <c:pt idx="33">
                  <c:v>2.2480329711502436E-3</c:v>
                </c:pt>
                <c:pt idx="34">
                  <c:v>1.9358061696015986E-3</c:v>
                </c:pt>
                <c:pt idx="35">
                  <c:v>8.7423504433620583E-4</c:v>
                </c:pt>
                <c:pt idx="36">
                  <c:v>9.3668040464593477E-4</c:v>
                </c:pt>
                <c:pt idx="37">
                  <c:v>6.2445360309728985E-4</c:v>
                </c:pt>
                <c:pt idx="38">
                  <c:v>1.8733608092918696E-4</c:v>
                </c:pt>
                <c:pt idx="39">
                  <c:v>5.6200824278756091E-4</c:v>
                </c:pt>
                <c:pt idx="40">
                  <c:v>6.868989634070189E-4</c:v>
                </c:pt>
                <c:pt idx="41">
                  <c:v>2.4978144123891593E-4</c:v>
                </c:pt>
                <c:pt idx="42">
                  <c:v>4.3711752216810291E-4</c:v>
                </c:pt>
                <c:pt idx="43">
                  <c:v>1.8733608092918696E-4</c:v>
                </c:pt>
                <c:pt idx="44">
                  <c:v>1.2489072061945796E-4</c:v>
                </c:pt>
                <c:pt idx="45">
                  <c:v>6.2445360309728982E-5</c:v>
                </c:pt>
                <c:pt idx="46">
                  <c:v>1.2489072061945796E-4</c:v>
                </c:pt>
                <c:pt idx="47">
                  <c:v>1.2489072061945796E-4</c:v>
                </c:pt>
                <c:pt idx="48">
                  <c:v>1.8733608092918696E-4</c:v>
                </c:pt>
                <c:pt idx="49">
                  <c:v>1.2489072061945796E-4</c:v>
                </c:pt>
                <c:pt idx="50">
                  <c:v>6.2445360309728982E-5</c:v>
                </c:pt>
                <c:pt idx="51">
                  <c:v>6.2445360309728982E-5</c:v>
                </c:pt>
                <c:pt idx="52">
                  <c:v>0</c:v>
                </c:pt>
                <c:pt idx="53">
                  <c:v>6.2445360309728982E-5</c:v>
                </c:pt>
                <c:pt idx="54">
                  <c:v>6.2445360309728982E-5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I28" sqref="I28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47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48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33239.3735</v>
      </c>
      <c r="C11" s="11">
        <f>B11/B$102</f>
        <v>4.8200614149796712E-2</v>
      </c>
      <c r="E11" s="19">
        <v>0</v>
      </c>
      <c r="F11" s="109" t="n">
        <v>33626.0</v>
      </c>
      <c r="G11" s="11">
        <f>F11/F$102</f>
        <v>5.1454976895216685E-2</v>
      </c>
      <c r="K11" s="8" t="n">
        <v>5.360202717957743</v>
      </c>
      <c r="L11" s="8" t="n">
        <v>6.879508215560028</v>
      </c>
    </row>
    <row r="12" spans="1:12" x14ac:dyDescent="0.25">
      <c r="A12">
        <v>1</v>
      </c>
      <c r="B12" s="8" t="n">
        <v>33995.0139</v>
      </c>
      <c r="C12" s="11">
        <f>B12/B$102</f>
        <v>0.19000386682833525</v>
      </c>
      <c r="E12" s="20">
        <v>1</v>
      </c>
      <c r="F12" s="110" t="n">
        <v>18508.0</v>
      </c>
      <c r="G12" s="11">
        <f>F12/F$102</f>
        <v>8.9171974522292988E-2</v>
      </c>
      <c r="K12" s="8"/>
      <c r="L12" s="379"/>
    </row>
    <row r="13" spans="1:12" x14ac:dyDescent="0.25">
      <c r="A13">
        <v>2</v>
      </c>
      <c r="B13" s="8" t="n">
        <v>21322.7315</v>
      </c>
      <c r="C13" s="11">
        <f ref="C13:C76" si="0" t="shared">B13/B$102</f>
        <v>0.12159825735780808</v>
      </c>
      <c r="E13" s="21">
        <v>2</v>
      </c>
      <c r="F13" s="111" t="n">
        <v>11622.0</v>
      </c>
      <c r="G13" s="11">
        <f ref="G13:G76" si="1" t="shared">F13/F$102</f>
        <v>0.11989509179467965</v>
      </c>
    </row>
    <row r="14" spans="1:12" x14ac:dyDescent="0.25">
      <c r="A14">
        <v>3</v>
      </c>
      <c r="B14" s="8" t="n">
        <v>12610.6242</v>
      </c>
      <c r="C14" s="11">
        <f si="0" t="shared"/>
        <v>0.13069727162428818</v>
      </c>
      <c r="E14" s="22">
        <v>3</v>
      </c>
      <c r="F14" s="112" t="n">
        <v>6493.0</v>
      </c>
      <c r="G14" s="11">
        <f si="1" t="shared"/>
        <v>0.13294617209941301</v>
      </c>
    </row>
    <row r="15" spans="1:12" x14ac:dyDescent="0.25">
      <c r="A15">
        <v>4</v>
      </c>
      <c r="B15" s="8" t="n">
        <v>8722.7785</v>
      </c>
      <c r="C15" s="11">
        <f si="0" t="shared"/>
        <v>0.11527962305690219</v>
      </c>
      <c r="E15" s="23">
        <v>4</v>
      </c>
      <c r="F15" s="113" t="n">
        <v>23106.0</v>
      </c>
      <c r="G15" s="11">
        <f si="1" t="shared"/>
        <v>0.11621081553640565</v>
      </c>
    </row>
    <row r="16" spans="1:12" x14ac:dyDescent="0.25">
      <c r="A16">
        <v>5</v>
      </c>
      <c r="B16" s="8" t="n">
        <v>11802.8002</v>
      </c>
      <c r="C16" s="11">
        <f si="0" t="shared"/>
        <v>7.742601914720719E-2</v>
      </c>
      <c r="E16" s="24">
        <v>5</v>
      </c>
      <c r="F16" s="114" t="n">
        <v>15477.0</v>
      </c>
      <c r="G16" s="11">
        <f si="1" t="shared"/>
        <v>0.10009991257649557</v>
      </c>
    </row>
    <row r="17" spans="1:7" x14ac:dyDescent="0.25">
      <c r="A17">
        <v>6</v>
      </c>
      <c r="B17" s="8" t="n">
        <v>5451.5292</v>
      </c>
      <c r="C17" s="11">
        <f si="0" t="shared"/>
        <v>8.8493450718451522E-2</v>
      </c>
      <c r="E17" s="25">
        <v>6</v>
      </c>
      <c r="F17" s="115" t="n">
        <v>12392.0</v>
      </c>
      <c r="G17" s="11">
        <f si="1" t="shared"/>
        <v>8.2053203446983886E-2</v>
      </c>
    </row>
    <row r="18" spans="1:7" x14ac:dyDescent="0.25">
      <c r="A18">
        <v>7</v>
      </c>
      <c r="B18" s="8" t="n">
        <v>4251.5741</v>
      </c>
      <c r="C18" s="11">
        <f si="0" t="shared"/>
        <v>1.1574468298884335E-2</v>
      </c>
      <c r="E18" s="26">
        <v>7</v>
      </c>
      <c r="F18" s="116" t="n">
        <v>7842.0</v>
      </c>
      <c r="G18" s="11">
        <f si="1" t="shared"/>
        <v>5.9073310853003623E-2</v>
      </c>
    </row>
    <row r="19" spans="1:7" x14ac:dyDescent="0.25">
      <c r="A19">
        <v>8</v>
      </c>
      <c r="B19" s="8" t="n">
        <v>4308.8874000000005</v>
      </c>
      <c r="C19" s="11">
        <f si="0" t="shared"/>
        <v>3.4161578245154055E-2</v>
      </c>
      <c r="E19" s="27">
        <v>8</v>
      </c>
      <c r="F19" s="117" t="n">
        <v>5946.0</v>
      </c>
      <c r="G19" s="11">
        <f si="1" t="shared"/>
        <v>5.3890345947296116E-2</v>
      </c>
    </row>
    <row r="20" spans="1:7" x14ac:dyDescent="0.25">
      <c r="A20">
        <v>9</v>
      </c>
      <c r="B20" s="8" t="n">
        <v>6526.9646</v>
      </c>
      <c r="C20" s="11">
        <f si="0" t="shared"/>
        <v>3.6731068788707161E-2</v>
      </c>
      <c r="E20" s="28">
        <v>9</v>
      </c>
      <c r="F20" s="118" t="n">
        <v>6097.0</v>
      </c>
      <c r="G20" s="11">
        <f si="1" t="shared"/>
        <v>4.4461096540527038E-2</v>
      </c>
    </row>
    <row r="21" spans="1:7" x14ac:dyDescent="0.25">
      <c r="A21">
        <v>10</v>
      </c>
      <c r="B21" s="8" t="n">
        <v>3409.5669000000003</v>
      </c>
      <c r="C21" s="11">
        <f si="0" t="shared"/>
        <v>2.7111390102537575E-2</v>
      </c>
      <c r="E21" s="29">
        <v>10</v>
      </c>
      <c r="F21" s="119" t="n">
        <v>3254.0</v>
      </c>
      <c r="G21" s="11">
        <f si="1" t="shared"/>
        <v>3.7467216185837392E-2</v>
      </c>
    </row>
    <row r="22" spans="1:7" x14ac:dyDescent="0.25">
      <c r="A22">
        <v>11</v>
      </c>
      <c r="B22" s="8" t="n">
        <v>3544.4676</v>
      </c>
      <c r="C22" s="11">
        <f si="0" t="shared"/>
        <v>3.6252351287299222E-3</v>
      </c>
      <c r="E22" s="30">
        <v>11</v>
      </c>
      <c r="F22" s="120" t="n">
        <v>3434.0</v>
      </c>
      <c r="G22" s="11">
        <f si="1" t="shared"/>
        <v>2.9848882228050457E-2</v>
      </c>
    </row>
    <row r="23" spans="1:7" x14ac:dyDescent="0.25">
      <c r="A23">
        <v>12</v>
      </c>
      <c r="B23" s="8" t="n">
        <v>2400.056</v>
      </c>
      <c r="C23" s="11">
        <f si="0" t="shared"/>
        <v>1.599415577758628E-2</v>
      </c>
      <c r="E23" s="31">
        <v>12</v>
      </c>
      <c r="F23" s="121" t="n">
        <v>2430.0</v>
      </c>
      <c r="G23" s="11">
        <f si="1" t="shared"/>
        <v>2.3229674035219184E-2</v>
      </c>
    </row>
    <row r="24" spans="1:7" x14ac:dyDescent="0.25">
      <c r="A24">
        <v>13</v>
      </c>
      <c r="B24" s="8" t="n">
        <v>6863.3495</v>
      </c>
      <c r="C24" s="11">
        <f si="0" t="shared"/>
        <v>3.7897842534644517E-3</v>
      </c>
      <c r="E24" s="32">
        <v>13</v>
      </c>
      <c r="F24" s="122" t="n">
        <v>3742.0</v>
      </c>
      <c r="G24" s="11">
        <f si="1" t="shared"/>
        <v>1.5486449356812789E-2</v>
      </c>
    </row>
    <row r="25" spans="1:7" x14ac:dyDescent="0.25">
      <c r="A25">
        <v>14</v>
      </c>
      <c r="B25" s="8" t="n">
        <v>825.4835</v>
      </c>
      <c r="C25" s="11">
        <f si="0" t="shared"/>
        <v>1.3299453106401498E-2</v>
      </c>
      <c r="E25" s="33">
        <v>14</v>
      </c>
      <c r="F25" s="123" t="n">
        <v>2444.0</v>
      </c>
      <c r="G25" s="11">
        <f si="1" t="shared"/>
        <v>1.2426626701636068E-2</v>
      </c>
    </row>
    <row r="26" spans="1:7" x14ac:dyDescent="0.25">
      <c r="A26">
        <v>15</v>
      </c>
      <c r="B26" s="8" t="n">
        <v>1734.9651</v>
      </c>
      <c r="C26" s="11">
        <f si="0" t="shared"/>
        <v>5.4305816235343495E-3</v>
      </c>
      <c r="E26" s="34">
        <v>15</v>
      </c>
      <c r="F26" s="124" t="n">
        <v>3169.0</v>
      </c>
      <c r="G26" s="11">
        <f si="1" t="shared"/>
        <v>8.929686524291245E-3</v>
      </c>
    </row>
    <row r="27" spans="1:7" x14ac:dyDescent="0.25">
      <c r="A27">
        <v>16</v>
      </c>
      <c r="B27" s="8" t="n">
        <v>2406.6345</v>
      </c>
      <c r="C27" s="11">
        <f si="0" t="shared"/>
        <v>8.5929262994481545E-3</v>
      </c>
      <c r="E27" s="35">
        <v>16</v>
      </c>
      <c r="F27" s="125" t="n">
        <v>2373.0</v>
      </c>
      <c r="G27" s="11">
        <f si="1" t="shared"/>
        <v>6.1820906706631694E-3</v>
      </c>
    </row>
    <row r="28" spans="1:7" x14ac:dyDescent="0.25">
      <c r="A28">
        <v>17</v>
      </c>
      <c r="B28" s="8" t="n">
        <v>731.2814</v>
      </c>
      <c r="C28" s="11">
        <f si="0" t="shared"/>
        <v>1.1877701610185584E-2</v>
      </c>
      <c r="E28" s="36">
        <v>17</v>
      </c>
      <c r="F28" s="126" t="n">
        <v>1755.0</v>
      </c>
      <c r="G28" s="11">
        <f si="1" t="shared"/>
        <v>4.9956288247783188E-3</v>
      </c>
    </row>
    <row r="29" spans="1:7" x14ac:dyDescent="0.25">
      <c r="A29">
        <v>18</v>
      </c>
      <c r="B29" s="8" t="n">
        <v>377.9572</v>
      </c>
      <c r="C29" s="11">
        <f si="0" t="shared"/>
        <v>1.4538622081799006E-2</v>
      </c>
      <c r="E29" s="37">
        <v>18</v>
      </c>
      <c r="F29" s="127" t="n">
        <v>1859.0</v>
      </c>
      <c r="G29" s="11">
        <f si="1" t="shared"/>
        <v>3.4344948170350943E-3</v>
      </c>
    </row>
    <row r="30" spans="1:7" x14ac:dyDescent="0.25">
      <c r="A30">
        <v>19</v>
      </c>
      <c r="B30" s="8" t="n">
        <v>98.1467</v>
      </c>
      <c r="C30" s="11">
        <f si="0" t="shared"/>
        <v>1.4042287868720313E-2</v>
      </c>
      <c r="E30" s="38">
        <v>19</v>
      </c>
      <c r="F30" s="128" t="n">
        <v>1654.0</v>
      </c>
      <c r="G30" s="11">
        <f si="1" t="shared"/>
        <v>2.0606968902210565E-3</v>
      </c>
    </row>
    <row r="31" spans="1:7" x14ac:dyDescent="0.25">
      <c r="A31">
        <v>20</v>
      </c>
      <c r="B31" s="8" t="n">
        <v>53.793</v>
      </c>
      <c r="C31" s="11">
        <f si="0" t="shared"/>
        <v>6.5830852499427616E-4</v>
      </c>
      <c r="E31" s="39">
        <v>20</v>
      </c>
      <c r="F31" s="129" t="n">
        <v>1437.0</v>
      </c>
      <c r="G31" s="11">
        <f si="1" t="shared"/>
        <v>2.1855876108405146E-3</v>
      </c>
    </row>
    <row r="32" spans="1:7" x14ac:dyDescent="0.25">
      <c r="A32">
        <v>21</v>
      </c>
      <c r="B32" s="8" t="n">
        <v>77.3709</v>
      </c>
      <c r="C32" s="11">
        <f si="0" t="shared"/>
        <v>0</v>
      </c>
      <c r="E32" s="40">
        <v>21</v>
      </c>
      <c r="F32" s="130" t="n">
        <v>1323.0</v>
      </c>
      <c r="G32" s="11">
        <f si="1" t="shared"/>
        <v>1.4362432871237666E-3</v>
      </c>
    </row>
    <row r="33" spans="1:7" x14ac:dyDescent="0.25">
      <c r="A33">
        <v>22</v>
      </c>
      <c r="B33" s="8" t="n">
        <v>738.5055</v>
      </c>
      <c r="C33" s="11">
        <f si="0" t="shared"/>
        <v>9.9134025627054013E-3</v>
      </c>
      <c r="E33" s="41">
        <v>22</v>
      </c>
      <c r="F33" s="131" t="n">
        <v>974.0</v>
      </c>
      <c r="G33" s="11">
        <f si="1" t="shared"/>
        <v>8.1178968402647678E-4</v>
      </c>
    </row>
    <row r="34" spans="1:7" x14ac:dyDescent="0.25">
      <c r="A34">
        <v>23</v>
      </c>
      <c r="B34" s="8" t="n">
        <v>0.0</v>
      </c>
      <c r="C34" s="11">
        <f si="0" t="shared"/>
        <v>0</v>
      </c>
      <c r="E34" s="42">
        <v>23</v>
      </c>
      <c r="F34" s="132" t="n">
        <v>1270.0</v>
      </c>
      <c r="G34" s="11">
        <f si="1" t="shared"/>
        <v>5.6200824278756091E-4</v>
      </c>
    </row>
    <row r="35" spans="1:7" x14ac:dyDescent="0.25">
      <c r="A35">
        <v>24</v>
      </c>
      <c r="B35" s="8" t="n">
        <v>1016.2542</v>
      </c>
      <c r="C35" s="11">
        <f si="0" t="shared"/>
        <v>1.5207155136099384E-3</v>
      </c>
      <c r="E35" s="43">
        <v>24</v>
      </c>
      <c r="F35" s="133" t="n">
        <v>926.0</v>
      </c>
      <c r="G35" s="11">
        <f si="1" t="shared"/>
        <v>3.7467216185837392E-4</v>
      </c>
    </row>
    <row r="36" spans="1:7" x14ac:dyDescent="0.25">
      <c r="A36">
        <v>25</v>
      </c>
      <c r="B36" s="8" t="n">
        <v>3.646</v>
      </c>
      <c r="C36" s="11">
        <f si="0" t="shared"/>
        <v>0</v>
      </c>
      <c r="E36" s="44">
        <v>25</v>
      </c>
      <c r="F36" s="134" t="n">
        <v>854.0</v>
      </c>
      <c r="G36" s="11">
        <f si="1" t="shared"/>
        <v>2.4978144123891593E-4</v>
      </c>
    </row>
    <row r="37" spans="1:7" x14ac:dyDescent="0.25">
      <c r="A37">
        <v>26</v>
      </c>
      <c r="B37" s="8" t="n">
        <v>0.0</v>
      </c>
      <c r="C37" s="11">
        <f si="0" t="shared"/>
        <v>5.5073361213201447E-3</v>
      </c>
      <c r="E37" s="45">
        <v>26</v>
      </c>
      <c r="F37" s="135" t="n">
        <v>614.0</v>
      </c>
      <c r="G37" s="11">
        <f si="1" t="shared"/>
        <v>2.4978144123891593E-4</v>
      </c>
    </row>
    <row r="38" spans="1:7" x14ac:dyDescent="0.25">
      <c r="A38">
        <v>27</v>
      </c>
      <c r="B38" s="8" t="n">
        <v>157.6704</v>
      </c>
      <c r="C38" s="11">
        <f si="0" t="shared"/>
        <v>0</v>
      </c>
      <c r="E38" s="46">
        <v>27</v>
      </c>
      <c r="F38" s="136" t="n">
        <v>765.0</v>
      </c>
      <c r="G38" s="11">
        <f si="1" t="shared"/>
        <v>3.1222680154864492E-4</v>
      </c>
    </row>
    <row r="39" spans="1:7" x14ac:dyDescent="0.25">
      <c r="A39">
        <v>28</v>
      </c>
      <c r="B39" s="8" t="n">
        <v>209.4978</v>
      </c>
      <c r="C39" s="11">
        <f si="0" t="shared"/>
        <v>0</v>
      </c>
      <c r="E39" s="47">
        <v>28</v>
      </c>
      <c r="F39" s="137" t="n">
        <v>446.0</v>
      </c>
      <c r="G39" s="11">
        <f si="1" t="shared"/>
        <v>1.2489072061945796E-4</v>
      </c>
    </row>
    <row r="40" spans="1:7" x14ac:dyDescent="0.25">
      <c r="A40">
        <v>29</v>
      </c>
      <c r="B40" s="8" t="n">
        <v>582.3909</v>
      </c>
      <c r="C40" s="11">
        <f si="0" t="shared"/>
        <v>9.9318812094285978E-3</v>
      </c>
      <c r="E40" s="48">
        <v>29</v>
      </c>
      <c r="F40" s="138" t="n">
        <v>430.0</v>
      </c>
      <c r="G40" s="11">
        <f si="1" t="shared"/>
        <v>0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402.0</v>
      </c>
      <c r="G41" s="11">
        <f si="1" t="shared"/>
        <v>3.1222680154864492E-4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50">
        <v>31</v>
      </c>
      <c r="F42" s="140" t="n">
        <v>350.0</v>
      </c>
      <c r="G42" s="11">
        <f si="1" t="shared"/>
        <v>0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1">
        <v>32</v>
      </c>
      <c r="F43" s="141" t="n">
        <v>299.0</v>
      </c>
      <c r="G43" s="11">
        <f si="1" t="shared"/>
        <v>0</v>
      </c>
    </row>
    <row r="44" spans="1:7" x14ac:dyDescent="0.25">
      <c r="A44">
        <v>33</v>
      </c>
      <c r="B44" s="8" t="n">
        <v>0.0</v>
      </c>
      <c r="C44" s="11">
        <f si="0" t="shared"/>
        <v>0</v>
      </c>
      <c r="E44" s="52">
        <v>33</v>
      </c>
      <c r="F44" s="142" t="n">
        <v>270.0</v>
      </c>
      <c r="G44" s="11">
        <f si="1" t="shared"/>
        <v>0</v>
      </c>
    </row>
    <row r="45" spans="1:7" x14ac:dyDescent="0.25">
      <c r="A45">
        <v>34</v>
      </c>
      <c r="B45" s="8" t="n">
        <v>0.0</v>
      </c>
      <c r="C45" s="11">
        <f si="0" t="shared"/>
        <v>0</v>
      </c>
      <c r="E45" s="53">
        <v>34</v>
      </c>
      <c r="F45" s="143" t="n">
        <v>224.0</v>
      </c>
      <c r="G45" s="11">
        <f si="1" t="shared"/>
        <v>6.2445360309728982E-5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173.0</v>
      </c>
      <c r="G46" s="11">
        <f si="1" t="shared"/>
        <v>0</v>
      </c>
    </row>
    <row r="47" spans="1:7" x14ac:dyDescent="0.25">
      <c r="A47">
        <v>36</v>
      </c>
      <c r="B47" s="8" t="n">
        <v>2288.5432</v>
      </c>
      <c r="C47" s="11">
        <f si="0" t="shared"/>
        <v>0</v>
      </c>
      <c r="E47" s="55">
        <v>36</v>
      </c>
      <c r="F47" s="145" t="n">
        <v>253.0</v>
      </c>
      <c r="G47" s="11">
        <f si="1" t="shared"/>
        <v>0</v>
      </c>
    </row>
    <row r="48" spans="1:7" x14ac:dyDescent="0.25">
      <c r="A48">
        <v>37</v>
      </c>
      <c r="B48" s="8" t="n">
        <v>357.3068</v>
      </c>
      <c r="C48" s="11">
        <f si="0" t="shared"/>
        <v>0</v>
      </c>
      <c r="E48" s="56">
        <v>37</v>
      </c>
      <c r="F48" s="146" t="n">
        <v>181.0</v>
      </c>
      <c r="G48" s="11">
        <f si="1" t="shared"/>
        <v>0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162.0</v>
      </c>
      <c r="G49" s="11">
        <f si="1" t="shared"/>
        <v>0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197.0</v>
      </c>
      <c r="G50" s="11">
        <f si="1" t="shared"/>
        <v>0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59">
        <v>40</v>
      </c>
      <c r="F51" s="149" t="n">
        <v>111.0</v>
      </c>
      <c r="G51" s="11">
        <f si="1" t="shared"/>
        <v>0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0">
        <v>41</v>
      </c>
      <c r="F52" s="150" t="n">
        <v>134.0</v>
      </c>
      <c r="G52" s="11">
        <f si="1" t="shared"/>
        <v>0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1">
        <v>42</v>
      </c>
      <c r="F53" s="151" t="n">
        <v>65.0</v>
      </c>
      <c r="G53" s="11">
        <f si="1" t="shared"/>
        <v>0</v>
      </c>
    </row>
    <row r="54" spans="1:7" x14ac:dyDescent="0.25">
      <c r="A54">
        <v>43</v>
      </c>
      <c r="B54" s="8" t="n">
        <v>50.499</v>
      </c>
      <c r="C54" s="11">
        <f si="0" t="shared"/>
        <v>0</v>
      </c>
      <c r="E54" s="62">
        <v>43</v>
      </c>
      <c r="F54" s="152" t="n">
        <v>41.0</v>
      </c>
      <c r="G54" s="11">
        <f si="1" t="shared"/>
        <v>0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51.0</v>
      </c>
      <c r="G55" s="11">
        <f si="1" t="shared"/>
        <v>0</v>
      </c>
    </row>
    <row r="56" spans="1:7" x14ac:dyDescent="0.25">
      <c r="A56">
        <v>45</v>
      </c>
      <c r="B56" s="8" t="n">
        <v>267.0584</v>
      </c>
      <c r="C56" s="11">
        <f si="0" t="shared"/>
        <v>0</v>
      </c>
      <c r="E56" s="64">
        <v>45</v>
      </c>
      <c r="F56" s="154" t="n">
        <v>50.0</v>
      </c>
      <c r="G56" s="11">
        <f si="1" t="shared"/>
        <v>0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5">
        <v>46</v>
      </c>
      <c r="F57" s="155" t="n">
        <v>55.0</v>
      </c>
      <c r="G57" s="11">
        <f si="1" t="shared"/>
        <v>0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26.0</v>
      </c>
      <c r="G58" s="11">
        <f si="1" t="shared"/>
        <v>0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18.0</v>
      </c>
      <c r="G59" s="11">
        <f si="1" t="shared"/>
        <v>0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29.0</v>
      </c>
      <c r="G60" s="11">
        <f si="1" t="shared"/>
        <v>0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17.0</v>
      </c>
      <c r="G61" s="11">
        <f si="1" t="shared"/>
        <v>0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29.0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16.0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12.0</v>
      </c>
      <c r="G64" s="11">
        <f si="1" t="shared"/>
        <v>0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4.0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5.0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4.0</v>
      </c>
      <c r="G67" s="11">
        <f si="1" t="shared"/>
        <v>0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6.0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1.0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3.0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2.0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2.0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1.0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1.0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1.0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1.0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1.0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78656.066235249527</v>
      </c>
      <c r="C102" s="11">
        <f si="2" t="shared"/>
        <v>1</v>
      </c>
      <c r="F102" s="8">
        <f>SUM(F11:F101)</f>
        <v>80070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50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51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113.922</v>
      </c>
      <c r="C11" s="11">
        <f>B11/B$102</f>
        <v>0</v>
      </c>
      <c r="E11" s="199">
        <v>0</v>
      </c>
      <c r="F11" s="289" t="n">
        <v>4090.0</v>
      </c>
      <c r="G11" s="11">
        <f>F11/F$102</f>
        <v>1.7484700886724117E-3</v>
      </c>
      <c r="K11" s="8" t="n">
        <v>14.811281794627137</v>
      </c>
      <c r="L11" s="8" t="n">
        <v>18.987913802625677</v>
      </c>
    </row>
    <row r="12" spans="1:12" x14ac:dyDescent="0.25">
      <c r="A12">
        <v>1</v>
      </c>
      <c r="B12" s="8" t="n">
        <v>1950.0294999999999</v>
      </c>
      <c r="C12" s="11">
        <f>B12/B$102</f>
        <v>0</v>
      </c>
      <c r="E12" s="200">
        <v>1</v>
      </c>
      <c r="F12" s="290" t="n">
        <v>7189.0</v>
      </c>
      <c r="G12" s="11">
        <f>F12/F$102</f>
        <v>9.1794679655301612E-3</v>
      </c>
      <c r="K12" s="8"/>
      <c r="L12" s="380"/>
    </row>
    <row r="13" spans="1:12" x14ac:dyDescent="0.25">
      <c r="A13">
        <v>2</v>
      </c>
      <c r="B13" s="8" t="n">
        <v>5403.174</v>
      </c>
      <c r="C13" s="11">
        <f ref="C13:C76" si="0" t="shared">B13/B$102</f>
        <v>0</v>
      </c>
      <c r="E13" s="201">
        <v>2</v>
      </c>
      <c r="F13" s="291" t="n">
        <v>7995.0</v>
      </c>
      <c r="G13" s="11">
        <f ref="G13:G76" si="1" t="shared">F13/F$102</f>
        <v>9.9288122892469098E-3</v>
      </c>
    </row>
    <row r="14" spans="1:12" x14ac:dyDescent="0.25">
      <c r="A14">
        <v>3</v>
      </c>
      <c r="B14" s="8" t="n">
        <v>5328.652599999999</v>
      </c>
      <c r="C14" s="11">
        <f si="0" t="shared"/>
        <v>1.960239751910773E-2</v>
      </c>
      <c r="E14" s="202">
        <v>3</v>
      </c>
      <c r="F14" s="292" t="n">
        <v>7725.0</v>
      </c>
      <c r="G14" s="11">
        <f si="1" t="shared"/>
        <v>1.7234919445485202E-2</v>
      </c>
    </row>
    <row r="15" spans="1:12" x14ac:dyDescent="0.25">
      <c r="A15">
        <v>4</v>
      </c>
      <c r="B15" s="8" t="n">
        <v>6120.6996</v>
      </c>
      <c r="C15" s="11">
        <f si="0" t="shared"/>
        <v>6.5544872498086895E-2</v>
      </c>
      <c r="E15" s="203">
        <v>4</v>
      </c>
      <c r="F15" s="293" t="n">
        <v>6818.0</v>
      </c>
      <c r="G15" s="11">
        <f si="1" t="shared"/>
        <v>2.7850630698139128E-2</v>
      </c>
    </row>
    <row r="16" spans="1:12" x14ac:dyDescent="0.25">
      <c r="A16">
        <v>5</v>
      </c>
      <c r="B16" s="8" t="n">
        <v>10017.1173</v>
      </c>
      <c r="C16" s="11">
        <f si="0" t="shared"/>
        <v>0.12690540182871005</v>
      </c>
      <c r="E16" s="204">
        <v>5</v>
      </c>
      <c r="F16" s="294" t="n">
        <v>6082.0</v>
      </c>
      <c r="G16" s="11">
        <f si="1" t="shared"/>
        <v>4.5522667665792431E-2</v>
      </c>
    </row>
    <row r="17" spans="1:7" x14ac:dyDescent="0.25">
      <c r="A17">
        <v>6</v>
      </c>
      <c r="B17" s="8" t="n">
        <v>10050.8811</v>
      </c>
      <c r="C17" s="11">
        <f si="0" t="shared"/>
        <v>6.0459421603320657E-2</v>
      </c>
      <c r="E17" s="205">
        <v>6</v>
      </c>
      <c r="F17" s="295" t="n">
        <v>5517.0</v>
      </c>
      <c r="G17" s="11">
        <f si="1" t="shared"/>
        <v>5.9885100537030098E-2</v>
      </c>
    </row>
    <row r="18" spans="1:7" x14ac:dyDescent="0.25">
      <c r="A18">
        <v>7</v>
      </c>
      <c r="B18" s="8" t="n">
        <v>13688.4839</v>
      </c>
      <c r="C18" s="11">
        <f si="0" t="shared"/>
        <v>0.11150151948244538</v>
      </c>
      <c r="E18" s="206">
        <v>7</v>
      </c>
      <c r="F18" s="296" t="n">
        <v>4976.0</v>
      </c>
      <c r="G18" s="11">
        <f si="1" t="shared"/>
        <v>7.2249281878356442E-2</v>
      </c>
    </row>
    <row r="19" spans="1:7" x14ac:dyDescent="0.25">
      <c r="A19">
        <v>8</v>
      </c>
      <c r="B19" s="8" t="n">
        <v>7303.996999999999</v>
      </c>
      <c r="C19" s="11">
        <f si="0" t="shared"/>
        <v>6.9610843469852829E-2</v>
      </c>
      <c r="E19" s="207">
        <v>8</v>
      </c>
      <c r="F19" s="297" t="n">
        <v>4161.0</v>
      </c>
      <c r="G19" s="11">
        <f si="1" t="shared"/>
        <v>7.7994255026851506E-2</v>
      </c>
    </row>
    <row r="20" spans="1:7" x14ac:dyDescent="0.25">
      <c r="A20">
        <v>9</v>
      </c>
      <c r="B20" s="8" t="n">
        <v>14907.9877</v>
      </c>
      <c r="C20" s="11">
        <f si="0" t="shared"/>
        <v>6.8538345824723762E-2</v>
      </c>
      <c r="E20" s="208">
        <v>9</v>
      </c>
      <c r="F20" s="298" t="n">
        <v>3717.0</v>
      </c>
      <c r="G20" s="11">
        <f si="1" t="shared"/>
        <v>7.4185088047958037E-2</v>
      </c>
    </row>
    <row r="21" spans="1:7" x14ac:dyDescent="0.25">
      <c r="A21">
        <v>10</v>
      </c>
      <c r="B21" s="8" t="n">
        <v>6858.8684</v>
      </c>
      <c r="C21" s="11">
        <f si="0" t="shared"/>
        <v>5.6961875659953719E-2</v>
      </c>
      <c r="E21" s="209">
        <v>10</v>
      </c>
      <c r="F21" s="299" t="n">
        <v>3169.0</v>
      </c>
      <c r="G21" s="11">
        <f si="1" t="shared"/>
        <v>7.7182465342825024E-2</v>
      </c>
    </row>
    <row r="22" spans="1:7" x14ac:dyDescent="0.25">
      <c r="A22">
        <v>11</v>
      </c>
      <c r="B22" s="8" t="n">
        <v>5766.1987</v>
      </c>
      <c r="C22" s="11">
        <f si="0" t="shared"/>
        <v>5.6092632105650672E-2</v>
      </c>
      <c r="E22" s="210">
        <v>11</v>
      </c>
      <c r="F22" s="300" t="n">
        <v>2908.0</v>
      </c>
      <c r="G22" s="11">
        <f si="1" t="shared"/>
        <v>6.7878106656675402E-2</v>
      </c>
    </row>
    <row r="23" spans="1:7" x14ac:dyDescent="0.25">
      <c r="A23">
        <v>12</v>
      </c>
      <c r="B23" s="8" t="n">
        <v>6112.2625</v>
      </c>
      <c r="C23" s="11">
        <f si="0" t="shared"/>
        <v>6.2280051369557568E-2</v>
      </c>
      <c r="E23" s="211">
        <v>12</v>
      </c>
      <c r="F23" s="301" t="n">
        <v>2661.0</v>
      </c>
      <c r="G23" s="11">
        <f si="1" t="shared"/>
        <v>6.1383789184463591E-2</v>
      </c>
    </row>
    <row r="24" spans="1:7" x14ac:dyDescent="0.25">
      <c r="A24">
        <v>13</v>
      </c>
      <c r="B24" s="8" t="n">
        <v>6617.2703</v>
      </c>
      <c r="C24" s="11">
        <f si="0" t="shared"/>
        <v>1.103709797592241E-2</v>
      </c>
      <c r="E24" s="212">
        <v>13</v>
      </c>
      <c r="F24" s="302" t="n">
        <v>2327.0</v>
      </c>
      <c r="G24" s="11">
        <f si="1" t="shared"/>
        <v>5.470213563132259E-2</v>
      </c>
    </row>
    <row r="25" spans="1:7" x14ac:dyDescent="0.25">
      <c r="A25">
        <v>14</v>
      </c>
      <c r="B25" s="8" t="n">
        <v>8002.5009</v>
      </c>
      <c r="C25" s="11">
        <f si="0" t="shared"/>
        <v>5.6443105131408343E-2</v>
      </c>
      <c r="E25" s="213">
        <v>14</v>
      </c>
      <c r="F25" s="303" t="n">
        <v>1967.0</v>
      </c>
      <c r="G25" s="11">
        <f si="1" t="shared"/>
        <v>4.7271137754464843E-2</v>
      </c>
    </row>
    <row r="26" spans="1:7" x14ac:dyDescent="0.25">
      <c r="A26">
        <v>15</v>
      </c>
      <c r="B26" s="8" t="n">
        <v>6372.2785</v>
      </c>
      <c r="C26" s="11">
        <f si="0" t="shared"/>
        <v>3.2745317736723296E-2</v>
      </c>
      <c r="E26" s="214">
        <v>15</v>
      </c>
      <c r="F26" s="304" t="n">
        <v>1695.0</v>
      </c>
      <c r="G26" s="11">
        <f si="1" t="shared"/>
        <v>4.3461970775571374E-2</v>
      </c>
    </row>
    <row r="27" spans="1:7" x14ac:dyDescent="0.25">
      <c r="A27">
        <v>16</v>
      </c>
      <c r="B27" s="8" t="n">
        <v>6849.5772</v>
      </c>
      <c r="C27" s="11">
        <f si="0" t="shared"/>
        <v>2.4909323042716109E-2</v>
      </c>
      <c r="E27" s="215">
        <v>16</v>
      </c>
      <c r="F27" s="305" t="n">
        <v>1595.0</v>
      </c>
      <c r="G27" s="11">
        <f si="1" t="shared"/>
        <v>3.6967653303359563E-2</v>
      </c>
    </row>
    <row r="28" spans="1:7" x14ac:dyDescent="0.25">
      <c r="A28">
        <v>17</v>
      </c>
      <c r="B28" s="8" t="n">
        <v>2596.4009</v>
      </c>
      <c r="C28" s="11">
        <f si="0" t="shared"/>
        <v>9.4518670425869228E-3</v>
      </c>
      <c r="E28" s="216">
        <v>17</v>
      </c>
      <c r="F28" s="306" t="n">
        <v>1383.0</v>
      </c>
      <c r="G28" s="11">
        <f si="1" t="shared"/>
        <v>3.147246159610341E-2</v>
      </c>
    </row>
    <row r="29" spans="1:7" x14ac:dyDescent="0.25">
      <c r="A29">
        <v>18</v>
      </c>
      <c r="B29" s="8" t="n">
        <v>3820.8312</v>
      </c>
      <c r="C29" s="11">
        <f si="0" t="shared"/>
        <v>1.6241660335053795E-2</v>
      </c>
      <c r="E29" s="217">
        <v>18</v>
      </c>
      <c r="F29" s="307" t="n">
        <v>15379.0</v>
      </c>
      <c r="G29" s="11">
        <f si="1" t="shared"/>
        <v>2.8225302859997501E-2</v>
      </c>
    </row>
    <row r="30" spans="1:7" x14ac:dyDescent="0.25">
      <c r="A30">
        <v>19</v>
      </c>
      <c r="B30" s="8" t="n">
        <v>2259.4013</v>
      </c>
      <c r="C30" s="11">
        <f si="0" t="shared"/>
        <v>2.0352641291141605E-2</v>
      </c>
      <c r="E30" s="218">
        <v>19</v>
      </c>
      <c r="F30" s="308" t="n">
        <v>5063.0</v>
      </c>
      <c r="G30" s="11">
        <f si="1" t="shared"/>
        <v>2.4978144123891596E-2</v>
      </c>
    </row>
    <row r="31" spans="1:7" x14ac:dyDescent="0.25">
      <c r="A31">
        <v>20</v>
      </c>
      <c r="B31" s="8" t="n">
        <v>4683.0167</v>
      </c>
      <c r="C31" s="11">
        <f si="0" t="shared"/>
        <v>1.3614698194530882E-2</v>
      </c>
      <c r="E31" s="219">
        <v>20</v>
      </c>
      <c r="F31" s="309" t="n">
        <v>6326.0</v>
      </c>
      <c r="G31" s="11">
        <f si="1" t="shared"/>
        <v>2.2168102909953791E-2</v>
      </c>
    </row>
    <row r="32" spans="1:7" x14ac:dyDescent="0.25">
      <c r="A32">
        <v>21</v>
      </c>
      <c r="B32" s="8" t="n">
        <v>2008.0535</v>
      </c>
      <c r="C32" s="11">
        <f si="0" t="shared"/>
        <v>7.0879325231357222E-3</v>
      </c>
      <c r="E32" s="220">
        <v>21</v>
      </c>
      <c r="F32" s="310" t="n">
        <v>8266.0</v>
      </c>
      <c r="G32" s="11">
        <f si="1" t="shared"/>
        <v>1.7172474085175471E-2</v>
      </c>
    </row>
    <row r="33" spans="1:7" x14ac:dyDescent="0.25">
      <c r="A33">
        <v>22</v>
      </c>
      <c r="B33" s="8" t="n">
        <v>2671.1715</v>
      </c>
      <c r="C33" s="11">
        <f si="0" t="shared"/>
        <v>3.7051612840690541E-3</v>
      </c>
      <c r="E33" s="221">
        <v>22</v>
      </c>
      <c r="F33" s="311" t="n">
        <v>6158.0</v>
      </c>
      <c r="G33" s="11">
        <f si="1" t="shared"/>
        <v>1.6485575121768452E-2</v>
      </c>
    </row>
    <row r="34" spans="1:7" x14ac:dyDescent="0.25">
      <c r="A34">
        <v>23</v>
      </c>
      <c r="B34" s="8" t="n">
        <v>8052.5695000000005</v>
      </c>
      <c r="C34" s="11">
        <f si="0" t="shared"/>
        <v>7.9861364854609974E-3</v>
      </c>
      <c r="E34" s="222">
        <v>23</v>
      </c>
      <c r="F34" s="312" t="n">
        <v>6022.0</v>
      </c>
      <c r="G34" s="11">
        <f si="1" t="shared"/>
        <v>1.3363307106282004E-2</v>
      </c>
    </row>
    <row r="35" spans="1:7" x14ac:dyDescent="0.25">
      <c r="A35">
        <v>24</v>
      </c>
      <c r="B35" s="8" t="n">
        <v>1360.7991000000002</v>
      </c>
      <c r="C35" s="11">
        <f si="0" t="shared"/>
        <v>1.2870012469850568E-2</v>
      </c>
      <c r="E35" s="223">
        <v>24</v>
      </c>
      <c r="F35" s="313" t="n">
        <v>4292.0</v>
      </c>
      <c r="G35" s="11">
        <f si="1" t="shared"/>
        <v>1.0927938054202573E-2</v>
      </c>
    </row>
    <row r="36" spans="1:7" x14ac:dyDescent="0.25">
      <c r="A36">
        <v>25</v>
      </c>
      <c r="B36" s="8" t="n">
        <v>1153.0920999999998</v>
      </c>
      <c r="C36" s="11">
        <f si="0" t="shared"/>
        <v>1.1937567590431217E-2</v>
      </c>
      <c r="E36" s="224">
        <v>25</v>
      </c>
      <c r="F36" s="314" t="n">
        <v>4873.0</v>
      </c>
      <c r="G36" s="11">
        <f si="1" t="shared"/>
        <v>9.3043586861496184E-3</v>
      </c>
    </row>
    <row r="37" spans="1:7" x14ac:dyDescent="0.25">
      <c r="A37">
        <v>26</v>
      </c>
      <c r="B37" s="8" t="n">
        <v>4556.4051</v>
      </c>
      <c r="C37" s="11">
        <f si="0" t="shared"/>
        <v>5.9240134585578877E-4</v>
      </c>
      <c r="E37" s="225">
        <v>26</v>
      </c>
      <c r="F37" s="315" t="n">
        <v>3702.0</v>
      </c>
      <c r="G37" s="11">
        <f si="1" t="shared"/>
        <v>6.4943174722118142E-3</v>
      </c>
    </row>
    <row r="38" spans="1:7" x14ac:dyDescent="0.25">
      <c r="A38">
        <v>27</v>
      </c>
      <c r="B38" s="8" t="n">
        <v>248.6547</v>
      </c>
      <c r="C38" s="11">
        <f si="0" t="shared"/>
        <v>5.0175558218749734E-3</v>
      </c>
      <c r="E38" s="226">
        <v>27</v>
      </c>
      <c r="F38" s="316" t="n">
        <v>3465.0</v>
      </c>
      <c r="G38" s="11">
        <f si="1" t="shared"/>
        <v>6.8689896340701885E-3</v>
      </c>
    </row>
    <row r="39" spans="1:7" x14ac:dyDescent="0.25">
      <c r="A39">
        <v>28</v>
      </c>
      <c r="B39" s="8" t="n">
        <v>973.8426</v>
      </c>
      <c r="C39" s="11">
        <f si="0" t="shared"/>
        <v>2.3715366971915612E-2</v>
      </c>
      <c r="E39" s="227">
        <v>28</v>
      </c>
      <c r="F39" s="317" t="n">
        <v>3206.0</v>
      </c>
      <c r="G39" s="11">
        <f si="1" t="shared"/>
        <v>5.5576370675658798E-3</v>
      </c>
    </row>
    <row r="40" spans="1:7" x14ac:dyDescent="0.25">
      <c r="A40">
        <v>29</v>
      </c>
      <c r="B40" s="8" t="n">
        <v>1514.8762</v>
      </c>
      <c r="C40" s="11">
        <f si="0" t="shared"/>
        <v>1.0213832098867081E-3</v>
      </c>
      <c r="E40" s="228">
        <v>29</v>
      </c>
      <c r="F40" s="318" t="n">
        <v>3413.0</v>
      </c>
      <c r="G40" s="11">
        <f si="1" t="shared"/>
        <v>4.4336205819907578E-3</v>
      </c>
    </row>
    <row r="41" spans="1:7" x14ac:dyDescent="0.25">
      <c r="A41">
        <v>30</v>
      </c>
      <c r="B41" s="8" t="n">
        <v>935.75</v>
      </c>
      <c r="C41" s="11">
        <f si="0" t="shared"/>
        <v>1.1413156861799546E-3</v>
      </c>
      <c r="E41" s="229">
        <v>30</v>
      </c>
      <c r="F41" s="319" t="n">
        <v>3018.0</v>
      </c>
      <c r="G41" s="11">
        <f si="1" t="shared"/>
        <v>2.8724865742475333E-3</v>
      </c>
    </row>
    <row r="42" spans="1:7" x14ac:dyDescent="0.25">
      <c r="A42">
        <v>31</v>
      </c>
      <c r="B42" s="8" t="n">
        <v>1426.1621</v>
      </c>
      <c r="C42" s="11">
        <f si="0" t="shared"/>
        <v>0</v>
      </c>
      <c r="E42" s="230">
        <v>31</v>
      </c>
      <c r="F42" s="320" t="n">
        <v>2717.0</v>
      </c>
      <c r="G42" s="11">
        <f si="1" t="shared"/>
        <v>2.7475958536280756E-3</v>
      </c>
    </row>
    <row r="43" spans="1:7" x14ac:dyDescent="0.25">
      <c r="A43">
        <v>32</v>
      </c>
      <c r="B43" s="8" t="n">
        <v>1312.9786</v>
      </c>
      <c r="C43" s="11">
        <f si="0" t="shared"/>
        <v>1.1133026378749132E-2</v>
      </c>
      <c r="E43" s="231">
        <v>32</v>
      </c>
      <c r="F43" s="321" t="n">
        <v>2559.0</v>
      </c>
      <c r="G43" s="11">
        <f si="1" t="shared"/>
        <v>2.3729236917697017E-3</v>
      </c>
    </row>
    <row r="44" spans="1:7" x14ac:dyDescent="0.25">
      <c r="A44">
        <v>33</v>
      </c>
      <c r="B44" s="8" t="n">
        <v>635.3398</v>
      </c>
      <c r="C44" s="11">
        <f si="0" t="shared"/>
        <v>3.6557897878315335E-3</v>
      </c>
      <c r="E44" s="232">
        <v>33</v>
      </c>
      <c r="F44" s="322" t="n">
        <v>2620.0</v>
      </c>
      <c r="G44" s="11">
        <f si="1" t="shared"/>
        <v>2.2480329711502436E-3</v>
      </c>
    </row>
    <row r="45" spans="1:7" x14ac:dyDescent="0.25">
      <c r="A45">
        <v>34</v>
      </c>
      <c r="B45" s="8" t="n">
        <v>1305.4211</v>
      </c>
      <c r="C45" s="11">
        <f si="0" t="shared"/>
        <v>0</v>
      </c>
      <c r="E45" s="233">
        <v>34</v>
      </c>
      <c r="F45" s="323" t="n">
        <v>1741.0</v>
      </c>
      <c r="G45" s="11">
        <f si="1" t="shared"/>
        <v>1.9358061696015986E-3</v>
      </c>
    </row>
    <row r="46" spans="1:7" x14ac:dyDescent="0.25">
      <c r="A46">
        <v>35</v>
      </c>
      <c r="B46" s="8" t="n">
        <v>528.3918</v>
      </c>
      <c r="C46" s="11">
        <f si="0" t="shared"/>
        <v>0</v>
      </c>
      <c r="E46" s="234">
        <v>35</v>
      </c>
      <c r="F46" s="324" t="n">
        <v>1709.0</v>
      </c>
      <c r="G46" s="11">
        <f si="1" t="shared"/>
        <v>8.7423504433620583E-4</v>
      </c>
    </row>
    <row r="47" spans="1:7" x14ac:dyDescent="0.25">
      <c r="A47">
        <v>36</v>
      </c>
      <c r="B47" s="8" t="n">
        <v>400.0587</v>
      </c>
      <c r="C47" s="11">
        <f si="0" t="shared"/>
        <v>3.705772964477297E-3</v>
      </c>
      <c r="E47" s="235">
        <v>36</v>
      </c>
      <c r="F47" s="325" t="n">
        <v>1987.0</v>
      </c>
      <c r="G47" s="11">
        <f si="1" t="shared"/>
        <v>9.3668040464593477E-4</v>
      </c>
    </row>
    <row r="48" spans="1:7" x14ac:dyDescent="0.25">
      <c r="A48">
        <v>37</v>
      </c>
      <c r="B48" s="8" t="n">
        <v>208.4831</v>
      </c>
      <c r="C48" s="11">
        <f si="0" t="shared"/>
        <v>7.5534235797337034E-4</v>
      </c>
      <c r="E48" s="236">
        <v>37</v>
      </c>
      <c r="F48" s="326" t="n">
        <v>1585.0</v>
      </c>
      <c r="G48" s="11">
        <f si="1" t="shared"/>
        <v>6.2445360309728985E-4</v>
      </c>
    </row>
    <row r="49" spans="1:7" x14ac:dyDescent="0.25">
      <c r="A49">
        <v>38</v>
      </c>
      <c r="B49" s="8" t="n">
        <v>128.8518</v>
      </c>
      <c r="C49" s="11">
        <f si="0" t="shared"/>
        <v>7.385114910357912E-4</v>
      </c>
      <c r="E49" s="237">
        <v>38</v>
      </c>
      <c r="F49" s="327" t="n">
        <v>1373.0</v>
      </c>
      <c r="G49" s="11">
        <f si="1" t="shared"/>
        <v>1.8733608092918696E-4</v>
      </c>
    </row>
    <row r="50" spans="1:7" x14ac:dyDescent="0.25">
      <c r="A50">
        <v>39</v>
      </c>
      <c r="B50" s="8" t="n">
        <v>316.84590000000003</v>
      </c>
      <c r="C50" s="11">
        <f si="0" t="shared"/>
        <v>4.3902593698598264E-3</v>
      </c>
      <c r="E50" s="238">
        <v>39</v>
      </c>
      <c r="F50" s="328" t="n">
        <v>1376.0</v>
      </c>
      <c r="G50" s="11">
        <f si="1" t="shared"/>
        <v>5.6200824278756091E-4</v>
      </c>
    </row>
    <row r="51" spans="1:7" x14ac:dyDescent="0.25">
      <c r="A51">
        <v>40</v>
      </c>
      <c r="B51" s="8" t="n">
        <v>0.0</v>
      </c>
      <c r="C51" s="11">
        <f si="0" t="shared"/>
        <v>1.801666881232736E-3</v>
      </c>
      <c r="E51" s="239">
        <v>40</v>
      </c>
      <c r="F51" s="329" t="n">
        <v>1210.0</v>
      </c>
      <c r="G51" s="11">
        <f si="1" t="shared"/>
        <v>6.868989634070189E-4</v>
      </c>
    </row>
    <row r="52" spans="1:7" x14ac:dyDescent="0.25">
      <c r="A52">
        <v>41</v>
      </c>
      <c r="B52" s="8" t="n">
        <v>152.4123</v>
      </c>
      <c r="C52" s="11">
        <f si="0" t="shared"/>
        <v>1.2666426885085515E-3</v>
      </c>
      <c r="E52" s="240">
        <v>41</v>
      </c>
      <c r="F52" s="330" t="n">
        <v>1206.0</v>
      </c>
      <c r="G52" s="11">
        <f si="1" t="shared"/>
        <v>2.4978144123891593E-4</v>
      </c>
    </row>
    <row r="53" spans="1:7" x14ac:dyDescent="0.25">
      <c r="A53">
        <v>42</v>
      </c>
      <c r="B53" s="8" t="n">
        <v>157.6704</v>
      </c>
      <c r="C53" s="11">
        <f si="0" t="shared"/>
        <v>0</v>
      </c>
      <c r="E53" s="241">
        <v>42</v>
      </c>
      <c r="F53" s="331" t="n">
        <v>1098.0</v>
      </c>
      <c r="G53" s="11">
        <f si="1" t="shared"/>
        <v>4.3711752216810291E-4</v>
      </c>
    </row>
    <row r="54" spans="1:7" x14ac:dyDescent="0.25">
      <c r="A54">
        <v>43</v>
      </c>
      <c r="B54" s="8" t="n">
        <v>913.4902999999999</v>
      </c>
      <c r="C54" s="11">
        <f si="0" t="shared"/>
        <v>0</v>
      </c>
      <c r="E54" s="242">
        <v>43</v>
      </c>
      <c r="F54" s="332" t="n">
        <v>912.0</v>
      </c>
      <c r="G54" s="11">
        <f si="1" t="shared"/>
        <v>1.8733608092918696E-4</v>
      </c>
    </row>
    <row r="55" spans="1:7" x14ac:dyDescent="0.25">
      <c r="A55">
        <v>44</v>
      </c>
      <c r="B55" s="8" t="n">
        <v>680.5376</v>
      </c>
      <c r="C55" s="11">
        <f si="0" t="shared"/>
        <v>0</v>
      </c>
      <c r="E55" s="243">
        <v>44</v>
      </c>
      <c r="F55" s="333" t="n">
        <v>832.0</v>
      </c>
      <c r="G55" s="11">
        <f si="1" t="shared"/>
        <v>1.2489072061945796E-4</v>
      </c>
    </row>
    <row r="56" spans="1:7" x14ac:dyDescent="0.25">
      <c r="A56">
        <v>45</v>
      </c>
      <c r="B56" s="8" t="n">
        <v>0.0</v>
      </c>
      <c r="C56" s="11">
        <f si="0" t="shared"/>
        <v>5.2532013707497363E-3</v>
      </c>
      <c r="E56" s="244">
        <v>45</v>
      </c>
      <c r="F56" s="334" t="n">
        <v>780.0</v>
      </c>
      <c r="G56" s="11">
        <f si="1" t="shared"/>
        <v>6.2445360309728982E-5</v>
      </c>
    </row>
    <row r="57" spans="1:7" x14ac:dyDescent="0.25">
      <c r="A57">
        <v>46</v>
      </c>
      <c r="B57" s="8" t="n">
        <v>103.277</v>
      </c>
      <c r="C57" s="11">
        <f si="0" t="shared"/>
        <v>0</v>
      </c>
      <c r="E57" s="245">
        <v>46</v>
      </c>
      <c r="F57" s="335" t="n">
        <v>702.0</v>
      </c>
      <c r="G57" s="11">
        <f si="1" t="shared"/>
        <v>1.2489072061945796E-4</v>
      </c>
    </row>
    <row r="58" spans="1:7" x14ac:dyDescent="0.25">
      <c r="A58">
        <v>47</v>
      </c>
      <c r="B58" s="8" t="n">
        <v>213.1438</v>
      </c>
      <c r="C58" s="11">
        <f si="0" t="shared"/>
        <v>9.9318812094285943E-3</v>
      </c>
      <c r="E58" s="246">
        <v>47</v>
      </c>
      <c r="F58" s="336" t="n">
        <v>541.0</v>
      </c>
      <c r="G58" s="11">
        <f si="1" t="shared"/>
        <v>1.2489072061945796E-4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584.0</v>
      </c>
      <c r="G59" s="11">
        <f si="1" t="shared"/>
        <v>1.8733608092918696E-4</v>
      </c>
    </row>
    <row r="60" spans="1:7" x14ac:dyDescent="0.25">
      <c r="A60">
        <v>49</v>
      </c>
      <c r="B60" s="8" t="n">
        <v>420.7504</v>
      </c>
      <c r="C60" s="11">
        <f si="0" t="shared"/>
        <v>0</v>
      </c>
      <c r="E60" s="248">
        <v>49</v>
      </c>
      <c r="F60" s="338" t="n">
        <v>546.0</v>
      </c>
      <c r="G60" s="11">
        <f si="1" t="shared"/>
        <v>1.2489072061945796E-4</v>
      </c>
    </row>
    <row r="61" spans="1:7" x14ac:dyDescent="0.25">
      <c r="A61">
        <v>50</v>
      </c>
      <c r="B61" s="8" t="n">
        <v>59.2887</v>
      </c>
      <c r="C61" s="11">
        <f si="0" t="shared"/>
        <v>0</v>
      </c>
      <c r="E61" s="249">
        <v>50</v>
      </c>
      <c r="F61" s="339" t="n">
        <v>487.0</v>
      </c>
      <c r="G61" s="11">
        <f si="1" t="shared"/>
        <v>6.2445360309728982E-5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250">
        <v>51</v>
      </c>
      <c r="F62" s="340" t="n">
        <v>421.0</v>
      </c>
      <c r="G62" s="11">
        <f si="1" t="shared"/>
        <v>6.2445360309728982E-5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1">
        <v>52</v>
      </c>
      <c r="F63" s="341" t="n">
        <v>365.0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2">
        <v>53</v>
      </c>
      <c r="F64" s="342" t="n">
        <v>327.0</v>
      </c>
      <c r="G64" s="11">
        <f si="1" t="shared"/>
        <v>6.2445360309728982E-5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253">
        <v>54</v>
      </c>
      <c r="F65" s="343" t="n">
        <v>299.0</v>
      </c>
      <c r="G65" s="11">
        <f si="1" t="shared"/>
        <v>6.2445360309728982E-5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4">
        <v>55</v>
      </c>
      <c r="F66" s="344" t="n">
        <v>247.0</v>
      </c>
      <c r="G66" s="11">
        <f si="1" t="shared"/>
        <v>0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255">
        <v>56</v>
      </c>
      <c r="F67" s="345" t="n">
        <v>277.0</v>
      </c>
      <c r="G67" s="11">
        <f si="1" t="shared"/>
        <v>0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256">
        <v>57</v>
      </c>
      <c r="F68" s="346" t="n">
        <v>249.0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257">
        <v>58</v>
      </c>
      <c r="F69" s="347" t="n">
        <v>186.0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8">
        <v>59</v>
      </c>
      <c r="F70" s="348" t="n">
        <v>154.0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127.0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0">
        <v>61</v>
      </c>
      <c r="F72" s="350" t="n">
        <v>144.0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1">
        <v>62</v>
      </c>
      <c r="F73" s="351" t="n">
        <v>112.0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262">
        <v>63</v>
      </c>
      <c r="F74" s="352" t="n">
        <v>118.0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263">
        <v>64</v>
      </c>
      <c r="F75" s="353" t="n">
        <v>100.0</v>
      </c>
      <c r="G75" s="11">
        <f si="1" t="shared"/>
        <v>0</v>
      </c>
    </row>
    <row r="76" spans="1:7" x14ac:dyDescent="0.25">
      <c r="A76">
        <v>65</v>
      </c>
      <c r="B76" s="8" t="n">
        <v>2288.5432</v>
      </c>
      <c r="C76" s="11">
        <f si="0" t="shared"/>
        <v>0</v>
      </c>
      <c r="E76" s="264">
        <v>65</v>
      </c>
      <c r="F76" s="354" t="n">
        <v>69.0</v>
      </c>
      <c r="G76" s="11">
        <f si="1" t="shared"/>
        <v>0</v>
      </c>
    </row>
    <row r="77" spans="1:7" x14ac:dyDescent="0.25">
      <c r="A77">
        <v>66</v>
      </c>
      <c r="B77" s="8" t="n">
        <v>50.499</v>
      </c>
      <c r="C77" s="11">
        <f ref="C77:C102" si="2" t="shared">B77/B$102</f>
        <v>0</v>
      </c>
      <c r="E77" s="265">
        <v>66</v>
      </c>
      <c r="F77" s="355" t="n">
        <v>69.0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50.0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68.0</v>
      </c>
      <c r="G79" s="11">
        <f si="3" t="shared"/>
        <v>0</v>
      </c>
    </row>
    <row r="80" spans="1:7" x14ac:dyDescent="0.25">
      <c r="A80">
        <v>69</v>
      </c>
      <c r="B80" s="8" t="n">
        <v>390.55600000000004</v>
      </c>
      <c r="C80" s="11">
        <f si="2" t="shared"/>
        <v>0</v>
      </c>
      <c r="E80" s="268">
        <v>69</v>
      </c>
      <c r="F80" s="358" t="n">
        <v>41.0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69">
        <v>70</v>
      </c>
      <c r="F81" s="359" t="n">
        <v>56.0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34.0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27.0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23.0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32.0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19.0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17.0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8.0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13.0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6.0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8.0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7.0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11.0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11.0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5.0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4.0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4.0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3.0</v>
      </c>
      <c r="G98" s="11">
        <f si="3" t="shared"/>
        <v>0</v>
      </c>
    </row>
    <row r="99" spans="1:7" x14ac:dyDescent="0.25">
      <c r="A99">
        <v>88</v>
      </c>
      <c r="B99" s="8" t="n">
        <v>90.3517</v>
      </c>
      <c r="C99" s="11">
        <f si="2" t="shared"/>
        <v>0</v>
      </c>
      <c r="E99" s="287">
        <v>88</v>
      </c>
      <c r="F99" s="377" t="n">
        <v>1.0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4.0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344.9027</v>
      </c>
      <c r="C101" s="11">
        <f si="2" t="shared"/>
        <v>0</v>
      </c>
      <c r="E101" s="382">
        <v>90</v>
      </c>
      <c r="F101" s="382" t="n">
        <v>20.0</v>
      </c>
      <c r="G101" s="11">
        <f si="3" t="shared"/>
        <v>0</v>
      </c>
    </row>
    <row r="102" spans="1:7" x14ac:dyDescent="0.25">
      <c r="B102" s="8">
        <f>SUM(B11:B101)</f>
        <v>78656.066235249556</v>
      </c>
      <c r="C102" s="11">
        <f si="2" t="shared"/>
        <v>1</v>
      </c>
      <c r="F102" s="8">
        <f>SUM(F11:F101)</f>
        <v>80070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workbookViewId="0"/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ht="15.75" r="5" spans="1:21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">
        <v>46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15774.8337</v>
      </c>
      <c r="C7" s="12" t="n">
        <v>2925.404</v>
      </c>
      <c r="D7" s="12" t="n">
        <v>1591.1491</v>
      </c>
      <c r="E7" s="12" t="n">
        <v>53.793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10798.509286381272</v>
      </c>
      <c r="K7" s="12"/>
      <c r="L7" t="str">
        <f>$A$7</f>
        <v>Williamson</v>
      </c>
      <c r="M7" s="381" t="n">
        <v>9905.0</v>
      </c>
      <c r="N7" s="381" t="n">
        <v>4467.0</v>
      </c>
      <c r="O7" s="381" t="n">
        <v>866.0</v>
      </c>
      <c r="P7" s="381" t="n">
        <v>1110.0</v>
      </c>
      <c r="Q7" s="381" t="n">
        <v>118.0</v>
      </c>
      <c r="R7" s="381" t="n">
        <v>2557.0</v>
      </c>
      <c r="S7" s="381" t="n">
        <v>50.0</v>
      </c>
      <c r="T7" s="381"/>
      <c r="U7" s="12">
        <f>SUM(M7:T7)</f>
        <v>9320</v>
      </c>
    </row>
    <row r="8" spans="1:21" x14ac:dyDescent="0.25">
      <c r="A8" t="s">
        <v>41</v>
      </c>
      <c r="B8" s="12" t="n">
        <v>838.7841999999999</v>
      </c>
      <c r="C8" s="12" t="n">
        <v>17955.9929</v>
      </c>
      <c r="D8" s="12" t="n">
        <v>195.1767</v>
      </c>
      <c r="E8" s="12" t="n">
        <v>617.3449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12742.955866347393</v>
      </c>
      <c r="K8" s="12"/>
      <c r="L8" t="str">
        <f>$A$8</f>
        <v>Rutherford</v>
      </c>
      <c r="M8" s="381" t="n">
        <v>925.0</v>
      </c>
      <c r="N8" s="381" t="n">
        <v>10142.0</v>
      </c>
      <c r="O8" s="381" t="n">
        <v>706.0</v>
      </c>
      <c r="P8" s="381" t="n">
        <v>757.0</v>
      </c>
      <c r="Q8" s="381" t="n">
        <v>82.0</v>
      </c>
      <c r="R8" s="381" t="n">
        <v>552.0</v>
      </c>
      <c r="S8" s="381" t="n">
        <v>24.0</v>
      </c>
      <c r="T8" s="381"/>
      <c r="U8" s="12">
        <f ref="U8:U14" si="1" t="shared">SUM(M8:T8)</f>
        <v>13435</v>
      </c>
    </row>
    <row r="9" spans="1:21" x14ac:dyDescent="0.25">
      <c r="A9" t="s">
        <v>42</v>
      </c>
      <c r="B9" s="12" t="n">
        <v>0.0</v>
      </c>
      <c r="C9" s="12" t="n">
        <v>1292.7064</v>
      </c>
      <c r="D9" s="12" t="n">
        <v>17118.5621</v>
      </c>
      <c r="E9" s="12" t="n">
        <v>1401.4967</v>
      </c>
      <c r="F9" s="12" t="n">
        <v>238.5791</v>
      </c>
      <c r="G9" s="12" t="n">
        <v>1130.1773</v>
      </c>
      <c r="H9" s="12" t="n">
        <v>0.0</v>
      </c>
      <c r="I9" s="12"/>
      <c r="J9" s="12">
        <f si="0" t="shared"/>
        <v>9384.4802287412676</v>
      </c>
      <c r="K9" s="13"/>
      <c r="L9" t="str">
        <f>$A$9</f>
        <v>Sumner</v>
      </c>
      <c r="M9" s="381" t="n">
        <v>227.0</v>
      </c>
      <c r="N9" s="381" t="n">
        <v>618.0</v>
      </c>
      <c r="O9" s="381" t="n">
        <v>12545.0</v>
      </c>
      <c r="P9" s="381" t="n">
        <v>3682.0</v>
      </c>
      <c r="Q9" s="381" t="n">
        <v>285.0</v>
      </c>
      <c r="R9" s="381" t="n">
        <v>893.0</v>
      </c>
      <c r="S9" s="381" t="n">
        <v>84.0</v>
      </c>
      <c r="T9" s="381"/>
      <c r="U9" s="12">
        <f si="1" t="shared"/>
        <v>8390</v>
      </c>
    </row>
    <row r="10" spans="1:21" x14ac:dyDescent="0.25">
      <c r="A10" t="s">
        <v>43</v>
      </c>
      <c r="B10" s="12" t="n">
        <v>270.2885</v>
      </c>
      <c r="C10" s="12" t="n">
        <v>0.0</v>
      </c>
      <c r="D10" s="12" t="n">
        <v>2120.498</v>
      </c>
      <c r="E10" s="12" t="n">
        <v>11624.3412</v>
      </c>
      <c r="F10" s="12" t="n">
        <v>0.0</v>
      </c>
      <c r="G10" s="12" t="n">
        <v>98.1467</v>
      </c>
      <c r="H10" s="12" t="n">
        <v>0.0</v>
      </c>
      <c r="I10" s="12"/>
      <c r="J10" s="12">
        <f si="0" t="shared"/>
        <v>2191.5914265573761</v>
      </c>
      <c r="K10" s="13"/>
      <c r="L10" t="str">
        <f>$A$10</f>
        <v>Roberston</v>
      </c>
      <c r="M10" s="381" t="n">
        <v>11.0</v>
      </c>
      <c r="N10" s="381" t="n">
        <v>23.0</v>
      </c>
      <c r="O10" s="381" t="n">
        <v>616.0</v>
      </c>
      <c r="P10" s="381" t="n">
        <v>11559.0</v>
      </c>
      <c r="Q10" s="381" t="n">
        <v>227.0</v>
      </c>
      <c r="R10" s="381" t="n">
        <v>160.0</v>
      </c>
      <c r="S10" s="381" t="n">
        <v>47.0</v>
      </c>
      <c r="T10" s="381"/>
      <c r="U10" s="12">
        <f si="1" t="shared"/>
        <v>3295</v>
      </c>
    </row>
    <row r="11" spans="1:21" x14ac:dyDescent="0.25">
      <c r="A11" t="s">
        <v>44</v>
      </c>
      <c r="B11" s="12" t="n">
        <v>0.0</v>
      </c>
      <c r="C11" s="12" t="n">
        <v>0.0</v>
      </c>
      <c r="D11" s="12" t="n">
        <v>251.0518</v>
      </c>
      <c r="E11" s="12" t="n">
        <v>1271.8908999999999</v>
      </c>
      <c r="F11" s="12" t="n">
        <v>4854.4115</v>
      </c>
      <c r="G11" s="12" t="n">
        <v>4.161</v>
      </c>
      <c r="H11" s="12" t="n">
        <v>1870.1986</v>
      </c>
      <c r="I11" s="12"/>
      <c r="J11" s="12">
        <f si="0" t="shared"/>
        <v>32294.310574778643</v>
      </c>
      <c r="K11" s="13"/>
      <c r="L11" t="str">
        <f>$A$11</f>
        <v>Davidson</v>
      </c>
      <c r="M11" s="381" t="n">
        <v>16.0</v>
      </c>
      <c r="N11" s="381" t="n">
        <v>48.0</v>
      </c>
      <c r="O11" s="381" t="n">
        <v>551.0</v>
      </c>
      <c r="P11" s="381" t="n">
        <v>3809.0</v>
      </c>
      <c r="Q11" s="381" t="n">
        <v>7087.0</v>
      </c>
      <c r="R11" s="381" t="n">
        <v>603.0</v>
      </c>
      <c r="S11" s="381" t="n">
        <v>1175.0</v>
      </c>
      <c r="T11" s="381"/>
      <c r="U11" s="12">
        <f si="1" t="shared"/>
        <v>35400</v>
      </c>
    </row>
    <row r="12" spans="1:21" x14ac:dyDescent="0.25">
      <c r="A12" t="s">
        <v>45</v>
      </c>
      <c r="B12" s="12" t="n">
        <v>0.0</v>
      </c>
      <c r="C12" s="12" t="n">
        <v>0.0</v>
      </c>
      <c r="D12" s="12" t="n">
        <v>1881.5514</v>
      </c>
      <c r="E12" s="12" t="n">
        <v>1276.6372999999999</v>
      </c>
      <c r="F12" s="12" t="n">
        <v>0.0</v>
      </c>
      <c r="G12" s="12" t="n">
        <v>27333.0174</v>
      </c>
      <c r="H12" s="12" t="n">
        <v>1228.7952</v>
      </c>
      <c r="I12" s="12"/>
      <c r="J12" s="12">
        <f si="0" t="shared"/>
        <v>3341.5829348677771</v>
      </c>
      <c r="K12" s="13"/>
      <c r="L12" t="str">
        <f>$A$12</f>
        <v>Maury</v>
      </c>
      <c r="M12" s="381" t="n">
        <v>401.0</v>
      </c>
      <c r="N12" s="381" t="n">
        <v>412.0</v>
      </c>
      <c r="O12" s="381" t="n">
        <v>1105.0</v>
      </c>
      <c r="P12" s="381" t="n">
        <v>3045.0</v>
      </c>
      <c r="Q12" s="381" t="n">
        <v>585.0</v>
      </c>
      <c r="R12" s="381" t="n">
        <v>24890.0</v>
      </c>
      <c r="S12" s="381" t="n">
        <v>1126.0</v>
      </c>
      <c r="T12" s="381"/>
      <c r="U12" s="12">
        <f si="1" t="shared"/>
        <v>4475</v>
      </c>
    </row>
    <row r="13" spans="1:21" x14ac:dyDescent="0.25">
      <c r="A13" t="s">
        <v>46</v>
      </c>
      <c r="B13" s="12" t="n">
        <v>0.0</v>
      </c>
      <c r="C13" s="12" t="n">
        <v>0.0</v>
      </c>
      <c r="D13" s="12" t="n">
        <v>0.0</v>
      </c>
      <c r="E13" s="12" t="n">
        <v>608.679</v>
      </c>
      <c r="F13" s="12" t="n">
        <v>0.0</v>
      </c>
      <c r="G13" s="12" t="n">
        <v>0.0</v>
      </c>
      <c r="H13" s="12" t="n">
        <v>15717.9151</v>
      </c>
      <c r="I13" s="12"/>
      <c r="J13" s="12">
        <f si="0" t="shared"/>
        <v>7902.6359175758107</v>
      </c>
      <c r="K13" s="13"/>
      <c r="L13" t="str">
        <f>$A$13</f>
        <v>Wilson</v>
      </c>
      <c r="M13" s="381" t="n">
        <v>34.0</v>
      </c>
      <c r="N13" s="381" t="n">
        <v>55.0</v>
      </c>
      <c r="O13" s="381" t="n">
        <v>382.0</v>
      </c>
      <c r="P13" s="381" t="n">
        <v>2239.0</v>
      </c>
      <c r="Q13" s="381" t="n">
        <v>1953.0</v>
      </c>
      <c r="R13" s="381" t="n">
        <v>1840.0</v>
      </c>
      <c r="S13" s="381" t="n">
        <v>18208.0</v>
      </c>
      <c r="T13" s="381"/>
      <c r="U13" s="12">
        <f si="1" t="shared"/>
        <v>5755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9977.174231783807</v>
      </c>
      <c r="C15" s="15">
        <f si="2" t="shared"/>
        <v>12873.872968215921</v>
      </c>
      <c r="D15" s="15">
        <f si="2" t="shared"/>
        <v>6903.681136462812</v>
      </c>
      <c r="E15" s="15">
        <f si="2" t="shared"/>
        <v>2391.5921217698269</v>
      </c>
      <c r="F15" s="15">
        <f si="2" t="shared"/>
        <v>36757.739973412987</v>
      </c>
      <c r="G15" s="15">
        <f si="2" t="shared"/>
        <v>2532.3897841749649</v>
      </c>
      <c r="H15" s="15">
        <f si="2" t="shared"/>
        <v>7219.6160194292179</v>
      </c>
      <c r="I15" s="15">
        <f si="2" t="shared"/>
        <v>0</v>
      </c>
      <c r="J15" s="15">
        <f si="2" t="shared"/>
        <v>78656.066235249542</v>
      </c>
      <c r="K15" s="12"/>
      <c r="L15" s="15" t="s">
        <v>4</v>
      </c>
      <c r="M15" s="15">
        <f ref="M15:U15" si="3" t="shared">SUM(M7:M14)</f>
        <v>8740</v>
      </c>
      <c r="N15" s="15">
        <f si="3" t="shared"/>
        <v>13465</v>
      </c>
      <c r="O15" s="15">
        <f si="3" t="shared"/>
        <v>6940</v>
      </c>
      <c r="P15" s="15">
        <f si="3" t="shared"/>
        <v>3335</v>
      </c>
      <c r="Q15" s="15">
        <f si="3" t="shared"/>
        <v>38190</v>
      </c>
      <c r="R15" s="15">
        <f si="3" t="shared"/>
        <v>4820</v>
      </c>
      <c r="S15" s="15">
        <f si="3" t="shared"/>
        <v>4580</v>
      </c>
      <c r="T15" s="15">
        <f si="3" t="shared"/>
        <v>0</v>
      </c>
      <c r="U15" s="15">
        <f si="3" t="shared"/>
        <v>80070</v>
      </c>
    </row>
    <row ht="15.75" r="18" spans="1:32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H20" si="4" t="shared">($U7/$J7)*B7</f>
        <v>6920.6376286487193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1939.6678302018902</v>
      </c>
      <c r="G20" s="12">
        <f si="4" t="shared"/>
        <v>459.69454114939009</v>
      </c>
      <c r="H20" s="12">
        <f si="4" t="shared"/>
        <v>0</v>
      </c>
      <c r="I20" s="12"/>
      <c r="J20" s="12">
        <f>SUM(B20:I20)</f>
        <v>9320</v>
      </c>
      <c r="K20" s="12"/>
      <c r="L20" t="str">
        <f>$A$7</f>
        <v>Williamson</v>
      </c>
      <c r="M20" s="12">
        <f ref="M20:M26" si="5" t="shared">M7</f>
        <v>7075</v>
      </c>
      <c r="N20" s="12">
        <f ref="N20:U20" si="6" t="shared">N7</f>
        <v>195</v>
      </c>
      <c r="O20" s="12">
        <f si="6" t="shared"/>
        <v>0</v>
      </c>
      <c r="P20" s="12">
        <f si="6" t="shared"/>
        <v>0</v>
      </c>
      <c r="Q20" s="12">
        <f si="6" t="shared"/>
        <v>1480</v>
      </c>
      <c r="R20" s="12">
        <f si="6" t="shared"/>
        <v>570</v>
      </c>
      <c r="S20" s="12">
        <f si="6" t="shared"/>
        <v>0</v>
      </c>
      <c r="T20" s="12"/>
      <c r="U20" s="12">
        <f si="6" t="shared"/>
        <v>9320</v>
      </c>
    </row>
    <row r="21" spans="1:32" x14ac:dyDescent="0.25">
      <c r="A21" t="str">
        <f>$A$8</f>
        <v>Rutherford</v>
      </c>
      <c r="B21" s="12">
        <f ref="B21:G25" si="7" t="shared">($U8/$J8)*B8</f>
        <v>0</v>
      </c>
      <c r="C21" s="12">
        <f si="7" t="shared"/>
        <v>13341.085669618013</v>
      </c>
      <c r="D21" s="12">
        <f si="7" t="shared"/>
        <v>0</v>
      </c>
      <c r="E21" s="12">
        <f si="7" t="shared"/>
        <v>0</v>
      </c>
      <c r="F21" s="12">
        <f si="7" t="shared"/>
        <v>93.914330381988549</v>
      </c>
      <c r="G21" s="12">
        <f si="7" t="shared"/>
        <v>0</v>
      </c>
      <c r="H21" s="12">
        <f ref="H21:H26" si="8" t="shared">($U8/$J8)*H8</f>
        <v>0</v>
      </c>
      <c r="I21" s="12"/>
      <c r="J21" s="12">
        <f ref="J21:J27" si="9" t="shared">SUM(B21:I21)</f>
        <v>13435.000000000002</v>
      </c>
      <c r="K21" s="12"/>
      <c r="L21" t="str">
        <f>$A$8</f>
        <v>Rutherford</v>
      </c>
      <c r="M21" s="12">
        <f si="5" t="shared"/>
        <v>90</v>
      </c>
      <c r="N21" s="12">
        <f ref="N21:R25" si="10" t="shared">N8</f>
        <v>12660</v>
      </c>
      <c r="O21" s="12">
        <f si="10" t="shared"/>
        <v>0</v>
      </c>
      <c r="P21" s="12">
        <f si="10" t="shared"/>
        <v>0</v>
      </c>
      <c r="Q21" s="12">
        <f si="10" t="shared"/>
        <v>640</v>
      </c>
      <c r="R21" s="12">
        <f si="10" t="shared"/>
        <v>5</v>
      </c>
      <c r="S21" s="12">
        <f ref="S21" si="11" t="shared">S8</f>
        <v>40</v>
      </c>
      <c r="T21" s="12"/>
      <c r="U21" s="12">
        <f ref="U21:U26" si="12" t="shared">U8</f>
        <v>13435</v>
      </c>
    </row>
    <row r="22" spans="1:32" x14ac:dyDescent="0.25">
      <c r="A22" t="str">
        <f>$A$9</f>
        <v>Sumner</v>
      </c>
      <c r="B22" s="12">
        <f si="7" t="shared"/>
        <v>0</v>
      </c>
      <c r="C22" s="12">
        <f si="7" t="shared"/>
        <v>0</v>
      </c>
      <c r="D22" s="12">
        <f si="7" t="shared"/>
        <v>5412.0323586092409</v>
      </c>
      <c r="E22" s="12">
        <f si="7" t="shared"/>
        <v>571.74558812320606</v>
      </c>
      <c r="F22" s="12">
        <f si="7" t="shared"/>
        <v>2406.2220532675537</v>
      </c>
      <c r="G22" s="12">
        <f si="7" t="shared"/>
        <v>0</v>
      </c>
      <c r="H22" s="12">
        <f si="8" t="shared"/>
        <v>0</v>
      </c>
      <c r="I22" s="12"/>
      <c r="J22" s="12">
        <f si="9" t="shared"/>
        <v>8390</v>
      </c>
      <c r="K22" s="13"/>
      <c r="L22" t="str">
        <f>$A$9</f>
        <v>Sumner</v>
      </c>
      <c r="M22" s="12">
        <f si="5" t="shared"/>
        <v>0</v>
      </c>
      <c r="N22" s="12">
        <f si="10" t="shared"/>
        <v>0</v>
      </c>
      <c r="O22" s="12">
        <f si="10" t="shared"/>
        <v>6250</v>
      </c>
      <c r="P22" s="12">
        <f si="10" t="shared"/>
        <v>610</v>
      </c>
      <c r="Q22" s="12">
        <f si="10" t="shared"/>
        <v>1480</v>
      </c>
      <c r="R22" s="12">
        <f si="10" t="shared"/>
        <v>0</v>
      </c>
      <c r="S22" s="12">
        <f ref="S22" si="13" t="shared">S9</f>
        <v>50</v>
      </c>
      <c r="T22" s="12"/>
      <c r="U22" s="12">
        <f si="12" t="shared"/>
        <v>8390</v>
      </c>
    </row>
    <row r="23" spans="1:32" x14ac:dyDescent="0.25">
      <c r="A23" t="str">
        <f>$A$10</f>
        <v>Roberston</v>
      </c>
      <c r="B23" s="12">
        <f si="7" t="shared"/>
        <v>0</v>
      </c>
      <c r="C23" s="12">
        <f si="7" t="shared"/>
        <v>0</v>
      </c>
      <c r="D23" s="12">
        <f si="7" t="shared"/>
        <v>149.7897752921665</v>
      </c>
      <c r="E23" s="12">
        <f si="7" t="shared"/>
        <v>2634.2010425030239</v>
      </c>
      <c r="F23" s="12">
        <f si="7" t="shared"/>
        <v>511.00918220480935</v>
      </c>
      <c r="G23" s="12">
        <f si="7" t="shared"/>
        <v>0</v>
      </c>
      <c r="H23" s="12">
        <f si="8" t="shared"/>
        <v>0</v>
      </c>
      <c r="I23" s="12"/>
      <c r="J23" s="12">
        <f>SUM(B23:I23)</f>
        <v>3294.9999999999995</v>
      </c>
      <c r="K23" s="13"/>
      <c r="L23" t="str">
        <f>$A$10</f>
        <v>Roberston</v>
      </c>
      <c r="M23" s="12">
        <f si="5" t="shared"/>
        <v>0</v>
      </c>
      <c r="N23" s="12">
        <f si="10" t="shared"/>
        <v>0</v>
      </c>
      <c r="O23" s="12">
        <f si="10" t="shared"/>
        <v>235</v>
      </c>
      <c r="P23" s="12">
        <f si="10" t="shared"/>
        <v>2675</v>
      </c>
      <c r="Q23" s="12">
        <f si="10" t="shared"/>
        <v>385</v>
      </c>
      <c r="R23" s="12">
        <f si="10" t="shared"/>
        <v>0</v>
      </c>
      <c r="S23" s="12">
        <f ref="S23" si="14" t="shared">S10</f>
        <v>0</v>
      </c>
      <c r="T23" s="12"/>
      <c r="U23" s="12">
        <f si="12" t="shared"/>
        <v>3295</v>
      </c>
    </row>
    <row r="24" spans="1:32" x14ac:dyDescent="0.25">
      <c r="A24" t="str">
        <f>$A$11</f>
        <v>Davidson</v>
      </c>
      <c r="B24" s="12">
        <f si="7" t="shared"/>
        <v>676.16627388276879</v>
      </c>
      <c r="C24" s="12">
        <f si="7" t="shared"/>
        <v>219.23872112138005</v>
      </c>
      <c r="D24" s="12">
        <f si="7" t="shared"/>
        <v>671.19774349155193</v>
      </c>
      <c r="E24" s="12">
        <f si="7" t="shared"/>
        <v>0</v>
      </c>
      <c r="F24" s="12">
        <f si="7" t="shared"/>
        <v>32203.67381581412</v>
      </c>
      <c r="G24" s="12">
        <f si="7" t="shared"/>
        <v>0</v>
      </c>
      <c r="H24" s="12">
        <f si="8" t="shared"/>
        <v>1629.7234456901801</v>
      </c>
      <c r="I24" s="12"/>
      <c r="J24" s="12">
        <f si="9" t="shared"/>
        <v>35400</v>
      </c>
      <c r="K24" s="13"/>
      <c r="L24" t="str">
        <f>$A$11</f>
        <v>Davidson</v>
      </c>
      <c r="M24" s="12">
        <f si="5" t="shared"/>
        <v>1340</v>
      </c>
      <c r="N24" s="12">
        <f si="10" t="shared"/>
        <v>515</v>
      </c>
      <c r="O24" s="12">
        <f si="10" t="shared"/>
        <v>330</v>
      </c>
      <c r="P24" s="12">
        <f si="10" t="shared"/>
        <v>50</v>
      </c>
      <c r="Q24" s="12">
        <f si="10" t="shared"/>
        <v>32840</v>
      </c>
      <c r="R24" s="12">
        <f si="10" t="shared"/>
        <v>0</v>
      </c>
      <c r="S24" s="12">
        <f ref="S24" si="15" t="shared">S11</f>
        <v>325</v>
      </c>
      <c r="T24" s="12"/>
      <c r="U24" s="12">
        <f si="12" t="shared"/>
        <v>35400</v>
      </c>
    </row>
    <row r="25" spans="1:32" x14ac:dyDescent="0.25">
      <c r="A25" t="str">
        <f>$A$12</f>
        <v>Maury</v>
      </c>
      <c r="B25" s="12">
        <f si="7" t="shared"/>
        <v>1796.9365729698152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0</v>
      </c>
      <c r="G25" s="12">
        <f si="7" t="shared"/>
        <v>2678.0634270301848</v>
      </c>
      <c r="H25" s="12">
        <f si="8" t="shared"/>
        <v>0</v>
      </c>
      <c r="I25" s="12"/>
      <c r="J25" s="12">
        <f si="9" t="shared"/>
        <v>4475</v>
      </c>
      <c r="K25" s="13"/>
      <c r="L25" t="str">
        <f>$A$12</f>
        <v>Maury</v>
      </c>
      <c r="M25" s="12">
        <f si="5" t="shared"/>
        <v>230</v>
      </c>
      <c r="N25" s="12">
        <f si="10" t="shared"/>
        <v>0</v>
      </c>
      <c r="O25" s="12">
        <f si="10" t="shared"/>
        <v>0</v>
      </c>
      <c r="P25" s="12">
        <f si="10" t="shared"/>
        <v>0</v>
      </c>
      <c r="Q25" s="12">
        <f si="10" t="shared"/>
        <v>0</v>
      </c>
      <c r="R25" s="12">
        <f si="10" t="shared"/>
        <v>4245</v>
      </c>
      <c r="S25" s="12">
        <f ref="S25:S26" si="16" t="shared">S12</f>
        <v>0</v>
      </c>
      <c r="T25" s="12"/>
      <c r="U25" s="12">
        <f si="12" t="shared"/>
        <v>4475</v>
      </c>
    </row>
    <row r="26" spans="1:32" x14ac:dyDescent="0.25">
      <c r="A26" t="str">
        <f>$A$13</f>
        <v>Wilson</v>
      </c>
      <c r="B26" s="12">
        <f>($U13/$J13)*B13</f>
        <v>0</v>
      </c>
      <c r="C26" s="12">
        <f ref="C26:G26" si="17" t="shared">($U13/$J13)*C13</f>
        <v>14.556924562461349</v>
      </c>
      <c r="D26" s="12">
        <f si="17" t="shared"/>
        <v>100.64982022953826</v>
      </c>
      <c r="E26" s="12">
        <f si="17" t="shared"/>
        <v>0</v>
      </c>
      <c r="F26" s="12">
        <f si="17" t="shared"/>
        <v>1464.8990215469494</v>
      </c>
      <c r="G26" s="12">
        <f si="17" t="shared"/>
        <v>0</v>
      </c>
      <c r="H26" s="12">
        <f si="8" t="shared"/>
        <v>4174.8942336610507</v>
      </c>
      <c r="I26" s="12"/>
      <c r="J26" s="12">
        <f si="9" t="shared"/>
        <v>5755</v>
      </c>
      <c r="K26" s="13"/>
      <c r="L26" t="str">
        <f>$A$13</f>
        <v>Wilson</v>
      </c>
      <c r="M26" s="12">
        <f si="5" t="shared"/>
        <v>5</v>
      </c>
      <c r="N26" s="12">
        <f ref="N26:R26" si="18" t="shared">N13</f>
        <v>95</v>
      </c>
      <c r="O26" s="12">
        <f si="18" t="shared"/>
        <v>125</v>
      </c>
      <c r="P26" s="12">
        <f si="18" t="shared"/>
        <v>0</v>
      </c>
      <c r="Q26" s="12">
        <f si="18" t="shared"/>
        <v>1365</v>
      </c>
      <c r="R26" s="12">
        <f si="18" t="shared"/>
        <v>0</v>
      </c>
      <c r="S26" s="12">
        <f si="16" t="shared"/>
        <v>4165</v>
      </c>
      <c r="T26" s="12"/>
      <c r="U26" s="12">
        <f si="12" t="shared"/>
        <v>5755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19" t="shared">SUM(B20:B27)</f>
        <v>9393.7404755013031</v>
      </c>
      <c r="C28" s="15">
        <f si="19" t="shared"/>
        <v>13574.881315301855</v>
      </c>
      <c r="D28" s="15">
        <f si="19" t="shared"/>
        <v>6333.6696976224966</v>
      </c>
      <c r="E28" s="15">
        <f si="19" t="shared"/>
        <v>3205.9466306262302</v>
      </c>
      <c r="F28" s="15">
        <f si="19" t="shared"/>
        <v>38619.386233417317</v>
      </c>
      <c r="G28" s="15">
        <f si="19" t="shared"/>
        <v>3137.7579681795751</v>
      </c>
      <c r="H28" s="15">
        <f si="19" t="shared"/>
        <v>5804.6176793512313</v>
      </c>
      <c r="I28" s="15">
        <f si="19" t="shared"/>
        <v>0</v>
      </c>
      <c r="J28" s="15">
        <f si="19" t="shared"/>
        <v>80070</v>
      </c>
      <c r="K28" s="12"/>
      <c r="L28" s="15" t="s">
        <v>4</v>
      </c>
      <c r="M28" s="15">
        <f ref="M28:U28" si="20" t="shared">M15</f>
        <v>8740</v>
      </c>
      <c r="N28" s="15">
        <f si="20" t="shared"/>
        <v>13465</v>
      </c>
      <c r="O28" s="15">
        <f si="20" t="shared"/>
        <v>6940</v>
      </c>
      <c r="P28" s="15">
        <f si="20" t="shared"/>
        <v>3335</v>
      </c>
      <c r="Q28" s="15">
        <f si="20" t="shared"/>
        <v>38190</v>
      </c>
      <c r="R28" s="15">
        <f si="20" t="shared"/>
        <v>4820</v>
      </c>
      <c r="S28" s="15">
        <f si="20" t="shared"/>
        <v>4580</v>
      </c>
      <c r="T28" s="15"/>
      <c r="U28" s="15">
        <f si="20" t="shared"/>
        <v>80070</v>
      </c>
    </row>
    <row ht="15.75" r="31" spans="1:32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38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ref="B33:H33" si="21" t="shared">B20/$J$28</f>
        <v>8.6432342058807538E-2</v>
      </c>
      <c r="C33" s="16">
        <f si="21" t="shared"/>
        <v>0</v>
      </c>
      <c r="D33" s="16">
        <f si="21" t="shared"/>
        <v>0</v>
      </c>
      <c r="E33" s="16">
        <f si="21" t="shared"/>
        <v>0</v>
      </c>
      <c r="F33" s="16">
        <f si="21" t="shared"/>
        <v>2.4224651307629453E-2</v>
      </c>
      <c r="G33" s="16">
        <f si="21" t="shared"/>
        <v>5.7411582508978404E-3</v>
      </c>
      <c r="H33" s="16">
        <f si="21" t="shared"/>
        <v>0</v>
      </c>
      <c r="I33" s="12"/>
      <c r="J33" s="16">
        <f ref="J33:J39" si="22" t="shared">J20/$J$28</f>
        <v>0.11639815161733483</v>
      </c>
      <c r="K33" s="12"/>
      <c r="L33" t="str">
        <f>$A$7</f>
        <v>Williamson</v>
      </c>
      <c r="M33" s="16">
        <f ref="M33:S33" si="23" t="shared">M20/$U$28</f>
        <v>8.836018483826652E-2</v>
      </c>
      <c r="N33" s="16">
        <f si="23" t="shared"/>
        <v>2.4353690520794303E-3</v>
      </c>
      <c r="O33" s="16">
        <f si="23" t="shared"/>
        <v>0</v>
      </c>
      <c r="P33" s="16">
        <f si="23" t="shared"/>
        <v>0</v>
      </c>
      <c r="Q33" s="16">
        <f si="23" t="shared"/>
        <v>1.8483826651679781E-2</v>
      </c>
      <c r="R33" s="16">
        <f si="23" t="shared"/>
        <v>7.1187710753091047E-3</v>
      </c>
      <c r="S33" s="16">
        <f si="23" t="shared"/>
        <v>0</v>
      </c>
      <c r="T33" s="16"/>
      <c r="U33" s="16">
        <f ref="U33:U39" si="24" t="shared">U20/$U$28</f>
        <v>0.11639815161733483</v>
      </c>
      <c r="W33" t="str">
        <f>$A$7</f>
        <v>Williamson</v>
      </c>
      <c r="X33" s="16">
        <f ref="X33:AD33" si="25" t="shared">M33-B33</f>
        <v>1.9278427794589825E-3</v>
      </c>
      <c r="Y33" s="16">
        <f si="25" t="shared"/>
        <v>2.4353690520794303E-3</v>
      </c>
      <c r="Z33" s="16">
        <f si="25" t="shared"/>
        <v>0</v>
      </c>
      <c r="AA33" s="16">
        <f si="25" t="shared"/>
        <v>0</v>
      </c>
      <c r="AB33" s="16">
        <f si="25" t="shared"/>
        <v>-5.7408246559496716E-3</v>
      </c>
      <c r="AC33" s="16">
        <f si="25" t="shared"/>
        <v>1.3776128244112644E-3</v>
      </c>
      <c r="AD33" s="16">
        <f si="25" t="shared"/>
        <v>0</v>
      </c>
      <c r="AE33" s="16"/>
      <c r="AF33" s="16">
        <f ref="AF33:AF39" si="26" t="shared">U33-J33</f>
        <v>0</v>
      </c>
    </row>
    <row r="34" spans="1:32" x14ac:dyDescent="0.25">
      <c r="A34" t="str">
        <f>$A$8</f>
        <v>Rutherford</v>
      </c>
      <c r="B34" s="16">
        <f ref="B34:G38" si="27" t="shared">B21/$J$28</f>
        <v>0</v>
      </c>
      <c r="C34" s="16">
        <f si="27" t="shared"/>
        <v>0.16661778031245175</v>
      </c>
      <c r="D34" s="16">
        <f si="27" t="shared"/>
        <v>0</v>
      </c>
      <c r="E34" s="16">
        <f si="27" t="shared"/>
        <v>0</v>
      </c>
      <c r="F34" s="16">
        <f si="27" t="shared"/>
        <v>1.1729028397900406E-3</v>
      </c>
      <c r="G34" s="16">
        <f si="27" t="shared"/>
        <v>0</v>
      </c>
      <c r="H34" s="16">
        <f ref="H34:H39" si="28" t="shared">H21/$J$28</f>
        <v>0</v>
      </c>
      <c r="I34" s="12"/>
      <c r="J34" s="16">
        <f si="22" t="shared"/>
        <v>0.1677906831522418</v>
      </c>
      <c r="K34" s="12"/>
      <c r="L34" t="str">
        <f>$A$8</f>
        <v>Rutherford</v>
      </c>
      <c r="M34" s="16">
        <f ref="M34:R38" si="29" t="shared">M21/$U$28</f>
        <v>1.1240164855751218E-3</v>
      </c>
      <c r="N34" s="16">
        <f si="29" t="shared"/>
        <v>0.1581116523042338</v>
      </c>
      <c r="O34" s="16">
        <f si="29" t="shared"/>
        <v>0</v>
      </c>
      <c r="P34" s="16">
        <f si="29" t="shared"/>
        <v>0</v>
      </c>
      <c r="Q34" s="16">
        <f si="29" t="shared"/>
        <v>7.9930061196453097E-3</v>
      </c>
      <c r="R34" s="16">
        <f si="29" t="shared"/>
        <v>6.2445360309728982E-5</v>
      </c>
      <c r="S34" s="16">
        <f ref="S34:S39" si="30" t="shared">S21/$U$28</f>
        <v>4.9956288247783186E-4</v>
      </c>
      <c r="T34" s="16"/>
      <c r="U34" s="16">
        <f si="24" t="shared"/>
        <v>0.1677906831522418</v>
      </c>
      <c r="W34" t="str">
        <f>$A$8</f>
        <v>Rutherford</v>
      </c>
      <c r="X34" s="16">
        <f ref="X34:X39" si="31" t="shared">M34-B34</f>
        <v>1.1240164855751218E-3</v>
      </c>
      <c r="Y34" s="16">
        <f ref="Y34:AC38" si="32" t="shared">N34-C34</f>
        <v>-8.5061280082179558E-3</v>
      </c>
      <c r="Z34" s="16">
        <f si="32" t="shared"/>
        <v>0</v>
      </c>
      <c r="AA34" s="16">
        <f si="32" t="shared"/>
        <v>0</v>
      </c>
      <c r="AB34" s="16">
        <f si="32" t="shared"/>
        <v>6.8201032798552693E-3</v>
      </c>
      <c r="AC34" s="16">
        <f si="32" t="shared"/>
        <v>6.2445360309728982E-5</v>
      </c>
      <c r="AD34" s="16">
        <f ref="AD34:AD39" si="33" t="shared">S34-H34</f>
        <v>4.9956288247783186E-4</v>
      </c>
      <c r="AE34" s="16"/>
      <c r="AF34" s="16">
        <f si="26" t="shared"/>
        <v>0</v>
      </c>
    </row>
    <row r="35" spans="1:32" x14ac:dyDescent="0.25">
      <c r="A35" t="str">
        <f>$A$9</f>
        <v>Sumner</v>
      </c>
      <c r="B35" s="16">
        <f si="27" t="shared"/>
        <v>0</v>
      </c>
      <c r="C35" s="16">
        <f si="27" t="shared"/>
        <v>0</v>
      </c>
      <c r="D35" s="16">
        <f si="27" t="shared"/>
        <v>6.7591262128253296E-2</v>
      </c>
      <c r="E35" s="16">
        <f si="27" t="shared"/>
        <v>7.1405718511703018E-3</v>
      </c>
      <c r="F35" s="16">
        <f si="27" t="shared"/>
        <v>3.0051480620301659E-2</v>
      </c>
      <c r="G35" s="16">
        <f si="27" t="shared"/>
        <v>0</v>
      </c>
      <c r="H35" s="16">
        <f si="28" t="shared"/>
        <v>0</v>
      </c>
      <c r="I35" s="12"/>
      <c r="J35" s="16">
        <f si="22" t="shared"/>
        <v>0.10478331459972524</v>
      </c>
      <c r="K35" s="13"/>
      <c r="L35" t="str">
        <f>$A$9</f>
        <v>Sumner</v>
      </c>
      <c r="M35" s="16">
        <f si="29" t="shared"/>
        <v>0</v>
      </c>
      <c r="N35" s="16">
        <f si="29" t="shared"/>
        <v>0</v>
      </c>
      <c r="O35" s="16">
        <f si="29" t="shared"/>
        <v>7.805670038716124E-2</v>
      </c>
      <c r="P35" s="16">
        <f si="29" t="shared"/>
        <v>7.6183339577869363E-3</v>
      </c>
      <c r="Q35" s="16">
        <f si="29" t="shared"/>
        <v>1.8483826651679781E-2</v>
      </c>
      <c r="R35" s="16">
        <f si="29" t="shared"/>
        <v>0</v>
      </c>
      <c r="S35" s="16">
        <f si="30" t="shared"/>
        <v>6.2445360309728985E-4</v>
      </c>
      <c r="T35" s="16"/>
      <c r="U35" s="16">
        <f si="24" t="shared"/>
        <v>0.10478331459972524</v>
      </c>
      <c r="W35" t="str">
        <f>$A$9</f>
        <v>Sumner</v>
      </c>
      <c r="X35" s="16">
        <f si="31" t="shared"/>
        <v>0</v>
      </c>
      <c r="Y35" s="16">
        <f si="32" t="shared"/>
        <v>0</v>
      </c>
      <c r="Z35" s="16">
        <f si="32" t="shared"/>
        <v>1.0465438258907944E-2</v>
      </c>
      <c r="AA35" s="16">
        <f si="32" t="shared"/>
        <v>4.7776210661663442E-4</v>
      </c>
      <c r="AB35" s="16">
        <f si="32" t="shared"/>
        <v>-1.1567653968621878E-2</v>
      </c>
      <c r="AC35" s="16">
        <f si="32" t="shared"/>
        <v>0</v>
      </c>
      <c r="AD35" s="16">
        <f si="33" t="shared"/>
        <v>6.2445360309728985E-4</v>
      </c>
      <c r="AE35" s="16"/>
      <c r="AF35" s="16">
        <f si="26" t="shared"/>
        <v>0</v>
      </c>
    </row>
    <row r="36" spans="1:32" x14ac:dyDescent="0.25">
      <c r="A36" t="str">
        <f>$A$10</f>
        <v>Roberston</v>
      </c>
      <c r="B36" s="16">
        <f si="27" t="shared"/>
        <v>0</v>
      </c>
      <c r="C36" s="16">
        <f si="27" t="shared"/>
        <v>0</v>
      </c>
      <c r="D36" s="16">
        <f si="27" t="shared"/>
        <v>1.8707352977665355E-3</v>
      </c>
      <c r="E36" s="16">
        <f si="27" t="shared"/>
        <v>3.2898726645473012E-2</v>
      </c>
      <c r="F36" s="16">
        <f si="27" t="shared"/>
        <v>6.3820305008718539E-3</v>
      </c>
      <c r="G36" s="16">
        <f si="27" t="shared"/>
        <v>0</v>
      </c>
      <c r="H36" s="16">
        <f si="28" t="shared"/>
        <v>0</v>
      </c>
      <c r="I36" s="12"/>
      <c r="J36" s="16">
        <f si="22" t="shared"/>
        <v>4.1151492444111398E-2</v>
      </c>
      <c r="K36" s="13"/>
      <c r="L36" t="str">
        <f>$A$10</f>
        <v>Roberston</v>
      </c>
      <c r="M36" s="16">
        <f si="29" t="shared"/>
        <v>0</v>
      </c>
      <c r="N36" s="16">
        <f si="29" t="shared"/>
        <v>0</v>
      </c>
      <c r="O36" s="16">
        <f si="29" t="shared"/>
        <v>2.9349319345572623E-3</v>
      </c>
      <c r="P36" s="16">
        <f si="29" t="shared"/>
        <v>3.3408267765705005E-2</v>
      </c>
      <c r="Q36" s="16">
        <f si="29" t="shared"/>
        <v>4.8082927438491321E-3</v>
      </c>
      <c r="R36" s="16">
        <f si="29" t="shared"/>
        <v>0</v>
      </c>
      <c r="S36" s="16">
        <f si="30" t="shared"/>
        <v>0</v>
      </c>
      <c r="T36" s="16"/>
      <c r="U36" s="16">
        <f si="24" t="shared"/>
        <v>4.1151492444111405E-2</v>
      </c>
      <c r="W36" t="str">
        <f>$A$10</f>
        <v>Roberston</v>
      </c>
      <c r="X36" s="16">
        <f si="31" t="shared"/>
        <v>0</v>
      </c>
      <c r="Y36" s="16">
        <f si="32" t="shared"/>
        <v>0</v>
      </c>
      <c r="Z36" s="16">
        <f si="32" t="shared"/>
        <v>1.0641966367907268E-3</v>
      </c>
      <c r="AA36" s="16">
        <f si="32" t="shared"/>
        <v>5.0954112023199327E-4</v>
      </c>
      <c r="AB36" s="16">
        <f si="32" t="shared"/>
        <v>-1.5737377570227218E-3</v>
      </c>
      <c r="AC36" s="16">
        <f si="32" t="shared"/>
        <v>0</v>
      </c>
      <c r="AD36" s="16">
        <f si="33" t="shared"/>
        <v>0</v>
      </c>
      <c r="AE36" s="16"/>
      <c r="AF36" s="16">
        <f si="26" t="shared"/>
        <v>0</v>
      </c>
    </row>
    <row r="37" spans="1:32" x14ac:dyDescent="0.25">
      <c r="A37" t="str">
        <f>$A$11</f>
        <v>Davidson</v>
      </c>
      <c r="B37" s="16">
        <f si="27" t="shared"/>
        <v>8.4446893203792787E-3</v>
      </c>
      <c r="C37" s="16">
        <f si="27" t="shared"/>
        <v>2.7380881868537535E-3</v>
      </c>
      <c r="D37" s="16">
        <f si="27" t="shared"/>
        <v>8.3826369862814026E-3</v>
      </c>
      <c r="E37" s="16">
        <f si="27" t="shared"/>
        <v>0</v>
      </c>
      <c r="F37" s="16">
        <f si="27" t="shared"/>
        <v>0.40219400294509955</v>
      </c>
      <c r="G37" s="16">
        <f si="27" t="shared"/>
        <v>0</v>
      </c>
      <c r="H37" s="16">
        <f si="28" t="shared"/>
        <v>2.0353733554267266E-2</v>
      </c>
      <c r="I37" s="12"/>
      <c r="J37" s="16">
        <f si="22" t="shared"/>
        <v>0.44211315099288123</v>
      </c>
      <c r="K37" s="13"/>
      <c r="L37" t="str">
        <f>$A$11</f>
        <v>Davidson</v>
      </c>
      <c r="M37" s="16">
        <f si="29" t="shared"/>
        <v>1.673535656300737E-2</v>
      </c>
      <c r="N37" s="16">
        <f si="29" t="shared"/>
        <v>6.4318721119020856E-3</v>
      </c>
      <c r="O37" s="16">
        <f si="29" t="shared"/>
        <v>4.121393780442113E-3</v>
      </c>
      <c r="P37" s="16">
        <f si="29" t="shared"/>
        <v>6.2445360309728985E-4</v>
      </c>
      <c r="Q37" s="16">
        <f si="29" t="shared"/>
        <v>0.41014112651430001</v>
      </c>
      <c r="R37" s="16">
        <f si="29" t="shared"/>
        <v>0</v>
      </c>
      <c r="S37" s="16">
        <f si="30" t="shared"/>
        <v>4.0589484201323843E-3</v>
      </c>
      <c r="T37" s="16"/>
      <c r="U37" s="16">
        <f si="24" t="shared"/>
        <v>0.44211315099288123</v>
      </c>
      <c r="W37" t="str">
        <f>$A$11</f>
        <v>Davidson</v>
      </c>
      <c r="X37" s="16">
        <f si="31" t="shared"/>
        <v>8.2906672426280911E-3</v>
      </c>
      <c r="Y37" s="16">
        <f si="32" t="shared"/>
        <v>3.6937839250483322E-3</v>
      </c>
      <c r="Z37" s="16">
        <f si="32" t="shared"/>
        <v>-4.2612432058392897E-3</v>
      </c>
      <c r="AA37" s="16">
        <f si="32" t="shared"/>
        <v>6.2445360309728985E-4</v>
      </c>
      <c r="AB37" s="16">
        <f si="32" t="shared"/>
        <v>7.9471235692004649E-3</v>
      </c>
      <c r="AC37" s="16">
        <f si="32" t="shared"/>
        <v>0</v>
      </c>
      <c r="AD37" s="16">
        <f si="33" t="shared"/>
        <v>-1.6294785134134883E-2</v>
      </c>
      <c r="AE37" s="16"/>
      <c r="AF37" s="16">
        <f si="26" t="shared"/>
        <v>0</v>
      </c>
    </row>
    <row r="38" spans="1:32" x14ac:dyDescent="0.25">
      <c r="A38" t="str">
        <f>$A$12</f>
        <v>Maury</v>
      </c>
      <c r="B38" s="16">
        <f si="27" t="shared"/>
        <v>2.2442070350565946E-2</v>
      </c>
      <c r="C38" s="16">
        <f si="27" t="shared"/>
        <v>0</v>
      </c>
      <c r="D38" s="16">
        <f si="27" t="shared"/>
        <v>0</v>
      </c>
      <c r="E38" s="16">
        <f si="27" t="shared"/>
        <v>0</v>
      </c>
      <c r="F38" s="16">
        <f si="27" t="shared"/>
        <v>0</v>
      </c>
      <c r="G38" s="16">
        <f si="27" t="shared"/>
        <v>3.34465271266415E-2</v>
      </c>
      <c r="H38" s="16">
        <f si="28" t="shared"/>
        <v>0</v>
      </c>
      <c r="I38" s="12"/>
      <c r="J38" s="16">
        <f si="22" t="shared"/>
        <v>5.5888597477207445E-2</v>
      </c>
      <c r="K38" s="13"/>
      <c r="L38" t="str">
        <f>$A$12</f>
        <v>Maury</v>
      </c>
      <c r="M38" s="16">
        <f si="29" t="shared"/>
        <v>2.8724865742475333E-3</v>
      </c>
      <c r="N38" s="16">
        <f si="29" t="shared"/>
        <v>0</v>
      </c>
      <c r="O38" s="16">
        <f si="29" t="shared"/>
        <v>0</v>
      </c>
      <c r="P38" s="16">
        <f si="29" t="shared"/>
        <v>0</v>
      </c>
      <c r="Q38" s="16">
        <f si="29" t="shared"/>
        <v>0</v>
      </c>
      <c r="R38" s="16">
        <f si="29" t="shared"/>
        <v>5.3016110902959913E-2</v>
      </c>
      <c r="S38" s="16">
        <f si="30" t="shared"/>
        <v>0</v>
      </c>
      <c r="T38" s="16"/>
      <c r="U38" s="16">
        <f si="24" t="shared"/>
        <v>5.5888597477207445E-2</v>
      </c>
      <c r="W38" t="str">
        <f>$A$12</f>
        <v>Maury</v>
      </c>
      <c r="X38" s="16">
        <f si="31" t="shared"/>
        <v>-1.9569583776318414E-2</v>
      </c>
      <c r="Y38" s="16">
        <f si="32" t="shared"/>
        <v>0</v>
      </c>
      <c r="Z38" s="16">
        <f si="32" t="shared"/>
        <v>0</v>
      </c>
      <c r="AA38" s="16">
        <f si="32" t="shared"/>
        <v>0</v>
      </c>
      <c r="AB38" s="16">
        <f si="32" t="shared"/>
        <v>0</v>
      </c>
      <c r="AC38" s="16">
        <f si="32" t="shared"/>
        <v>1.9569583776318414E-2</v>
      </c>
      <c r="AD38" s="16">
        <f si="33" t="shared"/>
        <v>0</v>
      </c>
      <c r="AE38" s="16"/>
      <c r="AF38" s="16">
        <f si="26" t="shared"/>
        <v>0</v>
      </c>
    </row>
    <row r="39" spans="1:32" x14ac:dyDescent="0.25">
      <c r="A39" t="str">
        <f>$A$13</f>
        <v>Wilson</v>
      </c>
      <c r="B39" s="16">
        <f>B26/$J$28</f>
        <v>0</v>
      </c>
      <c r="C39" s="16">
        <f ref="C39:G39" si="34" t="shared">C26/$J$28</f>
        <v>1.8180247986088858E-4</v>
      </c>
      <c r="D39" s="16">
        <f si="34" t="shared"/>
        <v>1.2570228578685932E-3</v>
      </c>
      <c r="E39" s="16">
        <f si="34" t="shared"/>
        <v>0</v>
      </c>
      <c r="F39" s="16">
        <f si="34" t="shared"/>
        <v>1.829522944357374E-2</v>
      </c>
      <c r="G39" s="16">
        <f si="34" t="shared"/>
        <v>0</v>
      </c>
      <c r="H39" s="16">
        <f si="28" t="shared"/>
        <v>5.2140554935194837E-2</v>
      </c>
      <c r="I39" s="12"/>
      <c r="J39" s="16">
        <f si="22" t="shared"/>
        <v>7.1874609716498061E-2</v>
      </c>
      <c r="K39" s="13"/>
      <c r="L39" t="str">
        <f>$A$13</f>
        <v>Wilson</v>
      </c>
      <c r="M39" s="16">
        <f>M26/$U$28</f>
        <v>6.2445360309728982E-5</v>
      </c>
      <c r="N39" s="16">
        <f ref="N39:R39" si="35" t="shared">N26/$U$28</f>
        <v>1.1864618458848509E-3</v>
      </c>
      <c r="O39" s="16">
        <f si="35" t="shared"/>
        <v>1.5611340077432247E-3</v>
      </c>
      <c r="P39" s="16">
        <f si="35" t="shared"/>
        <v>0</v>
      </c>
      <c r="Q39" s="16">
        <f si="35" t="shared"/>
        <v>1.7047583364556012E-2</v>
      </c>
      <c r="R39" s="16">
        <f si="35" t="shared"/>
        <v>0</v>
      </c>
      <c r="S39" s="16">
        <f si="30" t="shared"/>
        <v>5.2016985138004249E-2</v>
      </c>
      <c r="T39" s="16"/>
      <c r="U39" s="16">
        <f si="24" t="shared"/>
        <v>7.1874609716498061E-2</v>
      </c>
      <c r="W39" t="str">
        <f>$A$13</f>
        <v>Wilson</v>
      </c>
      <c r="X39" s="16">
        <f si="31" t="shared"/>
        <v>6.2445360309728982E-5</v>
      </c>
      <c r="Y39" s="16">
        <f ref="Y39" si="36" t="shared">N39-C39</f>
        <v>1.0046593660239622E-3</v>
      </c>
      <c r="Z39" s="16">
        <f ref="Z39" si="37" t="shared">O39-D39</f>
        <v>3.0411114987463151E-4</v>
      </c>
      <c r="AA39" s="16">
        <f ref="AA39" si="38" t="shared">P39-E39</f>
        <v>0</v>
      </c>
      <c r="AB39" s="16">
        <f ref="AB39" si="39" t="shared">Q39-F39</f>
        <v>-1.2476460790177279E-3</v>
      </c>
      <c r="AC39" s="16">
        <f ref="AC39" si="40" t="shared">R39-G39</f>
        <v>0</v>
      </c>
      <c r="AD39" s="16">
        <f si="33" t="shared"/>
        <v>-1.235697971905883E-4</v>
      </c>
      <c r="AE39" s="16"/>
      <c r="AF39" s="16">
        <f si="26" t="shared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ref="B41:J41" si="41" t="shared">B28/$J$28</f>
        <v>0.11731910172975275</v>
      </c>
      <c r="C41" s="18">
        <f si="41" t="shared"/>
        <v>0.16953767097916642</v>
      </c>
      <c r="D41" s="18">
        <f si="41" t="shared"/>
        <v>7.9101657270169809E-2</v>
      </c>
      <c r="E41" s="18">
        <f si="41" t="shared"/>
        <v>4.0039298496643318E-2</v>
      </c>
      <c r="F41" s="18">
        <f si="41" t="shared"/>
        <v>0.48232029765726636</v>
      </c>
      <c r="G41" s="18">
        <f si="41" t="shared"/>
        <v>3.918768537753934E-2</v>
      </c>
      <c r="H41" s="18">
        <f si="41" t="shared"/>
        <v>7.2494288489462114E-2</v>
      </c>
      <c r="I41" s="18">
        <f si="41" t="shared"/>
        <v>0</v>
      </c>
      <c r="J41" s="18">
        <f si="41" t="shared"/>
        <v>1</v>
      </c>
      <c r="K41" s="12"/>
      <c r="L41" s="15" t="s">
        <v>4</v>
      </c>
      <c r="M41" s="18">
        <f>M28/$U$28</f>
        <v>0.10915448982140627</v>
      </c>
      <c r="N41" s="18">
        <f>N28/$U$28</f>
        <v>0.16816535531410015</v>
      </c>
      <c r="O41" s="18">
        <f>O28/$U$28</f>
        <v>8.6674160109903836E-2</v>
      </c>
      <c r="P41" s="18">
        <f>P28/$U$28</f>
        <v>4.1651055326589234E-2</v>
      </c>
      <c r="Q41" s="18">
        <f ref="Q41:S41" si="42" t="shared">Q28/$U$28</f>
        <v>0.47695766204571</v>
      </c>
      <c r="R41" s="18">
        <f si="42" t="shared"/>
        <v>6.0197327338578743E-2</v>
      </c>
      <c r="S41" s="18">
        <f si="42" t="shared"/>
        <v>5.7199950043711749E-2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43" t="shared">M41-B41</f>
        <v>-8.1646119083464835E-3</v>
      </c>
      <c r="Y41" s="18">
        <f si="43" t="shared"/>
        <v>-1.3723156650662649E-3</v>
      </c>
      <c r="Z41" s="18">
        <f si="43" t="shared"/>
        <v>7.5725028397340272E-3</v>
      </c>
      <c r="AA41" s="18">
        <f si="43" t="shared"/>
        <v>1.6117568299459165E-3</v>
      </c>
      <c r="AB41" s="18">
        <f si="43" t="shared"/>
        <v>-5.3626356115563656E-3</v>
      </c>
      <c r="AC41" s="18">
        <f si="43" t="shared"/>
        <v>2.1009641961039403E-2</v>
      </c>
      <c r="AD41" s="18">
        <f si="43" t="shared"/>
        <v>-1.5294338445750365E-2</v>
      </c>
      <c r="AE41" s="18">
        <f si="43" t="shared"/>
        <v>0</v>
      </c>
      <c r="AF41" s="18">
        <f si="43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tabSelected="1" workbookViewId="0">
      <selection activeCell="I32" sqref="I32"/>
    </sheetView>
  </sheetViews>
  <sheetFormatPr defaultRowHeight="15" x14ac:dyDescent="0.25"/>
  <sheetData>
    <row r="1" spans="1:11" x14ac:dyDescent="0.25">
      <c r="A1" s="385" t="s">
        <v>244</v>
      </c>
      <c r="B1" s="391"/>
      <c r="C1" s="391"/>
      <c r="D1" s="391"/>
      <c r="E1" s="391"/>
      <c r="F1" s="391"/>
      <c r="G1" s="391"/>
      <c r="H1" s="391" t="s">
        <v>245</v>
      </c>
      <c r="I1" s="391"/>
      <c r="J1" s="391"/>
      <c r="K1" s="391"/>
    </row>
    <row r="2" spans="1:11" x14ac:dyDescent="0.25">
      <c r="A2" s="391">
        <v>1</v>
      </c>
      <c r="B2" s="391" t="s">
        <v>246</v>
      </c>
      <c r="C2" s="391"/>
      <c r="D2" s="391"/>
      <c r="E2" s="391"/>
      <c r="F2" s="391"/>
      <c r="G2" s="391"/>
      <c r="H2" s="391"/>
      <c r="I2" s="391"/>
      <c r="J2" s="391"/>
      <c r="K2" s="391"/>
    </row>
    <row r="3" spans="1:11" x14ac:dyDescent="0.25">
      <c r="A3" s="391">
        <v>2</v>
      </c>
      <c r="B3" s="391" t="s">
        <v>247</v>
      </c>
      <c r="C3" s="391"/>
      <c r="D3" s="391"/>
      <c r="E3" s="391"/>
      <c r="F3" s="391"/>
      <c r="G3" s="391"/>
      <c r="H3" s="391"/>
      <c r="I3" s="391"/>
      <c r="J3" s="391"/>
      <c r="K3" s="391"/>
    </row>
    <row r="4" spans="1:11" x14ac:dyDescent="0.25">
      <c r="A4" s="391">
        <v>3</v>
      </c>
      <c r="B4" s="391" t="s">
        <v>248</v>
      </c>
      <c r="C4" s="391"/>
      <c r="D4" s="391"/>
      <c r="E4" s="391"/>
      <c r="F4" s="391"/>
      <c r="G4" s="391"/>
      <c r="H4" s="391"/>
      <c r="I4" s="391"/>
      <c r="J4" s="391"/>
      <c r="K4" s="391"/>
    </row>
    <row r="5" spans="1:11" x14ac:dyDescent="0.25">
      <c r="A5" s="391">
        <v>4</v>
      </c>
      <c r="B5" s="391" t="s">
        <v>249</v>
      </c>
      <c r="C5" s="391"/>
      <c r="D5" s="391"/>
      <c r="E5" s="391"/>
      <c r="F5" s="391"/>
      <c r="G5" s="391"/>
      <c r="H5" s="391"/>
      <c r="I5" s="391"/>
      <c r="J5" s="391"/>
      <c r="K5" s="391"/>
    </row>
    <row r="8" spans="1:11" x14ac:dyDescent="0.25">
      <c r="B8" t="s">
        <v>250</v>
      </c>
      <c r="C8" t="s">
        <v>251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1" x14ac:dyDescent="0.25">
      <c r="A9" t="s">
        <v>257</v>
      </c>
      <c r="B9" t="s">
        <v>258</v>
      </c>
      <c r="C9" t="s">
        <v>259</v>
      </c>
      <c r="D9" t="s">
        <v>260</v>
      </c>
      <c r="E9">
        <v>4</v>
      </c>
      <c r="F9" s="428">
        <v>0.48607638888888888</v>
      </c>
      <c r="G9" t="s">
        <v>261</v>
      </c>
      <c r="H9">
        <v>24</v>
      </c>
      <c r="I9" t="s">
        <v>262</v>
      </c>
      <c r="J9">
        <v>12</v>
      </c>
    </row>
    <row r="10" spans="1:11" x14ac:dyDescent="0.25">
      <c r="A10" t="s">
        <v>263</v>
      </c>
    </row>
    <row r="11" spans="1:11" x14ac:dyDescent="0.25">
      <c r="B11">
        <v>1</v>
      </c>
      <c r="C11" t="s">
        <v>55</v>
      </c>
      <c r="D11" t="s">
        <v>264</v>
      </c>
      <c r="E11">
        <v>1</v>
      </c>
      <c r="F11">
        <v>0</v>
      </c>
    </row>
    <row r="12" spans="1:11" x14ac:dyDescent="0.25">
      <c r="B12">
        <v>2</v>
      </c>
      <c r="C12" t="s">
        <v>56</v>
      </c>
      <c r="D12" t="s">
        <v>265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57</v>
      </c>
      <c r="D13" t="s">
        <v>265</v>
      </c>
      <c r="E13" s="429">
        <v>7.0220312730799997E-2</v>
      </c>
      <c r="F13">
        <v>0.25869937796300002</v>
      </c>
    </row>
    <row r="14" spans="1:11" x14ac:dyDescent="0.25">
      <c r="B14">
        <v>4</v>
      </c>
      <c r="C14" t="s">
        <v>58</v>
      </c>
      <c r="D14" t="s">
        <v>265</v>
      </c>
      <c r="E14" s="429">
        <v>-3.3904088920700001E-2</v>
      </c>
      <c r="F14">
        <v>0.29717527652300002</v>
      </c>
    </row>
    <row r="15" spans="1:11" x14ac:dyDescent="0.25">
      <c r="B15">
        <v>5</v>
      </c>
      <c r="C15" t="s">
        <v>59</v>
      </c>
      <c r="D15" t="s">
        <v>265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60</v>
      </c>
      <c r="D16" t="s">
        <v>265</v>
      </c>
      <c r="E16">
        <v>0.36721258210199997</v>
      </c>
      <c r="F16">
        <v>0.14251816133299999</v>
      </c>
    </row>
    <row r="17" spans="2:6" x14ac:dyDescent="0.25">
      <c r="B17">
        <v>7</v>
      </c>
      <c r="C17" t="s">
        <v>61</v>
      </c>
      <c r="D17" t="s">
        <v>265</v>
      </c>
      <c r="E17">
        <v>-1.7918460355300001</v>
      </c>
      <c r="F17">
        <v>0.28790085567700002</v>
      </c>
    </row>
    <row r="18" spans="2:6" x14ac:dyDescent="0.25">
      <c r="B18">
        <v>8</v>
      </c>
      <c r="C18" t="s">
        <v>62</v>
      </c>
      <c r="D18" t="s">
        <v>265</v>
      </c>
      <c r="E18">
        <v>1.39963442933</v>
      </c>
      <c r="F18">
        <v>0.219287303381</v>
      </c>
    </row>
    <row r="19" spans="2:6" x14ac:dyDescent="0.25">
      <c r="B19">
        <v>9</v>
      </c>
      <c r="C19" t="s">
        <v>63</v>
      </c>
      <c r="D19" t="s">
        <v>265</v>
      </c>
      <c r="E19">
        <v>0.66317866364400002</v>
      </c>
      <c r="F19">
        <v>0.26858783017999999</v>
      </c>
    </row>
    <row r="20" spans="2:6" x14ac:dyDescent="0.25">
      <c r="B20">
        <v>10</v>
      </c>
      <c r="C20" t="s">
        <v>64</v>
      </c>
      <c r="D20" t="s">
        <v>265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65</v>
      </c>
      <c r="D21" t="s">
        <v>265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66</v>
      </c>
      <c r="D22" t="s">
        <v>265</v>
      </c>
      <c r="E22">
        <v>-0.913115187153</v>
      </c>
      <c r="F22">
        <v>0.28732544144</v>
      </c>
    </row>
    <row r="23" spans="2:6" x14ac:dyDescent="0.25">
      <c r="B23">
        <v>13</v>
      </c>
      <c r="C23" t="s">
        <v>67</v>
      </c>
      <c r="D23" t="s">
        <v>265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68</v>
      </c>
      <c r="D24" t="s">
        <v>265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69</v>
      </c>
      <c r="D25" t="s">
        <v>265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70</v>
      </c>
      <c r="D26" t="s">
        <v>265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71</v>
      </c>
      <c r="D27" t="s">
        <v>264</v>
      </c>
      <c r="E27">
        <v>0</v>
      </c>
      <c r="F27">
        <v>0</v>
      </c>
    </row>
    <row r="28" spans="2:6" x14ac:dyDescent="0.25">
      <c r="B28">
        <v>18</v>
      </c>
      <c r="C28" t="s">
        <v>72</v>
      </c>
      <c r="D28" t="s">
        <v>264</v>
      </c>
      <c r="E28">
        <v>0</v>
      </c>
      <c r="F28">
        <v>0</v>
      </c>
    </row>
    <row r="29" spans="2:6" x14ac:dyDescent="0.25">
      <c r="B29">
        <v>19</v>
      </c>
      <c r="C29" t="s">
        <v>73</v>
      </c>
      <c r="D29" t="s">
        <v>264</v>
      </c>
      <c r="E29">
        <v>0</v>
      </c>
      <c r="F29">
        <v>0</v>
      </c>
    </row>
    <row r="30" spans="2:6" x14ac:dyDescent="0.25">
      <c r="B30">
        <v>20</v>
      </c>
      <c r="C30" t="s">
        <v>74</v>
      </c>
      <c r="D30" t="s">
        <v>265</v>
      </c>
      <c r="E30">
        <v>0.55927220197000005</v>
      </c>
      <c r="F30" s="429">
        <v>6.3070773371999997E-2</v>
      </c>
    </row>
    <row r="31" spans="2:6" x14ac:dyDescent="0.25">
      <c r="B31">
        <v>21</v>
      </c>
      <c r="C31" t="s">
        <v>75</v>
      </c>
      <c r="D31" t="s">
        <v>265</v>
      </c>
      <c r="E31">
        <v>-14.073533462</v>
      </c>
      <c r="F31">
        <v>2.1635731872099999</v>
      </c>
    </row>
    <row r="32" spans="2:6" x14ac:dyDescent="0.25">
      <c r="B32">
        <v>22</v>
      </c>
      <c r="C32" t="s">
        <v>76</v>
      </c>
      <c r="D32" t="s">
        <v>265</v>
      </c>
      <c r="E32">
        <v>4.23561831E-2</v>
      </c>
      <c r="F32">
        <v>0.48285243031500003</v>
      </c>
    </row>
    <row r="33" spans="2:6" x14ac:dyDescent="0.25">
      <c r="B33">
        <v>23</v>
      </c>
      <c r="C33" t="s">
        <v>77</v>
      </c>
      <c r="D33" t="s">
        <v>265</v>
      </c>
      <c r="E33">
        <v>-2.9413698566000002</v>
      </c>
      <c r="F33">
        <v>0.28097869320699997</v>
      </c>
    </row>
    <row r="34" spans="2:6" x14ac:dyDescent="0.25">
      <c r="B34">
        <v>924</v>
      </c>
      <c r="C34" t="s">
        <v>266</v>
      </c>
      <c r="D34" t="s">
        <v>265</v>
      </c>
      <c r="E34">
        <v>-1.4293629385</v>
      </c>
      <c r="F34">
        <v>0</v>
      </c>
    </row>
    <row r="35" spans="2:6" x14ac:dyDescent="0.25">
      <c r="B35">
        <v>24</v>
      </c>
      <c r="C35" t="s">
        <v>78</v>
      </c>
      <c r="D35" t="s">
        <v>265</v>
      </c>
      <c r="E35">
        <v>0.21220129380800001</v>
      </c>
      <c r="F35" s="429">
        <v>2.3591368768600001E-2</v>
      </c>
    </row>
    <row r="36" spans="2:6" x14ac:dyDescent="0.25">
      <c r="B36">
        <v>25</v>
      </c>
      <c r="C36" t="s">
        <v>79</v>
      </c>
      <c r="D36" t="s">
        <v>265</v>
      </c>
      <c r="E36">
        <v>-0.156772126135</v>
      </c>
      <c r="F36" s="429">
        <v>2.5404206972699999E-2</v>
      </c>
    </row>
    <row r="37" spans="2:6" x14ac:dyDescent="0.25">
      <c r="B37">
        <v>26</v>
      </c>
      <c r="C37" t="s">
        <v>80</v>
      </c>
      <c r="D37" t="s">
        <v>265</v>
      </c>
      <c r="E37">
        <v>0.78053827557199995</v>
      </c>
      <c r="F37">
        <v>0.13801392691299999</v>
      </c>
    </row>
    <row r="38" spans="2:6" x14ac:dyDescent="0.25">
      <c r="B38">
        <v>27</v>
      </c>
      <c r="C38" t="s">
        <v>81</v>
      </c>
      <c r="D38" t="s">
        <v>265</v>
      </c>
      <c r="E38">
        <v>-12.632321361500001</v>
      </c>
      <c r="F38">
        <v>2.1635010799400001</v>
      </c>
    </row>
    <row r="39" spans="2:6" x14ac:dyDescent="0.25">
      <c r="B39">
        <v>28</v>
      </c>
      <c r="C39" t="s">
        <v>82</v>
      </c>
      <c r="D39" t="s">
        <v>265</v>
      </c>
      <c r="E39">
        <v>-4.7373800512499997</v>
      </c>
      <c r="F39">
        <v>0.49109078483500002</v>
      </c>
    </row>
    <row r="40" spans="2:6" x14ac:dyDescent="0.25">
      <c r="B40">
        <v>29</v>
      </c>
      <c r="C40" t="s">
        <v>83</v>
      </c>
      <c r="D40" t="s">
        <v>265</v>
      </c>
      <c r="E40">
        <v>-3.8495864337499999</v>
      </c>
      <c r="F40">
        <v>0.23114662533300001</v>
      </c>
    </row>
    <row r="41" spans="2:6" x14ac:dyDescent="0.25">
      <c r="B41">
        <v>30</v>
      </c>
      <c r="C41" t="s">
        <v>84</v>
      </c>
      <c r="D41" t="s">
        <v>265</v>
      </c>
      <c r="E41">
        <v>-0.55196399758000003</v>
      </c>
      <c r="F41">
        <v>0.15445284496</v>
      </c>
    </row>
    <row r="42" spans="2:6" x14ac:dyDescent="0.25">
      <c r="B42">
        <v>31</v>
      </c>
      <c r="C42" t="s">
        <v>85</v>
      </c>
      <c r="D42" t="s">
        <v>265</v>
      </c>
      <c r="E42">
        <v>0.161916660248</v>
      </c>
      <c r="F42" s="429">
        <v>2.4598246513100001E-2</v>
      </c>
    </row>
    <row r="43" spans="2:6" x14ac:dyDescent="0.25">
      <c r="B43">
        <v>32</v>
      </c>
      <c r="C43" t="s">
        <v>86</v>
      </c>
      <c r="D43" t="s">
        <v>265</v>
      </c>
      <c r="E43">
        <v>-0.164548260329</v>
      </c>
      <c r="F43" s="429">
        <v>3.0497321424399999E-2</v>
      </c>
    </row>
    <row r="44" spans="2:6" x14ac:dyDescent="0.25">
      <c r="B44">
        <v>33</v>
      </c>
      <c r="C44" t="s">
        <v>87</v>
      </c>
      <c r="D44" t="s">
        <v>265</v>
      </c>
      <c r="E44">
        <v>0.20498917376299999</v>
      </c>
      <c r="F44" s="429">
        <v>2.26070286041E-2</v>
      </c>
    </row>
    <row r="45" spans="2:6" x14ac:dyDescent="0.25">
      <c r="B45">
        <v>34</v>
      </c>
      <c r="C45" t="s">
        <v>88</v>
      </c>
      <c r="D45" t="s">
        <v>265</v>
      </c>
      <c r="E45">
        <v>-0.128001396233</v>
      </c>
      <c r="F45" s="429">
        <v>2.71057179313E-2</v>
      </c>
    </row>
    <row r="46" spans="2:6" x14ac:dyDescent="0.25">
      <c r="B46">
        <v>35</v>
      </c>
      <c r="C46" t="s">
        <v>89</v>
      </c>
      <c r="D46" t="s">
        <v>265</v>
      </c>
      <c r="E46" s="429">
        <v>6.1170505754699997E-2</v>
      </c>
      <c r="F46" s="429">
        <v>1.6417141522400001E-2</v>
      </c>
    </row>
    <row r="47" spans="2:6" x14ac:dyDescent="0.25">
      <c r="B47">
        <v>36</v>
      </c>
      <c r="C47" t="s">
        <v>90</v>
      </c>
      <c r="D47" t="s">
        <v>265</v>
      </c>
      <c r="E47">
        <v>1.3253567635600001</v>
      </c>
      <c r="F47">
        <v>0.18997438038600001</v>
      </c>
    </row>
    <row r="48" spans="2:6" x14ac:dyDescent="0.25">
      <c r="B48">
        <v>37</v>
      </c>
      <c r="C48" t="s">
        <v>91</v>
      </c>
      <c r="D48" t="s">
        <v>265</v>
      </c>
      <c r="E48">
        <v>-9.2010945905200003</v>
      </c>
      <c r="F48">
        <v>2.2590324693200001</v>
      </c>
    </row>
    <row r="49" spans="2:6" x14ac:dyDescent="0.25">
      <c r="B49">
        <v>38</v>
      </c>
      <c r="C49" t="s">
        <v>92</v>
      </c>
      <c r="D49" t="s">
        <v>265</v>
      </c>
      <c r="E49">
        <v>-2.1424454967800002</v>
      </c>
      <c r="F49">
        <v>0.534114739916</v>
      </c>
    </row>
    <row r="50" spans="2:6" x14ac:dyDescent="0.25">
      <c r="B50">
        <v>39</v>
      </c>
      <c r="C50" t="s">
        <v>93</v>
      </c>
      <c r="D50" t="s">
        <v>265</v>
      </c>
      <c r="E50">
        <v>-3.2698397693199999</v>
      </c>
      <c r="F50">
        <v>0.29434692441299998</v>
      </c>
    </row>
    <row r="51" spans="2:6" x14ac:dyDescent="0.25">
      <c r="B51">
        <v>40</v>
      </c>
      <c r="C51" t="s">
        <v>94</v>
      </c>
      <c r="D51" t="s">
        <v>265</v>
      </c>
      <c r="E51">
        <v>-1.5387148017900001</v>
      </c>
      <c r="F51">
        <v>0.21098361657199999</v>
      </c>
    </row>
    <row r="52" spans="2:6" x14ac:dyDescent="0.25">
      <c r="B52">
        <v>41</v>
      </c>
      <c r="C52" t="s">
        <v>95</v>
      </c>
      <c r="D52" t="s">
        <v>265</v>
      </c>
      <c r="E52">
        <v>-0.149205194047</v>
      </c>
      <c r="F52" s="429">
        <v>2.2183697722899999E-2</v>
      </c>
    </row>
    <row r="53" spans="2:6" x14ac:dyDescent="0.25">
      <c r="B53">
        <v>42</v>
      </c>
      <c r="C53" t="s">
        <v>96</v>
      </c>
      <c r="D53" t="s">
        <v>265</v>
      </c>
      <c r="E53">
        <v>0.517393579278</v>
      </c>
      <c r="F53" s="429">
        <v>3.32158540558E-2</v>
      </c>
    </row>
    <row r="54" spans="2:6" x14ac:dyDescent="0.25">
      <c r="B54">
        <v>43</v>
      </c>
      <c r="C54" t="s">
        <v>97</v>
      </c>
      <c r="D54" t="s">
        <v>265</v>
      </c>
      <c r="E54">
        <v>0.84374741070500003</v>
      </c>
      <c r="F54">
        <v>0.178687822675</v>
      </c>
    </row>
    <row r="55" spans="2:6" x14ac:dyDescent="0.25">
      <c r="B55">
        <v>44</v>
      </c>
      <c r="C55" t="s">
        <v>98</v>
      </c>
      <c r="D55" t="s">
        <v>265</v>
      </c>
      <c r="E55">
        <v>-16.440174024099999</v>
      </c>
      <c r="F55">
        <v>2.7220288019000001</v>
      </c>
    </row>
    <row r="56" spans="2:6" x14ac:dyDescent="0.25">
      <c r="B56">
        <v>45</v>
      </c>
      <c r="C56" t="s">
        <v>99</v>
      </c>
      <c r="D56" t="s">
        <v>265</v>
      </c>
      <c r="E56">
        <v>0.38560809579999999</v>
      </c>
      <c r="F56">
        <v>0.678544989012</v>
      </c>
    </row>
    <row r="57" spans="2:6" x14ac:dyDescent="0.25">
      <c r="B57">
        <v>46</v>
      </c>
      <c r="C57" t="s">
        <v>100</v>
      </c>
      <c r="D57" t="s">
        <v>265</v>
      </c>
      <c r="E57">
        <v>-2.4592819233999998</v>
      </c>
      <c r="F57">
        <v>0.316542075087</v>
      </c>
    </row>
    <row r="58" spans="2:6" x14ac:dyDescent="0.25">
      <c r="B58">
        <v>47</v>
      </c>
      <c r="C58" t="s">
        <v>101</v>
      </c>
      <c r="D58" t="s">
        <v>265</v>
      </c>
      <c r="E58">
        <v>-2.8909492550999998</v>
      </c>
      <c r="F58">
        <v>0.198666198524</v>
      </c>
    </row>
    <row r="59" spans="2:6" x14ac:dyDescent="0.25">
      <c r="B59">
        <v>48</v>
      </c>
      <c r="C59" t="s">
        <v>102</v>
      </c>
      <c r="D59" t="s">
        <v>265</v>
      </c>
      <c r="E59">
        <v>0.16683062839400001</v>
      </c>
      <c r="F59" s="429">
        <v>3.6092162993199998E-2</v>
      </c>
    </row>
    <row r="60" spans="2:6" x14ac:dyDescent="0.25">
      <c r="B60">
        <v>49</v>
      </c>
      <c r="C60" t="s">
        <v>103</v>
      </c>
      <c r="D60" t="s">
        <v>265</v>
      </c>
      <c r="E60">
        <v>0.80686039286800004</v>
      </c>
      <c r="F60">
        <v>0.18430849226599999</v>
      </c>
    </row>
    <row r="61" spans="2:6" x14ac:dyDescent="0.25">
      <c r="B61">
        <v>50</v>
      </c>
      <c r="C61" t="s">
        <v>104</v>
      </c>
      <c r="D61" t="s">
        <v>265</v>
      </c>
      <c r="E61">
        <v>-10.275631588</v>
      </c>
      <c r="F61">
        <v>2.32184701625</v>
      </c>
    </row>
    <row r="62" spans="2:6" x14ac:dyDescent="0.25">
      <c r="B62">
        <v>51</v>
      </c>
      <c r="C62" t="s">
        <v>105</v>
      </c>
      <c r="D62" t="s">
        <v>265</v>
      </c>
      <c r="E62">
        <v>-3.6378931021600001</v>
      </c>
      <c r="F62">
        <v>0.59301229503800001</v>
      </c>
    </row>
    <row r="63" spans="2:6" x14ac:dyDescent="0.25">
      <c r="B63">
        <v>52</v>
      </c>
      <c r="C63" t="s">
        <v>106</v>
      </c>
      <c r="D63" t="s">
        <v>265</v>
      </c>
      <c r="E63">
        <v>-4.0172263670700001</v>
      </c>
      <c r="F63">
        <v>0.29029353811199998</v>
      </c>
    </row>
    <row r="64" spans="2:6" x14ac:dyDescent="0.25">
      <c r="B64">
        <v>53</v>
      </c>
      <c r="C64" t="s">
        <v>107</v>
      </c>
      <c r="D64" t="s">
        <v>265</v>
      </c>
      <c r="E64">
        <v>-0.54205465260999997</v>
      </c>
      <c r="F64">
        <v>0.18935293258499999</v>
      </c>
    </row>
    <row r="65" spans="2:6" x14ac:dyDescent="0.25">
      <c r="B65">
        <v>54</v>
      </c>
      <c r="C65" t="s">
        <v>108</v>
      </c>
      <c r="D65" t="s">
        <v>265</v>
      </c>
      <c r="E65">
        <v>0.21306405683599999</v>
      </c>
      <c r="F65" s="429">
        <v>4.0484886653700002E-2</v>
      </c>
    </row>
    <row r="66" spans="2:6" x14ac:dyDescent="0.25">
      <c r="B66">
        <v>55</v>
      </c>
      <c r="C66" t="s">
        <v>109</v>
      </c>
      <c r="D66" t="s">
        <v>265</v>
      </c>
      <c r="E66">
        <v>0.49322187999099998</v>
      </c>
      <c r="F66" s="429">
        <v>4.4144582285800003E-2</v>
      </c>
    </row>
    <row r="67" spans="2:6" x14ac:dyDescent="0.25">
      <c r="B67">
        <v>56</v>
      </c>
      <c r="C67" t="s">
        <v>110</v>
      </c>
      <c r="D67" t="s">
        <v>265</v>
      </c>
      <c r="E67">
        <v>-0.81297460986500003</v>
      </c>
      <c r="F67" s="429">
        <v>4.4146608637300001E-2</v>
      </c>
    </row>
    <row r="68" spans="2:6" x14ac:dyDescent="0.25">
      <c r="B68">
        <v>57</v>
      </c>
      <c r="C68" t="s">
        <v>111</v>
      </c>
      <c r="D68" t="s">
        <v>265</v>
      </c>
      <c r="E68" s="429">
        <v>8.0759501397E-2</v>
      </c>
      <c r="F68" s="429">
        <v>2.06933444566E-2</v>
      </c>
    </row>
    <row r="69" spans="2:6" x14ac:dyDescent="0.25">
      <c r="B69">
        <v>70</v>
      </c>
      <c r="C69" t="s">
        <v>112</v>
      </c>
      <c r="D69" t="s">
        <v>265</v>
      </c>
      <c r="E69">
        <v>0.29053029913700001</v>
      </c>
      <c r="F69" s="429">
        <v>1.13080873111E-2</v>
      </c>
    </row>
    <row r="70" spans="2:6" x14ac:dyDescent="0.25">
      <c r="B70">
        <v>71</v>
      </c>
      <c r="C70" t="s">
        <v>113</v>
      </c>
      <c r="D70" t="s">
        <v>264</v>
      </c>
      <c r="E70">
        <v>0</v>
      </c>
      <c r="F70">
        <v>0</v>
      </c>
    </row>
    <row r="71" spans="2:6" x14ac:dyDescent="0.25">
      <c r="B71">
        <v>72</v>
      </c>
      <c r="C71" t="s">
        <v>114</v>
      </c>
      <c r="D71" t="s">
        <v>265</v>
      </c>
      <c r="E71">
        <v>-3.51218611463</v>
      </c>
      <c r="F71">
        <v>1.10016104602</v>
      </c>
    </row>
    <row r="72" spans="2:6" x14ac:dyDescent="0.25">
      <c r="B72">
        <v>73</v>
      </c>
      <c r="C72" t="s">
        <v>115</v>
      </c>
      <c r="D72" t="s">
        <v>265</v>
      </c>
      <c r="E72">
        <v>-1.9512398226400001</v>
      </c>
      <c r="F72">
        <v>1.3061635869799999</v>
      </c>
    </row>
    <row r="73" spans="2:6" x14ac:dyDescent="0.25">
      <c r="B73">
        <v>74</v>
      </c>
      <c r="C73" t="s">
        <v>116</v>
      </c>
      <c r="D73" t="s">
        <v>265</v>
      </c>
      <c r="E73">
        <v>-2.2875988415099999</v>
      </c>
      <c r="F73">
        <v>0.68287455172</v>
      </c>
    </row>
    <row r="74" spans="2:6" x14ac:dyDescent="0.25">
      <c r="B74">
        <v>75</v>
      </c>
      <c r="C74" t="s">
        <v>117</v>
      </c>
      <c r="D74" t="s">
        <v>265</v>
      </c>
      <c r="E74">
        <v>-2.97270473739</v>
      </c>
      <c r="F74">
        <v>0.801285272145</v>
      </c>
    </row>
    <row r="75" spans="2:6" x14ac:dyDescent="0.25">
      <c r="B75">
        <v>76</v>
      </c>
      <c r="C75" t="s">
        <v>118</v>
      </c>
      <c r="D75" t="s">
        <v>265</v>
      </c>
      <c r="E75">
        <v>-2.2065775626700002</v>
      </c>
      <c r="F75">
        <v>0.71288966547400001</v>
      </c>
    </row>
    <row r="76" spans="2:6" x14ac:dyDescent="0.25">
      <c r="B76">
        <v>77</v>
      </c>
      <c r="C76" t="s">
        <v>119</v>
      </c>
      <c r="D76" t="s">
        <v>265</v>
      </c>
      <c r="E76">
        <v>-1.91608314575</v>
      </c>
      <c r="F76">
        <v>0.89189817863900001</v>
      </c>
    </row>
    <row r="77" spans="2:6" x14ac:dyDescent="0.25">
      <c r="B77">
        <v>78</v>
      </c>
      <c r="C77" t="s">
        <v>120</v>
      </c>
      <c r="D77" t="s">
        <v>265</v>
      </c>
      <c r="E77">
        <v>-2.9941803696</v>
      </c>
      <c r="F77">
        <v>0.73230805856600001</v>
      </c>
    </row>
    <row r="78" spans="2:6" x14ac:dyDescent="0.25">
      <c r="B78">
        <v>79</v>
      </c>
      <c r="C78" t="s">
        <v>121</v>
      </c>
      <c r="D78" t="s">
        <v>265</v>
      </c>
      <c r="E78">
        <v>-20.893048808300001</v>
      </c>
      <c r="F78">
        <v>1.3318572224</v>
      </c>
    </row>
    <row r="79" spans="2:6" x14ac:dyDescent="0.25">
      <c r="B79">
        <v>80</v>
      </c>
      <c r="C79" t="s">
        <v>122</v>
      </c>
      <c r="D79" t="s">
        <v>265</v>
      </c>
      <c r="E79">
        <v>-0.340851234339</v>
      </c>
      <c r="F79">
        <v>0.73993441747499999</v>
      </c>
    </row>
    <row r="80" spans="2:6" x14ac:dyDescent="0.25">
      <c r="B80">
        <v>81</v>
      </c>
      <c r="C80" t="s">
        <v>123</v>
      </c>
      <c r="D80" t="s">
        <v>265</v>
      </c>
      <c r="E80">
        <v>-3.5548804977600001</v>
      </c>
      <c r="F80">
        <v>1.7924879455</v>
      </c>
    </row>
    <row r="81" spans="2:6" x14ac:dyDescent="0.25">
      <c r="B81">
        <v>82</v>
      </c>
      <c r="C81" t="s">
        <v>124</v>
      </c>
      <c r="D81" t="s">
        <v>265</v>
      </c>
      <c r="E81">
        <v>-2.04042829643</v>
      </c>
      <c r="F81">
        <v>0.57123076706499998</v>
      </c>
    </row>
    <row r="82" spans="2:6" x14ac:dyDescent="0.25">
      <c r="B82">
        <v>83</v>
      </c>
      <c r="C82" t="s">
        <v>125</v>
      </c>
      <c r="D82" t="s">
        <v>265</v>
      </c>
      <c r="E82">
        <v>-3.1291070048599998</v>
      </c>
      <c r="F82">
        <v>0.70960900603900001</v>
      </c>
    </row>
    <row r="83" spans="2:6" x14ac:dyDescent="0.25">
      <c r="B83">
        <v>84</v>
      </c>
      <c r="C83" t="s">
        <v>126</v>
      </c>
      <c r="D83" t="s">
        <v>265</v>
      </c>
      <c r="E83">
        <v>-1.36058822067</v>
      </c>
      <c r="F83">
        <v>0.54117102218500002</v>
      </c>
    </row>
    <row r="84" spans="2:6" x14ac:dyDescent="0.25">
      <c r="B84">
        <v>85</v>
      </c>
      <c r="C84" t="s">
        <v>127</v>
      </c>
      <c r="D84" t="s">
        <v>265</v>
      </c>
      <c r="E84">
        <v>-3.7593502074299998</v>
      </c>
      <c r="F84">
        <v>0.90517580077699999</v>
      </c>
    </row>
    <row r="85" spans="2:6" x14ac:dyDescent="0.25">
      <c r="B85">
        <v>86</v>
      </c>
      <c r="C85" t="s">
        <v>128</v>
      </c>
      <c r="D85" t="s">
        <v>265</v>
      </c>
      <c r="E85">
        <v>-2.6162258391100002</v>
      </c>
      <c r="F85">
        <v>0.60159109194399996</v>
      </c>
    </row>
    <row r="86" spans="2:6" x14ac:dyDescent="0.25">
      <c r="B86">
        <v>87</v>
      </c>
      <c r="C86" t="s">
        <v>129</v>
      </c>
      <c r="D86" t="s">
        <v>265</v>
      </c>
      <c r="E86">
        <v>-18.920608679800001</v>
      </c>
      <c r="F86">
        <v>1.15389556702</v>
      </c>
    </row>
    <row r="87" spans="2:6" x14ac:dyDescent="0.25">
      <c r="B87">
        <v>88</v>
      </c>
      <c r="C87" t="s">
        <v>130</v>
      </c>
      <c r="D87" t="s">
        <v>264</v>
      </c>
      <c r="E87">
        <v>0</v>
      </c>
      <c r="F87">
        <v>0</v>
      </c>
    </row>
    <row r="88" spans="2:6" x14ac:dyDescent="0.25">
      <c r="B88">
        <v>89</v>
      </c>
      <c r="C88" t="s">
        <v>131</v>
      </c>
      <c r="D88" t="s">
        <v>265</v>
      </c>
      <c r="E88">
        <v>-6.14284833482</v>
      </c>
      <c r="F88">
        <v>0.878821332959</v>
      </c>
    </row>
    <row r="89" spans="2:6" x14ac:dyDescent="0.25">
      <c r="B89">
        <v>90</v>
      </c>
      <c r="C89" t="s">
        <v>132</v>
      </c>
      <c r="D89" t="s">
        <v>265</v>
      </c>
      <c r="E89">
        <v>-16.4745846271</v>
      </c>
      <c r="F89">
        <v>3.4758476738100001</v>
      </c>
    </row>
    <row r="90" spans="2:6" x14ac:dyDescent="0.25">
      <c r="B90">
        <v>91</v>
      </c>
      <c r="C90" t="s">
        <v>133</v>
      </c>
      <c r="D90" t="s">
        <v>265</v>
      </c>
      <c r="E90">
        <v>-9.3272520902899991</v>
      </c>
      <c r="F90">
        <v>0.81194250572399995</v>
      </c>
    </row>
    <row r="91" spans="2:6" x14ac:dyDescent="0.25">
      <c r="B91">
        <v>92</v>
      </c>
      <c r="C91" t="s">
        <v>134</v>
      </c>
      <c r="D91" t="s">
        <v>265</v>
      </c>
      <c r="E91">
        <v>-0.748114378523</v>
      </c>
      <c r="F91">
        <v>0.37548664507700003</v>
      </c>
    </row>
    <row r="92" spans="2:6" x14ac:dyDescent="0.25">
      <c r="B92">
        <v>93</v>
      </c>
      <c r="C92" t="s">
        <v>135</v>
      </c>
      <c r="D92" t="s">
        <v>265</v>
      </c>
      <c r="E92">
        <v>-0.29100107664500002</v>
      </c>
      <c r="F92">
        <v>0.38141528568499999</v>
      </c>
    </row>
    <row r="93" spans="2:6" x14ac:dyDescent="0.25">
      <c r="B93">
        <v>94</v>
      </c>
      <c r="C93" t="s">
        <v>136</v>
      </c>
      <c r="D93" t="s">
        <v>264</v>
      </c>
      <c r="E93">
        <v>0</v>
      </c>
      <c r="F93">
        <v>0</v>
      </c>
    </row>
    <row r="94" spans="2:6" x14ac:dyDescent="0.25">
      <c r="B94">
        <v>95</v>
      </c>
      <c r="C94" t="s">
        <v>137</v>
      </c>
      <c r="D94" t="s">
        <v>265</v>
      </c>
      <c r="E94">
        <v>-10.3298280696</v>
      </c>
      <c r="F94">
        <v>0.93444956582399996</v>
      </c>
    </row>
    <row r="95" spans="2:6" x14ac:dyDescent="0.25">
      <c r="B95">
        <v>96</v>
      </c>
      <c r="C95" t="s">
        <v>138</v>
      </c>
      <c r="D95" t="s">
        <v>265</v>
      </c>
      <c r="E95">
        <v>-16.742935323400001</v>
      </c>
      <c r="F95">
        <v>0.87728587361400001</v>
      </c>
    </row>
    <row r="96" spans="2:6" x14ac:dyDescent="0.25">
      <c r="B96">
        <v>97</v>
      </c>
      <c r="C96" t="s">
        <v>139</v>
      </c>
      <c r="D96" t="s">
        <v>265</v>
      </c>
      <c r="E96">
        <v>-6.97234539975</v>
      </c>
      <c r="F96">
        <v>0.84429798985799998</v>
      </c>
    </row>
    <row r="97" spans="2:6" x14ac:dyDescent="0.25">
      <c r="B97">
        <v>98</v>
      </c>
      <c r="C97" t="s">
        <v>140</v>
      </c>
      <c r="D97" t="s">
        <v>265</v>
      </c>
      <c r="E97">
        <v>-10.7755348742</v>
      </c>
      <c r="F97">
        <v>1.10642531916</v>
      </c>
    </row>
    <row r="98" spans="2:6" x14ac:dyDescent="0.25">
      <c r="B98">
        <v>99</v>
      </c>
      <c r="C98" t="s">
        <v>141</v>
      </c>
      <c r="D98" t="s">
        <v>265</v>
      </c>
      <c r="E98">
        <v>-11.547846395100001</v>
      </c>
      <c r="F98">
        <v>0.74733147077399997</v>
      </c>
    </row>
    <row r="99" spans="2:6" x14ac:dyDescent="0.25">
      <c r="B99">
        <v>100</v>
      </c>
      <c r="C99" t="s">
        <v>142</v>
      </c>
      <c r="D99" t="s">
        <v>264</v>
      </c>
      <c r="E99">
        <v>0</v>
      </c>
      <c r="F99">
        <v>0</v>
      </c>
    </row>
    <row r="100" spans="2:6" x14ac:dyDescent="0.25">
      <c r="B100">
        <v>101</v>
      </c>
      <c r="C100" t="s">
        <v>143</v>
      </c>
      <c r="D100" t="s">
        <v>265</v>
      </c>
      <c r="E100">
        <v>-11.0962758301</v>
      </c>
      <c r="F100">
        <v>0.74556172273099997</v>
      </c>
    </row>
    <row r="101" spans="2:6" x14ac:dyDescent="0.25">
      <c r="B101">
        <v>102</v>
      </c>
      <c r="C101" t="s">
        <v>144</v>
      </c>
      <c r="D101" t="s">
        <v>264</v>
      </c>
      <c r="E101">
        <v>0</v>
      </c>
      <c r="F101">
        <v>0</v>
      </c>
    </row>
    <row r="102" spans="2:6" x14ac:dyDescent="0.25">
      <c r="B102">
        <v>103</v>
      </c>
      <c r="C102" t="s">
        <v>145</v>
      </c>
      <c r="D102" t="s">
        <v>265</v>
      </c>
      <c r="E102">
        <v>-12.7257909892</v>
      </c>
      <c r="F102">
        <v>1.5440284820600001</v>
      </c>
    </row>
    <row r="103" spans="2:6" x14ac:dyDescent="0.25">
      <c r="B103">
        <v>104</v>
      </c>
      <c r="C103" t="s">
        <v>146</v>
      </c>
      <c r="D103" t="s">
        <v>265</v>
      </c>
      <c r="E103">
        <v>-12.5271034041</v>
      </c>
      <c r="F103">
        <v>0.667513404915</v>
      </c>
    </row>
    <row r="104" spans="2:6" x14ac:dyDescent="0.25">
      <c r="B104">
        <v>105</v>
      </c>
      <c r="C104" t="s">
        <v>147</v>
      </c>
      <c r="D104" t="s">
        <v>265</v>
      </c>
      <c r="E104">
        <v>-21.008822510800002</v>
      </c>
      <c r="F104">
        <v>2.1748440765799999</v>
      </c>
    </row>
    <row r="105" spans="2:6" x14ac:dyDescent="0.25">
      <c r="B105">
        <v>106</v>
      </c>
      <c r="C105" t="s">
        <v>148</v>
      </c>
      <c r="D105" t="s">
        <v>265</v>
      </c>
      <c r="E105">
        <v>-1.63176275226</v>
      </c>
      <c r="F105">
        <v>0.967651109555</v>
      </c>
    </row>
    <row r="106" spans="2:6" x14ac:dyDescent="0.25">
      <c r="B106">
        <v>107</v>
      </c>
      <c r="C106" t="s">
        <v>149</v>
      </c>
      <c r="D106" t="s">
        <v>265</v>
      </c>
      <c r="E106">
        <v>-4.6653914733199997</v>
      </c>
      <c r="F106">
        <v>2.61248252668</v>
      </c>
    </row>
    <row r="107" spans="2:6" x14ac:dyDescent="0.25">
      <c r="B107">
        <v>108</v>
      </c>
      <c r="C107" t="s">
        <v>150</v>
      </c>
      <c r="D107" t="s">
        <v>265</v>
      </c>
      <c r="E107">
        <v>-7.5050624753099999</v>
      </c>
      <c r="F107">
        <v>1.3833200651199999</v>
      </c>
    </row>
    <row r="108" spans="2:6" x14ac:dyDescent="0.25">
      <c r="B108">
        <v>109</v>
      </c>
      <c r="C108" t="s">
        <v>151</v>
      </c>
      <c r="D108" t="s">
        <v>265</v>
      </c>
      <c r="E108">
        <v>-7.2217481188799999</v>
      </c>
      <c r="F108">
        <v>1.5428659018799999</v>
      </c>
    </row>
    <row r="109" spans="2:6" x14ac:dyDescent="0.25">
      <c r="B109">
        <v>110</v>
      </c>
      <c r="C109" t="s">
        <v>152</v>
      </c>
      <c r="D109" t="s">
        <v>265</v>
      </c>
      <c r="E109">
        <v>-3.4793464222399999</v>
      </c>
      <c r="F109">
        <v>0.74775521117900001</v>
      </c>
    </row>
    <row r="110" spans="2:6" x14ac:dyDescent="0.25">
      <c r="B110">
        <v>111</v>
      </c>
      <c r="C110" t="s">
        <v>153</v>
      </c>
      <c r="D110" t="s">
        <v>264</v>
      </c>
      <c r="E110">
        <v>0</v>
      </c>
      <c r="F110">
        <v>0</v>
      </c>
    </row>
    <row r="111" spans="2:6" x14ac:dyDescent="0.25">
      <c r="B111">
        <v>112</v>
      </c>
      <c r="C111" t="s">
        <v>154</v>
      </c>
      <c r="D111" t="s">
        <v>264</v>
      </c>
      <c r="E111">
        <v>0</v>
      </c>
      <c r="F111">
        <v>0</v>
      </c>
    </row>
    <row r="112" spans="2:6" x14ac:dyDescent="0.25">
      <c r="B112">
        <v>113</v>
      </c>
      <c r="C112" t="s">
        <v>155</v>
      </c>
      <c r="D112" t="s">
        <v>265</v>
      </c>
      <c r="E112">
        <v>-2.23577200178</v>
      </c>
      <c r="F112">
        <v>2.4396907415000002</v>
      </c>
    </row>
    <row r="113" spans="1:11" x14ac:dyDescent="0.25">
      <c r="A113">
        <v>-1</v>
      </c>
    </row>
    <row r="114" spans="1:11" x14ac:dyDescent="0.25">
      <c r="B114">
        <v>6224</v>
      </c>
      <c r="C114" s="429">
        <v>-7713.1262757699997</v>
      </c>
      <c r="D114" s="429">
        <v>-24166.840237699998</v>
      </c>
      <c r="E114" s="429">
        <v>-15453.864181499999</v>
      </c>
    </row>
    <row r="115" spans="1:11" x14ac:dyDescent="0.25">
      <c r="B115">
        <v>5</v>
      </c>
      <c r="C115" t="s">
        <v>267</v>
      </c>
      <c r="D115" t="s">
        <v>261</v>
      </c>
      <c r="E115">
        <v>24</v>
      </c>
      <c r="F115" t="s">
        <v>262</v>
      </c>
      <c r="G115">
        <v>12</v>
      </c>
    </row>
    <row r="116" spans="1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1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1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1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1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1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1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1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1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1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1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1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Q103"/>
  <sheetViews>
    <sheetView workbookViewId="0">
      <selection activeCell="L21" sqref="L21"/>
    </sheetView>
  </sheetViews>
  <sheetFormatPr defaultRowHeight="15" x14ac:dyDescent="0.25"/>
  <cols>
    <col min="1" max="1" bestFit="true" customWidth="true" style="395" width="12.7109375" collapsed="true"/>
    <col min="2" max="2" customWidth="true" style="394" width="18.85546875" collapsed="true"/>
    <col min="3" max="3" customWidth="true" style="395" width="6.7109375" collapsed="true"/>
    <col min="4" max="4" customWidth="true" style="395" width="12.7109375" collapsed="true"/>
    <col min="5" max="5" customWidth="true" style="394" width="18.85546875" collapsed="true"/>
    <col min="6" max="8" style="395" width="9.140625" collapsed="true"/>
    <col min="9" max="9" customWidth="true" style="395" width="13.0" collapsed="true"/>
    <col min="10" max="10" bestFit="true" customWidth="true" style="396" width="19.5703125" collapsed="true"/>
    <col min="11" max="11" customWidth="true" style="427" width="19.5703125" collapsed="true"/>
    <col min="12" max="12" customWidth="true" style="395" width="92.42578125" collapsed="true"/>
    <col min="13" max="16384" style="395" width="9.140625" collapsed="true"/>
  </cols>
  <sheetData>
    <row r="1" spans="1:17" x14ac:dyDescent="0.25">
      <c r="A1" s="10" t="s">
        <v>234</v>
      </c>
      <c r="D1" s="10" t="s">
        <v>235</v>
      </c>
      <c r="H1" s="385" t="s">
        <v>238</v>
      </c>
      <c r="N1" s="385"/>
    </row>
    <row ht="15.75" r="2" spans="1:17" thickBot="1" x14ac:dyDescent="0.3">
      <c r="A2" s="385" t="s">
        <v>227</v>
      </c>
      <c r="J2" s="396" t="s">
        <v>236</v>
      </c>
      <c r="K2" s="427" t="s">
        <v>237</v>
      </c>
      <c r="P2" s="390"/>
      <c r="Q2" s="390"/>
    </row>
    <row r="3" spans="1:17" x14ac:dyDescent="0.25">
      <c r="A3" s="397" t="s">
        <v>3</v>
      </c>
      <c r="B3" s="398" t="s">
        <v>228</v>
      </c>
      <c r="D3" s="397" t="s">
        <v>3</v>
      </c>
      <c r="E3" s="398" t="s">
        <v>228</v>
      </c>
      <c r="F3" s="399"/>
      <c r="H3" s="395">
        <v>1</v>
      </c>
      <c r="I3" s="395" t="s">
        <v>55</v>
      </c>
      <c r="J3" s="396">
        <f>OtherTourDestination!E11</f>
        <v>1</v>
      </c>
      <c r="K3" s="430">
        <f>J3</f>
        <v>1</v>
      </c>
      <c r="L3" s="395" t="s">
        <v>161</v>
      </c>
    </row>
    <row r="4" spans="1:17" x14ac:dyDescent="0.25">
      <c r="A4" s="400" t="s">
        <v>232</v>
      </c>
      <c r="B4" s="401">
        <f>TLFD!B11</f>
        <v>3791.2706991461159</v>
      </c>
      <c r="D4" s="400" t="s">
        <v>232</v>
      </c>
      <c r="E4" s="401">
        <f>TLFD!F11</f>
        <v>4120</v>
      </c>
      <c r="F4" s="402"/>
      <c r="H4" s="395">
        <v>2</v>
      </c>
      <c r="I4" s="395" t="s">
        <v>56</v>
      </c>
      <c r="J4" s="396">
        <f>OtherTourDestination!E12</f>
        <v>13.7073027249</v>
      </c>
      <c r="K4" s="430">
        <f ref="K4:K67" si="0" t="shared">J4</f>
        <v>13.7073027249</v>
      </c>
      <c r="L4" s="395" t="s">
        <v>162</v>
      </c>
    </row>
    <row r="5" spans="1:17" x14ac:dyDescent="0.25">
      <c r="A5" s="386" t="s">
        <v>233</v>
      </c>
      <c r="B5" s="403">
        <f>TLFD!B12+TLFD!B13+(TLFD!B14/2)</f>
        <v>29649.463945852945</v>
      </c>
      <c r="D5" s="386" t="s">
        <v>233</v>
      </c>
      <c r="E5" s="403">
        <f>TLFD!F12+TLFD!F13+(TLFD!F14/2)</f>
        <v>22062.5</v>
      </c>
      <c r="F5" s="402"/>
      <c r="H5" s="395">
        <v>3</v>
      </c>
      <c r="I5" s="395" t="s">
        <v>57</v>
      </c>
      <c r="J5" s="396">
        <f>OtherTourDestination!E13</f>
        <v>7.0220312730799997E-2</v>
      </c>
      <c r="K5" s="430">
        <f si="0" t="shared"/>
        <v>7.0220312730799997E-2</v>
      </c>
      <c r="L5" s="395" t="s">
        <v>163</v>
      </c>
    </row>
    <row r="6" spans="1:17" x14ac:dyDescent="0.25">
      <c r="A6" s="386" t="s">
        <v>229</v>
      </c>
      <c r="B6" s="403">
        <f>(TLFD!B14/2)+SUM(TLFD!B15:B20)</f>
        <v>33744.619990874635</v>
      </c>
      <c r="D6" s="386" t="s">
        <v>229</v>
      </c>
      <c r="E6" s="403">
        <f>(TLFD!F14/2)+SUM(TLFD!F15:F20)</f>
        <v>41817.5</v>
      </c>
      <c r="F6" s="404"/>
      <c r="H6" s="395">
        <v>4</v>
      </c>
      <c r="I6" s="395" t="s">
        <v>58</v>
      </c>
      <c r="J6" s="396">
        <f>OtherTourDestination!E14</f>
        <v>-3.3904088920700001E-2</v>
      </c>
      <c r="K6" s="430">
        <f si="0" t="shared"/>
        <v>-3.3904088920700001E-2</v>
      </c>
      <c r="L6" s="395" t="s">
        <v>164</v>
      </c>
    </row>
    <row r="7" spans="1:17" x14ac:dyDescent="0.25">
      <c r="A7" s="387" t="s">
        <v>230</v>
      </c>
      <c r="B7" s="405">
        <f>SUM(TLFD!B21:B101)</f>
        <v>11470.711599375843</v>
      </c>
      <c r="D7" s="387" t="s">
        <v>230</v>
      </c>
      <c r="E7" s="405">
        <f>SUM(TLFD!F21:F101)</f>
        <v>12070</v>
      </c>
      <c r="F7" s="406"/>
      <c r="H7" s="395">
        <v>5</v>
      </c>
      <c r="I7" s="395" t="s">
        <v>59</v>
      </c>
      <c r="J7" s="396">
        <f>OtherTourDestination!E15</f>
        <v>0.14394271350499999</v>
      </c>
      <c r="K7" s="430">
        <f si="0" t="shared"/>
        <v>0.14394271350499999</v>
      </c>
      <c r="L7" s="395" t="s">
        <v>165</v>
      </c>
    </row>
    <row ht="15.75" r="8" spans="1:17" thickBot="1" x14ac:dyDescent="0.3">
      <c r="A8" s="388" t="s">
        <v>4</v>
      </c>
      <c r="B8" s="407">
        <f>SUM(B4:B7)</f>
        <v>78656.066235249542</v>
      </c>
      <c r="C8" s="408"/>
      <c r="D8" s="388" t="s">
        <v>4</v>
      </c>
      <c r="E8" s="407">
        <f>SUM(E4:E7)</f>
        <v>80070</v>
      </c>
      <c r="H8" s="395">
        <v>6</v>
      </c>
      <c r="I8" s="395" t="s">
        <v>60</v>
      </c>
      <c r="J8" s="396">
        <f>OtherTourDestination!E16</f>
        <v>0.36721258210199997</v>
      </c>
      <c r="K8" s="430">
        <f si="0" t="shared"/>
        <v>0.36721258210199997</v>
      </c>
      <c r="L8" s="395" t="s">
        <v>166</v>
      </c>
    </row>
    <row r="9" spans="1:17" x14ac:dyDescent="0.25">
      <c r="H9" s="395">
        <v>7</v>
      </c>
      <c r="I9" s="395" t="s">
        <v>61</v>
      </c>
      <c r="J9" s="396">
        <f>OtherTourDestination!E17</f>
        <v>-1.7918460355300001</v>
      </c>
      <c r="K9" s="430">
        <f si="0" t="shared"/>
        <v>-1.7918460355300001</v>
      </c>
      <c r="L9" s="395" t="s">
        <v>167</v>
      </c>
    </row>
    <row ht="15.75" r="10" spans="1:17" thickBot="1" x14ac:dyDescent="0.3">
      <c r="A10" s="389" t="s">
        <v>231</v>
      </c>
      <c r="F10" s="399"/>
      <c r="H10" s="395">
        <v>8</v>
      </c>
      <c r="I10" s="395" t="s">
        <v>62</v>
      </c>
      <c r="J10" s="396">
        <f>OtherTourDestination!E18</f>
        <v>1.39963442933</v>
      </c>
      <c r="K10" s="430">
        <f si="0" t="shared"/>
        <v>1.39963442933</v>
      </c>
      <c r="L10" s="395" t="s">
        <v>168</v>
      </c>
    </row>
    <row r="11" spans="1:17" x14ac:dyDescent="0.25">
      <c r="A11" s="397" t="s">
        <v>3</v>
      </c>
      <c r="B11" s="398" t="s">
        <v>228</v>
      </c>
      <c r="D11" s="397" t="s">
        <v>3</v>
      </c>
      <c r="E11" s="398" t="s">
        <v>228</v>
      </c>
      <c r="F11" s="409"/>
      <c r="H11" s="395">
        <v>9</v>
      </c>
      <c r="I11" s="395" t="s">
        <v>63</v>
      </c>
      <c r="J11" s="396">
        <f>OtherTourDestination!E19</f>
        <v>0.66317866364400002</v>
      </c>
      <c r="K11" s="430">
        <f si="0" t="shared"/>
        <v>0.66317866364400002</v>
      </c>
      <c r="L11" s="395" t="s">
        <v>169</v>
      </c>
    </row>
    <row r="12" spans="1:17" x14ac:dyDescent="0.25">
      <c r="A12" s="400" t="s">
        <v>232</v>
      </c>
      <c r="B12" s="410">
        <f>B4/B$8</f>
        <v>4.8200614149796706E-2</v>
      </c>
      <c r="D12" s="400" t="s">
        <v>232</v>
      </c>
      <c r="E12" s="410">
        <f>E4/E$8</f>
        <v>5.1454976895216685E-2</v>
      </c>
      <c r="F12" s="409"/>
      <c r="H12" s="395">
        <v>10</v>
      </c>
      <c r="I12" s="395" t="s">
        <v>64</v>
      </c>
      <c r="J12" s="396">
        <f>OtherTourDestination!E20</f>
        <v>-0.38108886824999999</v>
      </c>
      <c r="K12" s="430">
        <f si="0" t="shared"/>
        <v>-0.38108886824999999</v>
      </c>
      <c r="L12" s="395" t="s">
        <v>170</v>
      </c>
    </row>
    <row r="13" spans="1:17" x14ac:dyDescent="0.25">
      <c r="A13" s="386" t="s">
        <v>233</v>
      </c>
      <c r="B13" s="411">
        <f ref="B13:B16" si="1" t="shared">B5/B$8</f>
        <v>0.37695075999828737</v>
      </c>
      <c r="D13" s="386" t="s">
        <v>233</v>
      </c>
      <c r="E13" s="411">
        <f ref="E13:E16" si="2" t="shared">E5/E$8</f>
        <v>0.27554015236667917</v>
      </c>
      <c r="F13" s="409"/>
      <c r="H13" s="395">
        <v>11</v>
      </c>
      <c r="I13" s="395" t="s">
        <v>65</v>
      </c>
      <c r="J13" s="396">
        <f>OtherTourDestination!E21</f>
        <v>-0.73323034645999996</v>
      </c>
      <c r="K13" s="430">
        <f si="0" t="shared"/>
        <v>-0.73323034645999996</v>
      </c>
      <c r="L13" s="395" t="s">
        <v>171</v>
      </c>
    </row>
    <row r="14" spans="1:17" x14ac:dyDescent="0.25">
      <c r="A14" s="386" t="s">
        <v>229</v>
      </c>
      <c r="B14" s="411">
        <f si="1" t="shared"/>
        <v>0.42901484406745044</v>
      </c>
      <c r="D14" s="386" t="s">
        <v>229</v>
      </c>
      <c r="E14" s="411">
        <f si="2" t="shared"/>
        <v>0.52226177095041837</v>
      </c>
      <c r="F14" s="412"/>
      <c r="H14" s="395">
        <v>12</v>
      </c>
      <c r="I14" s="395" t="s">
        <v>66</v>
      </c>
      <c r="J14" s="396">
        <f>OtherTourDestination!E22</f>
        <v>-0.913115187153</v>
      </c>
      <c r="K14" s="430">
        <f si="0" t="shared"/>
        <v>-0.913115187153</v>
      </c>
      <c r="L14" s="395" t="s">
        <v>172</v>
      </c>
    </row>
    <row r="15" spans="1:17" x14ac:dyDescent="0.25">
      <c r="A15" s="387" t="s">
        <v>230</v>
      </c>
      <c r="B15" s="411">
        <f si="1" t="shared"/>
        <v>0.14583378178446546</v>
      </c>
      <c r="D15" s="387" t="s">
        <v>230</v>
      </c>
      <c r="E15" s="411">
        <f si="2" t="shared"/>
        <v>0.15074309978768577</v>
      </c>
      <c r="H15" s="395">
        <v>13</v>
      </c>
      <c r="I15" s="395" t="s">
        <v>67</v>
      </c>
      <c r="J15" s="396">
        <f>OtherTourDestination!E23</f>
        <v>-0.56168035354400003</v>
      </c>
      <c r="K15" s="430">
        <f si="0" t="shared"/>
        <v>-0.56168035354400003</v>
      </c>
      <c r="L15" s="395" t="s">
        <v>173</v>
      </c>
    </row>
    <row ht="15.75" r="16" spans="1:17" thickBot="1" x14ac:dyDescent="0.3">
      <c r="A16" s="388" t="s">
        <v>4</v>
      </c>
      <c r="B16" s="413">
        <f si="1" t="shared"/>
        <v>1</v>
      </c>
      <c r="C16" s="408"/>
      <c r="D16" s="388" t="s">
        <v>4</v>
      </c>
      <c r="E16" s="413">
        <f si="2" t="shared"/>
        <v>1</v>
      </c>
      <c r="H16" s="395">
        <v>14</v>
      </c>
      <c r="I16" s="395" t="s">
        <v>68</v>
      </c>
      <c r="J16" s="396">
        <f>OtherTourDestination!E24</f>
        <v>-0.30132725845199998</v>
      </c>
      <c r="K16" s="430">
        <f si="0" t="shared"/>
        <v>-0.30132725845199998</v>
      </c>
      <c r="L16" s="395" t="s">
        <v>174</v>
      </c>
    </row>
    <row r="17" spans="1:12" x14ac:dyDescent="0.25">
      <c r="H17" s="395">
        <v>15</v>
      </c>
      <c r="I17" s="395" t="s">
        <v>69</v>
      </c>
      <c r="J17" s="396">
        <f>OtherTourDestination!E25</f>
        <v>1.97893419319</v>
      </c>
      <c r="K17" s="430">
        <f si="0" t="shared"/>
        <v>1.97893419319</v>
      </c>
      <c r="L17" s="395" t="s">
        <v>175</v>
      </c>
    </row>
    <row r="18" spans="1:12" x14ac:dyDescent="0.25">
      <c r="H18" s="395">
        <v>16</v>
      </c>
      <c r="I18" s="395" t="s">
        <v>70</v>
      </c>
      <c r="J18" s="396">
        <f>OtherTourDestination!E26</f>
        <v>0.89286126056000004</v>
      </c>
      <c r="K18" s="430">
        <f si="0" t="shared"/>
        <v>0.89286126056000004</v>
      </c>
      <c r="L18" s="395" t="s">
        <v>176</v>
      </c>
    </row>
    <row r="19" spans="1:12" x14ac:dyDescent="0.25">
      <c r="A19" s="415" t="s">
        <v>239</v>
      </c>
      <c r="H19" s="395">
        <v>17</v>
      </c>
      <c r="I19" s="395" t="s">
        <v>71</v>
      </c>
      <c r="J19" s="396">
        <f>OtherTourDestination!E27</f>
        <v>0</v>
      </c>
      <c r="K19" s="430">
        <f si="0" t="shared"/>
        <v>0</v>
      </c>
      <c r="L19" s="395" t="s">
        <v>177</v>
      </c>
    </row>
    <row r="20" spans="1:12" x14ac:dyDescent="0.25">
      <c r="A20" s="415" t="s">
        <v>240</v>
      </c>
      <c r="H20" s="395">
        <v>18</v>
      </c>
      <c r="I20" s="395" t="s">
        <v>72</v>
      </c>
      <c r="J20" s="396">
        <f>OtherTourDestination!E28</f>
        <v>0</v>
      </c>
      <c r="K20" s="430">
        <f si="0" t="shared"/>
        <v>0</v>
      </c>
      <c r="L20" s="395" t="s">
        <v>178</v>
      </c>
    </row>
    <row ht="15.75" r="21" spans="1:12" thickBot="1" x14ac:dyDescent="0.3">
      <c r="A21" s="391"/>
      <c r="G21" s="395" t="s">
        <v>156</v>
      </c>
      <c r="H21" s="395">
        <v>19</v>
      </c>
      <c r="I21" s="395" t="s">
        <v>73</v>
      </c>
      <c r="J21" s="396">
        <f>OtherTourDestination!E29</f>
        <v>0</v>
      </c>
      <c r="K21" s="430">
        <f si="0" t="shared"/>
        <v>0</v>
      </c>
      <c r="L21" s="395" t="s">
        <v>179</v>
      </c>
    </row>
    <row r="22" spans="1:12" x14ac:dyDescent="0.25">
      <c r="A22" s="416" t="s">
        <v>241</v>
      </c>
      <c r="B22" s="417"/>
      <c r="G22" s="395" t="s">
        <v>156</v>
      </c>
      <c r="H22" s="395">
        <v>20</v>
      </c>
      <c r="I22" s="395" t="s">
        <v>74</v>
      </c>
      <c r="J22" s="396">
        <f>OtherTourDestination!E30</f>
        <v>0.55927220197000005</v>
      </c>
      <c r="K22" s="430">
        <f si="0" t="shared"/>
        <v>0.55927220197000005</v>
      </c>
      <c r="L22" s="414" t="s">
        <v>180</v>
      </c>
    </row>
    <row r="23" spans="1:12" x14ac:dyDescent="0.25">
      <c r="A23" s="400" t="s">
        <v>232</v>
      </c>
      <c r="B23" s="418">
        <f>J46</f>
        <v>0.84374741070500003</v>
      </c>
      <c r="G23" s="395" t="s">
        <v>156</v>
      </c>
      <c r="H23" s="395">
        <v>21</v>
      </c>
      <c r="I23" s="395" t="s">
        <v>75</v>
      </c>
      <c r="J23" s="396">
        <f>OtherTourDestination!E31</f>
        <v>-14.073533462</v>
      </c>
      <c r="K23" s="430">
        <f si="0" t="shared"/>
        <v>-14.073533462</v>
      </c>
      <c r="L23" s="395" t="s">
        <v>181</v>
      </c>
    </row>
    <row r="24" spans="1:12" x14ac:dyDescent="0.25">
      <c r="A24" s="386" t="s">
        <v>233</v>
      </c>
      <c r="B24" s="418">
        <f ref="B24:B26" si="3" t="shared">J47</f>
        <v>-16.440174024099999</v>
      </c>
      <c r="G24" s="395" t="s">
        <v>156</v>
      </c>
      <c r="H24" s="395">
        <v>22</v>
      </c>
      <c r="I24" s="395" t="s">
        <v>76</v>
      </c>
      <c r="J24" s="396">
        <f>OtherTourDestination!E32</f>
        <v>4.23561831E-2</v>
      </c>
      <c r="K24" s="430">
        <f si="0" t="shared"/>
        <v>4.23561831E-2</v>
      </c>
      <c r="L24" s="395" t="s">
        <v>182</v>
      </c>
    </row>
    <row r="25" spans="1:12" x14ac:dyDescent="0.25">
      <c r="A25" s="386" t="s">
        <v>229</v>
      </c>
      <c r="B25" s="418">
        <f si="3" t="shared"/>
        <v>0.38560809579999999</v>
      </c>
      <c r="G25" s="395" t="s">
        <v>156</v>
      </c>
      <c r="H25" s="395">
        <v>23</v>
      </c>
      <c r="I25" s="395" t="s">
        <v>77</v>
      </c>
      <c r="J25" s="396">
        <f>OtherTourDestination!E33</f>
        <v>-2.9413698566000002</v>
      </c>
      <c r="K25" s="430">
        <f si="0" t="shared"/>
        <v>-2.9413698566000002</v>
      </c>
      <c r="L25" s="395" t="s">
        <v>183</v>
      </c>
    </row>
    <row ht="15.75" r="26" spans="1:12" thickBot="1" x14ac:dyDescent="0.3">
      <c r="A26" s="393" t="s">
        <v>230</v>
      </c>
      <c r="B26" s="419">
        <f si="3" t="shared"/>
        <v>-2.4592819233999998</v>
      </c>
      <c r="G26" s="395" t="s">
        <v>156</v>
      </c>
      <c r="H26" s="395">
        <v>24</v>
      </c>
      <c r="I26" s="395" t="s">
        <v>78</v>
      </c>
      <c r="J26" s="396">
        <f>OtherTourDestination!E34</f>
        <v>-1.4293629385</v>
      </c>
      <c r="K26" s="430">
        <f si="0" t="shared"/>
        <v>-1.4293629385</v>
      </c>
      <c r="L26" s="414" t="s">
        <v>184</v>
      </c>
    </row>
    <row r="27" spans="1:12" x14ac:dyDescent="0.25">
      <c r="A27" s="391"/>
      <c r="B27" s="392"/>
      <c r="G27" s="395" t="s">
        <v>157</v>
      </c>
      <c r="H27" s="395">
        <v>25</v>
      </c>
      <c r="I27" s="395" t="s">
        <v>79</v>
      </c>
      <c r="J27" s="396">
        <f>OtherTourDestination!E35</f>
        <v>0.21220129380800001</v>
      </c>
      <c r="K27" s="430">
        <f si="0" t="shared"/>
        <v>0.21220129380800001</v>
      </c>
      <c r="L27" s="414" t="s">
        <v>185</v>
      </c>
    </row>
    <row r="28" spans="1:12" x14ac:dyDescent="0.25">
      <c r="A28" s="391"/>
      <c r="B28" s="392"/>
      <c r="G28" s="395" t="s">
        <v>157</v>
      </c>
      <c r="H28" s="395">
        <v>26</v>
      </c>
      <c r="I28" s="395" t="s">
        <v>80</v>
      </c>
      <c r="J28" s="396">
        <f>OtherTourDestination!E36</f>
        <v>-0.156772126135</v>
      </c>
      <c r="K28" s="430">
        <f si="0" t="shared"/>
        <v>-0.156772126135</v>
      </c>
      <c r="L28" s="395" t="s">
        <v>180</v>
      </c>
    </row>
    <row r="29" spans="1:12" x14ac:dyDescent="0.25">
      <c r="A29" s="415" t="s">
        <v>239</v>
      </c>
      <c r="B29" s="420"/>
      <c r="G29" s="395" t="s">
        <v>157</v>
      </c>
      <c r="H29" s="395">
        <v>27</v>
      </c>
      <c r="I29" s="395" t="s">
        <v>81</v>
      </c>
      <c r="J29" s="396">
        <f>OtherTourDestination!E37</f>
        <v>0.78053827557199995</v>
      </c>
      <c r="K29" s="430">
        <f si="0" t="shared"/>
        <v>0.78053827557199995</v>
      </c>
      <c r="L29" s="395" t="s">
        <v>181</v>
      </c>
    </row>
    <row r="30" spans="1:12" x14ac:dyDescent="0.25">
      <c r="A30" s="415" t="s">
        <v>242</v>
      </c>
      <c r="B30" s="420"/>
      <c r="G30" s="395" t="s">
        <v>157</v>
      </c>
      <c r="H30" s="395">
        <v>28</v>
      </c>
      <c r="I30" s="395" t="s">
        <v>82</v>
      </c>
      <c r="J30" s="396">
        <f>OtherTourDestination!E38</f>
        <v>-12.632321361500001</v>
      </c>
      <c r="K30" s="430">
        <f si="0" t="shared"/>
        <v>-12.632321361500001</v>
      </c>
      <c r="L30" s="395" t="s">
        <v>182</v>
      </c>
    </row>
    <row ht="15.75" r="31" spans="1:12" thickBot="1" x14ac:dyDescent="0.3">
      <c r="A31" s="391"/>
      <c r="B31" s="392"/>
      <c r="G31" s="395" t="s">
        <v>157</v>
      </c>
      <c r="H31" s="395">
        <v>29</v>
      </c>
      <c r="I31" s="395" t="s">
        <v>83</v>
      </c>
      <c r="J31" s="396">
        <f>OtherTourDestination!E39</f>
        <v>-4.7373800512499997</v>
      </c>
      <c r="K31" s="430">
        <f si="0" t="shared"/>
        <v>-4.7373800512499997</v>
      </c>
      <c r="L31" s="395" t="s">
        <v>183</v>
      </c>
    </row>
    <row r="32" spans="1:12" x14ac:dyDescent="0.25">
      <c r="A32" s="416" t="s">
        <v>241</v>
      </c>
      <c r="B32" s="417"/>
      <c r="G32" s="395" t="s">
        <v>157</v>
      </c>
      <c r="H32" s="395">
        <v>30</v>
      </c>
      <c r="I32" s="395" t="s">
        <v>84</v>
      </c>
      <c r="J32" s="396">
        <f>OtherTourDestination!E40</f>
        <v>-3.8495864337499999</v>
      </c>
      <c r="K32" s="430">
        <f si="0" t="shared"/>
        <v>-3.8495864337499999</v>
      </c>
      <c r="L32" s="395" t="s">
        <v>203</v>
      </c>
    </row>
    <row r="33" spans="1:12" x14ac:dyDescent="0.25">
      <c r="A33" s="400" t="s">
        <v>232</v>
      </c>
      <c r="B33" s="418">
        <f>LN(B12/E12)-LN(B12/E12)</f>
        <v>0</v>
      </c>
      <c r="G33" s="395" t="s">
        <v>157</v>
      </c>
      <c r="H33" s="395">
        <v>31</v>
      </c>
      <c r="I33" s="395" t="s">
        <v>85</v>
      </c>
      <c r="J33" s="396">
        <f>OtherTourDestination!E41</f>
        <v>-0.55196399758000003</v>
      </c>
      <c r="K33" s="430">
        <f si="0" t="shared"/>
        <v>-0.55196399758000003</v>
      </c>
      <c r="L33" s="414" t="s">
        <v>204</v>
      </c>
    </row>
    <row r="34" spans="1:12" x14ac:dyDescent="0.25">
      <c r="A34" s="386" t="s">
        <v>233</v>
      </c>
      <c r="B34" s="418">
        <f>LN(B13/E13)-LN(B12/E12)</f>
        <v>0.37871663482916496</v>
      </c>
      <c r="G34" s="395" t="s">
        <v>157</v>
      </c>
      <c r="H34" s="395">
        <v>32</v>
      </c>
      <c r="I34" s="395" t="s">
        <v>86</v>
      </c>
      <c r="J34" s="396">
        <f>OtherTourDestination!E42</f>
        <v>0.161916660248</v>
      </c>
      <c r="K34" s="430">
        <f si="0" t="shared"/>
        <v>0.161916660248</v>
      </c>
      <c r="L34" s="414" t="s">
        <v>205</v>
      </c>
    </row>
    <row r="35" spans="1:12" x14ac:dyDescent="0.25">
      <c r="A35" s="386" t="s">
        <v>229</v>
      </c>
      <c r="B35" s="418">
        <f>LN(B14/E14)-LN(B13/E13)-LN(B12/E12)</f>
        <v>-0.44472319887231543</v>
      </c>
      <c r="E35" s="423"/>
      <c r="G35" s="395" t="s">
        <v>157</v>
      </c>
      <c r="H35" s="395">
        <v>33</v>
      </c>
      <c r="I35" s="395" t="s">
        <v>87</v>
      </c>
      <c r="J35" s="396">
        <f>OtherTourDestination!E43</f>
        <v>-0.164548260329</v>
      </c>
      <c r="K35" s="430">
        <f si="0" t="shared"/>
        <v>-0.164548260329</v>
      </c>
      <c r="L35" s="414" t="s">
        <v>206</v>
      </c>
    </row>
    <row ht="15.75" r="36" spans="1:12" thickBot="1" x14ac:dyDescent="0.3">
      <c r="A36" s="393" t="s">
        <v>230</v>
      </c>
      <c r="B36" s="419">
        <f>LN(B15/E15)-LN(B14/E14)-LN(B13/E13)-LN(B12/E12)</f>
        <v>-8.4477930228249787E-2</v>
      </c>
      <c r="E36" s="424"/>
      <c r="G36" s="395" t="s">
        <v>157</v>
      </c>
      <c r="H36" s="395">
        <v>34</v>
      </c>
      <c r="I36" s="395" t="s">
        <v>88</v>
      </c>
      <c r="J36" s="396">
        <f>OtherTourDestination!E44</f>
        <v>0.20498917376299999</v>
      </c>
      <c r="K36" s="430">
        <f si="0" t="shared"/>
        <v>0.20498917376299999</v>
      </c>
      <c r="L36" s="414" t="s">
        <v>207</v>
      </c>
    </row>
    <row r="37" spans="1:12" x14ac:dyDescent="0.25">
      <c r="A37" s="391"/>
      <c r="B37" s="418"/>
      <c r="G37" s="395" t="s">
        <v>158</v>
      </c>
      <c r="H37" s="395">
        <v>35</v>
      </c>
      <c r="I37" s="395" t="s">
        <v>89</v>
      </c>
      <c r="J37" s="396">
        <f>OtherTourDestination!E45</f>
        <v>-0.128001396233</v>
      </c>
      <c r="K37" s="430">
        <f si="0" t="shared"/>
        <v>-0.128001396233</v>
      </c>
      <c r="L37" s="414" t="s">
        <v>208</v>
      </c>
    </row>
    <row r="38" spans="1:12" x14ac:dyDescent="0.25">
      <c r="A38" s="391"/>
      <c r="B38" s="418"/>
      <c r="G38" s="395" t="s">
        <v>158</v>
      </c>
      <c r="H38" s="395">
        <v>36</v>
      </c>
      <c r="I38" s="395" t="s">
        <v>90</v>
      </c>
      <c r="J38" s="396">
        <f>OtherTourDestination!E46</f>
        <v>6.1170505754699997E-2</v>
      </c>
      <c r="K38" s="430">
        <f si="0" t="shared"/>
        <v>6.1170505754699997E-2</v>
      </c>
      <c r="L38" s="414" t="s">
        <v>180</v>
      </c>
    </row>
    <row r="39" spans="1:12" x14ac:dyDescent="0.25">
      <c r="A39" s="415" t="s">
        <v>239</v>
      </c>
      <c r="B39" s="421"/>
      <c r="G39" s="395" t="s">
        <v>158</v>
      </c>
      <c r="H39" s="395">
        <v>37</v>
      </c>
      <c r="I39" s="395" t="s">
        <v>91</v>
      </c>
      <c r="J39" s="396">
        <f>OtherTourDestination!E47</f>
        <v>1.3253567635600001</v>
      </c>
      <c r="K39" s="430">
        <f si="0" t="shared"/>
        <v>1.3253567635600001</v>
      </c>
      <c r="L39" s="414" t="s">
        <v>181</v>
      </c>
    </row>
    <row r="40" spans="1:12" x14ac:dyDescent="0.25">
      <c r="A40" s="415" t="s">
        <v>243</v>
      </c>
      <c r="B40" s="421"/>
      <c r="G40" s="395" t="s">
        <v>158</v>
      </c>
      <c r="H40" s="395">
        <v>38</v>
      </c>
      <c r="I40" s="395" t="s">
        <v>92</v>
      </c>
      <c r="J40" s="396">
        <f>OtherTourDestination!E48</f>
        <v>-9.2010945905200003</v>
      </c>
      <c r="K40" s="430">
        <f si="0" t="shared"/>
        <v>-9.2010945905200003</v>
      </c>
      <c r="L40" s="414" t="s">
        <v>182</v>
      </c>
    </row>
    <row ht="15.75" r="41" spans="1:12" thickBot="1" x14ac:dyDescent="0.3">
      <c r="A41" s="391"/>
      <c r="B41" s="418"/>
      <c r="G41" s="395" t="s">
        <v>158</v>
      </c>
      <c r="H41" s="395">
        <v>39</v>
      </c>
      <c r="I41" s="395" t="s">
        <v>93</v>
      </c>
      <c r="J41" s="396">
        <f>OtherTourDestination!E49</f>
        <v>-2.1424454967800002</v>
      </c>
      <c r="K41" s="430">
        <f si="0" t="shared"/>
        <v>-2.1424454967800002</v>
      </c>
      <c r="L41" s="414" t="s">
        <v>183</v>
      </c>
    </row>
    <row r="42" spans="1:12" x14ac:dyDescent="0.25">
      <c r="A42" s="416" t="s">
        <v>241</v>
      </c>
      <c r="B42" s="422"/>
      <c r="G42" s="395" t="s">
        <v>158</v>
      </c>
      <c r="H42" s="395">
        <v>40</v>
      </c>
      <c r="I42" s="395" t="s">
        <v>94</v>
      </c>
      <c r="J42" s="396">
        <f>OtherTourDestination!E50</f>
        <v>-3.2698397693199999</v>
      </c>
      <c r="K42" s="430">
        <f si="0" t="shared"/>
        <v>-3.2698397693199999</v>
      </c>
      <c r="L42" s="414" t="s">
        <v>203</v>
      </c>
    </row>
    <row r="43" spans="1:12" x14ac:dyDescent="0.25">
      <c r="A43" s="400" t="s">
        <v>232</v>
      </c>
      <c r="B43" s="418">
        <f>B23+B33</f>
        <v>0.84374741070500003</v>
      </c>
      <c r="G43" s="395" t="s">
        <v>158</v>
      </c>
      <c r="H43" s="395">
        <v>41</v>
      </c>
      <c r="I43" s="395" t="s">
        <v>95</v>
      </c>
      <c r="J43" s="396">
        <f>OtherTourDestination!E51</f>
        <v>-1.5387148017900001</v>
      </c>
      <c r="K43" s="430">
        <f si="0" t="shared"/>
        <v>-1.5387148017900001</v>
      </c>
      <c r="L43" s="414" t="s">
        <v>204</v>
      </c>
    </row>
    <row r="44" spans="1:12" x14ac:dyDescent="0.25">
      <c r="A44" s="386" t="s">
        <v>233</v>
      </c>
      <c r="B44" s="418">
        <f ref="B44:B46" si="4" t="shared">B24+B34</f>
        <v>-16.061457389270835</v>
      </c>
      <c r="G44" s="395" t="s">
        <v>159</v>
      </c>
      <c r="H44" s="395">
        <v>42</v>
      </c>
      <c r="I44" s="395" t="s">
        <v>96</v>
      </c>
      <c r="J44" s="396">
        <f>OtherTourDestination!E52</f>
        <v>-0.149205194047</v>
      </c>
      <c r="K44" s="430">
        <f si="0" t="shared"/>
        <v>-0.149205194047</v>
      </c>
      <c r="L44" s="414" t="s">
        <v>218</v>
      </c>
    </row>
    <row r="45" spans="1:12" x14ac:dyDescent="0.25">
      <c r="A45" s="386" t="s">
        <v>229</v>
      </c>
      <c r="B45" s="418">
        <f si="4" t="shared"/>
        <v>-5.9115103072315434E-2</v>
      </c>
      <c r="G45" s="426" t="s">
        <v>159</v>
      </c>
      <c r="H45" s="426">
        <v>43</v>
      </c>
      <c r="I45" s="426" t="s">
        <v>97</v>
      </c>
      <c r="J45" s="396">
        <f>OtherTourDestination!E53</f>
        <v>0.517393579278</v>
      </c>
      <c r="K45" s="430">
        <f si="0" t="shared"/>
        <v>0.517393579278</v>
      </c>
      <c r="L45" s="425" t="s">
        <v>180</v>
      </c>
    </row>
    <row ht="15.75" r="46" spans="1:12" thickBot="1" x14ac:dyDescent="0.3">
      <c r="A46" s="393" t="s">
        <v>230</v>
      </c>
      <c r="B46" s="419">
        <f si="4" t="shared"/>
        <v>-2.5437598536282495</v>
      </c>
      <c r="G46" s="431" t="s">
        <v>159</v>
      </c>
      <c r="H46" s="431">
        <v>44</v>
      </c>
      <c r="I46" s="431" t="s">
        <v>98</v>
      </c>
      <c r="J46" s="432">
        <f>OtherTourDestination!E54</f>
        <v>0.84374741070500003</v>
      </c>
      <c r="K46" s="433">
        <f>B43</f>
        <v>0.84374741070500003</v>
      </c>
      <c r="L46" s="434" t="s">
        <v>223</v>
      </c>
    </row>
    <row r="47" spans="1:12" x14ac:dyDescent="0.25">
      <c r="G47" s="431" t="s">
        <v>159</v>
      </c>
      <c r="H47" s="431">
        <v>45</v>
      </c>
      <c r="I47" s="431" t="s">
        <v>99</v>
      </c>
      <c r="J47" s="432">
        <f>OtherTourDestination!E55</f>
        <v>-16.440174024099999</v>
      </c>
      <c r="K47" s="433">
        <f ref="K47:K49" si="5" t="shared">B44</f>
        <v>-16.061457389270835</v>
      </c>
      <c r="L47" s="434" t="s">
        <v>225</v>
      </c>
    </row>
    <row r="48" spans="1:12" x14ac:dyDescent="0.25">
      <c r="G48" s="431" t="s">
        <v>159</v>
      </c>
      <c r="H48" s="431">
        <v>46</v>
      </c>
      <c r="I48" s="431" t="s">
        <v>100</v>
      </c>
      <c r="J48" s="432">
        <f>OtherTourDestination!E56</f>
        <v>0.38560809579999999</v>
      </c>
      <c r="K48" s="433">
        <f si="5" t="shared"/>
        <v>-5.9115103072315434E-2</v>
      </c>
      <c r="L48" s="434" t="s">
        <v>226</v>
      </c>
    </row>
    <row r="49" spans="7:12" x14ac:dyDescent="0.25">
      <c r="G49" s="431" t="s">
        <v>159</v>
      </c>
      <c r="H49" s="431">
        <v>47</v>
      </c>
      <c r="I49" s="431" t="s">
        <v>101</v>
      </c>
      <c r="J49" s="432">
        <f>OtherTourDestination!E57</f>
        <v>-2.4592819233999998</v>
      </c>
      <c r="K49" s="433">
        <f si="5" t="shared"/>
        <v>-2.5437598536282495</v>
      </c>
      <c r="L49" s="434" t="s">
        <v>224</v>
      </c>
    </row>
    <row r="50" spans="7:12" x14ac:dyDescent="0.25">
      <c r="G50" s="395" t="s">
        <v>160</v>
      </c>
      <c r="H50" s="395">
        <v>48</v>
      </c>
      <c r="I50" s="395" t="s">
        <v>102</v>
      </c>
      <c r="J50" s="396">
        <f>OtherTourDestination!E58</f>
        <v>-2.8909492550999998</v>
      </c>
      <c r="K50" s="430">
        <f si="0" t="shared"/>
        <v>-2.8909492550999998</v>
      </c>
      <c r="L50" s="414" t="s">
        <v>219</v>
      </c>
    </row>
    <row r="51" spans="7:12" x14ac:dyDescent="0.25">
      <c r="G51" s="395" t="s">
        <v>160</v>
      </c>
      <c r="H51" s="395">
        <v>49</v>
      </c>
      <c r="I51" s="395" t="s">
        <v>103</v>
      </c>
      <c r="J51" s="396">
        <f>OtherTourDestination!E59</f>
        <v>0.16683062839400001</v>
      </c>
      <c r="K51" s="430">
        <f si="0" t="shared"/>
        <v>0.16683062839400001</v>
      </c>
      <c r="L51" s="414" t="s">
        <v>180</v>
      </c>
    </row>
    <row r="52" spans="7:12" x14ac:dyDescent="0.25">
      <c r="G52" s="395" t="s">
        <v>160</v>
      </c>
      <c r="H52" s="395">
        <v>50</v>
      </c>
      <c r="I52" s="395" t="s">
        <v>104</v>
      </c>
      <c r="J52" s="396">
        <f>OtherTourDestination!E60</f>
        <v>0.80686039286800004</v>
      </c>
      <c r="K52" s="430">
        <f si="0" t="shared"/>
        <v>0.80686039286800004</v>
      </c>
      <c r="L52" s="414" t="s">
        <v>181</v>
      </c>
    </row>
    <row r="53" spans="7:12" x14ac:dyDescent="0.25">
      <c r="G53" s="395" t="s">
        <v>160</v>
      </c>
      <c r="H53" s="395">
        <v>51</v>
      </c>
      <c r="I53" s="395" t="s">
        <v>105</v>
      </c>
      <c r="J53" s="396">
        <f>OtherTourDestination!E61</f>
        <v>-10.275631588</v>
      </c>
      <c r="K53" s="430">
        <f si="0" t="shared"/>
        <v>-10.275631588</v>
      </c>
      <c r="L53" s="414" t="s">
        <v>182</v>
      </c>
    </row>
    <row r="54" spans="7:12" x14ac:dyDescent="0.25">
      <c r="G54" s="395" t="s">
        <v>160</v>
      </c>
      <c r="H54" s="395">
        <v>52</v>
      </c>
      <c r="I54" s="395" t="s">
        <v>106</v>
      </c>
      <c r="J54" s="396">
        <f>OtherTourDestination!E62</f>
        <v>-3.6378931021600001</v>
      </c>
      <c r="K54" s="430">
        <f si="0" t="shared"/>
        <v>-3.6378931021600001</v>
      </c>
      <c r="L54" s="414" t="s">
        <v>183</v>
      </c>
    </row>
    <row r="55" spans="7:12" x14ac:dyDescent="0.25">
      <c r="G55" s="395" t="s">
        <v>160</v>
      </c>
      <c r="H55" s="395">
        <v>53</v>
      </c>
      <c r="I55" s="395" t="s">
        <v>107</v>
      </c>
      <c r="J55" s="396">
        <f>OtherTourDestination!E63</f>
        <v>-4.0172263670700001</v>
      </c>
      <c r="K55" s="430">
        <f si="0" t="shared"/>
        <v>-4.0172263670700001</v>
      </c>
      <c r="L55" s="414" t="s">
        <v>203</v>
      </c>
    </row>
    <row r="56" spans="7:12" x14ac:dyDescent="0.25">
      <c r="G56" s="395" t="s">
        <v>160</v>
      </c>
      <c r="H56" s="395">
        <v>54</v>
      </c>
      <c r="I56" s="395" t="s">
        <v>108</v>
      </c>
      <c r="J56" s="396">
        <f>OtherTourDestination!E64</f>
        <v>-0.54205465260999997</v>
      </c>
      <c r="K56" s="430">
        <f si="0" t="shared"/>
        <v>-0.54205465260999997</v>
      </c>
      <c r="L56" s="414" t="s">
        <v>220</v>
      </c>
    </row>
    <row r="57" spans="7:12" x14ac:dyDescent="0.25">
      <c r="G57" s="395" t="s">
        <v>160</v>
      </c>
      <c r="H57" s="395">
        <v>55</v>
      </c>
      <c r="I57" s="395" t="s">
        <v>109</v>
      </c>
      <c r="J57" s="396">
        <f>OtherTourDestination!E65</f>
        <v>0.21306405683599999</v>
      </c>
      <c r="K57" s="430">
        <f si="0" t="shared"/>
        <v>0.21306405683599999</v>
      </c>
      <c r="L57" s="414" t="s">
        <v>205</v>
      </c>
    </row>
    <row r="58" spans="7:12" x14ac:dyDescent="0.25">
      <c r="G58" s="395" t="s">
        <v>160</v>
      </c>
      <c r="H58" s="395">
        <v>56</v>
      </c>
      <c r="I58" s="395" t="s">
        <v>110</v>
      </c>
      <c r="J58" s="396">
        <f>OtherTourDestination!E66</f>
        <v>0.49322187999099998</v>
      </c>
      <c r="K58" s="430">
        <f si="0" t="shared"/>
        <v>0.49322187999099998</v>
      </c>
      <c r="L58" s="414" t="s">
        <v>207</v>
      </c>
    </row>
    <row r="59" spans="7:12" x14ac:dyDescent="0.25">
      <c r="H59" s="395">
        <v>57</v>
      </c>
      <c r="I59" s="395" t="s">
        <v>111</v>
      </c>
      <c r="J59" s="396">
        <f>OtherTourDestination!E67</f>
        <v>-0.81297460986500003</v>
      </c>
      <c r="K59" s="430">
        <f si="0" t="shared"/>
        <v>-0.81297460986500003</v>
      </c>
      <c r="L59" s="414" t="s">
        <v>208</v>
      </c>
    </row>
    <row r="60" spans="7:12" x14ac:dyDescent="0.25">
      <c r="G60" s="395" t="s">
        <v>156</v>
      </c>
      <c r="H60" s="395">
        <v>70</v>
      </c>
      <c r="I60" s="395" t="s">
        <v>112</v>
      </c>
      <c r="J60" s="396">
        <f>OtherTourDestination!E68</f>
        <v>8.0759501397E-2</v>
      </c>
      <c r="K60" s="430">
        <f si="0" t="shared"/>
        <v>8.0759501397E-2</v>
      </c>
      <c r="L60" s="414"/>
    </row>
    <row r="61" spans="7:12" x14ac:dyDescent="0.25">
      <c r="G61" s="395" t="s">
        <v>156</v>
      </c>
      <c r="H61" s="395">
        <v>71</v>
      </c>
      <c r="I61" s="395" t="s">
        <v>113</v>
      </c>
      <c r="J61" s="396">
        <f>OtherTourDestination!E69</f>
        <v>0.29053029913700001</v>
      </c>
      <c r="K61" s="430">
        <f si="0" t="shared"/>
        <v>0.29053029913700001</v>
      </c>
      <c r="L61" s="395" t="s">
        <v>186</v>
      </c>
    </row>
    <row r="62" spans="7:12" x14ac:dyDescent="0.25">
      <c r="G62" s="395" t="s">
        <v>156</v>
      </c>
      <c r="H62" s="395">
        <v>72</v>
      </c>
      <c r="I62" s="395" t="s">
        <v>114</v>
      </c>
      <c r="J62" s="396">
        <f>OtherTourDestination!E70</f>
        <v>0</v>
      </c>
      <c r="K62" s="430">
        <f si="0" t="shared"/>
        <v>0</v>
      </c>
      <c r="L62" s="395" t="s">
        <v>187</v>
      </c>
    </row>
    <row r="63" spans="7:12" x14ac:dyDescent="0.25">
      <c r="G63" s="395" t="s">
        <v>156</v>
      </c>
      <c r="H63" s="395">
        <v>73</v>
      </c>
      <c r="I63" s="395" t="s">
        <v>115</v>
      </c>
      <c r="J63" s="396">
        <f>OtherTourDestination!E71</f>
        <v>-3.51218611463</v>
      </c>
      <c r="K63" s="430">
        <f si="0" t="shared"/>
        <v>-3.51218611463</v>
      </c>
      <c r="L63" s="395" t="s">
        <v>188</v>
      </c>
    </row>
    <row r="64" spans="7:12" x14ac:dyDescent="0.25">
      <c r="G64" s="395" t="s">
        <v>156</v>
      </c>
      <c r="H64" s="395">
        <v>74</v>
      </c>
      <c r="I64" s="395" t="s">
        <v>116</v>
      </c>
      <c r="J64" s="396">
        <f>OtherTourDestination!E72</f>
        <v>-1.9512398226400001</v>
      </c>
      <c r="K64" s="430">
        <f si="0" t="shared"/>
        <v>-1.9512398226400001</v>
      </c>
      <c r="L64" s="395" t="s">
        <v>189</v>
      </c>
    </row>
    <row r="65" spans="7:12" x14ac:dyDescent="0.25">
      <c r="G65" s="395" t="s">
        <v>156</v>
      </c>
      <c r="H65" s="395">
        <v>75</v>
      </c>
      <c r="I65" s="395" t="s">
        <v>117</v>
      </c>
      <c r="J65" s="396">
        <f>OtherTourDestination!E73</f>
        <v>-2.2875988415099999</v>
      </c>
      <c r="K65" s="430">
        <f si="0" t="shared"/>
        <v>-2.2875988415099999</v>
      </c>
      <c r="L65" s="395" t="s">
        <v>190</v>
      </c>
    </row>
    <row r="66" spans="7:12" x14ac:dyDescent="0.25">
      <c r="G66" s="395" t="s">
        <v>156</v>
      </c>
      <c r="H66" s="395">
        <v>76</v>
      </c>
      <c r="I66" s="395" t="s">
        <v>118</v>
      </c>
      <c r="J66" s="396">
        <f>OtherTourDestination!E74</f>
        <v>-2.97270473739</v>
      </c>
      <c r="K66" s="430">
        <f si="0" t="shared"/>
        <v>-2.97270473739</v>
      </c>
      <c r="L66" s="395" t="s">
        <v>191</v>
      </c>
    </row>
    <row r="67" spans="7:12" x14ac:dyDescent="0.25">
      <c r="G67" s="395" t="s">
        <v>156</v>
      </c>
      <c r="H67" s="395">
        <v>77</v>
      </c>
      <c r="I67" s="395" t="s">
        <v>119</v>
      </c>
      <c r="J67" s="396">
        <f>OtherTourDestination!E75</f>
        <v>-2.2065775626700002</v>
      </c>
      <c r="K67" s="430">
        <f si="0" t="shared"/>
        <v>-2.2065775626700002</v>
      </c>
      <c r="L67" s="395" t="s">
        <v>192</v>
      </c>
    </row>
    <row r="68" spans="7:12" x14ac:dyDescent="0.25">
      <c r="G68" s="395" t="s">
        <v>156</v>
      </c>
      <c r="H68" s="395">
        <v>78</v>
      </c>
      <c r="I68" s="395" t="s">
        <v>120</v>
      </c>
      <c r="J68" s="396">
        <f>OtherTourDestination!E76</f>
        <v>-1.91608314575</v>
      </c>
      <c r="K68" s="430">
        <f ref="K68:K103" si="6" t="shared">J68</f>
        <v>-1.91608314575</v>
      </c>
      <c r="L68" s="395" t="s">
        <v>193</v>
      </c>
    </row>
    <row r="69" spans="7:12" x14ac:dyDescent="0.25">
      <c r="G69" s="395" t="s">
        <v>156</v>
      </c>
      <c r="H69" s="395">
        <v>79</v>
      </c>
      <c r="I69" s="395" t="s">
        <v>121</v>
      </c>
      <c r="J69" s="396">
        <f>OtherTourDestination!E77</f>
        <v>-2.9941803696</v>
      </c>
      <c r="K69" s="430">
        <f si="6" t="shared"/>
        <v>-2.9941803696</v>
      </c>
      <c r="L69" s="395" t="s">
        <v>194</v>
      </c>
    </row>
    <row r="70" spans="7:12" x14ac:dyDescent="0.25">
      <c r="G70" s="395" t="s">
        <v>156</v>
      </c>
      <c r="H70" s="395">
        <v>80</v>
      </c>
      <c r="I70" s="395" t="s">
        <v>122</v>
      </c>
      <c r="J70" s="396">
        <f>OtherTourDestination!E78</f>
        <v>-20.893048808300001</v>
      </c>
      <c r="K70" s="430">
        <f si="6" t="shared"/>
        <v>-20.893048808300001</v>
      </c>
      <c r="L70" s="395" t="s">
        <v>195</v>
      </c>
    </row>
    <row r="71" spans="7:12" x14ac:dyDescent="0.25">
      <c r="G71" s="395" t="s">
        <v>156</v>
      </c>
      <c r="H71" s="395">
        <v>81</v>
      </c>
      <c r="I71" s="395" t="s">
        <v>123</v>
      </c>
      <c r="J71" s="396">
        <f>OtherTourDestination!E79</f>
        <v>-0.340851234339</v>
      </c>
      <c r="K71" s="430">
        <f si="6" t="shared"/>
        <v>-0.340851234339</v>
      </c>
      <c r="L71" s="395" t="s">
        <v>196</v>
      </c>
    </row>
    <row r="72" spans="7:12" x14ac:dyDescent="0.25">
      <c r="G72" s="395" t="s">
        <v>156</v>
      </c>
      <c r="H72" s="395">
        <v>82</v>
      </c>
      <c r="I72" s="395" t="s">
        <v>124</v>
      </c>
      <c r="J72" s="396">
        <f>OtherTourDestination!E80</f>
        <v>-3.5548804977600001</v>
      </c>
      <c r="K72" s="430">
        <f si="6" t="shared"/>
        <v>-3.5548804977600001</v>
      </c>
      <c r="L72" s="395" t="s">
        <v>196</v>
      </c>
    </row>
    <row r="73" spans="7:12" x14ac:dyDescent="0.25">
      <c r="G73" s="395" t="s">
        <v>156</v>
      </c>
      <c r="H73" s="395">
        <v>83</v>
      </c>
      <c r="I73" s="395" t="s">
        <v>125</v>
      </c>
      <c r="J73" s="396">
        <f>OtherTourDestination!E81</f>
        <v>-2.04042829643</v>
      </c>
      <c r="K73" s="430">
        <f si="6" t="shared"/>
        <v>-2.04042829643</v>
      </c>
      <c r="L73" s="395" t="s">
        <v>197</v>
      </c>
    </row>
    <row r="74" spans="7:12" x14ac:dyDescent="0.25">
      <c r="G74" s="395" t="s">
        <v>156</v>
      </c>
      <c r="H74" s="395">
        <v>84</v>
      </c>
      <c r="I74" s="395" t="s">
        <v>126</v>
      </c>
      <c r="J74" s="396">
        <f>OtherTourDestination!E82</f>
        <v>-3.1291070048599998</v>
      </c>
      <c r="K74" s="430">
        <f si="6" t="shared"/>
        <v>-3.1291070048599998</v>
      </c>
      <c r="L74" s="395" t="s">
        <v>198</v>
      </c>
    </row>
    <row r="75" spans="7:12" x14ac:dyDescent="0.25">
      <c r="G75" s="395" t="s">
        <v>156</v>
      </c>
      <c r="H75" s="395">
        <v>85</v>
      </c>
      <c r="I75" s="395" t="s">
        <v>127</v>
      </c>
      <c r="J75" s="396">
        <f>OtherTourDestination!E83</f>
        <v>-1.36058822067</v>
      </c>
      <c r="K75" s="430">
        <f si="6" t="shared"/>
        <v>-1.36058822067</v>
      </c>
      <c r="L75" s="395" t="s">
        <v>199</v>
      </c>
    </row>
    <row r="76" spans="7:12" x14ac:dyDescent="0.25">
      <c r="G76" s="395" t="s">
        <v>156</v>
      </c>
      <c r="H76" s="395">
        <v>86</v>
      </c>
      <c r="I76" s="395" t="s">
        <v>128</v>
      </c>
      <c r="J76" s="396">
        <f>OtherTourDestination!E84</f>
        <v>-3.7593502074299998</v>
      </c>
      <c r="K76" s="430">
        <f si="6" t="shared"/>
        <v>-3.7593502074299998</v>
      </c>
      <c r="L76" s="395" t="s">
        <v>200</v>
      </c>
    </row>
    <row r="77" spans="7:12" x14ac:dyDescent="0.25">
      <c r="G77" s="395" t="s">
        <v>156</v>
      </c>
      <c r="H77" s="395">
        <v>87</v>
      </c>
      <c r="I77" s="395" t="s">
        <v>129</v>
      </c>
      <c r="J77" s="396">
        <f>OtherTourDestination!E85</f>
        <v>-2.6162258391100002</v>
      </c>
      <c r="K77" s="430">
        <f si="6" t="shared"/>
        <v>-2.6162258391100002</v>
      </c>
      <c r="L77" s="395" t="s">
        <v>201</v>
      </c>
    </row>
    <row r="78" spans="7:12" x14ac:dyDescent="0.25">
      <c r="G78" s="395" t="s">
        <v>157</v>
      </c>
      <c r="H78" s="395">
        <v>88</v>
      </c>
      <c r="I78" s="395" t="s">
        <v>130</v>
      </c>
      <c r="J78" s="396">
        <f>OtherTourDestination!E86</f>
        <v>-18.920608679800001</v>
      </c>
      <c r="K78" s="430">
        <f si="6" t="shared"/>
        <v>-18.920608679800001</v>
      </c>
      <c r="L78" s="395" t="s">
        <v>202</v>
      </c>
    </row>
    <row r="79" spans="7:12" x14ac:dyDescent="0.25">
      <c r="G79" s="395" t="s">
        <v>157</v>
      </c>
      <c r="H79" s="395">
        <v>89</v>
      </c>
      <c r="I79" s="395" t="s">
        <v>131</v>
      </c>
      <c r="J79" s="396">
        <f>OtherTourDestination!E87</f>
        <v>0</v>
      </c>
      <c r="K79" s="430">
        <f si="6" t="shared"/>
        <v>0</v>
      </c>
      <c r="L79" s="395" t="s">
        <v>209</v>
      </c>
    </row>
    <row r="80" spans="7:12" x14ac:dyDescent="0.25">
      <c r="G80" s="395" t="s">
        <v>157</v>
      </c>
      <c r="H80" s="395">
        <v>90</v>
      </c>
      <c r="I80" s="395" t="s">
        <v>132</v>
      </c>
      <c r="J80" s="396">
        <f>OtherTourDestination!E88</f>
        <v>-6.14284833482</v>
      </c>
      <c r="K80" s="430">
        <f si="6" t="shared"/>
        <v>-6.14284833482</v>
      </c>
      <c r="L80" s="395" t="s">
        <v>210</v>
      </c>
    </row>
    <row r="81" spans="7:12" x14ac:dyDescent="0.25">
      <c r="G81" s="395" t="s">
        <v>157</v>
      </c>
      <c r="H81" s="395">
        <v>91</v>
      </c>
      <c r="I81" s="395" t="s">
        <v>133</v>
      </c>
      <c r="J81" s="396">
        <f>OtherTourDestination!E89</f>
        <v>-16.4745846271</v>
      </c>
      <c r="K81" s="430">
        <f si="6" t="shared"/>
        <v>-16.4745846271</v>
      </c>
      <c r="L81" s="395" t="s">
        <v>211</v>
      </c>
    </row>
    <row r="82" spans="7:12" x14ac:dyDescent="0.25">
      <c r="G82" s="395" t="s">
        <v>157</v>
      </c>
      <c r="H82" s="395">
        <v>92</v>
      </c>
      <c r="I82" s="395" t="s">
        <v>134</v>
      </c>
      <c r="J82" s="396">
        <f>OtherTourDestination!E90</f>
        <v>-9.3272520902899991</v>
      </c>
      <c r="K82" s="430">
        <f si="6" t="shared"/>
        <v>-9.3272520902899991</v>
      </c>
      <c r="L82" s="395" t="s">
        <v>212</v>
      </c>
    </row>
    <row r="83" spans="7:12" x14ac:dyDescent="0.25">
      <c r="G83" s="395" t="s">
        <v>157</v>
      </c>
      <c r="H83" s="395">
        <v>93</v>
      </c>
      <c r="I83" s="395" t="s">
        <v>135</v>
      </c>
      <c r="J83" s="396">
        <f>OtherTourDestination!E91</f>
        <v>-0.748114378523</v>
      </c>
      <c r="K83" s="430">
        <f si="6" t="shared"/>
        <v>-0.748114378523</v>
      </c>
      <c r="L83" s="395" t="s">
        <v>213</v>
      </c>
    </row>
    <row r="84" spans="7:12" x14ac:dyDescent="0.25">
      <c r="G84" s="395" t="s">
        <v>157</v>
      </c>
      <c r="H84" s="395">
        <v>94</v>
      </c>
      <c r="I84" s="395" t="s">
        <v>136</v>
      </c>
      <c r="J84" s="396">
        <f>OtherTourDestination!E92</f>
        <v>-0.29100107664500002</v>
      </c>
      <c r="K84" s="430">
        <f si="6" t="shared"/>
        <v>-0.29100107664500002</v>
      </c>
      <c r="L84" s="395" t="s">
        <v>214</v>
      </c>
    </row>
    <row r="85" spans="7:12" x14ac:dyDescent="0.25">
      <c r="G85" s="395" t="s">
        <v>157</v>
      </c>
      <c r="H85" s="395">
        <v>95</v>
      </c>
      <c r="I85" s="395" t="s">
        <v>137</v>
      </c>
      <c r="J85" s="396">
        <f>OtherTourDestination!E93</f>
        <v>0</v>
      </c>
      <c r="K85" s="430">
        <f si="6" t="shared"/>
        <v>0</v>
      </c>
      <c r="L85" s="395" t="s">
        <v>215</v>
      </c>
    </row>
    <row r="86" spans="7:12" x14ac:dyDescent="0.25">
      <c r="G86" s="395" t="s">
        <v>157</v>
      </c>
      <c r="H86" s="395">
        <v>96</v>
      </c>
      <c r="I86" s="395" t="s">
        <v>138</v>
      </c>
      <c r="J86" s="396">
        <f>OtherTourDestination!E94</f>
        <v>-10.3298280696</v>
      </c>
      <c r="K86" s="430">
        <f si="6" t="shared"/>
        <v>-10.3298280696</v>
      </c>
      <c r="L86" s="395" t="s">
        <v>216</v>
      </c>
    </row>
    <row r="87" spans="7:12" x14ac:dyDescent="0.25">
      <c r="G87" s="395" t="s">
        <v>158</v>
      </c>
      <c r="H87" s="395">
        <v>97</v>
      </c>
      <c r="I87" s="395" t="s">
        <v>139</v>
      </c>
      <c r="J87" s="396">
        <f>OtherTourDestination!E95</f>
        <v>-16.742935323400001</v>
      </c>
      <c r="K87" s="430">
        <f si="6" t="shared"/>
        <v>-16.742935323400001</v>
      </c>
      <c r="L87" s="395" t="s">
        <v>217</v>
      </c>
    </row>
    <row r="88" spans="7:12" x14ac:dyDescent="0.25">
      <c r="G88" s="395" t="s">
        <v>158</v>
      </c>
      <c r="H88" s="395">
        <v>98</v>
      </c>
      <c r="I88" s="395" t="s">
        <v>140</v>
      </c>
      <c r="J88" s="396">
        <f>OtherTourDestination!E96</f>
        <v>-6.97234539975</v>
      </c>
      <c r="K88" s="430">
        <f si="6" t="shared"/>
        <v>-6.97234539975</v>
      </c>
      <c r="L88" s="395" t="s">
        <v>210</v>
      </c>
    </row>
    <row r="89" spans="7:12" x14ac:dyDescent="0.25">
      <c r="G89" s="395" t="s">
        <v>158</v>
      </c>
      <c r="H89" s="395">
        <v>99</v>
      </c>
      <c r="I89" s="395" t="s">
        <v>141</v>
      </c>
      <c r="J89" s="396">
        <f>OtherTourDestination!E97</f>
        <v>-10.7755348742</v>
      </c>
      <c r="K89" s="430">
        <f si="6" t="shared"/>
        <v>-10.7755348742</v>
      </c>
      <c r="L89" s="395" t="s">
        <v>211</v>
      </c>
    </row>
    <row r="90" spans="7:12" x14ac:dyDescent="0.25">
      <c r="G90" s="395" t="s">
        <v>158</v>
      </c>
      <c r="H90" s="395">
        <v>100</v>
      </c>
      <c r="I90" s="395" t="s">
        <v>142</v>
      </c>
      <c r="J90" s="396">
        <f>OtherTourDestination!E98</f>
        <v>-11.547846395100001</v>
      </c>
      <c r="K90" s="430">
        <f si="6" t="shared"/>
        <v>-11.547846395100001</v>
      </c>
      <c r="L90" s="395" t="s">
        <v>212</v>
      </c>
    </row>
    <row r="91" spans="7:12" x14ac:dyDescent="0.25">
      <c r="G91" s="395" t="s">
        <v>159</v>
      </c>
      <c r="H91" s="395">
        <v>101</v>
      </c>
      <c r="I91" s="395" t="s">
        <v>143</v>
      </c>
      <c r="J91" s="396">
        <f>OtherTourDestination!E99</f>
        <v>0</v>
      </c>
      <c r="K91" s="430">
        <f si="6" t="shared"/>
        <v>0</v>
      </c>
      <c r="L91" s="395" t="s">
        <v>213</v>
      </c>
    </row>
    <row r="92" spans="7:12" x14ac:dyDescent="0.25">
      <c r="G92" s="395" t="s">
        <v>159</v>
      </c>
      <c r="H92" s="395">
        <v>102</v>
      </c>
      <c r="I92" s="395" t="s">
        <v>144</v>
      </c>
      <c r="J92" s="396">
        <f>OtherTourDestination!E100</f>
        <v>-11.0962758301</v>
      </c>
      <c r="K92" s="430">
        <f si="6" t="shared"/>
        <v>-11.0962758301</v>
      </c>
      <c r="L92" s="395" t="s">
        <v>210</v>
      </c>
    </row>
    <row r="93" spans="7:12" x14ac:dyDescent="0.25">
      <c r="G93" s="395" t="s">
        <v>159</v>
      </c>
      <c r="H93" s="395">
        <v>103</v>
      </c>
      <c r="I93" s="395" t="s">
        <v>145</v>
      </c>
      <c r="J93" s="396">
        <f>OtherTourDestination!E101</f>
        <v>0</v>
      </c>
      <c r="K93" s="430">
        <f si="6" t="shared"/>
        <v>0</v>
      </c>
      <c r="L93" s="395" t="s">
        <v>211</v>
      </c>
    </row>
    <row r="94" spans="7:12" x14ac:dyDescent="0.25">
      <c r="G94" s="395" t="s">
        <v>159</v>
      </c>
      <c r="H94" s="395">
        <v>104</v>
      </c>
      <c r="I94" s="395" t="s">
        <v>146</v>
      </c>
      <c r="J94" s="396">
        <f>OtherTourDestination!E102</f>
        <v>-12.7257909892</v>
      </c>
      <c r="K94" s="430">
        <f si="6" t="shared"/>
        <v>-12.7257909892</v>
      </c>
      <c r="L94" s="395" t="s">
        <v>212</v>
      </c>
    </row>
    <row r="95" spans="7:12" x14ac:dyDescent="0.25">
      <c r="G95" s="395" t="s">
        <v>160</v>
      </c>
      <c r="H95" s="395">
        <v>105</v>
      </c>
      <c r="I95" s="395" t="s">
        <v>147</v>
      </c>
      <c r="J95" s="396">
        <f>OtherTourDestination!E103</f>
        <v>-12.5271034041</v>
      </c>
      <c r="K95" s="430">
        <f si="6" t="shared"/>
        <v>-12.5271034041</v>
      </c>
      <c r="L95" s="395" t="s">
        <v>213</v>
      </c>
    </row>
    <row r="96" spans="7:12" x14ac:dyDescent="0.25">
      <c r="G96" s="395" t="s">
        <v>160</v>
      </c>
      <c r="H96" s="395">
        <v>106</v>
      </c>
      <c r="I96" s="395" t="s">
        <v>148</v>
      </c>
      <c r="J96" s="396">
        <f>OtherTourDestination!E104</f>
        <v>-21.008822510800002</v>
      </c>
      <c r="K96" s="430">
        <f si="6" t="shared"/>
        <v>-21.008822510800002</v>
      </c>
      <c r="L96" s="395" t="s">
        <v>210</v>
      </c>
    </row>
    <row r="97" spans="7:12" x14ac:dyDescent="0.25">
      <c r="G97" s="395" t="s">
        <v>160</v>
      </c>
      <c r="H97" s="395">
        <v>107</v>
      </c>
      <c r="I97" s="395" t="s">
        <v>149</v>
      </c>
      <c r="J97" s="396">
        <f>OtherTourDestination!E105</f>
        <v>-1.63176275226</v>
      </c>
      <c r="K97" s="430">
        <f si="6" t="shared"/>
        <v>-1.63176275226</v>
      </c>
      <c r="L97" s="395" t="s">
        <v>221</v>
      </c>
    </row>
    <row r="98" spans="7:12" x14ac:dyDescent="0.25">
      <c r="G98" s="395" t="s">
        <v>160</v>
      </c>
      <c r="H98" s="395">
        <v>108</v>
      </c>
      <c r="I98" s="395" t="s">
        <v>150</v>
      </c>
      <c r="J98" s="396">
        <f>OtherTourDestination!E106</f>
        <v>-4.6653914733199997</v>
      </c>
      <c r="K98" s="430">
        <f si="6" t="shared"/>
        <v>-4.6653914733199997</v>
      </c>
      <c r="L98" s="395" t="s">
        <v>211</v>
      </c>
    </row>
    <row r="99" spans="7:12" x14ac:dyDescent="0.25">
      <c r="G99" s="395" t="s">
        <v>160</v>
      </c>
      <c r="H99" s="395">
        <v>109</v>
      </c>
      <c r="I99" s="395" t="s">
        <v>151</v>
      </c>
      <c r="J99" s="396">
        <f>OtherTourDestination!E107</f>
        <v>-7.5050624753099999</v>
      </c>
      <c r="K99" s="430">
        <f si="6" t="shared"/>
        <v>-7.5050624753099999</v>
      </c>
      <c r="L99" s="395" t="s">
        <v>212</v>
      </c>
    </row>
    <row r="100" spans="7:12" x14ac:dyDescent="0.25">
      <c r="G100" s="395" t="s">
        <v>160</v>
      </c>
      <c r="H100" s="395">
        <v>110</v>
      </c>
      <c r="I100" s="395" t="s">
        <v>152</v>
      </c>
      <c r="J100" s="396">
        <f>OtherTourDestination!E108</f>
        <v>-7.2217481188799999</v>
      </c>
      <c r="K100" s="430">
        <f si="6" t="shared"/>
        <v>-7.2217481188799999</v>
      </c>
      <c r="L100" s="395" t="s">
        <v>213</v>
      </c>
    </row>
    <row r="101" spans="7:12" x14ac:dyDescent="0.25">
      <c r="G101" s="395" t="s">
        <v>160</v>
      </c>
      <c r="H101" s="395">
        <v>111</v>
      </c>
      <c r="I101" s="395" t="s">
        <v>153</v>
      </c>
      <c r="J101" s="396">
        <f>OtherTourDestination!E109</f>
        <v>-3.4793464222399999</v>
      </c>
      <c r="K101" s="430">
        <f si="6" t="shared"/>
        <v>-3.4793464222399999</v>
      </c>
      <c r="L101" s="395" t="s">
        <v>216</v>
      </c>
    </row>
    <row r="102" spans="7:12" x14ac:dyDescent="0.25">
      <c r="G102" s="395" t="s">
        <v>160</v>
      </c>
      <c r="H102" s="395">
        <v>112</v>
      </c>
      <c r="I102" s="395" t="s">
        <v>154</v>
      </c>
      <c r="J102" s="396">
        <f>OtherTourDestination!E110</f>
        <v>0</v>
      </c>
      <c r="K102" s="430">
        <f si="6" t="shared"/>
        <v>0</v>
      </c>
      <c r="L102" s="395" t="s">
        <v>222</v>
      </c>
    </row>
    <row r="103" spans="7:12" x14ac:dyDescent="0.25">
      <c r="G103" s="395" t="s">
        <v>160</v>
      </c>
      <c r="H103" s="395">
        <v>113</v>
      </c>
      <c r="I103" s="395" t="s">
        <v>155</v>
      </c>
      <c r="J103" s="396">
        <f>OtherTourDestination!E111</f>
        <v>0</v>
      </c>
      <c r="K103" s="430">
        <f si="6" t="shared"/>
        <v>0</v>
      </c>
      <c r="L103" s="395" t="s">
        <v>217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CoeffDef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2015-04-29T22:15:52Z</dcterms:modified>
</cp:coreProperties>
</file>