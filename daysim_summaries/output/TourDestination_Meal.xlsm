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r="D15"/>
  <c i="7" l="1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1" r="H15"/>
  <c i="1" r="J13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<sst xmlns="http://schemas.openxmlformats.org/spreadsheetml/2006/main" count="722" uniqueCount="290">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</sst>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4.642460071320529E-2</c:v>
                </c:pt>
                <c:pt idx="1">
                  <c:v>7.0846471674984382E-2</c:v>
                </c:pt>
                <c:pt idx="2">
                  <c:v>5.6264896517595052E-2</c:v>
                </c:pt>
                <c:pt idx="3">
                  <c:v>0.10291630488875883</c:v>
                </c:pt>
                <c:pt idx="4">
                  <c:v>0.17023219859394956</c:v>
                </c:pt>
                <c:pt idx="5">
                  <c:v>0.1338607523830099</c:v>
                </c:pt>
                <c:pt idx="6">
                  <c:v>0.10821289718521659</c:v>
                </c:pt>
                <c:pt idx="7">
                  <c:v>3.6947255908552419E-2</c:v>
                </c:pt>
                <c:pt idx="8">
                  <c:v>1.4261022776256677E-2</c:v>
                </c:pt>
                <c:pt idx="9">
                  <c:v>2.4886580465331116E-2</c:v>
                </c:pt>
                <c:pt idx="10">
                  <c:v>4.5877074832774381E-2</c:v>
                </c:pt>
                <c:pt idx="11">
                  <c:v>1.9723603885657769E-2</c:v>
                </c:pt>
                <c:pt idx="12">
                  <c:v>3.136447756730084E-2</c:v>
                </c:pt>
                <c:pt idx="13">
                  <c:v>3.1903715808381042E-2</c:v>
                </c:pt>
                <c:pt idx="14">
                  <c:v>1.0467795292670621E-2</c:v>
                </c:pt>
                <c:pt idx="15">
                  <c:v>1.8605235774620397E-2</c:v>
                </c:pt>
                <c:pt idx="16">
                  <c:v>1.2729688398095369E-2</c:v>
                </c:pt>
                <c:pt idx="17">
                  <c:v>8.2362291721844623E-3</c:v>
                </c:pt>
                <c:pt idx="18">
                  <c:v>1.3822291724610549E-2</c:v>
                </c:pt>
                <c:pt idx="19">
                  <c:v>4.0997794650524897E-4</c:v>
                </c:pt>
                <c:pt idx="20">
                  <c:v>0</c:v>
                </c:pt>
                <c:pt idx="21">
                  <c:v>1.3740065823289425E-3</c:v>
                </c:pt>
                <c:pt idx="22">
                  <c:v>9.5124811635990368E-3</c:v>
                </c:pt>
                <c:pt idx="23">
                  <c:v>2.8217738025873893E-4</c:v>
                </c:pt>
                <c:pt idx="24">
                  <c:v>3.9910477031018824E-3</c:v>
                </c:pt>
                <c:pt idx="25">
                  <c:v>0</c:v>
                </c:pt>
                <c:pt idx="26">
                  <c:v>0</c:v>
                </c:pt>
                <c:pt idx="27">
                  <c:v>2.0258957294298558E-5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1.9074396169071871E-2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2.8994319994968092E-4</c:v>
                </c:pt>
                <c:pt idx="40">
                  <c:v>1.8579457874451479E-3</c:v>
                </c:pt>
                <c:pt idx="41">
                  <c:v>5.4190362779547785E-3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1.8563526933486625E-4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0.18873648135888482</c:v>
                </c:pt>
                <c:pt idx="1">
                  <c:v>0.10486565064114836</c:v>
                </c:pt>
                <c:pt idx="2">
                  <c:v>6.7579913141851689E-2</c:v>
                </c:pt>
                <c:pt idx="3">
                  <c:v>3.8836763686725263E-2</c:v>
                </c:pt>
                <c:pt idx="4">
                  <c:v>0.13514160417415419</c:v>
                </c:pt>
                <c:pt idx="5">
                  <c:v>8.2112780017158535E-2</c:v>
                </c:pt>
                <c:pt idx="6">
                  <c:v>7.0534538940946273E-2</c:v>
                </c:pt>
                <c:pt idx="7">
                  <c:v>3.8921060417257687E-2</c:v>
                </c:pt>
                <c:pt idx="8">
                  <c:v>4.145166535641525E-2</c:v>
                </c:pt>
                <c:pt idx="9">
                  <c:v>2.9730887415396447E-2</c:v>
                </c:pt>
                <c:pt idx="10">
                  <c:v>1.8237588699314432E-2</c:v>
                </c:pt>
                <c:pt idx="11">
                  <c:v>1.7138873828807685E-2</c:v>
                </c:pt>
                <c:pt idx="12">
                  <c:v>1.7039991382825984E-2</c:v>
                </c:pt>
                <c:pt idx="13">
                  <c:v>1.5413623768248485E-2</c:v>
                </c:pt>
                <c:pt idx="14">
                  <c:v>1.4861089125675726E-2</c:v>
                </c:pt>
                <c:pt idx="15">
                  <c:v>1.2241275827894409E-2</c:v>
                </c:pt>
                <c:pt idx="16">
                  <c:v>1.7885761338384171E-2</c:v>
                </c:pt>
                <c:pt idx="17">
                  <c:v>1.0799328614224153E-2</c:v>
                </c:pt>
                <c:pt idx="18">
                  <c:v>9.089827115869531E-3</c:v>
                </c:pt>
                <c:pt idx="19">
                  <c:v>7.8285694564711877E-3</c:v>
                </c:pt>
                <c:pt idx="20">
                  <c:v>6.583955957644879E-3</c:v>
                </c:pt>
                <c:pt idx="21">
                  <c:v>5.6185693551080362E-3</c:v>
                </c:pt>
                <c:pt idx="22">
                  <c:v>6.5591993023559423E-3</c:v>
                </c:pt>
                <c:pt idx="23">
                  <c:v>6.3970375271823676E-3</c:v>
                </c:pt>
                <c:pt idx="24">
                  <c:v>5.4190160701149889E-3</c:v>
                </c:pt>
                <c:pt idx="25">
                  <c:v>4.3139943205034396E-3</c:v>
                </c:pt>
                <c:pt idx="26">
                  <c:v>2.8147068015581759E-3</c:v>
                </c:pt>
                <c:pt idx="27">
                  <c:v>3.6848683640027485E-3</c:v>
                </c:pt>
                <c:pt idx="28">
                  <c:v>2.4233239875231663E-3</c:v>
                </c:pt>
                <c:pt idx="29">
                  <c:v>2.6461423846419418E-3</c:v>
                </c:pt>
                <c:pt idx="30">
                  <c:v>1.63347484212328E-3</c:v>
                </c:pt>
                <c:pt idx="31">
                  <c:v>1.8387103826725535E-3</c:v>
                </c:pt>
                <c:pt idx="32">
                  <c:v>1.4420293992587396E-3</c:v>
                </c:pt>
                <c:pt idx="33">
                  <c:v>1.238503773249261E-3</c:v>
                </c:pt>
                <c:pt idx="34">
                  <c:v>1.1589967292851501E-3</c:v>
                </c:pt>
                <c:pt idx="35">
                  <c:v>1.2122023690585783E-3</c:v>
                </c:pt>
                <c:pt idx="36">
                  <c:v>1.1714925993072469E-3</c:v>
                </c:pt>
                <c:pt idx="37">
                  <c:v>8.175936912349518E-4</c:v>
                </c:pt>
                <c:pt idx="38">
                  <c:v>6.1010614425272827E-4</c:v>
                </c:pt>
                <c:pt idx="39">
                  <c:v>8.3560019495890398E-4</c:v>
                </c:pt>
                <c:pt idx="40">
                  <c:v>7.0120043170171346E-4</c:v>
                </c:pt>
                <c:pt idx="41">
                  <c:v>5.3227784278381469E-4</c:v>
                </c:pt>
                <c:pt idx="42">
                  <c:v>1.9861779176816728E-4</c:v>
                </c:pt>
                <c:pt idx="43">
                  <c:v>1.9733247007876385E-4</c:v>
                </c:pt>
                <c:pt idx="44">
                  <c:v>1.9953447068288E-4</c:v>
                </c:pt>
                <c:pt idx="45">
                  <c:v>2.3680087789038971E-4</c:v>
                </c:pt>
                <c:pt idx="46">
                  <c:v>1.0884219751421786E-4</c:v>
                </c:pt>
                <c:pt idx="47">
                  <c:v>9.7133203504117522E-5</c:v>
                </c:pt>
                <c:pt idx="48">
                  <c:v>1.1120522628098317E-4</c:v>
                </c:pt>
                <c:pt idx="49">
                  <c:v>1.7590857045545515E-4</c:v>
                </c:pt>
                <c:pt idx="50">
                  <c:v>1.1217913666358913E-4</c:v>
                </c:pt>
                <c:pt idx="51">
                  <c:v>1.3290490791643926E-4</c:v>
                </c:pt>
                <c:pt idx="52">
                  <c:v>8.8289972743028143E-5</c:v>
                </c:pt>
                <c:pt idx="53">
                  <c:v>4.3373368570004398E-5</c:v>
                </c:pt>
                <c:pt idx="54">
                  <c:v>4.3670059890011746E-5</c:v>
                </c:pt>
                <c:pt idx="55">
                  <c:v>4.4575502794245115E-5</c:v>
                </c:pt>
                <c:pt idx="56">
                  <c:v>4.4594827316426209E-5</c:v>
                </c:pt>
                <c:pt idx="57">
                  <c:v>0</c:v>
                </c:pt>
                <c:pt idx="58">
                  <c:v>0</c:v>
                </c:pt>
                <c:pt idx="59">
                  <c:v>2.1861572183192855E-5</c:v>
                </c:pt>
                <c:pt idx="60">
                  <c:v>4.2899065571198987E-5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9.0853355464470525E-3</c:v>
                </c:pt>
                <c:pt idx="4">
                  <c:v>9.6570500708005984E-3</c:v>
                </c:pt>
                <c:pt idx="5">
                  <c:v>3.850620922030467E-2</c:v>
                </c:pt>
                <c:pt idx="6">
                  <c:v>1.9163894738276097E-2</c:v>
                </c:pt>
                <c:pt idx="7">
                  <c:v>6.298629509591705E-2</c:v>
                </c:pt>
                <c:pt idx="8">
                  <c:v>1.7435779068205568E-2</c:v>
                </c:pt>
                <c:pt idx="9">
                  <c:v>6.2801528245028772E-3</c:v>
                </c:pt>
                <c:pt idx="10">
                  <c:v>1.2549558525019587E-2</c:v>
                </c:pt>
                <c:pt idx="11">
                  <c:v>6.4753344533339313E-3</c:v>
                </c:pt>
                <c:pt idx="12">
                  <c:v>5.8443264172557945E-3</c:v>
                </c:pt>
                <c:pt idx="13">
                  <c:v>2.7507784106558852E-2</c:v>
                </c:pt>
                <c:pt idx="14">
                  <c:v>9.63469808179232E-3</c:v>
                </c:pt>
                <c:pt idx="15">
                  <c:v>6.6189945978821427E-3</c:v>
                </c:pt>
                <c:pt idx="16">
                  <c:v>5.6235487714261165E-2</c:v>
                </c:pt>
                <c:pt idx="17">
                  <c:v>1.4605332759904799E-2</c:v>
                </c:pt>
                <c:pt idx="18">
                  <c:v>9.2250435929494071E-2</c:v>
                </c:pt>
                <c:pt idx="19">
                  <c:v>5.5956145922861272E-2</c:v>
                </c:pt>
                <c:pt idx="20">
                  <c:v>5.3112209995808519E-2</c:v>
                </c:pt>
                <c:pt idx="21">
                  <c:v>4.3118867798544402E-2</c:v>
                </c:pt>
                <c:pt idx="22">
                  <c:v>6.8658777631719084E-2</c:v>
                </c:pt>
                <c:pt idx="23">
                  <c:v>3.2702649553241044E-2</c:v>
                </c:pt>
                <c:pt idx="24">
                  <c:v>4.2012675638739623E-2</c:v>
                </c:pt>
                <c:pt idx="25">
                  <c:v>9.7228185762987945E-3</c:v>
                </c:pt>
                <c:pt idx="26">
                  <c:v>3.6670841774160141E-2</c:v>
                </c:pt>
                <c:pt idx="27">
                  <c:v>6.4195260207810505E-3</c:v>
                </c:pt>
                <c:pt idx="28">
                  <c:v>1.6050890960114229E-2</c:v>
                </c:pt>
                <c:pt idx="29">
                  <c:v>9.2764012580525967E-3</c:v>
                </c:pt>
                <c:pt idx="30">
                  <c:v>3.0741592790771943E-2</c:v>
                </c:pt>
                <c:pt idx="31">
                  <c:v>3.5617769798377719E-2</c:v>
                </c:pt>
                <c:pt idx="32">
                  <c:v>4.532376203188266E-3</c:v>
                </c:pt>
                <c:pt idx="33">
                  <c:v>1.6344690135114685E-2</c:v>
                </c:pt>
                <c:pt idx="34">
                  <c:v>1.8985855099486346E-2</c:v>
                </c:pt>
                <c:pt idx="35">
                  <c:v>8.1902119907984461E-3</c:v>
                </c:pt>
                <c:pt idx="36">
                  <c:v>2.1888502048827796E-3</c:v>
                </c:pt>
                <c:pt idx="37">
                  <c:v>4.6679318844767143E-3</c:v>
                </c:pt>
                <c:pt idx="38">
                  <c:v>5.0968816036712364E-3</c:v>
                </c:pt>
                <c:pt idx="39">
                  <c:v>5.7899285244128436E-3</c:v>
                </c:pt>
                <c:pt idx="40">
                  <c:v>3.3111977914184552E-3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4.7323981870503379E-2</c:v>
                </c:pt>
                <c:pt idx="46">
                  <c:v>8.6635163970915415E-4</c:v>
                </c:pt>
                <c:pt idx="47">
                  <c:v>0</c:v>
                </c:pt>
                <c:pt idx="48">
                  <c:v>1.228949757365067E-2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8.6872782114671347E-4</c:v>
                </c:pt>
                <c:pt idx="55">
                  <c:v>0</c:v>
                </c:pt>
                <c:pt idx="56">
                  <c:v>5.4190362779547802E-3</c:v>
                </c:pt>
                <c:pt idx="57">
                  <c:v>1.9364339369021558E-2</c:v>
                </c:pt>
                <c:pt idx="58">
                  <c:v>0</c:v>
                </c:pt>
                <c:pt idx="59">
                  <c:v>0</c:v>
                </c:pt>
                <c:pt idx="60">
                  <c:v>1.1696576317034365E-3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2.3168883963101912E-2</c:v>
                </c:pt>
                <c:pt idx="1">
                  <c:v>4.0990351995510078E-2</c:v>
                </c:pt>
                <c:pt idx="2">
                  <c:v>4.4260106614541626E-2</c:v>
                </c:pt>
                <c:pt idx="3">
                  <c:v>4.2567093463005641E-2</c:v>
                </c:pt>
                <c:pt idx="4">
                  <c:v>4.1142947448507862E-2</c:v>
                </c:pt>
                <c:pt idx="5">
                  <c:v>3.4411985048356117E-2</c:v>
                </c:pt>
                <c:pt idx="6">
                  <c:v>3.185120034860809E-2</c:v>
                </c:pt>
                <c:pt idx="7">
                  <c:v>2.7532521419497694E-2</c:v>
                </c:pt>
                <c:pt idx="8">
                  <c:v>2.3815616371208163E-2</c:v>
                </c:pt>
                <c:pt idx="9">
                  <c:v>2.1989649639380299E-2</c:v>
                </c:pt>
                <c:pt idx="10">
                  <c:v>1.8425866990736811E-2</c:v>
                </c:pt>
                <c:pt idx="11">
                  <c:v>1.7671642024095512E-2</c:v>
                </c:pt>
                <c:pt idx="12">
                  <c:v>1.4412309325117931E-2</c:v>
                </c:pt>
                <c:pt idx="13">
                  <c:v>1.2756748919781973E-2</c:v>
                </c:pt>
                <c:pt idx="14">
                  <c:v>1.0979436672049215E-2</c:v>
                </c:pt>
                <c:pt idx="15">
                  <c:v>1.0551708167810814E-2</c:v>
                </c:pt>
                <c:pt idx="16">
                  <c:v>8.9270533999695617E-3</c:v>
                </c:pt>
                <c:pt idx="17">
                  <c:v>7.8429433516994471E-3</c:v>
                </c:pt>
                <c:pt idx="18">
                  <c:v>9.284803358437145E-2</c:v>
                </c:pt>
                <c:pt idx="19">
                  <c:v>3.0154159859705536E-2</c:v>
                </c:pt>
                <c:pt idx="20">
                  <c:v>3.1439185147919123E-2</c:v>
                </c:pt>
                <c:pt idx="21">
                  <c:v>4.7303272378251347E-2</c:v>
                </c:pt>
                <c:pt idx="22">
                  <c:v>3.9113778072632582E-2</c:v>
                </c:pt>
                <c:pt idx="23">
                  <c:v>2.7252313097485929E-2</c:v>
                </c:pt>
                <c:pt idx="24">
                  <c:v>2.8312361561179129E-2</c:v>
                </c:pt>
                <c:pt idx="25">
                  <c:v>2.7093076063579406E-2</c:v>
                </c:pt>
                <c:pt idx="26">
                  <c:v>2.3294901735035855E-2</c:v>
                </c:pt>
                <c:pt idx="27">
                  <c:v>1.6683605771768566E-2</c:v>
                </c:pt>
                <c:pt idx="28">
                  <c:v>1.6046614238362285E-2</c:v>
                </c:pt>
                <c:pt idx="29">
                  <c:v>1.6873907121403429E-2</c:v>
                </c:pt>
                <c:pt idx="30">
                  <c:v>1.4431399702242402E-2</c:v>
                </c:pt>
                <c:pt idx="31">
                  <c:v>1.2786832426726274E-2</c:v>
                </c:pt>
                <c:pt idx="32">
                  <c:v>1.7131793560905578E-2</c:v>
                </c:pt>
                <c:pt idx="33">
                  <c:v>1.0401205859741823E-2</c:v>
                </c:pt>
                <c:pt idx="34">
                  <c:v>1.1604997371555053E-2</c:v>
                </c:pt>
                <c:pt idx="35">
                  <c:v>1.0157919033649546E-2</c:v>
                </c:pt>
                <c:pt idx="36">
                  <c:v>8.4764265183629572E-3</c:v>
                </c:pt>
                <c:pt idx="37">
                  <c:v>6.7842421195738259E-3</c:v>
                </c:pt>
                <c:pt idx="38">
                  <c:v>8.9407924975411952E-3</c:v>
                </c:pt>
                <c:pt idx="39">
                  <c:v>7.5636079715585211E-3</c:v>
                </c:pt>
                <c:pt idx="40">
                  <c:v>6.8457869367112159E-3</c:v>
                </c:pt>
                <c:pt idx="41">
                  <c:v>5.7857052867726494E-3</c:v>
                </c:pt>
                <c:pt idx="42">
                  <c:v>5.7369209975701224E-3</c:v>
                </c:pt>
                <c:pt idx="43">
                  <c:v>4.1576165470150524E-3</c:v>
                </c:pt>
                <c:pt idx="44">
                  <c:v>3.9349360233544486E-3</c:v>
                </c:pt>
                <c:pt idx="45">
                  <c:v>3.4151119718163997E-3</c:v>
                </c:pt>
                <c:pt idx="46">
                  <c:v>3.712866898844393E-3</c:v>
                </c:pt>
                <c:pt idx="47">
                  <c:v>2.6368934664527553E-3</c:v>
                </c:pt>
                <c:pt idx="48">
                  <c:v>2.0694767299228689E-3</c:v>
                </c:pt>
                <c:pt idx="49">
                  <c:v>2.073536837555364E-3</c:v>
                </c:pt>
                <c:pt idx="50">
                  <c:v>2.4351544990118506E-3</c:v>
                </c:pt>
                <c:pt idx="51">
                  <c:v>2.450194878113572E-3</c:v>
                </c:pt>
                <c:pt idx="52">
                  <c:v>1.6864410453664653E-3</c:v>
                </c:pt>
                <c:pt idx="53">
                  <c:v>1.6323437415320845E-3</c:v>
                </c:pt>
                <c:pt idx="54">
                  <c:v>1.2457671443351207E-3</c:v>
                </c:pt>
                <c:pt idx="55">
                  <c:v>1.265364001220801E-3</c:v>
                </c:pt>
                <c:pt idx="56">
                  <c:v>1.2195518515200597E-3</c:v>
                </c:pt>
                <c:pt idx="57">
                  <c:v>1.5348514741843652E-3</c:v>
                </c:pt>
                <c:pt idx="58">
                  <c:v>1.3813198424011319E-3</c:v>
                </c:pt>
                <c:pt idx="59">
                  <c:v>1.1293605305458829E-3</c:v>
                </c:pt>
                <c:pt idx="60">
                  <c:v>4.4463770189423219E-4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O10" sqref="O10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10443.7812211578</v>
      </c>
      <c r="C11" s="10">
        <f>B11/B$102</f>
        <v>4.642460071320529E-2</v>
      </c>
      <c r="E11" s="18">
        <v>0</v>
      </c>
      <c r="F11" s="248" t="n">
        <v>41018.03698357025</v>
      </c>
      <c r="G11" s="10">
        <f>F11/F$102</f>
        <v>0.18873648135888482</v>
      </c>
      <c r="K11" s="8" t="n">
        <v>6.88784906943493</v>
      </c>
      <c r="L11" s="8" t="n">
        <v>6.548078544013352</v>
      </c>
    </row>
    <row r="12" spans="1:12" x14ac:dyDescent="0.25">
      <c r="A12">
        <v>1</v>
      </c>
      <c r="B12" s="246" t="n">
        <v>15937.7795198576</v>
      </c>
      <c r="C12" s="10">
        <f>B12/B$102</f>
        <v>7.0846471674984382E-2</v>
      </c>
      <c r="E12" s="19">
        <v>1</v>
      </c>
      <c r="F12" s="248" t="n">
        <v>23747.43470326812</v>
      </c>
      <c r="G12" s="10">
        <f>F12/F$102</f>
        <v>0.10486565064114836</v>
      </c>
      <c r="K12" s="8"/>
      <c r="L12" s="198"/>
    </row>
    <row r="13" spans="1:12" x14ac:dyDescent="0.25">
      <c r="A13">
        <v>2</v>
      </c>
      <c r="B13" s="246" t="n">
        <v>12657.4760069762</v>
      </c>
      <c r="C13" s="10">
        <f ref="C13:C76" si="0" t="shared">B13/B$102</f>
        <v>5.6264896517595052E-2</v>
      </c>
      <c r="E13" s="20">
        <v>2</v>
      </c>
      <c r="F13" s="248" t="n">
        <v>14464.74708661961</v>
      </c>
      <c r="G13" s="10">
        <f ref="G13:G76" si="1" t="shared">F13/F$102</f>
        <v>6.7579913141851689E-2</v>
      </c>
    </row>
    <row r="14" spans="1:12" x14ac:dyDescent="0.25">
      <c r="A14">
        <v>3</v>
      </c>
      <c r="B14" s="246" t="n">
        <v>23152.2803822939</v>
      </c>
      <c r="C14" s="10">
        <f si="0" t="shared"/>
        <v>0.10291630488875883</v>
      </c>
      <c r="E14" s="21">
        <v>3</v>
      </c>
      <c r="F14" s="248" t="n">
        <v>8072.267549525238</v>
      </c>
      <c r="G14" s="10">
        <f si="1" t="shared"/>
        <v>3.8836763686725263E-2</v>
      </c>
    </row>
    <row r="15" spans="1:12" x14ac:dyDescent="0.25">
      <c r="A15">
        <v>4</v>
      </c>
      <c r="B15" s="246" t="n">
        <v>38295.8132455448</v>
      </c>
      <c r="C15" s="10">
        <f si="0" t="shared"/>
        <v>0.17023219859394956</v>
      </c>
      <c r="E15" s="22">
        <v>4</v>
      </c>
      <c r="F15" s="248" t="n">
        <v>29964.704279845777</v>
      </c>
      <c r="G15" s="10">
        <f si="1" t="shared"/>
        <v>0.13514160417415419</v>
      </c>
    </row>
    <row r="16" spans="1:12" x14ac:dyDescent="0.25">
      <c r="A16">
        <v>5</v>
      </c>
      <c r="B16" s="246" t="n">
        <v>30113.6119753438</v>
      </c>
      <c r="C16" s="10">
        <f si="0" t="shared"/>
        <v>0.1338607523830099</v>
      </c>
      <c r="E16" s="23">
        <v>5</v>
      </c>
      <c r="F16" s="248" t="n">
        <v>18520.426865850524</v>
      </c>
      <c r="G16" s="10">
        <f si="1" t="shared"/>
        <v>8.2112780017158535E-2</v>
      </c>
    </row>
    <row r="17" spans="1:7" x14ac:dyDescent="0.25">
      <c r="A17">
        <v>6</v>
      </c>
      <c r="B17" s="246" t="n">
        <v>24343.8135416979</v>
      </c>
      <c r="C17" s="10">
        <f si="0" t="shared"/>
        <v>0.10821289718521659</v>
      </c>
      <c r="E17" s="24">
        <v>6</v>
      </c>
      <c r="F17" s="248" t="n">
        <v>15273.503613199866</v>
      </c>
      <c r="G17" s="10">
        <f si="1" t="shared"/>
        <v>7.0534538940946273E-2</v>
      </c>
    </row>
    <row r="18" spans="1:7" x14ac:dyDescent="0.25">
      <c r="A18">
        <v>7</v>
      </c>
      <c r="B18" s="246" t="n">
        <v>8311.7366978515</v>
      </c>
      <c r="C18" s="10">
        <f si="0" t="shared"/>
        <v>3.6947255908552419E-2</v>
      </c>
      <c r="E18" s="25">
        <v>7</v>
      </c>
      <c r="F18" s="248" t="n">
        <v>7791.651984228728</v>
      </c>
      <c r="G18" s="10">
        <f si="1" t="shared"/>
        <v>3.8921060417257687E-2</v>
      </c>
    </row>
    <row r="19" spans="1:7" x14ac:dyDescent="0.25">
      <c r="A19">
        <v>8</v>
      </c>
      <c r="B19" s="246" t="n">
        <v>3208.1913377191</v>
      </c>
      <c r="C19" s="10">
        <f si="0" t="shared"/>
        <v>1.4261022776256677E-2</v>
      </c>
      <c r="E19" s="26">
        <v>8</v>
      </c>
      <c r="F19" s="248" t="n">
        <v>9725.734394439478</v>
      </c>
      <c r="G19" s="10">
        <f si="1" t="shared"/>
        <v>4.145166535641525E-2</v>
      </c>
    </row>
    <row r="20" spans="1:7" x14ac:dyDescent="0.25">
      <c r="A20">
        <v>9</v>
      </c>
      <c r="B20" s="246" t="n">
        <v>5598.5403800948</v>
      </c>
      <c r="C20" s="10">
        <f si="0" t="shared"/>
        <v>2.4886580465331116E-2</v>
      </c>
      <c r="E20" s="27">
        <v>9</v>
      </c>
      <c r="F20" s="248" t="n">
        <v>6159.301195092754</v>
      </c>
      <c r="G20" s="10">
        <f si="1" t="shared"/>
        <v>2.9730887415396447E-2</v>
      </c>
    </row>
    <row r="21" spans="1:7" x14ac:dyDescent="0.25">
      <c r="A21">
        <v>10</v>
      </c>
      <c r="B21" s="246" t="n">
        <v>10320.6085837997</v>
      </c>
      <c r="C21" s="10">
        <f si="0" t="shared"/>
        <v>4.5877074832774381E-2</v>
      </c>
      <c r="E21" s="28">
        <v>10</v>
      </c>
      <c r="F21" s="248" t="n">
        <v>3483.287874382707</v>
      </c>
      <c r="G21" s="10">
        <f si="1" t="shared"/>
        <v>1.8237588699314432E-2</v>
      </c>
    </row>
    <row r="22" spans="1:7" x14ac:dyDescent="0.25">
      <c r="A22">
        <v>11</v>
      </c>
      <c r="B22" s="246" t="n">
        <v>4437.065708914</v>
      </c>
      <c r="C22" s="10">
        <f si="0" t="shared"/>
        <v>1.9723603885657769E-2</v>
      </c>
      <c r="E22" s="29">
        <v>11</v>
      </c>
      <c r="F22" s="248" t="n">
        <v>3737.766956392569</v>
      </c>
      <c r="G22" s="10">
        <f si="1" t="shared"/>
        <v>1.7138873828807685E-2</v>
      </c>
    </row>
    <row r="23" spans="1:7" x14ac:dyDescent="0.25">
      <c r="A23">
        <v>12</v>
      </c>
      <c r="B23" s="246" t="n">
        <v>7055.822490588</v>
      </c>
      <c r="C23" s="10">
        <f si="0" t="shared"/>
        <v>3.136447756730084E-2</v>
      </c>
      <c r="E23" s="30">
        <v>12</v>
      </c>
      <c r="F23" s="248" t="n">
        <v>3268.5542663708716</v>
      </c>
      <c r="G23" s="10">
        <f si="1" t="shared"/>
        <v>1.7039991382825984E-2</v>
      </c>
    </row>
    <row r="24" spans="1:7" x14ac:dyDescent="0.25">
      <c r="A24">
        <v>13</v>
      </c>
      <c r="B24" s="246" t="n">
        <v>7177.130722202401</v>
      </c>
      <c r="C24" s="10">
        <f si="0" t="shared"/>
        <v>3.1903715808381042E-2</v>
      </c>
      <c r="E24" s="31">
        <v>13</v>
      </c>
      <c r="F24" s="248" t="n">
        <v>3416.190651360905</v>
      </c>
      <c r="G24" s="10">
        <f si="1" t="shared"/>
        <v>1.5413623768248485E-2</v>
      </c>
    </row>
    <row r="25" spans="1:7" x14ac:dyDescent="0.25">
      <c r="A25">
        <v>14</v>
      </c>
      <c r="B25" s="246" t="n">
        <v>2354.858463509</v>
      </c>
      <c r="C25" s="10">
        <f si="0" t="shared"/>
        <v>1.0467795292670621E-2</v>
      </c>
      <c r="E25" s="32">
        <v>14</v>
      </c>
      <c r="F25" s="248" t="n">
        <v>3218.110979964889</v>
      </c>
      <c r="G25" s="10">
        <f si="1" t="shared"/>
        <v>1.4861089125675726E-2</v>
      </c>
    </row>
    <row r="26" spans="1:7" x14ac:dyDescent="0.25">
      <c r="A26">
        <v>15</v>
      </c>
      <c r="B26" s="246" t="n">
        <v>4185.475136309</v>
      </c>
      <c r="C26" s="10">
        <f si="0" t="shared"/>
        <v>1.8605235774620397E-2</v>
      </c>
      <c r="E26" s="33">
        <v>15</v>
      </c>
      <c r="F26" s="248" t="n">
        <v>2678.7179596173805</v>
      </c>
      <c r="G26" s="10">
        <f si="1" t="shared"/>
        <v>1.2241275827894409E-2</v>
      </c>
    </row>
    <row r="27" spans="1:7" x14ac:dyDescent="0.25">
      <c r="A27">
        <v>16</v>
      </c>
      <c r="B27" s="246" t="n">
        <v>2863.698957036</v>
      </c>
      <c r="C27" s="10">
        <f si="0" t="shared"/>
        <v>1.2729688398095369E-2</v>
      </c>
      <c r="E27" s="34">
        <v>16</v>
      </c>
      <c r="F27" s="248" t="n">
        <v>3449.6122194842646</v>
      </c>
      <c r="G27" s="10">
        <f si="1" t="shared"/>
        <v>1.7885761338384171E-2</v>
      </c>
    </row>
    <row r="28" spans="1:7" x14ac:dyDescent="0.25">
      <c r="A28">
        <v>17</v>
      </c>
      <c r="B28" s="246" t="n">
        <v>1852.840395828</v>
      </c>
      <c r="C28" s="10">
        <f si="0" t="shared"/>
        <v>8.2362291721844623E-3</v>
      </c>
      <c r="E28" s="35">
        <v>17</v>
      </c>
      <c r="F28" s="248" t="n">
        <v>2197.296218737654</v>
      </c>
      <c r="G28" s="10">
        <f si="1" t="shared"/>
        <v>1.0799328614224153E-2</v>
      </c>
    </row>
    <row r="29" spans="1:7" x14ac:dyDescent="0.25">
      <c r="A29">
        <v>18</v>
      </c>
      <c r="B29" s="246" t="n">
        <v>3109.493426527</v>
      </c>
      <c r="C29" s="10">
        <f si="0" t="shared"/>
        <v>1.3822291724610549E-2</v>
      </c>
      <c r="E29" s="36">
        <v>18</v>
      </c>
      <c r="F29" s="248" t="n">
        <v>2144.131301423868</v>
      </c>
      <c r="G29" s="10">
        <f si="1" t="shared"/>
        <v>9.089827115869531E-3</v>
      </c>
    </row>
    <row r="30" spans="1:7" x14ac:dyDescent="0.25">
      <c r="A30">
        <v>19</v>
      </c>
      <c r="B30" s="246" t="n">
        <v>92.2295488388</v>
      </c>
      <c r="C30" s="10">
        <f si="0" t="shared"/>
        <v>4.0997794650524897E-4</v>
      </c>
      <c r="E30" s="37">
        <v>19</v>
      </c>
      <c r="F30" s="248" t="n">
        <v>1742.6100796919152</v>
      </c>
      <c r="G30" s="10">
        <f si="1" t="shared"/>
        <v>7.8285694564711877E-3</v>
      </c>
    </row>
    <row r="31" spans="1:7" x14ac:dyDescent="0.25">
      <c r="A31">
        <v>20</v>
      </c>
      <c r="B31" s="246" t="n">
        <v>0.0</v>
      </c>
      <c r="C31" s="10">
        <f si="0" t="shared"/>
        <v>0</v>
      </c>
      <c r="E31" s="38">
        <v>20</v>
      </c>
      <c r="F31" s="248" t="n">
        <v>1355.0010473591199</v>
      </c>
      <c r="G31" s="10">
        <f si="1" t="shared"/>
        <v>6.583955957644879E-3</v>
      </c>
    </row>
    <row r="32" spans="1:7" x14ac:dyDescent="0.25">
      <c r="A32">
        <v>21</v>
      </c>
      <c r="B32" s="246" t="n">
        <v>309.09957052560003</v>
      </c>
      <c r="C32" s="10">
        <f si="0" t="shared"/>
        <v>1.3740065823289425E-3</v>
      </c>
      <c r="E32" s="39">
        <v>21</v>
      </c>
      <c r="F32" s="248" t="n">
        <v>1446.51019683903</v>
      </c>
      <c r="G32" s="10">
        <f si="1" t="shared"/>
        <v>5.6185693551080362E-3</v>
      </c>
    </row>
    <row r="33" spans="1:7" x14ac:dyDescent="0.25">
      <c r="A33">
        <v>22</v>
      </c>
      <c r="B33" s="246" t="n">
        <v>2139.948876604</v>
      </c>
      <c r="C33" s="10">
        <f si="0" t="shared"/>
        <v>9.5124811635990368E-3</v>
      </c>
      <c r="E33" s="40">
        <v>22</v>
      </c>
      <c r="F33" s="248" t="n">
        <v>1365.4909428918975</v>
      </c>
      <c r="G33" s="10">
        <f si="1" t="shared"/>
        <v>6.5591993023559423E-3</v>
      </c>
    </row>
    <row r="34" spans="1:7" x14ac:dyDescent="0.25">
      <c r="A34">
        <v>23</v>
      </c>
      <c r="B34" s="246" t="n">
        <v>63.479249788</v>
      </c>
      <c r="C34" s="10">
        <f si="0" t="shared"/>
        <v>2.8217738025873893E-4</v>
      </c>
      <c r="E34" s="41">
        <v>23</v>
      </c>
      <c r="F34" s="248" t="n">
        <v>1223.4801233819696</v>
      </c>
      <c r="G34" s="10">
        <f si="1" t="shared"/>
        <v>6.3970375271823676E-3</v>
      </c>
    </row>
    <row r="35" spans="1:7" x14ac:dyDescent="0.25">
      <c r="A35">
        <v>24</v>
      </c>
      <c r="B35" s="246" t="n">
        <v>897.8349498770001</v>
      </c>
      <c r="C35" s="10">
        <f si="0" t="shared"/>
        <v>3.9910477031018824E-3</v>
      </c>
      <c r="E35" s="42">
        <v>24</v>
      </c>
      <c r="F35" s="248" t="n">
        <v>1209.3213816967911</v>
      </c>
      <c r="G35" s="10">
        <f si="1" t="shared"/>
        <v>5.4190160701149889E-3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43">
        <v>25</v>
      </c>
      <c r="F36" s="248" t="n">
        <v>1176.9148942820136</v>
      </c>
      <c r="G36" s="10">
        <f si="1" t="shared"/>
        <v>4.3139943205034396E-3</v>
      </c>
    </row>
    <row r="37" spans="1:7" x14ac:dyDescent="0.25">
      <c r="A37">
        <v>26</v>
      </c>
      <c r="B37" s="246" t="n">
        <v>0.0</v>
      </c>
      <c r="C37" s="10">
        <f si="0" t="shared"/>
        <v>0</v>
      </c>
      <c r="E37" s="44">
        <v>26</v>
      </c>
      <c r="F37" s="248" t="n">
        <v>631.5147286194788</v>
      </c>
      <c r="G37" s="10">
        <f si="1" t="shared"/>
        <v>2.8147068015581759E-3</v>
      </c>
    </row>
    <row r="38" spans="1:7" x14ac:dyDescent="0.25">
      <c r="A38">
        <v>27</v>
      </c>
      <c r="B38" s="246" t="n">
        <v>4.5575</v>
      </c>
      <c r="C38" s="10">
        <f si="0" t="shared"/>
        <v>2.0258957294298558E-5</v>
      </c>
      <c r="E38" s="45">
        <v>27</v>
      </c>
      <c r="F38" s="248" t="n">
        <v>631.6395757841988</v>
      </c>
      <c r="G38" s="10">
        <f si="1" t="shared"/>
        <v>3.6848683640027485E-3</v>
      </c>
    </row>
    <row r="39" spans="1:7" x14ac:dyDescent="0.25">
      <c r="A39">
        <v>28</v>
      </c>
      <c r="B39" s="246" t="n">
        <v>0.0</v>
      </c>
      <c r="C39" s="10">
        <f si="0" t="shared"/>
        <v>0</v>
      </c>
      <c r="E39" s="46">
        <v>28</v>
      </c>
      <c r="F39" s="248" t="n">
        <v>571.4161496488714</v>
      </c>
      <c r="G39" s="10">
        <f si="1" t="shared"/>
        <v>2.4233239875231663E-3</v>
      </c>
    </row>
    <row r="40" spans="1:7" x14ac:dyDescent="0.25">
      <c r="A40">
        <v>29</v>
      </c>
      <c r="B40" s="246" t="n">
        <v>0.0</v>
      </c>
      <c r="C40" s="10">
        <f si="0" t="shared"/>
        <v>0</v>
      </c>
      <c r="E40" s="47">
        <v>29</v>
      </c>
      <c r="F40" s="248" t="n">
        <v>471.9854624616507</v>
      </c>
      <c r="G40" s="10">
        <f si="1" t="shared"/>
        <v>2.6461423846419418E-3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355.45388774754696</v>
      </c>
      <c r="G41" s="10">
        <f si="1" t="shared"/>
        <v>1.63347484212328E-3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49">
        <v>31</v>
      </c>
      <c r="F42" s="248" t="n">
        <v>349.0321471018725</v>
      </c>
      <c r="G42" s="10">
        <f si="1" t="shared"/>
        <v>1.8387103826725535E-3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307.17036911965187</v>
      </c>
      <c r="G43" s="10">
        <f si="1" t="shared"/>
        <v>1.4420293992587396E-3</v>
      </c>
    </row>
    <row r="44" spans="1:7" x14ac:dyDescent="0.25">
      <c r="A44">
        <v>33</v>
      </c>
      <c r="B44" s="246" t="n">
        <v>0.0</v>
      </c>
      <c r="C44" s="10">
        <f si="0" t="shared"/>
        <v>0</v>
      </c>
      <c r="E44" s="51">
        <v>33</v>
      </c>
      <c r="F44" s="248" t="n">
        <v>266.41899702057856</v>
      </c>
      <c r="G44" s="10">
        <f si="1" t="shared"/>
        <v>1.238503773249261E-3</v>
      </c>
    </row>
    <row r="45" spans="1:7" x14ac:dyDescent="0.25">
      <c r="A45">
        <v>34</v>
      </c>
      <c r="B45" s="246" t="n">
        <v>4291.0185</v>
      </c>
      <c r="C45" s="10">
        <f si="0" t="shared"/>
        <v>1.9074396169071871E-2</v>
      </c>
      <c r="E45" s="52">
        <v>34</v>
      </c>
      <c r="F45" s="248" t="n">
        <v>204.6085646137697</v>
      </c>
      <c r="G45" s="10">
        <f si="1" t="shared"/>
        <v>1.1589967292851501E-3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216.39999543341742</v>
      </c>
      <c r="G46" s="10">
        <f si="1" t="shared"/>
        <v>1.2122023690585783E-3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261.5242673516878</v>
      </c>
      <c r="G47" s="10">
        <f si="1" t="shared"/>
        <v>1.1714925993072469E-3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55">
        <v>37</v>
      </c>
      <c r="F48" s="248" t="n">
        <v>126.82792265108314</v>
      </c>
      <c r="G48" s="10">
        <f si="1" t="shared"/>
        <v>8.175936912349518E-4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185.17739311383198</v>
      </c>
      <c r="G49" s="10">
        <f si="1" t="shared"/>
        <v>6.1010614425272827E-4</v>
      </c>
    </row>
    <row r="50" spans="1:7" x14ac:dyDescent="0.25">
      <c r="A50">
        <v>39</v>
      </c>
      <c r="B50" s="246" t="n">
        <v>65.2262658228</v>
      </c>
      <c r="C50" s="10">
        <f si="0" t="shared"/>
        <v>2.8994319994968092E-4</v>
      </c>
      <c r="E50" s="57">
        <v>39</v>
      </c>
      <c r="F50" s="248" t="n">
        <v>184.985877922321</v>
      </c>
      <c r="G50" s="10">
        <f si="1" t="shared"/>
        <v>8.3560019495890398E-4</v>
      </c>
    </row>
    <row r="51" spans="1:7" x14ac:dyDescent="0.25">
      <c r="A51">
        <v>40</v>
      </c>
      <c r="B51" s="246" t="n">
        <v>417.967608267</v>
      </c>
      <c r="C51" s="10">
        <f si="0" t="shared"/>
        <v>1.8579457874451479E-3</v>
      </c>
      <c r="E51" s="58">
        <v>40</v>
      </c>
      <c r="F51" s="248" t="n">
        <v>99.53786451548446</v>
      </c>
      <c r="G51" s="10">
        <f si="1" t="shared"/>
        <v>7.0120043170171346E-4</v>
      </c>
    </row>
    <row r="52" spans="1:7" x14ac:dyDescent="0.25">
      <c r="A52">
        <v>41</v>
      </c>
      <c r="B52" s="246" t="n">
        <v>1219.07842926</v>
      </c>
      <c r="C52" s="10">
        <f si="0" t="shared"/>
        <v>5.4190362779547785E-3</v>
      </c>
      <c r="E52" s="59">
        <v>41</v>
      </c>
      <c r="F52" s="248" t="n">
        <v>141.68469781331535</v>
      </c>
      <c r="G52" s="10">
        <f si="1" t="shared"/>
        <v>5.3227784278381469E-4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38.73704703399702</v>
      </c>
      <c r="G53" s="10">
        <f si="1" t="shared"/>
        <v>1.9861779176816728E-4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39.61848205422619</v>
      </c>
      <c r="G54" s="10">
        <f si="1" t="shared"/>
        <v>1.9733247007876385E-4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48.70672578313195</v>
      </c>
      <c r="G55" s="10">
        <f si="1" t="shared"/>
        <v>1.9953447068288E-4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29.622439229134955</v>
      </c>
      <c r="G56" s="10">
        <f si="1" t="shared"/>
        <v>2.3680087789038971E-4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21.34246893502634</v>
      </c>
      <c r="G57" s="10">
        <f si="1" t="shared"/>
        <v>1.0884219751421786E-4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26.669745467887847</v>
      </c>
      <c r="G58" s="10">
        <f si="1" t="shared"/>
        <v>9.7133203504117522E-5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19.476470724475195</v>
      </c>
      <c r="G59" s="10">
        <f si="1" t="shared"/>
        <v>1.1120522628098317E-4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27.6336154463881</v>
      </c>
      <c r="G60" s="10">
        <f si="1" t="shared"/>
        <v>1.7590857045545515E-4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35.22510648489579</v>
      </c>
      <c r="G61" s="10">
        <f si="1" t="shared"/>
        <v>1.1217913666358913E-4</v>
      </c>
    </row>
    <row r="62" spans="1:7" x14ac:dyDescent="0.25">
      <c r="A62">
        <v>51</v>
      </c>
      <c r="B62" s="246" t="n">
        <v>41.7609222283</v>
      </c>
      <c r="C62" s="10">
        <f si="0" t="shared"/>
        <v>1.8563526933486625E-4</v>
      </c>
      <c r="E62" s="69">
        <v>51</v>
      </c>
      <c r="F62" s="248" t="n">
        <v>18.945639008796768</v>
      </c>
      <c r="G62" s="10">
        <f si="1" t="shared"/>
        <v>1.3290490791643926E-4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14.873465942765879</v>
      </c>
      <c r="G63" s="10">
        <f si="1" t="shared"/>
        <v>8.8289972743028143E-5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9.632811803905106</v>
      </c>
      <c r="G64" s="10">
        <f si="1" t="shared"/>
        <v>4.3373368570004398E-5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4.6</v>
      </c>
      <c r="G65" s="10">
        <f si="1" t="shared"/>
        <v>4.3670059890011746E-5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7.133787413661082</v>
      </c>
      <c r="G66" s="10">
        <f si="1" t="shared"/>
        <v>4.4575502794245115E-5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3.4499999999999997</v>
      </c>
      <c r="G67" s="10">
        <f si="1" t="shared"/>
        <v>4.4594827316426209E-5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2.3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1.526736582356582</v>
      </c>
      <c r="G69" s="10">
        <f si="1" t="shared"/>
        <v>0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0.0</v>
      </c>
      <c r="G70" s="10">
        <f si="1" t="shared"/>
        <v>2.1861572183192855E-5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2.3</v>
      </c>
      <c r="G71" s="10">
        <f si="1" t="shared"/>
        <v>4.2899065571198987E-5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1.15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0.231470973374108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0.0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0.0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2.3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0.0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0.0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2.3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0.0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0.0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0.0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0.0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0.0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0.0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0.0</v>
      </c>
      <c r="G101" s="10">
        <f si="3" t="shared"/>
        <v>0</v>
      </c>
    </row>
    <row r="102" spans="1:7" x14ac:dyDescent="0.25">
      <c r="B102" s="246">
        <f>SUM(B11:B101)</f>
        <v>224962.21961446205</v>
      </c>
      <c r="C102" s="10">
        <f si="2" t="shared"/>
        <v>1</v>
      </c>
      <c r="F102" s="246">
        <f>SUM(F11:F101)</f>
        <v>229608.73083941865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4973.088921563</v>
      </c>
      <c r="G11" s="10">
        <f>F11/F$102</f>
        <v>2.3168883963101912E-2</v>
      </c>
      <c r="K11" s="8" t="n">
        <v>22.472379055464014</v>
      </c>
      <c r="L11" s="8" t="n">
        <v>18.23641446382167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8744.841646954332</v>
      </c>
      <c r="G12" s="10">
        <f>F12/F$102</f>
        <v>4.0990351995510078E-2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0</v>
      </c>
      <c r="E13" s="110">
        <v>2</v>
      </c>
      <c r="F13" s="248" t="n">
        <v>9638.581736902745</v>
      </c>
      <c r="G13" s="10">
        <f ref="G13:G76" si="1" t="shared">F13/F$102</f>
        <v>4.4260106614541626E-2</v>
      </c>
    </row>
    <row r="14" spans="1:12" x14ac:dyDescent="0.25">
      <c r="A14">
        <v>3</v>
      </c>
      <c r="B14" s="246" t="n">
        <v>2043.8572504709</v>
      </c>
      <c r="C14" s="10">
        <f si="0" t="shared"/>
        <v>9.0853355464470525E-3</v>
      </c>
      <c r="E14" s="111">
        <v>3</v>
      </c>
      <c r="F14" s="248" t="n">
        <v>9450.641156931155</v>
      </c>
      <c r="G14" s="10">
        <f si="1" t="shared"/>
        <v>4.2567093463005641E-2</v>
      </c>
    </row>
    <row r="15" spans="1:12" x14ac:dyDescent="0.25">
      <c r="A15">
        <v>4</v>
      </c>
      <c r="B15" s="246" t="n">
        <v>2172.4714188553</v>
      </c>
      <c r="C15" s="10">
        <f si="0" t="shared"/>
        <v>9.6570500708005984E-3</v>
      </c>
      <c r="E15" s="112">
        <v>4</v>
      </c>
      <c r="F15" s="248" t="n">
        <v>8677.900786678914</v>
      </c>
      <c r="G15" s="10">
        <f si="1" t="shared"/>
        <v>4.1142947448507862E-2</v>
      </c>
    </row>
    <row r="16" spans="1:12" x14ac:dyDescent="0.25">
      <c r="A16">
        <v>5</v>
      </c>
      <c r="B16" s="246" t="n">
        <v>8662.4422951386</v>
      </c>
      <c r="C16" s="10">
        <f si="0" t="shared"/>
        <v>3.850620922030467E-2</v>
      </c>
      <c r="E16" s="113">
        <v>5</v>
      </c>
      <c r="F16" s="248" t="n">
        <v>7890.375491128007</v>
      </c>
      <c r="G16" s="10">
        <f si="1" t="shared"/>
        <v>3.4411985048356117E-2</v>
      </c>
    </row>
    <row r="17" spans="1:7" x14ac:dyDescent="0.25">
      <c r="A17">
        <v>6</v>
      </c>
      <c r="B17" s="246" t="n">
        <v>4311.1522967805</v>
      </c>
      <c r="C17" s="10">
        <f si="0" t="shared"/>
        <v>1.9163894738276097E-2</v>
      </c>
      <c r="E17" s="114">
        <v>6</v>
      </c>
      <c r="F17" s="248" t="n">
        <v>6931.214914007985</v>
      </c>
      <c r="G17" s="10">
        <f si="1" t="shared"/>
        <v>3.185120034860809E-2</v>
      </c>
    </row>
    <row r="18" spans="1:7" x14ac:dyDescent="0.25">
      <c r="A18">
        <v>7</v>
      </c>
      <c r="B18" s="246" t="n">
        <v>14169.536750069</v>
      </c>
      <c r="C18" s="10">
        <f si="0" t="shared"/>
        <v>6.298629509591705E-2</v>
      </c>
      <c r="E18" s="115">
        <v>7</v>
      </c>
      <c r="F18" s="248" t="n">
        <v>6256.2197835177885</v>
      </c>
      <c r="G18" s="10">
        <f si="1" t="shared"/>
        <v>2.7532521419497694E-2</v>
      </c>
    </row>
    <row r="19" spans="1:7" x14ac:dyDescent="0.25">
      <c r="A19">
        <v>8</v>
      </c>
      <c r="B19" s="246" t="n">
        <v>3922.3915598909</v>
      </c>
      <c r="C19" s="10">
        <f si="0" t="shared"/>
        <v>1.7435779068205568E-2</v>
      </c>
      <c r="E19" s="116">
        <v>8</v>
      </c>
      <c r="F19" s="248" t="n">
        <v>5541.165286239062</v>
      </c>
      <c r="G19" s="10">
        <f si="1" t="shared"/>
        <v>2.3815616371208163E-2</v>
      </c>
    </row>
    <row r="20" spans="1:7" x14ac:dyDescent="0.25">
      <c r="A20">
        <v>9</v>
      </c>
      <c r="B20" s="246" t="n">
        <v>1412.7971189182</v>
      </c>
      <c r="C20" s="10">
        <f si="0" t="shared"/>
        <v>6.2801528245028772E-3</v>
      </c>
      <c r="E20" s="117">
        <v>9</v>
      </c>
      <c r="F20" s="248" t="n">
        <v>4641.038067822928</v>
      </c>
      <c r="G20" s="10">
        <f si="1" t="shared"/>
        <v>2.1989649639380299E-2</v>
      </c>
    </row>
    <row r="21" spans="1:7" x14ac:dyDescent="0.25">
      <c r="A21">
        <v>10</v>
      </c>
      <c r="B21" s="246" t="n">
        <v>2823.17654097</v>
      </c>
      <c r="C21" s="10">
        <f si="0" t="shared"/>
        <v>1.2549558525019587E-2</v>
      </c>
      <c r="E21" s="118">
        <v>10</v>
      </c>
      <c r="F21" s="248" t="n">
        <v>4117.889615569138</v>
      </c>
      <c r="G21" s="10">
        <f si="1" t="shared"/>
        <v>1.8425866990736811E-2</v>
      </c>
    </row>
    <row r="22" spans="1:7" x14ac:dyDescent="0.25">
      <c r="A22">
        <v>11</v>
      </c>
      <c r="B22" s="246" t="n">
        <v>1456.705611368</v>
      </c>
      <c r="C22" s="10">
        <f si="0" t="shared"/>
        <v>6.4753344533339313E-3</v>
      </c>
      <c r="E22" s="119">
        <v>11</v>
      </c>
      <c r="F22" s="248" t="n">
        <v>3674.778283092216</v>
      </c>
      <c r="G22" s="10">
        <f si="1" t="shared"/>
        <v>1.7671642024095512E-2</v>
      </c>
    </row>
    <row r="23" spans="1:7" x14ac:dyDescent="0.25">
      <c r="A23">
        <v>12</v>
      </c>
      <c r="B23" s="246" t="n">
        <v>1314.7526429773</v>
      </c>
      <c r="C23" s="10">
        <f si="0" t="shared"/>
        <v>5.8443264172557945E-3</v>
      </c>
      <c r="E23" s="120">
        <v>12</v>
      </c>
      <c r="F23" s="248" t="n">
        <v>3342.317936955914</v>
      </c>
      <c r="G23" s="10">
        <f si="1" t="shared"/>
        <v>1.4412309325117931E-2</v>
      </c>
    </row>
    <row r="24" spans="1:7" x14ac:dyDescent="0.25">
      <c r="A24">
        <v>13</v>
      </c>
      <c r="B24" s="246" t="n">
        <v>6188.2121692869</v>
      </c>
      <c r="C24" s="10">
        <f si="0" t="shared"/>
        <v>2.7507784106558852E-2</v>
      </c>
      <c r="E24" s="121">
        <v>13</v>
      </c>
      <c r="F24" s="248" t="n">
        <v>2798.1391547578237</v>
      </c>
      <c r="G24" s="10">
        <f si="1" t="shared"/>
        <v>1.2756748919781973E-2</v>
      </c>
    </row>
    <row r="25" spans="1:7" x14ac:dyDescent="0.25">
      <c r="A25">
        <v>14</v>
      </c>
      <c r="B25" s="246" t="n">
        <v>2167.4430657952</v>
      </c>
      <c r="C25" s="10">
        <f si="0" t="shared"/>
        <v>9.63469808179232E-3</v>
      </c>
      <c r="E25" s="122">
        <v>14</v>
      </c>
      <c r="F25" s="248" t="n">
        <v>2420.7124773898795</v>
      </c>
      <c r="G25" s="10">
        <f si="1" t="shared"/>
        <v>1.0979436672049215E-2</v>
      </c>
    </row>
    <row r="26" spans="1:7" x14ac:dyDescent="0.25">
      <c r="A26">
        <v>15</v>
      </c>
      <c r="B26" s="246" t="n">
        <v>1489.0237163557001</v>
      </c>
      <c r="C26" s="10">
        <f si="0" t="shared"/>
        <v>6.6189945978821427E-3</v>
      </c>
      <c r="E26" s="123">
        <v>15</v>
      </c>
      <c r="F26" s="248" t="n">
        <v>2114.265104256568</v>
      </c>
      <c r="G26" s="10">
        <f si="1" t="shared"/>
        <v>1.0551708167810814E-2</v>
      </c>
    </row>
    <row r="27" spans="1:7" x14ac:dyDescent="0.25">
      <c r="A27">
        <v>16</v>
      </c>
      <c r="B27" s="246" t="n">
        <v>12650.860137302</v>
      </c>
      <c r="C27" s="10">
        <f si="0" t="shared"/>
        <v>5.6235487714261165E-2</v>
      </c>
      <c r="E27" s="124">
        <v>16</v>
      </c>
      <c r="F27" s="248" t="n">
        <v>1816.4390306175983</v>
      </c>
      <c r="G27" s="10">
        <f si="1" t="shared"/>
        <v>8.9270533999695617E-3</v>
      </c>
    </row>
    <row r="28" spans="1:7" x14ac:dyDescent="0.25">
      <c r="A28">
        <v>17</v>
      </c>
      <c r="B28" s="246" t="n">
        <v>3285.648075876</v>
      </c>
      <c r="C28" s="10">
        <f si="0" t="shared"/>
        <v>1.4605332759904799E-2</v>
      </c>
      <c r="E28" s="125">
        <v>17</v>
      </c>
      <c r="F28" s="248" t="n">
        <v>1629.2676125906344</v>
      </c>
      <c r="G28" s="10">
        <f si="1" t="shared"/>
        <v>7.8429433516994471E-3</v>
      </c>
    </row>
    <row r="29" spans="1:7" x14ac:dyDescent="0.25">
      <c r="A29">
        <v>18</v>
      </c>
      <c r="B29" s="246" t="n">
        <v>20752.8628271007</v>
      </c>
      <c r="C29" s="10">
        <f si="0" t="shared"/>
        <v>9.2250435929494071E-2</v>
      </c>
      <c r="E29" s="126">
        <v>18</v>
      </c>
      <c r="F29" s="248" t="n">
        <v>20414.525635376867</v>
      </c>
      <c r="G29" s="10">
        <f si="1" t="shared"/>
        <v>9.284803358437145E-2</v>
      </c>
    </row>
    <row r="30" spans="1:7" x14ac:dyDescent="0.25">
      <c r="A30">
        <v>19</v>
      </c>
      <c r="B30" s="246" t="n">
        <v>12588.0187878776</v>
      </c>
      <c r="C30" s="10">
        <f si="0" t="shared"/>
        <v>5.5956145922861272E-2</v>
      </c>
      <c r="E30" s="127">
        <v>19</v>
      </c>
      <c r="F30" s="248" t="n">
        <v>6858.052923948489</v>
      </c>
      <c r="G30" s="10">
        <f si="1" t="shared"/>
        <v>3.0154159859705536E-2</v>
      </c>
    </row>
    <row r="31" spans="1:7" x14ac:dyDescent="0.25">
      <c r="A31">
        <v>20</v>
      </c>
      <c r="B31" s="246" t="n">
        <v>11948.2406492865</v>
      </c>
      <c r="C31" s="10">
        <f si="0" t="shared"/>
        <v>5.3112209995808519E-2</v>
      </c>
      <c r="E31" s="128">
        <v>20</v>
      </c>
      <c r="F31" s="248" t="n">
        <v>7210.572990916581</v>
      </c>
      <c r="G31" s="10">
        <f si="1" t="shared"/>
        <v>3.1439185147919123E-2</v>
      </c>
    </row>
    <row r="32" spans="1:7" x14ac:dyDescent="0.25">
      <c r="A32">
        <v>21</v>
      </c>
      <c r="B32" s="246" t="n">
        <v>9700.1162072231</v>
      </c>
      <c r="C32" s="10">
        <f si="0" t="shared"/>
        <v>4.3118867798544402E-2</v>
      </c>
      <c r="E32" s="129">
        <v>21</v>
      </c>
      <c r="F32" s="248" t="n">
        <v>10272.460821360168</v>
      </c>
      <c r="G32" s="10">
        <f si="1" t="shared"/>
        <v>4.7303272378251347E-2</v>
      </c>
    </row>
    <row r="33" spans="1:7" x14ac:dyDescent="0.25">
      <c r="A33">
        <v>22</v>
      </c>
      <c r="B33" s="246" t="n">
        <v>15445.631012047299</v>
      </c>
      <c r="C33" s="10">
        <f si="0" t="shared"/>
        <v>6.8658777631719084E-2</v>
      </c>
      <c r="E33" s="130">
        <v>22</v>
      </c>
      <c r="F33" s="248" t="n">
        <v>8595.360959217049</v>
      </c>
      <c r="G33" s="10">
        <f si="1" t="shared"/>
        <v>3.9113778072632582E-2</v>
      </c>
    </row>
    <row r="34" spans="1:7" x14ac:dyDescent="0.25">
      <c r="A34">
        <v>23</v>
      </c>
      <c r="B34" s="246" t="n">
        <v>7356.860630771</v>
      </c>
      <c r="C34" s="10">
        <f si="0" t="shared"/>
        <v>3.2702649553241044E-2</v>
      </c>
      <c r="E34" s="131">
        <v>23</v>
      </c>
      <c r="F34" s="248" t="n">
        <v>6359.007467284321</v>
      </c>
      <c r="G34" s="10">
        <f si="1" t="shared"/>
        <v>2.7252313097485929E-2</v>
      </c>
    </row>
    <row r="35" spans="1:7" x14ac:dyDescent="0.25">
      <c r="A35">
        <v>24</v>
      </c>
      <c r="B35" s="246" t="n">
        <v>9451.2647636333</v>
      </c>
      <c r="C35" s="10">
        <f si="0" t="shared"/>
        <v>4.2012675638739623E-2</v>
      </c>
      <c r="E35" s="132">
        <v>24</v>
      </c>
      <c r="F35" s="248" t="n">
        <v>6085.539169583227</v>
      </c>
      <c r="G35" s="10">
        <f si="1" t="shared"/>
        <v>2.8312361561179129E-2</v>
      </c>
    </row>
    <row r="36" spans="1:7" x14ac:dyDescent="0.25">
      <c r="A36">
        <v>25</v>
      </c>
      <c r="B36" s="246" t="n">
        <v>2187.2668478329</v>
      </c>
      <c r="C36" s="10">
        <f si="0" t="shared"/>
        <v>9.7228185762987945E-3</v>
      </c>
      <c r="E36" s="133">
        <v>25</v>
      </c>
      <c r="F36" s="248" t="n">
        <v>5969.746964344062</v>
      </c>
      <c r="G36" s="10">
        <f si="1" t="shared"/>
        <v>2.7093076063579406E-2</v>
      </c>
    </row>
    <row r="37" spans="1:7" x14ac:dyDescent="0.25">
      <c r="A37">
        <v>26</v>
      </c>
      <c r="B37" s="246" t="n">
        <v>8249.5539606458</v>
      </c>
      <c r="C37" s="10">
        <f si="0" t="shared"/>
        <v>3.6670841774160141E-2</v>
      </c>
      <c r="E37" s="134">
        <v>26</v>
      </c>
      <c r="F37" s="248" t="n">
        <v>4897.128343100088</v>
      </c>
      <c r="G37" s="10">
        <f si="1" t="shared"/>
        <v>2.3294901735035855E-2</v>
      </c>
    </row>
    <row r="38" spans="1:7" x14ac:dyDescent="0.25">
      <c r="A38">
        <v>27</v>
      </c>
      <c r="B38" s="246" t="n">
        <v>1444.1508225077</v>
      </c>
      <c r="C38" s="10">
        <f si="0" t="shared"/>
        <v>6.4195260207810505E-3</v>
      </c>
      <c r="E38" s="135">
        <v>27</v>
      </c>
      <c r="F38" s="248" t="n">
        <v>3513.7857480440703</v>
      </c>
      <c r="G38" s="10">
        <f si="1" t="shared"/>
        <v>1.6683605771768566E-2</v>
      </c>
    </row>
    <row r="39" spans="1:7" x14ac:dyDescent="0.25">
      <c r="A39">
        <v>28</v>
      </c>
      <c r="B39" s="246" t="n">
        <v>3610.844057177</v>
      </c>
      <c r="C39" s="10">
        <f si="0" t="shared"/>
        <v>1.6050890960114229E-2</v>
      </c>
      <c r="E39" s="136">
        <v>28</v>
      </c>
      <c r="F39" s="248" t="n">
        <v>3658.466719004791</v>
      </c>
      <c r="G39" s="10">
        <f si="1" t="shared"/>
        <v>1.6046614238362285E-2</v>
      </c>
    </row>
    <row r="40" spans="1:7" x14ac:dyDescent="0.25">
      <c r="A40">
        <v>29</v>
      </c>
      <c r="B40" s="246" t="n">
        <v>2086.8398170459</v>
      </c>
      <c r="C40" s="10">
        <f si="0" t="shared"/>
        <v>9.2764012580525967E-3</v>
      </c>
      <c r="E40" s="137">
        <v>29</v>
      </c>
      <c r="F40" s="248" t="n">
        <v>3469.9664021434405</v>
      </c>
      <c r="G40" s="10">
        <f si="1" t="shared"/>
        <v>1.6873907121403429E-2</v>
      </c>
    </row>
    <row r="41" spans="1:7" x14ac:dyDescent="0.25">
      <c r="A41">
        <v>30</v>
      </c>
      <c r="B41" s="246" t="n">
        <v>6915.696948696</v>
      </c>
      <c r="C41" s="10">
        <f si="0" t="shared"/>
        <v>3.0741592790771943E-2</v>
      </c>
      <c r="E41" s="138">
        <v>30</v>
      </c>
      <c r="F41" s="248" t="n">
        <v>3598.3061748851414</v>
      </c>
      <c r="G41" s="10">
        <f si="1" t="shared"/>
        <v>1.4431399702242402E-2</v>
      </c>
    </row>
    <row r="42" spans="1:7" x14ac:dyDescent="0.25">
      <c r="A42">
        <v>31</v>
      </c>
      <c r="B42" s="246" t="n">
        <v>8012.652551560001</v>
      </c>
      <c r="C42" s="10">
        <f si="0" t="shared"/>
        <v>3.5617769798377719E-2</v>
      </c>
      <c r="E42" s="139">
        <v>31</v>
      </c>
      <c r="F42" s="248" t="n">
        <v>2488.279246740691</v>
      </c>
      <c r="G42" s="10">
        <f si="1" t="shared"/>
        <v>1.2786832426726274E-2</v>
      </c>
    </row>
    <row r="43" spans="1:7" x14ac:dyDescent="0.25">
      <c r="A43">
        <v>32</v>
      </c>
      <c r="B43" s="246" t="n">
        <v>1019.613410797</v>
      </c>
      <c r="C43" s="10">
        <f si="0" t="shared"/>
        <v>4.532376203188266E-3</v>
      </c>
      <c r="E43" s="140">
        <v>32</v>
      </c>
      <c r="F43" s="248" t="n">
        <v>3001.3048833720313</v>
      </c>
      <c r="G43" s="10">
        <f si="1" t="shared"/>
        <v>1.7131793560905578E-2</v>
      </c>
    </row>
    <row r="44" spans="1:7" x14ac:dyDescent="0.25">
      <c r="A44">
        <v>33</v>
      </c>
      <c r="B44" s="246" t="n">
        <v>3676.937771706</v>
      </c>
      <c r="C44" s="10">
        <f si="0" t="shared"/>
        <v>1.6344690135114685E-2</v>
      </c>
      <c r="E44" s="141">
        <v>33</v>
      </c>
      <c r="F44" s="248" t="n">
        <v>2589.124151736911</v>
      </c>
      <c r="G44" s="10">
        <f si="1" t="shared"/>
        <v>1.0401205859741823E-2</v>
      </c>
    </row>
    <row r="45" spans="1:7" x14ac:dyDescent="0.25">
      <c r="A45">
        <v>34</v>
      </c>
      <c r="B45" s="246" t="n">
        <v>4271.100104459</v>
      </c>
      <c r="C45" s="10">
        <f si="0" t="shared"/>
        <v>1.8985855099486346E-2</v>
      </c>
      <c r="E45" s="142">
        <v>34</v>
      </c>
      <c r="F45" s="248" t="n">
        <v>2672.9390695796264</v>
      </c>
      <c r="G45" s="10">
        <f si="1" t="shared"/>
        <v>1.1604997371555053E-2</v>
      </c>
    </row>
    <row r="46" spans="1:7" x14ac:dyDescent="0.25">
      <c r="A46">
        <v>35</v>
      </c>
      <c r="B46" s="246" t="n">
        <v>1842.488268563</v>
      </c>
      <c r="C46" s="10">
        <f si="0" t="shared"/>
        <v>8.1902119907984461E-3</v>
      </c>
      <c r="E46" s="143">
        <v>35</v>
      </c>
      <c r="F46" s="248" t="n">
        <v>1977.9317894024223</v>
      </c>
      <c r="G46" s="10">
        <f si="1" t="shared"/>
        <v>1.0157919033649546E-2</v>
      </c>
    </row>
    <row r="47" spans="1:7" x14ac:dyDescent="0.25">
      <c r="A47">
        <v>36</v>
      </c>
      <c r="B47" s="246" t="n">
        <v>492.408600494</v>
      </c>
      <c r="C47" s="10">
        <f si="0" t="shared"/>
        <v>2.1888502048827796E-3</v>
      </c>
      <c r="E47" s="144">
        <v>36</v>
      </c>
      <c r="F47" s="248" t="n">
        <v>1537.053189013865</v>
      </c>
      <c r="G47" s="10">
        <f si="1" t="shared"/>
        <v>8.4764265183629572E-3</v>
      </c>
    </row>
    <row r="48" spans="1:7" x14ac:dyDescent="0.25">
      <c r="A48">
        <v>37</v>
      </c>
      <c r="B48" s="246" t="n">
        <v>1050.108317741</v>
      </c>
      <c r="C48" s="10">
        <f si="0" t="shared"/>
        <v>4.6679318844767143E-3</v>
      </c>
      <c r="E48" s="145">
        <v>37</v>
      </c>
      <c r="F48" s="248" t="n">
        <v>1625.6900195342562</v>
      </c>
      <c r="G48" s="10">
        <f si="1" t="shared"/>
        <v>6.7842421195738259E-3</v>
      </c>
    </row>
    <row r="49" spans="1:7" x14ac:dyDescent="0.25">
      <c r="A49">
        <v>38</v>
      </c>
      <c r="B49" s="246" t="n">
        <v>1146.605798674</v>
      </c>
      <c r="C49" s="10">
        <f si="0" t="shared"/>
        <v>5.0968816036712364E-3</v>
      </c>
      <c r="E49" s="146">
        <v>38</v>
      </c>
      <c r="F49" s="248" t="n">
        <v>1704.0062263172726</v>
      </c>
      <c r="G49" s="10">
        <f si="1" t="shared"/>
        <v>8.9407924975411952E-3</v>
      </c>
    </row>
    <row r="50" spans="1:7" x14ac:dyDescent="0.25">
      <c r="A50">
        <v>39</v>
      </c>
      <c r="B50" s="246" t="n">
        <v>1302.515172261</v>
      </c>
      <c r="C50" s="10">
        <f si="0" t="shared"/>
        <v>5.7899285244128436E-3</v>
      </c>
      <c r="E50" s="147">
        <v>39</v>
      </c>
      <c r="F50" s="248" t="n">
        <v>1449.7057157735694</v>
      </c>
      <c r="G50" s="10">
        <f si="1" t="shared"/>
        <v>7.5636079715585211E-3</v>
      </c>
    </row>
    <row r="51" spans="1:7" x14ac:dyDescent="0.25">
      <c r="A51">
        <v>40</v>
      </c>
      <c r="B51" s="246" t="n">
        <v>744.89440474</v>
      </c>
      <c r="C51" s="10">
        <f si="0" t="shared"/>
        <v>3.3111977914184552E-3</v>
      </c>
      <c r="E51" s="148">
        <v>40</v>
      </c>
      <c r="F51" s="248" t="n">
        <v>1385.8570462768002</v>
      </c>
      <c r="G51" s="10">
        <f si="1" t="shared"/>
        <v>6.8457869367112159E-3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149">
        <v>41</v>
      </c>
      <c r="F52" s="248" t="n">
        <v>1083.3904935019616</v>
      </c>
      <c r="G52" s="10">
        <f si="1" t="shared"/>
        <v>5.7857052867726494E-3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1174.4369530548277</v>
      </c>
      <c r="G53" s="10">
        <f si="1" t="shared"/>
        <v>5.7369209975701224E-3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151">
        <v>43</v>
      </c>
      <c r="F54" s="248" t="n">
        <v>980.2253096334384</v>
      </c>
      <c r="G54" s="10">
        <f si="1" t="shared"/>
        <v>4.1576165470150524E-3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152">
        <v>44</v>
      </c>
      <c r="F55" s="248" t="n">
        <v>935.8749237000976</v>
      </c>
      <c r="G55" s="10">
        <f si="1" t="shared"/>
        <v>3.9349360233544486E-3</v>
      </c>
    </row>
    <row r="56" spans="1:7" x14ac:dyDescent="0.25">
      <c r="A56">
        <v>45</v>
      </c>
      <c r="B56" s="246" t="n">
        <v>10646.108002583</v>
      </c>
      <c r="C56" s="10">
        <f si="0" t="shared"/>
        <v>4.7323981870503379E-2</v>
      </c>
      <c r="E56" s="153">
        <v>45</v>
      </c>
      <c r="F56" s="248" t="n">
        <v>663.4844811898557</v>
      </c>
      <c r="G56" s="10">
        <f si="1" t="shared"/>
        <v>3.4151119718163997E-3</v>
      </c>
    </row>
    <row r="57" spans="1:7" x14ac:dyDescent="0.25">
      <c r="A57">
        <v>46</v>
      </c>
      <c r="B57" s="246" t="n">
        <v>194.8963878356</v>
      </c>
      <c r="C57" s="10">
        <f si="0" t="shared"/>
        <v>8.6635163970915415E-4</v>
      </c>
      <c r="E57" s="154">
        <v>46</v>
      </c>
      <c r="F57" s="248" t="n">
        <v>674.0391053371321</v>
      </c>
      <c r="G57" s="10">
        <f si="1" t="shared"/>
        <v>3.712866898844393E-3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155">
        <v>47</v>
      </c>
      <c r="F58" s="248" t="n">
        <v>494.41026305584165</v>
      </c>
      <c r="G58" s="10">
        <f si="1" t="shared"/>
        <v>2.6368934664527553E-3</v>
      </c>
    </row>
    <row r="59" spans="1:7" x14ac:dyDescent="0.25">
      <c r="A59">
        <v>48</v>
      </c>
      <c r="B59" s="246" t="n">
        <v>2764.672652115</v>
      </c>
      <c r="C59" s="10">
        <f si="0" t="shared"/>
        <v>1.228949757365067E-2</v>
      </c>
      <c r="E59" s="156">
        <v>48</v>
      </c>
      <c r="F59" s="248" t="n">
        <v>576.4173744703472</v>
      </c>
      <c r="G59" s="10">
        <f si="1" t="shared"/>
        <v>2.0694767299228689E-3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157">
        <v>49</v>
      </c>
      <c r="F60" s="248" t="n">
        <v>508.08917539235233</v>
      </c>
      <c r="G60" s="10">
        <f si="1" t="shared"/>
        <v>2.073536837555364E-3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422.64599594998873</v>
      </c>
      <c r="G61" s="10">
        <f si="1" t="shared"/>
        <v>2.4351544990118506E-3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512.0373723852783</v>
      </c>
      <c r="G62" s="10">
        <f si="1" t="shared"/>
        <v>2.450194878113572E-3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382.2977233398203</v>
      </c>
      <c r="G63" s="10">
        <f si="1" t="shared"/>
        <v>1.6864410453664653E-3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316.6483895574563</v>
      </c>
      <c r="G64" s="10">
        <f si="1" t="shared"/>
        <v>1.6323437415320845E-3</v>
      </c>
    </row>
    <row r="65" spans="1:7" x14ac:dyDescent="0.25">
      <c r="A65">
        <v>54</v>
      </c>
      <c r="B65" s="246" t="n">
        <v>195.430938886</v>
      </c>
      <c r="C65" s="10">
        <f si="0" t="shared"/>
        <v>8.6872782114671347E-4</v>
      </c>
      <c r="E65" s="162">
        <v>54</v>
      </c>
      <c r="F65" s="248" t="n">
        <v>373.16910798340655</v>
      </c>
      <c r="G65" s="10">
        <f si="1" t="shared"/>
        <v>1.2457671443351207E-3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204.98660292815762</v>
      </c>
      <c r="G66" s="10">
        <f si="1" t="shared"/>
        <v>1.265364001220801E-3</v>
      </c>
    </row>
    <row r="67" spans="1:7" x14ac:dyDescent="0.25">
      <c r="A67">
        <v>56</v>
      </c>
      <c r="B67" s="246" t="n">
        <v>1219.07842926</v>
      </c>
      <c r="C67" s="10">
        <f si="0" t="shared"/>
        <v>5.4190362779547802E-3</v>
      </c>
      <c r="E67" s="164">
        <v>56</v>
      </c>
      <c r="F67" s="248" t="n">
        <v>277.87138121267435</v>
      </c>
      <c r="G67" s="10">
        <f si="1" t="shared"/>
        <v>1.2195518515200597E-3</v>
      </c>
    </row>
    <row r="68" spans="1:7" x14ac:dyDescent="0.25">
      <c r="A68">
        <v>57</v>
      </c>
      <c r="B68" s="246" t="n">
        <v>4356.2447658228</v>
      </c>
      <c r="C68" s="10">
        <f si="0" t="shared"/>
        <v>1.9364339369021558E-2</v>
      </c>
      <c r="E68" s="165">
        <v>57</v>
      </c>
      <c r="F68" s="248" t="n">
        <v>229.21749165498161</v>
      </c>
      <c r="G68" s="10">
        <f si="1" t="shared"/>
        <v>1.5348514741843652E-3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148.82355093365894</v>
      </c>
      <c r="G69" s="10">
        <f si="1" t="shared"/>
        <v>1.3813198424011319E-3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184.28615101676888</v>
      </c>
      <c r="G70" s="10">
        <f si="1" t="shared"/>
        <v>1.1293605305458829E-3</v>
      </c>
    </row>
    <row r="71" spans="1:7" x14ac:dyDescent="0.25">
      <c r="A71">
        <v>60</v>
      </c>
      <c r="B71" s="246" t="n">
        <v>263.128777017</v>
      </c>
      <c r="C71" s="10">
        <f si="0" t="shared"/>
        <v>1.1696576317034365E-3</v>
      </c>
      <c r="E71" s="168">
        <v>60</v>
      </c>
      <c r="F71" s="248" t="n">
        <v>151.9719950435827</v>
      </c>
      <c r="G71" s="10">
        <f si="1" t="shared"/>
        <v>4.4463770189423219E-4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129.07556352249833</v>
      </c>
      <c r="G72" s="10">
        <f si="1" t="shared"/>
        <v>4.7928986638677291E-4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107.9500059821524</v>
      </c>
      <c r="G73" s="10">
        <f si="1" t="shared"/>
        <v>4.2681086549387439E-4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95.30440985486202</v>
      </c>
      <c r="G74" s="10">
        <f si="1" t="shared"/>
        <v>6.6909526464407041E-4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81.36228205978446</v>
      </c>
      <c r="G75" s="10">
        <f si="1" t="shared"/>
        <v>3.2866526463223801E-4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59.407546017524226</v>
      </c>
      <c r="G76" s="10">
        <f si="1" t="shared"/>
        <v>4.2689264323250448E-4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57.595408548395014</v>
      </c>
      <c r="G77" s="10">
        <f ref="G77:G102" si="3" t="shared">F77/F$102</f>
        <v>4.2786378140555805E-4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77.967406592036</v>
      </c>
      <c r="G78" s="10">
        <f si="3" t="shared"/>
        <v>2.4269617681911749E-4</v>
      </c>
    </row>
    <row r="79" spans="1:7" x14ac:dyDescent="0.25">
      <c r="A79">
        <v>68</v>
      </c>
      <c r="B79" s="246" t="n">
        <v>417.967608267</v>
      </c>
      <c r="C79" s="10">
        <f si="2" t="shared"/>
        <v>1.8579457874451483E-3</v>
      </c>
      <c r="E79" s="176">
        <v>68</v>
      </c>
      <c r="F79" s="248" t="n">
        <v>36.34076124836762</v>
      </c>
      <c r="G79" s="10">
        <f si="3" t="shared"/>
        <v>3.2571533709987316E-4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29.503873048605733</v>
      </c>
      <c r="G80" s="10">
        <f si="3" t="shared"/>
        <v>1.3921260224174318E-4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34.915187315780265</v>
      </c>
      <c r="G81" s="10">
        <f si="3" t="shared"/>
        <v>1.547892692299905E-4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37.75071838819677</v>
      </c>
      <c r="G82" s="10">
        <f si="3" t="shared"/>
        <v>1.6217250861251143E-4</v>
      </c>
    </row>
    <row r="83" spans="1:7" x14ac:dyDescent="0.25">
      <c r="A83">
        <v>72</v>
      </c>
      <c r="B83" s="246" t="n">
        <v>257.712041459</v>
      </c>
      <c r="C83" s="10">
        <f si="2" t="shared"/>
        <v>1.1455792083695845E-3</v>
      </c>
      <c r="E83" s="180">
        <v>72</v>
      </c>
      <c r="F83" s="248" t="n">
        <v>20.067800171445523</v>
      </c>
      <c r="G83" s="10">
        <f si="3" t="shared"/>
        <v>3.7194466855831844E-4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27.81587917373531</v>
      </c>
      <c r="G84" s="10">
        <f si="3" t="shared"/>
        <v>8.7968195886430607E-5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15.427494056421391</v>
      </c>
      <c r="G85" s="10">
        <f si="3" t="shared"/>
        <v>2.6110693924615767E-4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10.743234061080102</v>
      </c>
      <c r="G86" s="10">
        <f si="3" t="shared"/>
        <v>4.3816357809863588E-5</v>
      </c>
    </row>
    <row r="87" spans="1:7" x14ac:dyDescent="0.25">
      <c r="A87">
        <v>76</v>
      </c>
      <c r="B87" s="246" t="n">
        <v>41.7609222283</v>
      </c>
      <c r="C87" s="10">
        <f si="2" t="shared"/>
        <v>1.8563526933486631E-4</v>
      </c>
      <c r="E87" s="184">
        <v>76</v>
      </c>
      <c r="F87" s="248" t="n">
        <v>9.176530240896103</v>
      </c>
      <c r="G87" s="10">
        <f si="3" t="shared"/>
        <v>1.3081958030201142E-4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10.97087775303515</v>
      </c>
      <c r="G88" s="10">
        <f si="3" t="shared"/>
        <v>1.1066117985096633E-4</v>
      </c>
    </row>
    <row r="89" spans="1:7" x14ac:dyDescent="0.25">
      <c r="A89">
        <v>78</v>
      </c>
      <c r="B89" s="246" t="n">
        <v>396.701349191</v>
      </c>
      <c r="C89" s="10">
        <f si="2" t="shared"/>
        <v>1.7634132072081384E-3</v>
      </c>
      <c r="E89" s="186">
        <v>78</v>
      </c>
      <c r="F89" s="248" t="n">
        <v>12.221896124062575</v>
      </c>
      <c r="G89" s="10">
        <f si="3" t="shared"/>
        <v>8.7201163972185514E-5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3.850497195308028</v>
      </c>
      <c r="G90" s="10">
        <f si="3" t="shared"/>
        <v>8.7044296187750747E-6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10.817574827322165</v>
      </c>
      <c r="G91" s="10">
        <f si="3" t="shared"/>
        <v>1.8507844760169044E-5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5.049674796748008</v>
      </c>
      <c r="G92" s="10">
        <f si="3" t="shared"/>
        <v>2.2770305164143369E-5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7.797433340911083</v>
      </c>
      <c r="G93" s="10">
        <f si="3" t="shared"/>
        <v>1.3002125582535219E-4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4.060523996017665</v>
      </c>
      <c r="G94" s="10">
        <f si="3" t="shared"/>
        <v>4.4594827316426202E-5</v>
      </c>
    </row>
    <row r="95" spans="1:7" x14ac:dyDescent="0.25">
      <c r="A95">
        <v>84</v>
      </c>
      <c r="B95" s="246" t="n">
        <v>841.375356903</v>
      </c>
      <c r="C95" s="10">
        <f si="2" t="shared"/>
        <v>3.7400740370758284E-3</v>
      </c>
      <c r="E95" s="192">
        <v>84</v>
      </c>
      <c r="F95" s="248" t="n">
        <v>5.75</v>
      </c>
      <c r="G95" s="10">
        <f si="3" t="shared"/>
        <v>2.4039189724878079E-5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4.989406779661042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0.0</v>
      </c>
      <c r="G97" s="10">
        <f si="3" t="shared"/>
        <v>1.0888087708426137E-6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5.049674796748008</v>
      </c>
      <c r="G98" s="10">
        <f si="3" t="shared"/>
        <v>4.3552350833704548E-5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1.15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2.7294707486296788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21.10602740767948</v>
      </c>
      <c r="G101" s="10">
        <f si="3" t="shared"/>
        <v>4.367005989001174E-5</v>
      </c>
    </row>
    <row r="102" spans="1:7" x14ac:dyDescent="0.25">
      <c r="B102" s="246">
        <f>SUM(B11:B101)</f>
        <v>224962.219614462</v>
      </c>
      <c r="C102" s="10">
        <f si="2" t="shared"/>
        <v>1</v>
      </c>
      <c r="F102" s="246">
        <f>SUM(F11:F101)</f>
        <v>229608.73083941868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10" workbookViewId="0">
      <selection activeCell="V36" sqref="V36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3879.622324817</v>
      </c>
      <c r="C7" s="11" t="n">
        <v>4063.797158878</v>
      </c>
      <c r="D7" s="11" t="n">
        <v>245.76399977199998</v>
      </c>
      <c r="E7" s="11" t="n">
        <v>1556.696679057</v>
      </c>
      <c r="F7" s="11" t="n">
        <v>1430.230050562</v>
      </c>
      <c r="G7" s="11" t="n">
        <v>0.0</v>
      </c>
      <c r="H7" s="11" t="n">
        <v>763.8619207728</v>
      </c>
      <c r="I7" s="11"/>
      <c r="J7" s="11">
        <f>SUM(B7:I7)</f>
        <v>11939.972133858801</v>
      </c>
      <c r="K7" s="11"/>
      <c r="L7" t="str">
        <f>$A$7</f>
        <v>Bellevue</v>
      </c>
      <c r="M7" s="248" t="n">
        <v>4655.565118070971</v>
      </c>
      <c r="N7" s="248" t="n">
        <v>2749.65923297601</v>
      </c>
      <c r="O7" s="248" t="n">
        <v>518.4721405570004</v>
      </c>
      <c r="P7" s="248" t="n">
        <v>1058.2611954425686</v>
      </c>
      <c r="Q7" s="248" t="n">
        <v>594.0076651281763</v>
      </c>
      <c r="R7" s="248" t="n">
        <v>719.1505958786073</v>
      </c>
      <c r="S7" s="248" t="n">
        <v>595.1879532942837</v>
      </c>
      <c r="T7" s="248"/>
      <c r="U7" s="246">
        <f>SUM(M7:T7)</f>
        <v>11458</v>
      </c>
    </row>
    <row r="8" spans="1:21" x14ac:dyDescent="0.25">
      <c r="A8" t="s">
        <v>255</v>
      </c>
      <c r="B8" s="11" t="n">
        <v>0.0</v>
      </c>
      <c r="C8" s="11" t="n">
        <v>0.0</v>
      </c>
      <c r="D8" s="11" t="n">
        <v>206.34925088699998</v>
      </c>
      <c r="E8" s="11" t="n">
        <v>0.0</v>
      </c>
      <c r="F8" s="11" t="n">
        <v>281.72637838</v>
      </c>
      <c r="G8" s="11" t="n">
        <v>0.0</v>
      </c>
      <c r="H8" s="11" t="n">
        <v>0.0</v>
      </c>
      <c r="I8" s="11"/>
      <c r="J8" s="11">
        <f ref="J8:J14" si="0" t="shared">SUM(B8:I8)</f>
        <v>488.07562926700001</v>
      </c>
      <c r="K8" s="11"/>
      <c r="L8" t="str">
        <f>$A$8</f>
        <v>Bellevue Downtown</v>
      </c>
      <c r="M8" s="248" t="n">
        <v>104.55474258367131</v>
      </c>
      <c r="N8" s="248" t="n">
        <v>851.9815310207579</v>
      </c>
      <c r="O8" s="248" t="n">
        <v>8.039725719424451</v>
      </c>
      <c r="P8" s="248" t="n">
        <v>10.76489361702127</v>
      </c>
      <c r="Q8" s="248" t="n">
        <v>3.4499999999999997</v>
      </c>
      <c r="R8" s="248" t="n">
        <v>3.697999999999989</v>
      </c>
      <c r="S8" s="248" t="n">
        <v>0.0</v>
      </c>
      <c r="T8" s="248"/>
      <c r="U8" s="246">
        <f ref="U8:U13" si="1" t="shared">SUM(M8:T8)</f>
        <v>998.25</v>
      </c>
    </row>
    <row r="9" spans="1:21" x14ac:dyDescent="0.25">
      <c r="A9" t="s">
        <v>256</v>
      </c>
      <c r="B9" s="11" t="n">
        <v>0.0</v>
      </c>
      <c r="C9" s="11" t="n">
        <v>0.0</v>
      </c>
      <c r="D9" s="11" t="n">
        <v>1911.668349691</v>
      </c>
      <c r="E9" s="11" t="n">
        <v>0.0</v>
      </c>
      <c r="F9" s="11" t="n">
        <v>1690.066763713</v>
      </c>
      <c r="G9" s="11" t="n">
        <v>685.397493253</v>
      </c>
      <c r="H9" s="11" t="n">
        <v>0.0</v>
      </c>
      <c r="I9" s="11"/>
      <c r="J9" s="11">
        <f si="0" t="shared"/>
        <v>4287.132606657</v>
      </c>
      <c r="K9" s="12"/>
      <c r="L9" t="str">
        <f>$A$9</f>
        <v>Kirkland</v>
      </c>
      <c r="M9" s="248" t="n">
        <v>439.06627743699966</v>
      </c>
      <c r="N9" s="248" t="n">
        <v>554.707087162527</v>
      </c>
      <c r="O9" s="248" t="n">
        <v>5208.6718830878435</v>
      </c>
      <c r="P9" s="248" t="n">
        <v>815.3913381605313</v>
      </c>
      <c r="Q9" s="248" t="n">
        <v>766.7939052971427</v>
      </c>
      <c r="R9" s="248" t="n">
        <v>469.1772046866612</v>
      </c>
      <c r="S9" s="248" t="n">
        <v>691.6368034260801</v>
      </c>
      <c r="T9" s="248"/>
      <c r="U9" s="246">
        <f si="1" t="shared"/>
        <v>9494.25</v>
      </c>
    </row>
    <row r="10" spans="1:21" x14ac:dyDescent="0.25">
      <c r="A10" t="s">
        <v>257</v>
      </c>
      <c r="B10" s="11" t="n">
        <v>1261.5327366239999</v>
      </c>
      <c r="C10" s="11" t="n">
        <v>0.0</v>
      </c>
      <c r="D10" s="11" t="n">
        <v>4645.145040145</v>
      </c>
      <c r="E10" s="11" t="n">
        <v>5303.020145347</v>
      </c>
      <c r="F10" s="11" t="n">
        <v>0.0</v>
      </c>
      <c r="G10" s="11" t="n">
        <v>0.0</v>
      </c>
      <c r="H10" s="11" t="n">
        <v>736.563073278</v>
      </c>
      <c r="I10" s="11"/>
      <c r="J10" s="11">
        <f si="0" t="shared"/>
        <v>11946.260995394001</v>
      </c>
      <c r="K10" s="12"/>
      <c r="L10" t="str">
        <f>$A$10</f>
        <v>Redmond</v>
      </c>
      <c r="M10" s="248" t="n">
        <v>750.8389981797003</v>
      </c>
      <c r="N10" s="248" t="n">
        <v>431.05249991001267</v>
      </c>
      <c r="O10" s="248" t="n">
        <v>1054.3768451667074</v>
      </c>
      <c r="P10" s="248" t="n">
        <v>3817.6275785970765</v>
      </c>
      <c r="Q10" s="248" t="n">
        <v>351.3813320457789</v>
      </c>
      <c r="R10" s="248" t="n">
        <v>358.31129170720726</v>
      </c>
      <c r="S10" s="248" t="n">
        <v>358.5957798372772</v>
      </c>
      <c r="T10" s="248"/>
      <c r="U10" s="246">
        <f si="1" t="shared"/>
        <v>7404.75</v>
      </c>
    </row>
    <row r="11" spans="1:21" x14ac:dyDescent="0.25">
      <c r="A11" t="s">
        <v>252</v>
      </c>
      <c r="B11" s="11" t="n">
        <v>161.51425</v>
      </c>
      <c r="C11" s="11" t="n">
        <v>1825.827595923</v>
      </c>
      <c r="D11" s="11" t="n">
        <v>1328.141469276</v>
      </c>
      <c r="E11" s="11" t="n">
        <v>0.0</v>
      </c>
      <c r="F11" s="11" t="n">
        <v>38457.0516862257</v>
      </c>
      <c r="G11" s="11" t="n">
        <v>4468.4450829937</v>
      </c>
      <c r="H11" s="11" t="n">
        <v>5075.7600519444</v>
      </c>
      <c r="I11" s="11"/>
      <c r="J11" s="11">
        <f si="0" t="shared"/>
        <v>51316.740136362801</v>
      </c>
      <c r="K11" s="12"/>
      <c r="L11" t="str">
        <f>$A$11</f>
        <v>Seattle</v>
      </c>
      <c r="M11" s="248" t="n">
        <v>411.89026232780907</v>
      </c>
      <c r="N11" s="248" t="n">
        <v>365.56208625923125</v>
      </c>
      <c r="O11" s="248" t="n">
        <v>536.5347283016285</v>
      </c>
      <c r="P11" s="248" t="n">
        <v>221.17989131768041</v>
      </c>
      <c r="Q11" s="248" t="n">
        <v>31202.697687789438</v>
      </c>
      <c r="R11" s="248" t="n">
        <v>8369.350524137744</v>
      </c>
      <c r="S11" s="248" t="n">
        <v>2273.1346912918457</v>
      </c>
      <c r="T11" s="248"/>
      <c r="U11" s="246">
        <f si="1" t="shared"/>
        <v>46180.886583034138</v>
      </c>
    </row>
    <row r="12" spans="1:21" x14ac:dyDescent="0.25">
      <c r="A12" t="s">
        <v>258</v>
      </c>
      <c r="B12" s="11" t="n">
        <v>0.0</v>
      </c>
      <c r="C12" s="11" t="n">
        <v>0.0</v>
      </c>
      <c r="D12" s="11" t="n">
        <v>118.76068269</v>
      </c>
      <c r="E12" s="11" t="n">
        <v>0.0</v>
      </c>
      <c r="F12" s="11" t="n">
        <v>1766.7422404534</v>
      </c>
      <c r="G12" s="11" t="n">
        <v>4688.9401726328</v>
      </c>
      <c r="H12" s="11" t="n">
        <v>0.0</v>
      </c>
      <c r="I12" s="11"/>
      <c r="J12" s="11">
        <f si="0" t="shared"/>
        <v>6574.4430957761997</v>
      </c>
      <c r="K12" s="12"/>
      <c r="L12" t="str">
        <f>$A$12</f>
        <v>Seattle Downtown</v>
      </c>
      <c r="M12" s="248" t="n">
        <v>3.1653937947494017</v>
      </c>
      <c r="N12" s="248" t="n">
        <v>3.538544668587782</v>
      </c>
      <c r="O12" s="248" t="n">
        <v>7.477686915887724</v>
      </c>
      <c r="P12" s="248" t="n">
        <v>2.3</v>
      </c>
      <c r="Q12" s="248" t="n">
        <v>196.73587580679157</v>
      </c>
      <c r="R12" s="248" t="n">
        <v>5093.12350349844</v>
      </c>
      <c r="S12" s="248" t="n">
        <v>7.698329577849991</v>
      </c>
      <c r="T12" s="248"/>
      <c r="U12" s="246">
        <f si="1" t="shared"/>
        <v>5629.089663655438</v>
      </c>
    </row>
    <row r="13" spans="1:21" x14ac:dyDescent="0.25">
      <c r="A13" t="s">
        <v>259</v>
      </c>
      <c r="B13" s="11" t="n">
        <v>218.679820599</v>
      </c>
      <c r="C13" s="11" t="n">
        <v>106.057123419</v>
      </c>
      <c r="D13" s="11" t="n">
        <v>0.0</v>
      </c>
      <c r="E13" s="11" t="n">
        <v>0.0</v>
      </c>
      <c r="F13" s="11" t="n">
        <v>2574.566675832</v>
      </c>
      <c r="G13" s="11" t="n">
        <v>3586.3049094350004</v>
      </c>
      <c r="H13" s="11" t="n">
        <v>132212.3106002502</v>
      </c>
      <c r="I13" s="11"/>
      <c r="J13" s="11">
        <f si="0" t="shared"/>
        <v>138697.91912953521</v>
      </c>
      <c r="K13" s="12"/>
      <c r="L13" t="str">
        <f>A13</f>
        <v>Rest</v>
      </c>
      <c r="M13" s="248" t="n">
        <v>2650.830123064006</v>
      </c>
      <c r="N13" s="248" t="n">
        <v>2105.729386219931</v>
      </c>
      <c r="O13" s="248" t="n">
        <v>2579.23647440932</v>
      </c>
      <c r="P13" s="248" t="n">
        <v>2124.026255114541</v>
      </c>
      <c r="Q13" s="248" t="n">
        <v>6714.561252890303</v>
      </c>
      <c r="R13" s="248" t="n">
        <v>5405.205631142746</v>
      </c>
      <c r="S13" s="248" t="n">
        <v>118338.80015613894</v>
      </c>
      <c r="T13" s="248"/>
      <c r="U13" s="246">
        <f si="1" t="shared"/>
        <v>147819.87466616562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5521.3491320399999</v>
      </c>
      <c r="C15" s="14">
        <f si="2" t="shared"/>
        <v>5995.6818782199998</v>
      </c>
      <c r="D15" s="14">
        <f si="2" t="shared"/>
        <v>8455.8287924609995</v>
      </c>
      <c r="E15" s="14">
        <f si="2" t="shared"/>
        <v>6859.7168244040004</v>
      </c>
      <c r="F15" s="14">
        <f si="2" t="shared"/>
        <v>46200.383795166097</v>
      </c>
      <c r="G15" s="14">
        <f si="2" t="shared"/>
        <v>13429.087658314502</v>
      </c>
      <c r="H15" s="14">
        <f si="2" t="shared"/>
        <v>138788.4956462454</v>
      </c>
      <c r="I15" s="14">
        <f si="2" t="shared"/>
        <v>0</v>
      </c>
      <c r="J15" s="14">
        <f si="2" t="shared"/>
        <v>225250.543726851</v>
      </c>
      <c r="K15" s="11"/>
      <c r="L15" s="14" t="s">
        <v>4</v>
      </c>
      <c r="M15" s="14">
        <f ref="M15:U15" si="3" t="shared">SUM(M7:M14)</f>
        <v>9343.8305076481847</v>
      </c>
      <c r="N15" s="14">
        <f si="3" t="shared"/>
        <v>7298.992169710461</v>
      </c>
      <c r="O15" s="14">
        <f si="3" t="shared"/>
        <v>10195.152895391799</v>
      </c>
      <c r="P15" s="14">
        <f si="3" t="shared"/>
        <v>8230.9147813438667</v>
      </c>
      <c r="Q15" s="14">
        <f si="3" t="shared"/>
        <v>41918.179114280611</v>
      </c>
      <c r="R15" s="14">
        <f si="3" t="shared"/>
        <v>22118.963034993471</v>
      </c>
      <c r="S15" s="14">
        <f si="3" t="shared"/>
        <v>129879.0684094868</v>
      </c>
      <c r="T15" s="14">
        <f si="3" t="shared"/>
        <v>0</v>
      </c>
      <c r="U15" s="14">
        <f si="3" t="shared"/>
        <v>228985.10091285518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3723.0164442089704</v>
      </c>
      <c r="C20" s="11">
        <f si="4" t="shared"/>
        <v>3899.7568272695576</v>
      </c>
      <c r="D20" s="11">
        <f si="4" t="shared"/>
        <v>235.8434239056723</v>
      </c>
      <c r="E20" s="11">
        <f si="4" t="shared"/>
        <v>1493.8586412655725</v>
      </c>
      <c r="F20" s="11">
        <f si="4" t="shared"/>
        <v>1372.4969987884892</v>
      </c>
      <c r="G20" s="11">
        <f si="4" t="shared"/>
        <v>0</v>
      </c>
      <c r="H20" s="11">
        <f si="4" t="shared"/>
        <v>733.02766456173742</v>
      </c>
      <c r="I20" s="11"/>
      <c r="J20" s="11">
        <f>SUM(B20:I20)</f>
        <v>11458</v>
      </c>
      <c r="K20" s="11"/>
      <c r="L20" t="str">
        <f>$A$7</f>
        <v>Bellevue</v>
      </c>
      <c r="M20" s="11">
        <f ref="M20:M26" si="5" t="shared">M7</f>
        <v>4874</v>
      </c>
      <c r="N20" s="11">
        <f ref="N20:U20" si="6" t="shared">N7</f>
        <v>2823.25</v>
      </c>
      <c r="O20" s="11">
        <f si="6" t="shared"/>
        <v>542.75</v>
      </c>
      <c r="P20" s="11">
        <f si="6" t="shared"/>
        <v>1138.75</v>
      </c>
      <c r="Q20" s="11">
        <f si="6" t="shared"/>
        <v>661.5</v>
      </c>
      <c r="R20" s="11">
        <f si="6" t="shared"/>
        <v>789</v>
      </c>
      <c r="S20" s="11">
        <f ref="S20" si="7" t="shared">S7</f>
        <v>628.75</v>
      </c>
      <c r="T20" s="11"/>
      <c r="U20" s="11">
        <f si="6" t="shared"/>
        <v>11458</v>
      </c>
    </row>
    <row r="21" spans="1:32" x14ac:dyDescent="0.25">
      <c r="A21" t="str">
        <f>$A$8</f>
        <v>Bellevue Downtown</v>
      </c>
      <c r="B21" s="11">
        <f ref="B21:G26" si="8" t="shared">($U8/$J8)*B8</f>
        <v>0</v>
      </c>
      <c r="C21" s="11">
        <f si="8" t="shared"/>
        <v>0</v>
      </c>
      <c r="D21" s="11">
        <f si="8" t="shared"/>
        <v>422.04143650299466</v>
      </c>
      <c r="E21" s="11">
        <f si="8" t="shared"/>
        <v>0</v>
      </c>
      <c r="F21" s="11">
        <f si="8" t="shared"/>
        <v>576.20856349700534</v>
      </c>
      <c r="G21" s="11">
        <f si="8" t="shared"/>
        <v>0</v>
      </c>
      <c r="H21" s="11">
        <f ref="H21:H26" si="9" t="shared">($U8/$J8)*H8</f>
        <v>0</v>
      </c>
      <c r="I21" s="11"/>
      <c r="J21" s="11">
        <f ref="J21:J26" si="10" t="shared">SUM(B21:I21)</f>
        <v>998.25</v>
      </c>
      <c r="K21" s="11"/>
      <c r="L21" t="str">
        <f>$A$8</f>
        <v>Bellevue Downtown</v>
      </c>
      <c r="M21" s="11">
        <f si="5" t="shared"/>
        <v>101</v>
      </c>
      <c r="N21" s="11">
        <f ref="N21:R25" si="11" t="shared">N8</f>
        <v>866.25</v>
      </c>
      <c r="O21" s="11">
        <f si="11" t="shared"/>
        <v>14.5</v>
      </c>
      <c r="P21" s="11">
        <f si="11" t="shared"/>
        <v>3.5</v>
      </c>
      <c r="Q21" s="11">
        <f si="11" t="shared"/>
        <v>4.25</v>
      </c>
      <c r="R21" s="11">
        <f si="11" t="shared"/>
        <v>7.5</v>
      </c>
      <c r="S21" s="11">
        <f ref="S21" si="12" t="shared">S8</f>
        <v>1.25</v>
      </c>
      <c r="T21" s="11"/>
      <c r="U21" s="11">
        <f ref="U21:U26" si="13" t="shared">U8</f>
        <v>998.25</v>
      </c>
    </row>
    <row r="22" spans="1:32" x14ac:dyDescent="0.25">
      <c r="A22" t="str">
        <f>$A$9</f>
        <v>Kirkland</v>
      </c>
      <c r="B22" s="11">
        <f si="8" t="shared"/>
        <v>0</v>
      </c>
      <c r="C22" s="11">
        <f si="8" t="shared"/>
        <v>0</v>
      </c>
      <c r="D22" s="11">
        <f si="8" t="shared"/>
        <v>4233.5656239956124</v>
      </c>
      <c r="E22" s="11">
        <f si="8" t="shared"/>
        <v>0</v>
      </c>
      <c r="F22" s="11">
        <f si="8" t="shared"/>
        <v>3742.8085024629922</v>
      </c>
      <c r="G22" s="11">
        <f si="8" t="shared"/>
        <v>1517.875873541396</v>
      </c>
      <c r="H22" s="11">
        <f si="9" t="shared"/>
        <v>0</v>
      </c>
      <c r="I22" s="11"/>
      <c r="J22" s="11">
        <f si="10" t="shared"/>
        <v>9494.25</v>
      </c>
      <c r="K22" s="12"/>
      <c r="L22" t="str">
        <f>$A$9</f>
        <v>Kirkland</v>
      </c>
      <c r="M22" s="11">
        <f si="5" t="shared"/>
        <v>488.75</v>
      </c>
      <c r="N22" s="11">
        <f si="11" t="shared"/>
        <v>599.25</v>
      </c>
      <c r="O22" s="11">
        <f si="11" t="shared"/>
        <v>5552.5</v>
      </c>
      <c r="P22" s="11">
        <f si="11" t="shared"/>
        <v>848</v>
      </c>
      <c r="Q22" s="11">
        <f si="11" t="shared"/>
        <v>807.25</v>
      </c>
      <c r="R22" s="11">
        <f si="11" t="shared"/>
        <v>497.75</v>
      </c>
      <c r="S22" s="11">
        <f ref="S22" si="14" t="shared">S9</f>
        <v>700.75</v>
      </c>
      <c r="T22" s="11"/>
      <c r="U22" s="11">
        <f si="13" t="shared"/>
        <v>9494.25</v>
      </c>
    </row>
    <row r="23" spans="1:32" x14ac:dyDescent="0.25">
      <c r="A23" t="str">
        <f>$A$10</f>
        <v>Redmond</v>
      </c>
      <c r="B23" s="11">
        <f si="8" t="shared"/>
        <v>781.94629559141617</v>
      </c>
      <c r="C23" s="11">
        <f si="8" t="shared"/>
        <v>0</v>
      </c>
      <c r="D23" s="11">
        <f si="8" t="shared"/>
        <v>2879.2387634319612</v>
      </c>
      <c r="E23" s="11">
        <f si="8" t="shared"/>
        <v>3287.014944374494</v>
      </c>
      <c r="F23" s="11">
        <f si="8" t="shared"/>
        <v>0</v>
      </c>
      <c r="G23" s="11">
        <f si="8" t="shared"/>
        <v>0</v>
      </c>
      <c r="H23" s="11">
        <f si="9" t="shared"/>
        <v>456.54999660212849</v>
      </c>
      <c r="I23" s="11"/>
      <c r="J23" s="11">
        <f>SUM(B23:I23)</f>
        <v>7404.75</v>
      </c>
      <c r="K23" s="12"/>
      <c r="L23" t="str">
        <f>$A$10</f>
        <v>Redmond</v>
      </c>
      <c r="M23" s="11">
        <f si="5" t="shared"/>
        <v>829.25</v>
      </c>
      <c r="N23" s="11">
        <f si="11" t="shared"/>
        <v>457</v>
      </c>
      <c r="O23" s="11">
        <f si="11" t="shared"/>
        <v>1141.75</v>
      </c>
      <c r="P23" s="11">
        <f si="11" t="shared"/>
        <v>3809</v>
      </c>
      <c r="Q23" s="11">
        <f si="11" t="shared"/>
        <v>380.5</v>
      </c>
      <c r="R23" s="11">
        <f si="11" t="shared"/>
        <v>351.75</v>
      </c>
      <c r="S23" s="11">
        <f ref="S23" si="15" t="shared">S10</f>
        <v>435.5</v>
      </c>
      <c r="T23" s="11"/>
      <c r="U23" s="11">
        <f si="13" t="shared"/>
        <v>7404.75</v>
      </c>
    </row>
    <row r="24" spans="1:32" x14ac:dyDescent="0.25">
      <c r="A24" t="str">
        <f>$A$11</f>
        <v>Seattle</v>
      </c>
      <c r="B24" s="11">
        <f si="8" t="shared"/>
        <v>145.34967032148833</v>
      </c>
      <c r="C24" s="11">
        <f si="8" t="shared"/>
        <v>1643.0961301017319</v>
      </c>
      <c r="D24" s="11">
        <f si="8" t="shared"/>
        <v>1195.2191506295185</v>
      </c>
      <c r="E24" s="11">
        <f si="8" t="shared"/>
        <v>0</v>
      </c>
      <c r="F24" s="11">
        <f si="8" t="shared"/>
        <v>34608.214347212968</v>
      </c>
      <c r="G24" s="11">
        <f si="8" t="shared"/>
        <v>4021.2366380230224</v>
      </c>
      <c r="H24" s="11">
        <f si="9" t="shared"/>
        <v>4567.7706467454054</v>
      </c>
      <c r="I24" s="11"/>
      <c r="J24" s="11">
        <f si="10" t="shared"/>
        <v>46180.886583034131</v>
      </c>
      <c r="K24" s="12"/>
      <c r="L24" t="str">
        <f>$A$11</f>
        <v>Seattle</v>
      </c>
      <c r="M24" s="11">
        <f si="5" t="shared"/>
        <v>451.65373050982163</v>
      </c>
      <c r="N24" s="11">
        <f si="11" t="shared"/>
        <v>411.64932824533417</v>
      </c>
      <c r="O24" s="11">
        <f si="11" t="shared"/>
        <v>513.48710079788532</v>
      </c>
      <c r="P24" s="11">
        <f si="11" t="shared"/>
        <v>235.74392907671535</v>
      </c>
      <c r="Q24" s="11">
        <f si="11" t="shared"/>
        <v>32774.570401821118</v>
      </c>
      <c r="R24" s="11">
        <f si="11" t="shared"/>
        <v>9105.7607868717514</v>
      </c>
      <c r="S24" s="11">
        <f ref="S24" si="16" t="shared">S11</f>
        <v>2688.0213057115106</v>
      </c>
      <c r="T24" s="11"/>
      <c r="U24" s="11">
        <f si="13" t="shared"/>
        <v>46180.886583034138</v>
      </c>
    </row>
    <row r="25" spans="1:32" x14ac:dyDescent="0.25">
      <c r="A25" t="str">
        <f>$A$12</f>
        <v>Seattle Downtown</v>
      </c>
      <c r="B25" s="11">
        <f si="8" t="shared"/>
        <v>0</v>
      </c>
      <c r="C25" s="11">
        <f si="8" t="shared"/>
        <v>0</v>
      </c>
      <c r="D25" s="11">
        <f si="8" t="shared"/>
        <v>101.68382654470528</v>
      </c>
      <c r="E25" s="11">
        <f si="8" t="shared"/>
        <v>0</v>
      </c>
      <c r="F25" s="11">
        <f si="8" t="shared"/>
        <v>1512.6985417926912</v>
      </c>
      <c r="G25" s="11">
        <f si="8" t="shared"/>
        <v>4014.7072953180414</v>
      </c>
      <c r="H25" s="11">
        <f si="9" t="shared"/>
        <v>0</v>
      </c>
      <c r="I25" s="11"/>
      <c r="J25" s="11">
        <f si="10" t="shared"/>
        <v>5629.089663655438</v>
      </c>
      <c r="K25" s="12"/>
      <c r="L25" t="str">
        <f>$A$12</f>
        <v>Seattle Downtown</v>
      </c>
      <c r="M25" s="11">
        <f si="5" t="shared"/>
        <v>4</v>
      </c>
      <c r="N25" s="11">
        <f si="11" t="shared"/>
        <v>7.99082834376952</v>
      </c>
      <c r="O25" s="11">
        <f si="11" t="shared"/>
        <v>2</v>
      </c>
      <c r="P25" s="11">
        <f si="11" t="shared"/>
        <v>1.9994842702423901</v>
      </c>
      <c r="Q25" s="11">
        <f si="11" t="shared"/>
        <v>211.60429613354358</v>
      </c>
      <c r="R25" s="11">
        <f si="11" t="shared"/>
        <v>5393.4977492868775</v>
      </c>
      <c r="S25" s="11">
        <f ref="S25" si="17" t="shared">S12</f>
        <v>7.9973056210049203</v>
      </c>
      <c r="T25" s="11"/>
      <c r="U25" s="11">
        <f si="13" t="shared"/>
        <v>5629.089663655438</v>
      </c>
    </row>
    <row r="26" spans="1:32" x14ac:dyDescent="0.25">
      <c r="A26" t="str">
        <f>$A$13</f>
        <v>Rest</v>
      </c>
      <c r="B26" s="11">
        <f si="8" t="shared"/>
        <v>233.06206665417972</v>
      </c>
      <c r="C26" s="11">
        <f si="8" t="shared"/>
        <v>113.03234244350105</v>
      </c>
      <c r="D26" s="11">
        <f si="8" t="shared"/>
        <v>0</v>
      </c>
      <c r="E26" s="11">
        <f si="8" t="shared"/>
        <v>0</v>
      </c>
      <c r="F26" s="11">
        <f si="8" t="shared"/>
        <v>2743.8920910251163</v>
      </c>
      <c r="G26" s="11">
        <f si="8" t="shared"/>
        <v>3822.170841166193</v>
      </c>
      <c r="H26" s="11">
        <f si="9" t="shared"/>
        <v>140907.71732487663</v>
      </c>
      <c r="I26" s="11"/>
      <c r="J26" s="11">
        <f si="10" t="shared"/>
        <v>147819.87466616562</v>
      </c>
      <c r="K26" s="12"/>
      <c r="L26" t="str">
        <f>$A$13</f>
        <v>Rest</v>
      </c>
      <c r="M26" s="11">
        <f si="5" t="shared"/>
        <v>2595.1767771383629</v>
      </c>
      <c r="N26" s="11">
        <f ref="N26:R26" si="18" t="shared">N13</f>
        <v>2133.6020131213572</v>
      </c>
      <c r="O26" s="11">
        <f si="18" t="shared"/>
        <v>2428.1657945939128</v>
      </c>
      <c r="P26" s="11">
        <f si="18" t="shared"/>
        <v>2193.9213679969084</v>
      </c>
      <c r="Q26" s="11">
        <f si="18" t="shared"/>
        <v>7078.5044163259499</v>
      </c>
      <c r="R26" s="11">
        <f si="18" t="shared"/>
        <v>5973.7044988348434</v>
      </c>
      <c r="S26" s="11">
        <f ref="S26" si="19" t="shared">S13</f>
        <v>125416.79979815429</v>
      </c>
      <c r="T26" s="11"/>
      <c r="U26" s="11">
        <f si="13" t="shared"/>
        <v>147819.87466616562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>
        <f ref="B28:J28" si="20" t="shared">SUM(B20:B27)</f>
        <v>4883.3744767760554</v>
      </c>
      <c r="C28" s="14">
        <f si="20" t="shared"/>
        <v>5655.8852998147904</v>
      </c>
      <c r="D28" s="14">
        <f si="20" t="shared"/>
        <v>9067.592225010465</v>
      </c>
      <c r="E28" s="14">
        <f si="20" t="shared"/>
        <v>4780.8735856400663</v>
      </c>
      <c r="F28" s="14">
        <f si="20" t="shared"/>
        <v>44556.319044779266</v>
      </c>
      <c r="G28" s="14">
        <f si="20" t="shared"/>
        <v>13375.990648048653</v>
      </c>
      <c r="H28" s="14">
        <f si="20" t="shared"/>
        <v>146665.0656327859</v>
      </c>
      <c r="I28" s="14">
        <f si="20" t="shared"/>
        <v>0</v>
      </c>
      <c r="J28" s="14">
        <f si="20" t="shared"/>
        <v>228985.10091285518</v>
      </c>
      <c r="K28" s="11"/>
      <c r="L28" s="14" t="s">
        <v>4</v>
      </c>
      <c r="M28" s="14">
        <f ref="M28:U28" si="21" t="shared">M15</f>
        <v>9343.8305076481847</v>
      </c>
      <c r="N28" s="14">
        <f si="21" t="shared"/>
        <v>7298.992169710461</v>
      </c>
      <c r="O28" s="14">
        <f si="21" t="shared"/>
        <v>10195.152895391799</v>
      </c>
      <c r="P28" s="14">
        <f si="21" t="shared"/>
        <v>8230.9147813438667</v>
      </c>
      <c r="Q28" s="14">
        <f si="21" t="shared"/>
        <v>41918.179114280611</v>
      </c>
      <c r="R28" s="14">
        <f si="21" t="shared"/>
        <v>22118.963034993471</v>
      </c>
      <c r="S28" s="14">
        <f si="21" t="shared"/>
        <v>129879.0684094868</v>
      </c>
      <c r="T28" s="14"/>
      <c r="U28" s="14">
        <f si="21" t="shared"/>
        <v>228985.10091285518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>
        <f ref="B33:H33" si="22" t="shared">B20/$J$28</f>
        <v>1.6258771550494187E-2</v>
      </c>
      <c r="C33" s="15">
        <f si="22" t="shared"/>
        <v>1.7030613833489923E-2</v>
      </c>
      <c r="D33" s="15">
        <f si="22" t="shared"/>
        <v>1.0299509573569469E-3</v>
      </c>
      <c r="E33" s="15">
        <f si="22" t="shared"/>
        <v>6.5238246301190135E-3</v>
      </c>
      <c r="F33" s="15">
        <f si="22" t="shared"/>
        <v>5.993826643379825E-3</v>
      </c>
      <c r="G33" s="15">
        <f si="22" t="shared"/>
        <v>0</v>
      </c>
      <c r="H33" s="15">
        <f si="22" t="shared"/>
        <v>3.2012024434755937E-3</v>
      </c>
      <c r="I33" s="11"/>
      <c r="J33" s="15">
        <f ref="J33:J39" si="23" t="shared">J20/$J$28</f>
        <v>5.0038190058315495E-2</v>
      </c>
      <c r="K33" s="11"/>
      <c r="L33" t="str">
        <f>$A$7</f>
        <v>Bellevue</v>
      </c>
      <c r="M33" s="15">
        <f ref="M33:R33" si="24" t="shared">M20/$U$28</f>
        <v>2.1285227643936963E-2</v>
      </c>
      <c r="N33" s="15">
        <f si="24" t="shared"/>
        <v>1.232940478985331E-2</v>
      </c>
      <c r="O33" s="15">
        <f si="24" t="shared"/>
        <v>2.3702415477527259E-3</v>
      </c>
      <c r="P33" s="15">
        <f si="24" t="shared"/>
        <v>4.9730309765148167E-3</v>
      </c>
      <c r="Q33" s="15">
        <f si="24" t="shared"/>
        <v>2.8888342401445014E-3</v>
      </c>
      <c r="R33" s="15">
        <f si="24" t="shared"/>
        <v>3.4456390256598817E-3</v>
      </c>
      <c r="S33" s="15">
        <f ref="S33" si="25" t="shared">S20/$U$28</f>
        <v>2.7458118344532959E-3</v>
      </c>
      <c r="T33" s="15"/>
      <c r="U33" s="15">
        <f ref="U33:U39" si="26" t="shared">U20/$U$28</f>
        <v>5.0038190058315495E-2</v>
      </c>
      <c r="W33" t="str">
        <f>$A$7</f>
        <v>Bellevue</v>
      </c>
      <c r="X33" s="15">
        <f ref="X33:AE33" si="27" t="shared">M33-B33</f>
        <v>5.0264560934427764E-3</v>
      </c>
      <c r="Y33" s="15">
        <f si="27" t="shared"/>
        <v>-4.701209043636613E-3</v>
      </c>
      <c r="Z33" s="15">
        <f si="27" t="shared"/>
        <v>1.340290590395779E-3</v>
      </c>
      <c r="AA33" s="15">
        <f si="27" t="shared"/>
        <v>-1.5507936536041968E-3</v>
      </c>
      <c r="AB33" s="15">
        <f si="27" t="shared"/>
        <v>-3.1049924032353236E-3</v>
      </c>
      <c r="AC33" s="15">
        <f si="27" t="shared"/>
        <v>3.4456390256598817E-3</v>
      </c>
      <c r="AD33" s="15">
        <f si="27" t="shared"/>
        <v>-4.5539060902229783E-4</v>
      </c>
      <c r="AE33" s="15">
        <f si="27" t="shared"/>
        <v>0</v>
      </c>
      <c r="AF33" s="15">
        <f ref="AF33:AF39" si="28" t="shared">U33-J33</f>
        <v>0</v>
      </c>
    </row>
    <row r="34" spans="1:32" x14ac:dyDescent="0.25">
      <c r="A34" t="str">
        <f>$A$8</f>
        <v>Bellevue Downtown</v>
      </c>
      <c r="B34" s="15">
        <f ref="B34:G39" si="29" t="shared">B21/$J$28</f>
        <v>0</v>
      </c>
      <c r="C34" s="15">
        <f si="29" t="shared"/>
        <v>0</v>
      </c>
      <c r="D34" s="15">
        <f si="29" t="shared"/>
        <v>1.8430956198482577E-3</v>
      </c>
      <c r="E34" s="15">
        <f si="29" t="shared"/>
        <v>0</v>
      </c>
      <c r="F34" s="15">
        <f si="29" t="shared"/>
        <v>2.5163583185103949E-3</v>
      </c>
      <c r="G34" s="15">
        <f si="29" t="shared"/>
        <v>0</v>
      </c>
      <c r="H34" s="15">
        <f ref="H34:H39" si="30" t="shared">H21/$J$28</f>
        <v>0</v>
      </c>
      <c r="I34" s="11"/>
      <c r="J34" s="15">
        <f si="23" t="shared"/>
        <v>4.3594539383586522E-3</v>
      </c>
      <c r="K34" s="11"/>
      <c r="L34" t="str">
        <f>$A$8</f>
        <v>Bellevue Downtown</v>
      </c>
      <c r="M34" s="15">
        <f ref="M34:R39" si="31" t="shared">M21/$U$28</f>
        <v>4.410767320553207E-4</v>
      </c>
      <c r="N34" s="15">
        <f si="31" t="shared"/>
        <v>3.7829972192368472E-3</v>
      </c>
      <c r="O34" s="15">
        <f si="31" t="shared"/>
        <v>6.3322897176258918E-5</v>
      </c>
      <c r="P34" s="15">
        <f si="31" t="shared"/>
        <v>1.5284837249441809E-5</v>
      </c>
      <c r="Q34" s="15">
        <f si="31" t="shared"/>
        <v>1.8560159517179337E-5</v>
      </c>
      <c r="R34" s="15">
        <f si="31" t="shared"/>
        <v>3.2753222677375301E-5</v>
      </c>
      <c r="S34" s="15">
        <f ref="S34" si="32" t="shared">S21/$U$28</f>
        <v>5.4588704462292165E-6</v>
      </c>
      <c r="T34" s="15"/>
      <c r="U34" s="15">
        <f si="26" t="shared"/>
        <v>4.3594539383586522E-3</v>
      </c>
      <c r="W34" t="str">
        <f>$A$8</f>
        <v>Bellevue Downtown</v>
      </c>
      <c r="X34" s="15">
        <f ref="X34:X39" si="33" t="shared">M34-B34</f>
        <v>4.410767320553207E-4</v>
      </c>
      <c r="Y34" s="15">
        <f ref="Y34:AC38" si="34" t="shared">N34-C34</f>
        <v>3.7829972192368472E-3</v>
      </c>
      <c r="Z34" s="15">
        <f si="34" t="shared"/>
        <v>-1.7797727226719988E-3</v>
      </c>
      <c r="AA34" s="15">
        <f si="34" t="shared"/>
        <v>1.5284837249441809E-5</v>
      </c>
      <c r="AB34" s="15">
        <f si="34" t="shared"/>
        <v>-2.4977981589932156E-3</v>
      </c>
      <c r="AC34" s="15">
        <f si="34" t="shared"/>
        <v>3.2753222677375301E-5</v>
      </c>
      <c r="AD34" s="15">
        <f ref="AD34:AE39" si="35" t="shared">S34-H34</f>
        <v>5.4588704462292165E-6</v>
      </c>
      <c r="AE34" s="15">
        <f si="35" t="shared"/>
        <v>0</v>
      </c>
      <c r="AF34" s="15">
        <f si="28" t="shared"/>
        <v>0</v>
      </c>
    </row>
    <row r="35" spans="1:32" x14ac:dyDescent="0.25">
      <c r="A35" t="str">
        <f>$A$9</f>
        <v>Kirkland</v>
      </c>
      <c r="B35" s="15">
        <f si="29" t="shared"/>
        <v>0</v>
      </c>
      <c r="C35" s="15">
        <f si="29" t="shared"/>
        <v>0</v>
      </c>
      <c r="D35" s="15">
        <f si="29" t="shared"/>
        <v>1.8488389013601281E-2</v>
      </c>
      <c r="E35" s="15">
        <f si="29" t="shared"/>
        <v>0</v>
      </c>
      <c r="F35" s="15">
        <f si="29" t="shared"/>
        <v>1.634520537599253E-2</v>
      </c>
      <c r="G35" s="15">
        <f si="29" t="shared"/>
        <v>6.6287101976955859E-3</v>
      </c>
      <c r="H35" s="15">
        <f si="30" t="shared"/>
        <v>0</v>
      </c>
      <c r="I35" s="11"/>
      <c r="J35" s="15">
        <f si="23" t="shared"/>
        <v>4.1462304587289396E-2</v>
      </c>
      <c r="K35" s="12"/>
      <c r="L35" t="str">
        <f>$A$9</f>
        <v>Kirkland</v>
      </c>
      <c r="M35" s="15">
        <f si="31" t="shared"/>
        <v>2.1344183444756237E-3</v>
      </c>
      <c r="N35" s="15">
        <f si="31" t="shared"/>
        <v>2.6169824919222867E-3</v>
      </c>
      <c r="O35" s="15">
        <f si="31" t="shared"/>
        <v>2.424830252215018E-2</v>
      </c>
      <c r="P35" s="15">
        <f si="31" t="shared"/>
        <v>3.7032977107219005E-3</v>
      </c>
      <c r="Q35" s="15">
        <f si="31" t="shared"/>
        <v>3.5253385341748283E-3</v>
      </c>
      <c r="R35" s="15">
        <f si="31" t="shared"/>
        <v>2.1737222116884739E-3</v>
      </c>
      <c r="S35" s="15">
        <f ref="S35" si="36" t="shared">S22/$U$28</f>
        <v>3.060242772156099E-3</v>
      </c>
      <c r="T35" s="15"/>
      <c r="U35" s="15">
        <f si="26" t="shared"/>
        <v>4.1462304587289396E-2</v>
      </c>
      <c r="W35" t="str">
        <f>$A$9</f>
        <v>Kirkland</v>
      </c>
      <c r="X35" s="15">
        <f si="33" t="shared"/>
        <v>2.1344183444756237E-3</v>
      </c>
      <c r="Y35" s="15">
        <f si="34" t="shared"/>
        <v>2.6169824919222867E-3</v>
      </c>
      <c r="Z35" s="15">
        <f si="34" t="shared"/>
        <v>5.7599135085488994E-3</v>
      </c>
      <c r="AA35" s="15">
        <f si="34" t="shared"/>
        <v>3.7032977107219005E-3</v>
      </c>
      <c r="AB35" s="15">
        <f si="34" t="shared"/>
        <v>-1.2819866841817702E-2</v>
      </c>
      <c r="AC35" s="15">
        <f si="34" t="shared"/>
        <v>-4.4549879860071116E-3</v>
      </c>
      <c r="AD35" s="15">
        <f si="35" t="shared"/>
        <v>3.060242772156099E-3</v>
      </c>
      <c r="AE35" s="15">
        <f si="35" t="shared"/>
        <v>0</v>
      </c>
      <c r="AF35" s="15">
        <f si="28" t="shared"/>
        <v>0</v>
      </c>
    </row>
    <row r="36" spans="1:32" x14ac:dyDescent="0.25">
      <c r="A36" t="str">
        <f>$A$10</f>
        <v>Redmond</v>
      </c>
      <c r="B36" s="15">
        <f si="29" t="shared"/>
        <v>3.4148348188339176E-3</v>
      </c>
      <c r="C36" s="15">
        <f si="29" t="shared"/>
        <v>0</v>
      </c>
      <c r="D36" s="15">
        <f si="29" t="shared"/>
        <v>1.257391311466903E-2</v>
      </c>
      <c r="E36" s="15">
        <f si="29" t="shared"/>
        <v>1.4354710988927759E-2</v>
      </c>
      <c r="F36" s="15">
        <f si="29" t="shared"/>
        <v>0</v>
      </c>
      <c r="G36" s="15">
        <f si="29" t="shared"/>
        <v>0</v>
      </c>
      <c r="H36" s="15">
        <f si="30" t="shared"/>
        <v>1.9937978269419267E-3</v>
      </c>
      <c r="I36" s="11"/>
      <c r="J36" s="15">
        <f si="23" t="shared"/>
        <v>3.2337256749372635E-2</v>
      </c>
      <c r="K36" s="12"/>
      <c r="L36" t="str">
        <f>$A$10</f>
        <v>Redmond</v>
      </c>
      <c r="M36" s="15">
        <f si="31" t="shared"/>
        <v>3.6214146540284623E-3</v>
      </c>
      <c r="N36" s="15">
        <f si="31" t="shared"/>
        <v>1.9957630351414017E-3</v>
      </c>
      <c r="O36" s="15">
        <f si="31" t="shared"/>
        <v>4.9861322655857668E-3</v>
      </c>
      <c r="P36" s="15">
        <f si="31" t="shared"/>
        <v>1.6634270023749669E-2</v>
      </c>
      <c r="Q36" s="15">
        <f si="31" t="shared"/>
        <v>1.6616801638321735E-3</v>
      </c>
      <c r="R36" s="15">
        <f si="31" t="shared"/>
        <v>1.5361261435689016E-3</v>
      </c>
      <c r="S36" s="15">
        <f ref="S36" si="37" t="shared">S23/$U$28</f>
        <v>1.901870463466259E-3</v>
      </c>
      <c r="T36" s="15"/>
      <c r="U36" s="15">
        <f si="26" t="shared"/>
        <v>3.2337256749372635E-2</v>
      </c>
      <c r="W36" t="str">
        <f>$A$10</f>
        <v>Redmond</v>
      </c>
      <c r="X36" s="15">
        <f si="33" t="shared"/>
        <v>2.0657983519454474E-4</v>
      </c>
      <c r="Y36" s="15">
        <f si="34" t="shared"/>
        <v>1.9957630351414017E-3</v>
      </c>
      <c r="Z36" s="15">
        <f si="34" t="shared"/>
        <v>-7.5877808490832635E-3</v>
      </c>
      <c r="AA36" s="15">
        <f si="34" t="shared"/>
        <v>2.2795590348219097E-3</v>
      </c>
      <c r="AB36" s="15">
        <f si="34" t="shared"/>
        <v>1.6616801638321735E-3</v>
      </c>
      <c r="AC36" s="15">
        <f si="34" t="shared"/>
        <v>1.5361261435689016E-3</v>
      </c>
      <c r="AD36" s="15">
        <f si="35" t="shared"/>
        <v>-9.1927363475667644E-5</v>
      </c>
      <c r="AE36" s="15">
        <f si="35" t="shared"/>
        <v>0</v>
      </c>
      <c r="AF36" s="15">
        <f si="28" t="shared"/>
        <v>0</v>
      </c>
    </row>
    <row r="37" spans="1:32" x14ac:dyDescent="0.25">
      <c r="A37" t="str">
        <f>$A$11</f>
        <v>Seattle</v>
      </c>
      <c r="B37" s="15">
        <f si="29" t="shared"/>
        <v>6.34756015749706E-4</v>
      </c>
      <c r="C37" s="15">
        <f si="29" t="shared"/>
        <v>7.1755591239407524E-3</v>
      </c>
      <c r="D37" s="15">
        <f si="29" t="shared"/>
        <v>5.2196371985109317E-3</v>
      </c>
      <c r="E37" s="15">
        <f si="29" t="shared"/>
        <v>0</v>
      </c>
      <c r="F37" s="15">
        <f si="29" t="shared"/>
        <v>0.15113740679741347</v>
      </c>
      <c r="G37" s="15">
        <f si="29" t="shared"/>
        <v>1.7561127872478408E-2</v>
      </c>
      <c r="H37" s="15">
        <f si="30" t="shared"/>
        <v>1.9947894550937449E-2</v>
      </c>
      <c r="I37" s="11"/>
      <c r="J37" s="15">
        <f si="23" t="shared"/>
        <v>0.2016763815590307</v>
      </c>
      <c r="K37" s="12"/>
      <c r="L37" t="str">
        <f>$A$11</f>
        <v>Seattle</v>
      </c>
      <c r="M37" s="15">
        <f si="31" t="shared"/>
        <v>1.9724153611273922E-3</v>
      </c>
      <c r="N37" s="15">
        <f si="31" t="shared"/>
        <v>1.7977122817348517E-3</v>
      </c>
      <c r="O37" s="15">
        <f si="31" t="shared"/>
        <v>2.2424476472523991E-3</v>
      </c>
      <c r="P37" s="15">
        <f si="31" t="shared"/>
        <v>1.0295164538518704E-3</v>
      </c>
      <c r="Q37" s="15">
        <f si="31" t="shared"/>
        <v>0.14312970700348809</v>
      </c>
      <c r="R37" s="15">
        <f si="31" t="shared"/>
        <v>3.9765734759909681E-2</v>
      </c>
      <c r="S37" s="15">
        <f ref="S37" si="38" t="shared">S24/$U$28</f>
        <v>1.1738848051666429E-2</v>
      </c>
      <c r="T37" s="15"/>
      <c r="U37" s="15">
        <f si="26" t="shared"/>
        <v>0.20167638155903073</v>
      </c>
      <c r="W37" t="str">
        <f>$A$11</f>
        <v>Seattle</v>
      </c>
      <c r="X37" s="15">
        <f si="33" t="shared"/>
        <v>1.3376593453776862E-3</v>
      </c>
      <c r="Y37" s="15">
        <f si="34" t="shared"/>
        <v>-5.3778468422059009E-3</v>
      </c>
      <c r="Z37" s="15">
        <f si="34" t="shared"/>
        <v>-2.9771895512585326E-3</v>
      </c>
      <c r="AA37" s="15">
        <f si="34" t="shared"/>
        <v>1.0295164538518704E-3</v>
      </c>
      <c r="AB37" s="15">
        <f si="34" t="shared"/>
        <v>-8.0076997939253769E-3</v>
      </c>
      <c r="AC37" s="15">
        <f si="34" t="shared"/>
        <v>2.2204606887431273E-2</v>
      </c>
      <c r="AD37" s="15">
        <f si="35" t="shared"/>
        <v>-8.2090464992710197E-3</v>
      </c>
      <c r="AE37" s="15">
        <f si="35" t="shared"/>
        <v>0</v>
      </c>
      <c r="AF37" s="15">
        <f si="28" t="shared"/>
        <v>0</v>
      </c>
    </row>
    <row r="38" spans="1:32" x14ac:dyDescent="0.25">
      <c r="A38" t="str">
        <f>$A$12</f>
        <v>Seattle Downtown</v>
      </c>
      <c r="B38" s="15">
        <f si="29" t="shared"/>
        <v>0</v>
      </c>
      <c r="C38" s="15">
        <f si="29" t="shared"/>
        <v>0</v>
      </c>
      <c r="D38" s="15">
        <f si="29" t="shared"/>
        <v>4.4406306846751168E-4</v>
      </c>
      <c r="E38" s="15">
        <f si="29" t="shared"/>
        <v>0</v>
      </c>
      <c r="F38" s="15">
        <f si="29" t="shared"/>
        <v>6.6061002910769231E-3</v>
      </c>
      <c r="G38" s="15">
        <f si="29" t="shared"/>
        <v>1.7532613603737989E-2</v>
      </c>
      <c r="H38" s="15">
        <f si="30" t="shared"/>
        <v>0</v>
      </c>
      <c r="I38" s="11"/>
      <c r="J38" s="15">
        <f si="23" t="shared"/>
        <v>2.4582776963282427E-2</v>
      </c>
      <c r="K38" s="12"/>
      <c r="L38" t="str">
        <f>$A$12</f>
        <v>Seattle Downtown</v>
      </c>
      <c r="M38" s="15">
        <f si="31" t="shared"/>
        <v>1.7468385427933492E-5</v>
      </c>
      <c r="N38" s="15">
        <f si="31" t="shared"/>
        <v>3.4896717349355352E-5</v>
      </c>
      <c r="O38" s="15">
        <f si="31" t="shared"/>
        <v>8.7341927139667461E-6</v>
      </c>
      <c r="P38" s="15">
        <f si="31" t="shared"/>
        <v>8.7319404724211012E-6</v>
      </c>
      <c r="Q38" s="15">
        <f si="31" t="shared"/>
        <v>9.2409635076682911E-4</v>
      </c>
      <c r="R38" s="15">
        <f si="31" t="shared"/>
        <v>2.3553924372308747E-2</v>
      </c>
      <c r="S38" s="15">
        <f ref="S38" si="39" t="shared">S25/$U$28</f>
        <v>3.4925004243173245E-5</v>
      </c>
      <c r="T38" s="15"/>
      <c r="U38" s="15">
        <f si="26" t="shared"/>
        <v>2.4582776963282427E-2</v>
      </c>
      <c r="W38" t="str">
        <f>$A$12</f>
        <v>Seattle Downtown</v>
      </c>
      <c r="X38" s="15">
        <f si="33" t="shared"/>
        <v>1.7468385427933492E-5</v>
      </c>
      <c r="Y38" s="15">
        <f si="34" t="shared"/>
        <v>3.4896717349355352E-5</v>
      </c>
      <c r="Z38" s="15">
        <f si="34" t="shared"/>
        <v>-4.3532887575354495E-4</v>
      </c>
      <c r="AA38" s="15">
        <f si="34" t="shared"/>
        <v>8.7319404724211012E-6</v>
      </c>
      <c r="AB38" s="15">
        <f si="34" t="shared"/>
        <v>-5.6820039403100943E-3</v>
      </c>
      <c r="AC38" s="15">
        <f si="34" t="shared"/>
        <v>6.0213107685707576E-3</v>
      </c>
      <c r="AD38" s="15">
        <f si="35" t="shared"/>
        <v>3.4925004243173245E-5</v>
      </c>
      <c r="AE38" s="15">
        <f si="35" t="shared"/>
        <v>0</v>
      </c>
      <c r="AF38" s="15">
        <f si="28" t="shared"/>
        <v>0</v>
      </c>
    </row>
    <row r="39" spans="1:32" x14ac:dyDescent="0.25">
      <c r="A39" t="str">
        <f>$A$13</f>
        <v>Rest</v>
      </c>
      <c r="B39" s="15">
        <f si="29" t="shared"/>
        <v>1.0178045022364844E-3</v>
      </c>
      <c r="C39" s="15">
        <f si="29" t="shared"/>
        <v>4.9362313090631053E-4</v>
      </c>
      <c r="D39" s="15">
        <f si="29" t="shared"/>
        <v>0</v>
      </c>
      <c r="E39" s="15">
        <f si="29" t="shared"/>
        <v>0</v>
      </c>
      <c r="F39" s="15">
        <f si="29" t="shared"/>
        <v>1.1982841154671277E-2</v>
      </c>
      <c r="G39" s="15">
        <f si="29" t="shared"/>
        <v>1.6691788356224958E-2</v>
      </c>
      <c r="H39" s="15">
        <f si="30" t="shared"/>
        <v>0.61535757900031174</v>
      </c>
      <c r="I39" s="11"/>
      <c r="J39" s="15">
        <f si="23" t="shared"/>
        <v>0.64554363614435073</v>
      </c>
      <c r="K39" s="12"/>
      <c r="L39" t="str">
        <f>A39</f>
        <v>Rest</v>
      </c>
      <c r="M39" s="15">
        <f si="31" t="shared"/>
        <v>1.1333387049168796E-2</v>
      </c>
      <c r="N39" s="15">
        <f si="31" t="shared"/>
        <v>9.3176455787546703E-3</v>
      </c>
      <c r="O39" s="15">
        <f si="31" t="shared"/>
        <v>1.0604033995722715E-2</v>
      </c>
      <c r="P39" s="15">
        <f si="31" t="shared"/>
        <v>9.5810660136872779E-3</v>
      </c>
      <c r="Q39" s="15">
        <f si="31" t="shared"/>
        <v>3.0912510849427775E-2</v>
      </c>
      <c r="R39" s="15">
        <f si="31" t="shared"/>
        <v>2.6087743154556833E-2</v>
      </c>
      <c r="S39" s="15">
        <f ref="S39" si="40" t="shared">S26/$U$28</f>
        <v>0.54770724950303262</v>
      </c>
      <c r="T39" s="15"/>
      <c r="U39" s="15">
        <f si="26" t="shared"/>
        <v>0.64554363614435073</v>
      </c>
      <c r="W39" t="str">
        <f>$A$13</f>
        <v>Rest</v>
      </c>
      <c r="X39" s="15">
        <f si="33" t="shared"/>
        <v>1.0315582546932312E-2</v>
      </c>
      <c r="Y39" s="15">
        <f ref="Y39" si="41" t="shared">N39-C39</f>
        <v>8.8240224478483599E-3</v>
      </c>
      <c r="Z39" s="15">
        <f ref="Z39" si="42" t="shared">O39-D39</f>
        <v>1.0604033995722715E-2</v>
      </c>
      <c r="AA39" s="15">
        <f ref="AA39" si="43" t="shared">P39-E39</f>
        <v>9.5810660136872779E-3</v>
      </c>
      <c r="AB39" s="15">
        <f ref="AB39" si="44" t="shared">Q39-F39</f>
        <v>1.8929669694756499E-2</v>
      </c>
      <c r="AC39" s="15">
        <f ref="AC39" si="45" t="shared">R39-G39</f>
        <v>9.3959547983318743E-3</v>
      </c>
      <c r="AD39" s="15">
        <f si="35" t="shared"/>
        <v>-6.7650329497279116E-2</v>
      </c>
      <c r="AE39" s="15">
        <f si="35" t="shared"/>
        <v>0</v>
      </c>
      <c r="AF39" s="15">
        <f si="28" t="shared"/>
        <v>0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>
        <f ref="B41:J41" si="46" t="shared">B28/$J$28</f>
        <v>2.1326166887314299E-2</v>
      </c>
      <c r="C41" s="17">
        <f si="46" t="shared"/>
        <v>2.4699796088336987E-2</v>
      </c>
      <c r="D41" s="17">
        <f si="46" t="shared"/>
        <v>3.9599048972453962E-2</v>
      </c>
      <c r="E41" s="17">
        <f si="46" t="shared"/>
        <v>2.0878535619046772E-2</v>
      </c>
      <c r="F41" s="17">
        <f si="46" t="shared"/>
        <v>0.19458173858104444</v>
      </c>
      <c r="G41" s="17">
        <f si="46" t="shared"/>
        <v>5.8414240030136948E-2</v>
      </c>
      <c r="H41" s="17">
        <f si="46" t="shared"/>
        <v>0.64050047382166664</v>
      </c>
      <c r="I41" s="17">
        <f si="46" t="shared"/>
        <v>0</v>
      </c>
      <c r="J41" s="17">
        <f si="46" t="shared"/>
        <v>1</v>
      </c>
      <c r="K41" s="11"/>
      <c r="L41" s="14" t="s">
        <v>4</v>
      </c>
      <c r="M41" s="17">
        <f>M28/$U$28</f>
        <v>4.0805408170220492E-2</v>
      </c>
      <c r="N41" s="17">
        <f>N28/$U$28</f>
        <v>3.1875402113992722E-2</v>
      </c>
      <c r="O41" s="17">
        <f>O28/$U$28</f>
        <v>4.4523215068354015E-2</v>
      </c>
      <c r="P41" s="17">
        <f>P28/$U$28</f>
        <v>3.5945197956247399E-2</v>
      </c>
      <c r="Q41" s="17">
        <f ref="Q41:S41" si="47" t="shared">Q28/$U$28</f>
        <v>0.18306072730135139</v>
      </c>
      <c r="R41" s="17">
        <f si="47" t="shared"/>
        <v>9.6595642890369884E-2</v>
      </c>
      <c r="S41" s="17">
        <f si="47" t="shared"/>
        <v>0.56719440649946418</v>
      </c>
      <c r="T41" s="17">
        <f>T28/$U$28</f>
        <v>0</v>
      </c>
      <c r="U41" s="17">
        <f>U28/$U$28</f>
        <v>1</v>
      </c>
      <c r="W41" s="14" t="s">
        <v>4</v>
      </c>
      <c r="X41" s="17">
        <f ref="X41:AF41" si="48" t="shared">M41-B41</f>
        <v>1.9479241282906193E-2</v>
      </c>
      <c r="Y41" s="17">
        <f si="48" t="shared"/>
        <v>7.1756060256557355E-3</v>
      </c>
      <c r="Z41" s="17">
        <f si="48" t="shared"/>
        <v>4.9241660959000524E-3</v>
      </c>
      <c r="AA41" s="17">
        <f si="48" t="shared"/>
        <v>1.5066662337200627E-2</v>
      </c>
      <c r="AB41" s="17">
        <f si="48" t="shared"/>
        <v>-1.1521011279693044E-2</v>
      </c>
      <c r="AC41" s="17">
        <f si="48" t="shared"/>
        <v>3.8181402860232937E-2</v>
      </c>
      <c r="AD41" s="17">
        <f si="48" t="shared"/>
        <v>-7.3306067322202462E-2</v>
      </c>
      <c r="AE41" s="17">
        <f si="48" t="shared"/>
        <v>0</v>
      </c>
      <c r="AF41" s="17">
        <f si="48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U42" sqref="U42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10443.7812211578</v>
      </c>
      <c r="F4" s="217" t="s">
        <v>217</v>
      </c>
      <c r="G4" s="218">
        <f>TLFD!F11</f>
        <v>43335.543947911145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40171.395717980748</v>
      </c>
      <c r="F5" s="204" t="s">
        <v>218</v>
      </c>
      <c r="G5" s="220">
        <f>TLFD!F12+TLFD!F13+(TLFD!F14/2)</f>
        <v>44053.637049112367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ref="Q5:Q68" si="0" t="shared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121447.84736939883</v>
      </c>
      <c r="F6" s="204" t="s">
        <v>214</v>
      </c>
      <c r="G6" s="220">
        <f>(TLFD!F14/2)+SUM(TLFD!F15:F20)</f>
        <v>95818.230285227197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si="0" t="shared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52899.195305924593</v>
      </c>
      <c r="F7" s="205" t="s">
        <v>215</v>
      </c>
      <c r="G7" s="222">
        <f>SUM(TLFD!F21:F101)</f>
        <v>46401.319557167968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si="0" t="shared"/>
        <v>-0.34490013167299999</v>
      </c>
      <c r="T7" s="208">
        <v>5</v>
      </c>
      <c r="U7" s="208" t="s">
        <v>282</v>
      </c>
      <c r="V7" s="208"/>
      <c r="W7" s="208"/>
    </row>
    <row ht="15.75" r="8" spans="3:23" thickBot="1" x14ac:dyDescent="0.3">
      <c r="C8" s="206" t="s">
        <v>4</v>
      </c>
      <c r="D8" s="224">
        <f>SUM(D4:D7)</f>
        <v>224962.21961446197</v>
      </c>
      <c r="E8" s="225"/>
      <c r="F8" s="206" t="s">
        <v>4</v>
      </c>
      <c r="G8" s="224">
        <f>SUM(G4:G7)</f>
        <v>229608.73083941868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si="0" t="shared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si="0" t="shared"/>
        <v>-3.9895313632499998</v>
      </c>
      <c r="T9" s="208"/>
      <c r="U9" s="289" t="s">
        <v>283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si="0" t="shared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si="0" t="shared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4.6424600713205311E-2</v>
      </c>
      <c r="F12" s="217" t="s">
        <v>217</v>
      </c>
      <c r="G12" s="227">
        <f>G4/G$8</f>
        <v>0.18873648135888482</v>
      </c>
      <c r="H12" s="227"/>
      <c r="I12" s="258">
        <f>D12/G12</f>
        <v>0.24597576673546404</v>
      </c>
      <c r="J12" s="259">
        <f>LN(I12)</f>
        <v>-1.4025222571075555</v>
      </c>
      <c r="K12" s="259">
        <f>J8*J12</f>
        <v>-1.4025222571075555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si="0" t="shared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0.17856952063695891</v>
      </c>
      <c r="F13" s="204" t="s">
        <v>218</v>
      </c>
      <c r="G13" s="228">
        <f ref="G13:G16" si="2" t="shared">G5/G$8</f>
        <v>0.19186394562636266</v>
      </c>
      <c r="H13" s="228"/>
      <c r="I13" s="258">
        <f ref="I13:I15" si="3" t="shared">D13/G13</f>
        <v>0.93070910250488947</v>
      </c>
      <c r="J13" s="259">
        <f ref="J13:J15" si="4" t="shared">LN(I13)</f>
        <v>-7.1808507560132462E-2</v>
      </c>
      <c r="K13" s="259">
        <f>J8*(J13-J12)</f>
        <v>1.3307137495474231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si="0" t="shared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si="1" t="shared"/>
        <v>0.5398588597566959</v>
      </c>
      <c r="F14" s="204" t="s">
        <v>214</v>
      </c>
      <c r="G14" s="228">
        <f si="2" t="shared"/>
        <v>0.4173109181646909</v>
      </c>
      <c r="H14" s="228"/>
      <c r="I14" s="258">
        <f si="3" t="shared"/>
        <v>1.2936610001266291</v>
      </c>
      <c r="J14" s="259">
        <f si="4" t="shared"/>
        <v>0.25747618349259827</v>
      </c>
      <c r="K14" s="259">
        <f>J8*(J14-J13-J12)</f>
        <v>1.7318069481602862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si="0" t="shared"/>
        <v>-0.80534348065299999</v>
      </c>
      <c r="T14" s="208">
        <v>5</v>
      </c>
      <c r="U14" s="202" t="s">
        <v>287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0.23514701889313999</v>
      </c>
      <c r="F15" s="205" t="s">
        <v>215</v>
      </c>
      <c r="G15" s="228">
        <f si="2" t="shared"/>
        <v>0.20208865485006156</v>
      </c>
      <c r="H15" s="228"/>
      <c r="I15" s="260">
        <f si="3" t="shared"/>
        <v>1.1635834731425467</v>
      </c>
      <c r="J15" s="261">
        <f si="4" t="shared"/>
        <v>0.15150444432606866</v>
      </c>
      <c r="K15" s="261">
        <f>J8*(J15-J14-J13-J12)</f>
        <v>1.3683590255011584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si="0" t="shared"/>
        <v>-0.51977799879300002</v>
      </c>
      <c r="T15" s="208">
        <v>6</v>
      </c>
      <c r="U15" s="208" t="s">
        <v>288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si="0" t="shared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si="0" t="shared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si="0" t="shared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si="0" t="shared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si="0" t="shared"/>
        <v>-12.0946718381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si="0" t="shared"/>
        <v>-4.03623745316</v>
      </c>
    </row>
    <row r="25" spans="2:23" x14ac:dyDescent="0.25">
      <c r="B25" s="263">
        <v>46</v>
      </c>
      <c r="C25" s="204" t="s">
        <v>214</v>
      </c>
      <c r="D25" s="267">
        <f si="5" t="shared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si="0" t="shared"/>
        <v>-2.16371815818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si="0" t="shared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si="0" t="shared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si="0" t="shared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si="0" t="shared"/>
        <v>-5.1880432348000003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si="0" t="shared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si="0" t="shared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-1.4025222571075555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si="0" t="shared"/>
        <v>5.7553461640599997E-2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1.3307137495474231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si="0" t="shared"/>
        <v>0.237798002151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1.7318069481602862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1.3683590255011584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si="0" t="shared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si="0" t="shared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si="0" t="shared"/>
        <v>-7.1836373472300004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si="0" t="shared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si="0" t="shared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-33.558616349207554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si="0" t="shared"/>
        <v>-0.22141031751900001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-6.2244736271725767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si="0" t="shared"/>
        <v>0.64228876129599999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-1.7466028749797136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si="0" t="shared"/>
        <v>0.74588429254199995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0.57664117837815843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si="0" t="shared"/>
        <v>-33.558616349207554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si="0" t="shared"/>
        <v>-6.2244736271725767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si="0" t="shared"/>
        <v>-1.7466028749797136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si="0" t="shared"/>
        <v>0.57664117837815843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si="0" t="shared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si="0" t="shared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si="0" t="shared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si="0" t="shared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si="0" t="shared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si="0" t="shared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si="0" t="shared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si="0" t="shared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si="0" t="shared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si="0" t="shared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si="0" t="shared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si="0" t="shared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si="0" t="shared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si="0" t="shared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si="0" t="shared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si="0" t="shared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si="0" t="shared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si="0" t="shared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ref="Q69:Q104" si="10" t="shared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si="10" t="shared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si="10" t="shared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si="10" t="shared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si="10" t="shared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si="10" t="shared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si="10" t="shared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si="10" t="shared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si="10" t="shared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si="10" t="shared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si="10" t="shared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si="10" t="shared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si="10" t="shared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si="10" t="shared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si="10" t="shared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si="10" t="shared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si="10" t="shared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si="10" t="shared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si="10" t="shared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si="10" t="shared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si="10" t="shared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si="10" t="shared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si="10" t="shared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si="10" t="shared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si="10" t="shared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si="10" t="shared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si="10" t="shared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si="10" t="shared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si="10" t="shared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si="10" t="shared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si="10" t="shared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si="10" t="shared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si="10" t="shared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si="10" t="shared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si="10" t="shared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2017-07-14T02:42:45Z</dcterms:modified>
</cp:coreProperties>
</file>