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xWindow="10050" yWindow="-15" windowWidth="14190" windowHeight="10695" activeTab="6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10" r:id="rId5"/>
    <sheet name="OtherTourDestination" sheetId="9" r:id="rId6"/>
    <sheet name="Calibration" sheetId="7" r:id="rId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</definedNames>
  <calcPr calcId="171027"/>
</workbook>
</file>

<file path=xl/calcChain.xml><?xml version="1.0" encoding="utf-8"?>
<calcChain xmlns="http://schemas.openxmlformats.org/spreadsheetml/2006/main">
  <c r="P104" i="7" l="1"/>
  <c r="O104" i="7"/>
  <c r="N104" i="7"/>
  <c r="M104" i="7" s="1"/>
  <c r="P103" i="7"/>
  <c r="O103" i="7"/>
  <c r="N103" i="7"/>
  <c r="M103" i="7" s="1"/>
  <c r="P102" i="7"/>
  <c r="O102" i="7"/>
  <c r="N102" i="7"/>
  <c r="P101" i="7"/>
  <c r="O101" i="7"/>
  <c r="N101" i="7"/>
  <c r="M101" i="7" s="1"/>
  <c r="P100" i="7"/>
  <c r="O100" i="7"/>
  <c r="N100" i="7"/>
  <c r="M100" i="7" s="1"/>
  <c r="P99" i="7"/>
  <c r="O99" i="7"/>
  <c r="N99" i="7"/>
  <c r="M99" i="7" s="1"/>
  <c r="P98" i="7"/>
  <c r="O98" i="7"/>
  <c r="N98" i="7"/>
  <c r="M98" i="7" s="1"/>
  <c r="P97" i="7"/>
  <c r="O97" i="7"/>
  <c r="N97" i="7"/>
  <c r="M97" i="7" s="1"/>
  <c r="P96" i="7"/>
  <c r="O96" i="7"/>
  <c r="N96" i="7"/>
  <c r="M96" i="7" s="1"/>
  <c r="P95" i="7"/>
  <c r="O95" i="7"/>
  <c r="N95" i="7"/>
  <c r="M95" i="7" s="1"/>
  <c r="P94" i="7"/>
  <c r="O94" i="7"/>
  <c r="N94" i="7"/>
  <c r="M94" i="7" s="1"/>
  <c r="P93" i="7"/>
  <c r="O93" i="7"/>
  <c r="N93" i="7"/>
  <c r="M93" i="7" s="1"/>
  <c r="P92" i="7"/>
  <c r="O92" i="7"/>
  <c r="N92" i="7"/>
  <c r="M92" i="7" s="1"/>
  <c r="P91" i="7"/>
  <c r="O91" i="7"/>
  <c r="N91" i="7"/>
  <c r="M91" i="7" s="1"/>
  <c r="P90" i="7"/>
  <c r="O90" i="7"/>
  <c r="N90" i="7"/>
  <c r="M90" i="7" s="1"/>
  <c r="P89" i="7"/>
  <c r="O89" i="7"/>
  <c r="N89" i="7"/>
  <c r="M89" i="7" s="1"/>
  <c r="P88" i="7"/>
  <c r="O88" i="7"/>
  <c r="N88" i="7"/>
  <c r="M88" i="7" s="1"/>
  <c r="P87" i="7"/>
  <c r="O87" i="7"/>
  <c r="N87" i="7"/>
  <c r="M87" i="7" s="1"/>
  <c r="P86" i="7"/>
  <c r="O86" i="7"/>
  <c r="N86" i="7"/>
  <c r="M86" i="7" s="1"/>
  <c r="P85" i="7"/>
  <c r="O85" i="7"/>
  <c r="N85" i="7"/>
  <c r="M85" i="7" s="1"/>
  <c r="P84" i="7"/>
  <c r="O84" i="7"/>
  <c r="N84" i="7"/>
  <c r="M84" i="7" s="1"/>
  <c r="P83" i="7"/>
  <c r="O83" i="7"/>
  <c r="N83" i="7"/>
  <c r="M83" i="7" s="1"/>
  <c r="P82" i="7"/>
  <c r="O82" i="7"/>
  <c r="N82" i="7"/>
  <c r="M82" i="7" s="1"/>
  <c r="P81" i="7"/>
  <c r="O81" i="7"/>
  <c r="N81" i="7"/>
  <c r="M81" i="7" s="1"/>
  <c r="P80" i="7"/>
  <c r="O80" i="7"/>
  <c r="N80" i="7"/>
  <c r="M80" i="7" s="1"/>
  <c r="P79" i="7"/>
  <c r="O79" i="7"/>
  <c r="N79" i="7"/>
  <c r="M79" i="7" s="1"/>
  <c r="P78" i="7"/>
  <c r="O78" i="7"/>
  <c r="N78" i="7"/>
  <c r="M78" i="7" s="1"/>
  <c r="P77" i="7"/>
  <c r="O77" i="7"/>
  <c r="N77" i="7"/>
  <c r="M77" i="7" s="1"/>
  <c r="P76" i="7"/>
  <c r="O76" i="7"/>
  <c r="N76" i="7"/>
  <c r="M76" i="7" s="1"/>
  <c r="P75" i="7"/>
  <c r="O75" i="7"/>
  <c r="N75" i="7"/>
  <c r="M75" i="7" s="1"/>
  <c r="P74" i="7"/>
  <c r="O74" i="7"/>
  <c r="N74" i="7"/>
  <c r="M74" i="7" s="1"/>
  <c r="P73" i="7"/>
  <c r="O73" i="7"/>
  <c r="N73" i="7"/>
  <c r="M73" i="7" s="1"/>
  <c r="P72" i="7"/>
  <c r="O72" i="7"/>
  <c r="N72" i="7"/>
  <c r="M72" i="7" s="1"/>
  <c r="P71" i="7"/>
  <c r="O71" i="7"/>
  <c r="N71" i="7"/>
  <c r="M71" i="7" s="1"/>
  <c r="P70" i="7"/>
  <c r="O70" i="7"/>
  <c r="N70" i="7"/>
  <c r="M70" i="7" s="1"/>
  <c r="P69" i="7"/>
  <c r="O69" i="7"/>
  <c r="N69" i="7"/>
  <c r="M69" i="7" s="1"/>
  <c r="P68" i="7"/>
  <c r="O68" i="7"/>
  <c r="N68" i="7"/>
  <c r="M68" i="7" s="1"/>
  <c r="P67" i="7"/>
  <c r="O67" i="7"/>
  <c r="N67" i="7"/>
  <c r="M67" i="7" s="1"/>
  <c r="P66" i="7"/>
  <c r="O66" i="7"/>
  <c r="N66" i="7"/>
  <c r="M66" i="7" s="1"/>
  <c r="P65" i="7"/>
  <c r="O65" i="7"/>
  <c r="N65" i="7"/>
  <c r="M65" i="7" s="1"/>
  <c r="P64" i="7"/>
  <c r="O64" i="7"/>
  <c r="N64" i="7"/>
  <c r="M64" i="7" s="1"/>
  <c r="P63" i="7"/>
  <c r="O63" i="7"/>
  <c r="N63" i="7"/>
  <c r="M63" i="7" s="1"/>
  <c r="P62" i="7"/>
  <c r="O62" i="7"/>
  <c r="N62" i="7"/>
  <c r="M62" i="7" s="1"/>
  <c r="P61" i="7"/>
  <c r="O61" i="7"/>
  <c r="N61" i="7"/>
  <c r="M61" i="7" s="1"/>
  <c r="P60" i="7"/>
  <c r="O60" i="7"/>
  <c r="N60" i="7"/>
  <c r="M60" i="7" s="1"/>
  <c r="P59" i="7"/>
  <c r="O59" i="7"/>
  <c r="N59" i="7"/>
  <c r="M59" i="7" s="1"/>
  <c r="P58" i="7"/>
  <c r="O58" i="7"/>
  <c r="N58" i="7"/>
  <c r="M58" i="7" s="1"/>
  <c r="P57" i="7"/>
  <c r="O57" i="7"/>
  <c r="N57" i="7"/>
  <c r="M57" i="7" s="1"/>
  <c r="P56" i="7"/>
  <c r="O56" i="7"/>
  <c r="N56" i="7"/>
  <c r="M56" i="7" s="1"/>
  <c r="P55" i="7"/>
  <c r="O55" i="7"/>
  <c r="N55" i="7"/>
  <c r="M55" i="7" s="1"/>
  <c r="P54" i="7"/>
  <c r="O54" i="7"/>
  <c r="N54" i="7"/>
  <c r="M54" i="7" s="1"/>
  <c r="P53" i="7"/>
  <c r="O53" i="7"/>
  <c r="N53" i="7"/>
  <c r="M53" i="7" s="1"/>
  <c r="P52" i="7"/>
  <c r="O52" i="7"/>
  <c r="N52" i="7"/>
  <c r="M52" i="7" s="1"/>
  <c r="P51" i="7"/>
  <c r="O51" i="7"/>
  <c r="N51" i="7"/>
  <c r="M51" i="7" s="1"/>
  <c r="P50" i="7"/>
  <c r="O50" i="7"/>
  <c r="N50" i="7"/>
  <c r="M50" i="7" s="1"/>
  <c r="P49" i="7"/>
  <c r="O49" i="7"/>
  <c r="N49" i="7"/>
  <c r="R49" i="7" s="1"/>
  <c r="P48" i="7"/>
  <c r="O48" i="7"/>
  <c r="N48" i="7"/>
  <c r="R48" i="7" s="1"/>
  <c r="P47" i="7"/>
  <c r="O47" i="7"/>
  <c r="N47" i="7"/>
  <c r="R47" i="7" s="1"/>
  <c r="P46" i="7"/>
  <c r="O46" i="7"/>
  <c r="N46" i="7"/>
  <c r="R46" i="7" s="1"/>
  <c r="P45" i="7"/>
  <c r="O45" i="7"/>
  <c r="N45" i="7"/>
  <c r="M45" i="7" s="1"/>
  <c r="P44" i="7"/>
  <c r="O44" i="7"/>
  <c r="N44" i="7"/>
  <c r="M44" i="7" s="1"/>
  <c r="P43" i="7"/>
  <c r="O43" i="7"/>
  <c r="N43" i="7"/>
  <c r="M43" i="7" s="1"/>
  <c r="P42" i="7"/>
  <c r="O42" i="7"/>
  <c r="N42" i="7"/>
  <c r="M42" i="7" s="1"/>
  <c r="P41" i="7"/>
  <c r="O41" i="7"/>
  <c r="N41" i="7"/>
  <c r="M41" i="7" s="1"/>
  <c r="P40" i="7"/>
  <c r="O40" i="7"/>
  <c r="N40" i="7"/>
  <c r="M40" i="7" s="1"/>
  <c r="P39" i="7"/>
  <c r="O39" i="7"/>
  <c r="N39" i="7"/>
  <c r="M39" i="7" s="1"/>
  <c r="P38" i="7"/>
  <c r="O38" i="7"/>
  <c r="N38" i="7"/>
  <c r="M38" i="7" s="1"/>
  <c r="P37" i="7"/>
  <c r="O37" i="7"/>
  <c r="N37" i="7"/>
  <c r="M37" i="7" s="1"/>
  <c r="P36" i="7"/>
  <c r="O36" i="7"/>
  <c r="N36" i="7"/>
  <c r="M36" i="7" s="1"/>
  <c r="P35" i="7"/>
  <c r="O35" i="7"/>
  <c r="N35" i="7"/>
  <c r="M35" i="7" s="1"/>
  <c r="P34" i="7"/>
  <c r="O34" i="7"/>
  <c r="N34" i="7"/>
  <c r="M34" i="7" s="1"/>
  <c r="P33" i="7"/>
  <c r="O33" i="7"/>
  <c r="N33" i="7"/>
  <c r="M33" i="7" s="1"/>
  <c r="P32" i="7"/>
  <c r="O32" i="7"/>
  <c r="N32" i="7"/>
  <c r="M32" i="7" s="1"/>
  <c r="P31" i="7"/>
  <c r="O31" i="7"/>
  <c r="N31" i="7"/>
  <c r="M31" i="7" s="1"/>
  <c r="P30" i="7"/>
  <c r="O30" i="7"/>
  <c r="N30" i="7"/>
  <c r="M30" i="7" s="1"/>
  <c r="P29" i="7"/>
  <c r="O29" i="7"/>
  <c r="N29" i="7"/>
  <c r="M29" i="7" s="1"/>
  <c r="P28" i="7"/>
  <c r="O28" i="7"/>
  <c r="N28" i="7"/>
  <c r="M28" i="7" s="1"/>
  <c r="P27" i="7"/>
  <c r="O27" i="7"/>
  <c r="N27" i="7"/>
  <c r="M27" i="7" s="1"/>
  <c r="P26" i="7"/>
  <c r="O26" i="7"/>
  <c r="N26" i="7"/>
  <c r="M26" i="7" s="1"/>
  <c r="P25" i="7"/>
  <c r="O25" i="7"/>
  <c r="N25" i="7"/>
  <c r="M25" i="7" s="1"/>
  <c r="P24" i="7"/>
  <c r="O24" i="7"/>
  <c r="N24" i="7"/>
  <c r="M24" i="7" s="1"/>
  <c r="P23" i="7"/>
  <c r="O23" i="7"/>
  <c r="N23" i="7"/>
  <c r="M23" i="7" s="1"/>
  <c r="P22" i="7"/>
  <c r="O22" i="7"/>
  <c r="N22" i="7"/>
  <c r="M22" i="7" s="1"/>
  <c r="P21" i="7"/>
  <c r="O21" i="7"/>
  <c r="N21" i="7"/>
  <c r="M21" i="7" s="1"/>
  <c r="P20" i="7"/>
  <c r="O20" i="7"/>
  <c r="N20" i="7"/>
  <c r="M20" i="7" s="1"/>
  <c r="P19" i="7"/>
  <c r="O19" i="7"/>
  <c r="N19" i="7"/>
  <c r="M19" i="7" s="1"/>
  <c r="P18" i="7"/>
  <c r="O18" i="7"/>
  <c r="N18" i="7"/>
  <c r="M18" i="7" s="1"/>
  <c r="P17" i="7"/>
  <c r="O17" i="7"/>
  <c r="N17" i="7"/>
  <c r="M17" i="7" s="1"/>
  <c r="P16" i="7"/>
  <c r="O16" i="7"/>
  <c r="N16" i="7"/>
  <c r="M16" i="7" s="1"/>
  <c r="P15" i="7"/>
  <c r="O15" i="7"/>
  <c r="N15" i="7"/>
  <c r="M15" i="7" s="1"/>
  <c r="P14" i="7"/>
  <c r="O14" i="7"/>
  <c r="N14" i="7"/>
  <c r="M14" i="7" s="1"/>
  <c r="P13" i="7"/>
  <c r="O13" i="7"/>
  <c r="N13" i="7"/>
  <c r="M13" i="7" s="1"/>
  <c r="P12" i="7"/>
  <c r="O12" i="7"/>
  <c r="N12" i="7"/>
  <c r="M12" i="7" s="1"/>
  <c r="P11" i="7"/>
  <c r="O11" i="7"/>
  <c r="N11" i="7"/>
  <c r="M11" i="7" s="1"/>
  <c r="P10" i="7"/>
  <c r="O10" i="7"/>
  <c r="N10" i="7"/>
  <c r="M10" i="7" s="1"/>
  <c r="P9" i="7"/>
  <c r="O9" i="7"/>
  <c r="N9" i="7"/>
  <c r="M9" i="7" s="1"/>
  <c r="P8" i="7"/>
  <c r="O8" i="7"/>
  <c r="N8" i="7"/>
  <c r="M8" i="7" s="1"/>
  <c r="P7" i="7"/>
  <c r="O7" i="7"/>
  <c r="N7" i="7"/>
  <c r="M7" i="7" s="1"/>
  <c r="P6" i="7"/>
  <c r="O6" i="7"/>
  <c r="N6" i="7"/>
  <c r="M6" i="7" s="1"/>
  <c r="P5" i="7"/>
  <c r="O5" i="7"/>
  <c r="N5" i="7"/>
  <c r="M5" i="7" s="1"/>
  <c r="P4" i="7"/>
  <c r="O4" i="7"/>
  <c r="N4" i="7"/>
  <c r="M4" i="7" s="1"/>
  <c r="P3" i="7"/>
  <c r="O3" i="7"/>
  <c r="N3" i="7"/>
  <c r="M3" i="7" s="1"/>
  <c r="B36" i="7"/>
  <c r="B46" i="7" s="1"/>
  <c r="B35" i="7"/>
  <c r="B45" i="7" s="1"/>
  <c r="B34" i="7"/>
  <c r="B44" i="7" s="1"/>
  <c r="B33" i="7"/>
  <c r="B43" i="7" s="1"/>
  <c r="M46" i="7" l="1"/>
  <c r="M47" i="7"/>
  <c r="Q50" i="7"/>
  <c r="Q23" i="7"/>
  <c r="M49" i="7"/>
  <c r="Q99" i="7"/>
  <c r="Q93" i="7"/>
  <c r="Q25" i="7"/>
  <c r="Q56" i="7"/>
  <c r="Q58" i="7"/>
  <c r="Q59" i="7"/>
  <c r="Q57" i="7"/>
  <c r="Q86" i="7"/>
  <c r="Q51" i="7"/>
  <c r="Q84" i="7"/>
  <c r="Q83" i="7"/>
  <c r="Q60" i="7"/>
  <c r="Q85" i="7"/>
  <c r="Q82" i="7"/>
  <c r="Q88" i="7"/>
  <c r="Q14" i="7"/>
  <c r="Q89" i="7"/>
  <c r="Q16" i="7"/>
  <c r="Q90" i="7"/>
  <c r="Q91" i="7"/>
  <c r="Q17" i="7"/>
  <c r="Q18" i="7"/>
  <c r="Q19" i="7"/>
  <c r="Q20" i="7"/>
  <c r="Q80" i="7"/>
  <c r="Q22" i="7"/>
  <c r="Q24" i="7"/>
  <c r="Q87" i="7"/>
  <c r="Q81" i="7"/>
  <c r="Q75" i="7"/>
  <c r="Q69" i="7"/>
  <c r="Q95" i="7"/>
  <c r="Q63" i="7"/>
  <c r="Q31" i="7"/>
  <c r="Q65" i="7"/>
  <c r="Q96" i="7"/>
  <c r="Q45" i="7"/>
  <c r="Q66" i="7"/>
  <c r="Q97" i="7"/>
  <c r="Q39" i="7"/>
  <c r="Q92" i="7"/>
  <c r="Q67" i="7"/>
  <c r="Q98" i="7"/>
  <c r="Q102" i="7"/>
  <c r="Q62" i="7"/>
  <c r="Q35" i="7"/>
  <c r="Q68" i="7"/>
  <c r="Q101" i="7"/>
  <c r="Q77" i="7"/>
  <c r="Q64" i="7"/>
  <c r="Q103" i="7"/>
  <c r="Q21" i="7"/>
  <c r="Q33" i="7"/>
  <c r="Q61" i="7"/>
  <c r="Q3" i="7"/>
  <c r="Q71" i="7"/>
  <c r="Q104" i="7"/>
  <c r="Q15" i="7"/>
  <c r="Q27" i="7"/>
  <c r="Q32" i="7"/>
  <c r="Q70" i="7"/>
  <c r="Q6" i="7"/>
  <c r="Q7" i="7"/>
  <c r="Q38" i="7"/>
  <c r="Q72" i="7"/>
  <c r="Q30" i="7"/>
  <c r="Q5" i="7"/>
  <c r="Q37" i="7"/>
  <c r="Q8" i="7"/>
  <c r="Q40" i="7"/>
  <c r="Q73" i="7"/>
  <c r="Q36" i="7"/>
  <c r="Q10" i="7"/>
  <c r="Q41" i="7"/>
  <c r="Q74" i="7"/>
  <c r="Q9" i="7"/>
  <c r="Q26" i="7"/>
  <c r="Q11" i="7"/>
  <c r="Q42" i="7"/>
  <c r="Q78" i="7"/>
  <c r="Q29" i="7"/>
  <c r="Q34" i="7"/>
  <c r="Q12" i="7"/>
  <c r="Q43" i="7"/>
  <c r="Q79" i="7"/>
  <c r="Q94" i="7"/>
  <c r="Q13" i="7"/>
  <c r="Q44" i="7"/>
  <c r="M48" i="7"/>
  <c r="M102" i="7"/>
  <c r="Q4" i="7"/>
  <c r="Q28" i="7"/>
  <c r="Q76" i="7"/>
  <c r="Q100" i="7"/>
  <c r="AE33" i="1"/>
  <c r="AE34" i="1"/>
  <c r="AE35" i="1"/>
  <c r="AE36" i="1"/>
  <c r="AE37" i="1"/>
  <c r="AE38" i="1"/>
  <c r="AE39" i="1"/>
  <c r="U13" i="1"/>
  <c r="S20" i="1"/>
  <c r="S21" i="1"/>
  <c r="S22" i="1"/>
  <c r="S23" i="1"/>
  <c r="S24" i="1"/>
  <c r="S25" i="1"/>
  <c r="S26" i="1"/>
  <c r="L13" i="1"/>
  <c r="U7" i="1" l="1"/>
  <c r="U8" i="1"/>
  <c r="U9" i="1"/>
  <c r="U10" i="1"/>
  <c r="U11" i="1"/>
  <c r="U12" i="1"/>
  <c r="H19" i="1"/>
  <c r="A26" i="1"/>
  <c r="L7" i="1"/>
  <c r="L8" i="1"/>
  <c r="L9" i="1"/>
  <c r="L10" i="1"/>
  <c r="L11" i="1"/>
  <c r="L12" i="1"/>
  <c r="L20" i="1"/>
  <c r="L21" i="1"/>
  <c r="L22" i="1"/>
  <c r="L23" i="1"/>
  <c r="L24" i="1"/>
  <c r="L25" i="1"/>
  <c r="D23" i="7" l="1"/>
  <c r="D24" i="7"/>
  <c r="D25" i="7"/>
  <c r="D26" i="7"/>
  <c r="G7" i="7" l="1"/>
  <c r="D7" i="7"/>
  <c r="G6" i="7"/>
  <c r="D6" i="7"/>
  <c r="G5" i="7"/>
  <c r="D5" i="7"/>
  <c r="G4" i="7"/>
  <c r="D4" i="7"/>
  <c r="D8" i="7" l="1"/>
  <c r="D16" i="7" s="1"/>
  <c r="G8" i="7"/>
  <c r="G16" i="7" s="1"/>
  <c r="D15" i="7"/>
  <c r="D14" i="7" l="1"/>
  <c r="D13" i="7"/>
  <c r="D12" i="7"/>
  <c r="G14" i="7"/>
  <c r="G13" i="7"/>
  <c r="G15" i="7"/>
  <c r="I15" i="7" s="1"/>
  <c r="J15" i="7" s="1"/>
  <c r="G12" i="7"/>
  <c r="I13" i="7" l="1"/>
  <c r="J13" i="7" s="1"/>
  <c r="I12" i="7"/>
  <c r="J12" i="7" s="1"/>
  <c r="I14" i="7"/>
  <c r="J14" i="7" s="1"/>
  <c r="H15" i="1"/>
  <c r="J13" i="1"/>
  <c r="K13" i="7" l="1"/>
  <c r="K14" i="7"/>
  <c r="D35" i="7" s="1"/>
  <c r="D45" i="7" s="1"/>
  <c r="Q48" i="7" s="1"/>
  <c r="K12" i="7"/>
  <c r="D33" i="7" s="1"/>
  <c r="D43" i="7" s="1"/>
  <c r="Q46" i="7" s="1"/>
  <c r="K15" i="7"/>
  <c r="D36" i="7" s="1"/>
  <c r="D46" i="7" s="1"/>
  <c r="Q54" i="7"/>
  <c r="Q52" i="7"/>
  <c r="D34" i="7"/>
  <c r="D44" i="7" s="1"/>
  <c r="G26" i="1"/>
  <c r="B26" i="1"/>
  <c r="E26" i="1"/>
  <c r="F26" i="1"/>
  <c r="C26" i="1"/>
  <c r="D26" i="1"/>
  <c r="H26" i="1"/>
  <c r="S15" i="1"/>
  <c r="Q55" i="7" l="1"/>
  <c r="Q49" i="7"/>
  <c r="Q53" i="7"/>
  <c r="Q47" i="7"/>
  <c r="J26" i="1"/>
  <c r="S28" i="1"/>
  <c r="U26" i="1"/>
  <c r="N26" i="1"/>
  <c r="O26" i="1"/>
  <c r="P26" i="1"/>
  <c r="Q26" i="1"/>
  <c r="R26" i="1"/>
  <c r="M26" i="1"/>
  <c r="AD32" i="1"/>
  <c r="S32" i="1"/>
  <c r="H32" i="1"/>
  <c r="S19" i="1"/>
  <c r="W39" i="1"/>
  <c r="L26" i="1"/>
  <c r="A39" i="1"/>
  <c r="L39" i="1" s="1"/>
  <c r="S6" i="1"/>
  <c r="AC32" i="1" l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A25" i="1"/>
  <c r="A24" i="1"/>
  <c r="A23" i="1"/>
  <c r="A22" i="1"/>
  <c r="A21" i="1"/>
  <c r="A20" i="1"/>
  <c r="Q15" i="1" l="1"/>
  <c r="Q28" i="1" s="1"/>
  <c r="R15" i="1"/>
  <c r="R28" i="1" s="1"/>
  <c r="F15" i="1"/>
  <c r="G15" i="1"/>
  <c r="J10" i="1"/>
  <c r="J11" i="1"/>
  <c r="J12" i="1"/>
  <c r="H25" i="1" l="1"/>
  <c r="H24" i="1"/>
  <c r="H23" i="1"/>
  <c r="I28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J14" i="1"/>
  <c r="J9" i="1"/>
  <c r="J8" i="1"/>
  <c r="J7" i="1"/>
  <c r="F102" i="4"/>
  <c r="G101" i="4" s="1"/>
  <c r="B102" i="4"/>
  <c r="C102" i="4" s="1"/>
  <c r="F102" i="3"/>
  <c r="G101" i="3" s="1"/>
  <c r="B102" i="3"/>
  <c r="C13" i="3" s="1"/>
  <c r="J23" i="1" l="1"/>
  <c r="H22" i="1"/>
  <c r="U20" i="1"/>
  <c r="H20" i="1"/>
  <c r="U21" i="1"/>
  <c r="H21" i="1"/>
  <c r="J25" i="1"/>
  <c r="J24" i="1"/>
  <c r="G21" i="1"/>
  <c r="D21" i="1"/>
  <c r="E21" i="1"/>
  <c r="B21" i="1"/>
  <c r="F21" i="1"/>
  <c r="F22" i="1"/>
  <c r="B20" i="1"/>
  <c r="C21" i="1"/>
  <c r="J15" i="1"/>
  <c r="B22" i="1"/>
  <c r="C22" i="1"/>
  <c r="D22" i="1"/>
  <c r="C20" i="1"/>
  <c r="D20" i="1"/>
  <c r="E20" i="1"/>
  <c r="E22" i="1"/>
  <c r="U15" i="1"/>
  <c r="U28" i="1" s="1"/>
  <c r="G22" i="1"/>
  <c r="U22" i="1"/>
  <c r="F20" i="1"/>
  <c r="G20" i="1"/>
  <c r="C37" i="4"/>
  <c r="C69" i="4"/>
  <c r="G12" i="4"/>
  <c r="C19" i="4"/>
  <c r="C45" i="4"/>
  <c r="C77" i="4"/>
  <c r="C93" i="4"/>
  <c r="C13" i="4"/>
  <c r="C11" i="4"/>
  <c r="C29" i="4"/>
  <c r="C61" i="4"/>
  <c r="C21" i="4"/>
  <c r="C53" i="4"/>
  <c r="C85" i="4"/>
  <c r="C35" i="4"/>
  <c r="C51" i="4"/>
  <c r="C67" i="4"/>
  <c r="C83" i="4"/>
  <c r="C101" i="4"/>
  <c r="C27" i="4"/>
  <c r="C43" i="4"/>
  <c r="C59" i="4"/>
  <c r="C75" i="4"/>
  <c r="C91" i="4"/>
  <c r="G20" i="4"/>
  <c r="C17" i="4"/>
  <c r="C25" i="4"/>
  <c r="C33" i="4"/>
  <c r="C41" i="4"/>
  <c r="C49" i="4"/>
  <c r="C57" i="4"/>
  <c r="C65" i="4"/>
  <c r="C73" i="4"/>
  <c r="C81" i="4"/>
  <c r="C89" i="4"/>
  <c r="C99" i="4"/>
  <c r="G16" i="4"/>
  <c r="G24" i="4"/>
  <c r="G32" i="4"/>
  <c r="G40" i="4"/>
  <c r="G48" i="4"/>
  <c r="G58" i="4"/>
  <c r="G68" i="4"/>
  <c r="G28" i="4"/>
  <c r="G36" i="4"/>
  <c r="G44" i="4"/>
  <c r="G52" i="4"/>
  <c r="G62" i="4"/>
  <c r="G18" i="4"/>
  <c r="G26" i="4"/>
  <c r="G34" i="4"/>
  <c r="G42" i="4"/>
  <c r="G50" i="4"/>
  <c r="G60" i="4"/>
  <c r="C15" i="4"/>
  <c r="C23" i="4"/>
  <c r="C31" i="4"/>
  <c r="C39" i="4"/>
  <c r="C47" i="4"/>
  <c r="C55" i="4"/>
  <c r="C63" i="4"/>
  <c r="C71" i="4"/>
  <c r="C79" i="4"/>
  <c r="C87" i="4"/>
  <c r="C95" i="4"/>
  <c r="G14" i="4"/>
  <c r="G22" i="4"/>
  <c r="G30" i="4"/>
  <c r="G38" i="4"/>
  <c r="G46" i="4"/>
  <c r="G54" i="4"/>
  <c r="G66" i="4"/>
  <c r="G56" i="4"/>
  <c r="G64" i="4"/>
  <c r="G74" i="4"/>
  <c r="G70" i="4"/>
  <c r="G72" i="4"/>
  <c r="C97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S37" i="1" l="1"/>
  <c r="S38" i="1"/>
  <c r="S39" i="1"/>
  <c r="S36" i="1"/>
  <c r="S35" i="1"/>
  <c r="S33" i="1"/>
  <c r="S34" i="1"/>
  <c r="R39" i="1"/>
  <c r="O39" i="1"/>
  <c r="Q39" i="1"/>
  <c r="N39" i="1"/>
  <c r="U39" i="1"/>
  <c r="M39" i="1"/>
  <c r="P39" i="1"/>
  <c r="F28" i="1"/>
  <c r="G28" i="1"/>
  <c r="S41" i="1"/>
  <c r="H28" i="1"/>
  <c r="J21" i="1"/>
  <c r="M41" i="1"/>
  <c r="R41" i="1"/>
  <c r="Q41" i="1"/>
  <c r="U35" i="1"/>
  <c r="O41" i="1"/>
  <c r="P34" i="1"/>
  <c r="N34" i="1"/>
  <c r="O33" i="1"/>
  <c r="U36" i="1"/>
  <c r="Q38" i="1"/>
  <c r="Q33" i="1"/>
  <c r="Q34" i="1"/>
  <c r="N33" i="1"/>
  <c r="M34" i="1"/>
  <c r="O36" i="1"/>
  <c r="M33" i="1"/>
  <c r="R36" i="1"/>
  <c r="J22" i="1"/>
  <c r="P36" i="1"/>
  <c r="U38" i="1"/>
  <c r="U34" i="1"/>
  <c r="R38" i="1"/>
  <c r="U33" i="1"/>
  <c r="M36" i="1"/>
  <c r="P33" i="1"/>
  <c r="N41" i="1"/>
  <c r="N36" i="1"/>
  <c r="P41" i="1"/>
  <c r="D28" i="1"/>
  <c r="M37" i="1"/>
  <c r="O38" i="1"/>
  <c r="O35" i="1"/>
  <c r="R37" i="1"/>
  <c r="U41" i="1"/>
  <c r="P38" i="1"/>
  <c r="T41" i="1"/>
  <c r="U37" i="1"/>
  <c r="Q37" i="1"/>
  <c r="R35" i="1"/>
  <c r="P37" i="1"/>
  <c r="N37" i="1"/>
  <c r="N35" i="1"/>
  <c r="Q35" i="1"/>
  <c r="M35" i="1"/>
  <c r="O37" i="1"/>
  <c r="N38" i="1"/>
  <c r="P35" i="1"/>
  <c r="M38" i="1"/>
  <c r="E28" i="1"/>
  <c r="C28" i="1"/>
  <c r="R34" i="1"/>
  <c r="B28" i="1"/>
  <c r="J20" i="1"/>
  <c r="R33" i="1"/>
  <c r="Q36" i="1"/>
  <c r="O34" i="1"/>
  <c r="J28" i="1" l="1"/>
  <c r="H41" i="1" l="1"/>
  <c r="AD41" i="1" s="1"/>
  <c r="H39" i="1"/>
  <c r="C39" i="1"/>
  <c r="B39" i="1"/>
  <c r="D39" i="1"/>
  <c r="E39" i="1"/>
  <c r="F39" i="1"/>
  <c r="G39" i="1"/>
  <c r="J39" i="1"/>
  <c r="AD39" i="1"/>
  <c r="AA39" i="1"/>
  <c r="AC39" i="1"/>
  <c r="X39" i="1"/>
  <c r="AB39" i="1"/>
  <c r="AF39" i="1"/>
  <c r="Y39" i="1"/>
  <c r="Z39" i="1"/>
  <c r="H35" i="1"/>
  <c r="AD35" i="1" s="1"/>
  <c r="H36" i="1"/>
  <c r="AD36" i="1" s="1"/>
  <c r="H37" i="1"/>
  <c r="AD37" i="1" s="1"/>
  <c r="H38" i="1"/>
  <c r="AD38" i="1" s="1"/>
  <c r="H34" i="1"/>
  <c r="AD34" i="1" s="1"/>
  <c r="H33" i="1"/>
  <c r="AD33" i="1" s="1"/>
  <c r="C41" i="1"/>
  <c r="Y41" i="1" s="1"/>
  <c r="G41" i="1"/>
  <c r="AC41" i="1" s="1"/>
  <c r="F41" i="1"/>
  <c r="AB41" i="1" s="1"/>
  <c r="J33" i="1"/>
  <c r="AF33" i="1" s="1"/>
  <c r="J35" i="1"/>
  <c r="AF35" i="1" s="1"/>
  <c r="F38" i="1"/>
  <c r="AB38" i="1" s="1"/>
  <c r="E38" i="1"/>
  <c r="AA38" i="1" s="1"/>
  <c r="D38" i="1"/>
  <c r="Z38" i="1" s="1"/>
  <c r="G37" i="1"/>
  <c r="AC37" i="1" s="1"/>
  <c r="C37" i="1"/>
  <c r="Y37" i="1" s="1"/>
  <c r="B36" i="1"/>
  <c r="X36" i="1" s="1"/>
  <c r="D37" i="1"/>
  <c r="Z37" i="1" s="1"/>
  <c r="G36" i="1"/>
  <c r="AC36" i="1" s="1"/>
  <c r="F36" i="1"/>
  <c r="AB36" i="1" s="1"/>
  <c r="J41" i="1"/>
  <c r="AF41" i="1" s="1"/>
  <c r="B37" i="1"/>
  <c r="X37" i="1" s="1"/>
  <c r="F37" i="1"/>
  <c r="AB37" i="1" s="1"/>
  <c r="E37" i="1"/>
  <c r="AA37" i="1" s="1"/>
  <c r="F34" i="1"/>
  <c r="AB34" i="1" s="1"/>
  <c r="B33" i="1"/>
  <c r="X33" i="1" s="1"/>
  <c r="G34" i="1"/>
  <c r="AC34" i="1" s="1"/>
  <c r="C34" i="1"/>
  <c r="Y34" i="1" s="1"/>
  <c r="C38" i="1"/>
  <c r="Y38" i="1" s="1"/>
  <c r="B38" i="1"/>
  <c r="X38" i="1" s="1"/>
  <c r="D36" i="1"/>
  <c r="Z36" i="1" s="1"/>
  <c r="E36" i="1"/>
  <c r="AA36" i="1" s="1"/>
  <c r="B34" i="1"/>
  <c r="X34" i="1" s="1"/>
  <c r="J38" i="1"/>
  <c r="AF38" i="1" s="1"/>
  <c r="C36" i="1"/>
  <c r="Y36" i="1" s="1"/>
  <c r="I41" i="1"/>
  <c r="AE41" i="1" s="1"/>
  <c r="E34" i="1"/>
  <c r="AA34" i="1" s="1"/>
  <c r="D34" i="1"/>
  <c r="Z34" i="1" s="1"/>
  <c r="J37" i="1"/>
  <c r="AF37" i="1" s="1"/>
  <c r="F35" i="1"/>
  <c r="AB35" i="1" s="1"/>
  <c r="G38" i="1"/>
  <c r="AC38" i="1" s="1"/>
  <c r="J36" i="1"/>
  <c r="AF36" i="1" s="1"/>
  <c r="D33" i="1"/>
  <c r="Z33" i="1" s="1"/>
  <c r="E35" i="1"/>
  <c r="AA35" i="1" s="1"/>
  <c r="F33" i="1"/>
  <c r="AB33" i="1" s="1"/>
  <c r="J34" i="1"/>
  <c r="AF34" i="1" s="1"/>
  <c r="D35" i="1"/>
  <c r="Z35" i="1" s="1"/>
  <c r="E33" i="1"/>
  <c r="AA33" i="1" s="1"/>
  <c r="C33" i="1"/>
  <c r="Y33" i="1" s="1"/>
  <c r="C35" i="1"/>
  <c r="Y35" i="1" s="1"/>
  <c r="G35" i="1"/>
  <c r="AC35" i="1" s="1"/>
  <c r="B35" i="1"/>
  <c r="X35" i="1" s="1"/>
  <c r="G33" i="1"/>
  <c r="AC33" i="1" s="1"/>
  <c r="E41" i="1"/>
  <c r="AA41" i="1" s="1"/>
  <c r="B41" i="1"/>
  <c r="X41" i="1" s="1"/>
  <c r="D41" i="1"/>
  <c r="Z41" i="1" s="1"/>
</calcChain>
</file>

<file path=xl/sharedStrings.xml><?xml version="1.0" encoding="utf-8"?>
<sst xmlns="http://schemas.openxmlformats.org/spreadsheetml/2006/main" count="722" uniqueCount="290">
  <si>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</si>
  <si>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</si>
  <si>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</si>
  <si>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</si>
  <si>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</si>
  <si>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</si>
  <si>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</si>
  <si>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</si>
  <si>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</si>
  <si>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</si>
  <si>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</si>
  <si>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</si>
  <si>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</si>
  <si>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</si>
  <si>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</si>
  <si>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</si>
  <si>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</si>
  <si>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</si>
  <si>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</si>
  <si>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</si>
  <si>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</si>
  <si>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</si>
  <si>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</si>
  <si>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</si>
  <si>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</si>
  <si>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</si>
  <si>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</si>
  <si>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</si>
  <si>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</si>
  <si>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</si>
  <si>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</si>
  <si>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</si>
  <si>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</si>
  <si>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</si>
  <si>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</si>
  <si>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</si>
  <si>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</si>
  <si>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</si>
  <si>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</si>
  <si>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</si>
  <si>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</si>
  <si>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</si>
  <si>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</si>
  <si>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</si>
  <si>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</si>
  <si>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</si>
  <si>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</si>
  <si>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</si>
  <si>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</si>
  <si>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</si>
  <si>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</si>
  <si>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</si>
  <si>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</si>
  <si>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</si>
  <si>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</si>
  <si>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</si>
  <si>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</si>
  <si>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</si>
  <si>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</si>
  <si>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</si>
  <si>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</si>
  <si>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</si>
  <si>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</si>
  <si>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</si>
  <si>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</si>
  <si>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</si>
  <si>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</si>
  <si>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</si>
  <si>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</si>
  <si>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</si>
  <si>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</si>
  <si>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</si>
  <si>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</si>
  <si>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</si>
  <si>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</si>
  <si>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</si>
  <si>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</si>
  <si>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</si>
  <si>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</si>
  <si>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</si>
  <si>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</si>
  <si>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</si>
  <si>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</si>
  <si>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</si>
  <si>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</si>
  <si>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</si>
  <si>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</si>
  <si>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</si>
  <si>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</si>
  <si>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</si>
  <si>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</si>
  <si>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</si>
  <si>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</si>
  <si>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</si>
  <si>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</si>
  <si>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</si>
  <si>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</si>
  <si>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</si>
  <si>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</si>
  <si>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</si>
  <si>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</si>
  <si>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</si>
  <si>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</si>
  <si>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</si>
  <si>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</si>
  <si>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</si>
  <si>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</si>
  <si>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</si>
  <si>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</si>
  <si>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</si>
  <si>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</si>
  <si>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</si>
  <si>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</si>
  <si>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</si>
  <si>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</si>
  <si>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</si>
  <si>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</si>
  <si>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</si>
  <si>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</si>
  <si>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</si>
  <si>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</si>
  <si>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</si>
  <si>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</si>
  <si>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</si>
  <si>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</si>
  <si>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</si>
  <si>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</si>
  <si>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</si>
  <si>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</si>
  <si>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</si>
  <si>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</si>
  <si>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</si>
  <si>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</si>
  <si>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</si>
  <si>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</si>
  <si>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</si>
  <si>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</si>
  <si>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</si>
  <si>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</si>
  <si>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</si>
  <si>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</si>
  <si>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</si>
  <si>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</si>
  <si>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</si>
  <si>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</si>
  <si>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</si>
  <si>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</si>
  <si>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</si>
  <si>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</si>
  <si>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</si>
  <si>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</si>
  <si>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</si>
  <si>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</si>
  <si>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</si>
  <si>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</si>
  <si>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</si>
  <si>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</si>
  <si>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</si>
  <si>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</si>
  <si>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</si>
  <si>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</si>
  <si>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</si>
  <si>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</si>
  <si>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</si>
  <si>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</si>
  <si>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</si>
  <si>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</si>
  <si>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</si>
  <si>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</si>
  <si>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</si>
  <si>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</si>
  <si>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</si>
  <si>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</si>
  <si>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</si>
  <si>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</si>
  <si>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</si>
  <si>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</si>
  <si>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</si>
  <si>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</si>
  <si>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</si>
  <si>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</si>
  <si>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</si>
  <si>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</si>
  <si>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</si>
  <si>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</si>
  <si>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</si>
  <si>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</si>
  <si>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</si>
  <si>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</si>
  <si>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</si>
  <si>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</si>
  <si>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</si>
  <si>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</si>
  <si>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</si>
  <si>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</si>
  <si>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</si>
  <si>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</si>
  <si>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</si>
  <si>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</si>
  <si>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</si>
  <si>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</si>
  <si>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</si>
  <si>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</si>
  <si>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</si>
  <si>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</si>
  <si>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</si>
  <si>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</si>
  <si>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</si>
  <si>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</si>
  <si>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</si>
  <si>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</si>
  <si>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</si>
  <si>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</si>
  <si>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</si>
  <si>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</si>
  <si>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</si>
  <si>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</si>
  <si>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</si>
  <si>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</si>
  <si>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</si>
  <si>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</si>
  <si>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OtherTourDestinationCoefficients_SACOG-v1.8.F12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</si>
  <si>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</si>
  <si>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</si>
  <si>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</si>
  <si>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</si>
  <si>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</si>
  <si>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</si>
  <si>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</si>
  <si>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</si>
  <si>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</si>
  <si>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</si>
  <si>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</si>
  <si>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</si>
  <si>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</si>
  <si>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</si>
  <si>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</si>
  <si>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</si>
  <si>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</si>
  <si>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</si>
  <si>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</si>
  <si>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</si>
  <si>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</si>
  <si>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</si>
  <si>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</si>
  <si>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</si>
  <si>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</si>
  <si>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</si>
  <si>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BKR</t>
  </si>
  <si>
    <t>Kitsap</t>
  </si>
  <si>
    <t>Pierce</t>
  </si>
  <si>
    <t>Rest of King</t>
  </si>
  <si>
    <t>Seattle</t>
  </si>
  <si>
    <t>Snohomish</t>
  </si>
  <si>
    <t>Bellevue</t>
  </si>
  <si>
    <t>Bellevue Downtown</t>
  </si>
  <si>
    <t>Kirkland</t>
  </si>
  <si>
    <t>Redmond</t>
  </si>
  <si>
    <t>Seattle Downtown</t>
  </si>
  <si>
    <t>Rest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</si>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</sst>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29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0" fontId="5" fillId="0" borderId="0" xfId="0" applyFont="1"/>
    <xf numFmtId="3" fontId="0" fillId="0" borderId="0" xfId="0" applyNumberFormat="1" applyFont="1"/>
    <xf numFmtId="3" fontId="0" fillId="0" borderId="3" xfId="0" applyNumberFormat="1" applyFont="1" applyBorder="1"/>
    <xf numFmtId="3" fontId="0" fillId="0" borderId="4" xfId="0" applyNumberFormat="1" applyFont="1" applyFill="1" applyBorder="1"/>
    <xf numFmtId="3" fontId="5" fillId="0" borderId="0" xfId="0" applyNumberFormat="1" applyFont="1" applyFill="1" applyBorder="1"/>
    <xf numFmtId="0" fontId="6" fillId="0" borderId="0" xfId="0" applyFont="1"/>
    <xf numFmtId="1" fontId="6" fillId="0" borderId="0" xfId="0" applyNumberFormat="1" applyFont="1" applyAlignment="1">
      <alignment horizontal="right"/>
    </xf>
    <xf numFmtId="3" fontId="0" fillId="0" borderId="1" xfId="0" applyNumberFormat="1" applyFont="1" applyBorder="1"/>
    <xf numFmtId="1" fontId="0" fillId="0" borderId="0" xfId="0" applyNumberFormat="1" applyFont="1" applyAlignment="1">
      <alignment horizontal="right"/>
    </xf>
    <xf numFmtId="0" fontId="0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7" fillId="0" borderId="0" xfId="0" applyFont="1"/>
    <xf numFmtId="0" fontId="7" fillId="0" borderId="2" xfId="0" applyFont="1" applyBorder="1" applyAlignment="1">
      <alignment horizontal="left"/>
    </xf>
    <xf numFmtId="1" fontId="7" fillId="0" borderId="2" xfId="0" applyNumberFormat="1" applyFont="1" applyBorder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66" fontId="7" fillId="0" borderId="0" xfId="0" applyNumberFormat="1" applyFont="1" applyAlignment="1">
      <alignment horizontal="right"/>
    </xf>
    <xf numFmtId="166" fontId="7" fillId="0" borderId="2" xfId="0" applyNumberFormat="1" applyFont="1" applyBorder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0" fontId="0" fillId="0" borderId="0" xfId="0" applyFont="1" applyFill="1"/>
    <xf numFmtId="21" fontId="0" fillId="0" borderId="0" xfId="0" applyNumberFormat="1"/>
    <xf numFmtId="11" fontId="0" fillId="0" borderId="0" xfId="0" applyNumberFormat="1"/>
    <xf numFmtId="0" fontId="0" fillId="4" borderId="0" xfId="0" applyFont="1" applyFill="1"/>
    <xf numFmtId="166" fontId="0" fillId="4" borderId="0" xfId="0" applyNumberFormat="1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0" fontId="0" fillId="0" borderId="3" xfId="0" applyBorder="1"/>
    <xf numFmtId="169" fontId="0" fillId="0" borderId="3" xfId="8" applyNumberFormat="1" applyFont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0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0" fontId="0" fillId="0" borderId="1" xfId="0" applyNumberFormat="1" applyFont="1" applyBorder="1" applyAlignment="1">
      <alignment horizontal="right" vertical="top"/>
    </xf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" xfId="0" applyFont="1" applyBorder="1"/>
    <xf numFmtId="166" fontId="6" fillId="5" borderId="0" xfId="0" applyNumberFormat="1" applyFont="1" applyFill="1" applyAlignment="1">
      <alignment horizontal="right"/>
    </xf>
    <xf numFmtId="166" fontId="6" fillId="5" borderId="1" xfId="0" applyNumberFormat="1" applyFont="1" applyFill="1" applyBorder="1" applyAlignment="1">
      <alignment horizontal="right"/>
    </xf>
    <xf numFmtId="166" fontId="6" fillId="0" borderId="6" xfId="0" applyNumberFormat="1" applyFont="1" applyBorder="1" applyAlignment="1">
      <alignment horizontal="right"/>
    </xf>
    <xf numFmtId="166" fontId="6" fillId="0" borderId="0" xfId="0" applyNumberFormat="1" applyFont="1" applyBorder="1" applyAlignment="1">
      <alignment horizontal="right"/>
    </xf>
    <xf numFmtId="166" fontId="6" fillId="3" borderId="0" xfId="0" applyNumberFormat="1" applyFont="1" applyFill="1" applyAlignment="1">
      <alignment horizontal="right"/>
    </xf>
    <xf numFmtId="166" fontId="6" fillId="3" borderId="1" xfId="0" applyNumberFormat="1" applyFont="1" applyFill="1" applyBorder="1" applyAlignment="1">
      <alignment horizontal="right"/>
    </xf>
    <xf numFmtId="0" fontId="5" fillId="6" borderId="7" xfId="0" applyFont="1" applyFill="1" applyBorder="1"/>
    <xf numFmtId="0" fontId="6" fillId="6" borderId="6" xfId="0" applyFont="1" applyFill="1" applyBorder="1"/>
    <xf numFmtId="0" fontId="6" fillId="6" borderId="8" xfId="0" applyFont="1" applyFill="1" applyBorder="1"/>
    <xf numFmtId="0" fontId="6" fillId="6" borderId="9" xfId="0" applyFont="1" applyFill="1" applyBorder="1"/>
    <xf numFmtId="0" fontId="6" fillId="6" borderId="0" xfId="0" applyFont="1" applyFill="1" applyBorder="1"/>
    <xf numFmtId="0" fontId="6" fillId="6" borderId="10" xfId="0" applyFont="1" applyFill="1" applyBorder="1"/>
    <xf numFmtId="0" fontId="6" fillId="6" borderId="11" xfId="0" applyFont="1" applyFill="1" applyBorder="1"/>
    <xf numFmtId="0" fontId="6" fillId="6" borderId="3" xfId="0" applyFont="1" applyFill="1" applyBorder="1"/>
    <xf numFmtId="0" fontId="6" fillId="6" borderId="12" xfId="0" applyFont="1" applyFill="1" applyBorder="1"/>
    <xf numFmtId="167" fontId="0" fillId="0" borderId="0" xfId="0" applyNumberFormat="1" applyFont="1"/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167" fontId="0" fillId="3" borderId="0" xfId="0" applyNumberFormat="1" applyFont="1" applyFill="1"/>
    <xf numFmtId="167" fontId="0" fillId="4" borderId="0" xfId="0" applyNumberFormat="1" applyFont="1" applyFill="1"/>
    <xf numFmtId="166" fontId="0" fillId="0" borderId="0" xfId="0" applyNumberFormat="1" applyFont="1" applyFill="1"/>
    <xf numFmtId="171" fontId="0" fillId="7" borderId="0" xfId="0" applyNumberFormat="1" applyFont="1" applyFill="1" applyBorder="1" applyAlignment="1">
      <alignment horizontal="right"/>
    </xf>
    <xf numFmtId="0" fontId="8" fillId="0" borderId="0" xfId="0" applyFont="1"/>
  </cellXfs>
  <cellStyles count="9">
    <cellStyle name="Comma" xfId="8" builtinId="3"/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4.642460071320529E-2</c:v>
                </c:pt>
                <c:pt idx="1">
                  <c:v>7.0846471674984382E-2</c:v>
                </c:pt>
                <c:pt idx="2">
                  <c:v>5.6264896517595052E-2</c:v>
                </c:pt>
                <c:pt idx="3">
                  <c:v>0.10291630488875883</c:v>
                </c:pt>
                <c:pt idx="4">
                  <c:v>0.17023219859394956</c:v>
                </c:pt>
                <c:pt idx="5">
                  <c:v>0.1338607523830099</c:v>
                </c:pt>
                <c:pt idx="6">
                  <c:v>0.10821289718521659</c:v>
                </c:pt>
                <c:pt idx="7">
                  <c:v>3.6947255908552419E-2</c:v>
                </c:pt>
                <c:pt idx="8">
                  <c:v>1.4261022776256677E-2</c:v>
                </c:pt>
                <c:pt idx="9">
                  <c:v>2.4886580465331116E-2</c:v>
                </c:pt>
                <c:pt idx="10">
                  <c:v>4.5877074832774381E-2</c:v>
                </c:pt>
                <c:pt idx="11">
                  <c:v>1.9723603885657769E-2</c:v>
                </c:pt>
                <c:pt idx="12">
                  <c:v>3.136447756730084E-2</c:v>
                </c:pt>
                <c:pt idx="13">
                  <c:v>3.1903715808381042E-2</c:v>
                </c:pt>
                <c:pt idx="14">
                  <c:v>1.0467795292670621E-2</c:v>
                </c:pt>
                <c:pt idx="15">
                  <c:v>1.8605235774620397E-2</c:v>
                </c:pt>
                <c:pt idx="16">
                  <c:v>1.2729688398095369E-2</c:v>
                </c:pt>
                <c:pt idx="17">
                  <c:v>8.2362291721844623E-3</c:v>
                </c:pt>
                <c:pt idx="18">
                  <c:v>1.3822291724610549E-2</c:v>
                </c:pt>
                <c:pt idx="19">
                  <c:v>4.0997794650524897E-4</c:v>
                </c:pt>
                <c:pt idx="20">
                  <c:v>0</c:v>
                </c:pt>
                <c:pt idx="21">
                  <c:v>1.3740065823289425E-3</c:v>
                </c:pt>
                <c:pt idx="22">
                  <c:v>9.5124811635990368E-3</c:v>
                </c:pt>
                <c:pt idx="23">
                  <c:v>2.8217738025873893E-4</c:v>
                </c:pt>
                <c:pt idx="24">
                  <c:v>3.9910477031018824E-3</c:v>
                </c:pt>
                <c:pt idx="25">
                  <c:v>0</c:v>
                </c:pt>
                <c:pt idx="26">
                  <c:v>0</c:v>
                </c:pt>
                <c:pt idx="27">
                  <c:v>2.0258957294298558E-5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1.9074396169071871E-2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2.8994319994968092E-4</c:v>
                </c:pt>
                <c:pt idx="40">
                  <c:v>1.8579457874451479E-3</c:v>
                </c:pt>
                <c:pt idx="41">
                  <c:v>5.4190362779547785E-3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1.8563526933486625E-4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0.16593011321225964</c:v>
                </c:pt>
                <c:pt idx="1">
                  <c:v>0.10179079938460649</c:v>
                </c:pt>
                <c:pt idx="2">
                  <c:v>6.555592131537033E-2</c:v>
                </c:pt>
                <c:pt idx="3">
                  <c:v>3.663390053360395E-2</c:v>
                </c:pt>
                <c:pt idx="4">
                  <c:v>0.13842254199145879</c:v>
                </c:pt>
                <c:pt idx="5">
                  <c:v>8.6516088871307101E-2</c:v>
                </c:pt>
                <c:pt idx="6">
                  <c:v>6.9510284704317069E-2</c:v>
                </c:pt>
                <c:pt idx="7">
                  <c:v>3.8148446908440353E-2</c:v>
                </c:pt>
                <c:pt idx="8">
                  <c:v>4.4963254496268305E-2</c:v>
                </c:pt>
                <c:pt idx="9">
                  <c:v>3.2719355907356397E-2</c:v>
                </c:pt>
                <c:pt idx="10">
                  <c:v>1.7755094104426987E-2</c:v>
                </c:pt>
                <c:pt idx="11">
                  <c:v>1.9054924100202583E-2</c:v>
                </c:pt>
                <c:pt idx="12">
                  <c:v>1.7856992037853174E-2</c:v>
                </c:pt>
                <c:pt idx="13">
                  <c:v>1.6119186965014472E-2</c:v>
                </c:pt>
                <c:pt idx="14">
                  <c:v>1.6049708419474007E-2</c:v>
                </c:pt>
                <c:pt idx="15">
                  <c:v>1.291548960227586E-2</c:v>
                </c:pt>
                <c:pt idx="16">
                  <c:v>2.033199855047706E-2</c:v>
                </c:pt>
                <c:pt idx="17">
                  <c:v>9.7476226267899594E-3</c:v>
                </c:pt>
                <c:pt idx="18">
                  <c:v>9.8328093428970541E-3</c:v>
                </c:pt>
                <c:pt idx="19">
                  <c:v>9.64694702050377E-3</c:v>
                </c:pt>
                <c:pt idx="20">
                  <c:v>7.3151433531074561E-3</c:v>
                </c:pt>
                <c:pt idx="21">
                  <c:v>6.339855145364586E-3</c:v>
                </c:pt>
                <c:pt idx="22">
                  <c:v>6.1696747576868516E-3</c:v>
                </c:pt>
                <c:pt idx="23">
                  <c:v>8.0077382983458761E-3</c:v>
                </c:pt>
                <c:pt idx="24">
                  <c:v>6.2741037748729085E-3</c:v>
                </c:pt>
                <c:pt idx="25">
                  <c:v>5.5492824106428574E-3</c:v>
                </c:pt>
                <c:pt idx="26">
                  <c:v>3.1974599165810061E-3</c:v>
                </c:pt>
                <c:pt idx="27">
                  <c:v>4.8283898655457598E-3</c:v>
                </c:pt>
                <c:pt idx="28">
                  <c:v>2.4492235087541802E-3</c:v>
                </c:pt>
                <c:pt idx="29">
                  <c:v>2.5824991412580879E-3</c:v>
                </c:pt>
                <c:pt idx="30">
                  <c:v>2.6533694711186836E-3</c:v>
                </c:pt>
                <c:pt idx="31">
                  <c:v>2.5642580147077214E-3</c:v>
                </c:pt>
                <c:pt idx="32">
                  <c:v>1.4102575263509271E-3</c:v>
                </c:pt>
                <c:pt idx="33">
                  <c:v>1.5398573118949419E-3</c:v>
                </c:pt>
                <c:pt idx="34">
                  <c:v>6.4090393947154403E-4</c:v>
                </c:pt>
                <c:pt idx="35">
                  <c:v>1.2444150210054745E-3</c:v>
                </c:pt>
                <c:pt idx="36">
                  <c:v>1.3008704739977594E-3</c:v>
                </c:pt>
                <c:pt idx="37">
                  <c:v>1.2163228386532095E-3</c:v>
                </c:pt>
                <c:pt idx="38">
                  <c:v>8.1694504870307241E-4</c:v>
                </c:pt>
                <c:pt idx="39">
                  <c:v>6.2753712311754064E-4</c:v>
                </c:pt>
                <c:pt idx="40">
                  <c:v>9.1278568240279188E-4</c:v>
                </c:pt>
                <c:pt idx="41">
                  <c:v>4.8577168406983124E-4</c:v>
                </c:pt>
                <c:pt idx="42">
                  <c:v>2.182975713642102E-4</c:v>
                </c:pt>
                <c:pt idx="43">
                  <c:v>2.5019952837529978E-4</c:v>
                </c:pt>
                <c:pt idx="44">
                  <c:v>2.6240696089355073E-4</c:v>
                </c:pt>
                <c:pt idx="45">
                  <c:v>2.8996096837145396E-4</c:v>
                </c:pt>
                <c:pt idx="46">
                  <c:v>1.7451785219193086E-4</c:v>
                </c:pt>
                <c:pt idx="47">
                  <c:v>1.9027718662272089E-4</c:v>
                </c:pt>
                <c:pt idx="48">
                  <c:v>1.4462618889294319E-4</c:v>
                </c:pt>
                <c:pt idx="49">
                  <c:v>3.3278005058048074E-4</c:v>
                </c:pt>
                <c:pt idx="50">
                  <c:v>4.9691103995201078E-5</c:v>
                </c:pt>
                <c:pt idx="51">
                  <c:v>1.9769440186697264E-4</c:v>
                </c:pt>
                <c:pt idx="52">
                  <c:v>4.7622944795971519E-5</c:v>
                </c:pt>
                <c:pt idx="53">
                  <c:v>1.4296370388470627E-4</c:v>
                </c:pt>
                <c:pt idx="54">
                  <c:v>0</c:v>
                </c:pt>
                <c:pt idx="55">
                  <c:v>2.3579308429264119E-5</c:v>
                </c:pt>
                <c:pt idx="56">
                  <c:v>0</c:v>
                </c:pt>
                <c:pt idx="57">
                  <c:v>2.3542675490409351E-5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1120"/>
        <c:axId val="388820352"/>
      </c:lineChart>
      <c:catAx>
        <c:axId val="16026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0352"/>
        <c:crosses val="autoZero"/>
        <c:auto val="1"/>
        <c:lblAlgn val="ctr"/>
        <c:lblOffset val="100"/>
        <c:tickLblSkip val="10"/>
        <c:noMultiLvlLbl val="0"/>
      </c:catAx>
      <c:valAx>
        <c:axId val="388820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baseline="0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026112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9.0853355464470525E-3</c:v>
                </c:pt>
                <c:pt idx="4">
                  <c:v>9.6570500708005984E-3</c:v>
                </c:pt>
                <c:pt idx="5">
                  <c:v>3.850620922030467E-2</c:v>
                </c:pt>
                <c:pt idx="6">
                  <c:v>1.9163894738276097E-2</c:v>
                </c:pt>
                <c:pt idx="7">
                  <c:v>6.298629509591705E-2</c:v>
                </c:pt>
                <c:pt idx="8">
                  <c:v>1.7435779068205568E-2</c:v>
                </c:pt>
                <c:pt idx="9">
                  <c:v>6.2801528245028772E-3</c:v>
                </c:pt>
                <c:pt idx="10">
                  <c:v>1.2549558525019587E-2</c:v>
                </c:pt>
                <c:pt idx="11">
                  <c:v>6.4753344533339313E-3</c:v>
                </c:pt>
                <c:pt idx="12">
                  <c:v>5.8443264172557945E-3</c:v>
                </c:pt>
                <c:pt idx="13">
                  <c:v>2.7507784106558852E-2</c:v>
                </c:pt>
                <c:pt idx="14">
                  <c:v>9.63469808179232E-3</c:v>
                </c:pt>
                <c:pt idx="15">
                  <c:v>6.6189945978821427E-3</c:v>
                </c:pt>
                <c:pt idx="16">
                  <c:v>5.6235487714261165E-2</c:v>
                </c:pt>
                <c:pt idx="17">
                  <c:v>1.4605332759904799E-2</c:v>
                </c:pt>
                <c:pt idx="18">
                  <c:v>9.2250435929494071E-2</c:v>
                </c:pt>
                <c:pt idx="19">
                  <c:v>5.5956145922861272E-2</c:v>
                </c:pt>
                <c:pt idx="20">
                  <c:v>5.3112209995808519E-2</c:v>
                </c:pt>
                <c:pt idx="21">
                  <c:v>4.3118867798544402E-2</c:v>
                </c:pt>
                <c:pt idx="22">
                  <c:v>6.8658777631719084E-2</c:v>
                </c:pt>
                <c:pt idx="23">
                  <c:v>3.2702649553241044E-2</c:v>
                </c:pt>
                <c:pt idx="24">
                  <c:v>4.2012675638739623E-2</c:v>
                </c:pt>
                <c:pt idx="25">
                  <c:v>9.7228185762987945E-3</c:v>
                </c:pt>
                <c:pt idx="26">
                  <c:v>3.6670841774160141E-2</c:v>
                </c:pt>
                <c:pt idx="27">
                  <c:v>6.4195260207810505E-3</c:v>
                </c:pt>
                <c:pt idx="28">
                  <c:v>1.6050890960114229E-2</c:v>
                </c:pt>
                <c:pt idx="29">
                  <c:v>9.2764012580525967E-3</c:v>
                </c:pt>
                <c:pt idx="30">
                  <c:v>3.0741592790771943E-2</c:v>
                </c:pt>
                <c:pt idx="31">
                  <c:v>3.5617769798377719E-2</c:v>
                </c:pt>
                <c:pt idx="32">
                  <c:v>4.532376203188266E-3</c:v>
                </c:pt>
                <c:pt idx="33">
                  <c:v>1.6344690135114685E-2</c:v>
                </c:pt>
                <c:pt idx="34">
                  <c:v>1.8985855099486346E-2</c:v>
                </c:pt>
                <c:pt idx="35">
                  <c:v>8.1902119907984461E-3</c:v>
                </c:pt>
                <c:pt idx="36">
                  <c:v>2.1888502048827796E-3</c:v>
                </c:pt>
                <c:pt idx="37">
                  <c:v>4.6679318844767143E-3</c:v>
                </c:pt>
                <c:pt idx="38">
                  <c:v>5.0968816036712364E-3</c:v>
                </c:pt>
                <c:pt idx="39">
                  <c:v>5.7899285244128436E-3</c:v>
                </c:pt>
                <c:pt idx="40">
                  <c:v>3.3111977914184552E-3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4.7323981870503379E-2</c:v>
                </c:pt>
                <c:pt idx="46">
                  <c:v>8.6635163970915415E-4</c:v>
                </c:pt>
                <c:pt idx="47">
                  <c:v>0</c:v>
                </c:pt>
                <c:pt idx="48">
                  <c:v>1.228949757365067E-2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8.6872782114671347E-4</c:v>
                </c:pt>
                <c:pt idx="55">
                  <c:v>0</c:v>
                </c:pt>
                <c:pt idx="56">
                  <c:v>5.4190362779547802E-3</c:v>
                </c:pt>
                <c:pt idx="57">
                  <c:v>1.9364339369021558E-2</c:v>
                </c:pt>
                <c:pt idx="58">
                  <c:v>0</c:v>
                </c:pt>
                <c:pt idx="59">
                  <c:v>0</c:v>
                </c:pt>
                <c:pt idx="60">
                  <c:v>1.1696576317034365E-3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1.8949727252254706E-2</c:v>
                </c:pt>
                <c:pt idx="1">
                  <c:v>3.5451801605026111E-2</c:v>
                </c:pt>
                <c:pt idx="2">
                  <c:v>4.1210330768525261E-2</c:v>
                </c:pt>
                <c:pt idx="3">
                  <c:v>3.9559966965970868E-2</c:v>
                </c:pt>
                <c:pt idx="4">
                  <c:v>3.5076789104935856E-2</c:v>
                </c:pt>
                <c:pt idx="5">
                  <c:v>3.2686316009713882E-2</c:v>
                </c:pt>
                <c:pt idx="6">
                  <c:v>2.797794770434071E-2</c:v>
                </c:pt>
                <c:pt idx="7">
                  <c:v>2.7774949770959775E-2</c:v>
                </c:pt>
                <c:pt idx="8">
                  <c:v>2.4065280767762841E-2</c:v>
                </c:pt>
                <c:pt idx="9">
                  <c:v>2.0728870095317955E-2</c:v>
                </c:pt>
                <c:pt idx="10">
                  <c:v>1.7946997576289765E-2</c:v>
                </c:pt>
                <c:pt idx="11">
                  <c:v>1.7053320597196202E-2</c:v>
                </c:pt>
                <c:pt idx="12">
                  <c:v>1.4582768091859518E-2</c:v>
                </c:pt>
                <c:pt idx="13">
                  <c:v>1.3799175949911721E-2</c:v>
                </c:pt>
                <c:pt idx="14">
                  <c:v>1.0389630664762829E-2</c:v>
                </c:pt>
                <c:pt idx="15">
                  <c:v>9.4730035446707536E-3</c:v>
                </c:pt>
                <c:pt idx="16">
                  <c:v>7.7206490695844055E-3</c:v>
                </c:pt>
                <c:pt idx="17">
                  <c:v>7.3581691100697314E-3</c:v>
                </c:pt>
                <c:pt idx="18">
                  <c:v>9.5980661638830442E-2</c:v>
                </c:pt>
                <c:pt idx="19">
                  <c:v>2.9146525647221221E-2</c:v>
                </c:pt>
                <c:pt idx="20">
                  <c:v>3.0570880598839043E-2</c:v>
                </c:pt>
                <c:pt idx="21">
                  <c:v>4.8771676269704613E-2</c:v>
                </c:pt>
                <c:pt idx="22">
                  <c:v>3.5005400314370896E-2</c:v>
                </c:pt>
                <c:pt idx="23">
                  <c:v>3.0716154588868016E-2</c:v>
                </c:pt>
                <c:pt idx="24">
                  <c:v>2.8230124412489239E-2</c:v>
                </c:pt>
                <c:pt idx="25">
                  <c:v>2.821115147253166E-2</c:v>
                </c:pt>
                <c:pt idx="26">
                  <c:v>2.565125625714056E-2</c:v>
                </c:pt>
                <c:pt idx="27">
                  <c:v>1.7431401431755335E-2</c:v>
                </c:pt>
                <c:pt idx="28">
                  <c:v>1.746363143529768E-2</c:v>
                </c:pt>
                <c:pt idx="29">
                  <c:v>1.6388590739994623E-2</c:v>
                </c:pt>
                <c:pt idx="30">
                  <c:v>1.7341592981474991E-2</c:v>
                </c:pt>
                <c:pt idx="31">
                  <c:v>1.4127310236238168E-2</c:v>
                </c:pt>
                <c:pt idx="32">
                  <c:v>1.8418018499427782E-2</c:v>
                </c:pt>
                <c:pt idx="33">
                  <c:v>1.1995577053251726E-2</c:v>
                </c:pt>
                <c:pt idx="34">
                  <c:v>1.2369366883127184E-2</c:v>
                </c:pt>
                <c:pt idx="35">
                  <c:v>8.9353003240573506E-3</c:v>
                </c:pt>
                <c:pt idx="36">
                  <c:v>1.179080748541389E-2</c:v>
                </c:pt>
                <c:pt idx="37">
                  <c:v>8.0050976223721548E-3</c:v>
                </c:pt>
                <c:pt idx="38">
                  <c:v>8.2323134926519242E-3</c:v>
                </c:pt>
                <c:pt idx="39">
                  <c:v>8.2430491758186623E-3</c:v>
                </c:pt>
                <c:pt idx="40">
                  <c:v>8.460484790002526E-3</c:v>
                </c:pt>
                <c:pt idx="41">
                  <c:v>6.6924776706061874E-3</c:v>
                </c:pt>
                <c:pt idx="42">
                  <c:v>6.3426637664119696E-3</c:v>
                </c:pt>
                <c:pt idx="43">
                  <c:v>5.9957670418415553E-3</c:v>
                </c:pt>
                <c:pt idx="44">
                  <c:v>3.942973142587485E-3</c:v>
                </c:pt>
                <c:pt idx="45">
                  <c:v>3.8290411088971361E-3</c:v>
                </c:pt>
                <c:pt idx="46">
                  <c:v>3.7932229030400938E-3</c:v>
                </c:pt>
                <c:pt idx="47">
                  <c:v>4.1460181318993018E-3</c:v>
                </c:pt>
                <c:pt idx="48">
                  <c:v>2.513163381786393E-3</c:v>
                </c:pt>
                <c:pt idx="49">
                  <c:v>2.8783227783183672E-3</c:v>
                </c:pt>
                <c:pt idx="50">
                  <c:v>3.2792230052865342E-3</c:v>
                </c:pt>
                <c:pt idx="51">
                  <c:v>2.2577776761264776E-3</c:v>
                </c:pt>
                <c:pt idx="52">
                  <c:v>3.294026451726204E-3</c:v>
                </c:pt>
                <c:pt idx="53">
                  <c:v>1.906044227259119E-3</c:v>
                </c:pt>
                <c:pt idx="54">
                  <c:v>1.1250621072236866E-3</c:v>
                </c:pt>
                <c:pt idx="55">
                  <c:v>1.6452393134768399E-3</c:v>
                </c:pt>
                <c:pt idx="56">
                  <c:v>1.4165296864017789E-3</c:v>
                </c:pt>
                <c:pt idx="57">
                  <c:v>1.6550699735979227E-3</c:v>
                </c:pt>
                <c:pt idx="58">
                  <c:v>1.5049654689874583E-3</c:v>
                </c:pt>
                <c:pt idx="59">
                  <c:v>1.1527081643607734E-3</c:v>
                </c:pt>
                <c:pt idx="60">
                  <c:v>1.0631633135478832E-3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72096"/>
        <c:axId val="388822080"/>
      </c:lineChart>
      <c:catAx>
        <c:axId val="16237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2080"/>
        <c:crosses val="autoZero"/>
        <c:auto val="1"/>
        <c:lblAlgn val="ctr"/>
        <c:lblOffset val="100"/>
        <c:tickLblSkip val="10"/>
        <c:noMultiLvlLbl val="0"/>
      </c:catAx>
      <c:valAx>
        <c:axId val="3888220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2372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O10" sqref="O10"/>
    </sheetView>
  </sheetViews>
  <sheetFormatPr defaultRowHeight="15" x14ac:dyDescent="0.25"/>
  <cols>
    <col min="1" max="1" width="13.5703125" customWidth="1" collapsed="1"/>
    <col min="2" max="2" width="10.5703125" bestFit="1" customWidth="1" collapsed="1"/>
    <col min="5" max="5" width="12.7109375" customWidth="1" collapsed="1"/>
    <col min="6" max="6" width="10.5703125" bestFit="1" customWidth="1" collapsed="1"/>
    <col min="12" max="12" width="10.28515625" customWidth="1" collapsed="1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>
        <v>10443.7812211578</v>
      </c>
      <c r="C11" s="10">
        <f>B11/B$102</f>
        <v>4.642460071320529E-2</v>
      </c>
      <c r="E11" s="18">
        <v>0</v>
      </c>
      <c r="F11" s="248">
        <v>35152.183106090772</v>
      </c>
      <c r="G11" s="10">
        <f>F11/F$102</f>
        <v>0.16593011321225964</v>
      </c>
      <c r="K11" s="8">
        <v>6.8878490694349299</v>
      </c>
      <c r="L11" s="8">
        <v>7.083951383150473</v>
      </c>
    </row>
    <row r="12" spans="1:12" x14ac:dyDescent="0.25">
      <c r="A12">
        <v>1</v>
      </c>
      <c r="B12" s="246">
        <v>15937.7795198576</v>
      </c>
      <c r="C12" s="10">
        <f>B12/B$102</f>
        <v>7.0846471674984382E-2</v>
      </c>
      <c r="E12" s="19">
        <v>1</v>
      </c>
      <c r="F12" s="248">
        <v>21564.312524187855</v>
      </c>
      <c r="G12" s="10">
        <f>F12/F$102</f>
        <v>0.10179079938460649</v>
      </c>
      <c r="K12" s="8"/>
      <c r="L12" s="198"/>
    </row>
    <row r="13" spans="1:12" x14ac:dyDescent="0.25">
      <c r="A13">
        <v>2</v>
      </c>
      <c r="B13" s="246">
        <v>12657.4760069762</v>
      </c>
      <c r="C13" s="10">
        <f t="shared" ref="C13:C76" si="0">B13/B$102</f>
        <v>5.6264896517595052E-2</v>
      </c>
      <c r="E13" s="20">
        <v>2</v>
      </c>
      <c r="F13" s="248">
        <v>13887.977927300752</v>
      </c>
      <c r="G13" s="10">
        <f t="shared" ref="G13:G76" si="1">F13/F$102</f>
        <v>6.555592131537033E-2</v>
      </c>
    </row>
    <row r="14" spans="1:12" x14ac:dyDescent="0.25">
      <c r="A14">
        <v>3</v>
      </c>
      <c r="B14" s="246">
        <v>23152.280382293899</v>
      </c>
      <c r="C14" s="10">
        <f t="shared" si="0"/>
        <v>0.10291630488875883</v>
      </c>
      <c r="E14" s="21">
        <v>3</v>
      </c>
      <c r="F14" s="248">
        <v>7760.8672381259912</v>
      </c>
      <c r="G14" s="10">
        <f t="shared" si="1"/>
        <v>3.663390053360395E-2</v>
      </c>
    </row>
    <row r="15" spans="1:12" x14ac:dyDescent="0.25">
      <c r="A15">
        <v>4</v>
      </c>
      <c r="B15" s="246">
        <v>38295.813245544799</v>
      </c>
      <c r="C15" s="10">
        <f t="shared" si="0"/>
        <v>0.17023219859394956</v>
      </c>
      <c r="E15" s="22">
        <v>4</v>
      </c>
      <c r="F15" s="248">
        <v>29324.722606979984</v>
      </c>
      <c r="G15" s="10">
        <f t="shared" si="1"/>
        <v>0.13842254199145879</v>
      </c>
    </row>
    <row r="16" spans="1:12" x14ac:dyDescent="0.25">
      <c r="A16">
        <v>5</v>
      </c>
      <c r="B16" s="246">
        <v>30113.6119753438</v>
      </c>
      <c r="C16" s="10">
        <f t="shared" si="0"/>
        <v>0.1338607523830099</v>
      </c>
      <c r="E16" s="23">
        <v>5</v>
      </c>
      <c r="F16" s="248">
        <v>18328.375354849755</v>
      </c>
      <c r="G16" s="10">
        <f t="shared" si="1"/>
        <v>8.6516088871307101E-2</v>
      </c>
    </row>
    <row r="17" spans="1:7" x14ac:dyDescent="0.25">
      <c r="A17">
        <v>6</v>
      </c>
      <c r="B17" s="246">
        <v>24343.813541697898</v>
      </c>
      <c r="C17" s="10">
        <f t="shared" si="0"/>
        <v>0.10821289718521659</v>
      </c>
      <c r="E17" s="24">
        <v>6</v>
      </c>
      <c r="F17" s="248">
        <v>14725.707156946137</v>
      </c>
      <c r="G17" s="10">
        <f t="shared" si="1"/>
        <v>6.9510284704317069E-2</v>
      </c>
    </row>
    <row r="18" spans="1:7" x14ac:dyDescent="0.25">
      <c r="A18">
        <v>7</v>
      </c>
      <c r="B18" s="246">
        <v>8311.7366978515001</v>
      </c>
      <c r="C18" s="10">
        <f t="shared" si="0"/>
        <v>3.6947255908552419E-2</v>
      </c>
      <c r="E18" s="25">
        <v>7</v>
      </c>
      <c r="F18" s="248">
        <v>8081.722871020128</v>
      </c>
      <c r="G18" s="10">
        <f t="shared" si="1"/>
        <v>3.8148446908440353E-2</v>
      </c>
    </row>
    <row r="19" spans="1:7" x14ac:dyDescent="0.25">
      <c r="A19">
        <v>8</v>
      </c>
      <c r="B19" s="246">
        <v>3208.1913377190999</v>
      </c>
      <c r="C19" s="10">
        <f t="shared" si="0"/>
        <v>1.4261022776256677E-2</v>
      </c>
      <c r="E19" s="26">
        <v>8</v>
      </c>
      <c r="F19" s="248">
        <v>9525.4352841712171</v>
      </c>
      <c r="G19" s="10">
        <f t="shared" si="1"/>
        <v>4.4963254496268305E-2</v>
      </c>
    </row>
    <row r="20" spans="1:7" x14ac:dyDescent="0.25">
      <c r="A20">
        <v>9</v>
      </c>
      <c r="B20" s="246">
        <v>5598.5403800947997</v>
      </c>
      <c r="C20" s="10">
        <f t="shared" si="0"/>
        <v>2.4886580465331116E-2</v>
      </c>
      <c r="E20" s="27">
        <v>9</v>
      </c>
      <c r="F20" s="248">
        <v>6931.573586630725</v>
      </c>
      <c r="G20" s="10">
        <f t="shared" si="1"/>
        <v>3.2719355907356397E-2</v>
      </c>
    </row>
    <row r="21" spans="1:7" x14ac:dyDescent="0.25">
      <c r="A21">
        <v>10</v>
      </c>
      <c r="B21" s="246">
        <v>10320.6085837997</v>
      </c>
      <c r="C21" s="10">
        <f t="shared" si="0"/>
        <v>4.5877074832774381E-2</v>
      </c>
      <c r="E21" s="28">
        <v>10</v>
      </c>
      <c r="F21" s="248">
        <v>3761.404768200789</v>
      </c>
      <c r="G21" s="10">
        <f t="shared" si="1"/>
        <v>1.7755094104426987E-2</v>
      </c>
    </row>
    <row r="22" spans="1:7" x14ac:dyDescent="0.25">
      <c r="A22">
        <v>11</v>
      </c>
      <c r="B22" s="246">
        <v>4437.0657089140004</v>
      </c>
      <c r="C22" s="10">
        <f t="shared" si="0"/>
        <v>1.9723603885657769E-2</v>
      </c>
      <c r="E22" s="29">
        <v>11</v>
      </c>
      <c r="F22" s="248">
        <v>4036.7728803158179</v>
      </c>
      <c r="G22" s="10">
        <f t="shared" si="1"/>
        <v>1.9054924100202583E-2</v>
      </c>
    </row>
    <row r="23" spans="1:7" x14ac:dyDescent="0.25">
      <c r="A23">
        <v>12</v>
      </c>
      <c r="B23" s="246">
        <v>7055.8224905879997</v>
      </c>
      <c r="C23" s="10">
        <f t="shared" si="0"/>
        <v>3.136447756730084E-2</v>
      </c>
      <c r="E23" s="30">
        <v>12</v>
      </c>
      <c r="F23" s="248">
        <v>3782.9917769997742</v>
      </c>
      <c r="G23" s="10">
        <f t="shared" si="1"/>
        <v>1.7856992037853174E-2</v>
      </c>
    </row>
    <row r="24" spans="1:7" x14ac:dyDescent="0.25">
      <c r="A24">
        <v>13</v>
      </c>
      <c r="B24" s="246">
        <v>7177.1307222024006</v>
      </c>
      <c r="C24" s="10">
        <f t="shared" si="0"/>
        <v>3.1903715808381042E-2</v>
      </c>
      <c r="E24" s="31">
        <v>13</v>
      </c>
      <c r="F24" s="248">
        <v>3414.83893879267</v>
      </c>
      <c r="G24" s="10">
        <f t="shared" si="1"/>
        <v>1.6119186965014472E-2</v>
      </c>
    </row>
    <row r="25" spans="1:7" x14ac:dyDescent="0.25">
      <c r="A25">
        <v>14</v>
      </c>
      <c r="B25" s="246">
        <v>2354.8584635090001</v>
      </c>
      <c r="C25" s="10">
        <f t="shared" si="0"/>
        <v>1.0467795292670621E-2</v>
      </c>
      <c r="E25" s="32">
        <v>14</v>
      </c>
      <c r="F25" s="248">
        <v>3400.1199555562816</v>
      </c>
      <c r="G25" s="10">
        <f t="shared" si="1"/>
        <v>1.6049708419474007E-2</v>
      </c>
    </row>
    <row r="26" spans="1:7" x14ac:dyDescent="0.25">
      <c r="A26">
        <v>15</v>
      </c>
      <c r="B26" s="246">
        <v>4185.4751363089999</v>
      </c>
      <c r="C26" s="10">
        <f t="shared" si="0"/>
        <v>1.8605235774620397E-2</v>
      </c>
      <c r="E26" s="33">
        <v>15</v>
      </c>
      <c r="F26" s="248">
        <v>2736.1378029269522</v>
      </c>
      <c r="G26" s="10">
        <f t="shared" si="1"/>
        <v>1.291548960227586E-2</v>
      </c>
    </row>
    <row r="27" spans="1:7" x14ac:dyDescent="0.25">
      <c r="A27">
        <v>16</v>
      </c>
      <c r="B27" s="246">
        <v>2863.6989570360001</v>
      </c>
      <c r="C27" s="10">
        <f t="shared" si="0"/>
        <v>1.2729688398095369E-2</v>
      </c>
      <c r="E27" s="34">
        <v>16</v>
      </c>
      <c r="F27" s="248">
        <v>4307.3202453907297</v>
      </c>
      <c r="G27" s="10">
        <f t="shared" si="1"/>
        <v>2.033199855047706E-2</v>
      </c>
    </row>
    <row r="28" spans="1:7" x14ac:dyDescent="0.25">
      <c r="A28">
        <v>17</v>
      </c>
      <c r="B28" s="246">
        <v>1852.8403958280001</v>
      </c>
      <c r="C28" s="10">
        <f t="shared" si="0"/>
        <v>8.2362291721844623E-3</v>
      </c>
      <c r="E28" s="35">
        <v>17</v>
      </c>
      <c r="F28" s="248">
        <v>2065.0273105501483</v>
      </c>
      <c r="G28" s="10">
        <f t="shared" si="1"/>
        <v>9.7476226267899594E-3</v>
      </c>
    </row>
    <row r="29" spans="1:7" x14ac:dyDescent="0.25">
      <c r="A29">
        <v>18</v>
      </c>
      <c r="B29" s="246">
        <v>3109.4934265269999</v>
      </c>
      <c r="C29" s="10">
        <f t="shared" si="0"/>
        <v>1.3822291724610549E-2</v>
      </c>
      <c r="E29" s="36">
        <v>18</v>
      </c>
      <c r="F29" s="248">
        <v>2083.0740591772201</v>
      </c>
      <c r="G29" s="10">
        <f t="shared" si="1"/>
        <v>9.8328093428970541E-3</v>
      </c>
    </row>
    <row r="30" spans="1:7" x14ac:dyDescent="0.25">
      <c r="A30">
        <v>19</v>
      </c>
      <c r="B30" s="246">
        <v>92.2295488388</v>
      </c>
      <c r="C30" s="10">
        <f t="shared" si="0"/>
        <v>4.0997794650524897E-4</v>
      </c>
      <c r="E30" s="37">
        <v>19</v>
      </c>
      <c r="F30" s="248">
        <v>2043.6992509353047</v>
      </c>
      <c r="G30" s="10">
        <f t="shared" si="1"/>
        <v>9.64694702050377E-3</v>
      </c>
    </row>
    <row r="31" spans="1:7" x14ac:dyDescent="0.25">
      <c r="A31">
        <v>20</v>
      </c>
      <c r="B31" s="246">
        <v>0</v>
      </c>
      <c r="C31" s="10">
        <f t="shared" si="0"/>
        <v>0</v>
      </c>
      <c r="E31" s="38">
        <v>20</v>
      </c>
      <c r="F31" s="248">
        <v>1549.7082091831976</v>
      </c>
      <c r="G31" s="10">
        <f t="shared" si="1"/>
        <v>7.3151433531074561E-3</v>
      </c>
    </row>
    <row r="32" spans="1:7" x14ac:dyDescent="0.25">
      <c r="A32">
        <v>21</v>
      </c>
      <c r="B32" s="246">
        <v>309.09957052560003</v>
      </c>
      <c r="C32" s="10">
        <f t="shared" si="0"/>
        <v>1.3740065823289425E-3</v>
      </c>
      <c r="E32" s="39">
        <v>21</v>
      </c>
      <c r="F32" s="248">
        <v>1343.0940570194332</v>
      </c>
      <c r="G32" s="10">
        <f t="shared" si="1"/>
        <v>6.339855145364586E-3</v>
      </c>
    </row>
    <row r="33" spans="1:7" x14ac:dyDescent="0.25">
      <c r="A33">
        <v>22</v>
      </c>
      <c r="B33" s="246">
        <v>2139.9488766039999</v>
      </c>
      <c r="C33" s="10">
        <f t="shared" si="0"/>
        <v>9.5124811635990368E-3</v>
      </c>
      <c r="E33" s="40">
        <v>22</v>
      </c>
      <c r="F33" s="248">
        <v>1307.0414561207601</v>
      </c>
      <c r="G33" s="10">
        <f t="shared" si="1"/>
        <v>6.1696747576868516E-3</v>
      </c>
    </row>
    <row r="34" spans="1:7" x14ac:dyDescent="0.25">
      <c r="A34">
        <v>23</v>
      </c>
      <c r="B34" s="246">
        <v>63.479249787999997</v>
      </c>
      <c r="C34" s="10">
        <f t="shared" si="0"/>
        <v>2.8217738025873893E-4</v>
      </c>
      <c r="E34" s="41">
        <v>23</v>
      </c>
      <c r="F34" s="248">
        <v>1696.4339834387113</v>
      </c>
      <c r="G34" s="10">
        <f t="shared" si="1"/>
        <v>8.0077382983458761E-3</v>
      </c>
    </row>
    <row r="35" spans="1:7" x14ac:dyDescent="0.25">
      <c r="A35">
        <v>24</v>
      </c>
      <c r="B35" s="246">
        <v>897.8349498770001</v>
      </c>
      <c r="C35" s="10">
        <f t="shared" si="0"/>
        <v>3.9910477031018824E-3</v>
      </c>
      <c r="E35" s="42">
        <v>24</v>
      </c>
      <c r="F35" s="248">
        <v>1329.1646733153239</v>
      </c>
      <c r="G35" s="10">
        <f t="shared" si="1"/>
        <v>6.2741037748729085E-3</v>
      </c>
    </row>
    <row r="36" spans="1:7" x14ac:dyDescent="0.25">
      <c r="A36">
        <v>25</v>
      </c>
      <c r="B36" s="246">
        <v>0</v>
      </c>
      <c r="C36" s="10">
        <f t="shared" si="0"/>
        <v>0</v>
      </c>
      <c r="E36" s="43">
        <v>25</v>
      </c>
      <c r="F36" s="248">
        <v>1175.6117538278997</v>
      </c>
      <c r="G36" s="10">
        <f t="shared" si="1"/>
        <v>5.5492824106428574E-3</v>
      </c>
    </row>
    <row r="37" spans="1:7" x14ac:dyDescent="0.25">
      <c r="A37">
        <v>26</v>
      </c>
      <c r="B37" s="246">
        <v>0</v>
      </c>
      <c r="C37" s="10">
        <f t="shared" si="0"/>
        <v>0</v>
      </c>
      <c r="E37" s="44">
        <v>26</v>
      </c>
      <c r="F37" s="248">
        <v>677.37973708401489</v>
      </c>
      <c r="G37" s="10">
        <f t="shared" si="1"/>
        <v>3.1974599165810061E-3</v>
      </c>
    </row>
    <row r="38" spans="1:7" x14ac:dyDescent="0.25">
      <c r="A38">
        <v>27</v>
      </c>
      <c r="B38" s="246">
        <v>4.5575000000000001</v>
      </c>
      <c r="C38" s="10">
        <f t="shared" si="0"/>
        <v>2.0258957294298558E-5</v>
      </c>
      <c r="E38" s="45">
        <v>27</v>
      </c>
      <c r="F38" s="248">
        <v>1022.8911520366352</v>
      </c>
      <c r="G38" s="10">
        <f t="shared" si="1"/>
        <v>4.8283898655457598E-3</v>
      </c>
    </row>
    <row r="39" spans="1:7" x14ac:dyDescent="0.25">
      <c r="A39">
        <v>28</v>
      </c>
      <c r="B39" s="246">
        <v>0</v>
      </c>
      <c r="C39" s="10">
        <f t="shared" si="0"/>
        <v>0</v>
      </c>
      <c r="E39" s="46">
        <v>28</v>
      </c>
      <c r="F39" s="248">
        <v>518.86635632758635</v>
      </c>
      <c r="G39" s="10">
        <f t="shared" si="1"/>
        <v>2.4492235087541802E-3</v>
      </c>
    </row>
    <row r="40" spans="1:7" x14ac:dyDescent="0.25">
      <c r="A40">
        <v>29</v>
      </c>
      <c r="B40" s="246">
        <v>0</v>
      </c>
      <c r="C40" s="10">
        <f t="shared" si="0"/>
        <v>0</v>
      </c>
      <c r="E40" s="47">
        <v>29</v>
      </c>
      <c r="F40" s="248">
        <v>547.10070961440908</v>
      </c>
      <c r="G40" s="10">
        <f t="shared" si="1"/>
        <v>2.5824991412580879E-3</v>
      </c>
    </row>
    <row r="41" spans="1:7" x14ac:dyDescent="0.25">
      <c r="A41">
        <v>30</v>
      </c>
      <c r="B41" s="246">
        <v>0</v>
      </c>
      <c r="C41" s="10">
        <f t="shared" si="0"/>
        <v>0</v>
      </c>
      <c r="E41" s="48">
        <v>30</v>
      </c>
      <c r="F41" s="248">
        <v>562.11454142480432</v>
      </c>
      <c r="G41" s="10">
        <f t="shared" si="1"/>
        <v>2.6533694711186836E-3</v>
      </c>
    </row>
    <row r="42" spans="1:7" x14ac:dyDescent="0.25">
      <c r="A42">
        <v>31</v>
      </c>
      <c r="B42" s="246">
        <v>0</v>
      </c>
      <c r="C42" s="10">
        <f t="shared" si="0"/>
        <v>0</v>
      </c>
      <c r="E42" s="49">
        <v>31</v>
      </c>
      <c r="F42" s="248">
        <v>543.2363391987775</v>
      </c>
      <c r="G42" s="10">
        <f t="shared" si="1"/>
        <v>2.5642580147077214E-3</v>
      </c>
    </row>
    <row r="43" spans="1:7" x14ac:dyDescent="0.25">
      <c r="A43">
        <v>32</v>
      </c>
      <c r="B43" s="246">
        <v>0</v>
      </c>
      <c r="C43" s="10">
        <f t="shared" si="0"/>
        <v>0</v>
      </c>
      <c r="E43" s="50">
        <v>32</v>
      </c>
      <c r="F43" s="248">
        <v>298.76211034470447</v>
      </c>
      <c r="G43" s="10">
        <f t="shared" si="1"/>
        <v>1.4102575263509271E-3</v>
      </c>
    </row>
    <row r="44" spans="1:7" x14ac:dyDescent="0.25">
      <c r="A44">
        <v>33</v>
      </c>
      <c r="B44" s="246">
        <v>0</v>
      </c>
      <c r="C44" s="10">
        <f t="shared" si="0"/>
        <v>0</v>
      </c>
      <c r="E44" s="51">
        <v>33</v>
      </c>
      <c r="F44" s="248">
        <v>326.21773792042717</v>
      </c>
      <c r="G44" s="10">
        <f t="shared" si="1"/>
        <v>1.5398573118949419E-3</v>
      </c>
    </row>
    <row r="45" spans="1:7" x14ac:dyDescent="0.25">
      <c r="A45">
        <v>34</v>
      </c>
      <c r="B45" s="246">
        <v>4291.0185000000001</v>
      </c>
      <c r="C45" s="10">
        <f t="shared" si="0"/>
        <v>1.9074396169071871E-2</v>
      </c>
      <c r="E45" s="52">
        <v>34</v>
      </c>
      <c r="F45" s="248">
        <v>135.77506938055942</v>
      </c>
      <c r="G45" s="10">
        <f t="shared" si="1"/>
        <v>6.4090393947154403E-4</v>
      </c>
    </row>
    <row r="46" spans="1:7" x14ac:dyDescent="0.25">
      <c r="A46">
        <v>35</v>
      </c>
      <c r="B46" s="246">
        <v>0</v>
      </c>
      <c r="C46" s="10">
        <f t="shared" si="0"/>
        <v>0</v>
      </c>
      <c r="E46" s="53">
        <v>35</v>
      </c>
      <c r="F46" s="248">
        <v>263.6284869063914</v>
      </c>
      <c r="G46" s="10">
        <f t="shared" si="1"/>
        <v>1.2444150210054745E-3</v>
      </c>
    </row>
    <row r="47" spans="1:7" x14ac:dyDescent="0.25">
      <c r="A47">
        <v>36</v>
      </c>
      <c r="B47" s="246">
        <v>0</v>
      </c>
      <c r="C47" s="10">
        <f t="shared" si="0"/>
        <v>0</v>
      </c>
      <c r="E47" s="54">
        <v>36</v>
      </c>
      <c r="F47" s="248">
        <v>275.58853672798989</v>
      </c>
      <c r="G47" s="10">
        <f t="shared" si="1"/>
        <v>1.3008704739977594E-3</v>
      </c>
    </row>
    <row r="48" spans="1:7" x14ac:dyDescent="0.25">
      <c r="A48">
        <v>37</v>
      </c>
      <c r="B48" s="246">
        <v>0</v>
      </c>
      <c r="C48" s="10">
        <f t="shared" si="0"/>
        <v>0</v>
      </c>
      <c r="E48" s="55">
        <v>37</v>
      </c>
      <c r="F48" s="248">
        <v>257.67717693149081</v>
      </c>
      <c r="G48" s="10">
        <f t="shared" si="1"/>
        <v>1.2163228386532095E-3</v>
      </c>
    </row>
    <row r="49" spans="1:7" x14ac:dyDescent="0.25">
      <c r="A49">
        <v>38</v>
      </c>
      <c r="B49" s="246">
        <v>0</v>
      </c>
      <c r="C49" s="10">
        <f t="shared" si="0"/>
        <v>0</v>
      </c>
      <c r="E49" s="56">
        <v>38</v>
      </c>
      <c r="F49" s="248">
        <v>173.06926020648842</v>
      </c>
      <c r="G49" s="10">
        <f t="shared" si="1"/>
        <v>8.1694504870307241E-4</v>
      </c>
    </row>
    <row r="50" spans="1:7" x14ac:dyDescent="0.25">
      <c r="A50">
        <v>39</v>
      </c>
      <c r="B50" s="246">
        <v>65.226265822800002</v>
      </c>
      <c r="C50" s="10">
        <f t="shared" si="0"/>
        <v>2.8994319994968092E-4</v>
      </c>
      <c r="E50" s="57">
        <v>39</v>
      </c>
      <c r="F50" s="248">
        <v>132.94331830822483</v>
      </c>
      <c r="G50" s="10">
        <f t="shared" si="1"/>
        <v>6.2753712311754064E-4</v>
      </c>
    </row>
    <row r="51" spans="1:7" x14ac:dyDescent="0.25">
      <c r="A51">
        <v>40</v>
      </c>
      <c r="B51" s="246">
        <v>417.967608267</v>
      </c>
      <c r="C51" s="10">
        <f t="shared" si="0"/>
        <v>1.8579457874451479E-3</v>
      </c>
      <c r="E51" s="58">
        <v>40</v>
      </c>
      <c r="F51" s="248">
        <v>193.37303412428622</v>
      </c>
      <c r="G51" s="10">
        <f t="shared" si="1"/>
        <v>9.1278568240279188E-4</v>
      </c>
    </row>
    <row r="52" spans="1:7" x14ac:dyDescent="0.25">
      <c r="A52">
        <v>41</v>
      </c>
      <c r="B52" s="246">
        <v>1219.0784292599999</v>
      </c>
      <c r="C52" s="10">
        <f t="shared" si="0"/>
        <v>5.4190362779547785E-3</v>
      </c>
      <c r="E52" s="59">
        <v>41</v>
      </c>
      <c r="F52" s="248">
        <v>102.91040520374418</v>
      </c>
      <c r="G52" s="10">
        <f t="shared" si="1"/>
        <v>4.8577168406983124E-4</v>
      </c>
    </row>
    <row r="53" spans="1:7" x14ac:dyDescent="0.25">
      <c r="A53">
        <v>42</v>
      </c>
      <c r="B53" s="246">
        <v>0</v>
      </c>
      <c r="C53" s="10">
        <f t="shared" si="0"/>
        <v>0</v>
      </c>
      <c r="E53" s="60">
        <v>42</v>
      </c>
      <c r="F53" s="248">
        <v>46.246193964765361</v>
      </c>
      <c r="G53" s="10">
        <f t="shared" si="1"/>
        <v>2.182975713642102E-4</v>
      </c>
    </row>
    <row r="54" spans="1:7" x14ac:dyDescent="0.25">
      <c r="A54">
        <v>43</v>
      </c>
      <c r="B54" s="246">
        <v>0</v>
      </c>
      <c r="C54" s="10">
        <f t="shared" si="0"/>
        <v>0</v>
      </c>
      <c r="E54" s="61">
        <v>43</v>
      </c>
      <c r="F54" s="248">
        <v>53.004602143887851</v>
      </c>
      <c r="G54" s="10">
        <f t="shared" si="1"/>
        <v>2.5019952837529978E-4</v>
      </c>
    </row>
    <row r="55" spans="1:7" x14ac:dyDescent="0.25">
      <c r="A55">
        <v>44</v>
      </c>
      <c r="B55" s="246">
        <v>0</v>
      </c>
      <c r="C55" s="10">
        <f t="shared" si="0"/>
        <v>0</v>
      </c>
      <c r="E55" s="62">
        <v>44</v>
      </c>
      <c r="F55" s="248">
        <v>55.590738528836091</v>
      </c>
      <c r="G55" s="10">
        <f t="shared" si="1"/>
        <v>2.6240696089355073E-4</v>
      </c>
    </row>
    <row r="56" spans="1:7" x14ac:dyDescent="0.25">
      <c r="A56">
        <v>45</v>
      </c>
      <c r="B56" s="246">
        <v>0</v>
      </c>
      <c r="C56" s="10">
        <f t="shared" si="0"/>
        <v>0</v>
      </c>
      <c r="E56" s="63">
        <v>45</v>
      </c>
      <c r="F56" s="248">
        <v>61.428036517844419</v>
      </c>
      <c r="G56" s="10">
        <f t="shared" si="1"/>
        <v>2.8996096837145396E-4</v>
      </c>
    </row>
    <row r="57" spans="1:7" x14ac:dyDescent="0.25">
      <c r="A57">
        <v>46</v>
      </c>
      <c r="B57" s="246">
        <v>0</v>
      </c>
      <c r="C57" s="10">
        <f t="shared" si="0"/>
        <v>0</v>
      </c>
      <c r="E57" s="64">
        <v>46</v>
      </c>
      <c r="F57" s="248">
        <v>36.971489844552103</v>
      </c>
      <c r="G57" s="10">
        <f t="shared" si="1"/>
        <v>1.7451785219193086E-4</v>
      </c>
    </row>
    <row r="58" spans="1:7" x14ac:dyDescent="0.25">
      <c r="A58">
        <v>47</v>
      </c>
      <c r="B58" s="246">
        <v>0</v>
      </c>
      <c r="C58" s="10">
        <f t="shared" si="0"/>
        <v>0</v>
      </c>
      <c r="E58" s="65">
        <v>47</v>
      </c>
      <c r="F58" s="248">
        <v>40.310094265514572</v>
      </c>
      <c r="G58" s="10">
        <f t="shared" si="1"/>
        <v>1.9027718662272089E-4</v>
      </c>
    </row>
    <row r="59" spans="1:7" x14ac:dyDescent="0.25">
      <c r="A59">
        <v>48</v>
      </c>
      <c r="B59" s="246">
        <v>0</v>
      </c>
      <c r="C59" s="10">
        <f t="shared" si="0"/>
        <v>0</v>
      </c>
      <c r="E59" s="66">
        <v>48</v>
      </c>
      <c r="F59" s="248">
        <v>30.638961038961</v>
      </c>
      <c r="G59" s="10">
        <f t="shared" si="1"/>
        <v>1.4462618889294319E-4</v>
      </c>
    </row>
    <row r="60" spans="1:7" x14ac:dyDescent="0.25">
      <c r="A60">
        <v>49</v>
      </c>
      <c r="B60" s="246">
        <v>0</v>
      </c>
      <c r="C60" s="10">
        <f t="shared" si="0"/>
        <v>0</v>
      </c>
      <c r="E60" s="67">
        <v>49</v>
      </c>
      <c r="F60" s="248">
        <v>70.499230342204768</v>
      </c>
      <c r="G60" s="10">
        <f t="shared" si="1"/>
        <v>3.3278005058048074E-4</v>
      </c>
    </row>
    <row r="61" spans="1:7" x14ac:dyDescent="0.25">
      <c r="A61">
        <v>50</v>
      </c>
      <c r="B61" s="246">
        <v>0</v>
      </c>
      <c r="C61" s="10">
        <f t="shared" si="0"/>
        <v>0</v>
      </c>
      <c r="E61" s="68">
        <v>50</v>
      </c>
      <c r="F61" s="248">
        <v>10.527027027027</v>
      </c>
      <c r="G61" s="10">
        <f t="shared" si="1"/>
        <v>4.9691103995201078E-5</v>
      </c>
    </row>
    <row r="62" spans="1:7" x14ac:dyDescent="0.25">
      <c r="A62">
        <v>51</v>
      </c>
      <c r="B62" s="246">
        <v>41.760922228299997</v>
      </c>
      <c r="C62" s="10">
        <f t="shared" si="0"/>
        <v>1.8563526933486625E-4</v>
      </c>
      <c r="E62" s="69">
        <v>51</v>
      </c>
      <c r="F62" s="248">
        <v>41.881426336322562</v>
      </c>
      <c r="G62" s="10">
        <f t="shared" si="1"/>
        <v>1.9769440186697264E-4</v>
      </c>
    </row>
    <row r="63" spans="1:7" x14ac:dyDescent="0.25">
      <c r="A63">
        <v>52</v>
      </c>
      <c r="B63" s="246">
        <v>0</v>
      </c>
      <c r="C63" s="10">
        <f t="shared" si="0"/>
        <v>0</v>
      </c>
      <c r="E63" s="70">
        <v>52</v>
      </c>
      <c r="F63" s="248">
        <v>10.088888888888899</v>
      </c>
      <c r="G63" s="10">
        <f t="shared" si="1"/>
        <v>4.7622944795971519E-5</v>
      </c>
    </row>
    <row r="64" spans="1:7" x14ac:dyDescent="0.25">
      <c r="A64">
        <v>53</v>
      </c>
      <c r="B64" s="246">
        <v>0</v>
      </c>
      <c r="C64" s="10">
        <f t="shared" si="0"/>
        <v>0</v>
      </c>
      <c r="E64" s="71">
        <v>53</v>
      </c>
      <c r="F64" s="248">
        <v>30.286764705882398</v>
      </c>
      <c r="G64" s="10">
        <f t="shared" si="1"/>
        <v>1.4296370388470627E-4</v>
      </c>
    </row>
    <row r="65" spans="1:7" x14ac:dyDescent="0.25">
      <c r="A65">
        <v>54</v>
      </c>
      <c r="B65" s="246">
        <v>0</v>
      </c>
      <c r="C65" s="10">
        <f t="shared" si="0"/>
        <v>0</v>
      </c>
      <c r="E65" s="72">
        <v>54</v>
      </c>
      <c r="F65" s="248">
        <v>0</v>
      </c>
      <c r="G65" s="10">
        <f t="shared" si="1"/>
        <v>0</v>
      </c>
    </row>
    <row r="66" spans="1:7" x14ac:dyDescent="0.25">
      <c r="A66">
        <v>55</v>
      </c>
      <c r="B66" s="246">
        <v>0</v>
      </c>
      <c r="C66" s="10">
        <f t="shared" si="0"/>
        <v>0</v>
      </c>
      <c r="E66" s="73">
        <v>55</v>
      </c>
      <c r="F66" s="248">
        <v>4.9952606635071097</v>
      </c>
      <c r="G66" s="10">
        <f t="shared" si="1"/>
        <v>2.3579308429264119E-5</v>
      </c>
    </row>
    <row r="67" spans="1:7" x14ac:dyDescent="0.25">
      <c r="A67">
        <v>56</v>
      </c>
      <c r="B67" s="246">
        <v>0</v>
      </c>
      <c r="C67" s="10">
        <f t="shared" si="0"/>
        <v>0</v>
      </c>
      <c r="E67" s="74">
        <v>56</v>
      </c>
      <c r="F67" s="248">
        <v>0</v>
      </c>
      <c r="G67" s="10">
        <f t="shared" si="1"/>
        <v>0</v>
      </c>
    </row>
    <row r="68" spans="1:7" x14ac:dyDescent="0.25">
      <c r="A68">
        <v>57</v>
      </c>
      <c r="B68" s="246">
        <v>0</v>
      </c>
      <c r="C68" s="10">
        <f t="shared" si="0"/>
        <v>0</v>
      </c>
      <c r="E68" s="75">
        <v>57</v>
      </c>
      <c r="F68" s="248">
        <v>4.9874999999999998</v>
      </c>
      <c r="G68" s="10">
        <f t="shared" si="1"/>
        <v>2.3542675490409351E-5</v>
      </c>
    </row>
    <row r="69" spans="1:7" x14ac:dyDescent="0.25">
      <c r="A69">
        <v>58</v>
      </c>
      <c r="B69" s="246">
        <v>0</v>
      </c>
      <c r="C69" s="10">
        <f t="shared" si="0"/>
        <v>0</v>
      </c>
      <c r="E69" s="76">
        <v>58</v>
      </c>
      <c r="F69" s="248">
        <v>0</v>
      </c>
      <c r="G69" s="10">
        <f t="shared" si="1"/>
        <v>0</v>
      </c>
    </row>
    <row r="70" spans="1:7" x14ac:dyDescent="0.25">
      <c r="A70">
        <v>59</v>
      </c>
      <c r="B70" s="246">
        <v>0</v>
      </c>
      <c r="C70" s="10">
        <f t="shared" si="0"/>
        <v>0</v>
      </c>
      <c r="E70" s="77">
        <v>59</v>
      </c>
      <c r="F70" s="248">
        <v>0</v>
      </c>
      <c r="G70" s="10">
        <f t="shared" si="1"/>
        <v>0</v>
      </c>
    </row>
    <row r="71" spans="1:7" x14ac:dyDescent="0.25">
      <c r="A71">
        <v>60</v>
      </c>
      <c r="B71" s="246">
        <v>0</v>
      </c>
      <c r="C71" s="10">
        <f t="shared" si="0"/>
        <v>0</v>
      </c>
      <c r="E71" s="78">
        <v>60</v>
      </c>
      <c r="F71" s="248">
        <v>0</v>
      </c>
      <c r="G71" s="10">
        <f t="shared" si="1"/>
        <v>0</v>
      </c>
    </row>
    <row r="72" spans="1:7" x14ac:dyDescent="0.25">
      <c r="A72">
        <v>61</v>
      </c>
      <c r="B72" s="246">
        <v>0</v>
      </c>
      <c r="C72" s="10">
        <f t="shared" si="0"/>
        <v>0</v>
      </c>
      <c r="E72" s="79">
        <v>61</v>
      </c>
      <c r="F72" s="248">
        <v>0</v>
      </c>
      <c r="G72" s="10">
        <f t="shared" si="1"/>
        <v>0</v>
      </c>
    </row>
    <row r="73" spans="1:7" x14ac:dyDescent="0.25">
      <c r="A73">
        <v>62</v>
      </c>
      <c r="B73" s="246">
        <v>0</v>
      </c>
      <c r="C73" s="10">
        <f t="shared" si="0"/>
        <v>0</v>
      </c>
      <c r="E73" s="80">
        <v>62</v>
      </c>
      <c r="F73" s="248">
        <v>0</v>
      </c>
      <c r="G73" s="10">
        <f t="shared" si="1"/>
        <v>0</v>
      </c>
    </row>
    <row r="74" spans="1:7" x14ac:dyDescent="0.25">
      <c r="A74">
        <v>63</v>
      </c>
      <c r="B74" s="246">
        <v>0</v>
      </c>
      <c r="C74" s="10">
        <f t="shared" si="0"/>
        <v>0</v>
      </c>
      <c r="E74" s="81">
        <v>63</v>
      </c>
      <c r="F74" s="248">
        <v>5.0198019801980198</v>
      </c>
      <c r="G74" s="10">
        <f t="shared" si="1"/>
        <v>2.3695151688404262E-5</v>
      </c>
    </row>
    <row r="75" spans="1:7" x14ac:dyDescent="0.25">
      <c r="A75">
        <v>64</v>
      </c>
      <c r="B75" s="246">
        <v>0</v>
      </c>
      <c r="C75" s="10">
        <f t="shared" si="0"/>
        <v>0</v>
      </c>
      <c r="E75" s="82">
        <v>64</v>
      </c>
      <c r="F75" s="248">
        <v>0</v>
      </c>
      <c r="G75" s="10">
        <f t="shared" si="1"/>
        <v>0</v>
      </c>
    </row>
    <row r="76" spans="1:7" x14ac:dyDescent="0.25">
      <c r="A76">
        <v>65</v>
      </c>
      <c r="B76" s="246">
        <v>0</v>
      </c>
      <c r="C76" s="10">
        <f t="shared" si="0"/>
        <v>0</v>
      </c>
      <c r="E76" s="83">
        <v>65</v>
      </c>
      <c r="F76" s="248">
        <v>0</v>
      </c>
      <c r="G76" s="10">
        <f t="shared" si="1"/>
        <v>0</v>
      </c>
    </row>
    <row r="77" spans="1:7" x14ac:dyDescent="0.25">
      <c r="A77">
        <v>66</v>
      </c>
      <c r="B77" s="246">
        <v>0</v>
      </c>
      <c r="C77" s="10">
        <f t="shared" ref="C77:C102" si="2">B77/B$102</f>
        <v>0</v>
      </c>
      <c r="E77" s="84">
        <v>66</v>
      </c>
      <c r="F77" s="248">
        <v>0</v>
      </c>
      <c r="G77" s="10">
        <f t="shared" ref="G77:G102" si="3">F77/F$102</f>
        <v>0</v>
      </c>
    </row>
    <row r="78" spans="1:7" x14ac:dyDescent="0.25">
      <c r="A78">
        <v>67</v>
      </c>
      <c r="B78" s="246">
        <v>0</v>
      </c>
      <c r="C78" s="10">
        <f t="shared" si="2"/>
        <v>0</v>
      </c>
      <c r="E78" s="85">
        <v>67</v>
      </c>
      <c r="F78" s="248">
        <v>0</v>
      </c>
      <c r="G78" s="10">
        <f t="shared" si="3"/>
        <v>0</v>
      </c>
    </row>
    <row r="79" spans="1:7" x14ac:dyDescent="0.25">
      <c r="A79">
        <v>68</v>
      </c>
      <c r="B79" s="246">
        <v>0</v>
      </c>
      <c r="C79" s="10">
        <f t="shared" si="2"/>
        <v>0</v>
      </c>
      <c r="E79" s="86">
        <v>68</v>
      </c>
      <c r="F79" s="248">
        <v>0</v>
      </c>
      <c r="G79" s="10">
        <f t="shared" si="3"/>
        <v>0</v>
      </c>
    </row>
    <row r="80" spans="1:7" x14ac:dyDescent="0.25">
      <c r="A80">
        <v>69</v>
      </c>
      <c r="B80" s="246">
        <v>0</v>
      </c>
      <c r="C80" s="10">
        <f t="shared" si="2"/>
        <v>0</v>
      </c>
      <c r="E80" s="87">
        <v>69</v>
      </c>
      <c r="F80" s="248">
        <v>0</v>
      </c>
      <c r="G80" s="10">
        <f t="shared" si="3"/>
        <v>0</v>
      </c>
    </row>
    <row r="81" spans="1:7" x14ac:dyDescent="0.25">
      <c r="A81">
        <v>70</v>
      </c>
      <c r="B81" s="246">
        <v>0</v>
      </c>
      <c r="C81" s="10">
        <f t="shared" si="2"/>
        <v>0</v>
      </c>
      <c r="E81" s="88">
        <v>70</v>
      </c>
      <c r="F81" s="248">
        <v>0</v>
      </c>
      <c r="G81" s="10">
        <f t="shared" si="3"/>
        <v>0</v>
      </c>
    </row>
    <row r="82" spans="1:7" x14ac:dyDescent="0.25">
      <c r="A82">
        <v>71</v>
      </c>
      <c r="B82" s="246">
        <v>0</v>
      </c>
      <c r="C82" s="10">
        <f t="shared" si="2"/>
        <v>0</v>
      </c>
      <c r="E82" s="89">
        <v>71</v>
      </c>
      <c r="F82" s="248">
        <v>0</v>
      </c>
      <c r="G82" s="10">
        <f t="shared" si="3"/>
        <v>0</v>
      </c>
    </row>
    <row r="83" spans="1:7" x14ac:dyDescent="0.25">
      <c r="A83">
        <v>72</v>
      </c>
      <c r="B83" s="246">
        <v>0</v>
      </c>
      <c r="C83" s="10">
        <f t="shared" si="2"/>
        <v>0</v>
      </c>
      <c r="E83" s="90">
        <v>72</v>
      </c>
      <c r="F83" s="248">
        <v>0</v>
      </c>
      <c r="G83" s="10">
        <f t="shared" si="3"/>
        <v>0</v>
      </c>
    </row>
    <row r="84" spans="1:7" x14ac:dyDescent="0.25">
      <c r="A84">
        <v>73</v>
      </c>
      <c r="B84" s="246">
        <v>0</v>
      </c>
      <c r="C84" s="10">
        <f t="shared" si="2"/>
        <v>0</v>
      </c>
      <c r="E84" s="91">
        <v>73</v>
      </c>
      <c r="F84" s="248">
        <v>0</v>
      </c>
      <c r="G84" s="10">
        <f t="shared" si="3"/>
        <v>0</v>
      </c>
    </row>
    <row r="85" spans="1:7" x14ac:dyDescent="0.25">
      <c r="A85">
        <v>74</v>
      </c>
      <c r="B85" s="246">
        <v>0</v>
      </c>
      <c r="C85" s="10">
        <f t="shared" si="2"/>
        <v>0</v>
      </c>
      <c r="E85" s="92">
        <v>74</v>
      </c>
      <c r="F85" s="248">
        <v>0</v>
      </c>
      <c r="G85" s="10">
        <f t="shared" si="3"/>
        <v>0</v>
      </c>
    </row>
    <row r="86" spans="1:7" x14ac:dyDescent="0.25">
      <c r="A86">
        <v>75</v>
      </c>
      <c r="B86" s="246">
        <v>0</v>
      </c>
      <c r="C86" s="10">
        <f t="shared" si="2"/>
        <v>0</v>
      </c>
      <c r="E86" s="93">
        <v>75</v>
      </c>
      <c r="F86" s="248">
        <v>0</v>
      </c>
      <c r="G86" s="10">
        <f t="shared" si="3"/>
        <v>0</v>
      </c>
    </row>
    <row r="87" spans="1:7" x14ac:dyDescent="0.25">
      <c r="A87">
        <v>76</v>
      </c>
      <c r="B87" s="246">
        <v>0</v>
      </c>
      <c r="C87" s="10">
        <f t="shared" si="2"/>
        <v>0</v>
      </c>
      <c r="E87" s="94">
        <v>76</v>
      </c>
      <c r="F87" s="248">
        <v>0</v>
      </c>
      <c r="G87" s="10">
        <f t="shared" si="3"/>
        <v>0</v>
      </c>
    </row>
    <row r="88" spans="1:7" x14ac:dyDescent="0.25">
      <c r="A88">
        <v>77</v>
      </c>
      <c r="B88" s="246">
        <v>0</v>
      </c>
      <c r="C88" s="10">
        <f t="shared" si="2"/>
        <v>0</v>
      </c>
      <c r="E88" s="95">
        <v>77</v>
      </c>
      <c r="F88" s="248">
        <v>0</v>
      </c>
      <c r="G88" s="10">
        <f t="shared" si="3"/>
        <v>0</v>
      </c>
    </row>
    <row r="89" spans="1:7" x14ac:dyDescent="0.25">
      <c r="A89">
        <v>78</v>
      </c>
      <c r="B89" s="246">
        <v>0</v>
      </c>
      <c r="C89" s="10">
        <f t="shared" si="2"/>
        <v>0</v>
      </c>
      <c r="E89" s="96">
        <v>78</v>
      </c>
      <c r="F89" s="248">
        <v>0</v>
      </c>
      <c r="G89" s="10">
        <f t="shared" si="3"/>
        <v>0</v>
      </c>
    </row>
    <row r="90" spans="1:7" x14ac:dyDescent="0.25">
      <c r="A90">
        <v>79</v>
      </c>
      <c r="B90" s="246">
        <v>0</v>
      </c>
      <c r="C90" s="10">
        <f t="shared" si="2"/>
        <v>0</v>
      </c>
      <c r="E90" s="97">
        <v>79</v>
      </c>
      <c r="F90" s="248">
        <v>0</v>
      </c>
      <c r="G90" s="10">
        <f t="shared" si="3"/>
        <v>0</v>
      </c>
    </row>
    <row r="91" spans="1:7" x14ac:dyDescent="0.25">
      <c r="A91">
        <v>80</v>
      </c>
      <c r="B91" s="246">
        <v>0</v>
      </c>
      <c r="C91" s="10">
        <f t="shared" si="2"/>
        <v>0</v>
      </c>
      <c r="E91" s="98">
        <v>80</v>
      </c>
      <c r="F91" s="248">
        <v>0</v>
      </c>
      <c r="G91" s="10">
        <f t="shared" si="3"/>
        <v>0</v>
      </c>
    </row>
    <row r="92" spans="1:7" x14ac:dyDescent="0.25">
      <c r="A92">
        <v>81</v>
      </c>
      <c r="B92" s="246">
        <v>0</v>
      </c>
      <c r="C92" s="10">
        <f t="shared" si="2"/>
        <v>0</v>
      </c>
      <c r="E92" s="99">
        <v>81</v>
      </c>
      <c r="F92" s="248">
        <v>0</v>
      </c>
      <c r="G92" s="10">
        <f t="shared" si="3"/>
        <v>0</v>
      </c>
    </row>
    <row r="93" spans="1:7" x14ac:dyDescent="0.25">
      <c r="A93">
        <v>82</v>
      </c>
      <c r="B93" s="246">
        <v>0</v>
      </c>
      <c r="C93" s="10">
        <f t="shared" si="2"/>
        <v>0</v>
      </c>
      <c r="E93" s="100">
        <v>82</v>
      </c>
      <c r="F93" s="248">
        <v>0</v>
      </c>
      <c r="G93" s="10">
        <f t="shared" si="3"/>
        <v>0</v>
      </c>
    </row>
    <row r="94" spans="1:7" x14ac:dyDescent="0.25">
      <c r="A94">
        <v>83</v>
      </c>
      <c r="B94" s="246">
        <v>0</v>
      </c>
      <c r="C94" s="10">
        <f t="shared" si="2"/>
        <v>0</v>
      </c>
      <c r="E94" s="101">
        <v>83</v>
      </c>
      <c r="F94" s="248">
        <v>0</v>
      </c>
      <c r="G94" s="10">
        <f t="shared" si="3"/>
        <v>0</v>
      </c>
    </row>
    <row r="95" spans="1:7" x14ac:dyDescent="0.25">
      <c r="A95">
        <v>84</v>
      </c>
      <c r="B95" s="246">
        <v>0</v>
      </c>
      <c r="C95" s="10">
        <f t="shared" si="2"/>
        <v>0</v>
      </c>
      <c r="E95" s="102">
        <v>84</v>
      </c>
      <c r="F95" s="248">
        <v>0</v>
      </c>
      <c r="G95" s="10">
        <f t="shared" si="3"/>
        <v>0</v>
      </c>
    </row>
    <row r="96" spans="1:7" x14ac:dyDescent="0.25">
      <c r="A96">
        <v>85</v>
      </c>
      <c r="B96" s="246">
        <v>0</v>
      </c>
      <c r="C96" s="10">
        <f t="shared" si="2"/>
        <v>0</v>
      </c>
      <c r="E96" s="103">
        <v>85</v>
      </c>
      <c r="F96" s="248">
        <v>0</v>
      </c>
      <c r="G96" s="10">
        <f t="shared" si="3"/>
        <v>0</v>
      </c>
    </row>
    <row r="97" spans="1:7" x14ac:dyDescent="0.25">
      <c r="A97">
        <v>86</v>
      </c>
      <c r="B97" s="246">
        <v>0</v>
      </c>
      <c r="C97" s="10">
        <f t="shared" si="2"/>
        <v>0</v>
      </c>
      <c r="E97" s="104">
        <v>86</v>
      </c>
      <c r="F97" s="248">
        <v>0</v>
      </c>
      <c r="G97" s="10">
        <f t="shared" si="3"/>
        <v>0</v>
      </c>
    </row>
    <row r="98" spans="1:7" x14ac:dyDescent="0.25">
      <c r="A98">
        <v>87</v>
      </c>
      <c r="B98" s="246">
        <v>0</v>
      </c>
      <c r="C98" s="10">
        <f t="shared" si="2"/>
        <v>0</v>
      </c>
      <c r="E98" s="105">
        <v>87</v>
      </c>
      <c r="F98" s="248">
        <v>0</v>
      </c>
      <c r="G98" s="10">
        <f t="shared" si="3"/>
        <v>0</v>
      </c>
    </row>
    <row r="99" spans="1:7" x14ac:dyDescent="0.25">
      <c r="A99">
        <v>88</v>
      </c>
      <c r="B99" s="246">
        <v>0</v>
      </c>
      <c r="C99" s="10">
        <f t="shared" si="2"/>
        <v>0</v>
      </c>
      <c r="E99" s="106">
        <v>88</v>
      </c>
      <c r="F99" s="248">
        <v>0</v>
      </c>
      <c r="G99" s="10">
        <f t="shared" si="3"/>
        <v>0</v>
      </c>
    </row>
    <row r="100" spans="1:7" x14ac:dyDescent="0.25">
      <c r="A100">
        <v>89</v>
      </c>
      <c r="B100" s="246">
        <v>0</v>
      </c>
      <c r="C100" s="10">
        <f t="shared" si="2"/>
        <v>0</v>
      </c>
      <c r="E100" s="107">
        <v>89</v>
      </c>
      <c r="F100" s="248">
        <v>0</v>
      </c>
      <c r="G100" s="10">
        <f t="shared" si="3"/>
        <v>0</v>
      </c>
    </row>
    <row r="101" spans="1:7" ht="15.75" thickBot="1" x14ac:dyDescent="0.3">
      <c r="A101" s="1">
        <v>90</v>
      </c>
      <c r="B101" s="247">
        <v>0</v>
      </c>
      <c r="C101" s="10">
        <f t="shared" si="2"/>
        <v>0</v>
      </c>
      <c r="E101" s="200">
        <v>90</v>
      </c>
      <c r="F101" s="249">
        <v>0</v>
      </c>
      <c r="G101" s="10">
        <f t="shared" si="3"/>
        <v>0</v>
      </c>
    </row>
    <row r="102" spans="1:7" x14ac:dyDescent="0.25">
      <c r="B102" s="246">
        <f>SUM(B11:B101)</f>
        <v>224962.21961446205</v>
      </c>
      <c r="C102" s="10">
        <f t="shared" si="2"/>
        <v>1</v>
      </c>
      <c r="F102" s="246">
        <f>SUM(F11:F101)</f>
        <v>211849.32876604327</v>
      </c>
      <c r="G102" s="10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>
      <selection activeCell="I7" sqref="I7"/>
    </sheetView>
  </sheetViews>
  <sheetFormatPr defaultRowHeight="15" x14ac:dyDescent="0.25"/>
  <cols>
    <col min="2" max="2" width="10.5703125" bestFit="1" customWidth="1" collapsed="1"/>
    <col min="6" max="6" width="10.5703125" bestFit="1" customWidth="1" collapsed="1"/>
  </cols>
  <sheetData>
    <row r="1" spans="1:12" x14ac:dyDescent="0.25">
      <c r="A1" t="s">
        <v>0</v>
      </c>
    </row>
    <row r="2" spans="1:12" x14ac:dyDescent="0.25">
      <c r="A2" t="s">
        <v>245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>
        <v>0</v>
      </c>
      <c r="C11" s="10">
        <f>B11/B$102</f>
        <v>0</v>
      </c>
      <c r="E11" s="108">
        <v>0</v>
      </c>
      <c r="F11" s="248">
        <v>4014.4869986897579</v>
      </c>
      <c r="G11" s="10">
        <f>F11/F$102</f>
        <v>1.8949727252254706E-2</v>
      </c>
      <c r="K11" s="8">
        <v>22.472379055464014</v>
      </c>
      <c r="L11" s="8">
        <v>19.532929150000321</v>
      </c>
    </row>
    <row r="12" spans="1:12" x14ac:dyDescent="0.25">
      <c r="A12">
        <v>1</v>
      </c>
      <c r="B12" s="246">
        <v>0</v>
      </c>
      <c r="C12" s="10">
        <f>B12/B$102</f>
        <v>0</v>
      </c>
      <c r="E12" s="109">
        <v>1</v>
      </c>
      <c r="F12" s="248">
        <v>7510.4403735717196</v>
      </c>
      <c r="G12" s="10">
        <f>F12/F$102</f>
        <v>3.5451801605026111E-2</v>
      </c>
      <c r="K12" s="8"/>
      <c r="L12" s="199"/>
    </row>
    <row r="13" spans="1:12" x14ac:dyDescent="0.25">
      <c r="A13">
        <v>2</v>
      </c>
      <c r="B13" s="246">
        <v>0</v>
      </c>
      <c r="C13" s="10">
        <f t="shared" ref="C13:C76" si="0">B13/B$102</f>
        <v>0</v>
      </c>
      <c r="E13" s="110">
        <v>2</v>
      </c>
      <c r="F13" s="248">
        <v>8730.3809115386994</v>
      </c>
      <c r="G13" s="10">
        <f t="shared" ref="G13:G76" si="1">F13/F$102</f>
        <v>4.1210330768525261E-2</v>
      </c>
    </row>
    <row r="14" spans="1:12" x14ac:dyDescent="0.25">
      <c r="A14">
        <v>3</v>
      </c>
      <c r="B14" s="246">
        <v>2043.8572504709</v>
      </c>
      <c r="C14" s="10">
        <f t="shared" si="0"/>
        <v>9.0853355464470525E-3</v>
      </c>
      <c r="E14" s="111">
        <v>3</v>
      </c>
      <c r="F14" s="248">
        <v>8380.7524477477764</v>
      </c>
      <c r="G14" s="10">
        <f t="shared" si="1"/>
        <v>3.9559966965970868E-2</v>
      </c>
    </row>
    <row r="15" spans="1:12" x14ac:dyDescent="0.25">
      <c r="A15">
        <v>4</v>
      </c>
      <c r="B15" s="246">
        <v>2172.4714188552998</v>
      </c>
      <c r="C15" s="10">
        <f t="shared" si="0"/>
        <v>9.6570500708005984E-3</v>
      </c>
      <c r="E15" s="112">
        <v>4</v>
      </c>
      <c r="F15" s="248">
        <v>7430.9942271487225</v>
      </c>
      <c r="G15" s="10">
        <f t="shared" si="1"/>
        <v>3.5076789104935856E-2</v>
      </c>
    </row>
    <row r="16" spans="1:12" x14ac:dyDescent="0.25">
      <c r="A16">
        <v>5</v>
      </c>
      <c r="B16" s="246">
        <v>8662.4422951386005</v>
      </c>
      <c r="C16" s="10">
        <f t="shared" si="0"/>
        <v>3.850620922030467E-2</v>
      </c>
      <c r="E16" s="113">
        <v>5</v>
      </c>
      <c r="F16" s="248">
        <v>6924.5741064926615</v>
      </c>
      <c r="G16" s="10">
        <f t="shared" si="1"/>
        <v>3.2686316009713882E-2</v>
      </c>
    </row>
    <row r="17" spans="1:7" x14ac:dyDescent="0.25">
      <c r="A17">
        <v>6</v>
      </c>
      <c r="B17" s="246">
        <v>4311.1522967805004</v>
      </c>
      <c r="C17" s="10">
        <f t="shared" si="0"/>
        <v>1.9163894738276097E-2</v>
      </c>
      <c r="E17" s="114">
        <v>6</v>
      </c>
      <c r="F17" s="248">
        <v>5927.1094414160425</v>
      </c>
      <c r="G17" s="10">
        <f t="shared" si="1"/>
        <v>2.797794770434071E-2</v>
      </c>
    </row>
    <row r="18" spans="1:7" x14ac:dyDescent="0.25">
      <c r="A18">
        <v>7</v>
      </c>
      <c r="B18" s="246">
        <v>14169.536750069001</v>
      </c>
      <c r="C18" s="10">
        <f t="shared" si="0"/>
        <v>6.298629509591705E-2</v>
      </c>
      <c r="E18" s="115">
        <v>7</v>
      </c>
      <c r="F18" s="248">
        <v>5884.1044654883972</v>
      </c>
      <c r="G18" s="10">
        <f t="shared" si="1"/>
        <v>2.7774949770959775E-2</v>
      </c>
    </row>
    <row r="19" spans="1:7" x14ac:dyDescent="0.25">
      <c r="A19">
        <v>8</v>
      </c>
      <c r="B19" s="246">
        <v>3922.3915598909002</v>
      </c>
      <c r="C19" s="10">
        <f t="shared" si="0"/>
        <v>1.7435779068205568E-2</v>
      </c>
      <c r="E19" s="116">
        <v>8</v>
      </c>
      <c r="F19" s="248">
        <v>5098.2135772169295</v>
      </c>
      <c r="G19" s="10">
        <f t="shared" si="1"/>
        <v>2.4065280767762841E-2</v>
      </c>
    </row>
    <row r="20" spans="1:7" x14ac:dyDescent="0.25">
      <c r="A20">
        <v>9</v>
      </c>
      <c r="B20" s="246">
        <v>1412.7971189182001</v>
      </c>
      <c r="C20" s="10">
        <f t="shared" si="0"/>
        <v>6.2801528245028772E-3</v>
      </c>
      <c r="E20" s="117">
        <v>9</v>
      </c>
      <c r="F20" s="248">
        <v>4391.3972157716171</v>
      </c>
      <c r="G20" s="10">
        <f t="shared" si="1"/>
        <v>2.0728870095317955E-2</v>
      </c>
    </row>
    <row r="21" spans="1:7" x14ac:dyDescent="0.25">
      <c r="A21">
        <v>10</v>
      </c>
      <c r="B21" s="246">
        <v>2823.1765409700001</v>
      </c>
      <c r="C21" s="10">
        <f t="shared" si="0"/>
        <v>1.2549558525019587E-2</v>
      </c>
      <c r="E21" s="118">
        <v>10</v>
      </c>
      <c r="F21" s="248">
        <v>3802.0593899027931</v>
      </c>
      <c r="G21" s="10">
        <f t="shared" si="1"/>
        <v>1.7946997576289765E-2</v>
      </c>
    </row>
    <row r="22" spans="1:7" x14ac:dyDescent="0.25">
      <c r="A22">
        <v>11</v>
      </c>
      <c r="B22" s="246">
        <v>1456.7056113680001</v>
      </c>
      <c r="C22" s="10">
        <f t="shared" si="0"/>
        <v>6.4753344533339313E-3</v>
      </c>
      <c r="E22" s="119">
        <v>11</v>
      </c>
      <c r="F22" s="248">
        <v>3612.7345217481566</v>
      </c>
      <c r="G22" s="10">
        <f t="shared" si="1"/>
        <v>1.7053320597196202E-2</v>
      </c>
    </row>
    <row r="23" spans="1:7" x14ac:dyDescent="0.25">
      <c r="A23">
        <v>12</v>
      </c>
      <c r="B23" s="246">
        <v>1314.7526429773</v>
      </c>
      <c r="C23" s="10">
        <f t="shared" si="0"/>
        <v>5.8443264172557945E-3</v>
      </c>
      <c r="E23" s="120">
        <v>12</v>
      </c>
      <c r="F23" s="248">
        <v>3089.3496318113134</v>
      </c>
      <c r="G23" s="10">
        <f t="shared" si="1"/>
        <v>1.4582768091859518E-2</v>
      </c>
    </row>
    <row r="24" spans="1:7" x14ac:dyDescent="0.25">
      <c r="A24">
        <v>13</v>
      </c>
      <c r="B24" s="246">
        <v>6188.2121692868996</v>
      </c>
      <c r="C24" s="10">
        <f t="shared" si="0"/>
        <v>2.7507784106558852E-2</v>
      </c>
      <c r="E24" s="121">
        <v>13</v>
      </c>
      <c r="F24" s="248">
        <v>2923.3461625133264</v>
      </c>
      <c r="G24" s="10">
        <f t="shared" si="1"/>
        <v>1.3799175949911721E-2</v>
      </c>
    </row>
    <row r="25" spans="1:7" x14ac:dyDescent="0.25">
      <c r="A25">
        <v>14</v>
      </c>
      <c r="B25" s="246">
        <v>2167.4430657951998</v>
      </c>
      <c r="C25" s="10">
        <f t="shared" si="0"/>
        <v>9.63469808179232E-3</v>
      </c>
      <c r="E25" s="122">
        <v>14</v>
      </c>
      <c r="F25" s="248">
        <v>2201.0362824571057</v>
      </c>
      <c r="G25" s="10">
        <f t="shared" si="1"/>
        <v>1.0389630664762829E-2</v>
      </c>
    </row>
    <row r="26" spans="1:7" x14ac:dyDescent="0.25">
      <c r="A26">
        <v>15</v>
      </c>
      <c r="B26" s="246">
        <v>1489.0237163557001</v>
      </c>
      <c r="C26" s="10">
        <f t="shared" si="0"/>
        <v>6.6189945978821427E-3</v>
      </c>
      <c r="E26" s="123">
        <v>15</v>
      </c>
      <c r="F26" s="248">
        <v>2006.8494423368484</v>
      </c>
      <c r="G26" s="10">
        <f t="shared" si="1"/>
        <v>9.4730035446707536E-3</v>
      </c>
    </row>
    <row r="27" spans="1:7" x14ac:dyDescent="0.25">
      <c r="A27">
        <v>16</v>
      </c>
      <c r="B27" s="246">
        <v>12650.860137301999</v>
      </c>
      <c r="C27" s="10">
        <f t="shared" si="0"/>
        <v>5.6235487714261165E-2</v>
      </c>
      <c r="E27" s="124">
        <v>16</v>
      </c>
      <c r="F27" s="248">
        <v>1635.6143230296332</v>
      </c>
      <c r="G27" s="10">
        <f t="shared" si="1"/>
        <v>7.7206490695844055E-3</v>
      </c>
    </row>
    <row r="28" spans="1:7" x14ac:dyDescent="0.25">
      <c r="A28">
        <v>17</v>
      </c>
      <c r="B28" s="246">
        <v>3285.6480758759999</v>
      </c>
      <c r="C28" s="10">
        <f t="shared" si="0"/>
        <v>1.4605332759904799E-2</v>
      </c>
      <c r="E28" s="125">
        <v>17</v>
      </c>
      <c r="F28" s="248">
        <v>1558.8231869153069</v>
      </c>
      <c r="G28" s="10">
        <f t="shared" si="1"/>
        <v>7.3581691100697314E-3</v>
      </c>
    </row>
    <row r="29" spans="1:7" x14ac:dyDescent="0.25">
      <c r="A29">
        <v>18</v>
      </c>
      <c r="B29" s="246">
        <v>20752.8628271007</v>
      </c>
      <c r="C29" s="10">
        <f t="shared" si="0"/>
        <v>9.2250435929494071E-2</v>
      </c>
      <c r="E29" s="126">
        <v>18</v>
      </c>
      <c r="F29" s="248">
        <v>20333.438742706952</v>
      </c>
      <c r="G29" s="10">
        <f t="shared" si="1"/>
        <v>9.5980661638830442E-2</v>
      </c>
    </row>
    <row r="30" spans="1:7" x14ac:dyDescent="0.25">
      <c r="A30">
        <v>19</v>
      </c>
      <c r="B30" s="246">
        <v>12588.0187878776</v>
      </c>
      <c r="C30" s="10">
        <f t="shared" si="0"/>
        <v>5.5956145922861272E-2</v>
      </c>
      <c r="E30" s="127">
        <v>19</v>
      </c>
      <c r="F30" s="248">
        <v>6174.6718942260823</v>
      </c>
      <c r="G30" s="10">
        <f t="shared" si="1"/>
        <v>2.9146525647221221E-2</v>
      </c>
    </row>
    <row r="31" spans="1:7" x14ac:dyDescent="0.25">
      <c r="A31">
        <v>20</v>
      </c>
      <c r="B31" s="246">
        <v>11948.240649286499</v>
      </c>
      <c r="C31" s="10">
        <f t="shared" si="0"/>
        <v>5.3112209995808519E-2</v>
      </c>
      <c r="E31" s="128">
        <v>20</v>
      </c>
      <c r="F31" s="248">
        <v>6476.4205346509079</v>
      </c>
      <c r="G31" s="10">
        <f t="shared" si="1"/>
        <v>3.0570880598839043E-2</v>
      </c>
    </row>
    <row r="32" spans="1:7" x14ac:dyDescent="0.25">
      <c r="A32">
        <v>21</v>
      </c>
      <c r="B32" s="246">
        <v>9700.1162072231</v>
      </c>
      <c r="C32" s="10">
        <f t="shared" si="0"/>
        <v>4.3118867798544402E-2</v>
      </c>
      <c r="E32" s="129">
        <v>21</v>
      </c>
      <c r="F32" s="248">
        <v>10332.246880531686</v>
      </c>
      <c r="G32" s="10">
        <f t="shared" si="1"/>
        <v>4.8771676269704613E-2</v>
      </c>
    </row>
    <row r="33" spans="1:7" x14ac:dyDescent="0.25">
      <c r="A33">
        <v>22</v>
      </c>
      <c r="B33" s="246">
        <v>15445.631012047299</v>
      </c>
      <c r="C33" s="10">
        <f t="shared" si="0"/>
        <v>6.8658777631719084E-2</v>
      </c>
      <c r="E33" s="130">
        <v>22</v>
      </c>
      <c r="F33" s="248">
        <v>7415.8705597861162</v>
      </c>
      <c r="G33" s="10">
        <f t="shared" si="1"/>
        <v>3.5005400314370896E-2</v>
      </c>
    </row>
    <row r="34" spans="1:7" x14ac:dyDescent="0.25">
      <c r="A34">
        <v>23</v>
      </c>
      <c r="B34" s="246">
        <v>7356.8606307709997</v>
      </c>
      <c r="C34" s="10">
        <f t="shared" si="0"/>
        <v>3.2702649553241044E-2</v>
      </c>
      <c r="E34" s="131">
        <v>23</v>
      </c>
      <c r="F34" s="248">
        <v>6507.196731925711</v>
      </c>
      <c r="G34" s="10">
        <f t="shared" si="1"/>
        <v>3.0716154588868016E-2</v>
      </c>
    </row>
    <row r="35" spans="1:7" x14ac:dyDescent="0.25">
      <c r="A35">
        <v>24</v>
      </c>
      <c r="B35" s="246">
        <v>9451.2647636333004</v>
      </c>
      <c r="C35" s="10">
        <f t="shared" si="0"/>
        <v>4.2012675638739623E-2</v>
      </c>
      <c r="E35" s="132">
        <v>24</v>
      </c>
      <c r="F35" s="248">
        <v>5980.5329077677388</v>
      </c>
      <c r="G35" s="10">
        <f t="shared" si="1"/>
        <v>2.8230124412489239E-2</v>
      </c>
    </row>
    <row r="36" spans="1:7" x14ac:dyDescent="0.25">
      <c r="A36">
        <v>25</v>
      </c>
      <c r="B36" s="246">
        <v>2187.2668478329001</v>
      </c>
      <c r="C36" s="10">
        <f t="shared" si="0"/>
        <v>9.7228185762987945E-3</v>
      </c>
      <c r="E36" s="133">
        <v>25</v>
      </c>
      <c r="F36" s="248">
        <v>5976.5135031730069</v>
      </c>
      <c r="G36" s="10">
        <f t="shared" si="1"/>
        <v>2.821115147253166E-2</v>
      </c>
    </row>
    <row r="37" spans="1:7" x14ac:dyDescent="0.25">
      <c r="A37">
        <v>26</v>
      </c>
      <c r="B37" s="246">
        <v>8249.5539606458005</v>
      </c>
      <c r="C37" s="10">
        <f t="shared" si="0"/>
        <v>3.6670841774160141E-2</v>
      </c>
      <c r="E37" s="134">
        <v>26</v>
      </c>
      <c r="F37" s="248">
        <v>5434.2014200809963</v>
      </c>
      <c r="G37" s="10">
        <f t="shared" si="1"/>
        <v>2.565125625714056E-2</v>
      </c>
    </row>
    <row r="38" spans="1:7" x14ac:dyDescent="0.25">
      <c r="A38">
        <v>27</v>
      </c>
      <c r="B38" s="246">
        <v>1444.1508225077</v>
      </c>
      <c r="C38" s="10">
        <f t="shared" si="0"/>
        <v>6.4195260207810505E-3</v>
      </c>
      <c r="E38" s="135">
        <v>27</v>
      </c>
      <c r="F38" s="248">
        <v>3692.8306927688145</v>
      </c>
      <c r="G38" s="10">
        <f t="shared" si="1"/>
        <v>1.7431401431755335E-2</v>
      </c>
    </row>
    <row r="39" spans="1:7" x14ac:dyDescent="0.25">
      <c r="A39">
        <v>28</v>
      </c>
      <c r="B39" s="246">
        <v>3610.8440571770002</v>
      </c>
      <c r="C39" s="10">
        <f t="shared" si="0"/>
        <v>1.6050890960114229E-2</v>
      </c>
      <c r="E39" s="136">
        <v>28</v>
      </c>
      <c r="F39" s="248">
        <v>3699.6585973853876</v>
      </c>
      <c r="G39" s="10">
        <f t="shared" si="1"/>
        <v>1.746363143529768E-2</v>
      </c>
    </row>
    <row r="40" spans="1:7" x14ac:dyDescent="0.25">
      <c r="A40">
        <v>29</v>
      </c>
      <c r="B40" s="246">
        <v>2086.8398170459</v>
      </c>
      <c r="C40" s="10">
        <f t="shared" si="0"/>
        <v>9.2764012580525967E-3</v>
      </c>
      <c r="E40" s="137">
        <v>29</v>
      </c>
      <c r="F40" s="248">
        <v>3471.9119476892542</v>
      </c>
      <c r="G40" s="10">
        <f t="shared" si="1"/>
        <v>1.6388590739994623E-2</v>
      </c>
    </row>
    <row r="41" spans="1:7" x14ac:dyDescent="0.25">
      <c r="A41">
        <v>30</v>
      </c>
      <c r="B41" s="246">
        <v>6915.6969486959997</v>
      </c>
      <c r="C41" s="10">
        <f t="shared" si="0"/>
        <v>3.0741592790771943E-2</v>
      </c>
      <c r="E41" s="138">
        <v>30</v>
      </c>
      <c r="F41" s="248">
        <v>3673.804832859405</v>
      </c>
      <c r="G41" s="10">
        <f t="shared" si="1"/>
        <v>1.7341592981474991E-2</v>
      </c>
    </row>
    <row r="42" spans="1:7" x14ac:dyDescent="0.25">
      <c r="A42">
        <v>31</v>
      </c>
      <c r="B42" s="246">
        <v>8012.6525515600006</v>
      </c>
      <c r="C42" s="10">
        <f t="shared" si="0"/>
        <v>3.5617769798377719E-2</v>
      </c>
      <c r="E42" s="139">
        <v>31</v>
      </c>
      <c r="F42" s="248">
        <v>2992.861190816709</v>
      </c>
      <c r="G42" s="10">
        <f t="shared" si="1"/>
        <v>1.4127310236238168E-2</v>
      </c>
    </row>
    <row r="43" spans="1:7" x14ac:dyDescent="0.25">
      <c r="A43">
        <v>32</v>
      </c>
      <c r="B43" s="246">
        <v>1019.613410797</v>
      </c>
      <c r="C43" s="10">
        <f t="shared" si="0"/>
        <v>4.532376203188266E-3</v>
      </c>
      <c r="E43" s="140">
        <v>32</v>
      </c>
      <c r="F43" s="248">
        <v>3901.8448563043444</v>
      </c>
      <c r="G43" s="10">
        <f t="shared" si="1"/>
        <v>1.8418018499427782E-2</v>
      </c>
    </row>
    <row r="44" spans="1:7" x14ac:dyDescent="0.25">
      <c r="A44">
        <v>33</v>
      </c>
      <c r="B44" s="246">
        <v>3676.9377717060001</v>
      </c>
      <c r="C44" s="10">
        <f t="shared" si="0"/>
        <v>1.6344690135114685E-2</v>
      </c>
      <c r="E44" s="141">
        <v>33</v>
      </c>
      <c r="F44" s="248">
        <v>2541.25494689273</v>
      </c>
      <c r="G44" s="10">
        <f t="shared" si="1"/>
        <v>1.1995577053251726E-2</v>
      </c>
    </row>
    <row r="45" spans="1:7" x14ac:dyDescent="0.25">
      <c r="A45">
        <v>34</v>
      </c>
      <c r="B45" s="246">
        <v>4271.1001044590002</v>
      </c>
      <c r="C45" s="10">
        <f t="shared" si="0"/>
        <v>1.8985855099486346E-2</v>
      </c>
      <c r="E45" s="142">
        <v>34</v>
      </c>
      <c r="F45" s="248">
        <v>2620.4420714514195</v>
      </c>
      <c r="G45" s="10">
        <f t="shared" si="1"/>
        <v>1.2369366883127184E-2</v>
      </c>
    </row>
    <row r="46" spans="1:7" x14ac:dyDescent="0.25">
      <c r="A46">
        <v>35</v>
      </c>
      <c r="B46" s="246">
        <v>1842.488268563</v>
      </c>
      <c r="C46" s="10">
        <f t="shared" si="0"/>
        <v>8.1902119907984461E-3</v>
      </c>
      <c r="E46" s="143">
        <v>35</v>
      </c>
      <c r="F46" s="248">
        <v>1892.937375974559</v>
      </c>
      <c r="G46" s="10">
        <f t="shared" si="1"/>
        <v>8.9353003240573506E-3</v>
      </c>
    </row>
    <row r="47" spans="1:7" x14ac:dyDescent="0.25">
      <c r="A47">
        <v>36</v>
      </c>
      <c r="B47" s="246">
        <v>492.40860049399998</v>
      </c>
      <c r="C47" s="10">
        <f t="shared" si="0"/>
        <v>2.1888502048827796E-3</v>
      </c>
      <c r="E47" s="144">
        <v>36</v>
      </c>
      <c r="F47" s="248">
        <v>2497.8746513945716</v>
      </c>
      <c r="G47" s="10">
        <f t="shared" si="1"/>
        <v>1.179080748541389E-2</v>
      </c>
    </row>
    <row r="48" spans="1:7" x14ac:dyDescent="0.25">
      <c r="A48">
        <v>37</v>
      </c>
      <c r="B48" s="246">
        <v>1050.1083177410001</v>
      </c>
      <c r="C48" s="10">
        <f t="shared" si="0"/>
        <v>4.6679318844767143E-3</v>
      </c>
      <c r="E48" s="145">
        <v>37</v>
      </c>
      <c r="F48" s="248">
        <v>1695.8745580061905</v>
      </c>
      <c r="G48" s="10">
        <f t="shared" si="1"/>
        <v>8.0050976223721548E-3</v>
      </c>
    </row>
    <row r="49" spans="1:7" x14ac:dyDescent="0.25">
      <c r="A49">
        <v>38</v>
      </c>
      <c r="B49" s="246">
        <v>1146.605798674</v>
      </c>
      <c r="C49" s="10">
        <f t="shared" si="0"/>
        <v>5.0968816036712364E-3</v>
      </c>
      <c r="E49" s="146">
        <v>38</v>
      </c>
      <c r="F49" s="248">
        <v>1744.0100876099518</v>
      </c>
      <c r="G49" s="10">
        <f t="shared" si="1"/>
        <v>8.2323134926519242E-3</v>
      </c>
    </row>
    <row r="50" spans="1:7" x14ac:dyDescent="0.25">
      <c r="A50">
        <v>39</v>
      </c>
      <c r="B50" s="246">
        <v>1302.5151722610001</v>
      </c>
      <c r="C50" s="10">
        <f t="shared" si="0"/>
        <v>5.7899285244128436E-3</v>
      </c>
      <c r="E50" s="147">
        <v>39</v>
      </c>
      <c r="F50" s="248">
        <v>1746.2844348826702</v>
      </c>
      <c r="G50" s="10">
        <f t="shared" si="1"/>
        <v>8.2430491758186623E-3</v>
      </c>
    </row>
    <row r="51" spans="1:7" x14ac:dyDescent="0.25">
      <c r="A51">
        <v>40</v>
      </c>
      <c r="B51" s="246">
        <v>744.89440474000003</v>
      </c>
      <c r="C51" s="10">
        <f t="shared" si="0"/>
        <v>3.3111977914184552E-3</v>
      </c>
      <c r="E51" s="148">
        <v>40</v>
      </c>
      <c r="F51" s="248">
        <v>1792.3480237973542</v>
      </c>
      <c r="G51" s="10">
        <f t="shared" si="1"/>
        <v>8.460484790002526E-3</v>
      </c>
    </row>
    <row r="52" spans="1:7" x14ac:dyDescent="0.25">
      <c r="A52">
        <v>41</v>
      </c>
      <c r="B52" s="246">
        <v>0</v>
      </c>
      <c r="C52" s="10">
        <f t="shared" si="0"/>
        <v>0</v>
      </c>
      <c r="E52" s="149">
        <v>41</v>
      </c>
      <c r="F52" s="248">
        <v>1417.796902299654</v>
      </c>
      <c r="G52" s="10">
        <f t="shared" si="1"/>
        <v>6.6924776706061874E-3</v>
      </c>
    </row>
    <row r="53" spans="1:7" x14ac:dyDescent="0.25">
      <c r="A53">
        <v>42</v>
      </c>
      <c r="B53" s="246">
        <v>0</v>
      </c>
      <c r="C53" s="10">
        <f t="shared" si="0"/>
        <v>0</v>
      </c>
      <c r="E53" s="150">
        <v>42</v>
      </c>
      <c r="F53" s="248">
        <v>1343.68906150308</v>
      </c>
      <c r="G53" s="10">
        <f t="shared" si="1"/>
        <v>6.3426637664119696E-3</v>
      </c>
    </row>
    <row r="54" spans="1:7" x14ac:dyDescent="0.25">
      <c r="A54">
        <v>43</v>
      </c>
      <c r="B54" s="246">
        <v>0</v>
      </c>
      <c r="C54" s="10">
        <f t="shared" si="0"/>
        <v>0</v>
      </c>
      <c r="E54" s="151">
        <v>43</v>
      </c>
      <c r="F54" s="248">
        <v>1270.1992232516986</v>
      </c>
      <c r="G54" s="10">
        <f t="shared" si="1"/>
        <v>5.9957670418415553E-3</v>
      </c>
    </row>
    <row r="55" spans="1:7" x14ac:dyDescent="0.25">
      <c r="A55">
        <v>44</v>
      </c>
      <c r="B55" s="246">
        <v>0</v>
      </c>
      <c r="C55" s="10">
        <f t="shared" si="0"/>
        <v>0</v>
      </c>
      <c r="E55" s="152">
        <v>44</v>
      </c>
      <c r="F55" s="248">
        <v>835.31621359969506</v>
      </c>
      <c r="G55" s="10">
        <f t="shared" si="1"/>
        <v>3.942973142587485E-3</v>
      </c>
    </row>
    <row r="56" spans="1:7" x14ac:dyDescent="0.25">
      <c r="A56">
        <v>45</v>
      </c>
      <c r="B56" s="246">
        <v>10646.108002583</v>
      </c>
      <c r="C56" s="10">
        <f t="shared" si="0"/>
        <v>4.7323981870503379E-2</v>
      </c>
      <c r="E56" s="153">
        <v>45</v>
      </c>
      <c r="F56" s="248">
        <v>811.17978873744448</v>
      </c>
      <c r="G56" s="10">
        <f t="shared" si="1"/>
        <v>3.8290411088971361E-3</v>
      </c>
    </row>
    <row r="57" spans="1:7" x14ac:dyDescent="0.25">
      <c r="A57">
        <v>46</v>
      </c>
      <c r="B57" s="246">
        <v>194.8963878356</v>
      </c>
      <c r="C57" s="10">
        <f t="shared" si="0"/>
        <v>8.6635163970915415E-4</v>
      </c>
      <c r="E57" s="154">
        <v>46</v>
      </c>
      <c r="F57" s="248">
        <v>803.59172586902616</v>
      </c>
      <c r="G57" s="10">
        <f t="shared" si="1"/>
        <v>3.7932229030400938E-3</v>
      </c>
    </row>
    <row r="58" spans="1:7" x14ac:dyDescent="0.25">
      <c r="A58">
        <v>47</v>
      </c>
      <c r="B58" s="246">
        <v>0</v>
      </c>
      <c r="C58" s="10">
        <f t="shared" si="0"/>
        <v>0</v>
      </c>
      <c r="E58" s="155">
        <v>47</v>
      </c>
      <c r="F58" s="248">
        <v>878.33115829471194</v>
      </c>
      <c r="G58" s="10">
        <f t="shared" si="1"/>
        <v>4.1460181318993018E-3</v>
      </c>
    </row>
    <row r="59" spans="1:7" x14ac:dyDescent="0.25">
      <c r="A59">
        <v>48</v>
      </c>
      <c r="B59" s="246">
        <v>2764.6726521149999</v>
      </c>
      <c r="C59" s="10">
        <f t="shared" si="0"/>
        <v>1.228949757365067E-2</v>
      </c>
      <c r="E59" s="156">
        <v>48</v>
      </c>
      <c r="F59" s="248">
        <v>532.41197551084679</v>
      </c>
      <c r="G59" s="10">
        <f t="shared" si="1"/>
        <v>2.513163381786393E-3</v>
      </c>
    </row>
    <row r="60" spans="1:7" x14ac:dyDescent="0.25">
      <c r="A60">
        <v>49</v>
      </c>
      <c r="B60" s="246">
        <v>0</v>
      </c>
      <c r="C60" s="10">
        <f t="shared" si="0"/>
        <v>0</v>
      </c>
      <c r="E60" s="157">
        <v>49</v>
      </c>
      <c r="F60" s="248">
        <v>609.77074855875901</v>
      </c>
      <c r="G60" s="10">
        <f t="shared" si="1"/>
        <v>2.8783227783183672E-3</v>
      </c>
    </row>
    <row r="61" spans="1:7" x14ac:dyDescent="0.25">
      <c r="A61">
        <v>50</v>
      </c>
      <c r="B61" s="246">
        <v>0</v>
      </c>
      <c r="C61" s="10">
        <f t="shared" si="0"/>
        <v>0</v>
      </c>
      <c r="E61" s="158">
        <v>50</v>
      </c>
      <c r="F61" s="248">
        <v>694.70119254411964</v>
      </c>
      <c r="G61" s="10">
        <f t="shared" si="1"/>
        <v>3.2792230052865342E-3</v>
      </c>
    </row>
    <row r="62" spans="1:7" x14ac:dyDescent="0.25">
      <c r="A62">
        <v>51</v>
      </c>
      <c r="B62" s="246">
        <v>0</v>
      </c>
      <c r="C62" s="10">
        <f t="shared" si="0"/>
        <v>0</v>
      </c>
      <c r="E62" s="159">
        <v>51</v>
      </c>
      <c r="F62" s="248">
        <v>478.30868519035147</v>
      </c>
      <c r="G62" s="10">
        <f t="shared" si="1"/>
        <v>2.2577776761264776E-3</v>
      </c>
    </row>
    <row r="63" spans="1:7" x14ac:dyDescent="0.25">
      <c r="A63">
        <v>52</v>
      </c>
      <c r="B63" s="246">
        <v>0</v>
      </c>
      <c r="C63" s="10">
        <f t="shared" si="0"/>
        <v>0</v>
      </c>
      <c r="E63" s="160">
        <v>52</v>
      </c>
      <c r="F63" s="248">
        <v>697.83729273578774</v>
      </c>
      <c r="G63" s="10">
        <f t="shared" si="1"/>
        <v>3.294026451726204E-3</v>
      </c>
    </row>
    <row r="64" spans="1:7" x14ac:dyDescent="0.25">
      <c r="A64">
        <v>53</v>
      </c>
      <c r="B64" s="246">
        <v>0</v>
      </c>
      <c r="C64" s="10">
        <f t="shared" si="0"/>
        <v>0</v>
      </c>
      <c r="E64" s="161">
        <v>53</v>
      </c>
      <c r="F64" s="248">
        <v>403.79419014323611</v>
      </c>
      <c r="G64" s="10">
        <f t="shared" si="1"/>
        <v>1.906044227259119E-3</v>
      </c>
    </row>
    <row r="65" spans="1:7" x14ac:dyDescent="0.25">
      <c r="A65">
        <v>54</v>
      </c>
      <c r="B65" s="246">
        <v>195.43093888600001</v>
      </c>
      <c r="C65" s="10">
        <f t="shared" si="0"/>
        <v>8.6872782114671347E-4</v>
      </c>
      <c r="E65" s="162">
        <v>54</v>
      </c>
      <c r="F65" s="248">
        <v>238.34365223544825</v>
      </c>
      <c r="G65" s="10">
        <f t="shared" si="1"/>
        <v>1.1250621072236866E-3</v>
      </c>
    </row>
    <row r="66" spans="1:7" x14ac:dyDescent="0.25">
      <c r="A66">
        <v>55</v>
      </c>
      <c r="B66" s="246">
        <v>0</v>
      </c>
      <c r="C66" s="10">
        <f t="shared" si="0"/>
        <v>0</v>
      </c>
      <c r="E66" s="163">
        <v>55</v>
      </c>
      <c r="F66" s="248">
        <v>348.54284421957448</v>
      </c>
      <c r="G66" s="10">
        <f t="shared" si="1"/>
        <v>1.6452393134768399E-3</v>
      </c>
    </row>
    <row r="67" spans="1:7" x14ac:dyDescent="0.25">
      <c r="A67">
        <v>56</v>
      </c>
      <c r="B67" s="246">
        <v>1219.0784292599999</v>
      </c>
      <c r="C67" s="10">
        <f t="shared" si="0"/>
        <v>5.4190362779547802E-3</v>
      </c>
      <c r="E67" s="164">
        <v>56</v>
      </c>
      <c r="F67" s="248">
        <v>300.09086324139071</v>
      </c>
      <c r="G67" s="10">
        <f t="shared" si="1"/>
        <v>1.4165296864017789E-3</v>
      </c>
    </row>
    <row r="68" spans="1:7" x14ac:dyDescent="0.25">
      <c r="A68">
        <v>57</v>
      </c>
      <c r="B68" s="246">
        <v>4356.2447658228002</v>
      </c>
      <c r="C68" s="10">
        <f t="shared" si="0"/>
        <v>1.9364339369021558E-2</v>
      </c>
      <c r="E68" s="165">
        <v>57</v>
      </c>
      <c r="F68" s="248">
        <v>350.62546296755295</v>
      </c>
      <c r="G68" s="10">
        <f t="shared" si="1"/>
        <v>1.6550699735979227E-3</v>
      </c>
    </row>
    <row r="69" spans="1:7" x14ac:dyDescent="0.25">
      <c r="A69">
        <v>58</v>
      </c>
      <c r="B69" s="246">
        <v>0</v>
      </c>
      <c r="C69" s="10">
        <f t="shared" si="0"/>
        <v>0</v>
      </c>
      <c r="E69" s="166">
        <v>58</v>
      </c>
      <c r="F69" s="248">
        <v>318.82592442106665</v>
      </c>
      <c r="G69" s="10">
        <f t="shared" si="1"/>
        <v>1.5049654689874583E-3</v>
      </c>
    </row>
    <row r="70" spans="1:7" x14ac:dyDescent="0.25">
      <c r="A70">
        <v>59</v>
      </c>
      <c r="B70" s="246">
        <v>0</v>
      </c>
      <c r="C70" s="10">
        <f t="shared" si="0"/>
        <v>0</v>
      </c>
      <c r="E70" s="167">
        <v>59</v>
      </c>
      <c r="F70" s="248">
        <v>244.2004508829678</v>
      </c>
      <c r="G70" s="10">
        <f t="shared" si="1"/>
        <v>1.1527081643607734E-3</v>
      </c>
    </row>
    <row r="71" spans="1:7" x14ac:dyDescent="0.25">
      <c r="A71">
        <v>60</v>
      </c>
      <c r="B71" s="246">
        <v>263.128777017</v>
      </c>
      <c r="C71" s="10">
        <f t="shared" si="0"/>
        <v>1.1696576317034365E-3</v>
      </c>
      <c r="E71" s="168">
        <v>60</v>
      </c>
      <c r="F71" s="248">
        <v>225.23043434380151</v>
      </c>
      <c r="G71" s="10">
        <f t="shared" si="1"/>
        <v>1.0631633135478832E-3</v>
      </c>
    </row>
    <row r="72" spans="1:7" x14ac:dyDescent="0.25">
      <c r="A72">
        <v>61</v>
      </c>
      <c r="B72" s="246">
        <v>0</v>
      </c>
      <c r="C72" s="10">
        <f t="shared" si="0"/>
        <v>0</v>
      </c>
      <c r="E72" s="169">
        <v>61</v>
      </c>
      <c r="F72" s="248">
        <v>181.68174674995311</v>
      </c>
      <c r="G72" s="10">
        <f t="shared" si="1"/>
        <v>8.5759887844909851E-4</v>
      </c>
    </row>
    <row r="73" spans="1:7" x14ac:dyDescent="0.25">
      <c r="A73">
        <v>62</v>
      </c>
      <c r="B73" s="246">
        <v>0</v>
      </c>
      <c r="C73" s="10">
        <f t="shared" si="0"/>
        <v>0</v>
      </c>
      <c r="E73" s="170">
        <v>62</v>
      </c>
      <c r="F73" s="248">
        <v>129.84506209245149</v>
      </c>
      <c r="G73" s="10">
        <f t="shared" si="1"/>
        <v>6.1291231295732072E-4</v>
      </c>
    </row>
    <row r="74" spans="1:7" x14ac:dyDescent="0.25">
      <c r="A74">
        <v>63</v>
      </c>
      <c r="B74" s="246">
        <v>0</v>
      </c>
      <c r="C74" s="10">
        <f t="shared" si="0"/>
        <v>0</v>
      </c>
      <c r="E74" s="171">
        <v>63</v>
      </c>
      <c r="F74" s="248">
        <v>139.80001731562038</v>
      </c>
      <c r="G74" s="10">
        <f t="shared" si="1"/>
        <v>6.5990304585769588E-4</v>
      </c>
    </row>
    <row r="75" spans="1:7" x14ac:dyDescent="0.25">
      <c r="A75">
        <v>64</v>
      </c>
      <c r="B75" s="246">
        <v>0</v>
      </c>
      <c r="C75" s="10">
        <f t="shared" si="0"/>
        <v>0</v>
      </c>
      <c r="E75" s="172">
        <v>64</v>
      </c>
      <c r="F75" s="248">
        <v>148.22144513955953</v>
      </c>
      <c r="G75" s="10">
        <f t="shared" si="1"/>
        <v>6.9965501426369156E-4</v>
      </c>
    </row>
    <row r="76" spans="1:7" x14ac:dyDescent="0.25">
      <c r="A76">
        <v>65</v>
      </c>
      <c r="B76" s="246">
        <v>0</v>
      </c>
      <c r="C76" s="10">
        <f t="shared" si="0"/>
        <v>0</v>
      </c>
      <c r="E76" s="173">
        <v>65</v>
      </c>
      <c r="F76" s="248">
        <v>127.28224545741574</v>
      </c>
      <c r="G76" s="10">
        <f t="shared" si="1"/>
        <v>6.0081495749264525E-4</v>
      </c>
    </row>
    <row r="77" spans="1:7" x14ac:dyDescent="0.25">
      <c r="A77">
        <v>66</v>
      </c>
      <c r="B77" s="246">
        <v>0</v>
      </c>
      <c r="C77" s="10">
        <f t="shared" ref="C77:C102" si="2">B77/B$102</f>
        <v>0</v>
      </c>
      <c r="E77" s="174">
        <v>66</v>
      </c>
      <c r="F77" s="248">
        <v>85.069587714093316</v>
      </c>
      <c r="G77" s="10">
        <f t="shared" ref="G77:G102" si="3">F77/F$102</f>
        <v>4.0155703211144114E-4</v>
      </c>
    </row>
    <row r="78" spans="1:7" x14ac:dyDescent="0.25">
      <c r="A78">
        <v>67</v>
      </c>
      <c r="B78" s="246">
        <v>0</v>
      </c>
      <c r="C78" s="10">
        <f t="shared" si="2"/>
        <v>0</v>
      </c>
      <c r="E78" s="175">
        <v>67</v>
      </c>
      <c r="F78" s="248">
        <v>100.61566037655007</v>
      </c>
      <c r="G78" s="10">
        <f t="shared" si="3"/>
        <v>4.7493971759365536E-4</v>
      </c>
    </row>
    <row r="79" spans="1:7" x14ac:dyDescent="0.25">
      <c r="A79">
        <v>68</v>
      </c>
      <c r="B79" s="246">
        <v>417.967608267</v>
      </c>
      <c r="C79" s="10">
        <f t="shared" si="2"/>
        <v>1.8579457874451483E-3</v>
      </c>
      <c r="E79" s="176">
        <v>68</v>
      </c>
      <c r="F79" s="248">
        <v>46.281182322852686</v>
      </c>
      <c r="G79" s="10">
        <f t="shared" si="3"/>
        <v>2.1846272816829879E-4</v>
      </c>
    </row>
    <row r="80" spans="1:7" x14ac:dyDescent="0.25">
      <c r="A80">
        <v>69</v>
      </c>
      <c r="B80" s="246">
        <v>0</v>
      </c>
      <c r="C80" s="10">
        <f t="shared" si="2"/>
        <v>0</v>
      </c>
      <c r="E80" s="177">
        <v>69</v>
      </c>
      <c r="F80" s="248">
        <v>23.0138888888889</v>
      </c>
      <c r="G80" s="10">
        <f t="shared" si="3"/>
        <v>1.0863328679367392E-4</v>
      </c>
    </row>
    <row r="81" spans="1:7" x14ac:dyDescent="0.25">
      <c r="A81">
        <v>70</v>
      </c>
      <c r="B81" s="246">
        <v>0</v>
      </c>
      <c r="C81" s="10">
        <f t="shared" si="2"/>
        <v>0</v>
      </c>
      <c r="E81" s="178">
        <v>70</v>
      </c>
      <c r="F81" s="248">
        <v>29.969370680649313</v>
      </c>
      <c r="G81" s="10">
        <f t="shared" si="3"/>
        <v>1.414654974609153E-4</v>
      </c>
    </row>
    <row r="82" spans="1:7" x14ac:dyDescent="0.25">
      <c r="A82">
        <v>71</v>
      </c>
      <c r="B82" s="246">
        <v>0</v>
      </c>
      <c r="C82" s="10">
        <f t="shared" si="2"/>
        <v>0</v>
      </c>
      <c r="E82" s="179">
        <v>71</v>
      </c>
      <c r="F82" s="248">
        <v>48.900292311127046</v>
      </c>
      <c r="G82" s="10">
        <f t="shared" si="3"/>
        <v>2.3082580717133299E-4</v>
      </c>
    </row>
    <row r="83" spans="1:7" x14ac:dyDescent="0.25">
      <c r="A83">
        <v>72</v>
      </c>
      <c r="B83" s="246">
        <v>257.71204145899998</v>
      </c>
      <c r="C83" s="10">
        <f t="shared" si="2"/>
        <v>1.1455792083695845E-3</v>
      </c>
      <c r="E83" s="180">
        <v>72</v>
      </c>
      <c r="F83" s="248">
        <v>34.951110440281958</v>
      </c>
      <c r="G83" s="10">
        <f t="shared" si="3"/>
        <v>1.6498098268170753E-4</v>
      </c>
    </row>
    <row r="84" spans="1:7" x14ac:dyDescent="0.25">
      <c r="A84">
        <v>73</v>
      </c>
      <c r="B84" s="246">
        <v>0</v>
      </c>
      <c r="C84" s="10">
        <f t="shared" si="2"/>
        <v>0</v>
      </c>
      <c r="E84" s="181">
        <v>73</v>
      </c>
      <c r="F84" s="248">
        <v>25.313959668422079</v>
      </c>
      <c r="G84" s="10">
        <f t="shared" si="3"/>
        <v>1.1949039355407943E-4</v>
      </c>
    </row>
    <row r="85" spans="1:7" x14ac:dyDescent="0.25">
      <c r="A85">
        <v>74</v>
      </c>
      <c r="B85" s="246">
        <v>0</v>
      </c>
      <c r="C85" s="10">
        <f t="shared" si="2"/>
        <v>0</v>
      </c>
      <c r="E85" s="182">
        <v>74</v>
      </c>
      <c r="F85" s="248">
        <v>7.5010242959904998</v>
      </c>
      <c r="G85" s="10">
        <f t="shared" si="3"/>
        <v>3.5407354555625177E-5</v>
      </c>
    </row>
    <row r="86" spans="1:7" x14ac:dyDescent="0.25">
      <c r="A86">
        <v>75</v>
      </c>
      <c r="B86" s="246">
        <v>0</v>
      </c>
      <c r="C86" s="10">
        <f t="shared" si="2"/>
        <v>0</v>
      </c>
      <c r="E86" s="183">
        <v>75</v>
      </c>
      <c r="F86" s="248">
        <v>36.786080586080537</v>
      </c>
      <c r="G86" s="10">
        <f t="shared" si="3"/>
        <v>1.7364265820594312E-4</v>
      </c>
    </row>
    <row r="87" spans="1:7" x14ac:dyDescent="0.25">
      <c r="A87">
        <v>76</v>
      </c>
      <c r="B87" s="246">
        <v>41.760922228299997</v>
      </c>
      <c r="C87" s="10">
        <f t="shared" si="2"/>
        <v>1.8563526933486631E-4</v>
      </c>
      <c r="E87" s="184">
        <v>76</v>
      </c>
      <c r="F87" s="248">
        <v>10.210000000000001</v>
      </c>
      <c r="G87" s="10">
        <f t="shared" si="3"/>
        <v>4.819462992623147E-5</v>
      </c>
    </row>
    <row r="88" spans="1:7" x14ac:dyDescent="0.25">
      <c r="A88">
        <v>77</v>
      </c>
      <c r="B88" s="246">
        <v>0</v>
      </c>
      <c r="C88" s="10">
        <f t="shared" si="2"/>
        <v>0</v>
      </c>
      <c r="E88" s="185">
        <v>77</v>
      </c>
      <c r="F88" s="248">
        <v>14.92318982387475</v>
      </c>
      <c r="G88" s="10">
        <f t="shared" si="3"/>
        <v>7.0442469234137793E-5</v>
      </c>
    </row>
    <row r="89" spans="1:7" x14ac:dyDescent="0.25">
      <c r="A89">
        <v>78</v>
      </c>
      <c r="B89" s="246">
        <v>396.70134919100002</v>
      </c>
      <c r="C89" s="10">
        <f t="shared" si="2"/>
        <v>1.7634132072081384E-3</v>
      </c>
      <c r="E89" s="186">
        <v>78</v>
      </c>
      <c r="F89" s="248">
        <v>24.999887781043931</v>
      </c>
      <c r="G89" s="10">
        <f t="shared" si="3"/>
        <v>1.180078687369959E-4</v>
      </c>
    </row>
    <row r="90" spans="1:7" x14ac:dyDescent="0.25">
      <c r="A90">
        <v>79</v>
      </c>
      <c r="B90" s="246">
        <v>0</v>
      </c>
      <c r="C90" s="10">
        <f t="shared" si="2"/>
        <v>0</v>
      </c>
      <c r="E90" s="187">
        <v>79</v>
      </c>
      <c r="F90" s="248">
        <v>0.5</v>
      </c>
      <c r="G90" s="10">
        <f t="shared" si="3"/>
        <v>2.360167968963343E-6</v>
      </c>
    </row>
    <row r="91" spans="1:7" x14ac:dyDescent="0.25">
      <c r="A91">
        <v>80</v>
      </c>
      <c r="B91" s="246">
        <v>0</v>
      </c>
      <c r="C91" s="10">
        <f t="shared" si="2"/>
        <v>0</v>
      </c>
      <c r="E91" s="188">
        <v>80</v>
      </c>
      <c r="F91" s="248">
        <v>5.2367549668874203</v>
      </c>
      <c r="G91" s="10">
        <f t="shared" si="3"/>
        <v>2.4719242668314762E-5</v>
      </c>
    </row>
    <row r="92" spans="1:7" x14ac:dyDescent="0.25">
      <c r="A92">
        <v>81</v>
      </c>
      <c r="B92" s="246">
        <v>0</v>
      </c>
      <c r="C92" s="10">
        <f t="shared" si="2"/>
        <v>0</v>
      </c>
      <c r="E92" s="189">
        <v>81</v>
      </c>
      <c r="F92" s="248">
        <v>10.011764705882401</v>
      </c>
      <c r="G92" s="10">
        <f t="shared" si="3"/>
        <v>4.7258892743242694E-5</v>
      </c>
    </row>
    <row r="93" spans="1:7" x14ac:dyDescent="0.25">
      <c r="A93">
        <v>82</v>
      </c>
      <c r="B93" s="246">
        <v>0</v>
      </c>
      <c r="C93" s="10">
        <f t="shared" si="2"/>
        <v>0</v>
      </c>
      <c r="E93" s="190">
        <v>82</v>
      </c>
      <c r="F93" s="248">
        <v>20.0937669376694</v>
      </c>
      <c r="G93" s="10">
        <f t="shared" si="3"/>
        <v>9.4849330204203918E-5</v>
      </c>
    </row>
    <row r="94" spans="1:7" x14ac:dyDescent="0.25">
      <c r="A94">
        <v>83</v>
      </c>
      <c r="B94" s="246">
        <v>0</v>
      </c>
      <c r="C94" s="10">
        <f t="shared" si="2"/>
        <v>0</v>
      </c>
      <c r="E94" s="191">
        <v>83</v>
      </c>
      <c r="F94" s="248">
        <v>9.9206349206349191</v>
      </c>
      <c r="G94" s="10">
        <f t="shared" si="3"/>
        <v>4.6828729542923468E-5</v>
      </c>
    </row>
    <row r="95" spans="1:7" x14ac:dyDescent="0.25">
      <c r="A95">
        <v>84</v>
      </c>
      <c r="B95" s="246">
        <v>841.37535690300001</v>
      </c>
      <c r="C95" s="10">
        <f t="shared" si="2"/>
        <v>3.7400740370758284E-3</v>
      </c>
      <c r="E95" s="192">
        <v>84</v>
      </c>
      <c r="F95" s="248">
        <v>7.2698019801980198</v>
      </c>
      <c r="G95" s="10">
        <f t="shared" si="3"/>
        <v>3.4315907548739297E-5</v>
      </c>
    </row>
    <row r="96" spans="1:7" x14ac:dyDescent="0.25">
      <c r="A96">
        <v>85</v>
      </c>
      <c r="B96" s="246">
        <v>0</v>
      </c>
      <c r="C96" s="10">
        <f t="shared" si="2"/>
        <v>0</v>
      </c>
      <c r="E96" s="193">
        <v>85</v>
      </c>
      <c r="F96" s="248">
        <v>0.25</v>
      </c>
      <c r="G96" s="10">
        <f t="shared" si="3"/>
        <v>1.1800839844816715E-6</v>
      </c>
    </row>
    <row r="97" spans="1:7" x14ac:dyDescent="0.25">
      <c r="A97">
        <v>86</v>
      </c>
      <c r="B97" s="246">
        <v>0</v>
      </c>
      <c r="C97" s="10">
        <f t="shared" si="2"/>
        <v>0</v>
      </c>
      <c r="E97" s="194">
        <v>86</v>
      </c>
      <c r="F97" s="248">
        <v>15.040479192938211</v>
      </c>
      <c r="G97" s="10">
        <f t="shared" si="3"/>
        <v>7.0996114458064794E-5</v>
      </c>
    </row>
    <row r="98" spans="1:7" x14ac:dyDescent="0.25">
      <c r="A98">
        <v>87</v>
      </c>
      <c r="B98" s="246">
        <v>0</v>
      </c>
      <c r="C98" s="10">
        <f t="shared" si="2"/>
        <v>0</v>
      </c>
      <c r="E98" s="195">
        <v>87</v>
      </c>
      <c r="F98" s="248">
        <v>10.027027027027</v>
      </c>
      <c r="G98" s="10">
        <f t="shared" si="3"/>
        <v>4.7330936026237723E-5</v>
      </c>
    </row>
    <row r="99" spans="1:7" x14ac:dyDescent="0.25">
      <c r="A99">
        <v>88</v>
      </c>
      <c r="B99" s="246">
        <v>0</v>
      </c>
      <c r="C99" s="10">
        <f t="shared" si="2"/>
        <v>0</v>
      </c>
      <c r="E99" s="196">
        <v>88</v>
      </c>
      <c r="F99" s="248">
        <v>0</v>
      </c>
      <c r="G99" s="10">
        <f t="shared" si="3"/>
        <v>0</v>
      </c>
    </row>
    <row r="100" spans="1:7" x14ac:dyDescent="0.25">
      <c r="A100">
        <v>89</v>
      </c>
      <c r="B100" s="246">
        <v>0</v>
      </c>
      <c r="C100" s="10">
        <f t="shared" si="2"/>
        <v>0</v>
      </c>
      <c r="E100" s="197">
        <v>89</v>
      </c>
      <c r="F100" s="248">
        <v>20.012499999999999</v>
      </c>
      <c r="G100" s="10">
        <f t="shared" si="3"/>
        <v>9.4465722957757798E-5</v>
      </c>
    </row>
    <row r="101" spans="1:7" ht="15.75" thickBot="1" x14ac:dyDescent="0.3">
      <c r="A101" s="1">
        <v>90</v>
      </c>
      <c r="B101" s="247">
        <v>0</v>
      </c>
      <c r="C101" s="10">
        <f t="shared" si="2"/>
        <v>0</v>
      </c>
      <c r="E101" s="200">
        <v>90</v>
      </c>
      <c r="F101" s="249">
        <v>15.514345637583901</v>
      </c>
      <c r="G101" s="10">
        <f t="shared" si="3"/>
        <v>7.323292326650339E-5</v>
      </c>
    </row>
    <row r="102" spans="1:7" x14ac:dyDescent="0.25">
      <c r="B102" s="246">
        <f>SUM(B11:B101)</f>
        <v>224962.219614462</v>
      </c>
      <c r="C102" s="10">
        <f t="shared" si="2"/>
        <v>1</v>
      </c>
      <c r="F102" s="246">
        <f>SUM(F11:F101)</f>
        <v>211849.32876604333</v>
      </c>
      <c r="G102" s="10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opLeftCell="A10" workbookViewId="0">
      <selection activeCell="V36" sqref="V36"/>
    </sheetView>
  </sheetViews>
  <sheetFormatPr defaultRowHeight="15" x14ac:dyDescent="0.25"/>
  <cols>
    <col min="1" max="1" width="12.140625" customWidth="1" collapsed="1"/>
    <col min="4" max="4" width="12.28515625" bestFit="1" customWidth="1" collapsed="1"/>
    <col min="5" max="5" width="11" customWidth="1" collapsed="1"/>
    <col min="7" max="7" width="11.42578125" customWidth="1" collapsed="1"/>
    <col min="12" max="12" width="11.5703125" customWidth="1" collapsed="1"/>
    <col min="13" max="13" width="10.5703125" bestFit="1" customWidth="1" collapsed="1"/>
    <col min="14" max="14" width="9.5703125" bestFit="1" customWidth="1" collapsed="1"/>
    <col min="15" max="15" width="12.42578125" bestFit="1" customWidth="1" collapsed="1"/>
    <col min="16" max="16" width="11.5703125" customWidth="1" collapsed="1"/>
    <col min="17" max="18" width="10.5703125" bestFit="1" customWidth="1" collapsed="1"/>
    <col min="21" max="21" width="10.5703125" bestFit="1" customWidth="1" collapsed="1"/>
    <col min="26" max="26" width="12.28515625" bestFit="1" customWidth="1" collapsed="1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r="5" spans="1:21" ht="15.75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">
        <v>248</v>
      </c>
      <c r="C6" s="3" t="s">
        <v>249</v>
      </c>
      <c r="D6" s="3" t="s">
        <v>250</v>
      </c>
      <c r="E6" s="3" t="s">
        <v>251</v>
      </c>
      <c r="F6" s="3" t="s">
        <v>252</v>
      </c>
      <c r="G6" s="3" t="s">
        <v>253</v>
      </c>
      <c r="H6" s="3"/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02" t="s">
        <v>254</v>
      </c>
      <c r="B7" s="11">
        <v>3879.6223248169999</v>
      </c>
      <c r="C7" s="11">
        <v>4063.7971588780001</v>
      </c>
      <c r="D7" s="11">
        <v>245.76399977199998</v>
      </c>
      <c r="E7" s="11">
        <v>1556.696679057</v>
      </c>
      <c r="F7" s="11">
        <v>1430.2300505620001</v>
      </c>
      <c r="G7" s="11">
        <v>0</v>
      </c>
      <c r="H7" s="11">
        <v>763.86192077279998</v>
      </c>
      <c r="I7" s="11"/>
      <c r="J7" s="11">
        <f>SUM(B7:I7)</f>
        <v>11939.972133858801</v>
      </c>
      <c r="K7" s="11"/>
      <c r="L7" t="str">
        <f>$A$7</f>
        <v>Bellevue</v>
      </c>
      <c r="M7" s="248">
        <v>4112.75</v>
      </c>
      <c r="N7" s="248">
        <v>2516.25</v>
      </c>
      <c r="O7" s="248">
        <v>494.25</v>
      </c>
      <c r="P7" s="248">
        <v>954.5</v>
      </c>
      <c r="Q7" s="248">
        <v>617.5</v>
      </c>
      <c r="R7" s="248">
        <v>733.75</v>
      </c>
      <c r="S7" s="248">
        <v>581.25</v>
      </c>
      <c r="T7" s="248"/>
      <c r="U7" s="246">
        <f>SUM(M7:T7)</f>
        <v>10010.25</v>
      </c>
    </row>
    <row r="8" spans="1:21" x14ac:dyDescent="0.25">
      <c r="A8" t="s">
        <v>255</v>
      </c>
      <c r="B8" s="11">
        <v>0</v>
      </c>
      <c r="C8" s="11">
        <v>0</v>
      </c>
      <c r="D8" s="11">
        <v>206.34925088699998</v>
      </c>
      <c r="E8" s="11">
        <v>0</v>
      </c>
      <c r="F8" s="11">
        <v>281.72637838000003</v>
      </c>
      <c r="G8" s="11">
        <v>0</v>
      </c>
      <c r="H8" s="11">
        <v>0</v>
      </c>
      <c r="I8" s="11"/>
      <c r="J8" s="11">
        <f t="shared" ref="J8:J14" si="0">SUM(B8:I8)</f>
        <v>488.07562926700001</v>
      </c>
      <c r="K8" s="11"/>
      <c r="L8" t="str">
        <f>$A$8</f>
        <v>Bellevue Downtown</v>
      </c>
      <c r="M8" s="248">
        <v>67.5</v>
      </c>
      <c r="N8" s="248">
        <v>598.25</v>
      </c>
      <c r="O8" s="248">
        <v>7</v>
      </c>
      <c r="P8" s="248">
        <v>4.5</v>
      </c>
      <c r="Q8" s="248">
        <v>5</v>
      </c>
      <c r="R8" s="248">
        <v>6</v>
      </c>
      <c r="S8" s="248">
        <v>2.75</v>
      </c>
      <c r="T8" s="248"/>
      <c r="U8" s="246">
        <f t="shared" ref="U8:U13" si="1">SUM(M8:T8)</f>
        <v>691</v>
      </c>
    </row>
    <row r="9" spans="1:21" x14ac:dyDescent="0.25">
      <c r="A9" t="s">
        <v>256</v>
      </c>
      <c r="B9" s="11">
        <v>0</v>
      </c>
      <c r="C9" s="11">
        <v>0</v>
      </c>
      <c r="D9" s="11">
        <v>1911.668349691</v>
      </c>
      <c r="E9" s="11">
        <v>0</v>
      </c>
      <c r="F9" s="11">
        <v>1690.066763713</v>
      </c>
      <c r="G9" s="11">
        <v>685.39749325299999</v>
      </c>
      <c r="H9" s="11">
        <v>0</v>
      </c>
      <c r="I9" s="11"/>
      <c r="J9" s="11">
        <f t="shared" si="0"/>
        <v>4287.132606657</v>
      </c>
      <c r="K9" s="12"/>
      <c r="L9" t="str">
        <f>$A$9</f>
        <v>Kirkland</v>
      </c>
      <c r="M9" s="248">
        <v>415.25</v>
      </c>
      <c r="N9" s="248">
        <v>519.5</v>
      </c>
      <c r="O9" s="248">
        <v>4653</v>
      </c>
      <c r="P9" s="248">
        <v>743.25</v>
      </c>
      <c r="Q9" s="248">
        <v>747.25</v>
      </c>
      <c r="R9" s="248">
        <v>457.25</v>
      </c>
      <c r="S9" s="248">
        <v>649</v>
      </c>
      <c r="T9" s="248"/>
      <c r="U9" s="246">
        <f t="shared" si="1"/>
        <v>8184.5</v>
      </c>
    </row>
    <row r="10" spans="1:21" x14ac:dyDescent="0.25">
      <c r="A10" t="s">
        <v>257</v>
      </c>
      <c r="B10" s="11">
        <v>1261.5327366239999</v>
      </c>
      <c r="C10" s="11">
        <v>0</v>
      </c>
      <c r="D10" s="11">
        <v>4645.1450401450002</v>
      </c>
      <c r="E10" s="11">
        <v>5303.0201453469999</v>
      </c>
      <c r="F10" s="11">
        <v>0</v>
      </c>
      <c r="G10" s="11">
        <v>0</v>
      </c>
      <c r="H10" s="11">
        <v>736.56307327800005</v>
      </c>
      <c r="I10" s="11"/>
      <c r="J10" s="11">
        <f t="shared" si="0"/>
        <v>11946.260995394001</v>
      </c>
      <c r="K10" s="12"/>
      <c r="L10" t="str">
        <f>$A$10</f>
        <v>Redmond</v>
      </c>
      <c r="M10" s="248">
        <v>730.25</v>
      </c>
      <c r="N10" s="248">
        <v>414.5</v>
      </c>
      <c r="O10" s="248">
        <v>1027.5</v>
      </c>
      <c r="P10" s="248">
        <v>3283.5</v>
      </c>
      <c r="Q10" s="248">
        <v>360.5</v>
      </c>
      <c r="R10" s="248">
        <v>334.25</v>
      </c>
      <c r="S10" s="248">
        <v>421.75</v>
      </c>
      <c r="T10" s="248"/>
      <c r="U10" s="246">
        <f t="shared" si="1"/>
        <v>6572.25</v>
      </c>
    </row>
    <row r="11" spans="1:21" x14ac:dyDescent="0.25">
      <c r="A11" t="s">
        <v>252</v>
      </c>
      <c r="B11" s="11">
        <v>161.51425</v>
      </c>
      <c r="C11" s="11">
        <v>1825.827595923</v>
      </c>
      <c r="D11" s="11">
        <v>1328.141469276</v>
      </c>
      <c r="E11" s="11">
        <v>0</v>
      </c>
      <c r="F11" s="11">
        <v>38457.051686225699</v>
      </c>
      <c r="G11" s="11">
        <v>4468.4450829937005</v>
      </c>
      <c r="H11" s="11">
        <v>5075.7600519444004</v>
      </c>
      <c r="I11" s="11"/>
      <c r="J11" s="11">
        <f t="shared" si="0"/>
        <v>51316.740136362801</v>
      </c>
      <c r="K11" s="12"/>
      <c r="L11" t="str">
        <f>$A$11</f>
        <v>Seattle</v>
      </c>
      <c r="M11" s="248">
        <v>371.6840274746267</v>
      </c>
      <c r="N11" s="248">
        <v>365.66452208278912</v>
      </c>
      <c r="O11" s="248">
        <v>509.5244545640781</v>
      </c>
      <c r="P11" s="248">
        <v>201.80149199042881</v>
      </c>
      <c r="Q11" s="248">
        <v>26087.858071592469</v>
      </c>
      <c r="R11" s="248">
        <v>7840.7458484314229</v>
      </c>
      <c r="S11" s="248">
        <v>2362.0602583654268</v>
      </c>
      <c r="T11" s="248"/>
      <c r="U11" s="246">
        <f t="shared" si="1"/>
        <v>37739.338674501239</v>
      </c>
    </row>
    <row r="12" spans="1:21" x14ac:dyDescent="0.25">
      <c r="A12" t="s">
        <v>258</v>
      </c>
      <c r="B12" s="11">
        <v>0</v>
      </c>
      <c r="C12" s="11">
        <v>0</v>
      </c>
      <c r="D12" s="11">
        <v>118.76068269</v>
      </c>
      <c r="E12" s="11">
        <v>0</v>
      </c>
      <c r="F12" s="11">
        <v>1766.7422404534</v>
      </c>
      <c r="G12" s="11">
        <v>4688.9401726327997</v>
      </c>
      <c r="H12" s="11">
        <v>0</v>
      </c>
      <c r="I12" s="11"/>
      <c r="J12" s="11">
        <f t="shared" si="0"/>
        <v>6574.4430957761997</v>
      </c>
      <c r="K12" s="12"/>
      <c r="L12" t="str">
        <f>$A$12</f>
        <v>Seattle Downtown</v>
      </c>
      <c r="M12" s="248">
        <v>1.99300699300699</v>
      </c>
      <c r="N12" s="248">
        <v>3.9987212276214801</v>
      </c>
      <c r="O12" s="248">
        <v>3.99836695180664</v>
      </c>
      <c r="P12" s="248">
        <v>0</v>
      </c>
      <c r="Q12" s="248">
        <v>135.44301773014953</v>
      </c>
      <c r="R12" s="248">
        <v>3490.4896836702601</v>
      </c>
      <c r="S12" s="248">
        <v>13.98226537449092</v>
      </c>
      <c r="T12" s="248"/>
      <c r="U12" s="246">
        <f t="shared" si="1"/>
        <v>3649.9050619473355</v>
      </c>
    </row>
    <row r="13" spans="1:21" x14ac:dyDescent="0.25">
      <c r="A13" t="s">
        <v>259</v>
      </c>
      <c r="B13" s="11">
        <v>218.67982059900001</v>
      </c>
      <c r="C13" s="11">
        <v>106.05712341900001</v>
      </c>
      <c r="D13" s="11">
        <v>0</v>
      </c>
      <c r="E13" s="11">
        <v>0</v>
      </c>
      <c r="F13" s="11">
        <v>2574.5666758319999</v>
      </c>
      <c r="G13" s="11">
        <v>3586.3049094350004</v>
      </c>
      <c r="H13" s="11">
        <v>132212.3106002502</v>
      </c>
      <c r="I13" s="11"/>
      <c r="J13" s="11">
        <f t="shared" si="0"/>
        <v>138697.91912953521</v>
      </c>
      <c r="K13" s="12"/>
      <c r="L13" t="str">
        <f>A13</f>
        <v>Rest</v>
      </c>
      <c r="M13" s="248">
        <v>2679.2983291462288</v>
      </c>
      <c r="N13" s="248">
        <v>2245.5010167104624</v>
      </c>
      <c r="O13" s="248">
        <v>2597.7117307638264</v>
      </c>
      <c r="P13" s="248">
        <v>2227.9244068126836</v>
      </c>
      <c r="Q13" s="248">
        <v>7155.6092565033832</v>
      </c>
      <c r="R13" s="248">
        <v>6124.0807090972621</v>
      </c>
      <c r="S13" s="248">
        <v>121774.62612827151</v>
      </c>
      <c r="T13" s="248"/>
      <c r="U13" s="246">
        <f t="shared" si="1"/>
        <v>144804.75157730537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t="shared" si="0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/>
    </row>
    <row r="15" spans="1:21" ht="15.75" thickBot="1" x14ac:dyDescent="0.3">
      <c r="A15" s="1" t="s">
        <v>4</v>
      </c>
      <c r="B15" s="14">
        <f t="shared" ref="B15:J15" si="2">SUM(B7:B14)</f>
        <v>5521.3491320399999</v>
      </c>
      <c r="C15" s="14">
        <f t="shared" si="2"/>
        <v>5995.6818782199998</v>
      </c>
      <c r="D15" s="14">
        <f t="shared" si="2"/>
        <v>8455.8287924609995</v>
      </c>
      <c r="E15" s="14">
        <f t="shared" si="2"/>
        <v>6859.7168244040004</v>
      </c>
      <c r="F15" s="14">
        <f t="shared" si="2"/>
        <v>46200.383795166097</v>
      </c>
      <c r="G15" s="14">
        <f t="shared" si="2"/>
        <v>13429.087658314502</v>
      </c>
      <c r="H15" s="14">
        <f t="shared" si="2"/>
        <v>138788.4956462454</v>
      </c>
      <c r="I15" s="14">
        <f t="shared" si="2"/>
        <v>0</v>
      </c>
      <c r="J15" s="14">
        <f t="shared" si="2"/>
        <v>225250.543726851</v>
      </c>
      <c r="K15" s="11"/>
      <c r="L15" s="14" t="s">
        <v>4</v>
      </c>
      <c r="M15" s="14">
        <f t="shared" ref="M15:U15" si="3">SUM(M7:M14)</f>
        <v>8378.725363613863</v>
      </c>
      <c r="N15" s="14">
        <f t="shared" si="3"/>
        <v>6663.6642600208743</v>
      </c>
      <c r="O15" s="14">
        <f t="shared" si="3"/>
        <v>9292.9845522797114</v>
      </c>
      <c r="P15" s="14">
        <f t="shared" si="3"/>
        <v>7415.4758988031126</v>
      </c>
      <c r="Q15" s="14">
        <f t="shared" si="3"/>
        <v>35109.160345826007</v>
      </c>
      <c r="R15" s="14">
        <f t="shared" si="3"/>
        <v>18986.566241198947</v>
      </c>
      <c r="S15" s="14">
        <f t="shared" si="3"/>
        <v>125805.41865201143</v>
      </c>
      <c r="T15" s="14">
        <f t="shared" si="3"/>
        <v>0</v>
      </c>
      <c r="U15" s="14">
        <f t="shared" si="3"/>
        <v>211651.99531375396</v>
      </c>
    </row>
    <row r="18" spans="1:32" ht="15.75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1">
        <f t="shared" ref="B20:H20" si="4">($U7/$J7)*B7</f>
        <v>3252.6030162893044</v>
      </c>
      <c r="C20" s="11">
        <f t="shared" si="4"/>
        <v>3407.0117629756578</v>
      </c>
      <c r="D20" s="11">
        <f t="shared" si="4"/>
        <v>206.04395480465666</v>
      </c>
      <c r="E20" s="11">
        <f t="shared" si="4"/>
        <v>1305.1054689936025</v>
      </c>
      <c r="F20" s="11">
        <f t="shared" si="4"/>
        <v>1199.0782058057666</v>
      </c>
      <c r="G20" s="11">
        <f t="shared" si="4"/>
        <v>0</v>
      </c>
      <c r="H20" s="11">
        <f t="shared" si="4"/>
        <v>640.40759113101183</v>
      </c>
      <c r="I20" s="11"/>
      <c r="J20" s="11">
        <f>SUM(B20:I20)</f>
        <v>10010.250000000002</v>
      </c>
      <c r="K20" s="11"/>
      <c r="L20" t="str">
        <f>$A$7</f>
        <v>Bellevue</v>
      </c>
      <c r="M20" s="11">
        <f t="shared" ref="M20:M26" si="5">M7</f>
        <v>4112.75</v>
      </c>
      <c r="N20" s="11">
        <f t="shared" ref="N20:U20" si="6">N7</f>
        <v>2516.25</v>
      </c>
      <c r="O20" s="11">
        <f t="shared" si="6"/>
        <v>494.25</v>
      </c>
      <c r="P20" s="11">
        <f t="shared" si="6"/>
        <v>954.5</v>
      </c>
      <c r="Q20" s="11">
        <f t="shared" si="6"/>
        <v>617.5</v>
      </c>
      <c r="R20" s="11">
        <f t="shared" si="6"/>
        <v>733.75</v>
      </c>
      <c r="S20" s="11">
        <f t="shared" ref="S20" si="7">S7</f>
        <v>581.25</v>
      </c>
      <c r="T20" s="11"/>
      <c r="U20" s="11">
        <f t="shared" si="6"/>
        <v>10010.25</v>
      </c>
    </row>
    <row r="21" spans="1:32" x14ac:dyDescent="0.25">
      <c r="A21" t="str">
        <f>$A$8</f>
        <v>Bellevue Downtown</v>
      </c>
      <c r="B21" s="11">
        <f t="shared" ref="B21:G26" si="8">($U8/$J8)*B8</f>
        <v>0</v>
      </c>
      <c r="C21" s="11">
        <f t="shared" si="8"/>
        <v>0</v>
      </c>
      <c r="D21" s="11">
        <f t="shared" si="8"/>
        <v>292.14188091517082</v>
      </c>
      <c r="E21" s="11">
        <f t="shared" si="8"/>
        <v>0</v>
      </c>
      <c r="F21" s="11">
        <f t="shared" si="8"/>
        <v>398.85811908482918</v>
      </c>
      <c r="G21" s="11">
        <f t="shared" si="8"/>
        <v>0</v>
      </c>
      <c r="H21" s="11">
        <f t="shared" ref="H21:H26" si="9">($U8/$J8)*H8</f>
        <v>0</v>
      </c>
      <c r="I21" s="11"/>
      <c r="J21" s="11">
        <f t="shared" ref="J21:J26" si="10">SUM(B21:I21)</f>
        <v>691</v>
      </c>
      <c r="K21" s="11"/>
      <c r="L21" t="str">
        <f>$A$8</f>
        <v>Bellevue Downtown</v>
      </c>
      <c r="M21" s="11">
        <f t="shared" si="5"/>
        <v>67.5</v>
      </c>
      <c r="N21" s="11">
        <f t="shared" ref="N21:R25" si="11">N8</f>
        <v>598.25</v>
      </c>
      <c r="O21" s="11">
        <f t="shared" si="11"/>
        <v>7</v>
      </c>
      <c r="P21" s="11">
        <f t="shared" si="11"/>
        <v>4.5</v>
      </c>
      <c r="Q21" s="11">
        <f t="shared" si="11"/>
        <v>5</v>
      </c>
      <c r="R21" s="11">
        <f t="shared" si="11"/>
        <v>6</v>
      </c>
      <c r="S21" s="11">
        <f t="shared" ref="S21" si="12">S8</f>
        <v>2.75</v>
      </c>
      <c r="T21" s="11"/>
      <c r="U21" s="11">
        <f t="shared" ref="U21:U26" si="13">U8</f>
        <v>691</v>
      </c>
    </row>
    <row r="22" spans="1:32" x14ac:dyDescent="0.25">
      <c r="A22" t="str">
        <f>$A$9</f>
        <v>Kirkland</v>
      </c>
      <c r="B22" s="11">
        <f t="shared" si="8"/>
        <v>0</v>
      </c>
      <c r="C22" s="11">
        <f t="shared" si="8"/>
        <v>0</v>
      </c>
      <c r="D22" s="11">
        <f t="shared" si="8"/>
        <v>3649.5371250590711</v>
      </c>
      <c r="E22" s="11">
        <f t="shared" si="8"/>
        <v>0</v>
      </c>
      <c r="F22" s="11">
        <f t="shared" si="8"/>
        <v>3226.4808898447332</v>
      </c>
      <c r="G22" s="11">
        <f t="shared" si="8"/>
        <v>1308.4819850961956</v>
      </c>
      <c r="H22" s="11">
        <f t="shared" si="9"/>
        <v>0</v>
      </c>
      <c r="I22" s="11"/>
      <c r="J22" s="11">
        <f t="shared" si="10"/>
        <v>8184.5</v>
      </c>
      <c r="K22" s="12"/>
      <c r="L22" t="str">
        <f>$A$9</f>
        <v>Kirkland</v>
      </c>
      <c r="M22" s="11">
        <f t="shared" si="5"/>
        <v>415.25</v>
      </c>
      <c r="N22" s="11">
        <f t="shared" si="11"/>
        <v>519.5</v>
      </c>
      <c r="O22" s="11">
        <f t="shared" si="11"/>
        <v>4653</v>
      </c>
      <c r="P22" s="11">
        <f t="shared" si="11"/>
        <v>743.25</v>
      </c>
      <c r="Q22" s="11">
        <f t="shared" si="11"/>
        <v>747.25</v>
      </c>
      <c r="R22" s="11">
        <f t="shared" si="11"/>
        <v>457.25</v>
      </c>
      <c r="S22" s="11">
        <f t="shared" ref="S22" si="14">S9</f>
        <v>649</v>
      </c>
      <c r="T22" s="11"/>
      <c r="U22" s="11">
        <f t="shared" si="13"/>
        <v>8184.5</v>
      </c>
    </row>
    <row r="23" spans="1:32" x14ac:dyDescent="0.25">
      <c r="A23" t="str">
        <f>$A$10</f>
        <v>Redmond</v>
      </c>
      <c r="B23" s="11">
        <f t="shared" si="8"/>
        <v>694.03376767624638</v>
      </c>
      <c r="C23" s="11">
        <f t="shared" si="8"/>
        <v>0</v>
      </c>
      <c r="D23" s="11">
        <f t="shared" si="8"/>
        <v>2555.5321871725187</v>
      </c>
      <c r="E23" s="11">
        <f t="shared" si="8"/>
        <v>2917.4629755447882</v>
      </c>
      <c r="F23" s="11">
        <f t="shared" si="8"/>
        <v>0</v>
      </c>
      <c r="G23" s="11">
        <f t="shared" si="8"/>
        <v>0</v>
      </c>
      <c r="H23" s="11">
        <f t="shared" si="9"/>
        <v>405.22106960644709</v>
      </c>
      <c r="I23" s="11"/>
      <c r="J23" s="11">
        <f>SUM(B23:I23)</f>
        <v>6572.25</v>
      </c>
      <c r="K23" s="12"/>
      <c r="L23" t="str">
        <f>$A$10</f>
        <v>Redmond</v>
      </c>
      <c r="M23" s="11">
        <f t="shared" si="5"/>
        <v>730.25</v>
      </c>
      <c r="N23" s="11">
        <f t="shared" si="11"/>
        <v>414.5</v>
      </c>
      <c r="O23" s="11">
        <f t="shared" si="11"/>
        <v>1027.5</v>
      </c>
      <c r="P23" s="11">
        <f t="shared" si="11"/>
        <v>3283.5</v>
      </c>
      <c r="Q23" s="11">
        <f t="shared" si="11"/>
        <v>360.5</v>
      </c>
      <c r="R23" s="11">
        <f t="shared" si="11"/>
        <v>334.25</v>
      </c>
      <c r="S23" s="11">
        <f t="shared" ref="S23" si="15">S10</f>
        <v>421.75</v>
      </c>
      <c r="T23" s="11"/>
      <c r="U23" s="11">
        <f t="shared" si="13"/>
        <v>6572.25</v>
      </c>
    </row>
    <row r="24" spans="1:32" x14ac:dyDescent="0.25">
      <c r="A24" t="str">
        <f>$A$11</f>
        <v>Seattle</v>
      </c>
      <c r="B24" s="11">
        <f t="shared" si="8"/>
        <v>118.78075195951234</v>
      </c>
      <c r="C24" s="11">
        <f t="shared" si="8"/>
        <v>1342.7494774743566</v>
      </c>
      <c r="D24" s="11">
        <f t="shared" si="8"/>
        <v>976.74132424361835</v>
      </c>
      <c r="E24" s="11">
        <f t="shared" si="8"/>
        <v>0</v>
      </c>
      <c r="F24" s="11">
        <f t="shared" si="8"/>
        <v>28282.071194558503</v>
      </c>
      <c r="G24" s="11">
        <f t="shared" si="8"/>
        <v>3286.1822845215038</v>
      </c>
      <c r="H24" s="11">
        <f t="shared" si="9"/>
        <v>3732.8136417437427</v>
      </c>
      <c r="I24" s="11"/>
      <c r="J24" s="11">
        <f t="shared" si="10"/>
        <v>37739.338674501239</v>
      </c>
      <c r="K24" s="12"/>
      <c r="L24" t="str">
        <f>$A$11</f>
        <v>Seattle</v>
      </c>
      <c r="M24" s="11">
        <f t="shared" si="5"/>
        <v>371.6840274746267</v>
      </c>
      <c r="N24" s="11">
        <f t="shared" si="11"/>
        <v>365.66452208278912</v>
      </c>
      <c r="O24" s="11">
        <f t="shared" si="11"/>
        <v>509.5244545640781</v>
      </c>
      <c r="P24" s="11">
        <f t="shared" si="11"/>
        <v>201.80149199042881</v>
      </c>
      <c r="Q24" s="11">
        <f t="shared" si="11"/>
        <v>26087.858071592469</v>
      </c>
      <c r="R24" s="11">
        <f t="shared" si="11"/>
        <v>7840.7458484314229</v>
      </c>
      <c r="S24" s="11">
        <f t="shared" ref="S24" si="16">S11</f>
        <v>2362.0602583654268</v>
      </c>
      <c r="T24" s="11"/>
      <c r="U24" s="11">
        <f t="shared" si="13"/>
        <v>37739.338674501239</v>
      </c>
    </row>
    <row r="25" spans="1:32" x14ac:dyDescent="0.25">
      <c r="A25" t="str">
        <f>$A$12</f>
        <v>Seattle Downtown</v>
      </c>
      <c r="B25" s="11">
        <f t="shared" si="8"/>
        <v>0</v>
      </c>
      <c r="C25" s="11">
        <f t="shared" si="8"/>
        <v>0</v>
      </c>
      <c r="D25" s="11">
        <f t="shared" si="8"/>
        <v>65.931853176892687</v>
      </c>
      <c r="E25" s="11">
        <f t="shared" si="8"/>
        <v>0</v>
      </c>
      <c r="F25" s="11">
        <f t="shared" si="8"/>
        <v>980.83462776183887</v>
      </c>
      <c r="G25" s="11">
        <f t="shared" si="8"/>
        <v>2603.1385810086035</v>
      </c>
      <c r="H25" s="11">
        <f t="shared" si="9"/>
        <v>0</v>
      </c>
      <c r="I25" s="11"/>
      <c r="J25" s="11">
        <f t="shared" si="10"/>
        <v>3649.9050619473351</v>
      </c>
      <c r="K25" s="12"/>
      <c r="L25" t="str">
        <f>$A$12</f>
        <v>Seattle Downtown</v>
      </c>
      <c r="M25" s="11">
        <f t="shared" si="5"/>
        <v>1.99300699300699</v>
      </c>
      <c r="N25" s="11">
        <f t="shared" si="11"/>
        <v>3.9987212276214801</v>
      </c>
      <c r="O25" s="11">
        <f t="shared" si="11"/>
        <v>3.99836695180664</v>
      </c>
      <c r="P25" s="11">
        <f t="shared" si="11"/>
        <v>0</v>
      </c>
      <c r="Q25" s="11">
        <f t="shared" si="11"/>
        <v>135.44301773014953</v>
      </c>
      <c r="R25" s="11">
        <f t="shared" si="11"/>
        <v>3490.4896836702601</v>
      </c>
      <c r="S25" s="11">
        <f t="shared" ref="S25" si="17">S12</f>
        <v>13.98226537449092</v>
      </c>
      <c r="T25" s="11"/>
      <c r="U25" s="11">
        <f t="shared" si="13"/>
        <v>3649.9050619473355</v>
      </c>
    </row>
    <row r="26" spans="1:32" x14ac:dyDescent="0.25">
      <c r="A26" t="str">
        <f>$A$13</f>
        <v>Rest</v>
      </c>
      <c r="B26" s="11">
        <f t="shared" si="8"/>
        <v>228.30823487145432</v>
      </c>
      <c r="C26" s="11">
        <f t="shared" si="8"/>
        <v>110.72679032299608</v>
      </c>
      <c r="D26" s="11">
        <f t="shared" si="8"/>
        <v>0</v>
      </c>
      <c r="E26" s="11">
        <f t="shared" si="8"/>
        <v>0</v>
      </c>
      <c r="F26" s="11">
        <f t="shared" si="8"/>
        <v>2687.9241610314343</v>
      </c>
      <c r="G26" s="11">
        <f t="shared" si="8"/>
        <v>3744.2089596614564</v>
      </c>
      <c r="H26" s="11">
        <f t="shared" si="9"/>
        <v>138033.58343141802</v>
      </c>
      <c r="I26" s="11"/>
      <c r="J26" s="11">
        <f t="shared" si="10"/>
        <v>144804.75157730537</v>
      </c>
      <c r="K26" s="12"/>
      <c r="L26" t="str">
        <f>$A$13</f>
        <v>Rest</v>
      </c>
      <c r="M26" s="11">
        <f t="shared" si="5"/>
        <v>2679.2983291462288</v>
      </c>
      <c r="N26" s="11">
        <f t="shared" ref="N26:R26" si="18">N13</f>
        <v>2245.5010167104624</v>
      </c>
      <c r="O26" s="11">
        <f t="shared" si="18"/>
        <v>2597.7117307638264</v>
      </c>
      <c r="P26" s="11">
        <f t="shared" si="18"/>
        <v>2227.9244068126836</v>
      </c>
      <c r="Q26" s="11">
        <f t="shared" si="18"/>
        <v>7155.6092565033832</v>
      </c>
      <c r="R26" s="11">
        <f t="shared" si="18"/>
        <v>6124.0807090972621</v>
      </c>
      <c r="S26" s="11">
        <f t="shared" ref="S26" si="19">S13</f>
        <v>121774.62612827151</v>
      </c>
      <c r="T26" s="11"/>
      <c r="U26" s="11">
        <f t="shared" si="13"/>
        <v>144804.75157730537</v>
      </c>
    </row>
    <row r="27" spans="1:32" x14ac:dyDescent="0.25">
      <c r="A27" s="7" t="s">
        <v>13</v>
      </c>
      <c r="B27" s="13"/>
      <c r="C27" s="13"/>
      <c r="D27" s="13"/>
      <c r="E27" s="13"/>
      <c r="F27" s="13"/>
      <c r="G27" s="13"/>
      <c r="H27" s="13"/>
      <c r="I27" s="13"/>
      <c r="J27" s="13"/>
      <c r="K27" s="11"/>
      <c r="L27" s="201" t="s">
        <v>13</v>
      </c>
      <c r="M27" s="13"/>
      <c r="N27" s="13"/>
      <c r="O27" s="13"/>
      <c r="P27" s="13"/>
      <c r="Q27" s="13"/>
      <c r="R27" s="13"/>
      <c r="S27" s="13"/>
      <c r="T27" s="13"/>
      <c r="U27" s="13"/>
    </row>
    <row r="28" spans="1:32" ht="15.75" thickBot="1" x14ac:dyDescent="0.3">
      <c r="A28" s="1" t="s">
        <v>4</v>
      </c>
      <c r="B28" s="14">
        <f t="shared" ref="B28:J28" si="20">SUM(B20:B27)</f>
        <v>4293.7257707965173</v>
      </c>
      <c r="C28" s="14">
        <f t="shared" si="20"/>
        <v>4860.48803077301</v>
      </c>
      <c r="D28" s="14">
        <f t="shared" si="20"/>
        <v>7745.9283253719286</v>
      </c>
      <c r="E28" s="14">
        <f t="shared" si="20"/>
        <v>4222.5684445383904</v>
      </c>
      <c r="F28" s="14">
        <f t="shared" si="20"/>
        <v>36775.247198087105</v>
      </c>
      <c r="G28" s="14">
        <f t="shared" si="20"/>
        <v>10942.01181028776</v>
      </c>
      <c r="H28" s="14">
        <f t="shared" si="20"/>
        <v>142812.02573389924</v>
      </c>
      <c r="I28" s="14">
        <f t="shared" si="20"/>
        <v>0</v>
      </c>
      <c r="J28" s="14">
        <f t="shared" si="20"/>
        <v>211651.99531375396</v>
      </c>
      <c r="K28" s="11"/>
      <c r="L28" s="14" t="s">
        <v>4</v>
      </c>
      <c r="M28" s="14">
        <f t="shared" ref="M28:U28" si="21">M15</f>
        <v>8378.725363613863</v>
      </c>
      <c r="N28" s="14">
        <f t="shared" si="21"/>
        <v>6663.6642600208743</v>
      </c>
      <c r="O28" s="14">
        <f t="shared" si="21"/>
        <v>9292.9845522797114</v>
      </c>
      <c r="P28" s="14">
        <f t="shared" si="21"/>
        <v>7415.4758988031126</v>
      </c>
      <c r="Q28" s="14">
        <f t="shared" si="21"/>
        <v>35109.160345826007</v>
      </c>
      <c r="R28" s="14">
        <f t="shared" si="21"/>
        <v>18986.566241198947</v>
      </c>
      <c r="S28" s="14">
        <f t="shared" si="21"/>
        <v>125805.41865201143</v>
      </c>
      <c r="T28" s="14"/>
      <c r="U28" s="14">
        <f t="shared" si="21"/>
        <v>211651.99531375396</v>
      </c>
    </row>
    <row r="31" spans="1:32" ht="15.75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5">
        <f t="shared" ref="B33:H33" si="22">B20/$J$28</f>
        <v>1.5367693611712139E-2</v>
      </c>
      <c r="C33" s="15">
        <f t="shared" si="22"/>
        <v>1.6097234320541543E-2</v>
      </c>
      <c r="D33" s="15">
        <f t="shared" si="22"/>
        <v>9.7350348386376461E-4</v>
      </c>
      <c r="E33" s="15">
        <f t="shared" si="22"/>
        <v>6.166280015734828E-3</v>
      </c>
      <c r="F33" s="15">
        <f t="shared" si="22"/>
        <v>5.665329089046608E-3</v>
      </c>
      <c r="G33" s="15">
        <f t="shared" si="22"/>
        <v>0</v>
      </c>
      <c r="H33" s="15">
        <f t="shared" si="22"/>
        <v>3.0257574004046994E-3</v>
      </c>
      <c r="I33" s="11"/>
      <c r="J33" s="15">
        <f t="shared" ref="J33:J39" si="23">J20/$J$28</f>
        <v>4.729579792130359E-2</v>
      </c>
      <c r="K33" s="11"/>
      <c r="L33" t="str">
        <f>$A$7</f>
        <v>Bellevue</v>
      </c>
      <c r="M33" s="15">
        <f t="shared" ref="M33:R33" si="24">M20/$U$28</f>
        <v>1.9431661836701513E-2</v>
      </c>
      <c r="N33" s="15">
        <f t="shared" si="24"/>
        <v>1.1888619317147938E-2</v>
      </c>
      <c r="O33" s="15">
        <f t="shared" si="24"/>
        <v>2.3352012309986558E-3</v>
      </c>
      <c r="P33" s="15">
        <f t="shared" si="24"/>
        <v>4.5097614061471265E-3</v>
      </c>
      <c r="Q33" s="15">
        <f t="shared" si="24"/>
        <v>2.9175250584555792E-3</v>
      </c>
      <c r="R33" s="15">
        <f t="shared" si="24"/>
        <v>3.4667757273551115E-3</v>
      </c>
      <c r="S33" s="15">
        <f t="shared" ref="S33" si="25">S20/$U$28</f>
        <v>2.7462533444976606E-3</v>
      </c>
      <c r="T33" s="15"/>
      <c r="U33" s="15">
        <f t="shared" ref="U33:U39" si="26">U20/$U$28</f>
        <v>4.7295797921303583E-2</v>
      </c>
      <c r="W33" t="str">
        <f>$A$7</f>
        <v>Bellevue</v>
      </c>
      <c r="X33" s="15">
        <f t="shared" ref="X33:AE33" si="27">M33-B33</f>
        <v>4.0639682249893738E-3</v>
      </c>
      <c r="Y33" s="15">
        <f t="shared" si="27"/>
        <v>-4.2086150033936055E-3</v>
      </c>
      <c r="Z33" s="15">
        <f t="shared" si="27"/>
        <v>1.3616977471348911E-3</v>
      </c>
      <c r="AA33" s="15">
        <f t="shared" si="27"/>
        <v>-1.6565186095877016E-3</v>
      </c>
      <c r="AB33" s="15">
        <f t="shared" si="27"/>
        <v>-2.7478040305910288E-3</v>
      </c>
      <c r="AC33" s="15">
        <f t="shared" si="27"/>
        <v>3.4667757273551115E-3</v>
      </c>
      <c r="AD33" s="15">
        <f t="shared" si="27"/>
        <v>-2.7950405590703884E-4</v>
      </c>
      <c r="AE33" s="15">
        <f t="shared" si="27"/>
        <v>0</v>
      </c>
      <c r="AF33" s="15">
        <f t="shared" ref="AF33:AF39" si="28">U33-J33</f>
        <v>0</v>
      </c>
    </row>
    <row r="34" spans="1:32" x14ac:dyDescent="0.25">
      <c r="A34" t="str">
        <f>$A$8</f>
        <v>Bellevue Downtown</v>
      </c>
      <c r="B34" s="15">
        <f t="shared" ref="B34:G39" si="29">B21/$J$28</f>
        <v>0</v>
      </c>
      <c r="C34" s="15">
        <f t="shared" si="29"/>
        <v>0</v>
      </c>
      <c r="D34" s="15">
        <f t="shared" si="29"/>
        <v>1.3802935355374196E-3</v>
      </c>
      <c r="E34" s="15">
        <f t="shared" si="29"/>
        <v>0</v>
      </c>
      <c r="F34" s="15">
        <f t="shared" si="29"/>
        <v>1.884499687770767E-3</v>
      </c>
      <c r="G34" s="15">
        <f t="shared" si="29"/>
        <v>0</v>
      </c>
      <c r="H34" s="15">
        <f t="shared" ref="H34:H39" si="30">H21/$J$28</f>
        <v>0</v>
      </c>
      <c r="I34" s="11"/>
      <c r="J34" s="15">
        <f t="shared" si="23"/>
        <v>3.2647932233081868E-3</v>
      </c>
      <c r="K34" s="11"/>
      <c r="L34" t="str">
        <f>$A$8</f>
        <v>Bellevue Downtown</v>
      </c>
      <c r="M34" s="15">
        <f t="shared" ref="M34:R39" si="31">M21/$U$28</f>
        <v>3.189197432319864E-4</v>
      </c>
      <c r="N34" s="15">
        <f t="shared" si="31"/>
        <v>2.8265738724227536E-3</v>
      </c>
      <c r="O34" s="15">
        <f t="shared" si="31"/>
        <v>3.3073158557391182E-5</v>
      </c>
      <c r="P34" s="15">
        <f t="shared" si="31"/>
        <v>2.1261316215465761E-5</v>
      </c>
      <c r="Q34" s="15">
        <f t="shared" si="31"/>
        <v>2.3623684683850846E-5</v>
      </c>
      <c r="R34" s="15">
        <f t="shared" si="31"/>
        <v>2.8348421620621012E-5</v>
      </c>
      <c r="S34" s="15">
        <f t="shared" ref="S34" si="32">S21/$U$28</f>
        <v>1.2993026576117964E-5</v>
      </c>
      <c r="T34" s="15"/>
      <c r="U34" s="15">
        <f t="shared" si="26"/>
        <v>3.2647932233081868E-3</v>
      </c>
      <c r="W34" t="str">
        <f>$A$8</f>
        <v>Bellevue Downtown</v>
      </c>
      <c r="X34" s="15">
        <f t="shared" ref="X34:X39" si="33">M34-B34</f>
        <v>3.189197432319864E-4</v>
      </c>
      <c r="Y34" s="15">
        <f t="shared" ref="Y34:AC38" si="34">N34-C34</f>
        <v>2.8265738724227536E-3</v>
      </c>
      <c r="Z34" s="15">
        <f t="shared" si="34"/>
        <v>-1.3472203769800285E-3</v>
      </c>
      <c r="AA34" s="15">
        <f t="shared" si="34"/>
        <v>2.1261316215465761E-5</v>
      </c>
      <c r="AB34" s="15">
        <f t="shared" si="34"/>
        <v>-1.8608760030869162E-3</v>
      </c>
      <c r="AC34" s="15">
        <f t="shared" si="34"/>
        <v>2.8348421620621012E-5</v>
      </c>
      <c r="AD34" s="15">
        <f t="shared" ref="AD34:AE39" si="35">S34-H34</f>
        <v>1.2993026576117964E-5</v>
      </c>
      <c r="AE34" s="15">
        <f t="shared" si="35"/>
        <v>0</v>
      </c>
      <c r="AF34" s="15">
        <f t="shared" si="28"/>
        <v>0</v>
      </c>
    </row>
    <row r="35" spans="1:32" x14ac:dyDescent="0.25">
      <c r="A35" t="str">
        <f>$A$9</f>
        <v>Kirkland</v>
      </c>
      <c r="B35" s="15">
        <f t="shared" si="29"/>
        <v>0</v>
      </c>
      <c r="C35" s="15">
        <f t="shared" si="29"/>
        <v>0</v>
      </c>
      <c r="D35" s="15">
        <f t="shared" si="29"/>
        <v>1.7243102856880604E-2</v>
      </c>
      <c r="E35" s="15">
        <f t="shared" si="29"/>
        <v>0</v>
      </c>
      <c r="F35" s="15">
        <f t="shared" si="29"/>
        <v>1.5244273436032494E-2</v>
      </c>
      <c r="G35" s="15">
        <f t="shared" si="29"/>
        <v>6.1822331660823489E-3</v>
      </c>
      <c r="H35" s="15">
        <f t="shared" si="30"/>
        <v>0</v>
      </c>
      <c r="I35" s="11"/>
      <c r="J35" s="15">
        <f t="shared" si="23"/>
        <v>3.8669609458995446E-2</v>
      </c>
      <c r="K35" s="12"/>
      <c r="L35" t="str">
        <f>$A$9</f>
        <v>Kirkland</v>
      </c>
      <c r="M35" s="15">
        <f t="shared" si="31"/>
        <v>1.9619470129938125E-3</v>
      </c>
      <c r="N35" s="15">
        <f t="shared" si="31"/>
        <v>2.4545008386521027E-3</v>
      </c>
      <c r="O35" s="15">
        <f t="shared" si="31"/>
        <v>2.1984200966791597E-2</v>
      </c>
      <c r="P35" s="15">
        <f t="shared" si="31"/>
        <v>3.5116607282544279E-3</v>
      </c>
      <c r="Q35" s="15">
        <f t="shared" si="31"/>
        <v>3.5305596760015086E-3</v>
      </c>
      <c r="R35" s="15">
        <f t="shared" si="31"/>
        <v>2.1603859643381596E-3</v>
      </c>
      <c r="S35" s="15">
        <f t="shared" ref="S35" si="36">S22/$U$28</f>
        <v>3.0663542719638398E-3</v>
      </c>
      <c r="T35" s="15"/>
      <c r="U35" s="15">
        <f t="shared" si="26"/>
        <v>3.8669609458995446E-2</v>
      </c>
      <c r="W35" t="str">
        <f>$A$9</f>
        <v>Kirkland</v>
      </c>
      <c r="X35" s="15">
        <f t="shared" si="33"/>
        <v>1.9619470129938125E-3</v>
      </c>
      <c r="Y35" s="15">
        <f t="shared" si="34"/>
        <v>2.4545008386521027E-3</v>
      </c>
      <c r="Z35" s="15">
        <f t="shared" si="34"/>
        <v>4.7410981099109926E-3</v>
      </c>
      <c r="AA35" s="15">
        <f t="shared" si="34"/>
        <v>3.5116607282544279E-3</v>
      </c>
      <c r="AB35" s="15">
        <f t="shared" si="34"/>
        <v>-1.1713713760030985E-2</v>
      </c>
      <c r="AC35" s="15">
        <f t="shared" si="34"/>
        <v>-4.0218472017441893E-3</v>
      </c>
      <c r="AD35" s="15">
        <f t="shared" si="35"/>
        <v>3.0663542719638398E-3</v>
      </c>
      <c r="AE35" s="15">
        <f t="shared" si="35"/>
        <v>0</v>
      </c>
      <c r="AF35" s="15">
        <f t="shared" si="28"/>
        <v>0</v>
      </c>
    </row>
    <row r="36" spans="1:32" x14ac:dyDescent="0.25">
      <c r="A36" t="str">
        <f>$A$10</f>
        <v>Redmond</v>
      </c>
      <c r="B36" s="15">
        <f t="shared" si="29"/>
        <v>3.2791269775057272E-3</v>
      </c>
      <c r="C36" s="15">
        <f t="shared" si="29"/>
        <v>0</v>
      </c>
      <c r="D36" s="15">
        <f t="shared" si="29"/>
        <v>1.2074217317839055E-2</v>
      </c>
      <c r="E36" s="15">
        <f t="shared" si="29"/>
        <v>1.3784245082215865E-2</v>
      </c>
      <c r="F36" s="15">
        <f t="shared" si="29"/>
        <v>0</v>
      </c>
      <c r="G36" s="15">
        <f t="shared" si="29"/>
        <v>0</v>
      </c>
      <c r="H36" s="15">
        <f t="shared" si="30"/>
        <v>1.9145629551270962E-3</v>
      </c>
      <c r="I36" s="11"/>
      <c r="J36" s="15">
        <f t="shared" si="23"/>
        <v>3.1052152332687741E-2</v>
      </c>
      <c r="K36" s="12"/>
      <c r="L36" t="str">
        <f>$A$10</f>
        <v>Redmond</v>
      </c>
      <c r="M36" s="15">
        <f t="shared" si="31"/>
        <v>3.4502391480764156E-3</v>
      </c>
      <c r="N36" s="15">
        <f t="shared" si="31"/>
        <v>1.9584034602912349E-3</v>
      </c>
      <c r="O36" s="15">
        <f t="shared" si="31"/>
        <v>4.8546672025313485E-3</v>
      </c>
      <c r="P36" s="15">
        <f t="shared" si="31"/>
        <v>1.551367373188485E-2</v>
      </c>
      <c r="Q36" s="15">
        <f t="shared" si="31"/>
        <v>1.7032676657056458E-3</v>
      </c>
      <c r="R36" s="15">
        <f t="shared" si="31"/>
        <v>1.5792433211154289E-3</v>
      </c>
      <c r="S36" s="15">
        <f t="shared" ref="S36" si="37">S23/$U$28</f>
        <v>1.9926578030828187E-3</v>
      </c>
      <c r="T36" s="15"/>
      <c r="U36" s="15">
        <f t="shared" si="26"/>
        <v>3.1052152332687741E-2</v>
      </c>
      <c r="W36" t="str">
        <f>$A$10</f>
        <v>Redmond</v>
      </c>
      <c r="X36" s="15">
        <f t="shared" si="33"/>
        <v>1.7111217057068839E-4</v>
      </c>
      <c r="Y36" s="15">
        <f t="shared" si="34"/>
        <v>1.9584034602912349E-3</v>
      </c>
      <c r="Z36" s="15">
        <f t="shared" si="34"/>
        <v>-7.2195501153077069E-3</v>
      </c>
      <c r="AA36" s="15">
        <f t="shared" si="34"/>
        <v>1.7294286496689851E-3</v>
      </c>
      <c r="AB36" s="15">
        <f t="shared" si="34"/>
        <v>1.7032676657056458E-3</v>
      </c>
      <c r="AC36" s="15">
        <f t="shared" si="34"/>
        <v>1.5792433211154289E-3</v>
      </c>
      <c r="AD36" s="15">
        <f t="shared" si="35"/>
        <v>7.8094847955722472E-5</v>
      </c>
      <c r="AE36" s="15">
        <f t="shared" si="35"/>
        <v>0</v>
      </c>
      <c r="AF36" s="15">
        <f t="shared" si="28"/>
        <v>0</v>
      </c>
    </row>
    <row r="37" spans="1:32" x14ac:dyDescent="0.25">
      <c r="A37" t="str">
        <f>$A$11</f>
        <v>Seattle</v>
      </c>
      <c r="B37" s="15">
        <f t="shared" si="29"/>
        <v>5.6120780616044361E-4</v>
      </c>
      <c r="C37" s="15">
        <f t="shared" si="29"/>
        <v>6.3441380530519361E-3</v>
      </c>
      <c r="D37" s="15">
        <f t="shared" si="29"/>
        <v>4.6148458123236313E-3</v>
      </c>
      <c r="E37" s="15">
        <f t="shared" si="29"/>
        <v>0</v>
      </c>
      <c r="F37" s="15">
        <f t="shared" si="29"/>
        <v>0.13362534642129417</v>
      </c>
      <c r="G37" s="15">
        <f t="shared" si="29"/>
        <v>1.5526346820638526E-2</v>
      </c>
      <c r="H37" s="15">
        <f t="shared" si="30"/>
        <v>1.7636562491226228E-2</v>
      </c>
      <c r="I37" s="11"/>
      <c r="J37" s="15">
        <f t="shared" si="23"/>
        <v>0.17830844740469495</v>
      </c>
      <c r="K37" s="12"/>
      <c r="L37" t="str">
        <f>$A$11</f>
        <v>Seattle</v>
      </c>
      <c r="M37" s="15">
        <f t="shared" si="31"/>
        <v>1.756109253416867E-3</v>
      </c>
      <c r="N37" s="15">
        <f t="shared" si="31"/>
        <v>1.7276686739509648E-3</v>
      </c>
      <c r="O37" s="15">
        <f t="shared" si="31"/>
        <v>2.4073690106665734E-3</v>
      </c>
      <c r="P37" s="15">
        <f t="shared" si="31"/>
        <v>9.5345896310250835E-4</v>
      </c>
      <c r="Q37" s="15">
        <f t="shared" si="31"/>
        <v>0.12325826663207072</v>
      </c>
      <c r="R37" s="15">
        <f t="shared" si="31"/>
        <v>3.7045461521911301E-2</v>
      </c>
      <c r="S37" s="15">
        <f t="shared" ref="S37" si="38">S24/$U$28</f>
        <v>1.116011334957602E-2</v>
      </c>
      <c r="T37" s="15"/>
      <c r="U37" s="15">
        <f t="shared" si="26"/>
        <v>0.17830844740469495</v>
      </c>
      <c r="W37" t="str">
        <f>$A$11</f>
        <v>Seattle</v>
      </c>
      <c r="X37" s="15">
        <f t="shared" si="33"/>
        <v>1.1949014472564233E-3</v>
      </c>
      <c r="Y37" s="15">
        <f t="shared" si="34"/>
        <v>-4.6164693791009709E-3</v>
      </c>
      <c r="Z37" s="15">
        <f t="shared" si="34"/>
        <v>-2.2074768016570579E-3</v>
      </c>
      <c r="AA37" s="15">
        <f t="shared" si="34"/>
        <v>9.5345896310250835E-4</v>
      </c>
      <c r="AB37" s="15">
        <f t="shared" si="34"/>
        <v>-1.0367079789223452E-2</v>
      </c>
      <c r="AC37" s="15">
        <f t="shared" si="34"/>
        <v>2.1519114701272775E-2</v>
      </c>
      <c r="AD37" s="15">
        <f t="shared" si="35"/>
        <v>-6.4764491416502076E-3</v>
      </c>
      <c r="AE37" s="15">
        <f t="shared" si="35"/>
        <v>0</v>
      </c>
      <c r="AF37" s="15">
        <f t="shared" si="28"/>
        <v>0</v>
      </c>
    </row>
    <row r="38" spans="1:32" x14ac:dyDescent="0.25">
      <c r="A38" t="str">
        <f>$A$12</f>
        <v>Seattle Downtown</v>
      </c>
      <c r="B38" s="15">
        <f t="shared" si="29"/>
        <v>0</v>
      </c>
      <c r="C38" s="15">
        <f t="shared" si="29"/>
        <v>0</v>
      </c>
      <c r="D38" s="15">
        <f t="shared" si="29"/>
        <v>3.1151066201457248E-4</v>
      </c>
      <c r="E38" s="15">
        <f t="shared" si="29"/>
        <v>0</v>
      </c>
      <c r="F38" s="15">
        <f t="shared" si="29"/>
        <v>4.6341855946495794E-3</v>
      </c>
      <c r="G38" s="15">
        <f t="shared" si="29"/>
        <v>1.2299145005222833E-2</v>
      </c>
      <c r="H38" s="15">
        <f t="shared" si="30"/>
        <v>0</v>
      </c>
      <c r="I38" s="11"/>
      <c r="J38" s="15">
        <f t="shared" si="23"/>
        <v>1.7244841261886985E-2</v>
      </c>
      <c r="K38" s="12"/>
      <c r="L38" t="str">
        <f>$A$12</f>
        <v>Seattle Downtown</v>
      </c>
      <c r="M38" s="15">
        <f t="shared" si="31"/>
        <v>9.416433755101372E-6</v>
      </c>
      <c r="N38" s="15">
        <f t="shared" si="31"/>
        <v>1.8892905883990161E-5</v>
      </c>
      <c r="O38" s="15">
        <f t="shared" si="31"/>
        <v>1.8891232023961983E-5</v>
      </c>
      <c r="P38" s="15">
        <f t="shared" si="31"/>
        <v>0</v>
      </c>
      <c r="Q38" s="15">
        <f t="shared" si="31"/>
        <v>6.3993262869725437E-4</v>
      </c>
      <c r="R38" s="15">
        <f t="shared" si="31"/>
        <v>1.6491645535852101E-2</v>
      </c>
      <c r="S38" s="15">
        <f t="shared" ref="S38" si="39">S25/$U$28</f>
        <v>6.6062525674579826E-5</v>
      </c>
      <c r="T38" s="15"/>
      <c r="U38" s="15">
        <f t="shared" si="26"/>
        <v>1.7244841261886988E-2</v>
      </c>
      <c r="W38" t="str">
        <f>$A$12</f>
        <v>Seattle Downtown</v>
      </c>
      <c r="X38" s="15">
        <f t="shared" si="33"/>
        <v>9.416433755101372E-6</v>
      </c>
      <c r="Y38" s="15">
        <f t="shared" si="34"/>
        <v>1.8892905883990161E-5</v>
      </c>
      <c r="Z38" s="15">
        <f t="shared" si="34"/>
        <v>-2.9261942999061049E-4</v>
      </c>
      <c r="AA38" s="15">
        <f t="shared" si="34"/>
        <v>0</v>
      </c>
      <c r="AB38" s="15">
        <f t="shared" si="34"/>
        <v>-3.9942529659523253E-3</v>
      </c>
      <c r="AC38" s="15">
        <f t="shared" si="34"/>
        <v>4.192500530629268E-3</v>
      </c>
      <c r="AD38" s="15">
        <f t="shared" si="35"/>
        <v>6.6062525674579826E-5</v>
      </c>
      <c r="AE38" s="15">
        <f t="shared" si="35"/>
        <v>0</v>
      </c>
      <c r="AF38" s="15">
        <f t="shared" si="28"/>
        <v>0</v>
      </c>
    </row>
    <row r="39" spans="1:32" x14ac:dyDescent="0.25">
      <c r="A39" t="str">
        <f>$A$13</f>
        <v>Rest</v>
      </c>
      <c r="B39" s="15">
        <f t="shared" si="29"/>
        <v>1.0786963502659593E-3</v>
      </c>
      <c r="C39" s="15">
        <f t="shared" si="29"/>
        <v>5.2315495612906531E-4</v>
      </c>
      <c r="D39" s="15">
        <f t="shared" si="29"/>
        <v>0</v>
      </c>
      <c r="E39" s="15">
        <f t="shared" si="29"/>
        <v>0</v>
      </c>
      <c r="F39" s="15">
        <f t="shared" si="29"/>
        <v>1.2699734566862185E-2</v>
      </c>
      <c r="G39" s="15">
        <f t="shared" si="29"/>
        <v>1.7690402370698289E-2</v>
      </c>
      <c r="H39" s="15">
        <f t="shared" si="30"/>
        <v>0.65217237015316754</v>
      </c>
      <c r="I39" s="11"/>
      <c r="J39" s="15">
        <f t="shared" si="23"/>
        <v>0.68416435839712308</v>
      </c>
      <c r="K39" s="12"/>
      <c r="L39" t="str">
        <f>A39</f>
        <v>Rest</v>
      </c>
      <c r="M39" s="15">
        <f t="shared" si="31"/>
        <v>1.2658979780343785E-2</v>
      </c>
      <c r="N39" s="15">
        <f t="shared" si="31"/>
        <v>1.060940159520689E-2</v>
      </c>
      <c r="O39" s="15">
        <f t="shared" si="31"/>
        <v>1.2273504565421015E-2</v>
      </c>
      <c r="P39" s="15">
        <f t="shared" si="31"/>
        <v>1.0526356737199654E-2</v>
      </c>
      <c r="Q39" s="15">
        <f t="shared" si="31"/>
        <v>3.3808371359296062E-2</v>
      </c>
      <c r="R39" s="15">
        <f t="shared" si="31"/>
        <v>2.8934670330033482E-2</v>
      </c>
      <c r="S39" s="15">
        <f t="shared" ref="S39" si="40">S26/$U$28</f>
        <v>0.5753530740296221</v>
      </c>
      <c r="T39" s="15"/>
      <c r="U39" s="15">
        <f t="shared" si="26"/>
        <v>0.68416435839712308</v>
      </c>
      <c r="W39" t="str">
        <f>$A$13</f>
        <v>Rest</v>
      </c>
      <c r="X39" s="15">
        <f t="shared" si="33"/>
        <v>1.1580283430077826E-2</v>
      </c>
      <c r="Y39" s="15">
        <f t="shared" ref="Y39" si="41">N39-C39</f>
        <v>1.0086246639077825E-2</v>
      </c>
      <c r="Z39" s="15">
        <f t="shared" ref="Z39" si="42">O39-D39</f>
        <v>1.2273504565421015E-2</v>
      </c>
      <c r="AA39" s="15">
        <f t="shared" ref="AA39" si="43">P39-E39</f>
        <v>1.0526356737199654E-2</v>
      </c>
      <c r="AB39" s="15">
        <f t="shared" ref="AB39" si="44">Q39-F39</f>
        <v>2.1108636792433876E-2</v>
      </c>
      <c r="AC39" s="15">
        <f t="shared" ref="AC39" si="45">R39-G39</f>
        <v>1.1244267959335193E-2</v>
      </c>
      <c r="AD39" s="15">
        <f t="shared" si="35"/>
        <v>-7.6819296123545433E-2</v>
      </c>
      <c r="AE39" s="15">
        <f t="shared" si="35"/>
        <v>0</v>
      </c>
      <c r="AF39" s="15">
        <f t="shared" si="28"/>
        <v>0</v>
      </c>
    </row>
    <row r="40" spans="1:32" x14ac:dyDescent="0.25">
      <c r="A40" s="7" t="s">
        <v>13</v>
      </c>
      <c r="B40" s="13"/>
      <c r="C40" s="13"/>
      <c r="D40" s="13"/>
      <c r="E40" s="13"/>
      <c r="F40" s="13"/>
      <c r="G40" s="13"/>
      <c r="H40" s="13"/>
      <c r="I40" s="13"/>
      <c r="J40" s="16"/>
      <c r="K40" s="11"/>
      <c r="L40" s="201" t="s">
        <v>13</v>
      </c>
      <c r="M40" s="16"/>
      <c r="N40" s="16"/>
      <c r="O40" s="16"/>
      <c r="P40" s="16"/>
      <c r="Q40" s="16"/>
      <c r="R40" s="16"/>
      <c r="S40" s="16"/>
      <c r="T40" s="16"/>
      <c r="U40" s="16"/>
      <c r="W40" s="201" t="s">
        <v>13</v>
      </c>
      <c r="X40" s="16"/>
      <c r="Y40" s="16"/>
      <c r="Z40" s="16"/>
      <c r="AA40" s="16"/>
      <c r="AB40" s="16"/>
      <c r="AC40" s="16"/>
      <c r="AD40" s="16"/>
      <c r="AE40" s="16"/>
      <c r="AF40" s="16"/>
    </row>
    <row r="41" spans="1:32" ht="15.75" thickBot="1" x14ac:dyDescent="0.3">
      <c r="A41" s="1" t="s">
        <v>4</v>
      </c>
      <c r="B41" s="17">
        <f t="shared" ref="B41:J41" si="46">B28/$J$28</f>
        <v>2.0286724745644268E-2</v>
      </c>
      <c r="C41" s="17">
        <f t="shared" si="46"/>
        <v>2.2964527329722543E-2</v>
      </c>
      <c r="D41" s="17">
        <f t="shared" si="46"/>
        <v>3.659747366845905E-2</v>
      </c>
      <c r="E41" s="17">
        <f t="shared" si="46"/>
        <v>1.9950525097950693E-2</v>
      </c>
      <c r="F41" s="17">
        <f t="shared" si="46"/>
        <v>0.17375336879565581</v>
      </c>
      <c r="G41" s="17">
        <f t="shared" si="46"/>
        <v>5.1698127362642003E-2</v>
      </c>
      <c r="H41" s="17">
        <f t="shared" si="46"/>
        <v>0.67474925299992561</v>
      </c>
      <c r="I41" s="17">
        <f t="shared" si="46"/>
        <v>0</v>
      </c>
      <c r="J41" s="17">
        <f t="shared" si="46"/>
        <v>1</v>
      </c>
      <c r="K41" s="11"/>
      <c r="L41" s="14" t="s">
        <v>4</v>
      </c>
      <c r="M41" s="17">
        <f>M28/$U$28</f>
        <v>3.9587273208519486E-2</v>
      </c>
      <c r="N41" s="17">
        <f>N28/$U$28</f>
        <v>3.1484060663555878E-2</v>
      </c>
      <c r="O41" s="17">
        <f>O28/$U$28</f>
        <v>4.3906907366990544E-2</v>
      </c>
      <c r="P41" s="17">
        <f>P28/$U$28</f>
        <v>3.5036172882804036E-2</v>
      </c>
      <c r="Q41" s="17">
        <f t="shared" ref="Q41:S41" si="47">Q28/$U$28</f>
        <v>0.16588154670491065</v>
      </c>
      <c r="R41" s="17">
        <f t="shared" si="47"/>
        <v>8.970653082222621E-2</v>
      </c>
      <c r="S41" s="17">
        <f t="shared" si="47"/>
        <v>0.59439750835099314</v>
      </c>
      <c r="T41" s="17">
        <f>T28/$U$28</f>
        <v>0</v>
      </c>
      <c r="U41" s="17">
        <f>U28/$U$28</f>
        <v>1</v>
      </c>
      <c r="W41" s="14" t="s">
        <v>4</v>
      </c>
      <c r="X41" s="17">
        <f t="shared" ref="X41:AF41" si="48">M41-B41</f>
        <v>1.9300548462875218E-2</v>
      </c>
      <c r="Y41" s="17">
        <f t="shared" si="48"/>
        <v>8.5195333338333352E-3</v>
      </c>
      <c r="Z41" s="17">
        <f t="shared" si="48"/>
        <v>7.3094336985314937E-3</v>
      </c>
      <c r="AA41" s="17">
        <f t="shared" si="48"/>
        <v>1.5085647784853343E-2</v>
      </c>
      <c r="AB41" s="17">
        <f t="shared" si="48"/>
        <v>-7.8718220907451619E-3</v>
      </c>
      <c r="AC41" s="17">
        <f t="shared" si="48"/>
        <v>3.8008403459584207E-2</v>
      </c>
      <c r="AD41" s="17">
        <f t="shared" si="48"/>
        <v>-8.0351744648932466E-2</v>
      </c>
      <c r="AE41" s="17">
        <f t="shared" si="48"/>
        <v>0</v>
      </c>
      <c r="AF41" s="17">
        <f t="shared" si="48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4"/>
  <sheetViews>
    <sheetView workbookViewId="0">
      <selection activeCell="D49" sqref="D49"/>
    </sheetView>
  </sheetViews>
  <sheetFormatPr defaultRowHeight="15" x14ac:dyDescent="0.25"/>
  <cols>
    <col min="2" max="2" width="10.7109375" customWidth="1" collapsed="1"/>
    <col min="3" max="3" width="13.7109375" customWidth="1" collapsed="1"/>
  </cols>
  <sheetData>
    <row r="1" spans="1:4" x14ac:dyDescent="0.25">
      <c r="A1" s="203" t="s">
        <v>221</v>
      </c>
    </row>
    <row r="2" spans="1:4" x14ac:dyDescent="0.25">
      <c r="A2" t="s">
        <v>264</v>
      </c>
      <c r="B2" t="s">
        <v>265</v>
      </c>
      <c r="C2" t="s">
        <v>224</v>
      </c>
      <c r="D2" t="s">
        <v>266</v>
      </c>
    </row>
    <row r="3" spans="1:4" x14ac:dyDescent="0.25">
      <c r="A3">
        <v>1</v>
      </c>
      <c r="B3" t="s">
        <v>40</v>
      </c>
      <c r="C3" t="s">
        <v>267</v>
      </c>
      <c r="D3" t="s">
        <v>146</v>
      </c>
    </row>
    <row r="4" spans="1:4" x14ac:dyDescent="0.25">
      <c r="A4">
        <v>2</v>
      </c>
      <c r="B4" t="s">
        <v>41</v>
      </c>
      <c r="C4" t="s">
        <v>267</v>
      </c>
      <c r="D4" t="s">
        <v>147</v>
      </c>
    </row>
    <row r="5" spans="1:4" x14ac:dyDescent="0.25">
      <c r="A5">
        <v>3</v>
      </c>
      <c r="B5" t="s">
        <v>42</v>
      </c>
      <c r="C5" t="s">
        <v>267</v>
      </c>
      <c r="D5" t="s">
        <v>148</v>
      </c>
    </row>
    <row r="6" spans="1:4" x14ac:dyDescent="0.25">
      <c r="A6">
        <v>4</v>
      </c>
      <c r="B6" t="s">
        <v>43</v>
      </c>
      <c r="C6" t="s">
        <v>267</v>
      </c>
      <c r="D6" t="s">
        <v>149</v>
      </c>
    </row>
    <row r="7" spans="1:4" x14ac:dyDescent="0.25">
      <c r="A7">
        <v>5</v>
      </c>
      <c r="B7" t="s">
        <v>44</v>
      </c>
      <c r="C7" t="s">
        <v>267</v>
      </c>
      <c r="D7" t="s">
        <v>150</v>
      </c>
    </row>
    <row r="8" spans="1:4" x14ac:dyDescent="0.25">
      <c r="A8">
        <v>6</v>
      </c>
      <c r="B8" t="s">
        <v>45</v>
      </c>
      <c r="C8" t="s">
        <v>267</v>
      </c>
      <c r="D8" t="s">
        <v>151</v>
      </c>
    </row>
    <row r="9" spans="1:4" x14ac:dyDescent="0.25">
      <c r="A9">
        <v>7</v>
      </c>
      <c r="B9" t="s">
        <v>46</v>
      </c>
      <c r="C9" t="s">
        <v>267</v>
      </c>
      <c r="D9" t="s">
        <v>152</v>
      </c>
    </row>
    <row r="10" spans="1:4" x14ac:dyDescent="0.25">
      <c r="A10">
        <v>8</v>
      </c>
      <c r="B10" t="s">
        <v>47</v>
      </c>
      <c r="C10" t="s">
        <v>267</v>
      </c>
      <c r="D10" t="s">
        <v>153</v>
      </c>
    </row>
    <row r="11" spans="1:4" x14ac:dyDescent="0.25">
      <c r="A11">
        <v>9</v>
      </c>
      <c r="B11" t="s">
        <v>48</v>
      </c>
      <c r="C11" t="s">
        <v>267</v>
      </c>
      <c r="D11" t="s">
        <v>154</v>
      </c>
    </row>
    <row r="12" spans="1:4" x14ac:dyDescent="0.25">
      <c r="A12">
        <v>10</v>
      </c>
      <c r="B12" t="s">
        <v>49</v>
      </c>
      <c r="C12" t="s">
        <v>267</v>
      </c>
      <c r="D12" t="s">
        <v>155</v>
      </c>
    </row>
    <row r="13" spans="1:4" x14ac:dyDescent="0.25">
      <c r="A13">
        <v>11</v>
      </c>
      <c r="B13" t="s">
        <v>50</v>
      </c>
      <c r="C13" t="s">
        <v>267</v>
      </c>
      <c r="D13" t="s">
        <v>156</v>
      </c>
    </row>
    <row r="14" spans="1:4" x14ac:dyDescent="0.25">
      <c r="A14">
        <v>12</v>
      </c>
      <c r="B14" t="s">
        <v>51</v>
      </c>
      <c r="C14" t="s">
        <v>267</v>
      </c>
      <c r="D14" t="s">
        <v>157</v>
      </c>
    </row>
    <row r="15" spans="1:4" x14ac:dyDescent="0.25">
      <c r="A15">
        <v>13</v>
      </c>
      <c r="B15" t="s">
        <v>52</v>
      </c>
      <c r="C15" t="s">
        <v>267</v>
      </c>
      <c r="D15" t="s">
        <v>158</v>
      </c>
    </row>
    <row r="16" spans="1:4" x14ac:dyDescent="0.25">
      <c r="A16">
        <v>14</v>
      </c>
      <c r="B16" t="s">
        <v>53</v>
      </c>
      <c r="C16" t="s">
        <v>267</v>
      </c>
      <c r="D16" t="s">
        <v>159</v>
      </c>
    </row>
    <row r="17" spans="1:4" x14ac:dyDescent="0.25">
      <c r="A17">
        <v>15</v>
      </c>
      <c r="B17" t="s">
        <v>54</v>
      </c>
      <c r="C17" t="s">
        <v>267</v>
      </c>
      <c r="D17" t="s">
        <v>160</v>
      </c>
    </row>
    <row r="18" spans="1:4" x14ac:dyDescent="0.25">
      <c r="A18">
        <v>16</v>
      </c>
      <c r="B18" t="s">
        <v>55</v>
      </c>
      <c r="C18" t="s">
        <v>267</v>
      </c>
      <c r="D18" t="s">
        <v>161</v>
      </c>
    </row>
    <row r="19" spans="1:4" x14ac:dyDescent="0.25">
      <c r="A19">
        <v>17</v>
      </c>
      <c r="B19" t="s">
        <v>56</v>
      </c>
      <c r="C19" t="s">
        <v>267</v>
      </c>
      <c r="D19" t="s">
        <v>162</v>
      </c>
    </row>
    <row r="20" spans="1:4" x14ac:dyDescent="0.25">
      <c r="A20">
        <v>18</v>
      </c>
      <c r="B20" t="s">
        <v>57</v>
      </c>
      <c r="C20" t="s">
        <v>267</v>
      </c>
      <c r="D20" t="s">
        <v>163</v>
      </c>
    </row>
    <row r="21" spans="1:4" x14ac:dyDescent="0.25">
      <c r="A21">
        <v>19</v>
      </c>
      <c r="B21" t="s">
        <v>58</v>
      </c>
      <c r="C21" t="s">
        <v>267</v>
      </c>
      <c r="D21" t="s">
        <v>164</v>
      </c>
    </row>
    <row r="22" spans="1:4" x14ac:dyDescent="0.25">
      <c r="A22">
        <v>20</v>
      </c>
      <c r="B22" t="s">
        <v>59</v>
      </c>
      <c r="C22" t="s">
        <v>141</v>
      </c>
      <c r="D22" t="s">
        <v>165</v>
      </c>
    </row>
    <row r="23" spans="1:4" x14ac:dyDescent="0.25">
      <c r="A23">
        <v>21</v>
      </c>
      <c r="B23" t="s">
        <v>60</v>
      </c>
      <c r="C23" t="s">
        <v>141</v>
      </c>
      <c r="D23" t="s">
        <v>166</v>
      </c>
    </row>
    <row r="24" spans="1:4" x14ac:dyDescent="0.25">
      <c r="A24">
        <v>22</v>
      </c>
      <c r="B24" t="s">
        <v>61</v>
      </c>
      <c r="C24" t="s">
        <v>141</v>
      </c>
      <c r="D24" t="s">
        <v>167</v>
      </c>
    </row>
    <row r="25" spans="1:4" x14ac:dyDescent="0.25">
      <c r="A25">
        <v>23</v>
      </c>
      <c r="B25" t="s">
        <v>62</v>
      </c>
      <c r="C25" t="s">
        <v>141</v>
      </c>
      <c r="D25" t="s">
        <v>168</v>
      </c>
    </row>
    <row r="26" spans="1:4" x14ac:dyDescent="0.25">
      <c r="A26">
        <v>24</v>
      </c>
      <c r="B26" t="s">
        <v>63</v>
      </c>
      <c r="C26" t="s">
        <v>141</v>
      </c>
      <c r="D26" t="s">
        <v>169</v>
      </c>
    </row>
    <row r="27" spans="1:4" x14ac:dyDescent="0.25">
      <c r="A27">
        <v>25</v>
      </c>
      <c r="B27" t="s">
        <v>64</v>
      </c>
      <c r="C27" t="s">
        <v>141</v>
      </c>
      <c r="D27" t="s">
        <v>170</v>
      </c>
    </row>
    <row r="28" spans="1:4" x14ac:dyDescent="0.25">
      <c r="A28">
        <v>26</v>
      </c>
      <c r="B28" t="s">
        <v>65</v>
      </c>
      <c r="C28" t="s">
        <v>142</v>
      </c>
      <c r="D28" t="s">
        <v>165</v>
      </c>
    </row>
    <row r="29" spans="1:4" x14ac:dyDescent="0.25">
      <c r="A29">
        <v>27</v>
      </c>
      <c r="B29" t="s">
        <v>66</v>
      </c>
      <c r="C29" t="s">
        <v>142</v>
      </c>
      <c r="D29" t="s">
        <v>166</v>
      </c>
    </row>
    <row r="30" spans="1:4" x14ac:dyDescent="0.25">
      <c r="A30">
        <v>28</v>
      </c>
      <c r="B30" t="s">
        <v>67</v>
      </c>
      <c r="C30" t="s">
        <v>142</v>
      </c>
      <c r="D30" t="s">
        <v>167</v>
      </c>
    </row>
    <row r="31" spans="1:4" x14ac:dyDescent="0.25">
      <c r="A31">
        <v>29</v>
      </c>
      <c r="B31" t="s">
        <v>68</v>
      </c>
      <c r="C31" t="s">
        <v>142</v>
      </c>
      <c r="D31" t="s">
        <v>168</v>
      </c>
    </row>
    <row r="32" spans="1:4" x14ac:dyDescent="0.25">
      <c r="A32">
        <v>30</v>
      </c>
      <c r="B32" t="s">
        <v>69</v>
      </c>
      <c r="C32" t="s">
        <v>142</v>
      </c>
      <c r="D32" t="s">
        <v>188</v>
      </c>
    </row>
    <row r="33" spans="1:4" x14ac:dyDescent="0.25">
      <c r="A33">
        <v>31</v>
      </c>
      <c r="B33" t="s">
        <v>70</v>
      </c>
      <c r="C33" t="s">
        <v>142</v>
      </c>
      <c r="D33" t="s">
        <v>189</v>
      </c>
    </row>
    <row r="34" spans="1:4" x14ac:dyDescent="0.25">
      <c r="A34">
        <v>32</v>
      </c>
      <c r="B34" t="s">
        <v>71</v>
      </c>
      <c r="C34" t="s">
        <v>142</v>
      </c>
      <c r="D34" t="s">
        <v>190</v>
      </c>
    </row>
    <row r="35" spans="1:4" x14ac:dyDescent="0.25">
      <c r="A35">
        <v>33</v>
      </c>
      <c r="B35" t="s">
        <v>72</v>
      </c>
      <c r="C35" t="s">
        <v>142</v>
      </c>
      <c r="D35" t="s">
        <v>191</v>
      </c>
    </row>
    <row r="36" spans="1:4" x14ac:dyDescent="0.25">
      <c r="A36">
        <v>34</v>
      </c>
      <c r="B36" t="s">
        <v>73</v>
      </c>
      <c r="C36" t="s">
        <v>142</v>
      </c>
      <c r="D36" t="s">
        <v>192</v>
      </c>
    </row>
    <row r="37" spans="1:4" x14ac:dyDescent="0.25">
      <c r="A37">
        <v>35</v>
      </c>
      <c r="B37" t="s">
        <v>74</v>
      </c>
      <c r="C37" t="s">
        <v>142</v>
      </c>
      <c r="D37" t="s">
        <v>193</v>
      </c>
    </row>
    <row r="38" spans="1:4" x14ac:dyDescent="0.25">
      <c r="A38">
        <v>36</v>
      </c>
      <c r="B38" t="s">
        <v>75</v>
      </c>
      <c r="C38" t="s">
        <v>143</v>
      </c>
      <c r="D38" t="s">
        <v>165</v>
      </c>
    </row>
    <row r="39" spans="1:4" x14ac:dyDescent="0.25">
      <c r="A39">
        <v>37</v>
      </c>
      <c r="B39" t="s">
        <v>76</v>
      </c>
      <c r="C39" t="s">
        <v>143</v>
      </c>
      <c r="D39" t="s">
        <v>166</v>
      </c>
    </row>
    <row r="40" spans="1:4" x14ac:dyDescent="0.25">
      <c r="A40">
        <v>38</v>
      </c>
      <c r="B40" t="s">
        <v>77</v>
      </c>
      <c r="C40" t="s">
        <v>143</v>
      </c>
      <c r="D40" t="s">
        <v>167</v>
      </c>
    </row>
    <row r="41" spans="1:4" x14ac:dyDescent="0.25">
      <c r="A41">
        <v>39</v>
      </c>
      <c r="B41" t="s">
        <v>78</v>
      </c>
      <c r="C41" t="s">
        <v>143</v>
      </c>
      <c r="D41" t="s">
        <v>168</v>
      </c>
    </row>
    <row r="42" spans="1:4" x14ac:dyDescent="0.25">
      <c r="A42">
        <v>40</v>
      </c>
      <c r="B42" t="s">
        <v>79</v>
      </c>
      <c r="C42" t="s">
        <v>143</v>
      </c>
      <c r="D42" t="s">
        <v>188</v>
      </c>
    </row>
    <row r="43" spans="1:4" x14ac:dyDescent="0.25">
      <c r="A43">
        <v>41</v>
      </c>
      <c r="B43" t="s">
        <v>80</v>
      </c>
      <c r="C43" t="s">
        <v>143</v>
      </c>
      <c r="D43" t="s">
        <v>189</v>
      </c>
    </row>
    <row r="44" spans="1:4" x14ac:dyDescent="0.25">
      <c r="A44">
        <v>42</v>
      </c>
      <c r="B44" t="s">
        <v>81</v>
      </c>
      <c r="C44" t="s">
        <v>143</v>
      </c>
      <c r="D44" t="s">
        <v>203</v>
      </c>
    </row>
    <row r="45" spans="1:4" x14ac:dyDescent="0.25">
      <c r="A45">
        <v>43</v>
      </c>
      <c r="B45" t="s">
        <v>82</v>
      </c>
      <c r="C45" t="s">
        <v>144</v>
      </c>
      <c r="D45" t="s">
        <v>165</v>
      </c>
    </row>
    <row r="46" spans="1:4" x14ac:dyDescent="0.25">
      <c r="A46">
        <v>44</v>
      </c>
      <c r="B46" t="s">
        <v>83</v>
      </c>
      <c r="C46" t="s">
        <v>144</v>
      </c>
      <c r="D46" t="s">
        <v>208</v>
      </c>
    </row>
    <row r="47" spans="1:4" x14ac:dyDescent="0.25">
      <c r="A47">
        <v>45</v>
      </c>
      <c r="B47" t="s">
        <v>84</v>
      </c>
      <c r="C47" t="s">
        <v>144</v>
      </c>
      <c r="D47" t="s">
        <v>210</v>
      </c>
    </row>
    <row r="48" spans="1:4" x14ac:dyDescent="0.25">
      <c r="A48">
        <v>46</v>
      </c>
      <c r="B48" t="s">
        <v>85</v>
      </c>
      <c r="C48" t="s">
        <v>144</v>
      </c>
      <c r="D48" t="s">
        <v>211</v>
      </c>
    </row>
    <row r="49" spans="1:4" x14ac:dyDescent="0.25">
      <c r="A49">
        <v>47</v>
      </c>
      <c r="B49" t="s">
        <v>86</v>
      </c>
      <c r="C49" t="s">
        <v>144</v>
      </c>
      <c r="D49" t="s">
        <v>209</v>
      </c>
    </row>
    <row r="50" spans="1:4" x14ac:dyDescent="0.25">
      <c r="A50">
        <v>48</v>
      </c>
      <c r="B50" t="s">
        <v>87</v>
      </c>
      <c r="C50" t="s">
        <v>144</v>
      </c>
      <c r="D50" t="s">
        <v>204</v>
      </c>
    </row>
    <row r="51" spans="1:4" x14ac:dyDescent="0.25">
      <c r="A51">
        <v>49</v>
      </c>
      <c r="B51" t="s">
        <v>88</v>
      </c>
      <c r="C51" t="s">
        <v>145</v>
      </c>
      <c r="D51" t="s">
        <v>165</v>
      </c>
    </row>
    <row r="52" spans="1:4" x14ac:dyDescent="0.25">
      <c r="A52">
        <v>50</v>
      </c>
      <c r="B52" t="s">
        <v>89</v>
      </c>
      <c r="C52" t="s">
        <v>145</v>
      </c>
      <c r="D52" t="s">
        <v>166</v>
      </c>
    </row>
    <row r="53" spans="1:4" x14ac:dyDescent="0.25">
      <c r="A53">
        <v>51</v>
      </c>
      <c r="B53" t="s">
        <v>90</v>
      </c>
      <c r="C53" t="s">
        <v>145</v>
      </c>
      <c r="D53" t="s">
        <v>167</v>
      </c>
    </row>
    <row r="54" spans="1:4" x14ac:dyDescent="0.25">
      <c r="A54">
        <v>52</v>
      </c>
      <c r="B54" t="s">
        <v>91</v>
      </c>
      <c r="C54" t="s">
        <v>145</v>
      </c>
      <c r="D54" t="s">
        <v>168</v>
      </c>
    </row>
    <row r="55" spans="1:4" x14ac:dyDescent="0.25">
      <c r="A55">
        <v>53</v>
      </c>
      <c r="B55" t="s">
        <v>92</v>
      </c>
      <c r="C55" t="s">
        <v>145</v>
      </c>
      <c r="D55" t="s">
        <v>188</v>
      </c>
    </row>
    <row r="56" spans="1:4" x14ac:dyDescent="0.25">
      <c r="A56">
        <v>54</v>
      </c>
      <c r="B56" t="s">
        <v>93</v>
      </c>
      <c r="C56" t="s">
        <v>145</v>
      </c>
      <c r="D56" t="s">
        <v>205</v>
      </c>
    </row>
    <row r="57" spans="1:4" x14ac:dyDescent="0.25">
      <c r="A57">
        <v>55</v>
      </c>
      <c r="B57" t="s">
        <v>94</v>
      </c>
      <c r="C57" t="s">
        <v>145</v>
      </c>
      <c r="D57" t="s">
        <v>190</v>
      </c>
    </row>
    <row r="58" spans="1:4" x14ac:dyDescent="0.25">
      <c r="A58">
        <v>56</v>
      </c>
      <c r="B58" t="s">
        <v>95</v>
      </c>
      <c r="C58" t="s">
        <v>145</v>
      </c>
      <c r="D58" t="s">
        <v>192</v>
      </c>
    </row>
    <row r="59" spans="1:4" x14ac:dyDescent="0.25">
      <c r="A59">
        <v>57</v>
      </c>
      <c r="B59" t="s">
        <v>96</v>
      </c>
      <c r="C59" t="s">
        <v>145</v>
      </c>
      <c r="D59" t="s">
        <v>193</v>
      </c>
    </row>
    <row r="60" spans="1:4" x14ac:dyDescent="0.25">
      <c r="A60">
        <v>118</v>
      </c>
      <c r="B60" t="s">
        <v>268</v>
      </c>
    </row>
    <row r="61" spans="1:4" x14ac:dyDescent="0.25">
      <c r="A61">
        <v>70</v>
      </c>
      <c r="B61" t="s">
        <v>97</v>
      </c>
      <c r="C61" t="s">
        <v>141</v>
      </c>
    </row>
    <row r="62" spans="1:4" x14ac:dyDescent="0.25">
      <c r="A62">
        <v>71</v>
      </c>
      <c r="B62" t="s">
        <v>98</v>
      </c>
      <c r="C62" t="s">
        <v>141</v>
      </c>
      <c r="D62" t="s">
        <v>171</v>
      </c>
    </row>
    <row r="63" spans="1:4" x14ac:dyDescent="0.25">
      <c r="A63">
        <v>72</v>
      </c>
      <c r="B63" t="s">
        <v>99</v>
      </c>
      <c r="C63" t="s">
        <v>141</v>
      </c>
      <c r="D63" t="s">
        <v>172</v>
      </c>
    </row>
    <row r="64" spans="1:4" x14ac:dyDescent="0.25">
      <c r="A64">
        <v>73</v>
      </c>
      <c r="B64" t="s">
        <v>100</v>
      </c>
      <c r="C64" t="s">
        <v>141</v>
      </c>
      <c r="D64" t="s">
        <v>173</v>
      </c>
    </row>
    <row r="65" spans="1:4" x14ac:dyDescent="0.25">
      <c r="A65">
        <v>74</v>
      </c>
      <c r="B65" t="s">
        <v>101</v>
      </c>
      <c r="C65" t="s">
        <v>141</v>
      </c>
      <c r="D65" t="s">
        <v>174</v>
      </c>
    </row>
    <row r="66" spans="1:4" x14ac:dyDescent="0.25">
      <c r="A66">
        <v>75</v>
      </c>
      <c r="B66" t="s">
        <v>102</v>
      </c>
      <c r="C66" t="s">
        <v>141</v>
      </c>
      <c r="D66" t="s">
        <v>175</v>
      </c>
    </row>
    <row r="67" spans="1:4" x14ac:dyDescent="0.25">
      <c r="A67">
        <v>76</v>
      </c>
      <c r="B67" t="s">
        <v>103</v>
      </c>
      <c r="C67" t="s">
        <v>141</v>
      </c>
      <c r="D67" t="s">
        <v>176</v>
      </c>
    </row>
    <row r="68" spans="1:4" x14ac:dyDescent="0.25">
      <c r="A68">
        <v>77</v>
      </c>
      <c r="B68" t="s">
        <v>104</v>
      </c>
      <c r="C68" t="s">
        <v>141</v>
      </c>
      <c r="D68" t="s">
        <v>177</v>
      </c>
    </row>
    <row r="69" spans="1:4" x14ac:dyDescent="0.25">
      <c r="A69">
        <v>78</v>
      </c>
      <c r="B69" t="s">
        <v>105</v>
      </c>
      <c r="C69" t="s">
        <v>141</v>
      </c>
      <c r="D69" t="s">
        <v>178</v>
      </c>
    </row>
    <row r="70" spans="1:4" x14ac:dyDescent="0.25">
      <c r="A70">
        <v>79</v>
      </c>
      <c r="B70" t="s">
        <v>106</v>
      </c>
      <c r="C70" t="s">
        <v>141</v>
      </c>
      <c r="D70" t="s">
        <v>179</v>
      </c>
    </row>
    <row r="71" spans="1:4" x14ac:dyDescent="0.25">
      <c r="A71">
        <v>80</v>
      </c>
      <c r="B71" t="s">
        <v>107</v>
      </c>
      <c r="C71" t="s">
        <v>141</v>
      </c>
      <c r="D71" t="s">
        <v>180</v>
      </c>
    </row>
    <row r="72" spans="1:4" x14ac:dyDescent="0.25">
      <c r="A72">
        <v>81</v>
      </c>
      <c r="B72" t="s">
        <v>108</v>
      </c>
      <c r="C72" t="s">
        <v>141</v>
      </c>
      <c r="D72" t="s">
        <v>181</v>
      </c>
    </row>
    <row r="73" spans="1:4" x14ac:dyDescent="0.25">
      <c r="A73">
        <v>82</v>
      </c>
      <c r="B73" t="s">
        <v>109</v>
      </c>
      <c r="C73" t="s">
        <v>141</v>
      </c>
      <c r="D73" t="s">
        <v>181</v>
      </c>
    </row>
    <row r="74" spans="1:4" x14ac:dyDescent="0.25">
      <c r="A74">
        <v>83</v>
      </c>
      <c r="B74" t="s">
        <v>110</v>
      </c>
      <c r="C74" t="s">
        <v>141</v>
      </c>
      <c r="D74" t="s">
        <v>182</v>
      </c>
    </row>
    <row r="75" spans="1:4" x14ac:dyDescent="0.25">
      <c r="A75">
        <v>84</v>
      </c>
      <c r="B75" t="s">
        <v>111</v>
      </c>
      <c r="C75" t="s">
        <v>141</v>
      </c>
      <c r="D75" t="s">
        <v>183</v>
      </c>
    </row>
    <row r="76" spans="1:4" x14ac:dyDescent="0.25">
      <c r="A76">
        <v>85</v>
      </c>
      <c r="B76" t="s">
        <v>112</v>
      </c>
      <c r="C76" t="s">
        <v>141</v>
      </c>
      <c r="D76" t="s">
        <v>184</v>
      </c>
    </row>
    <row r="77" spans="1:4" x14ac:dyDescent="0.25">
      <c r="A77">
        <v>86</v>
      </c>
      <c r="B77" t="s">
        <v>113</v>
      </c>
      <c r="C77" t="s">
        <v>141</v>
      </c>
      <c r="D77" t="s">
        <v>185</v>
      </c>
    </row>
    <row r="78" spans="1:4" x14ac:dyDescent="0.25">
      <c r="A78">
        <v>87</v>
      </c>
      <c r="B78" t="s">
        <v>114</v>
      </c>
      <c r="C78" t="s">
        <v>141</v>
      </c>
      <c r="D78" t="s">
        <v>186</v>
      </c>
    </row>
    <row r="79" spans="1:4" x14ac:dyDescent="0.25">
      <c r="A79">
        <v>88</v>
      </c>
      <c r="B79" t="s">
        <v>115</v>
      </c>
      <c r="C79" t="s">
        <v>141</v>
      </c>
      <c r="D79" t="s">
        <v>187</v>
      </c>
    </row>
    <row r="80" spans="1:4" x14ac:dyDescent="0.25">
      <c r="A80">
        <v>89</v>
      </c>
      <c r="B80" t="s">
        <v>116</v>
      </c>
      <c r="C80" t="s">
        <v>142</v>
      </c>
      <c r="D80" t="s">
        <v>194</v>
      </c>
    </row>
    <row r="81" spans="1:4" x14ac:dyDescent="0.25">
      <c r="A81">
        <v>90</v>
      </c>
      <c r="B81" t="s">
        <v>117</v>
      </c>
      <c r="C81" t="s">
        <v>142</v>
      </c>
      <c r="D81" t="s">
        <v>195</v>
      </c>
    </row>
    <row r="82" spans="1:4" x14ac:dyDescent="0.25">
      <c r="A82">
        <v>91</v>
      </c>
      <c r="B82" t="s">
        <v>118</v>
      </c>
      <c r="C82" t="s">
        <v>142</v>
      </c>
      <c r="D82" t="s">
        <v>196</v>
      </c>
    </row>
    <row r="83" spans="1:4" x14ac:dyDescent="0.25">
      <c r="A83">
        <v>92</v>
      </c>
      <c r="B83" t="s">
        <v>119</v>
      </c>
      <c r="C83" t="s">
        <v>142</v>
      </c>
      <c r="D83" t="s">
        <v>197</v>
      </c>
    </row>
    <row r="84" spans="1:4" x14ac:dyDescent="0.25">
      <c r="A84">
        <v>93</v>
      </c>
      <c r="B84" t="s">
        <v>120</v>
      </c>
      <c r="C84" t="s">
        <v>142</v>
      </c>
      <c r="D84" t="s">
        <v>198</v>
      </c>
    </row>
    <row r="85" spans="1:4" x14ac:dyDescent="0.25">
      <c r="A85">
        <v>94</v>
      </c>
      <c r="B85" t="s">
        <v>121</v>
      </c>
      <c r="C85" t="s">
        <v>142</v>
      </c>
      <c r="D85" t="s">
        <v>199</v>
      </c>
    </row>
    <row r="86" spans="1:4" x14ac:dyDescent="0.25">
      <c r="A86">
        <v>95</v>
      </c>
      <c r="B86" t="s">
        <v>122</v>
      </c>
      <c r="C86" t="s">
        <v>142</v>
      </c>
      <c r="D86" t="s">
        <v>200</v>
      </c>
    </row>
    <row r="87" spans="1:4" x14ac:dyDescent="0.25">
      <c r="A87">
        <v>96</v>
      </c>
      <c r="B87" t="s">
        <v>123</v>
      </c>
      <c r="C87" t="s">
        <v>142</v>
      </c>
      <c r="D87" t="s">
        <v>201</v>
      </c>
    </row>
    <row r="88" spans="1:4" x14ac:dyDescent="0.25">
      <c r="A88">
        <v>97</v>
      </c>
      <c r="B88" t="s">
        <v>124</v>
      </c>
      <c r="C88" t="s">
        <v>142</v>
      </c>
      <c r="D88" t="s">
        <v>202</v>
      </c>
    </row>
    <row r="89" spans="1:4" x14ac:dyDescent="0.25">
      <c r="A89">
        <v>98</v>
      </c>
      <c r="B89" t="s">
        <v>125</v>
      </c>
      <c r="C89" t="s">
        <v>143</v>
      </c>
      <c r="D89" t="s">
        <v>195</v>
      </c>
    </row>
    <row r="90" spans="1:4" x14ac:dyDescent="0.25">
      <c r="A90">
        <v>99</v>
      </c>
      <c r="B90" t="s">
        <v>126</v>
      </c>
      <c r="C90" t="s">
        <v>143</v>
      </c>
      <c r="D90" t="s">
        <v>196</v>
      </c>
    </row>
    <row r="91" spans="1:4" x14ac:dyDescent="0.25">
      <c r="A91">
        <v>100</v>
      </c>
      <c r="B91" t="s">
        <v>127</v>
      </c>
      <c r="C91" t="s">
        <v>143</v>
      </c>
      <c r="D91" t="s">
        <v>197</v>
      </c>
    </row>
    <row r="92" spans="1:4" x14ac:dyDescent="0.25">
      <c r="A92">
        <v>101</v>
      </c>
      <c r="B92" t="s">
        <v>128</v>
      </c>
      <c r="C92" t="s">
        <v>143</v>
      </c>
      <c r="D92" t="s">
        <v>198</v>
      </c>
    </row>
    <row r="93" spans="1:4" x14ac:dyDescent="0.25">
      <c r="A93">
        <v>102</v>
      </c>
      <c r="B93" t="s">
        <v>129</v>
      </c>
      <c r="C93" t="s">
        <v>144</v>
      </c>
      <c r="D93" t="s">
        <v>195</v>
      </c>
    </row>
    <row r="94" spans="1:4" x14ac:dyDescent="0.25">
      <c r="A94">
        <v>103</v>
      </c>
      <c r="B94" t="s">
        <v>130</v>
      </c>
      <c r="C94" t="s">
        <v>144</v>
      </c>
      <c r="D94" t="s">
        <v>196</v>
      </c>
    </row>
    <row r="95" spans="1:4" x14ac:dyDescent="0.25">
      <c r="A95">
        <v>104</v>
      </c>
      <c r="B95" t="s">
        <v>131</v>
      </c>
      <c r="C95" t="s">
        <v>144</v>
      </c>
      <c r="D95" t="s">
        <v>197</v>
      </c>
    </row>
    <row r="96" spans="1:4" x14ac:dyDescent="0.25">
      <c r="A96">
        <v>105</v>
      </c>
      <c r="B96" t="s">
        <v>132</v>
      </c>
      <c r="C96" t="s">
        <v>144</v>
      </c>
      <c r="D96" t="s">
        <v>198</v>
      </c>
    </row>
    <row r="97" spans="1:4" x14ac:dyDescent="0.25">
      <c r="A97">
        <v>106</v>
      </c>
      <c r="B97" t="s">
        <v>133</v>
      </c>
      <c r="C97" t="s">
        <v>145</v>
      </c>
      <c r="D97" t="s">
        <v>195</v>
      </c>
    </row>
    <row r="98" spans="1:4" x14ac:dyDescent="0.25">
      <c r="A98">
        <v>107</v>
      </c>
      <c r="B98" t="s">
        <v>134</v>
      </c>
      <c r="C98" t="s">
        <v>145</v>
      </c>
      <c r="D98" t="s">
        <v>206</v>
      </c>
    </row>
    <row r="99" spans="1:4" x14ac:dyDescent="0.25">
      <c r="A99">
        <v>108</v>
      </c>
      <c r="B99" t="s">
        <v>135</v>
      </c>
      <c r="C99" t="s">
        <v>145</v>
      </c>
      <c r="D99" t="s">
        <v>196</v>
      </c>
    </row>
    <row r="100" spans="1:4" x14ac:dyDescent="0.25">
      <c r="A100">
        <v>109</v>
      </c>
      <c r="B100" t="s">
        <v>136</v>
      </c>
      <c r="C100" t="s">
        <v>145</v>
      </c>
      <c r="D100" t="s">
        <v>197</v>
      </c>
    </row>
    <row r="101" spans="1:4" x14ac:dyDescent="0.25">
      <c r="A101">
        <v>110</v>
      </c>
      <c r="B101" t="s">
        <v>137</v>
      </c>
      <c r="C101" t="s">
        <v>145</v>
      </c>
      <c r="D101" t="s">
        <v>198</v>
      </c>
    </row>
    <row r="102" spans="1:4" x14ac:dyDescent="0.25">
      <c r="A102">
        <v>111</v>
      </c>
      <c r="B102" t="s">
        <v>138</v>
      </c>
      <c r="C102" t="s">
        <v>145</v>
      </c>
      <c r="D102" t="s">
        <v>201</v>
      </c>
    </row>
    <row r="103" spans="1:4" x14ac:dyDescent="0.25">
      <c r="A103">
        <v>112</v>
      </c>
      <c r="B103" t="s">
        <v>139</v>
      </c>
      <c r="C103" t="s">
        <v>145</v>
      </c>
      <c r="D103" t="s">
        <v>207</v>
      </c>
    </row>
    <row r="104" spans="1:4" x14ac:dyDescent="0.25">
      <c r="A104">
        <v>113</v>
      </c>
      <c r="B104" t="s">
        <v>140</v>
      </c>
      <c r="C104" t="s">
        <v>145</v>
      </c>
      <c r="D104" t="s">
        <v>202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620"/>
  <sheetViews>
    <sheetView workbookViewId="0">
      <selection activeCell="E7" sqref="E7"/>
    </sheetView>
  </sheetViews>
  <sheetFormatPr defaultRowHeight="15" x14ac:dyDescent="0.25"/>
  <sheetData>
    <row r="1" spans="1:11" x14ac:dyDescent="0.25">
      <c r="A1" s="273" t="s">
        <v>227</v>
      </c>
      <c r="B1" s="274"/>
      <c r="C1" s="274"/>
      <c r="D1" s="274"/>
      <c r="E1" s="274"/>
      <c r="F1" s="274"/>
      <c r="G1" s="274"/>
      <c r="H1" s="274" t="s">
        <v>228</v>
      </c>
      <c r="I1" s="274"/>
      <c r="J1" s="274"/>
      <c r="K1" s="275"/>
    </row>
    <row r="2" spans="1:11" x14ac:dyDescent="0.25">
      <c r="A2" s="276">
        <v>1</v>
      </c>
      <c r="B2" s="277" t="s">
        <v>269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229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230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231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A8" t="s">
        <v>232</v>
      </c>
      <c r="B8" t="s">
        <v>233</v>
      </c>
      <c r="C8" t="s">
        <v>234</v>
      </c>
      <c r="D8" t="s">
        <v>270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242">
        <v>0.46135416666666668</v>
      </c>
      <c r="G9" t="s">
        <v>239</v>
      </c>
      <c r="H9">
        <v>31</v>
      </c>
      <c r="I9" t="s">
        <v>271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40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41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42</v>
      </c>
      <c r="D13" t="s">
        <v>241</v>
      </c>
      <c r="E13" s="243">
        <v>-0.2117</v>
      </c>
      <c r="F13">
        <v>0</v>
      </c>
    </row>
    <row r="14" spans="1:11" x14ac:dyDescent="0.25">
      <c r="B14">
        <v>4</v>
      </c>
      <c r="C14" t="s">
        <v>43</v>
      </c>
      <c r="D14" t="s">
        <v>242</v>
      </c>
      <c r="E14" s="243">
        <v>0.27120783067900001</v>
      </c>
      <c r="F14">
        <v>0.28080475059900001</v>
      </c>
    </row>
    <row r="15" spans="1:11" x14ac:dyDescent="0.25">
      <c r="B15">
        <v>5</v>
      </c>
      <c r="C15" t="s">
        <v>44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45</v>
      </c>
      <c r="D16" t="s">
        <v>242</v>
      </c>
      <c r="E16" s="243">
        <v>-8.2865473150899996E-2</v>
      </c>
      <c r="F16">
        <v>0.12955742148800001</v>
      </c>
    </row>
    <row r="17" spans="2:6" x14ac:dyDescent="0.25">
      <c r="B17">
        <v>7</v>
      </c>
      <c r="C17" t="s">
        <v>46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47</v>
      </c>
      <c r="D18" t="s">
        <v>241</v>
      </c>
      <c r="E18" s="243">
        <v>6.9400000000000003E-2</v>
      </c>
      <c r="F18">
        <v>0</v>
      </c>
    </row>
    <row r="19" spans="2:6" x14ac:dyDescent="0.25">
      <c r="B19">
        <v>9</v>
      </c>
      <c r="C19" t="s">
        <v>48</v>
      </c>
      <c r="D19" t="s">
        <v>242</v>
      </c>
      <c r="E19" s="243">
        <v>-9.5820044919499997E-2</v>
      </c>
      <c r="F19">
        <v>0.17082561533000001</v>
      </c>
    </row>
    <row r="20" spans="2:6" x14ac:dyDescent="0.25">
      <c r="B20">
        <v>10</v>
      </c>
      <c r="C20" t="s">
        <v>49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50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51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52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53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54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55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56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57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58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59</v>
      </c>
      <c r="D30" t="s">
        <v>242</v>
      </c>
      <c r="E30">
        <v>0.63771148688699997</v>
      </c>
      <c r="F30" s="243">
        <v>6.0015015733300002E-2</v>
      </c>
    </row>
    <row r="31" spans="2:6" x14ac:dyDescent="0.25">
      <c r="B31">
        <v>21</v>
      </c>
      <c r="C31" t="s">
        <v>60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61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62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63</v>
      </c>
      <c r="D34" t="s">
        <v>242</v>
      </c>
      <c r="E34">
        <v>0.10429329553199999</v>
      </c>
      <c r="F34" s="243">
        <v>1.6423300294899999E-2</v>
      </c>
    </row>
    <row r="35" spans="2:6" x14ac:dyDescent="0.25">
      <c r="B35">
        <v>25</v>
      </c>
      <c r="C35" t="s">
        <v>64</v>
      </c>
      <c r="D35" t="s">
        <v>241</v>
      </c>
      <c r="E35">
        <v>0</v>
      </c>
      <c r="F35" s="243">
        <v>0</v>
      </c>
    </row>
    <row r="36" spans="2:6" x14ac:dyDescent="0.25">
      <c r="B36">
        <v>26</v>
      </c>
      <c r="C36" t="s">
        <v>65</v>
      </c>
      <c r="D36" t="s">
        <v>242</v>
      </c>
      <c r="E36">
        <v>0.417326479157</v>
      </c>
      <c r="F36" s="243">
        <v>9.4301876730200004E-2</v>
      </c>
    </row>
    <row r="37" spans="2:6" x14ac:dyDescent="0.25">
      <c r="B37">
        <v>27</v>
      </c>
      <c r="C37" t="s">
        <v>66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67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68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69</v>
      </c>
      <c r="D40" t="s">
        <v>242</v>
      </c>
      <c r="E40">
        <v>-0.91046169190000004</v>
      </c>
      <c r="F40" s="243">
        <v>9.2244527309799998E-2</v>
      </c>
    </row>
    <row r="41" spans="2:6" x14ac:dyDescent="0.25">
      <c r="B41">
        <v>31</v>
      </c>
      <c r="C41" t="s">
        <v>70</v>
      </c>
      <c r="D41" t="s">
        <v>242</v>
      </c>
      <c r="E41" s="243">
        <v>5.7553461640599997E-2</v>
      </c>
      <c r="F41" s="243">
        <v>1.69631861578E-2</v>
      </c>
    </row>
    <row r="42" spans="2:6" x14ac:dyDescent="0.25">
      <c r="B42">
        <v>32</v>
      </c>
      <c r="C42" t="s">
        <v>71</v>
      </c>
      <c r="D42" t="s">
        <v>242</v>
      </c>
      <c r="E42">
        <v>0.237798002151</v>
      </c>
      <c r="F42" s="243">
        <v>2.05709725741E-2</v>
      </c>
    </row>
    <row r="43" spans="2:6" x14ac:dyDescent="0.25">
      <c r="B43">
        <v>33</v>
      </c>
      <c r="C43" t="s">
        <v>72</v>
      </c>
      <c r="D43" t="s">
        <v>241</v>
      </c>
      <c r="E43">
        <v>0</v>
      </c>
      <c r="F43" s="243">
        <v>0</v>
      </c>
    </row>
    <row r="44" spans="2:6" x14ac:dyDescent="0.25">
      <c r="B44">
        <v>34</v>
      </c>
      <c r="C44" t="s">
        <v>73</v>
      </c>
      <c r="D44" t="s">
        <v>241</v>
      </c>
      <c r="E44">
        <v>0</v>
      </c>
      <c r="F44" s="243">
        <v>0</v>
      </c>
    </row>
    <row r="45" spans="2:6" x14ac:dyDescent="0.25">
      <c r="B45">
        <v>35</v>
      </c>
      <c r="C45" t="s">
        <v>74</v>
      </c>
      <c r="D45" t="s">
        <v>241</v>
      </c>
      <c r="E45">
        <v>0</v>
      </c>
      <c r="F45" s="243">
        <v>0</v>
      </c>
    </row>
    <row r="46" spans="2:6" x14ac:dyDescent="0.25">
      <c r="B46">
        <v>36</v>
      </c>
      <c r="C46" t="s">
        <v>75</v>
      </c>
      <c r="D46" t="s">
        <v>242</v>
      </c>
      <c r="E46" s="243">
        <v>0.61259135262599995</v>
      </c>
      <c r="F46" s="243">
        <v>9.8788050589500007E-2</v>
      </c>
    </row>
    <row r="47" spans="2:6" x14ac:dyDescent="0.25">
      <c r="B47">
        <v>37</v>
      </c>
      <c r="C47" t="s">
        <v>76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77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78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79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80</v>
      </c>
      <c r="D51" t="s">
        <v>242</v>
      </c>
      <c r="E51">
        <v>-0.22141031751900001</v>
      </c>
      <c r="F51" s="243">
        <v>1.8224220405400001E-2</v>
      </c>
    </row>
    <row r="52" spans="2:6" x14ac:dyDescent="0.25">
      <c r="B52">
        <v>42</v>
      </c>
      <c r="C52" t="s">
        <v>81</v>
      </c>
      <c r="D52" t="s">
        <v>242</v>
      </c>
      <c r="E52">
        <v>0.64228876129599999</v>
      </c>
      <c r="F52" s="243">
        <v>2.3327425635499999E-2</v>
      </c>
    </row>
    <row r="53" spans="2:6" x14ac:dyDescent="0.25">
      <c r="B53">
        <v>43</v>
      </c>
      <c r="C53" t="s">
        <v>82</v>
      </c>
      <c r="D53" t="s">
        <v>242</v>
      </c>
      <c r="E53">
        <v>0.74588429254199995</v>
      </c>
      <c r="F53" s="243">
        <v>9.8514285453599998E-2</v>
      </c>
    </row>
    <row r="54" spans="2:6" x14ac:dyDescent="0.25">
      <c r="B54">
        <v>44</v>
      </c>
      <c r="C54" t="s">
        <v>83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84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85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86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87</v>
      </c>
      <c r="D58" t="s">
        <v>242</v>
      </c>
      <c r="E58">
        <v>0.65760260093900003</v>
      </c>
      <c r="F58" s="243">
        <v>2.9500746847800002E-2</v>
      </c>
    </row>
    <row r="59" spans="2:6" x14ac:dyDescent="0.25">
      <c r="B59">
        <v>49</v>
      </c>
      <c r="C59" t="s">
        <v>88</v>
      </c>
      <c r="D59" t="s">
        <v>242</v>
      </c>
      <c r="E59">
        <v>0.201576719663</v>
      </c>
      <c r="F59" s="243">
        <v>0.11309559824400001</v>
      </c>
    </row>
    <row r="60" spans="2:6" x14ac:dyDescent="0.25">
      <c r="B60">
        <v>50</v>
      </c>
      <c r="C60" t="s">
        <v>89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90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91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92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93</v>
      </c>
      <c r="D64" t="s">
        <v>242</v>
      </c>
      <c r="E64">
        <v>0.20818008309700001</v>
      </c>
      <c r="F64" s="243">
        <v>4.2700310294800002E-2</v>
      </c>
    </row>
    <row r="65" spans="2:6" x14ac:dyDescent="0.25">
      <c r="B65">
        <v>55</v>
      </c>
      <c r="C65" t="s">
        <v>94</v>
      </c>
      <c r="D65" t="s">
        <v>242</v>
      </c>
      <c r="E65">
        <v>0.42522231451499998</v>
      </c>
      <c r="F65" s="243">
        <v>4.5274903018000003E-2</v>
      </c>
    </row>
    <row r="66" spans="2:6" x14ac:dyDescent="0.25">
      <c r="B66">
        <v>56</v>
      </c>
      <c r="C66" t="s">
        <v>95</v>
      </c>
      <c r="D66" t="s">
        <v>242</v>
      </c>
      <c r="E66">
        <v>-0.743588483327</v>
      </c>
      <c r="F66" s="243">
        <v>4.4293261467400001E-2</v>
      </c>
    </row>
    <row r="67" spans="2:6" x14ac:dyDescent="0.25">
      <c r="B67">
        <v>57</v>
      </c>
      <c r="C67" t="s">
        <v>96</v>
      </c>
      <c r="D67" t="s">
        <v>241</v>
      </c>
      <c r="E67" s="243">
        <v>6.2100000000000002E-2</v>
      </c>
      <c r="F67" s="243">
        <v>0</v>
      </c>
    </row>
    <row r="68" spans="2:6" x14ac:dyDescent="0.25">
      <c r="B68">
        <v>118</v>
      </c>
      <c r="C68" t="s">
        <v>268</v>
      </c>
      <c r="D68" t="s">
        <v>241</v>
      </c>
      <c r="E68" s="243">
        <v>-3</v>
      </c>
      <c r="F68" s="243">
        <v>0</v>
      </c>
    </row>
    <row r="69" spans="2:6" x14ac:dyDescent="0.25">
      <c r="B69">
        <v>70</v>
      </c>
      <c r="C69" t="s">
        <v>97</v>
      </c>
      <c r="D69" t="s">
        <v>242</v>
      </c>
      <c r="E69">
        <v>0.29394695214400002</v>
      </c>
      <c r="F69" s="243">
        <v>8.1089668188599993E-3</v>
      </c>
    </row>
    <row r="70" spans="2:6" x14ac:dyDescent="0.25">
      <c r="B70">
        <v>71</v>
      </c>
      <c r="C70" t="s">
        <v>98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99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100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101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102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103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104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105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106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107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108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109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110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111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112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113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114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115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116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117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118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119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120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121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122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123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124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125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126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127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128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129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130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131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132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133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134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135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136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137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138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139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140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243">
        <v>-5981.59020986</v>
      </c>
      <c r="D114" s="243">
        <v>-29805.783655800002</v>
      </c>
      <c r="E114" s="243">
        <v>-17292.021287899999</v>
      </c>
    </row>
    <row r="115" spans="1:11" x14ac:dyDescent="0.25">
      <c r="B115">
        <v>17</v>
      </c>
      <c r="C115" t="s">
        <v>272</v>
      </c>
      <c r="D115" t="s">
        <v>239</v>
      </c>
      <c r="E115">
        <v>31</v>
      </c>
      <c r="F115" t="s">
        <v>271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B1:W104"/>
  <sheetViews>
    <sheetView tabSelected="1" workbookViewId="0">
      <selection activeCell="U42" sqref="U42"/>
    </sheetView>
  </sheetViews>
  <sheetFormatPr defaultRowHeight="15" x14ac:dyDescent="0.25"/>
  <cols>
    <col min="1" max="2" width="9.140625" style="212" collapsed="1"/>
    <col min="3" max="3" width="12.7109375" style="212" bestFit="1" customWidth="1" collapsed="1"/>
    <col min="4" max="4" width="18.85546875" style="211" customWidth="1" collapsed="1"/>
    <col min="5" max="5" width="6.7109375" style="212" customWidth="1" collapsed="1"/>
    <col min="6" max="6" width="12.7109375" style="212" customWidth="1" collapsed="1"/>
    <col min="7" max="8" width="18.85546875" style="211" customWidth="1" collapsed="1"/>
    <col min="9" max="9" width="8.5703125" style="211" customWidth="1" collapsed="1"/>
    <col min="10" max="10" width="10.140625" style="211" bestFit="1" customWidth="1" collapsed="1"/>
    <col min="11" max="11" width="9.28515625" style="211" bestFit="1" customWidth="1" collapsed="1"/>
    <col min="12" max="14" width="9.140625" style="212" collapsed="1"/>
    <col min="15" max="15" width="13" style="212" customWidth="1" collapsed="1"/>
    <col min="16" max="16" width="19.5703125" style="213" customWidth="1" collapsed="1"/>
    <col min="17" max="17" width="19.5703125" style="282" customWidth="1" collapsed="1"/>
    <col min="18" max="16384" width="9.140625" style="212" collapsed="1"/>
  </cols>
  <sheetData>
    <row r="1" spans="3:23" x14ac:dyDescent="0.25">
      <c r="C1" s="9" t="s">
        <v>219</v>
      </c>
      <c r="F1" s="9" t="s">
        <v>220</v>
      </c>
      <c r="N1" s="203" t="s">
        <v>273</v>
      </c>
      <c r="S1" s="203"/>
      <c r="T1" s="203" t="s">
        <v>273</v>
      </c>
      <c r="U1" s="208"/>
      <c r="V1" s="208"/>
      <c r="W1" s="208"/>
    </row>
    <row r="2" spans="3:23" ht="15.75" thickBot="1" x14ac:dyDescent="0.3">
      <c r="C2" s="203" t="s">
        <v>212</v>
      </c>
      <c r="M2" s="9" t="s">
        <v>224</v>
      </c>
      <c r="N2" s="9" t="s">
        <v>264</v>
      </c>
      <c r="O2" s="9" t="s">
        <v>265</v>
      </c>
      <c r="P2" s="283" t="s">
        <v>274</v>
      </c>
      <c r="Q2" s="284" t="s">
        <v>275</v>
      </c>
      <c r="T2" s="208"/>
      <c r="U2" s="203" t="s">
        <v>277</v>
      </c>
      <c r="V2"/>
      <c r="W2" s="208"/>
    </row>
    <row r="3" spans="3:23" x14ac:dyDescent="0.2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_xlfn.IFNA(VLOOKUP(N3,$B$43:$D$46,3,FALSE),P3)</f>
        <v>1</v>
      </c>
      <c r="T3">
        <v>1</v>
      </c>
      <c r="U3" s="202" t="s">
        <v>278</v>
      </c>
      <c r="V3"/>
      <c r="W3" s="208"/>
    </row>
    <row r="4" spans="3:23" x14ac:dyDescent="0.25">
      <c r="C4" s="217" t="s">
        <v>217</v>
      </c>
      <c r="D4" s="218">
        <f>TLFD!B11</f>
        <v>10443.7812211578</v>
      </c>
      <c r="F4" s="217" t="s">
        <v>217</v>
      </c>
      <c r="G4" s="218">
        <f>TLFD!F11</f>
        <v>35152.183106090772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11.7146172749</v>
      </c>
      <c r="Q4" s="285">
        <f>_xlfn.IFNA(VLOOKUP(N4,$B$43:$D$46,3,FALSE),P4)</f>
        <v>11.7146172749</v>
      </c>
      <c r="T4">
        <v>2</v>
      </c>
      <c r="U4" s="202" t="s">
        <v>279</v>
      </c>
      <c r="V4"/>
      <c r="W4" s="208"/>
    </row>
    <row r="5" spans="3:23" x14ac:dyDescent="0.25">
      <c r="C5" s="204" t="s">
        <v>218</v>
      </c>
      <c r="D5" s="220">
        <f>TLFD!B12+TLFD!B13+(TLFD!B14/2)</f>
        <v>40171.395717980748</v>
      </c>
      <c r="F5" s="204" t="s">
        <v>218</v>
      </c>
      <c r="G5" s="220">
        <f>TLFD!F12+TLFD!F13+(TLFD!F14/2)</f>
        <v>39332.724070551601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-0.2117</v>
      </c>
      <c r="Q5" s="285">
        <f t="shared" ref="Q5:Q68" si="0">_xlfn.IFNA(VLOOKUP(N5,$B$43:$D$46,3,FALSE),P5)</f>
        <v>-0.2117</v>
      </c>
      <c r="T5">
        <v>3</v>
      </c>
      <c r="U5" s="208" t="s">
        <v>280</v>
      </c>
      <c r="V5" s="208"/>
      <c r="W5" s="208"/>
    </row>
    <row r="6" spans="3:23" x14ac:dyDescent="0.25">
      <c r="C6" s="204" t="s">
        <v>214</v>
      </c>
      <c r="D6" s="220">
        <f>(TLFD!B14/2)+SUM(TLFD!B15:B20)</f>
        <v>121447.84736939883</v>
      </c>
      <c r="F6" s="204" t="s">
        <v>214</v>
      </c>
      <c r="G6" s="220">
        <f>(TLFD!F14/2)+SUM(TLFD!F15:F20)</f>
        <v>90797.970479660959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0.27120783067900001</v>
      </c>
      <c r="Q6" s="285">
        <f t="shared" si="0"/>
        <v>0.27120783067900001</v>
      </c>
      <c r="T6">
        <v>4</v>
      </c>
      <c r="U6" s="208" t="s">
        <v>281</v>
      </c>
      <c r="V6" s="208"/>
      <c r="W6" s="208"/>
    </row>
    <row r="7" spans="3:23" x14ac:dyDescent="0.25">
      <c r="C7" s="205" t="s">
        <v>215</v>
      </c>
      <c r="D7" s="222">
        <f>SUM(TLFD!B21:B101)</f>
        <v>52899.195305924593</v>
      </c>
      <c r="F7" s="205" t="s">
        <v>215</v>
      </c>
      <c r="G7" s="222">
        <f>SUM(TLFD!F21:F101)</f>
        <v>46566.451109739923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-0.34490013167299999</v>
      </c>
      <c r="Q7" s="285">
        <f t="shared" si="0"/>
        <v>-0.34490013167299999</v>
      </c>
      <c r="T7" s="208">
        <v>5</v>
      </c>
      <c r="U7" s="208" t="s">
        <v>282</v>
      </c>
      <c r="V7" s="208"/>
      <c r="W7" s="208"/>
    </row>
    <row r="8" spans="3:23" ht="15.75" thickBot="1" x14ac:dyDescent="0.3">
      <c r="C8" s="206" t="s">
        <v>4</v>
      </c>
      <c r="D8" s="224">
        <f>SUM(D4:D7)</f>
        <v>224962.21961446197</v>
      </c>
      <c r="E8" s="225"/>
      <c r="F8" s="206" t="s">
        <v>4</v>
      </c>
      <c r="G8" s="224">
        <f>SUM(G4:G7)</f>
        <v>211849.32876604327</v>
      </c>
      <c r="H8" s="254"/>
      <c r="I8" s="254" t="s">
        <v>276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-8.2865473150899996E-2</v>
      </c>
      <c r="Q8" s="285">
        <f t="shared" si="0"/>
        <v>-8.2865473150899996E-2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-3.9895313632499998</v>
      </c>
      <c r="Q9" s="285">
        <f t="shared" si="0"/>
        <v>-3.9895313632499998</v>
      </c>
      <c r="T9" s="208"/>
      <c r="U9" s="289" t="s">
        <v>283</v>
      </c>
      <c r="V9" s="208"/>
      <c r="W9" s="208"/>
    </row>
    <row r="10" spans="3:23" ht="15.75" thickBot="1" x14ac:dyDescent="0.3">
      <c r="C10" s="207" t="s">
        <v>216</v>
      </c>
      <c r="I10" s="256" t="s">
        <v>260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6.9400000000000003E-2</v>
      </c>
      <c r="Q10" s="285">
        <f t="shared" si="0"/>
        <v>6.9400000000000003E-2</v>
      </c>
      <c r="T10" s="208">
        <v>1</v>
      </c>
      <c r="U10" s="202" t="s">
        <v>278</v>
      </c>
      <c r="V10" s="208"/>
      <c r="W10" s="208"/>
    </row>
    <row r="11" spans="3:23" x14ac:dyDescent="0.2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261</v>
      </c>
      <c r="J11" s="215" t="s">
        <v>262</v>
      </c>
      <c r="K11" s="215" t="s">
        <v>263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-9.5820044919499997E-2</v>
      </c>
      <c r="Q11" s="285">
        <f t="shared" si="0"/>
        <v>-9.5820044919499997E-2</v>
      </c>
      <c r="T11" s="208">
        <v>2</v>
      </c>
      <c r="U11" s="208" t="s">
        <v>284</v>
      </c>
      <c r="V11" s="208"/>
      <c r="W11" s="208"/>
    </row>
    <row r="12" spans="3:23" x14ac:dyDescent="0.25">
      <c r="C12" s="217" t="s">
        <v>217</v>
      </c>
      <c r="D12" s="227">
        <f>D4/D$8</f>
        <v>4.6424600713205311E-2</v>
      </c>
      <c r="F12" s="217" t="s">
        <v>217</v>
      </c>
      <c r="G12" s="227">
        <f>G4/G$8</f>
        <v>0.16593011321225964</v>
      </c>
      <c r="H12" s="227"/>
      <c r="I12" s="258">
        <f>D12/G12</f>
        <v>0.27978405977351711</v>
      </c>
      <c r="J12" s="259">
        <f>LN(I12)</f>
        <v>-1.273737188446818</v>
      </c>
      <c r="K12" s="259">
        <f>J8*J12</f>
        <v>-1.273737188446818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0.517563261484</v>
      </c>
      <c r="Q12" s="285">
        <f t="shared" si="0"/>
        <v>0.517563261484</v>
      </c>
      <c r="T12" s="208">
        <v>3</v>
      </c>
      <c r="U12" s="208" t="s">
        <v>285</v>
      </c>
      <c r="V12" s="208"/>
      <c r="W12" s="208"/>
    </row>
    <row r="13" spans="3:23" x14ac:dyDescent="0.25">
      <c r="C13" s="204" t="s">
        <v>218</v>
      </c>
      <c r="D13" s="228">
        <f t="shared" ref="D13:D16" si="1">D5/D$8</f>
        <v>0.17856952063695891</v>
      </c>
      <c r="F13" s="204" t="s">
        <v>218</v>
      </c>
      <c r="G13" s="228">
        <f t="shared" ref="G13:G16" si="2">G5/G$8</f>
        <v>0.1856636709667788</v>
      </c>
      <c r="H13" s="228"/>
      <c r="I13" s="258">
        <f t="shared" ref="I13:I15" si="3">D13/G13</f>
        <v>0.96179031528957937</v>
      </c>
      <c r="J13" s="259">
        <f t="shared" ref="J13:J15" si="4">LN(I13)</f>
        <v>-3.8958819549242671E-2</v>
      </c>
      <c r="K13" s="259">
        <f>J8*(J13-J12)</f>
        <v>1.2347783688975753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-0.80352358260699996</v>
      </c>
      <c r="Q13" s="285">
        <f t="shared" si="0"/>
        <v>-0.80352358260699996</v>
      </c>
      <c r="T13" s="208">
        <v>4</v>
      </c>
      <c r="U13" s="208" t="s">
        <v>286</v>
      </c>
      <c r="V13" s="208"/>
      <c r="W13" s="208"/>
    </row>
    <row r="14" spans="3:23" x14ac:dyDescent="0.25">
      <c r="C14" s="204" t="s">
        <v>214</v>
      </c>
      <c r="D14" s="228">
        <f t="shared" si="1"/>
        <v>0.5398588597566959</v>
      </c>
      <c r="F14" s="204" t="s">
        <v>214</v>
      </c>
      <c r="G14" s="228">
        <f t="shared" si="2"/>
        <v>0.4285969231459501</v>
      </c>
      <c r="H14" s="228"/>
      <c r="I14" s="258">
        <f t="shared" si="3"/>
        <v>1.2595957427647182</v>
      </c>
      <c r="J14" s="259">
        <f t="shared" si="4"/>
        <v>0.23079083040789847</v>
      </c>
      <c r="K14" s="259">
        <f>J8*(J14-J13-J12)</f>
        <v>1.5434868384039593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-0.80534348065299999</v>
      </c>
      <c r="Q14" s="285">
        <f t="shared" si="0"/>
        <v>-0.80534348065299999</v>
      </c>
      <c r="T14" s="208">
        <v>5</v>
      </c>
      <c r="U14" s="202" t="s">
        <v>287</v>
      </c>
      <c r="V14" s="208"/>
      <c r="W14" s="208"/>
    </row>
    <row r="15" spans="3:23" ht="15.75" thickBot="1" x14ac:dyDescent="0.3">
      <c r="C15" s="205" t="s">
        <v>215</v>
      </c>
      <c r="D15" s="228">
        <f t="shared" si="1"/>
        <v>0.23514701889313999</v>
      </c>
      <c r="F15" s="205" t="s">
        <v>215</v>
      </c>
      <c r="G15" s="228">
        <f t="shared" si="2"/>
        <v>0.21980929267501143</v>
      </c>
      <c r="H15" s="228"/>
      <c r="I15" s="260">
        <f t="shared" si="3"/>
        <v>1.0697774240182167</v>
      </c>
      <c r="J15" s="261">
        <f t="shared" si="4"/>
        <v>6.7450611899461166E-2</v>
      </c>
      <c r="K15" s="261">
        <f>J8*(J15-J14-J13-J12)</f>
        <v>1.1493557894876234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-0.51977799879300002</v>
      </c>
      <c r="Q15" s="285">
        <f t="shared" si="0"/>
        <v>-0.51977799879300002</v>
      </c>
      <c r="T15" s="208">
        <v>6</v>
      </c>
      <c r="U15" s="208" t="s">
        <v>288</v>
      </c>
      <c r="V15" s="208"/>
      <c r="W15" s="208"/>
    </row>
    <row r="16" spans="3:23" ht="15.75" thickBot="1" x14ac:dyDescent="0.3">
      <c r="C16" s="206" t="s">
        <v>4</v>
      </c>
      <c r="D16" s="230">
        <f t="shared" si="1"/>
        <v>1</v>
      </c>
      <c r="E16" s="225"/>
      <c r="F16" s="206" t="s">
        <v>4</v>
      </c>
      <c r="G16" s="230">
        <f t="shared" si="2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-0.27562686954600002</v>
      </c>
      <c r="Q16" s="285">
        <f t="shared" si="0"/>
        <v>-0.27562686954600002</v>
      </c>
      <c r="T16" s="208">
        <v>7</v>
      </c>
      <c r="U16" s="208" t="s">
        <v>281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-0.55245424085299999</v>
      </c>
      <c r="Q17" s="285">
        <f t="shared" si="0"/>
        <v>-0.55245424085299999</v>
      </c>
      <c r="T17" s="208">
        <v>8</v>
      </c>
      <c r="U17" s="208" t="s">
        <v>289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-0.493022087256</v>
      </c>
      <c r="Q18" s="285">
        <f t="shared" si="0"/>
        <v>-0.493022087256</v>
      </c>
    </row>
    <row r="19" spans="2:23" x14ac:dyDescent="0.25">
      <c r="C19" s="231" t="s">
        <v>222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 t="shared" si="0"/>
        <v>0</v>
      </c>
    </row>
    <row r="20" spans="2:23" x14ac:dyDescent="0.25">
      <c r="C20" s="231" t="s">
        <v>223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 t="shared" si="0"/>
        <v>0</v>
      </c>
    </row>
    <row r="21" spans="2:23" ht="15.75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 t="shared" si="0"/>
        <v>0</v>
      </c>
    </row>
    <row r="22" spans="2:23" x14ac:dyDescent="0.25">
      <c r="B22" s="262" t="s">
        <v>264</v>
      </c>
      <c r="C22" s="232" t="s">
        <v>224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0.63771148688699997</v>
      </c>
      <c r="Q22" s="285">
        <f t="shared" si="0"/>
        <v>0.63771148688699997</v>
      </c>
    </row>
    <row r="23" spans="2:23" x14ac:dyDescent="0.25">
      <c r="B23" s="263">
        <v>44</v>
      </c>
      <c r="C23" s="217" t="s">
        <v>217</v>
      </c>
      <c r="D23" s="267">
        <f>VLOOKUP($B23,$N:$P,3,FALSE)</f>
        <v>-32.156094092099998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-12.0946718381</v>
      </c>
      <c r="Q23" s="285">
        <f t="shared" si="0"/>
        <v>-12.0946718381</v>
      </c>
    </row>
    <row r="24" spans="2:23" x14ac:dyDescent="0.25">
      <c r="B24" s="263">
        <v>45</v>
      </c>
      <c r="C24" s="204" t="s">
        <v>218</v>
      </c>
      <c r="D24" s="267">
        <f t="shared" ref="D24:D26" si="5">VLOOKUP($B24,$N:$P,3,FALSE)</f>
        <v>-7.5551873767200002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-4.03623745316</v>
      </c>
      <c r="Q24" s="285">
        <f t="shared" si="0"/>
        <v>-4.03623745316</v>
      </c>
    </row>
    <row r="25" spans="2:23" x14ac:dyDescent="0.25">
      <c r="B25" s="263">
        <v>46</v>
      </c>
      <c r="C25" s="204" t="s">
        <v>214</v>
      </c>
      <c r="D25" s="267">
        <f t="shared" si="5"/>
        <v>-3.4784098231399998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-2.16371815818</v>
      </c>
      <c r="Q25" s="285">
        <f t="shared" si="0"/>
        <v>-2.16371815818</v>
      </c>
    </row>
    <row r="26" spans="2:23" ht="15.75" thickBot="1" x14ac:dyDescent="0.3">
      <c r="B26" s="264">
        <v>47</v>
      </c>
      <c r="C26" s="210" t="s">
        <v>215</v>
      </c>
      <c r="D26" s="268">
        <f t="shared" si="5"/>
        <v>-0.79171784712299997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0.10429329553199999</v>
      </c>
      <c r="Q26" s="285">
        <f t="shared" si="0"/>
        <v>0.10429329553199999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0</v>
      </c>
      <c r="Q27" s="285">
        <f t="shared" si="0"/>
        <v>0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0.417326479157</v>
      </c>
      <c r="Q28" s="285">
        <f t="shared" si="0"/>
        <v>0.417326479157</v>
      </c>
    </row>
    <row r="29" spans="2:23" x14ac:dyDescent="0.25">
      <c r="C29" s="231" t="s">
        <v>222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-14.8384910501</v>
      </c>
      <c r="Q29" s="285">
        <f t="shared" si="0"/>
        <v>-14.8384910501</v>
      </c>
    </row>
    <row r="30" spans="2:23" x14ac:dyDescent="0.25">
      <c r="C30" s="231" t="s">
        <v>225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-5.1880432348000003</v>
      </c>
      <c r="Q30" s="285">
        <f t="shared" si="0"/>
        <v>-5.1880432348000003</v>
      </c>
    </row>
    <row r="31" spans="2:23" ht="15.75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-2.6156308707</v>
      </c>
      <c r="Q31" s="285">
        <f t="shared" si="0"/>
        <v>-2.6156308707</v>
      </c>
    </row>
    <row r="32" spans="2:23" x14ac:dyDescent="0.25">
      <c r="B32" s="262" t="s">
        <v>264</v>
      </c>
      <c r="C32" s="232" t="s">
        <v>224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-0.91046169190000004</v>
      </c>
      <c r="Q32" s="285">
        <f t="shared" si="0"/>
        <v>-0.91046169190000004</v>
      </c>
    </row>
    <row r="33" spans="2:18" x14ac:dyDescent="0.25">
      <c r="B33" s="263">
        <f>B23</f>
        <v>44</v>
      </c>
      <c r="C33" s="217" t="s">
        <v>217</v>
      </c>
      <c r="D33" s="269">
        <f>K12</f>
        <v>-1.273737188446818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5.7553461640599997E-2</v>
      </c>
      <c r="Q33" s="285">
        <f t="shared" si="0"/>
        <v>5.7553461640599997E-2</v>
      </c>
    </row>
    <row r="34" spans="2:18" x14ac:dyDescent="0.25">
      <c r="B34" s="263">
        <f t="shared" ref="B34:B36" si="6">B24</f>
        <v>45</v>
      </c>
      <c r="C34" s="204" t="s">
        <v>218</v>
      </c>
      <c r="D34" s="270">
        <f t="shared" ref="D34:D36" si="7">K13</f>
        <v>1.2347783688975753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0.237798002151</v>
      </c>
      <c r="Q34" s="285">
        <f t="shared" si="0"/>
        <v>0.237798002151</v>
      </c>
    </row>
    <row r="35" spans="2:18" x14ac:dyDescent="0.25">
      <c r="B35" s="263">
        <f t="shared" si="6"/>
        <v>46</v>
      </c>
      <c r="C35" s="204" t="s">
        <v>214</v>
      </c>
      <c r="D35" s="270">
        <f t="shared" si="7"/>
        <v>1.5434868384039593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</v>
      </c>
      <c r="Q35" s="285">
        <f t="shared" si="0"/>
        <v>0</v>
      </c>
    </row>
    <row r="36" spans="2:18" ht="15.75" thickBot="1" x14ac:dyDescent="0.3">
      <c r="B36" s="265">
        <f t="shared" si="6"/>
        <v>47</v>
      </c>
      <c r="C36" s="210" t="s">
        <v>215</v>
      </c>
      <c r="D36" s="235">
        <f t="shared" si="7"/>
        <v>1.1493557894876234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0</v>
      </c>
      <c r="Q36" s="285">
        <f t="shared" si="0"/>
        <v>0</v>
      </c>
    </row>
    <row r="37" spans="2:18" ht="15.75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0</v>
      </c>
      <c r="Q37" s="285">
        <f t="shared" si="0"/>
        <v>0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0.61259135262599995</v>
      </c>
      <c r="Q38" s="285">
        <f t="shared" si="0"/>
        <v>0.61259135262599995</v>
      </c>
    </row>
    <row r="39" spans="2:18" x14ac:dyDescent="0.25">
      <c r="C39" s="231" t="s">
        <v>222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-20.810228388700001</v>
      </c>
      <c r="Q39" s="285">
        <f t="shared" si="0"/>
        <v>-20.810228388700001</v>
      </c>
    </row>
    <row r="40" spans="2:18" x14ac:dyDescent="0.25">
      <c r="C40" s="231" t="s">
        <v>226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-7.1836373472300004</v>
      </c>
      <c r="Q40" s="285">
        <f t="shared" si="0"/>
        <v>-7.1836373472300004</v>
      </c>
    </row>
    <row r="41" spans="2:18" ht="15.75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-3.6600975390500001</v>
      </c>
      <c r="Q41" s="285">
        <f t="shared" si="0"/>
        <v>-3.6600975390500001</v>
      </c>
    </row>
    <row r="42" spans="2:18" x14ac:dyDescent="0.25">
      <c r="B42" s="262" t="s">
        <v>264</v>
      </c>
      <c r="C42" s="232" t="s">
        <v>224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-1.3605457273599999</v>
      </c>
      <c r="Q42" s="285">
        <f t="shared" si="0"/>
        <v>-1.3605457273599999</v>
      </c>
    </row>
    <row r="43" spans="2:18" x14ac:dyDescent="0.25">
      <c r="B43" s="263">
        <f>B33</f>
        <v>44</v>
      </c>
      <c r="C43" s="217" t="s">
        <v>217</v>
      </c>
      <c r="D43" s="271">
        <f>D23+D33</f>
        <v>-33.429831280546814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-0.22141031751900001</v>
      </c>
      <c r="Q43" s="285">
        <f t="shared" si="0"/>
        <v>-0.22141031751900001</v>
      </c>
    </row>
    <row r="44" spans="2:18" x14ac:dyDescent="0.25">
      <c r="B44" s="263">
        <f t="shared" ref="B44:B46" si="8">B34</f>
        <v>45</v>
      </c>
      <c r="C44" s="204" t="s">
        <v>218</v>
      </c>
      <c r="D44" s="271">
        <f t="shared" ref="D44:D46" si="9">D24+D34</f>
        <v>-6.3204090078224251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0.64228876129599999</v>
      </c>
      <c r="Q44" s="285">
        <f t="shared" si="0"/>
        <v>0.64228876129599999</v>
      </c>
    </row>
    <row r="45" spans="2:18" x14ac:dyDescent="0.25">
      <c r="B45" s="263">
        <f t="shared" si="8"/>
        <v>46</v>
      </c>
      <c r="C45" s="204" t="s">
        <v>214</v>
      </c>
      <c r="D45" s="271">
        <f t="shared" si="9"/>
        <v>-1.9349229847360405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0.74588429254199995</v>
      </c>
      <c r="Q45" s="285">
        <f t="shared" si="0"/>
        <v>0.74588429254199995</v>
      </c>
    </row>
    <row r="46" spans="2:18" ht="15.75" thickBot="1" x14ac:dyDescent="0.3">
      <c r="B46" s="265">
        <f t="shared" si="8"/>
        <v>47</v>
      </c>
      <c r="C46" s="210" t="s">
        <v>215</v>
      </c>
      <c r="D46" s="272">
        <f t="shared" si="9"/>
        <v>0.35763794236462343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-32.156094092099998</v>
      </c>
      <c r="Q46" s="286">
        <f t="shared" si="0"/>
        <v>-33.429831280546814</v>
      </c>
      <c r="R46" s="212" t="str">
        <f>VLOOKUP(N46,Coeff_Descr!$A$2:$E$104,4,FALSE)</f>
        <v>distanceFromOrigin4  (0 -1 mile)</v>
      </c>
    </row>
    <row r="47" spans="2:18" ht="15.75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-7.5551873767200002</v>
      </c>
      <c r="Q47" s="286">
        <f t="shared" si="0"/>
        <v>-6.3204090078224251</v>
      </c>
      <c r="R47" s="212" t="str">
        <f>VLOOKUP(N47,Coeff_Descr!$A$2:$E$104,4,FALSE)</f>
        <v>distanceFromOrigin8 (distance from 1 - 3.5 miles)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-3.4784098231399998</v>
      </c>
      <c r="Q48" s="286">
        <f t="shared" si="0"/>
        <v>-1.9349229847360405</v>
      </c>
      <c r="R48" s="212" t="str">
        <f>VLOOKUP(N48,Coeff_Descr!$A$2:$E$104,4,FALSE)</f>
        <v>distanceFromOrigin9 (distance from 3.5 miles - 10 miles)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-0.79171784712299997</v>
      </c>
      <c r="Q49" s="286">
        <f t="shared" si="0"/>
        <v>0.35763794236462343</v>
      </c>
      <c r="R49" s="212" t="str">
        <f>VLOOKUP(N49,Coeff_Descr!$A$2:$E$104,4,FALSE)</f>
        <v>distanceFromOrigin3 (Distance over 10 miles)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0.65760260093900003</v>
      </c>
      <c r="Q50" s="285">
        <f t="shared" si="0"/>
        <v>0.65760260093900003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0.201576719663</v>
      </c>
      <c r="Q51" s="285">
        <f t="shared" si="0"/>
        <v>0.201576719663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7">
        <f>OtherTourDestination!E60</f>
        <v>-28.552058518999999</v>
      </c>
      <c r="Q52" s="285">
        <f t="shared" si="0"/>
        <v>-28.552058518999999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7">
        <f>OtherTourDestination!E61</f>
        <v>-7.25833529236</v>
      </c>
      <c r="Q53" s="285">
        <f t="shared" si="0"/>
        <v>-7.25833529236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7">
        <f>OtherTourDestination!E62</f>
        <v>-2.64524710889</v>
      </c>
      <c r="Q54" s="285">
        <f t="shared" si="0"/>
        <v>-2.64524710889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7">
        <f>OtherTourDestination!E63</f>
        <v>-0.76461618005800003</v>
      </c>
      <c r="Q55" s="285">
        <f t="shared" si="0"/>
        <v>-0.76461618005800003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7">
        <f>OtherTourDestination!E64</f>
        <v>0.20818008309700001</v>
      </c>
      <c r="Q56" s="285">
        <f t="shared" si="0"/>
        <v>0.20818008309700001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0.42522231451499998</v>
      </c>
      <c r="Q57" s="285">
        <f t="shared" si="0"/>
        <v>0.42522231451499998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-0.743588483327</v>
      </c>
      <c r="Q58" s="285">
        <f t="shared" si="0"/>
        <v>-0.743588483327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6.2100000000000002E-2</v>
      </c>
      <c r="Q59" s="285">
        <f t="shared" si="0"/>
        <v>6.2100000000000002E-2</v>
      </c>
    </row>
    <row r="60" spans="13:18" x14ac:dyDescent="0.25">
      <c r="M60" s="212">
        <f>VLOOKUP(N60,Coeff_Descr!$A:$D,3,FALSE)</f>
        <v>0</v>
      </c>
      <c r="N60" s="212">
        <f>OtherTourDestination!B68</f>
        <v>118</v>
      </c>
      <c r="O60" s="212" t="str">
        <f>OtherTourDestination!C68</f>
        <v>Beta00118</v>
      </c>
      <c r="P60" s="213">
        <f>OtherTourDestination!E68</f>
        <v>-3</v>
      </c>
      <c r="Q60" s="285">
        <f t="shared" si="0"/>
        <v>-3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70</v>
      </c>
      <c r="O61" s="212" t="str">
        <f>OtherTourDestination!C69</f>
        <v>LSM_0070</v>
      </c>
      <c r="P61" s="213">
        <f>OtherTourDestination!E69</f>
        <v>0.29394695214400002</v>
      </c>
      <c r="Q61" s="285">
        <f t="shared" si="0"/>
        <v>0.29394695214400002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71</v>
      </c>
      <c r="O62" s="212" t="str">
        <f>OtherTourDestination!C70</f>
        <v>Gamma071</v>
      </c>
      <c r="P62" s="213">
        <f>OtherTourDestination!E70</f>
        <v>0</v>
      </c>
      <c r="Q62" s="285">
        <f t="shared" si="0"/>
        <v>0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72</v>
      </c>
      <c r="O63" s="212" t="str">
        <f>OtherTourDestination!C71</f>
        <v>Gamma072</v>
      </c>
      <c r="P63" s="213">
        <f>OtherTourDestination!E71</f>
        <v>-6.2798471793299999</v>
      </c>
      <c r="Q63" s="285">
        <f t="shared" si="0"/>
        <v>-6.2798471793299999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73</v>
      </c>
      <c r="O64" s="212" t="str">
        <f>OtherTourDestination!C72</f>
        <v>Gamma073</v>
      </c>
      <c r="P64" s="213">
        <f>OtherTourDestination!E72</f>
        <v>3.2962256518299999</v>
      </c>
      <c r="Q64" s="285">
        <f t="shared" si="0"/>
        <v>3.2962256518299999</v>
      </c>
    </row>
    <row r="65" spans="13:17" x14ac:dyDescent="0.25">
      <c r="M65" s="212" t="str">
        <f>VLOOKUP(N65,Coeff_Descr!$A:$D,3,FALSE)</f>
        <v>ESCORT</v>
      </c>
      <c r="N65" s="212">
        <f>OtherTourDestination!B73</f>
        <v>74</v>
      </c>
      <c r="O65" s="212" t="str">
        <f>OtherTourDestination!C73</f>
        <v>Gamma074</v>
      </c>
      <c r="P65" s="213">
        <f>OtherTourDestination!E73</f>
        <v>-5.4150639062700003</v>
      </c>
      <c r="Q65" s="285">
        <f t="shared" si="0"/>
        <v>-5.4150639062700003</v>
      </c>
    </row>
    <row r="66" spans="13:17" x14ac:dyDescent="0.25">
      <c r="M66" s="212" t="str">
        <f>VLOOKUP(N66,Coeff_Descr!$A:$D,3,FALSE)</f>
        <v>ESCORT</v>
      </c>
      <c r="N66" s="212">
        <f>OtherTourDestination!B74</f>
        <v>75</v>
      </c>
      <c r="O66" s="212" t="str">
        <f>OtherTourDestination!C74</f>
        <v>Gamma075</v>
      </c>
      <c r="P66" s="213">
        <f>OtherTourDestination!E74</f>
        <v>-5.94820877094</v>
      </c>
      <c r="Q66" s="285">
        <f t="shared" si="0"/>
        <v>-5.94820877094</v>
      </c>
    </row>
    <row r="67" spans="13:17" x14ac:dyDescent="0.25">
      <c r="M67" s="212" t="str">
        <f>VLOOKUP(N67,Coeff_Descr!$A:$D,3,FALSE)</f>
        <v>ESCORT</v>
      </c>
      <c r="N67" s="212">
        <f>OtherTourDestination!B75</f>
        <v>76</v>
      </c>
      <c r="O67" s="212" t="str">
        <f>OtherTourDestination!C75</f>
        <v>Gamma076</v>
      </c>
      <c r="P67" s="213">
        <f>OtherTourDestination!E75</f>
        <v>-4.8479831726300002</v>
      </c>
      <c r="Q67" s="285">
        <f t="shared" si="0"/>
        <v>-4.8479831726300002</v>
      </c>
    </row>
    <row r="68" spans="13:17" x14ac:dyDescent="0.25">
      <c r="M68" s="212" t="str">
        <f>VLOOKUP(N68,Coeff_Descr!$A:$D,3,FALSE)</f>
        <v>ESCORT</v>
      </c>
      <c r="N68" s="212">
        <f>OtherTourDestination!B76</f>
        <v>77</v>
      </c>
      <c r="O68" s="212" t="str">
        <f>OtherTourDestination!C76</f>
        <v>Gamma077</v>
      </c>
      <c r="P68" s="213">
        <f>OtherTourDestination!E76</f>
        <v>-5.4883496585599998</v>
      </c>
      <c r="Q68" s="285">
        <f t="shared" si="0"/>
        <v>-5.4883496585599998</v>
      </c>
    </row>
    <row r="69" spans="13:17" x14ac:dyDescent="0.25">
      <c r="M69" s="212" t="str">
        <f>VLOOKUP(N69,Coeff_Descr!$A:$D,3,FALSE)</f>
        <v>ESCORT</v>
      </c>
      <c r="N69" s="212">
        <f>OtherTourDestination!B77</f>
        <v>78</v>
      </c>
      <c r="O69" s="212" t="str">
        <f>OtherTourDestination!C77</f>
        <v>Gamma078</v>
      </c>
      <c r="P69" s="213">
        <f>OtherTourDestination!E77</f>
        <v>-6.9308352438999998</v>
      </c>
      <c r="Q69" s="285">
        <f t="shared" ref="Q69:Q104" si="10">_xlfn.IFNA(VLOOKUP(N69,$B$43:$D$46,3,FALSE),P69)</f>
        <v>-6.9308352438999998</v>
      </c>
    </row>
    <row r="70" spans="13:17" x14ac:dyDescent="0.25">
      <c r="M70" s="212" t="str">
        <f>VLOOKUP(N70,Coeff_Descr!$A:$D,3,FALSE)</f>
        <v>ESCORT</v>
      </c>
      <c r="N70" s="212">
        <f>OtherTourDestination!B78</f>
        <v>79</v>
      </c>
      <c r="O70" s="212" t="str">
        <f>OtherTourDestination!C78</f>
        <v>Gamma079</v>
      </c>
      <c r="P70" s="213">
        <f>OtherTourDestination!E78</f>
        <v>-22.404820174200001</v>
      </c>
      <c r="Q70" s="285">
        <f t="shared" si="10"/>
        <v>-22.404820174200001</v>
      </c>
    </row>
    <row r="71" spans="13:17" x14ac:dyDescent="0.25">
      <c r="M71" s="212" t="str">
        <f>VLOOKUP(N71,Coeff_Descr!$A:$D,3,FALSE)</f>
        <v>ESCORT</v>
      </c>
      <c r="N71" s="212">
        <f>OtherTourDestination!B79</f>
        <v>80</v>
      </c>
      <c r="O71" s="212" t="str">
        <f>OtherTourDestination!C79</f>
        <v>Gamma080</v>
      </c>
      <c r="P71" s="213">
        <f>OtherTourDestination!E79</f>
        <v>-2.8929233973800002</v>
      </c>
      <c r="Q71" s="285">
        <f t="shared" si="10"/>
        <v>-2.8929233973800002</v>
      </c>
    </row>
    <row r="72" spans="13:17" x14ac:dyDescent="0.25">
      <c r="M72" s="212" t="str">
        <f>VLOOKUP(N72,Coeff_Descr!$A:$D,3,FALSE)</f>
        <v>ESCORT</v>
      </c>
      <c r="N72" s="212">
        <f>OtherTourDestination!B80</f>
        <v>81</v>
      </c>
      <c r="O72" s="212" t="str">
        <f>OtherTourDestination!C80</f>
        <v>Gamma081</v>
      </c>
      <c r="P72" s="213">
        <f>OtherTourDestination!E80</f>
        <v>-2.5610724948299999</v>
      </c>
      <c r="Q72" s="285">
        <f t="shared" si="10"/>
        <v>-2.5610724948299999</v>
      </c>
    </row>
    <row r="73" spans="13:17" x14ac:dyDescent="0.25">
      <c r="M73" s="212" t="str">
        <f>VLOOKUP(N73,Coeff_Descr!$A:$D,3,FALSE)</f>
        <v>ESCORT</v>
      </c>
      <c r="N73" s="212">
        <f>OtherTourDestination!B81</f>
        <v>82</v>
      </c>
      <c r="O73" s="212" t="str">
        <f>OtherTourDestination!C81</f>
        <v>Gamma082</v>
      </c>
      <c r="P73" s="213">
        <f>OtherTourDestination!E81</f>
        <v>-6.7871010869299999</v>
      </c>
      <c r="Q73" s="285">
        <f t="shared" si="10"/>
        <v>-6.7871010869299999</v>
      </c>
    </row>
    <row r="74" spans="13:17" x14ac:dyDescent="0.25">
      <c r="M74" s="212" t="str">
        <f>VLOOKUP(N74,Coeff_Descr!$A:$D,3,FALSE)</f>
        <v>ESCORT</v>
      </c>
      <c r="N74" s="212">
        <f>OtherTourDestination!B82</f>
        <v>83</v>
      </c>
      <c r="O74" s="212" t="str">
        <f>OtherTourDestination!C82</f>
        <v>Gamma083</v>
      </c>
      <c r="P74" s="213">
        <f>OtherTourDestination!E82</f>
        <v>-7.1983706387300002</v>
      </c>
      <c r="Q74" s="285">
        <f t="shared" si="10"/>
        <v>-7.1983706387300002</v>
      </c>
    </row>
    <row r="75" spans="13:17" x14ac:dyDescent="0.25">
      <c r="M75" s="212" t="str">
        <f>VLOOKUP(N75,Coeff_Descr!$A:$D,3,FALSE)</f>
        <v>ESCORT</v>
      </c>
      <c r="N75" s="212">
        <f>OtherTourDestination!B83</f>
        <v>84</v>
      </c>
      <c r="O75" s="212" t="str">
        <f>OtherTourDestination!C83</f>
        <v>Gamma084</v>
      </c>
      <c r="P75" s="213">
        <f>OtherTourDestination!E83</f>
        <v>-6.5584328775399996</v>
      </c>
      <c r="Q75" s="285">
        <f t="shared" si="10"/>
        <v>-6.5584328775399996</v>
      </c>
    </row>
    <row r="76" spans="13:17" x14ac:dyDescent="0.25">
      <c r="M76" s="212" t="str">
        <f>VLOOKUP(N76,Coeff_Descr!$A:$D,3,FALSE)</f>
        <v>ESCORT</v>
      </c>
      <c r="N76" s="212">
        <f>OtherTourDestination!B84</f>
        <v>85</v>
      </c>
      <c r="O76" s="212" t="str">
        <f>OtherTourDestination!C84</f>
        <v>Gamma085</v>
      </c>
      <c r="P76" s="213">
        <f>OtherTourDestination!E84</f>
        <v>-7.3832576457999997</v>
      </c>
      <c r="Q76" s="285">
        <f t="shared" si="10"/>
        <v>-7.3832576457999997</v>
      </c>
    </row>
    <row r="77" spans="13:17" x14ac:dyDescent="0.25">
      <c r="M77" s="212" t="str">
        <f>VLOOKUP(N77,Coeff_Descr!$A:$D,3,FALSE)</f>
        <v>ESCORT</v>
      </c>
      <c r="N77" s="212">
        <f>OtherTourDestination!B85</f>
        <v>86</v>
      </c>
      <c r="O77" s="212" t="str">
        <f>OtherTourDestination!C85</f>
        <v>Gamma086</v>
      </c>
      <c r="P77" s="213">
        <f>OtherTourDestination!E85</f>
        <v>-8.5452246906399996</v>
      </c>
      <c r="Q77" s="285">
        <f t="shared" si="10"/>
        <v>-8.5452246906399996</v>
      </c>
    </row>
    <row r="78" spans="13:17" x14ac:dyDescent="0.25">
      <c r="M78" s="212" t="str">
        <f>VLOOKUP(N78,Coeff_Descr!$A:$D,3,FALSE)</f>
        <v>ESCORT</v>
      </c>
      <c r="N78" s="212">
        <f>OtherTourDestination!B86</f>
        <v>87</v>
      </c>
      <c r="O78" s="212" t="str">
        <f>OtherTourDestination!C86</f>
        <v>Gamma087</v>
      </c>
      <c r="P78" s="213">
        <f>OtherTourDestination!E86</f>
        <v>-24.633851965200002</v>
      </c>
      <c r="Q78" s="285">
        <f t="shared" si="10"/>
        <v>-24.633851965200002</v>
      </c>
    </row>
    <row r="79" spans="13:17" x14ac:dyDescent="0.25">
      <c r="M79" s="212" t="str">
        <f>VLOOKUP(N79,Coeff_Descr!$A:$D,3,FALSE)</f>
        <v>ESCORT</v>
      </c>
      <c r="N79" s="212">
        <f>OtherTourDestination!B87</f>
        <v>88</v>
      </c>
      <c r="O79" s="212" t="str">
        <f>OtherTourDestination!C87</f>
        <v>Gamma088</v>
      </c>
      <c r="P79" s="213">
        <f>OtherTourDestination!E87</f>
        <v>0</v>
      </c>
      <c r="Q79" s="285">
        <f t="shared" si="10"/>
        <v>0</v>
      </c>
    </row>
    <row r="80" spans="13:17" x14ac:dyDescent="0.25">
      <c r="M80" s="212" t="str">
        <f>VLOOKUP(N80,Coeff_Descr!$A:$D,3,FALSE)</f>
        <v>PERSBUS/MED</v>
      </c>
      <c r="N80" s="212">
        <f>OtherTourDestination!B88</f>
        <v>89</v>
      </c>
      <c r="O80" s="212" t="str">
        <f>OtherTourDestination!C88</f>
        <v>Gamma089</v>
      </c>
      <c r="P80" s="213">
        <f>OtherTourDestination!E88</f>
        <v>-0.55009338373399996</v>
      </c>
      <c r="Q80" s="285">
        <f t="shared" si="10"/>
        <v>-0.55009338373399996</v>
      </c>
    </row>
    <row r="81" spans="13:17" x14ac:dyDescent="0.25">
      <c r="M81" s="212" t="str">
        <f>VLOOKUP(N81,Coeff_Descr!$A:$D,3,FALSE)</f>
        <v>PERSBUS/MED</v>
      </c>
      <c r="N81" s="212">
        <f>OtherTourDestination!B89</f>
        <v>90</v>
      </c>
      <c r="O81" s="212" t="str">
        <f>OtherTourDestination!C89</f>
        <v>Gamma090</v>
      </c>
      <c r="P81" s="213">
        <f>OtherTourDestination!E89</f>
        <v>-9.9117567037699992</v>
      </c>
      <c r="Q81" s="285">
        <f t="shared" si="10"/>
        <v>-9.9117567037699992</v>
      </c>
    </row>
    <row r="82" spans="13:17" x14ac:dyDescent="0.25">
      <c r="M82" s="212" t="str">
        <f>VLOOKUP(N82,Coeff_Descr!$A:$D,3,FALSE)</f>
        <v>PERSBUS/MED</v>
      </c>
      <c r="N82" s="212">
        <f>OtherTourDestination!B90</f>
        <v>91</v>
      </c>
      <c r="O82" s="212" t="str">
        <f>OtherTourDestination!C90</f>
        <v>Gamma091</v>
      </c>
      <c r="P82" s="213">
        <f>OtherTourDestination!E90</f>
        <v>-9.3194311560499994</v>
      </c>
      <c r="Q82" s="285">
        <f t="shared" si="10"/>
        <v>-9.3194311560499994</v>
      </c>
    </row>
    <row r="83" spans="13:17" x14ac:dyDescent="0.25">
      <c r="M83" s="212" t="str">
        <f>VLOOKUP(N83,Coeff_Descr!$A:$D,3,FALSE)</f>
        <v>PERSBUS/MED</v>
      </c>
      <c r="N83" s="212">
        <f>OtherTourDestination!B91</f>
        <v>92</v>
      </c>
      <c r="O83" s="212" t="str">
        <f>OtherTourDestination!C91</f>
        <v>Gamma092</v>
      </c>
      <c r="P83" s="213">
        <f>OtherTourDestination!E91</f>
        <v>-0.20086270196799999</v>
      </c>
      <c r="Q83" s="285">
        <f t="shared" si="10"/>
        <v>-0.20086270196799999</v>
      </c>
    </row>
    <row r="84" spans="13:17" x14ac:dyDescent="0.25">
      <c r="M84" s="212" t="str">
        <f>VLOOKUP(N84,Coeff_Descr!$A:$D,3,FALSE)</f>
        <v>PERSBUS/MED</v>
      </c>
      <c r="N84" s="212">
        <f>OtherTourDestination!B92</f>
        <v>93</v>
      </c>
      <c r="O84" s="212" t="str">
        <f>OtherTourDestination!C92</f>
        <v>Gamma093</v>
      </c>
      <c r="P84" s="213">
        <f>OtherTourDestination!E92</f>
        <v>-2.1843835309699999</v>
      </c>
      <c r="Q84" s="285">
        <f t="shared" si="10"/>
        <v>-2.1843835309699999</v>
      </c>
    </row>
    <row r="85" spans="13:17" x14ac:dyDescent="0.25">
      <c r="M85" s="212" t="str">
        <f>VLOOKUP(N85,Coeff_Descr!$A:$D,3,FALSE)</f>
        <v>PERSBUS/MED</v>
      </c>
      <c r="N85" s="212">
        <f>OtherTourDestination!B93</f>
        <v>94</v>
      </c>
      <c r="O85" s="212" t="str">
        <f>OtherTourDestination!C93</f>
        <v>Gamma094</v>
      </c>
      <c r="P85" s="213">
        <f>OtherTourDestination!E93</f>
        <v>0</v>
      </c>
      <c r="Q85" s="285">
        <f t="shared" si="10"/>
        <v>0</v>
      </c>
    </row>
    <row r="86" spans="13:17" x14ac:dyDescent="0.25">
      <c r="M86" s="212" t="str">
        <f>VLOOKUP(N86,Coeff_Descr!$A:$D,3,FALSE)</f>
        <v>PERSBUS/MED</v>
      </c>
      <c r="N86" s="212">
        <f>OtherTourDestination!B94</f>
        <v>95</v>
      </c>
      <c r="O86" s="212" t="str">
        <f>OtherTourDestination!C94</f>
        <v>Gamma095</v>
      </c>
      <c r="P86" s="213">
        <f>OtherTourDestination!E94</f>
        <v>-9.9476357147400005</v>
      </c>
      <c r="Q86" s="285">
        <f t="shared" si="10"/>
        <v>-9.9476357147400005</v>
      </c>
    </row>
    <row r="87" spans="13:17" x14ac:dyDescent="0.25">
      <c r="M87" s="212" t="str">
        <f>VLOOKUP(N87,Coeff_Descr!$A:$D,3,FALSE)</f>
        <v>PERSBUS/MED</v>
      </c>
      <c r="N87" s="212">
        <f>OtherTourDestination!B95</f>
        <v>96</v>
      </c>
      <c r="O87" s="212" t="str">
        <f>OtherTourDestination!C95</f>
        <v>Gamma096</v>
      </c>
      <c r="P87" s="213">
        <f>OtherTourDestination!E95</f>
        <v>-12.800107987600001</v>
      </c>
      <c r="Q87" s="285">
        <f t="shared" si="10"/>
        <v>-12.800107987600001</v>
      </c>
    </row>
    <row r="88" spans="13:17" x14ac:dyDescent="0.25">
      <c r="M88" s="212" t="str">
        <f>VLOOKUP(N88,Coeff_Descr!$A:$D,3,FALSE)</f>
        <v>PERSBUS/MED</v>
      </c>
      <c r="N88" s="212">
        <f>OtherTourDestination!B96</f>
        <v>97</v>
      </c>
      <c r="O88" s="212" t="str">
        <f>OtherTourDestination!C96</f>
        <v>Gamma097</v>
      </c>
      <c r="P88" s="213">
        <f>OtherTourDestination!E96</f>
        <v>-30</v>
      </c>
      <c r="Q88" s="285">
        <f t="shared" si="10"/>
        <v>-30</v>
      </c>
    </row>
    <row r="89" spans="13:17" x14ac:dyDescent="0.25">
      <c r="M89" s="212" t="str">
        <f>VLOOKUP(N89,Coeff_Descr!$A:$D,3,FALSE)</f>
        <v>SHOP</v>
      </c>
      <c r="N89" s="212">
        <f>OtherTourDestination!B97</f>
        <v>98</v>
      </c>
      <c r="O89" s="212" t="str">
        <f>OtherTourDestination!C97</f>
        <v>Gamma098</v>
      </c>
      <c r="P89" s="213">
        <f>OtherTourDestination!E97</f>
        <v>-21.699928591700001</v>
      </c>
      <c r="Q89" s="285">
        <f t="shared" si="10"/>
        <v>-21.699928591700001</v>
      </c>
    </row>
    <row r="90" spans="13:17" x14ac:dyDescent="0.25">
      <c r="M90" s="212" t="str">
        <f>VLOOKUP(N90,Coeff_Descr!$A:$D,3,FALSE)</f>
        <v>SHOP</v>
      </c>
      <c r="N90" s="212">
        <f>OtherTourDestination!B98</f>
        <v>99</v>
      </c>
      <c r="O90" s="212" t="str">
        <f>OtherTourDestination!C98</f>
        <v>Gamma099</v>
      </c>
      <c r="P90" s="213">
        <f>OtherTourDestination!E98</f>
        <v>-17.700475093400001</v>
      </c>
      <c r="Q90" s="285">
        <f t="shared" si="10"/>
        <v>-17.700475093400001</v>
      </c>
    </row>
    <row r="91" spans="13:17" x14ac:dyDescent="0.25">
      <c r="M91" s="212" t="str">
        <f>VLOOKUP(N91,Coeff_Descr!$A:$D,3,FALSE)</f>
        <v>SHOP</v>
      </c>
      <c r="N91" s="212">
        <f>OtherTourDestination!B99</f>
        <v>100</v>
      </c>
      <c r="O91" s="212" t="str">
        <f>OtherTourDestination!C99</f>
        <v>Gamma100</v>
      </c>
      <c r="P91" s="213">
        <f>OtherTourDestination!E99</f>
        <v>-0.7</v>
      </c>
      <c r="Q91" s="285">
        <f t="shared" si="10"/>
        <v>-0.7</v>
      </c>
    </row>
    <row r="92" spans="13:17" x14ac:dyDescent="0.25">
      <c r="M92" s="212" t="str">
        <f>VLOOKUP(N92,Coeff_Descr!$A:$D,3,FALSE)</f>
        <v>SHOP</v>
      </c>
      <c r="N92" s="212">
        <f>OtherTourDestination!B100</f>
        <v>101</v>
      </c>
      <c r="O92" s="212" t="str">
        <f>OtherTourDestination!C100</f>
        <v>Gamma101</v>
      </c>
      <c r="P92" s="213">
        <f>OtherTourDestination!E100</f>
        <v>-17.8758745875</v>
      </c>
      <c r="Q92" s="285">
        <f t="shared" si="10"/>
        <v>-17.8758745875</v>
      </c>
    </row>
    <row r="93" spans="13:17" x14ac:dyDescent="0.25">
      <c r="M93" s="212" t="str">
        <f>VLOOKUP(N93,Coeff_Descr!$A:$D,3,FALSE)</f>
        <v>MEAL</v>
      </c>
      <c r="N93" s="212">
        <f>OtherTourDestination!B101</f>
        <v>102</v>
      </c>
      <c r="O93" s="212" t="str">
        <f>OtherTourDestination!C101</f>
        <v>Gamma102</v>
      </c>
      <c r="P93" s="213">
        <f>OtherTourDestination!E101</f>
        <v>0</v>
      </c>
      <c r="Q93" s="285">
        <f t="shared" si="10"/>
        <v>0</v>
      </c>
    </row>
    <row r="94" spans="13:17" x14ac:dyDescent="0.25">
      <c r="M94" s="212" t="str">
        <f>VLOOKUP(N94,Coeff_Descr!$A:$D,3,FALSE)</f>
        <v>MEAL</v>
      </c>
      <c r="N94" s="212">
        <f>OtherTourDestination!B102</f>
        <v>103</v>
      </c>
      <c r="O94" s="212" t="str">
        <f>OtherTourDestination!C102</f>
        <v>Gamma103</v>
      </c>
      <c r="P94" s="213">
        <f>OtherTourDestination!E102</f>
        <v>5</v>
      </c>
      <c r="Q94" s="285">
        <f t="shared" si="10"/>
        <v>5</v>
      </c>
    </row>
    <row r="95" spans="13:17" x14ac:dyDescent="0.25">
      <c r="M95" s="212" t="str">
        <f>VLOOKUP(N95,Coeff_Descr!$A:$D,3,FALSE)</f>
        <v>MEAL</v>
      </c>
      <c r="N95" s="212">
        <f>OtherTourDestination!B103</f>
        <v>104</v>
      </c>
      <c r="O95" s="212" t="str">
        <f>OtherTourDestination!C103</f>
        <v>Gamma104</v>
      </c>
      <c r="P95" s="213">
        <f>OtherTourDestination!E103</f>
        <v>-30</v>
      </c>
      <c r="Q95" s="285">
        <f t="shared" si="10"/>
        <v>-30</v>
      </c>
    </row>
    <row r="96" spans="13:17" x14ac:dyDescent="0.25">
      <c r="M96" s="212" t="str">
        <f>VLOOKUP(N96,Coeff_Descr!$A:$D,3,FALSE)</f>
        <v>MEAL</v>
      </c>
      <c r="N96" s="212">
        <f>OtherTourDestination!B104</f>
        <v>105</v>
      </c>
      <c r="O96" s="212" t="str">
        <f>OtherTourDestination!C104</f>
        <v>Gamma105</v>
      </c>
      <c r="P96" s="213">
        <f>OtherTourDestination!E104</f>
        <v>-24.158093970700001</v>
      </c>
      <c r="Q96" s="285">
        <f t="shared" si="10"/>
        <v>-24.158093970700001</v>
      </c>
    </row>
    <row r="97" spans="13:17" x14ac:dyDescent="0.25">
      <c r="M97" s="212" t="str">
        <f>VLOOKUP(N97,Coeff_Descr!$A:$D,3,FALSE)</f>
        <v>SOCREC</v>
      </c>
      <c r="N97" s="212">
        <f>OtherTourDestination!B105</f>
        <v>106</v>
      </c>
      <c r="O97" s="212" t="str">
        <f>OtherTourDestination!C105</f>
        <v>Gamma106</v>
      </c>
      <c r="P97" s="213">
        <f>OtherTourDestination!E105</f>
        <v>-9.5803170794600003</v>
      </c>
      <c r="Q97" s="285">
        <f t="shared" si="10"/>
        <v>-9.5803170794600003</v>
      </c>
    </row>
    <row r="98" spans="13:17" x14ac:dyDescent="0.25">
      <c r="M98" s="212" t="str">
        <f>VLOOKUP(N98,Coeff_Descr!$A:$D,3,FALSE)</f>
        <v>SOCREC</v>
      </c>
      <c r="N98" s="212">
        <f>OtherTourDestination!B106</f>
        <v>107</v>
      </c>
      <c r="O98" s="212" t="str">
        <f>OtherTourDestination!C106</f>
        <v>Gamma107</v>
      </c>
      <c r="P98" s="213">
        <f>OtherTourDestination!E106</f>
        <v>0</v>
      </c>
      <c r="Q98" s="285">
        <f t="shared" si="10"/>
        <v>0</v>
      </c>
    </row>
    <row r="99" spans="13:17" x14ac:dyDescent="0.25">
      <c r="M99" s="212" t="str">
        <f>VLOOKUP(N99,Coeff_Descr!$A:$D,3,FALSE)</f>
        <v>SOCREC</v>
      </c>
      <c r="N99" s="212">
        <f>OtherTourDestination!B107</f>
        <v>108</v>
      </c>
      <c r="O99" s="212" t="str">
        <f>OtherTourDestination!C107</f>
        <v>Gamma108</v>
      </c>
      <c r="P99" s="213">
        <f>OtherTourDestination!E107</f>
        <v>-15.671349338700001</v>
      </c>
      <c r="Q99" s="285">
        <f t="shared" si="10"/>
        <v>-15.671349338700001</v>
      </c>
    </row>
    <row r="100" spans="13:17" x14ac:dyDescent="0.25">
      <c r="M100" s="212" t="str">
        <f>VLOOKUP(N100,Coeff_Descr!$A:$D,3,FALSE)</f>
        <v>SOCREC</v>
      </c>
      <c r="N100" s="212">
        <f>OtherTourDestination!B108</f>
        <v>109</v>
      </c>
      <c r="O100" s="212" t="str">
        <f>OtherTourDestination!C108</f>
        <v>Gamma109</v>
      </c>
      <c r="P100" s="213">
        <f>OtherTourDestination!E108</f>
        <v>-18.208541213899998</v>
      </c>
      <c r="Q100" s="285">
        <f t="shared" si="10"/>
        <v>-18.208541213899998</v>
      </c>
    </row>
    <row r="101" spans="13:17" x14ac:dyDescent="0.25">
      <c r="M101" s="212" t="str">
        <f>VLOOKUP(N101,Coeff_Descr!$A:$D,3,FALSE)</f>
        <v>SOCREC</v>
      </c>
      <c r="N101" s="212">
        <f>OtherTourDestination!B109</f>
        <v>110</v>
      </c>
      <c r="O101" s="212" t="str">
        <f>OtherTourDestination!C109</f>
        <v>Gamma110</v>
      </c>
      <c r="P101" s="213">
        <f>OtherTourDestination!E109</f>
        <v>-11.2471450075</v>
      </c>
      <c r="Q101" s="285">
        <f t="shared" si="10"/>
        <v>-11.2471450075</v>
      </c>
    </row>
    <row r="102" spans="13:17" x14ac:dyDescent="0.25">
      <c r="M102" s="212" t="str">
        <f>VLOOKUP(N102,Coeff_Descr!$A:$D,3,FALSE)</f>
        <v>SOCREC</v>
      </c>
      <c r="N102" s="212">
        <f>OtherTourDestination!B110</f>
        <v>111</v>
      </c>
      <c r="O102" s="212" t="str">
        <f>OtherTourDestination!C110</f>
        <v>Gamma111</v>
      </c>
      <c r="P102" s="213">
        <f>OtherTourDestination!E110</f>
        <v>-10.0807778908</v>
      </c>
      <c r="Q102" s="285">
        <f t="shared" si="10"/>
        <v>-10.0807778908</v>
      </c>
    </row>
    <row r="103" spans="13:17" x14ac:dyDescent="0.25">
      <c r="M103" s="212" t="str">
        <f>VLOOKUP(N103,Coeff_Descr!$A:$D,3,FALSE)</f>
        <v>SOCREC</v>
      </c>
      <c r="N103" s="212">
        <f>OtherTourDestination!B111</f>
        <v>112</v>
      </c>
      <c r="O103" s="212" t="str">
        <f>OtherTourDestination!C111</f>
        <v>Gamma112</v>
      </c>
      <c r="P103" s="213">
        <f>OtherTourDestination!E111</f>
        <v>-5.6623999999999999</v>
      </c>
      <c r="Q103" s="285">
        <f t="shared" si="10"/>
        <v>-5.6623999999999999</v>
      </c>
    </row>
    <row r="104" spans="13:17" x14ac:dyDescent="0.25">
      <c r="M104" s="212" t="str">
        <f>VLOOKUP(N104,Coeff_Descr!$A:$D,3,FALSE)</f>
        <v>SOCREC</v>
      </c>
      <c r="N104" s="212">
        <f>OtherTourDestination!B112</f>
        <v>113</v>
      </c>
      <c r="O104" s="212" t="str">
        <f>OtherTourDestination!C112</f>
        <v>Gamma113</v>
      </c>
      <c r="P104" s="213">
        <f>OtherTourDestination!E112</f>
        <v>-12.0597581892</v>
      </c>
      <c r="Q104" s="285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2017-06-23T18:05:30Z</dcterms:modified>
</cp:coreProperties>
</file>