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10050" yWindow="-15" windowWidth="14190" windowHeight="10695" activeTab="3"/>
  </bookViews>
  <sheets>
    <sheet name="TLFD" sheetId="3" r:id="rId1"/>
    <sheet name="TDFD" sheetId="4" r:id="rId2"/>
    <sheet name="County_Flow" sheetId="1" r:id="rId3"/>
    <sheet name="Documentation" sheetId="5" r:id="rId4"/>
    <sheet name="OtherTourDestination" sheetId="7" r:id="rId5"/>
    <sheet name="Calibration" sheetId="6" r:id="rId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71027"/>
</workbook>
</file>

<file path=xl/calcChain.xml><?xml version="1.0" encoding="utf-8"?>
<calcChain xmlns="http://schemas.openxmlformats.org/spreadsheetml/2006/main">
  <c r="J4" i="6" l="1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3" i="6"/>
  <c r="B26" i="6" l="1"/>
  <c r="B25" i="6" l="1"/>
  <c r="B24" i="6"/>
  <c r="B23" i="6"/>
  <c r="E7" i="6"/>
  <c r="B7" i="6"/>
  <c r="E6" i="6"/>
  <c r="B6" i="6"/>
  <c r="E5" i="6"/>
  <c r="B5" i="6"/>
  <c r="E4" i="6"/>
  <c r="B4" i="6"/>
  <c r="K51" i="6"/>
  <c r="K50" i="6"/>
  <c r="K49" i="6"/>
  <c r="K48" i="6"/>
  <c r="K47" i="6"/>
  <c r="K46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53" i="6"/>
  <c r="K52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E8" i="6"/>
  <c r="K4" i="6"/>
  <c r="K3" i="6"/>
  <c r="E12" i="6" l="1"/>
  <c r="E16" i="6"/>
  <c r="E14" i="6"/>
  <c r="E15" i="6"/>
  <c r="B8" i="6"/>
  <c r="B14" i="6" s="1"/>
  <c r="E13" i="6"/>
  <c r="J13" i="1"/>
  <c r="H15" i="1"/>
  <c r="U13" i="1"/>
  <c r="S15" i="1"/>
  <c r="B16" i="6" l="1"/>
  <c r="B13" i="6"/>
  <c r="B12" i="6"/>
  <c r="B33" i="6" s="1"/>
  <c r="B43" i="6" s="1"/>
  <c r="K23" i="6" s="1"/>
  <c r="B15" i="6"/>
  <c r="U26" i="1"/>
  <c r="S28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C26" i="1"/>
  <c r="D26" i="1"/>
  <c r="E26" i="1"/>
  <c r="F26" i="1"/>
  <c r="G26" i="1"/>
  <c r="H26" i="1"/>
  <c r="I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B35" i="6" l="1"/>
  <c r="B36" i="6"/>
  <c r="B46" i="6" s="1"/>
  <c r="K26" i="6" s="1"/>
  <c r="B34" i="6"/>
  <c r="B44" i="6" s="1"/>
  <c r="K24" i="6" s="1"/>
  <c r="B45" i="6"/>
  <c r="K25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J10" i="1"/>
  <c r="G23" i="1" s="1"/>
  <c r="J11" i="1"/>
  <c r="J12" i="1"/>
  <c r="F15" i="1"/>
  <c r="G15" i="1"/>
  <c r="G25" i="1" l="1"/>
  <c r="H25" i="1"/>
  <c r="G24" i="1"/>
  <c r="H24" i="1"/>
  <c r="H23" i="1"/>
  <c r="I25" i="1"/>
  <c r="I24" i="1"/>
  <c r="I23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0" i="4" s="1"/>
  <c r="F102" i="3"/>
  <c r="G102" i="3" s="1"/>
  <c r="B102" i="3"/>
  <c r="C13" i="3" s="1"/>
  <c r="H21" i="1" l="1"/>
  <c r="H20" i="1"/>
  <c r="H22" i="1"/>
  <c r="J25" i="1"/>
  <c r="J24" i="1"/>
  <c r="U20" i="1"/>
  <c r="I20" i="1"/>
  <c r="U21" i="1"/>
  <c r="G21" i="1"/>
  <c r="I21" i="1"/>
  <c r="J27" i="1"/>
  <c r="I22" i="1"/>
  <c r="G22" i="1"/>
  <c r="F21" i="1"/>
  <c r="G20" i="1"/>
  <c r="G28" i="1" s="1"/>
  <c r="B20" i="1"/>
  <c r="C20" i="1"/>
  <c r="D20" i="1"/>
  <c r="E20" i="1"/>
  <c r="F20" i="1"/>
  <c r="D21" i="1"/>
  <c r="E21" i="1"/>
  <c r="J15" i="1"/>
  <c r="C21" i="1"/>
  <c r="C22" i="1"/>
  <c r="D22" i="1"/>
  <c r="E22" i="1"/>
  <c r="F22" i="1"/>
  <c r="U15" i="1"/>
  <c r="U28" i="1" s="1"/>
  <c r="U22" i="1"/>
  <c r="B21" i="1"/>
  <c r="B22" i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J20" i="1" l="1"/>
  <c r="H28" i="1"/>
  <c r="I28" i="1"/>
  <c r="R39" i="1"/>
  <c r="O39" i="1"/>
  <c r="Q39" i="1"/>
  <c r="N39" i="1"/>
  <c r="M39" i="1"/>
  <c r="S36" i="1"/>
  <c r="S38" i="1"/>
  <c r="S39" i="1"/>
  <c r="S41" i="1"/>
  <c r="S35" i="1"/>
  <c r="S33" i="1"/>
  <c r="P39" i="1"/>
  <c r="S34" i="1"/>
  <c r="S37" i="1"/>
  <c r="U39" i="1"/>
  <c r="C28" i="1"/>
  <c r="F28" i="1"/>
  <c r="R33" i="1"/>
  <c r="R41" i="1"/>
  <c r="Q41" i="1"/>
  <c r="E28" i="1"/>
  <c r="U35" i="1"/>
  <c r="U36" i="1"/>
  <c r="R38" i="1"/>
  <c r="O33" i="1"/>
  <c r="M41" i="1"/>
  <c r="N36" i="1"/>
  <c r="Q33" i="1"/>
  <c r="P33" i="1"/>
  <c r="O36" i="1"/>
  <c r="P35" i="1"/>
  <c r="R37" i="1"/>
  <c r="R35" i="1"/>
  <c r="O35" i="1"/>
  <c r="P37" i="1"/>
  <c r="Q35" i="1"/>
  <c r="N35" i="1"/>
  <c r="Q37" i="1"/>
  <c r="U41" i="1"/>
  <c r="T41" i="1"/>
  <c r="M37" i="1"/>
  <c r="N37" i="1"/>
  <c r="O37" i="1"/>
  <c r="O38" i="1"/>
  <c r="U37" i="1"/>
  <c r="N38" i="1"/>
  <c r="M35" i="1"/>
  <c r="M38" i="1"/>
  <c r="P38" i="1"/>
  <c r="N41" i="1"/>
  <c r="Q36" i="1"/>
  <c r="R34" i="1"/>
  <c r="P41" i="1"/>
  <c r="U38" i="1"/>
  <c r="O34" i="1"/>
  <c r="J21" i="1"/>
  <c r="B28" i="1"/>
  <c r="M36" i="1"/>
  <c r="J22" i="1"/>
  <c r="Q38" i="1"/>
  <c r="O41" i="1"/>
  <c r="D28" i="1"/>
  <c r="U34" i="1"/>
  <c r="P36" i="1"/>
  <c r="Q34" i="1"/>
  <c r="M34" i="1"/>
  <c r="P34" i="1"/>
  <c r="M33" i="1"/>
  <c r="N34" i="1"/>
  <c r="U33" i="1"/>
  <c r="R36" i="1"/>
  <c r="N33" i="1"/>
  <c r="J28" i="1" l="1"/>
  <c r="C40" i="1" s="1"/>
  <c r="D35" i="1"/>
  <c r="Z35" i="1" s="1"/>
  <c r="G41" i="1"/>
  <c r="AC41" i="1" s="1"/>
  <c r="G40" i="1"/>
  <c r="I34" i="1"/>
  <c r="F40" i="1"/>
  <c r="E35" i="1"/>
  <c r="AA35" i="1" s="1"/>
  <c r="I37" i="1"/>
  <c r="G36" i="1"/>
  <c r="AC36" i="1" s="1"/>
  <c r="G38" i="1"/>
  <c r="AC38" i="1" s="1"/>
  <c r="I38" i="1"/>
  <c r="C35" i="1"/>
  <c r="Y35" i="1" s="1"/>
  <c r="D34" i="1"/>
  <c r="Z34" i="1" s="1"/>
  <c r="J37" i="1"/>
  <c r="AF37" i="1" s="1"/>
  <c r="I41" i="1"/>
  <c r="AE41" i="1" s="1"/>
  <c r="E33" i="1"/>
  <c r="AA33" i="1" s="1"/>
  <c r="C33" i="1"/>
  <c r="Y33" i="1" s="1"/>
  <c r="E38" i="1"/>
  <c r="AA38" i="1" s="1"/>
  <c r="F33" i="1"/>
  <c r="AB33" i="1" s="1"/>
  <c r="C34" i="1"/>
  <c r="Y34" i="1" s="1"/>
  <c r="D33" i="1"/>
  <c r="Z33" i="1" s="1"/>
  <c r="G33" i="1"/>
  <c r="AC33" i="1" s="1"/>
  <c r="B33" i="1"/>
  <c r="X33" i="1" s="1"/>
  <c r="E41" i="1"/>
  <c r="AA41" i="1" s="1"/>
  <c r="G35" i="1" l="1"/>
  <c r="AC35" i="1" s="1"/>
  <c r="F41" i="1"/>
  <c r="AB41" i="1" s="1"/>
  <c r="B41" i="1"/>
  <c r="X41" i="1" s="1"/>
  <c r="J34" i="1"/>
  <c r="AF34" i="1" s="1"/>
  <c r="F35" i="1"/>
  <c r="AB35" i="1" s="1"/>
  <c r="I35" i="1"/>
  <c r="C37" i="1"/>
  <c r="Y37" i="1" s="1"/>
  <c r="B37" i="1"/>
  <c r="X37" i="1" s="1"/>
  <c r="D41" i="1"/>
  <c r="Z41" i="1" s="1"/>
  <c r="B35" i="1"/>
  <c r="X35" i="1" s="1"/>
  <c r="B36" i="1"/>
  <c r="X36" i="1" s="1"/>
  <c r="I33" i="1"/>
  <c r="C41" i="1"/>
  <c r="Y41" i="1" s="1"/>
  <c r="E36" i="1"/>
  <c r="AA36" i="1" s="1"/>
  <c r="F34" i="1"/>
  <c r="AB34" i="1" s="1"/>
  <c r="J40" i="1"/>
  <c r="F36" i="1"/>
  <c r="AB36" i="1" s="1"/>
  <c r="F37" i="1"/>
  <c r="AB37" i="1" s="1"/>
  <c r="D37" i="1"/>
  <c r="Z37" i="1" s="1"/>
  <c r="C38" i="1"/>
  <c r="Y38" i="1" s="1"/>
  <c r="B38" i="1"/>
  <c r="X38" i="1" s="1"/>
  <c r="J33" i="1"/>
  <c r="AF33" i="1" s="1"/>
  <c r="J35" i="1"/>
  <c r="AF35" i="1" s="1"/>
  <c r="J41" i="1"/>
  <c r="AF41" i="1" s="1"/>
  <c r="C36" i="1"/>
  <c r="Y36" i="1" s="1"/>
  <c r="F38" i="1"/>
  <c r="AB38" i="1" s="1"/>
  <c r="G34" i="1"/>
  <c r="AC34" i="1" s="1"/>
  <c r="F39" i="1"/>
  <c r="AB39" i="1" s="1"/>
  <c r="G39" i="1"/>
  <c r="AC39" i="1" s="1"/>
  <c r="B39" i="1"/>
  <c r="X39" i="1" s="1"/>
  <c r="H39" i="1"/>
  <c r="AD39" i="1" s="1"/>
  <c r="I39" i="1"/>
  <c r="C39" i="1"/>
  <c r="Y39" i="1" s="1"/>
  <c r="E39" i="1"/>
  <c r="AA39" i="1" s="1"/>
  <c r="D39" i="1"/>
  <c r="Z39" i="1" s="1"/>
  <c r="J39" i="1"/>
  <c r="AF39" i="1" s="1"/>
  <c r="H36" i="1"/>
  <c r="AD36" i="1" s="1"/>
  <c r="H37" i="1"/>
  <c r="AD37" i="1" s="1"/>
  <c r="H38" i="1"/>
  <c r="AD38" i="1" s="1"/>
  <c r="H40" i="1"/>
  <c r="H35" i="1"/>
  <c r="AD35" i="1" s="1"/>
  <c r="H33" i="1"/>
  <c r="AD33" i="1" s="1"/>
  <c r="H34" i="1"/>
  <c r="AD34" i="1" s="1"/>
  <c r="E37" i="1"/>
  <c r="AA37" i="1" s="1"/>
  <c r="E40" i="1"/>
  <c r="B40" i="1"/>
  <c r="D40" i="1"/>
  <c r="J38" i="1"/>
  <c r="AF38" i="1" s="1"/>
  <c r="I36" i="1"/>
  <c r="D36" i="1"/>
  <c r="Z36" i="1" s="1"/>
  <c r="H41" i="1"/>
  <c r="AD41" i="1" s="1"/>
  <c r="B34" i="1"/>
  <c r="X34" i="1" s="1"/>
  <c r="D38" i="1"/>
  <c r="Z38" i="1" s="1"/>
  <c r="J36" i="1"/>
  <c r="AF36" i="1" s="1"/>
  <c r="I40" i="1"/>
  <c r="E34" i="1"/>
  <c r="AA34" i="1" s="1"/>
  <c r="G37" i="1"/>
  <c r="AC37" i="1" s="1"/>
</calcChain>
</file>

<file path=xl/sharedStrings.xml><?xml version="1.0" encoding="utf-8"?>
<sst xmlns="http://schemas.openxmlformats.org/spreadsheetml/2006/main" count="670" uniqueCount="264">
  <si>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</si>
  <si>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</si>
  <si>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</si>
  <si>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</si>
  <si>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</si>
  <si>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</si>
  <si>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</si>
  <si>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</si>
  <si>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</si>
  <si>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</si>
  <si>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</si>
  <si>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</si>
  <si>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</si>
  <si>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</si>
  <si>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</si>
  <si>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</si>
  <si>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</si>
  <si>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</si>
  <si>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</si>
  <si>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</si>
  <si>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</si>
  <si>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</si>
  <si>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</si>
  <si>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</si>
  <si>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</si>
  <si>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</si>
  <si>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</si>
  <si>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</si>
  <si>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</si>
  <si>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</si>
  <si>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</si>
  <si>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</si>
  <si>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</si>
  <si>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</si>
  <si>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</si>
  <si>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</si>
  <si>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</si>
  <si>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</si>
  <si>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</si>
  <si>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</si>
  <si>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</si>
  <si>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</si>
  <si>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</si>
  <si>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</si>
  <si>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</si>
  <si>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</si>
  <si>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</si>
  <si>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</si>
  <si>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</si>
  <si>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</si>
  <si>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Current</t>
  </si>
  <si>
    <t>Next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</si>
  <si>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</si>
  <si>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</si>
  <si>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</si>
  <si>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</si>
  <si>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</si>
  <si>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</si>
  <si>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</si>
  <si>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</si>
  <si>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</si>
  <si>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</si>
  <si>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</si>
  <si>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</si>
  <si>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</si>
  <si>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</si>
  <si>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</si>
  <si>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</si>
  <si>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</si>
  <si>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</si>
  <si>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</si>
  <si>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</si>
  <si>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</si>
  <si>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</si>
  <si>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</si>
  <si>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</si>
  <si>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</si>
  <si>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</si>
  <si>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</si>
  <si>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</si>
  <si>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</si>
  <si>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</si>
  <si>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</si>
  <si>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</si>
  <si>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</si>
  <si>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</si>
  <si>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</si>
  <si>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</si>
  <si>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</si>
  <si>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</si>
  <si>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</si>
  <si>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</si>
  <si>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</si>
  <si>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</si>
  <si>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</si>
  <si>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</si>
  <si>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</si>
  <si>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</si>
  <si>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</si>
  <si>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</si>
  <si>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</si>
  <si>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</si>
  <si>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</si>
  <si>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</si>
  <si>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</si>
  <si>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</si>
  <si>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</si>
  <si>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</si>
  <si>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</si>
  <si>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</si>
  <si>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</si>
  <si>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</si>
  <si>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</si>
  <si>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</si>
  <si>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</si>
  <si>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</si>
  <si>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</si>
  <si>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</si>
  <si>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</si>
  <si>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</si>
  <si>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</si>
  <si>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</si>
  <si>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</si>
  <si>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</si>
  <si>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</si>
  <si>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</si>
  <si>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</si>
  <si>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</si>
  <si>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</si>
  <si>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</si>
  <si>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</si>
  <si>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</si>
  <si>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</si>
  <si>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</si>
  <si>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</si>
  <si>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</si>
  <si>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</si>
  <si>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</si>
  <si>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</si>
  <si>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</si>
  <si>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</si>
  <si>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</si>
  <si>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</si>
  <si>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</si>
  <si>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</si>
  <si>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</si>
  <si>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</si>
  <si>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</si>
  <si>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</si>
  <si>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</si>
  <si>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</si>
  <si>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</si>
  <si>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</si>
  <si>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</si>
  <si>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</si>
  <si>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</si>
  <si>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</si>
  <si>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</si>
  <si>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</si>
  <si>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</si>
  <si>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</si>
  <si>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</si>
  <si>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</si>
  <si>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</si>
  <si>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</si>
  <si>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</si>
  <si>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</si>
  <si>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</si>
  <si>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</si>
  <si>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</si>
  <si>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</si>
  <si>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</si>
  <si>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</si>
  <si>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</si>
  <si>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</si>
  <si>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</si>
  <si>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</si>
  <si>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</si>
  <si>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</si>
  <si>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</si>
  <si>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</si>
  <si>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</si>
  <si>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</si>
  <si>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</si>
  <si>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</si>
  <si>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</si>
  <si>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</si>
  <si>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</si>
  <si>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</si>
  <si>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</si>
  <si>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</si>
  <si>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</si>
  <si>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</si>
  <si>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</si>
  <si>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</si>
  <si>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</si>
  <si>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</si>
  <si>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</si>
  <si>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</si>
  <si>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</si>
  <si>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</si>
  <si>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</si>
  <si>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</si>
  <si>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</si>
  <si>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</si>
  <si>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</si>
  <si>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</si>
  <si>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</si>
  <si>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</si>
  <si>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</si>
  <si>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</si>
  <si>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</si>
  <si>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</si>
  <si>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</si>
  <si>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</si>
  <si>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</si>
  <si>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</si>
  <si>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</si>
  <si>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</si>
  <si>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</si>
  <si>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</si>
  <si>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</si>
  <si>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</si>
  <si>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</si>
  <si>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</si>
  <si>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</si>
  <si>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</si>
  <si>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</si>
  <si>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</si>
  <si>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</si>
  <si>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</si>
  <si>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</si>
  <si>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</si>
  <si>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</si>
  <si>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</si>
  <si>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Beta00924</t>
  </si>
  <si>
    <t>END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</si>
  <si>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</si>
  <si>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</si>
  <si>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</si>
  <si>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</si>
  <si>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</si>
  <si>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</si>
  <si>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</si>
  <si>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</si>
  <si>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</si>
  <si>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</si>
  <si>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</si>
  <si>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</si>
  <si>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</si>
  <si>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T</t>
  </si>
  <si>
    <t>F</t>
  </si>
  <si>
    <t>011:39:57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</si>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</sst>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0.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43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1" fillId="0" borderId="0" xfId="0" applyFont="1" applyAlignment="1">
      <alignment horizontal="right"/>
    </xf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1" fontId="0" fillId="0" borderId="0" xfId="0" applyNumberFormat="1" applyFont="1"/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6" fontId="0" fillId="0" borderId="0" xfId="0" applyNumberFormat="1" applyFont="1" applyFill="1"/>
    <xf numFmtId="11" fontId="0" fillId="0" borderId="0" xfId="0" applyNumberFormat="1" applyFont="1" applyFill="1"/>
    <xf numFmtId="169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9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9" fontId="0" fillId="4" borderId="0" xfId="0" applyNumberFormat="1" applyFont="1" applyFill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0.23272039185752647</c:v>
                </c:pt>
                <c:pt idx="1">
                  <c:v>0.14565940969687252</c:v>
                </c:pt>
                <c:pt idx="2">
                  <c:v>0.13699034769542398</c:v>
                </c:pt>
                <c:pt idx="3">
                  <c:v>0.10898364932828178</c:v>
                </c:pt>
                <c:pt idx="4">
                  <c:v>8.339175477335152E-2</c:v>
                </c:pt>
                <c:pt idx="5">
                  <c:v>5.4181118026205226E-2</c:v>
                </c:pt>
                <c:pt idx="6">
                  <c:v>4.2102169790026289E-2</c:v>
                </c:pt>
                <c:pt idx="7">
                  <c:v>2.5371368685775175E-2</c:v>
                </c:pt>
                <c:pt idx="8">
                  <c:v>3.0395838528908276E-2</c:v>
                </c:pt>
                <c:pt idx="9">
                  <c:v>1.3695831921561449E-2</c:v>
                </c:pt>
                <c:pt idx="10">
                  <c:v>2.741832049457929E-2</c:v>
                </c:pt>
                <c:pt idx="11">
                  <c:v>1.2196207733030998E-2</c:v>
                </c:pt>
                <c:pt idx="12">
                  <c:v>1.6500782145435624E-2</c:v>
                </c:pt>
                <c:pt idx="13">
                  <c:v>7.5136000880949563E-3</c:v>
                </c:pt>
                <c:pt idx="14">
                  <c:v>2.0217158653914082E-3</c:v>
                </c:pt>
                <c:pt idx="15">
                  <c:v>4.4214592305248891E-3</c:v>
                </c:pt>
                <c:pt idx="16">
                  <c:v>1.8323428743712934E-2</c:v>
                </c:pt>
                <c:pt idx="17">
                  <c:v>2.3013932691736002E-3</c:v>
                </c:pt>
                <c:pt idx="18">
                  <c:v>4.1846673905903383E-3</c:v>
                </c:pt>
                <c:pt idx="19">
                  <c:v>2.2315726041016734E-3</c:v>
                </c:pt>
                <c:pt idx="20">
                  <c:v>3.2619671662659838E-3</c:v>
                </c:pt>
                <c:pt idx="21">
                  <c:v>6.1290176259122808E-3</c:v>
                </c:pt>
                <c:pt idx="22">
                  <c:v>7.8715415319330242E-4</c:v>
                </c:pt>
                <c:pt idx="23">
                  <c:v>5.3037201541095398E-3</c:v>
                </c:pt>
                <c:pt idx="24">
                  <c:v>1.6184002129051498E-3</c:v>
                </c:pt>
                <c:pt idx="25">
                  <c:v>0</c:v>
                </c:pt>
                <c:pt idx="26">
                  <c:v>3.5781878262046078E-3</c:v>
                </c:pt>
                <c:pt idx="27">
                  <c:v>1.1903051927285413E-3</c:v>
                </c:pt>
                <c:pt idx="28">
                  <c:v>6.4437780625092736E-4</c:v>
                </c:pt>
                <c:pt idx="29">
                  <c:v>6.08579607966088E-4</c:v>
                </c:pt>
                <c:pt idx="30">
                  <c:v>7.6363477070267151E-4</c:v>
                </c:pt>
                <c:pt idx="31">
                  <c:v>9.8394136066553141E-4</c:v>
                </c:pt>
                <c:pt idx="32">
                  <c:v>0</c:v>
                </c:pt>
                <c:pt idx="33">
                  <c:v>0</c:v>
                </c:pt>
                <c:pt idx="34">
                  <c:v>3.3575657280856267E-4</c:v>
                </c:pt>
                <c:pt idx="35">
                  <c:v>2.3428100104956016E-3</c:v>
                </c:pt>
                <c:pt idx="36">
                  <c:v>0</c:v>
                </c:pt>
                <c:pt idx="37">
                  <c:v>0</c:v>
                </c:pt>
                <c:pt idx="38">
                  <c:v>1.6167100637625299E-4</c:v>
                </c:pt>
                <c:pt idx="39">
                  <c:v>0</c:v>
                </c:pt>
                <c:pt idx="40">
                  <c:v>4.9800945730272303E-4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6.6921593503200193E-4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5.1822327251199762E-4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0.11504859658056181</c:v>
                </c:pt>
                <c:pt idx="1">
                  <c:v>8.2437411473284664E-2</c:v>
                </c:pt>
                <c:pt idx="2">
                  <c:v>5.5160621093428619E-2</c:v>
                </c:pt>
                <c:pt idx="3">
                  <c:v>3.5853180735697307E-2</c:v>
                </c:pt>
                <c:pt idx="4">
                  <c:v>0.14485360988875373</c:v>
                </c:pt>
                <c:pt idx="5">
                  <c:v>8.2357362198508866E-2</c:v>
                </c:pt>
                <c:pt idx="6">
                  <c:v>7.2671399950636276E-2</c:v>
                </c:pt>
                <c:pt idx="7">
                  <c:v>4.5681452805393541E-2</c:v>
                </c:pt>
                <c:pt idx="8">
                  <c:v>3.5710870913873649E-2</c:v>
                </c:pt>
                <c:pt idx="9">
                  <c:v>3.5561890319152009E-2</c:v>
                </c:pt>
                <c:pt idx="10">
                  <c:v>1.7877671366596772E-2</c:v>
                </c:pt>
                <c:pt idx="11">
                  <c:v>2.4982044502949594E-2</c:v>
                </c:pt>
                <c:pt idx="12">
                  <c:v>1.6270015098182659E-2</c:v>
                </c:pt>
                <c:pt idx="13">
                  <c:v>2.8444175637003223E-2</c:v>
                </c:pt>
                <c:pt idx="14">
                  <c:v>1.6696944563653626E-2</c:v>
                </c:pt>
                <c:pt idx="15">
                  <c:v>2.5604649973428088E-2</c:v>
                </c:pt>
                <c:pt idx="16">
                  <c:v>1.8397991652639514E-2</c:v>
                </c:pt>
                <c:pt idx="17">
                  <c:v>1.3179223655450132E-2</c:v>
                </c:pt>
                <c:pt idx="18">
                  <c:v>1.4271006819753494E-2</c:v>
                </c:pt>
                <c:pt idx="19">
                  <c:v>1.1891764486139246E-2</c:v>
                </c:pt>
                <c:pt idx="20">
                  <c:v>1.1193556922816934E-2</c:v>
                </c:pt>
                <c:pt idx="21">
                  <c:v>1.0895595733373654E-2</c:v>
                </c:pt>
                <c:pt idx="22">
                  <c:v>8.6075206293651872E-3</c:v>
                </c:pt>
                <c:pt idx="23">
                  <c:v>9.3435292391094073E-3</c:v>
                </c:pt>
                <c:pt idx="24">
                  <c:v>7.6758360146134399E-3</c:v>
                </c:pt>
                <c:pt idx="25">
                  <c:v>6.7952939920795687E-3</c:v>
                </c:pt>
                <c:pt idx="26">
                  <c:v>5.0119740373518809E-3</c:v>
                </c:pt>
                <c:pt idx="27">
                  <c:v>7.5668800572797033E-3</c:v>
                </c:pt>
                <c:pt idx="28">
                  <c:v>4.2581766998797035E-3</c:v>
                </c:pt>
                <c:pt idx="29">
                  <c:v>4.0135816936202953E-3</c:v>
                </c:pt>
                <c:pt idx="30">
                  <c:v>4.6006097086428756E-3</c:v>
                </c:pt>
                <c:pt idx="31">
                  <c:v>2.9484816209088705E-3</c:v>
                </c:pt>
                <c:pt idx="32">
                  <c:v>3.0396488505146503E-3</c:v>
                </c:pt>
                <c:pt idx="33">
                  <c:v>2.1079642357629031E-3</c:v>
                </c:pt>
                <c:pt idx="34">
                  <c:v>2.2702863762805105E-3</c:v>
                </c:pt>
                <c:pt idx="35">
                  <c:v>1.6543516786999997E-3</c:v>
                </c:pt>
                <c:pt idx="36">
                  <c:v>2.4459500625940859E-3</c:v>
                </c:pt>
                <c:pt idx="37">
                  <c:v>1.9500892771772847E-3</c:v>
                </c:pt>
                <c:pt idx="38">
                  <c:v>1.665469633529973E-3</c:v>
                </c:pt>
                <c:pt idx="39">
                  <c:v>1.2718940325489245E-3</c:v>
                </c:pt>
                <c:pt idx="40">
                  <c:v>1.1918447577731182E-3</c:v>
                </c:pt>
                <c:pt idx="41">
                  <c:v>8.6052970383991925E-4</c:v>
                </c:pt>
                <c:pt idx="42">
                  <c:v>8.5385893094193539E-4</c:v>
                </c:pt>
                <c:pt idx="43">
                  <c:v>5.0697874024677409E-4</c:v>
                </c:pt>
                <c:pt idx="44">
                  <c:v>5.8035724212459673E-4</c:v>
                </c:pt>
                <c:pt idx="45">
                  <c:v>6.893131994583332E-4</c:v>
                </c:pt>
                <c:pt idx="46">
                  <c:v>4.3582382933494615E-4</c:v>
                </c:pt>
                <c:pt idx="47">
                  <c:v>4.4694178416491932E-4</c:v>
                </c:pt>
                <c:pt idx="48">
                  <c:v>2.1124114176948922E-4</c:v>
                </c:pt>
                <c:pt idx="49">
                  <c:v>3.5132737262715051E-4</c:v>
                </c:pt>
                <c:pt idx="50">
                  <c:v>1.8233445921155911E-4</c:v>
                </c:pt>
                <c:pt idx="51">
                  <c:v>3.7133969132110208E-4</c:v>
                </c:pt>
                <c:pt idx="52">
                  <c:v>2.8017246171532252E-4</c:v>
                </c:pt>
                <c:pt idx="53">
                  <c:v>1.512041856876344E-4</c:v>
                </c:pt>
                <c:pt idx="54">
                  <c:v>8.4496456707795685E-5</c:v>
                </c:pt>
                <c:pt idx="55">
                  <c:v>1.0895595733373654E-4</c:v>
                </c:pt>
                <c:pt idx="56">
                  <c:v>6.0036956081854832E-5</c:v>
                </c:pt>
                <c:pt idx="57">
                  <c:v>6.226054704784946E-5</c:v>
                </c:pt>
                <c:pt idx="58">
                  <c:v>3.113027352392473E-5</c:v>
                </c:pt>
                <c:pt idx="59">
                  <c:v>4.6695410285887092E-5</c:v>
                </c:pt>
                <c:pt idx="60">
                  <c:v>3.5577455455913972E-5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7.8989348468194772E-3</c:v>
                </c:pt>
                <c:pt idx="1">
                  <c:v>1.7564762663427359E-2</c:v>
                </c:pt>
                <c:pt idx="2">
                  <c:v>3.88373450330173E-2</c:v>
                </c:pt>
                <c:pt idx="3">
                  <c:v>4.0661466596094542E-2</c:v>
                </c:pt>
                <c:pt idx="4">
                  <c:v>5.4053386770655611E-2</c:v>
                </c:pt>
                <c:pt idx="5">
                  <c:v>5.6803311020801973E-2</c:v>
                </c:pt>
                <c:pt idx="6">
                  <c:v>4.984974384735321E-2</c:v>
                </c:pt>
                <c:pt idx="7">
                  <c:v>6.2862371213668097E-2</c:v>
                </c:pt>
                <c:pt idx="8">
                  <c:v>7.0481828075877384E-2</c:v>
                </c:pt>
                <c:pt idx="9">
                  <c:v>4.4236537218096075E-2</c:v>
                </c:pt>
                <c:pt idx="10">
                  <c:v>6.4923810600101745E-2</c:v>
                </c:pt>
                <c:pt idx="11">
                  <c:v>6.2573728341587156E-2</c:v>
                </c:pt>
                <c:pt idx="12">
                  <c:v>3.7833572520830874E-2</c:v>
                </c:pt>
                <c:pt idx="13">
                  <c:v>4.5298213154773531E-2</c:v>
                </c:pt>
                <c:pt idx="14">
                  <c:v>3.6027544869362341E-2</c:v>
                </c:pt>
                <c:pt idx="15">
                  <c:v>2.8804557275971216E-2</c:v>
                </c:pt>
                <c:pt idx="16">
                  <c:v>4.1649032717562123E-2</c:v>
                </c:pt>
                <c:pt idx="17">
                  <c:v>2.7273981553057092E-2</c:v>
                </c:pt>
                <c:pt idx="18">
                  <c:v>1.4251332861492699E-2</c:v>
                </c:pt>
                <c:pt idx="19">
                  <c:v>1.4757268923768956E-2</c:v>
                </c:pt>
                <c:pt idx="20">
                  <c:v>1.4494050972406429E-2</c:v>
                </c:pt>
                <c:pt idx="21">
                  <c:v>1.7896339623322845E-2</c:v>
                </c:pt>
                <c:pt idx="22">
                  <c:v>7.5796985349460694E-3</c:v>
                </c:pt>
                <c:pt idx="23">
                  <c:v>1.2917583656606266E-2</c:v>
                </c:pt>
                <c:pt idx="24">
                  <c:v>2.963522084333773E-2</c:v>
                </c:pt>
                <c:pt idx="25">
                  <c:v>1.5519575120542316E-2</c:v>
                </c:pt>
                <c:pt idx="26">
                  <c:v>2.6156299745159809E-3</c:v>
                </c:pt>
                <c:pt idx="27">
                  <c:v>1.6603527652878702E-2</c:v>
                </c:pt>
                <c:pt idx="28">
                  <c:v>2.8182404675017648E-3</c:v>
                </c:pt>
                <c:pt idx="29">
                  <c:v>3.3004479004765173E-3</c:v>
                </c:pt>
                <c:pt idx="30">
                  <c:v>4.0312638854108135E-3</c:v>
                </c:pt>
                <c:pt idx="31">
                  <c:v>5.7012246008883525E-3</c:v>
                </c:pt>
                <c:pt idx="32">
                  <c:v>2.379039805920676E-3</c:v>
                </c:pt>
                <c:pt idx="33">
                  <c:v>7.6392304810943225E-4</c:v>
                </c:pt>
                <c:pt idx="34">
                  <c:v>1.9785923907861998E-3</c:v>
                </c:pt>
                <c:pt idx="35">
                  <c:v>1.780894488778977E-3</c:v>
                </c:pt>
                <c:pt idx="36">
                  <c:v>8.4750431169996268E-3</c:v>
                </c:pt>
                <c:pt idx="37">
                  <c:v>3.5182435287089004E-4</c:v>
                </c:pt>
                <c:pt idx="38">
                  <c:v>2.4998886431263721E-3</c:v>
                </c:pt>
                <c:pt idx="39">
                  <c:v>1.0733687795042293E-3</c:v>
                </c:pt>
                <c:pt idx="40">
                  <c:v>2.1158005613406052E-3</c:v>
                </c:pt>
                <c:pt idx="41">
                  <c:v>3.3106909618279561E-3</c:v>
                </c:pt>
                <c:pt idx="42">
                  <c:v>2.763595519522523E-4</c:v>
                </c:pt>
                <c:pt idx="43">
                  <c:v>2.4551102350844826E-3</c:v>
                </c:pt>
                <c:pt idx="44">
                  <c:v>3.0485186302923661E-3</c:v>
                </c:pt>
                <c:pt idx="45">
                  <c:v>3.1351662605290835E-3</c:v>
                </c:pt>
                <c:pt idx="46">
                  <c:v>2.1487512012637786E-3</c:v>
                </c:pt>
                <c:pt idx="47">
                  <c:v>1.3589171737969751E-3</c:v>
                </c:pt>
                <c:pt idx="48">
                  <c:v>1.6467130262530811E-4</c:v>
                </c:pt>
                <c:pt idx="49">
                  <c:v>8.6946492829507473E-4</c:v>
                </c:pt>
                <c:pt idx="50">
                  <c:v>1.8109523222532009E-3</c:v>
                </c:pt>
                <c:pt idx="51">
                  <c:v>2.0407522066189499E-4</c:v>
                </c:pt>
                <c:pt idx="52">
                  <c:v>0</c:v>
                </c:pt>
                <c:pt idx="53">
                  <c:v>0</c:v>
                </c:pt>
                <c:pt idx="54">
                  <c:v>6.4437780625092747E-4</c:v>
                </c:pt>
                <c:pt idx="55">
                  <c:v>1.8797341239999126E-3</c:v>
                </c:pt>
                <c:pt idx="56">
                  <c:v>0</c:v>
                </c:pt>
                <c:pt idx="57">
                  <c:v>0</c:v>
                </c:pt>
                <c:pt idx="58">
                  <c:v>3.3575657280856272E-4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2.9349177160163033E-2</c:v>
                </c:pt>
                <c:pt idx="1">
                  <c:v>2.0490390751640455E-2</c:v>
                </c:pt>
                <c:pt idx="2">
                  <c:v>2.4306072849287229E-2</c:v>
                </c:pt>
                <c:pt idx="3">
                  <c:v>2.5827009070027551E-2</c:v>
                </c:pt>
                <c:pt idx="4">
                  <c:v>2.5284452874324861E-2</c:v>
                </c:pt>
                <c:pt idx="5">
                  <c:v>2.42349179383754E-2</c:v>
                </c:pt>
                <c:pt idx="6">
                  <c:v>2.2424914892055777E-2</c:v>
                </c:pt>
                <c:pt idx="7">
                  <c:v>2.1359814819344351E-2</c:v>
                </c:pt>
                <c:pt idx="8">
                  <c:v>1.9692121594848386E-2</c:v>
                </c:pt>
                <c:pt idx="9">
                  <c:v>1.8295706468203762E-2</c:v>
                </c:pt>
                <c:pt idx="10">
                  <c:v>1.6461243921258195E-2</c:v>
                </c:pt>
                <c:pt idx="11">
                  <c:v>1.4288795547481449E-2</c:v>
                </c:pt>
                <c:pt idx="12">
                  <c:v>1.3570575665465186E-2</c:v>
                </c:pt>
                <c:pt idx="13">
                  <c:v>1.1533766340614111E-2</c:v>
                </c:pt>
                <c:pt idx="14">
                  <c:v>1.021072971584731E-2</c:v>
                </c:pt>
                <c:pt idx="15">
                  <c:v>9.4613795603071225E-3</c:v>
                </c:pt>
                <c:pt idx="16">
                  <c:v>9.3146225565514766E-3</c:v>
                </c:pt>
                <c:pt idx="17">
                  <c:v>8.0049274775806437E-3</c:v>
                </c:pt>
                <c:pt idx="18">
                  <c:v>0.10162700150981827</c:v>
                </c:pt>
                <c:pt idx="19">
                  <c:v>2.724121292440013E-2</c:v>
                </c:pt>
                <c:pt idx="20">
                  <c:v>3.1214769980632523E-2</c:v>
                </c:pt>
                <c:pt idx="21">
                  <c:v>4.3355576654963167E-2</c:v>
                </c:pt>
                <c:pt idx="22">
                  <c:v>3.4483448700644619E-2</c:v>
                </c:pt>
                <c:pt idx="23">
                  <c:v>3.3582894359416797E-2</c:v>
                </c:pt>
                <c:pt idx="24">
                  <c:v>2.5317806738814782E-2</c:v>
                </c:pt>
                <c:pt idx="25">
                  <c:v>2.9609337303184404E-2</c:v>
                </c:pt>
                <c:pt idx="26">
                  <c:v>1.8013310415522444E-2</c:v>
                </c:pt>
                <c:pt idx="27">
                  <c:v>2.2298170206994084E-2</c:v>
                </c:pt>
                <c:pt idx="28">
                  <c:v>2.1393168683834271E-2</c:v>
                </c:pt>
                <c:pt idx="29">
                  <c:v>2.2160307567102418E-2</c:v>
                </c:pt>
                <c:pt idx="30">
                  <c:v>1.781985800148091E-2</c:v>
                </c:pt>
                <c:pt idx="31">
                  <c:v>2.1339802500650401E-2</c:v>
                </c:pt>
                <c:pt idx="32">
                  <c:v>1.5062605203647579E-2</c:v>
                </c:pt>
                <c:pt idx="33">
                  <c:v>2.0276926018904972E-2</c:v>
                </c:pt>
                <c:pt idx="34">
                  <c:v>1.3801829125928627E-2</c:v>
                </c:pt>
                <c:pt idx="35">
                  <c:v>1.3170329291586154E-2</c:v>
                </c:pt>
                <c:pt idx="36">
                  <c:v>1.826679978564583E-2</c:v>
                </c:pt>
                <c:pt idx="37">
                  <c:v>1.210078203694274E-2</c:v>
                </c:pt>
                <c:pt idx="38">
                  <c:v>1.0010606528907794E-2</c:v>
                </c:pt>
                <c:pt idx="39">
                  <c:v>1.2062980990520831E-2</c:v>
                </c:pt>
                <c:pt idx="40">
                  <c:v>1.0144021986867471E-2</c:v>
                </c:pt>
                <c:pt idx="41">
                  <c:v>8.1961563006561818E-3</c:v>
                </c:pt>
                <c:pt idx="42">
                  <c:v>9.7437756129884392E-3</c:v>
                </c:pt>
                <c:pt idx="43">
                  <c:v>7.6447057410895152E-3</c:v>
                </c:pt>
                <c:pt idx="44">
                  <c:v>6.4528609833163966E-3</c:v>
                </c:pt>
                <c:pt idx="45">
                  <c:v>6.7285862630997303E-3</c:v>
                </c:pt>
                <c:pt idx="46">
                  <c:v>6.9487217687331983E-3</c:v>
                </c:pt>
                <c:pt idx="47">
                  <c:v>4.8029564865483864E-3</c:v>
                </c:pt>
                <c:pt idx="48">
                  <c:v>5.4633630034487896E-3</c:v>
                </c:pt>
                <c:pt idx="49">
                  <c:v>4.3960393397713708E-3</c:v>
                </c:pt>
                <c:pt idx="50">
                  <c:v>3.8290236434427413E-3</c:v>
                </c:pt>
                <c:pt idx="51">
                  <c:v>3.7489743686669351E-3</c:v>
                </c:pt>
                <c:pt idx="52">
                  <c:v>4.1003017412940858E-3</c:v>
                </c:pt>
                <c:pt idx="53">
                  <c:v>3.0663319421065857E-3</c:v>
                </c:pt>
                <c:pt idx="54">
                  <c:v>2.4259377439001342E-3</c:v>
                </c:pt>
                <c:pt idx="55">
                  <c:v>2.2769571491784942E-3</c:v>
                </c:pt>
                <c:pt idx="56">
                  <c:v>2.6171665669756719E-3</c:v>
                </c:pt>
                <c:pt idx="57">
                  <c:v>2.0167970061571233E-3</c:v>
                </c:pt>
                <c:pt idx="58">
                  <c:v>1.8277917740475804E-3</c:v>
                </c:pt>
                <c:pt idx="59">
                  <c:v>1.5676316310262095E-3</c:v>
                </c:pt>
                <c:pt idx="60">
                  <c:v>1.3541668982907256E-3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I5" sqref="I5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259</v>
      </c>
    </row>
    <row r="3" spans="1:12" x14ac:dyDescent="0.25">
      <c r="A3" t="s">
        <v>262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41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42</v>
      </c>
      <c r="C10" s="5" t="s">
        <v>42</v>
      </c>
      <c r="E10" s="2" t="s">
        <v>3</v>
      </c>
      <c r="F10" s="5" t="s">
        <v>16</v>
      </c>
      <c r="G10" s="5" t="s">
        <v>16</v>
      </c>
      <c r="J10" s="2"/>
      <c r="K10" s="5" t="s">
        <v>42</v>
      </c>
      <c r="L10" s="5" t="s">
        <v>16</v>
      </c>
    </row>
    <row r="11" spans="1:12" x14ac:dyDescent="0.25">
      <c r="A11">
        <v>0</v>
      </c>
      <c r="B11" s="8">
        <v>113664.92969999999</v>
      </c>
      <c r="C11" s="11">
        <f>B11/B$102</f>
        <v>0.23272039185752647</v>
      </c>
      <c r="E11" s="19">
        <v>0</v>
      </c>
      <c r="F11" s="109">
        <v>51740</v>
      </c>
      <c r="G11" s="11">
        <f>F11/F$102</f>
        <v>0.11504859658056181</v>
      </c>
      <c r="K11" s="8">
        <v>4.6697275805024683</v>
      </c>
      <c r="L11" s="8">
        <v>8.6777476751142153</v>
      </c>
    </row>
    <row r="12" spans="1:12" x14ac:dyDescent="0.25">
      <c r="A12">
        <v>1</v>
      </c>
      <c r="B12" s="8">
        <v>71142.740999999995</v>
      </c>
      <c r="C12" s="11">
        <f>B12/B$102</f>
        <v>0.14565940969687252</v>
      </c>
      <c r="E12" s="20">
        <v>1</v>
      </c>
      <c r="F12" s="110">
        <v>37074</v>
      </c>
      <c r="G12" s="11">
        <f>F12/F$102</f>
        <v>8.2437411473284664E-2</v>
      </c>
      <c r="K12" s="8"/>
      <c r="L12" s="379"/>
    </row>
    <row r="13" spans="1:12" x14ac:dyDescent="0.25">
      <c r="A13">
        <v>2</v>
      </c>
      <c r="B13" s="8">
        <v>66908.611300000004</v>
      </c>
      <c r="C13" s="11">
        <f t="shared" ref="C13:C76" si="0">B13/B$102</f>
        <v>0.13699034769542398</v>
      </c>
      <c r="E13" s="21">
        <v>2</v>
      </c>
      <c r="F13" s="111">
        <v>24807</v>
      </c>
      <c r="G13" s="11">
        <f t="shared" ref="G13:G76" si="1">F13/F$102</f>
        <v>5.5160621093428619E-2</v>
      </c>
    </row>
    <row r="14" spans="1:12" x14ac:dyDescent="0.25">
      <c r="A14">
        <v>3</v>
      </c>
      <c r="B14" s="8">
        <v>53229.623500000002</v>
      </c>
      <c r="C14" s="11">
        <f t="shared" si="0"/>
        <v>0.10898364932828178</v>
      </c>
      <c r="E14" s="22">
        <v>3</v>
      </c>
      <c r="F14" s="112">
        <v>16124</v>
      </c>
      <c r="G14" s="11">
        <f t="shared" si="1"/>
        <v>3.5853180735697307E-2</v>
      </c>
    </row>
    <row r="15" spans="1:12" x14ac:dyDescent="0.25">
      <c r="A15">
        <v>4</v>
      </c>
      <c r="B15" s="8">
        <v>40730.070399999997</v>
      </c>
      <c r="C15" s="11">
        <f t="shared" si="0"/>
        <v>8.339175477335152E-2</v>
      </c>
      <c r="E15" s="23">
        <v>4</v>
      </c>
      <c r="F15" s="113">
        <v>65144</v>
      </c>
      <c r="G15" s="11">
        <f t="shared" si="1"/>
        <v>0.14485360988875373</v>
      </c>
    </row>
    <row r="16" spans="1:12" x14ac:dyDescent="0.25">
      <c r="A16">
        <v>5</v>
      </c>
      <c r="B16" s="8">
        <v>26463.0569</v>
      </c>
      <c r="C16" s="11">
        <f t="shared" si="0"/>
        <v>5.4181118026205226E-2</v>
      </c>
      <c r="E16" s="24">
        <v>5</v>
      </c>
      <c r="F16" s="114">
        <v>37038</v>
      </c>
      <c r="G16" s="11">
        <f t="shared" si="1"/>
        <v>8.2357362198508866E-2</v>
      </c>
    </row>
    <row r="17" spans="1:7" x14ac:dyDescent="0.25">
      <c r="A17">
        <v>6</v>
      </c>
      <c r="B17" s="8">
        <v>20563.475900000001</v>
      </c>
      <c r="C17" s="11">
        <f t="shared" si="0"/>
        <v>4.2102169790026289E-2</v>
      </c>
      <c r="E17" s="25">
        <v>6</v>
      </c>
      <c r="F17" s="115">
        <v>32682</v>
      </c>
      <c r="G17" s="11">
        <f t="shared" si="1"/>
        <v>7.2671399950636276E-2</v>
      </c>
    </row>
    <row r="18" spans="1:7" x14ac:dyDescent="0.25">
      <c r="A18">
        <v>7</v>
      </c>
      <c r="B18" s="8">
        <v>12391.8442</v>
      </c>
      <c r="C18" s="11">
        <f t="shared" si="0"/>
        <v>2.5371368685775175E-2</v>
      </c>
      <c r="E18" s="26">
        <v>7</v>
      </c>
      <c r="F18" s="116">
        <v>20544</v>
      </c>
      <c r="G18" s="11">
        <f t="shared" si="1"/>
        <v>4.5681452805393541E-2</v>
      </c>
    </row>
    <row r="19" spans="1:7" x14ac:dyDescent="0.25">
      <c r="A19">
        <v>8</v>
      </c>
      <c r="B19" s="8">
        <v>14845.8879</v>
      </c>
      <c r="C19" s="11">
        <f t="shared" si="0"/>
        <v>3.0395838528908276E-2</v>
      </c>
      <c r="E19" s="27">
        <v>8</v>
      </c>
      <c r="F19" s="117">
        <v>16060</v>
      </c>
      <c r="G19" s="11">
        <f t="shared" si="1"/>
        <v>3.5710870913873649E-2</v>
      </c>
    </row>
    <row r="20" spans="1:7" x14ac:dyDescent="0.25">
      <c r="A20">
        <v>9</v>
      </c>
      <c r="B20" s="8">
        <v>6689.2968000000001</v>
      </c>
      <c r="C20" s="11">
        <f t="shared" si="0"/>
        <v>1.3695831921561449E-2</v>
      </c>
      <c r="E20" s="28">
        <v>9</v>
      </c>
      <c r="F20" s="118">
        <v>15993</v>
      </c>
      <c r="G20" s="11">
        <f t="shared" si="1"/>
        <v>3.5561890319152009E-2</v>
      </c>
    </row>
    <row r="21" spans="1:7" x14ac:dyDescent="0.25">
      <c r="A21">
        <v>10</v>
      </c>
      <c r="B21" s="8">
        <v>13391.6132</v>
      </c>
      <c r="C21" s="11">
        <f t="shared" si="0"/>
        <v>2.741832049457929E-2</v>
      </c>
      <c r="E21" s="29">
        <v>10</v>
      </c>
      <c r="F21" s="119">
        <v>8040</v>
      </c>
      <c r="G21" s="11">
        <f t="shared" si="1"/>
        <v>1.7877671366596772E-2</v>
      </c>
    </row>
    <row r="22" spans="1:7" x14ac:dyDescent="0.25">
      <c r="A22">
        <v>11</v>
      </c>
      <c r="B22" s="8">
        <v>5956.8527000000004</v>
      </c>
      <c r="C22" s="11">
        <f t="shared" si="0"/>
        <v>1.2196207733030998E-2</v>
      </c>
      <c r="E22" s="30">
        <v>11</v>
      </c>
      <c r="F22" s="120">
        <v>11235</v>
      </c>
      <c r="G22" s="11">
        <f t="shared" si="1"/>
        <v>2.4982044502949594E-2</v>
      </c>
    </row>
    <row r="23" spans="1:7" x14ac:dyDescent="0.25">
      <c r="A23">
        <v>12</v>
      </c>
      <c r="B23" s="8">
        <v>8059.2861999999996</v>
      </c>
      <c r="C23" s="11">
        <f t="shared" si="0"/>
        <v>1.6500782145435624E-2</v>
      </c>
      <c r="E23" s="31">
        <v>12</v>
      </c>
      <c r="F23" s="121">
        <v>7317</v>
      </c>
      <c r="G23" s="11">
        <f t="shared" si="1"/>
        <v>1.6270015098182659E-2</v>
      </c>
    </row>
    <row r="24" spans="1:7" x14ac:dyDescent="0.25">
      <c r="A24">
        <v>13</v>
      </c>
      <c r="B24" s="8">
        <v>3669.7808</v>
      </c>
      <c r="C24" s="11">
        <f t="shared" si="0"/>
        <v>7.5136000880949563E-3</v>
      </c>
      <c r="E24" s="32">
        <v>13</v>
      </c>
      <c r="F24" s="122">
        <v>12792</v>
      </c>
      <c r="G24" s="11">
        <f t="shared" si="1"/>
        <v>2.8444175637003223E-2</v>
      </c>
    </row>
    <row r="25" spans="1:7" x14ac:dyDescent="0.25">
      <c r="A25">
        <v>14</v>
      </c>
      <c r="B25" s="8">
        <v>987.44330000000002</v>
      </c>
      <c r="C25" s="11">
        <f t="shared" si="0"/>
        <v>2.0217158653914082E-3</v>
      </c>
      <c r="E25" s="33">
        <v>14</v>
      </c>
      <c r="F25" s="123">
        <v>7509</v>
      </c>
      <c r="G25" s="11">
        <f t="shared" si="1"/>
        <v>1.6696944563653626E-2</v>
      </c>
    </row>
    <row r="26" spans="1:7" x14ac:dyDescent="0.25">
      <c r="A26">
        <v>15</v>
      </c>
      <c r="B26" s="8">
        <v>2159.5221999999999</v>
      </c>
      <c r="C26" s="11">
        <f t="shared" si="0"/>
        <v>4.4214592305248891E-3</v>
      </c>
      <c r="E26" s="34">
        <v>15</v>
      </c>
      <c r="F26" s="124">
        <v>11515</v>
      </c>
      <c r="G26" s="11">
        <f t="shared" si="1"/>
        <v>2.5604649973428088E-2</v>
      </c>
    </row>
    <row r="27" spans="1:7" x14ac:dyDescent="0.25">
      <c r="A27">
        <v>16</v>
      </c>
      <c r="B27" s="8">
        <v>8949.5004000000008</v>
      </c>
      <c r="C27" s="11">
        <f t="shared" si="0"/>
        <v>1.8323428743712934E-2</v>
      </c>
      <c r="E27" s="35">
        <v>16</v>
      </c>
      <c r="F27" s="125">
        <v>8274</v>
      </c>
      <c r="G27" s="11">
        <f t="shared" si="1"/>
        <v>1.8397991652639514E-2</v>
      </c>
    </row>
    <row r="28" spans="1:7" x14ac:dyDescent="0.25">
      <c r="A28">
        <v>17</v>
      </c>
      <c r="B28" s="8">
        <v>1124.0428999999999</v>
      </c>
      <c r="C28" s="11">
        <f t="shared" si="0"/>
        <v>2.3013932691736002E-3</v>
      </c>
      <c r="E28" s="36">
        <v>17</v>
      </c>
      <c r="F28" s="126">
        <v>5927</v>
      </c>
      <c r="G28" s="11">
        <f t="shared" si="1"/>
        <v>1.3179223655450132E-2</v>
      </c>
    </row>
    <row r="29" spans="1:7" x14ac:dyDescent="0.25">
      <c r="A29">
        <v>18</v>
      </c>
      <c r="B29" s="8">
        <v>2043.8687</v>
      </c>
      <c r="C29" s="11">
        <f t="shared" si="0"/>
        <v>4.1846673905903383E-3</v>
      </c>
      <c r="E29" s="37">
        <v>18</v>
      </c>
      <c r="F29" s="127">
        <v>6418</v>
      </c>
      <c r="G29" s="11">
        <f t="shared" si="1"/>
        <v>1.4271006819753494E-2</v>
      </c>
    </row>
    <row r="30" spans="1:7" x14ac:dyDescent="0.25">
      <c r="A30">
        <v>19</v>
      </c>
      <c r="B30" s="8">
        <v>1089.9412</v>
      </c>
      <c r="C30" s="11">
        <f t="shared" si="0"/>
        <v>2.2315726041016734E-3</v>
      </c>
      <c r="E30" s="38">
        <v>19</v>
      </c>
      <c r="F30" s="128">
        <v>5348</v>
      </c>
      <c r="G30" s="11">
        <f t="shared" si="1"/>
        <v>1.1891764486139246E-2</v>
      </c>
    </row>
    <row r="31" spans="1:7" x14ac:dyDescent="0.25">
      <c r="A31">
        <v>20</v>
      </c>
      <c r="B31" s="8">
        <v>1593.2049</v>
      </c>
      <c r="C31" s="11">
        <f t="shared" si="0"/>
        <v>3.2619671662659838E-3</v>
      </c>
      <c r="E31" s="39">
        <v>20</v>
      </c>
      <c r="F31" s="129">
        <v>5034</v>
      </c>
      <c r="G31" s="11">
        <f t="shared" si="1"/>
        <v>1.1193556922816934E-2</v>
      </c>
    </row>
    <row r="32" spans="1:7" x14ac:dyDescent="0.25">
      <c r="A32">
        <v>21</v>
      </c>
      <c r="B32" s="8">
        <v>2993.5252</v>
      </c>
      <c r="C32" s="11">
        <f t="shared" si="0"/>
        <v>6.1290176259122808E-3</v>
      </c>
      <c r="E32" s="40">
        <v>21</v>
      </c>
      <c r="F32" s="130">
        <v>4900</v>
      </c>
      <c r="G32" s="11">
        <f t="shared" si="1"/>
        <v>1.0895595733373654E-2</v>
      </c>
    </row>
    <row r="33" spans="1:7" x14ac:dyDescent="0.25">
      <c r="A33">
        <v>22</v>
      </c>
      <c r="B33" s="8">
        <v>384.4606</v>
      </c>
      <c r="C33" s="11">
        <f t="shared" si="0"/>
        <v>7.8715415319330242E-4</v>
      </c>
      <c r="E33" s="41">
        <v>22</v>
      </c>
      <c r="F33" s="131">
        <v>3871</v>
      </c>
      <c r="G33" s="11">
        <f t="shared" si="1"/>
        <v>8.6075206293651872E-3</v>
      </c>
    </row>
    <row r="34" spans="1:7" x14ac:dyDescent="0.25">
      <c r="A34">
        <v>23</v>
      </c>
      <c r="B34" s="8">
        <v>2590.4346999999998</v>
      </c>
      <c r="C34" s="11">
        <f t="shared" si="0"/>
        <v>5.3037201541095398E-3</v>
      </c>
      <c r="E34" s="42">
        <v>23</v>
      </c>
      <c r="F34" s="132">
        <v>4202</v>
      </c>
      <c r="G34" s="11">
        <f t="shared" si="1"/>
        <v>9.3435292391094073E-3</v>
      </c>
    </row>
    <row r="35" spans="1:7" x14ac:dyDescent="0.25">
      <c r="A35">
        <v>24</v>
      </c>
      <c r="B35" s="8">
        <v>790.45650000000001</v>
      </c>
      <c r="C35" s="11">
        <f t="shared" si="0"/>
        <v>1.6184002129051498E-3</v>
      </c>
      <c r="E35" s="43">
        <v>24</v>
      </c>
      <c r="F35" s="133">
        <v>3452</v>
      </c>
      <c r="G35" s="11">
        <f t="shared" si="1"/>
        <v>7.6758360146134399E-3</v>
      </c>
    </row>
    <row r="36" spans="1:7" x14ac:dyDescent="0.25">
      <c r="A36">
        <v>25</v>
      </c>
      <c r="B36" s="8">
        <v>0</v>
      </c>
      <c r="C36" s="11">
        <f t="shared" si="0"/>
        <v>0</v>
      </c>
      <c r="E36" s="44">
        <v>25</v>
      </c>
      <c r="F36" s="134">
        <v>3056</v>
      </c>
      <c r="G36" s="11">
        <f t="shared" si="1"/>
        <v>6.7952939920795687E-3</v>
      </c>
    </row>
    <row r="37" spans="1:7" x14ac:dyDescent="0.25">
      <c r="A37">
        <v>26</v>
      </c>
      <c r="B37" s="8">
        <v>1747.6529</v>
      </c>
      <c r="C37" s="11">
        <f t="shared" si="0"/>
        <v>3.5781878262046078E-3</v>
      </c>
      <c r="E37" s="45">
        <v>26</v>
      </c>
      <c r="F37" s="135">
        <v>2254</v>
      </c>
      <c r="G37" s="11">
        <f t="shared" si="1"/>
        <v>5.0119740373518809E-3</v>
      </c>
    </row>
    <row r="38" spans="1:7" x14ac:dyDescent="0.25">
      <c r="A38">
        <v>27</v>
      </c>
      <c r="B38" s="8">
        <v>581.36699999999996</v>
      </c>
      <c r="C38" s="11">
        <f t="shared" si="0"/>
        <v>1.1903051927285413E-3</v>
      </c>
      <c r="E38" s="46">
        <v>27</v>
      </c>
      <c r="F38" s="136">
        <v>3403</v>
      </c>
      <c r="G38" s="11">
        <f t="shared" si="1"/>
        <v>7.5668800572797033E-3</v>
      </c>
    </row>
    <row r="39" spans="1:7" x14ac:dyDescent="0.25">
      <c r="A39">
        <v>28</v>
      </c>
      <c r="B39" s="8">
        <v>314.726</v>
      </c>
      <c r="C39" s="11">
        <f t="shared" si="0"/>
        <v>6.4437780625092736E-4</v>
      </c>
      <c r="E39" s="47">
        <v>28</v>
      </c>
      <c r="F39" s="137">
        <v>1915</v>
      </c>
      <c r="G39" s="11">
        <f t="shared" si="1"/>
        <v>4.2581766998797035E-3</v>
      </c>
    </row>
    <row r="40" spans="1:7" x14ac:dyDescent="0.25">
      <c r="A40">
        <v>29</v>
      </c>
      <c r="B40" s="8">
        <v>297.24149999999997</v>
      </c>
      <c r="C40" s="11">
        <f t="shared" si="0"/>
        <v>6.08579607966088E-4</v>
      </c>
      <c r="E40" s="48">
        <v>29</v>
      </c>
      <c r="F40" s="138">
        <v>1805</v>
      </c>
      <c r="G40" s="11">
        <f t="shared" si="1"/>
        <v>4.0135816936202953E-3</v>
      </c>
    </row>
    <row r="41" spans="1:7" x14ac:dyDescent="0.25">
      <c r="A41">
        <v>30</v>
      </c>
      <c r="B41" s="8">
        <v>372.97329999999999</v>
      </c>
      <c r="C41" s="11">
        <f t="shared" si="0"/>
        <v>7.6363477070267151E-4</v>
      </c>
      <c r="E41" s="49">
        <v>30</v>
      </c>
      <c r="F41" s="139">
        <v>2069</v>
      </c>
      <c r="G41" s="11">
        <f t="shared" si="1"/>
        <v>4.6006097086428756E-3</v>
      </c>
    </row>
    <row r="42" spans="1:7" x14ac:dyDescent="0.25">
      <c r="A42">
        <v>31</v>
      </c>
      <c r="B42" s="8">
        <v>480.57510000000002</v>
      </c>
      <c r="C42" s="11">
        <f t="shared" si="0"/>
        <v>9.8394136066553141E-4</v>
      </c>
      <c r="E42" s="50">
        <v>31</v>
      </c>
      <c r="F42" s="140">
        <v>1326</v>
      </c>
      <c r="G42" s="11">
        <f t="shared" si="1"/>
        <v>2.9484816209088705E-3</v>
      </c>
    </row>
    <row r="43" spans="1:7" x14ac:dyDescent="0.25">
      <c r="A43">
        <v>32</v>
      </c>
      <c r="B43" s="8">
        <v>0</v>
      </c>
      <c r="C43" s="11">
        <f t="shared" si="0"/>
        <v>0</v>
      </c>
      <c r="E43" s="51">
        <v>32</v>
      </c>
      <c r="F43" s="141">
        <v>1367</v>
      </c>
      <c r="G43" s="11">
        <f t="shared" si="1"/>
        <v>3.0396488505146503E-3</v>
      </c>
    </row>
    <row r="44" spans="1:7" x14ac:dyDescent="0.25">
      <c r="A44">
        <v>33</v>
      </c>
      <c r="B44" s="8">
        <v>0</v>
      </c>
      <c r="C44" s="11">
        <f t="shared" si="0"/>
        <v>0</v>
      </c>
      <c r="E44" s="52">
        <v>33</v>
      </c>
      <c r="F44" s="142">
        <v>948</v>
      </c>
      <c r="G44" s="11">
        <f t="shared" si="1"/>
        <v>2.1079642357629031E-3</v>
      </c>
    </row>
    <row r="45" spans="1:7" x14ac:dyDescent="0.25">
      <c r="A45">
        <v>34</v>
      </c>
      <c r="B45" s="8">
        <v>163.9897</v>
      </c>
      <c r="C45" s="11">
        <f t="shared" si="0"/>
        <v>3.3575657280856267E-4</v>
      </c>
      <c r="E45" s="53">
        <v>34</v>
      </c>
      <c r="F45" s="143">
        <v>1021</v>
      </c>
      <c r="G45" s="11">
        <f t="shared" si="1"/>
        <v>2.2702863762805105E-3</v>
      </c>
    </row>
    <row r="46" spans="1:7" x14ac:dyDescent="0.25">
      <c r="A46">
        <v>35</v>
      </c>
      <c r="B46" s="8">
        <v>1144.2716</v>
      </c>
      <c r="C46" s="11">
        <f t="shared" si="0"/>
        <v>2.3428100104956016E-3</v>
      </c>
      <c r="E46" s="54">
        <v>35</v>
      </c>
      <c r="F46" s="144">
        <v>744</v>
      </c>
      <c r="G46" s="11">
        <f t="shared" si="1"/>
        <v>1.6543516786999997E-3</v>
      </c>
    </row>
    <row r="47" spans="1:7" x14ac:dyDescent="0.25">
      <c r="A47">
        <v>36</v>
      </c>
      <c r="B47" s="8">
        <v>0</v>
      </c>
      <c r="C47" s="11">
        <f t="shared" si="0"/>
        <v>0</v>
      </c>
      <c r="E47" s="55">
        <v>36</v>
      </c>
      <c r="F47" s="145">
        <v>1100</v>
      </c>
      <c r="G47" s="11">
        <f t="shared" si="1"/>
        <v>2.4459500625940859E-3</v>
      </c>
    </row>
    <row r="48" spans="1:7" x14ac:dyDescent="0.25">
      <c r="A48">
        <v>37</v>
      </c>
      <c r="B48" s="8">
        <v>0</v>
      </c>
      <c r="C48" s="11">
        <f t="shared" si="0"/>
        <v>0</v>
      </c>
      <c r="E48" s="56">
        <v>37</v>
      </c>
      <c r="F48" s="146">
        <v>877</v>
      </c>
      <c r="G48" s="11">
        <f t="shared" si="1"/>
        <v>1.9500892771772847E-3</v>
      </c>
    </row>
    <row r="49" spans="1:7" x14ac:dyDescent="0.25">
      <c r="A49">
        <v>38</v>
      </c>
      <c r="B49" s="8">
        <v>78.963099999999997</v>
      </c>
      <c r="C49" s="11">
        <f t="shared" si="0"/>
        <v>1.6167100637625299E-4</v>
      </c>
      <c r="E49" s="57">
        <v>38</v>
      </c>
      <c r="F49" s="147">
        <v>749</v>
      </c>
      <c r="G49" s="11">
        <f t="shared" si="1"/>
        <v>1.665469633529973E-3</v>
      </c>
    </row>
    <row r="50" spans="1:7" x14ac:dyDescent="0.25">
      <c r="A50">
        <v>39</v>
      </c>
      <c r="B50" s="8">
        <v>0</v>
      </c>
      <c r="C50" s="11">
        <f t="shared" si="0"/>
        <v>0</v>
      </c>
      <c r="E50" s="58">
        <v>39</v>
      </c>
      <c r="F50" s="148">
        <v>572</v>
      </c>
      <c r="G50" s="11">
        <f t="shared" si="1"/>
        <v>1.2718940325489245E-3</v>
      </c>
    </row>
    <row r="51" spans="1:7" x14ac:dyDescent="0.25">
      <c r="A51">
        <v>40</v>
      </c>
      <c r="B51" s="8">
        <v>243.23699999999999</v>
      </c>
      <c r="C51" s="11">
        <f t="shared" si="0"/>
        <v>4.9800945730272303E-4</v>
      </c>
      <c r="E51" s="59">
        <v>40</v>
      </c>
      <c r="F51" s="149">
        <v>536</v>
      </c>
      <c r="G51" s="11">
        <f t="shared" si="1"/>
        <v>1.1918447577731182E-3</v>
      </c>
    </row>
    <row r="52" spans="1:7" x14ac:dyDescent="0.25">
      <c r="A52">
        <v>41</v>
      </c>
      <c r="B52" s="8">
        <v>0</v>
      </c>
      <c r="C52" s="11">
        <f t="shared" si="0"/>
        <v>0</v>
      </c>
      <c r="E52" s="60">
        <v>41</v>
      </c>
      <c r="F52" s="150">
        <v>387</v>
      </c>
      <c r="G52" s="11">
        <f t="shared" si="1"/>
        <v>8.6052970383991925E-4</v>
      </c>
    </row>
    <row r="53" spans="1:7" x14ac:dyDescent="0.25">
      <c r="A53">
        <v>42</v>
      </c>
      <c r="B53" s="8">
        <v>0</v>
      </c>
      <c r="C53" s="11">
        <f t="shared" si="0"/>
        <v>0</v>
      </c>
      <c r="E53" s="61">
        <v>42</v>
      </c>
      <c r="F53" s="151">
        <v>384</v>
      </c>
      <c r="G53" s="11">
        <f t="shared" si="1"/>
        <v>8.5385893094193539E-4</v>
      </c>
    </row>
    <row r="54" spans="1:7" x14ac:dyDescent="0.25">
      <c r="A54">
        <v>43</v>
      </c>
      <c r="B54" s="8">
        <v>0</v>
      </c>
      <c r="C54" s="11">
        <f t="shared" si="0"/>
        <v>0</v>
      </c>
      <c r="E54" s="62">
        <v>43</v>
      </c>
      <c r="F54" s="152">
        <v>228</v>
      </c>
      <c r="G54" s="11">
        <f t="shared" si="1"/>
        <v>5.0697874024677409E-4</v>
      </c>
    </row>
    <row r="55" spans="1:7" x14ac:dyDescent="0.25">
      <c r="A55">
        <v>44</v>
      </c>
      <c r="B55" s="8">
        <v>0</v>
      </c>
      <c r="C55" s="11">
        <f t="shared" si="0"/>
        <v>0</v>
      </c>
      <c r="E55" s="63">
        <v>44</v>
      </c>
      <c r="F55" s="153">
        <v>261</v>
      </c>
      <c r="G55" s="11">
        <f t="shared" si="1"/>
        <v>5.8035724212459673E-4</v>
      </c>
    </row>
    <row r="56" spans="1:7" x14ac:dyDescent="0.25">
      <c r="A56">
        <v>45</v>
      </c>
      <c r="B56" s="8">
        <v>0</v>
      </c>
      <c r="C56" s="11">
        <f t="shared" si="0"/>
        <v>0</v>
      </c>
      <c r="E56" s="64">
        <v>45</v>
      </c>
      <c r="F56" s="154">
        <v>310</v>
      </c>
      <c r="G56" s="11">
        <f t="shared" si="1"/>
        <v>6.893131994583332E-4</v>
      </c>
    </row>
    <row r="57" spans="1:7" x14ac:dyDescent="0.25">
      <c r="A57">
        <v>46</v>
      </c>
      <c r="B57" s="8">
        <v>0</v>
      </c>
      <c r="C57" s="11">
        <f t="shared" si="0"/>
        <v>0</v>
      </c>
      <c r="E57" s="65">
        <v>46</v>
      </c>
      <c r="F57" s="155">
        <v>196</v>
      </c>
      <c r="G57" s="11">
        <f t="shared" si="1"/>
        <v>4.3582382933494615E-4</v>
      </c>
    </row>
    <row r="58" spans="1:7" x14ac:dyDescent="0.25">
      <c r="A58">
        <v>47</v>
      </c>
      <c r="B58" s="8">
        <v>326.85739999999998</v>
      </c>
      <c r="C58" s="11">
        <f t="shared" si="0"/>
        <v>6.6921593503200193E-4</v>
      </c>
      <c r="E58" s="66">
        <v>47</v>
      </c>
      <c r="F58" s="156">
        <v>201</v>
      </c>
      <c r="G58" s="11">
        <f t="shared" si="1"/>
        <v>4.4694178416491932E-4</v>
      </c>
    </row>
    <row r="59" spans="1:7" x14ac:dyDescent="0.25">
      <c r="A59">
        <v>48</v>
      </c>
      <c r="B59" s="8">
        <v>0</v>
      </c>
      <c r="C59" s="11">
        <f t="shared" si="0"/>
        <v>0</v>
      </c>
      <c r="E59" s="67">
        <v>48</v>
      </c>
      <c r="F59" s="157">
        <v>95</v>
      </c>
      <c r="G59" s="11">
        <f t="shared" si="1"/>
        <v>2.1124114176948922E-4</v>
      </c>
    </row>
    <row r="60" spans="1:7" x14ac:dyDescent="0.25">
      <c r="A60">
        <v>49</v>
      </c>
      <c r="B60" s="8">
        <v>0</v>
      </c>
      <c r="C60" s="11">
        <f t="shared" si="0"/>
        <v>0</v>
      </c>
      <c r="E60" s="68">
        <v>49</v>
      </c>
      <c r="F60" s="158">
        <v>158</v>
      </c>
      <c r="G60" s="11">
        <f t="shared" si="1"/>
        <v>3.5132737262715051E-4</v>
      </c>
    </row>
    <row r="61" spans="1:7" x14ac:dyDescent="0.25">
      <c r="A61">
        <v>50</v>
      </c>
      <c r="B61" s="8">
        <v>0</v>
      </c>
      <c r="C61" s="11">
        <f t="shared" si="0"/>
        <v>0</v>
      </c>
      <c r="E61" s="69">
        <v>50</v>
      </c>
      <c r="F61" s="159">
        <v>82</v>
      </c>
      <c r="G61" s="11">
        <f t="shared" si="1"/>
        <v>1.8233445921155911E-4</v>
      </c>
    </row>
    <row r="62" spans="1:7" x14ac:dyDescent="0.25">
      <c r="A62">
        <v>51</v>
      </c>
      <c r="B62" s="8">
        <v>0</v>
      </c>
      <c r="C62" s="11">
        <f t="shared" si="0"/>
        <v>0</v>
      </c>
      <c r="E62" s="70">
        <v>51</v>
      </c>
      <c r="F62" s="160">
        <v>167</v>
      </c>
      <c r="G62" s="11">
        <f t="shared" si="1"/>
        <v>3.7133969132110208E-4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71">
        <v>52</v>
      </c>
      <c r="F63" s="161">
        <v>126</v>
      </c>
      <c r="G63" s="11">
        <f t="shared" si="1"/>
        <v>2.8017246171532252E-4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72">
        <v>53</v>
      </c>
      <c r="F64" s="162">
        <v>68</v>
      </c>
      <c r="G64" s="11">
        <f t="shared" si="1"/>
        <v>1.512041856876344E-4</v>
      </c>
    </row>
    <row r="65" spans="1:7" x14ac:dyDescent="0.25">
      <c r="A65">
        <v>54</v>
      </c>
      <c r="B65" s="8">
        <v>0</v>
      </c>
      <c r="C65" s="11">
        <f t="shared" si="0"/>
        <v>0</v>
      </c>
      <c r="E65" s="73">
        <v>54</v>
      </c>
      <c r="F65" s="163">
        <v>38</v>
      </c>
      <c r="G65" s="11">
        <f t="shared" si="1"/>
        <v>8.4496456707795685E-5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74">
        <v>55</v>
      </c>
      <c r="F66" s="164">
        <v>49</v>
      </c>
      <c r="G66" s="11">
        <f t="shared" si="1"/>
        <v>1.0895595733373654E-4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75">
        <v>56</v>
      </c>
      <c r="F67" s="165">
        <v>27</v>
      </c>
      <c r="G67" s="11">
        <f t="shared" si="1"/>
        <v>6.0036956081854832E-5</v>
      </c>
    </row>
    <row r="68" spans="1:7" x14ac:dyDescent="0.25">
      <c r="A68">
        <v>57</v>
      </c>
      <c r="B68" s="8">
        <v>253.10980000000001</v>
      </c>
      <c r="C68" s="11">
        <f t="shared" si="0"/>
        <v>5.1822327251199762E-4</v>
      </c>
      <c r="E68" s="76">
        <v>57</v>
      </c>
      <c r="F68" s="166">
        <v>28</v>
      </c>
      <c r="G68" s="11">
        <f t="shared" si="1"/>
        <v>6.226054704784946E-5</v>
      </c>
    </row>
    <row r="69" spans="1:7" x14ac:dyDescent="0.25">
      <c r="A69">
        <v>58</v>
      </c>
      <c r="B69" s="8">
        <v>0</v>
      </c>
      <c r="C69" s="11">
        <f t="shared" si="0"/>
        <v>0</v>
      </c>
      <c r="E69" s="77">
        <v>58</v>
      </c>
      <c r="F69" s="167">
        <v>14</v>
      </c>
      <c r="G69" s="11">
        <f t="shared" si="1"/>
        <v>3.113027352392473E-5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78">
        <v>59</v>
      </c>
      <c r="F70" s="168">
        <v>21</v>
      </c>
      <c r="G70" s="11">
        <f t="shared" si="1"/>
        <v>4.6695410285887092E-5</v>
      </c>
    </row>
    <row r="71" spans="1:7" x14ac:dyDescent="0.25">
      <c r="A71">
        <v>60</v>
      </c>
      <c r="B71" s="8">
        <v>0</v>
      </c>
      <c r="C71" s="11">
        <f t="shared" si="0"/>
        <v>0</v>
      </c>
      <c r="E71" s="79">
        <v>60</v>
      </c>
      <c r="F71" s="169">
        <v>16</v>
      </c>
      <c r="G71" s="11">
        <f t="shared" si="1"/>
        <v>3.5577455455913972E-5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80">
        <v>61</v>
      </c>
      <c r="F72" s="170">
        <v>6</v>
      </c>
      <c r="G72" s="11">
        <f t="shared" si="1"/>
        <v>1.3341545795967741E-5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81">
        <v>62</v>
      </c>
      <c r="F73" s="171">
        <v>13</v>
      </c>
      <c r="G73" s="11">
        <f t="shared" si="1"/>
        <v>2.8906682557930102E-5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82">
        <v>63</v>
      </c>
      <c r="F74" s="172">
        <v>9</v>
      </c>
      <c r="G74" s="11">
        <f t="shared" si="1"/>
        <v>2.0012318693951611E-5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83">
        <v>64</v>
      </c>
      <c r="F75" s="173">
        <v>3</v>
      </c>
      <c r="G75" s="11">
        <f t="shared" si="1"/>
        <v>6.6707728979838703E-6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84">
        <v>65</v>
      </c>
      <c r="F76" s="174">
        <v>11</v>
      </c>
      <c r="G76" s="11">
        <f t="shared" si="1"/>
        <v>2.4459500625940856E-5</v>
      </c>
    </row>
    <row r="77" spans="1:7" x14ac:dyDescent="0.25">
      <c r="A77">
        <v>66</v>
      </c>
      <c r="B77" s="8">
        <v>0</v>
      </c>
      <c r="C77" s="11">
        <f t="shared" ref="C77:C102" si="2">B77/B$102</f>
        <v>0</v>
      </c>
      <c r="E77" s="85">
        <v>66</v>
      </c>
      <c r="F77" s="175">
        <v>3</v>
      </c>
      <c r="G77" s="11">
        <f t="shared" ref="G77:G102" si="3">F77/F$102</f>
        <v>6.6707728979838703E-6</v>
      </c>
    </row>
    <row r="78" spans="1:7" x14ac:dyDescent="0.25">
      <c r="A78">
        <v>67</v>
      </c>
      <c r="B78" s="8">
        <v>0</v>
      </c>
      <c r="C78" s="11">
        <f t="shared" si="2"/>
        <v>0</v>
      </c>
      <c r="E78" s="86">
        <v>67</v>
      </c>
      <c r="F78" s="176">
        <v>2</v>
      </c>
      <c r="G78" s="11">
        <f t="shared" si="3"/>
        <v>4.4471819319892466E-6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87">
        <v>68</v>
      </c>
      <c r="F79" s="177">
        <v>8</v>
      </c>
      <c r="G79" s="11">
        <f t="shared" si="3"/>
        <v>1.7788727727956986E-5</v>
      </c>
    </row>
    <row r="80" spans="1:7" x14ac:dyDescent="0.25">
      <c r="A80">
        <v>69</v>
      </c>
      <c r="B80" s="8">
        <v>0</v>
      </c>
      <c r="C80" s="11">
        <f t="shared" si="2"/>
        <v>0</v>
      </c>
      <c r="E80" s="88">
        <v>69</v>
      </c>
      <c r="F80" s="178">
        <v>5</v>
      </c>
      <c r="G80" s="11">
        <f t="shared" si="3"/>
        <v>1.1117954829973116E-5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89">
        <v>70</v>
      </c>
      <c r="F81" s="179">
        <v>9</v>
      </c>
      <c r="G81" s="11">
        <f t="shared" si="3"/>
        <v>2.0012318693951611E-5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90">
        <v>71</v>
      </c>
      <c r="F82" s="180">
        <v>4</v>
      </c>
      <c r="G82" s="11">
        <f t="shared" si="3"/>
        <v>8.8943638639784931E-6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91">
        <v>72</v>
      </c>
      <c r="F83" s="181">
        <v>7</v>
      </c>
      <c r="G83" s="11">
        <f t="shared" si="3"/>
        <v>1.5565136761962365E-5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92">
        <v>73</v>
      </c>
      <c r="F84" s="182">
        <v>1</v>
      </c>
      <c r="G84" s="11">
        <f t="shared" si="3"/>
        <v>2.2235909659946233E-6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93">
        <v>74</v>
      </c>
      <c r="F85" s="183">
        <v>0</v>
      </c>
      <c r="G85" s="11">
        <f t="shared" si="3"/>
        <v>0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94">
        <v>75</v>
      </c>
      <c r="F86" s="184">
        <v>1</v>
      </c>
      <c r="G86" s="11">
        <f t="shared" si="3"/>
        <v>2.2235909659946233E-6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95">
        <v>76</v>
      </c>
      <c r="F87" s="185">
        <v>0</v>
      </c>
      <c r="G87" s="11">
        <f t="shared" si="3"/>
        <v>0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96">
        <v>77</v>
      </c>
      <c r="F88" s="186">
        <v>0</v>
      </c>
      <c r="G88" s="11">
        <f t="shared" si="3"/>
        <v>0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97">
        <v>78</v>
      </c>
      <c r="F89" s="187">
        <v>0</v>
      </c>
      <c r="G89" s="11">
        <f t="shared" si="3"/>
        <v>0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98">
        <v>79</v>
      </c>
      <c r="F90" s="188">
        <v>0</v>
      </c>
      <c r="G90" s="11">
        <f t="shared" si="3"/>
        <v>0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99">
        <v>80</v>
      </c>
      <c r="F91" s="189">
        <v>0</v>
      </c>
      <c r="G91" s="11">
        <f t="shared" si="3"/>
        <v>0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100">
        <v>81</v>
      </c>
      <c r="F92" s="190">
        <v>0</v>
      </c>
      <c r="G92" s="11">
        <f t="shared" si="3"/>
        <v>0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101">
        <v>82</v>
      </c>
      <c r="F93" s="191">
        <v>0</v>
      </c>
      <c r="G93" s="11">
        <f t="shared" si="3"/>
        <v>0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102">
        <v>83</v>
      </c>
      <c r="F94" s="192">
        <v>0</v>
      </c>
      <c r="G94" s="11">
        <f t="shared" si="3"/>
        <v>0</v>
      </c>
    </row>
    <row r="95" spans="1:7" x14ac:dyDescent="0.25">
      <c r="A95">
        <v>84</v>
      </c>
      <c r="B95" s="8">
        <v>0</v>
      </c>
      <c r="C95" s="11">
        <f t="shared" si="2"/>
        <v>0</v>
      </c>
      <c r="E95" s="103">
        <v>84</v>
      </c>
      <c r="F95" s="193">
        <v>2</v>
      </c>
      <c r="G95" s="11">
        <f t="shared" si="3"/>
        <v>4.4471819319892466E-6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04">
        <v>85</v>
      </c>
      <c r="F96" s="194">
        <v>0</v>
      </c>
      <c r="G96" s="11">
        <f t="shared" si="3"/>
        <v>0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05">
        <v>86</v>
      </c>
      <c r="F97" s="195">
        <v>0</v>
      </c>
      <c r="G97" s="11">
        <f t="shared" si="3"/>
        <v>0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06">
        <v>87</v>
      </c>
      <c r="F98" s="196">
        <v>1</v>
      </c>
      <c r="G98" s="11">
        <f t="shared" si="3"/>
        <v>2.2235909659946233E-6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07">
        <v>88</v>
      </c>
      <c r="F99" s="197">
        <v>0</v>
      </c>
      <c r="G99" s="11">
        <f t="shared" si="3"/>
        <v>0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08">
        <v>89</v>
      </c>
      <c r="F100" s="198">
        <v>0</v>
      </c>
      <c r="G100" s="11">
        <f t="shared" si="3"/>
        <v>0</v>
      </c>
    </row>
    <row r="101" spans="1:7" ht="15.75" thickBot="1" x14ac:dyDescent="0.3">
      <c r="A101" s="1">
        <v>90</v>
      </c>
      <c r="B101" s="9">
        <v>0</v>
      </c>
      <c r="C101" s="11">
        <f t="shared" si="2"/>
        <v>0</v>
      </c>
      <c r="E101" s="381">
        <v>90</v>
      </c>
      <c r="F101" s="381">
        <v>0</v>
      </c>
      <c r="G101" s="11">
        <f t="shared" si="3"/>
        <v>0</v>
      </c>
    </row>
    <row r="102" spans="1:7" x14ac:dyDescent="0.25">
      <c r="B102" s="8">
        <f>SUM(B11:B101)</f>
        <v>488418.43549999991</v>
      </c>
      <c r="C102" s="11">
        <f t="shared" si="2"/>
        <v>1</v>
      </c>
      <c r="F102" s="8">
        <f>SUM(F11:F101)</f>
        <v>449723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A3" sqref="A3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260</v>
      </c>
    </row>
    <row r="3" spans="1:12" x14ac:dyDescent="0.25">
      <c r="A3" t="s">
        <v>261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43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42</v>
      </c>
      <c r="E10" s="2" t="s">
        <v>15</v>
      </c>
      <c r="F10" s="5" t="s">
        <v>4</v>
      </c>
      <c r="G10" s="5" t="s">
        <v>16</v>
      </c>
      <c r="J10" s="2"/>
      <c r="K10" s="5" t="s">
        <v>42</v>
      </c>
      <c r="L10" s="5" t="s">
        <v>16</v>
      </c>
    </row>
    <row r="11" spans="1:12" x14ac:dyDescent="0.25">
      <c r="A11">
        <v>0</v>
      </c>
      <c r="B11" s="8">
        <v>3857.9854</v>
      </c>
      <c r="C11" s="11">
        <f>B11/B$102</f>
        <v>7.8989348468194772E-3</v>
      </c>
      <c r="E11" s="199">
        <v>0</v>
      </c>
      <c r="F11" s="289">
        <v>13199</v>
      </c>
      <c r="G11" s="11">
        <f>F11/F$102</f>
        <v>2.9349177160163033E-2</v>
      </c>
      <c r="K11" s="8">
        <v>13.44482018961175</v>
      </c>
      <c r="L11" s="8">
        <v>22.427245598053904</v>
      </c>
    </row>
    <row r="12" spans="1:12" x14ac:dyDescent="0.25">
      <c r="A12">
        <v>1</v>
      </c>
      <c r="B12" s="8">
        <v>8578.9539000000004</v>
      </c>
      <c r="C12" s="11">
        <f>B12/B$102</f>
        <v>1.7564762663427359E-2</v>
      </c>
      <c r="E12" s="200">
        <v>1</v>
      </c>
      <c r="F12" s="290">
        <v>9215</v>
      </c>
      <c r="G12" s="11">
        <f>F12/F$102</f>
        <v>2.0490390751640455E-2</v>
      </c>
      <c r="K12" s="8"/>
      <c r="L12" s="380"/>
    </row>
    <row r="13" spans="1:12" x14ac:dyDescent="0.25">
      <c r="A13">
        <v>2</v>
      </c>
      <c r="B13" s="8">
        <v>18968.8753</v>
      </c>
      <c r="C13" s="11">
        <f t="shared" ref="C13:C76" si="0">B13/B$102</f>
        <v>3.88373450330173E-2</v>
      </c>
      <c r="E13" s="201">
        <v>2</v>
      </c>
      <c r="F13" s="291">
        <v>10931</v>
      </c>
      <c r="G13" s="11">
        <f t="shared" ref="G13:G76" si="1">F13/F$102</f>
        <v>2.4306072849287229E-2</v>
      </c>
    </row>
    <row r="14" spans="1:12" x14ac:dyDescent="0.25">
      <c r="A14">
        <v>3</v>
      </c>
      <c r="B14" s="8">
        <v>19859.8099</v>
      </c>
      <c r="C14" s="11">
        <f t="shared" si="0"/>
        <v>4.0661466596094542E-2</v>
      </c>
      <c r="E14" s="202">
        <v>3</v>
      </c>
      <c r="F14" s="292">
        <v>11615</v>
      </c>
      <c r="G14" s="11">
        <f t="shared" si="1"/>
        <v>2.5827009070027551E-2</v>
      </c>
    </row>
    <row r="15" spans="1:12" x14ac:dyDescent="0.25">
      <c r="A15">
        <v>4</v>
      </c>
      <c r="B15" s="8">
        <v>26400.670600000001</v>
      </c>
      <c r="C15" s="11">
        <f t="shared" si="0"/>
        <v>5.4053386770655611E-2</v>
      </c>
      <c r="E15" s="203">
        <v>4</v>
      </c>
      <c r="F15" s="293">
        <v>11371</v>
      </c>
      <c r="G15" s="11">
        <f t="shared" si="1"/>
        <v>2.5284452874324861E-2</v>
      </c>
    </row>
    <row r="16" spans="1:12" x14ac:dyDescent="0.25">
      <c r="A16">
        <v>5</v>
      </c>
      <c r="B16" s="8">
        <v>27743.784299999999</v>
      </c>
      <c r="C16" s="11">
        <f t="shared" si="0"/>
        <v>5.6803311020801973E-2</v>
      </c>
      <c r="E16" s="204">
        <v>5</v>
      </c>
      <c r="F16" s="294">
        <v>10899</v>
      </c>
      <c r="G16" s="11">
        <f t="shared" si="1"/>
        <v>2.42349179383754E-2</v>
      </c>
    </row>
    <row r="17" spans="1:7" x14ac:dyDescent="0.25">
      <c r="A17">
        <v>6</v>
      </c>
      <c r="B17" s="8">
        <v>24347.533899999999</v>
      </c>
      <c r="C17" s="11">
        <f t="shared" si="0"/>
        <v>4.984974384735321E-2</v>
      </c>
      <c r="E17" s="205">
        <v>6</v>
      </c>
      <c r="F17" s="295">
        <v>10085</v>
      </c>
      <c r="G17" s="11">
        <f t="shared" si="1"/>
        <v>2.2424914892055777E-2</v>
      </c>
    </row>
    <row r="18" spans="1:7" x14ac:dyDescent="0.25">
      <c r="A18">
        <v>7</v>
      </c>
      <c r="B18" s="8">
        <v>30703.141</v>
      </c>
      <c r="C18" s="11">
        <f t="shared" si="0"/>
        <v>6.2862371213668097E-2</v>
      </c>
      <c r="E18" s="206">
        <v>7</v>
      </c>
      <c r="F18" s="296">
        <v>9606</v>
      </c>
      <c r="G18" s="11">
        <f t="shared" si="1"/>
        <v>2.1359814819344351E-2</v>
      </c>
    </row>
    <row r="19" spans="1:7" x14ac:dyDescent="0.25">
      <c r="A19">
        <v>8</v>
      </c>
      <c r="B19" s="8">
        <v>34424.624199999998</v>
      </c>
      <c r="C19" s="11">
        <f t="shared" si="0"/>
        <v>7.0481828075877384E-2</v>
      </c>
      <c r="E19" s="207">
        <v>8</v>
      </c>
      <c r="F19" s="297">
        <v>8856</v>
      </c>
      <c r="G19" s="11">
        <f t="shared" si="1"/>
        <v>1.9692121594848386E-2</v>
      </c>
    </row>
    <row r="20" spans="1:7" x14ac:dyDescent="0.25">
      <c r="A20">
        <v>9</v>
      </c>
      <c r="B20" s="8">
        <v>21605.940300000002</v>
      </c>
      <c r="C20" s="11">
        <f t="shared" si="0"/>
        <v>4.4236537218096075E-2</v>
      </c>
      <c r="E20" s="208">
        <v>9</v>
      </c>
      <c r="F20" s="298">
        <v>8228</v>
      </c>
      <c r="G20" s="11">
        <f t="shared" si="1"/>
        <v>1.8295706468203762E-2</v>
      </c>
    </row>
    <row r="21" spans="1:7" x14ac:dyDescent="0.25">
      <c r="A21">
        <v>10</v>
      </c>
      <c r="B21" s="8">
        <v>31709.986000000001</v>
      </c>
      <c r="C21" s="11">
        <f t="shared" si="0"/>
        <v>6.4923810600101745E-2</v>
      </c>
      <c r="E21" s="209">
        <v>10</v>
      </c>
      <c r="F21" s="299">
        <v>7403</v>
      </c>
      <c r="G21" s="11">
        <f t="shared" si="1"/>
        <v>1.6461243921258195E-2</v>
      </c>
    </row>
    <row r="22" spans="1:7" x14ac:dyDescent="0.25">
      <c r="A22">
        <v>11</v>
      </c>
      <c r="B22" s="8">
        <v>30562.162500000002</v>
      </c>
      <c r="C22" s="11">
        <f t="shared" si="0"/>
        <v>6.2573728341587156E-2</v>
      </c>
      <c r="E22" s="210">
        <v>11</v>
      </c>
      <c r="F22" s="300">
        <v>6426</v>
      </c>
      <c r="G22" s="11">
        <f t="shared" si="1"/>
        <v>1.4288795547481449E-2</v>
      </c>
    </row>
    <row r="23" spans="1:7" x14ac:dyDescent="0.25">
      <c r="A23">
        <v>12</v>
      </c>
      <c r="B23" s="8">
        <v>18478.614300000001</v>
      </c>
      <c r="C23" s="11">
        <f t="shared" si="0"/>
        <v>3.7833572520830874E-2</v>
      </c>
      <c r="E23" s="211">
        <v>12</v>
      </c>
      <c r="F23" s="301">
        <v>6103</v>
      </c>
      <c r="G23" s="11">
        <f t="shared" si="1"/>
        <v>1.3570575665465186E-2</v>
      </c>
    </row>
    <row r="24" spans="1:7" x14ac:dyDescent="0.25">
      <c r="A24">
        <v>13</v>
      </c>
      <c r="B24" s="8">
        <v>22124.482400000001</v>
      </c>
      <c r="C24" s="11">
        <f t="shared" si="0"/>
        <v>4.5298213154773531E-2</v>
      </c>
      <c r="E24" s="212">
        <v>13</v>
      </c>
      <c r="F24" s="302">
        <v>5187</v>
      </c>
      <c r="G24" s="11">
        <f t="shared" si="1"/>
        <v>1.1533766340614111E-2</v>
      </c>
    </row>
    <row r="25" spans="1:7" x14ac:dyDescent="0.25">
      <c r="A25">
        <v>14</v>
      </c>
      <c r="B25" s="8">
        <v>17596.517100000001</v>
      </c>
      <c r="C25" s="11">
        <f t="shared" si="0"/>
        <v>3.6027544869362341E-2</v>
      </c>
      <c r="E25" s="213">
        <v>14</v>
      </c>
      <c r="F25" s="303">
        <v>4592</v>
      </c>
      <c r="G25" s="11">
        <f t="shared" si="1"/>
        <v>1.021072971584731E-2</v>
      </c>
    </row>
    <row r="26" spans="1:7" x14ac:dyDescent="0.25">
      <c r="A26">
        <v>15</v>
      </c>
      <c r="B26" s="8">
        <v>14068.676799999999</v>
      </c>
      <c r="C26" s="11">
        <f t="shared" si="0"/>
        <v>2.8804557275971216E-2</v>
      </c>
      <c r="E26" s="214">
        <v>15</v>
      </c>
      <c r="F26" s="304">
        <v>4255</v>
      </c>
      <c r="G26" s="11">
        <f t="shared" si="1"/>
        <v>9.4613795603071225E-3</v>
      </c>
    </row>
    <row r="27" spans="1:7" x14ac:dyDescent="0.25">
      <c r="A27">
        <v>16</v>
      </c>
      <c r="B27" s="8">
        <v>20342.1554</v>
      </c>
      <c r="C27" s="11">
        <f t="shared" si="0"/>
        <v>4.1649032717562123E-2</v>
      </c>
      <c r="E27" s="215">
        <v>16</v>
      </c>
      <c r="F27" s="305">
        <v>4189</v>
      </c>
      <c r="G27" s="11">
        <f t="shared" si="1"/>
        <v>9.3146225565514766E-3</v>
      </c>
    </row>
    <row r="28" spans="1:7" x14ac:dyDescent="0.25">
      <c r="A28">
        <v>17</v>
      </c>
      <c r="B28" s="8">
        <v>13321.115400000001</v>
      </c>
      <c r="C28" s="11">
        <f t="shared" si="0"/>
        <v>2.7273981553057092E-2</v>
      </c>
      <c r="E28" s="216">
        <v>17</v>
      </c>
      <c r="F28" s="306">
        <v>3600</v>
      </c>
      <c r="G28" s="11">
        <f t="shared" si="1"/>
        <v>8.0049274775806437E-3</v>
      </c>
    </row>
    <row r="29" spans="1:7" x14ac:dyDescent="0.25">
      <c r="A29">
        <v>18</v>
      </c>
      <c r="B29" s="8">
        <v>6960.6136999999999</v>
      </c>
      <c r="C29" s="11">
        <f t="shared" si="0"/>
        <v>1.4251332861492699E-2</v>
      </c>
      <c r="E29" s="217">
        <v>18</v>
      </c>
      <c r="F29" s="307">
        <v>45704</v>
      </c>
      <c r="G29" s="11">
        <f t="shared" si="1"/>
        <v>0.10162700150981827</v>
      </c>
    </row>
    <row r="30" spans="1:7" x14ac:dyDescent="0.25">
      <c r="A30">
        <v>19</v>
      </c>
      <c r="B30" s="8">
        <v>7207.7222000000002</v>
      </c>
      <c r="C30" s="11">
        <f t="shared" si="0"/>
        <v>1.4757268923768956E-2</v>
      </c>
      <c r="E30" s="218">
        <v>19</v>
      </c>
      <c r="F30" s="308">
        <v>12251</v>
      </c>
      <c r="G30" s="11">
        <f t="shared" si="1"/>
        <v>2.724121292440013E-2</v>
      </c>
    </row>
    <row r="31" spans="1:7" x14ac:dyDescent="0.25">
      <c r="A31">
        <v>20</v>
      </c>
      <c r="B31" s="8">
        <v>7079.1616999999997</v>
      </c>
      <c r="C31" s="11">
        <f t="shared" si="0"/>
        <v>1.4494050972406429E-2</v>
      </c>
      <c r="E31" s="219">
        <v>20</v>
      </c>
      <c r="F31" s="309">
        <v>14038</v>
      </c>
      <c r="G31" s="11">
        <f t="shared" si="1"/>
        <v>3.1214769980632523E-2</v>
      </c>
    </row>
    <row r="32" spans="1:7" x14ac:dyDescent="0.25">
      <c r="A32">
        <v>21</v>
      </c>
      <c r="B32" s="8">
        <v>8740.9022000000004</v>
      </c>
      <c r="C32" s="11">
        <f t="shared" si="0"/>
        <v>1.7896339623322845E-2</v>
      </c>
      <c r="E32" s="220">
        <v>21</v>
      </c>
      <c r="F32" s="310">
        <v>19498</v>
      </c>
      <c r="G32" s="11">
        <f t="shared" si="1"/>
        <v>4.3355576654963167E-2</v>
      </c>
    </row>
    <row r="33" spans="1:7" x14ac:dyDescent="0.25">
      <c r="A33">
        <v>22</v>
      </c>
      <c r="B33" s="8">
        <v>3702.0645</v>
      </c>
      <c r="C33" s="11">
        <f t="shared" si="0"/>
        <v>7.5796985349460694E-3</v>
      </c>
      <c r="E33" s="221">
        <v>22</v>
      </c>
      <c r="F33" s="311">
        <v>15508</v>
      </c>
      <c r="G33" s="11">
        <f t="shared" si="1"/>
        <v>3.4483448700644619E-2</v>
      </c>
    </row>
    <row r="34" spans="1:7" x14ac:dyDescent="0.25">
      <c r="A34">
        <v>23</v>
      </c>
      <c r="B34" s="8">
        <v>6309.1859999999997</v>
      </c>
      <c r="C34" s="11">
        <f t="shared" si="0"/>
        <v>1.2917583656606266E-2</v>
      </c>
      <c r="E34" s="222">
        <v>23</v>
      </c>
      <c r="F34" s="312">
        <v>15103</v>
      </c>
      <c r="G34" s="11">
        <f t="shared" si="1"/>
        <v>3.3582894359416797E-2</v>
      </c>
    </row>
    <row r="35" spans="1:7" x14ac:dyDescent="0.25">
      <c r="A35">
        <v>24</v>
      </c>
      <c r="B35" s="8">
        <v>14474.388199999999</v>
      </c>
      <c r="C35" s="11">
        <f t="shared" si="0"/>
        <v>2.963522084333773E-2</v>
      </c>
      <c r="E35" s="223">
        <v>24</v>
      </c>
      <c r="F35" s="313">
        <v>11386</v>
      </c>
      <c r="G35" s="11">
        <f t="shared" si="1"/>
        <v>2.5317806738814782E-2</v>
      </c>
    </row>
    <row r="36" spans="1:7" x14ac:dyDescent="0.25">
      <c r="A36">
        <v>25</v>
      </c>
      <c r="B36" s="8">
        <v>7580.0465999999997</v>
      </c>
      <c r="C36" s="11">
        <f t="shared" si="0"/>
        <v>1.5519575120542316E-2</v>
      </c>
      <c r="E36" s="224">
        <v>25</v>
      </c>
      <c r="F36" s="314">
        <v>13316</v>
      </c>
      <c r="G36" s="11">
        <f t="shared" si="1"/>
        <v>2.9609337303184404E-2</v>
      </c>
    </row>
    <row r="37" spans="1:7" x14ac:dyDescent="0.25">
      <c r="A37">
        <v>26</v>
      </c>
      <c r="B37" s="8">
        <v>1277.5219</v>
      </c>
      <c r="C37" s="11">
        <f t="shared" si="0"/>
        <v>2.6156299745159809E-3</v>
      </c>
      <c r="E37" s="225">
        <v>26</v>
      </c>
      <c r="F37" s="315">
        <v>8101</v>
      </c>
      <c r="G37" s="11">
        <f t="shared" si="1"/>
        <v>1.8013310415522444E-2</v>
      </c>
    </row>
    <row r="38" spans="1:7" x14ac:dyDescent="0.25">
      <c r="A38">
        <v>27</v>
      </c>
      <c r="B38" s="8">
        <v>8109.4690000000001</v>
      </c>
      <c r="C38" s="11">
        <f t="shared" si="0"/>
        <v>1.6603527652878702E-2</v>
      </c>
      <c r="E38" s="226">
        <v>27</v>
      </c>
      <c r="F38" s="316">
        <v>10028</v>
      </c>
      <c r="G38" s="11">
        <f t="shared" si="1"/>
        <v>2.2298170206994084E-2</v>
      </c>
    </row>
    <row r="39" spans="1:7" x14ac:dyDescent="0.25">
      <c r="A39">
        <v>28</v>
      </c>
      <c r="B39" s="8">
        <v>1376.4806000000001</v>
      </c>
      <c r="C39" s="11">
        <f t="shared" si="0"/>
        <v>2.8182404675017648E-3</v>
      </c>
      <c r="E39" s="227">
        <v>28</v>
      </c>
      <c r="F39" s="317">
        <v>9621</v>
      </c>
      <c r="G39" s="11">
        <f t="shared" si="1"/>
        <v>2.1393168683834271E-2</v>
      </c>
    </row>
    <row r="40" spans="1:7" x14ac:dyDescent="0.25">
      <c r="A40">
        <v>29</v>
      </c>
      <c r="B40" s="8">
        <v>1611.9995999999999</v>
      </c>
      <c r="C40" s="11">
        <f t="shared" si="0"/>
        <v>3.3004479004765173E-3</v>
      </c>
      <c r="E40" s="228">
        <v>29</v>
      </c>
      <c r="F40" s="318">
        <v>9966</v>
      </c>
      <c r="G40" s="11">
        <f t="shared" si="1"/>
        <v>2.2160307567102418E-2</v>
      </c>
    </row>
    <row r="41" spans="1:7" x14ac:dyDescent="0.25">
      <c r="A41">
        <v>30</v>
      </c>
      <c r="B41" s="8">
        <v>1968.9436000000001</v>
      </c>
      <c r="C41" s="11">
        <f t="shared" si="0"/>
        <v>4.0312638854108135E-3</v>
      </c>
      <c r="E41" s="229">
        <v>30</v>
      </c>
      <c r="F41" s="319">
        <v>8014</v>
      </c>
      <c r="G41" s="11">
        <f t="shared" si="1"/>
        <v>1.781985800148091E-2</v>
      </c>
    </row>
    <row r="42" spans="1:7" x14ac:dyDescent="0.25">
      <c r="A42">
        <v>31</v>
      </c>
      <c r="B42" s="8">
        <v>2784.5832</v>
      </c>
      <c r="C42" s="11">
        <f t="shared" si="0"/>
        <v>5.7012246008883525E-3</v>
      </c>
      <c r="E42" s="230">
        <v>31</v>
      </c>
      <c r="F42" s="320">
        <v>9597</v>
      </c>
      <c r="G42" s="11">
        <f t="shared" si="1"/>
        <v>2.1339802500650401E-2</v>
      </c>
    </row>
    <row r="43" spans="1:7" x14ac:dyDescent="0.25">
      <c r="A43">
        <v>32</v>
      </c>
      <c r="B43" s="8">
        <v>1161.9668999999999</v>
      </c>
      <c r="C43" s="11">
        <f t="shared" si="0"/>
        <v>2.379039805920676E-3</v>
      </c>
      <c r="E43" s="231">
        <v>32</v>
      </c>
      <c r="F43" s="321">
        <v>6774</v>
      </c>
      <c r="G43" s="11">
        <f t="shared" si="1"/>
        <v>1.5062605203647579E-2</v>
      </c>
    </row>
    <row r="44" spans="1:7" x14ac:dyDescent="0.25">
      <c r="A44">
        <v>33</v>
      </c>
      <c r="B44" s="8">
        <v>373.11410000000001</v>
      </c>
      <c r="C44" s="11">
        <f t="shared" si="0"/>
        <v>7.6392304810943225E-4</v>
      </c>
      <c r="E44" s="232">
        <v>33</v>
      </c>
      <c r="F44" s="322">
        <v>9119</v>
      </c>
      <c r="G44" s="11">
        <f t="shared" si="1"/>
        <v>2.0276926018904972E-2</v>
      </c>
    </row>
    <row r="45" spans="1:7" x14ac:dyDescent="0.25">
      <c r="A45">
        <v>34</v>
      </c>
      <c r="B45" s="8">
        <v>966.38099999999997</v>
      </c>
      <c r="C45" s="11">
        <f t="shared" si="0"/>
        <v>1.9785923907861998E-3</v>
      </c>
      <c r="E45" s="233">
        <v>34</v>
      </c>
      <c r="F45" s="323">
        <v>6207</v>
      </c>
      <c r="G45" s="11">
        <f t="shared" si="1"/>
        <v>1.3801829125928627E-2</v>
      </c>
    </row>
    <row r="46" spans="1:7" x14ac:dyDescent="0.25">
      <c r="A46">
        <v>35</v>
      </c>
      <c r="B46" s="8">
        <v>869.82169999999996</v>
      </c>
      <c r="C46" s="11">
        <f t="shared" si="0"/>
        <v>1.780894488778977E-3</v>
      </c>
      <c r="E46" s="234">
        <v>35</v>
      </c>
      <c r="F46" s="324">
        <v>5923</v>
      </c>
      <c r="G46" s="11">
        <f t="shared" si="1"/>
        <v>1.3170329291586154E-2</v>
      </c>
    </row>
    <row r="47" spans="1:7" x14ac:dyDescent="0.25">
      <c r="A47">
        <v>36</v>
      </c>
      <c r="B47" s="8">
        <v>4139.3672999999999</v>
      </c>
      <c r="C47" s="11">
        <f t="shared" si="0"/>
        <v>8.4750431169996268E-3</v>
      </c>
      <c r="E47" s="235">
        <v>36</v>
      </c>
      <c r="F47" s="325">
        <v>8215</v>
      </c>
      <c r="G47" s="11">
        <f t="shared" si="1"/>
        <v>1.826679978564583E-2</v>
      </c>
    </row>
    <row r="48" spans="1:7" x14ac:dyDescent="0.25">
      <c r="A48">
        <v>37</v>
      </c>
      <c r="B48" s="8">
        <v>171.83750000000001</v>
      </c>
      <c r="C48" s="11">
        <f t="shared" si="0"/>
        <v>3.5182435287089004E-4</v>
      </c>
      <c r="E48" s="236">
        <v>37</v>
      </c>
      <c r="F48" s="326">
        <v>5442</v>
      </c>
      <c r="G48" s="11">
        <f t="shared" si="1"/>
        <v>1.210078203694274E-2</v>
      </c>
    </row>
    <row r="49" spans="1:7" x14ac:dyDescent="0.25">
      <c r="A49">
        <v>38</v>
      </c>
      <c r="B49" s="8">
        <v>1220.9917</v>
      </c>
      <c r="C49" s="11">
        <f t="shared" si="0"/>
        <v>2.4998886431263721E-3</v>
      </c>
      <c r="E49" s="237">
        <v>38</v>
      </c>
      <c r="F49" s="327">
        <v>4502</v>
      </c>
      <c r="G49" s="11">
        <f t="shared" si="1"/>
        <v>1.0010606528907794E-2</v>
      </c>
    </row>
    <row r="50" spans="1:7" x14ac:dyDescent="0.25">
      <c r="A50">
        <v>39</v>
      </c>
      <c r="B50" s="8">
        <v>524.25310000000002</v>
      </c>
      <c r="C50" s="11">
        <f t="shared" si="0"/>
        <v>1.0733687795042293E-3</v>
      </c>
      <c r="E50" s="238">
        <v>39</v>
      </c>
      <c r="F50" s="328">
        <v>5425</v>
      </c>
      <c r="G50" s="11">
        <f t="shared" si="1"/>
        <v>1.2062980990520831E-2</v>
      </c>
    </row>
    <row r="51" spans="1:7" x14ac:dyDescent="0.25">
      <c r="A51">
        <v>40</v>
      </c>
      <c r="B51" s="8">
        <v>1033.396</v>
      </c>
      <c r="C51" s="11">
        <f t="shared" si="0"/>
        <v>2.1158005613406052E-3</v>
      </c>
      <c r="E51" s="239">
        <v>40</v>
      </c>
      <c r="F51" s="329">
        <v>4562</v>
      </c>
      <c r="G51" s="11">
        <f t="shared" si="1"/>
        <v>1.0144021986867471E-2</v>
      </c>
    </row>
    <row r="52" spans="1:7" x14ac:dyDescent="0.25">
      <c r="A52">
        <v>41</v>
      </c>
      <c r="B52" s="8">
        <v>1617.0025000000001</v>
      </c>
      <c r="C52" s="11">
        <f t="shared" si="0"/>
        <v>3.3106909618279561E-3</v>
      </c>
      <c r="E52" s="240">
        <v>41</v>
      </c>
      <c r="F52" s="330">
        <v>3686</v>
      </c>
      <c r="G52" s="11">
        <f t="shared" si="1"/>
        <v>8.1961563006561818E-3</v>
      </c>
    </row>
    <row r="53" spans="1:7" x14ac:dyDescent="0.25">
      <c r="A53">
        <v>42</v>
      </c>
      <c r="B53" s="8">
        <v>134.97909999999999</v>
      </c>
      <c r="C53" s="11">
        <f t="shared" si="0"/>
        <v>2.763595519522523E-4</v>
      </c>
      <c r="E53" s="241">
        <v>42</v>
      </c>
      <c r="F53" s="331">
        <v>4382</v>
      </c>
      <c r="G53" s="11">
        <f t="shared" si="1"/>
        <v>9.7437756129884392E-3</v>
      </c>
    </row>
    <row r="54" spans="1:7" x14ac:dyDescent="0.25">
      <c r="A54">
        <v>43</v>
      </c>
      <c r="B54" s="8">
        <v>1199.1210999999998</v>
      </c>
      <c r="C54" s="11">
        <f t="shared" si="0"/>
        <v>2.4551102350844826E-3</v>
      </c>
      <c r="E54" s="242">
        <v>43</v>
      </c>
      <c r="F54" s="332">
        <v>3438</v>
      </c>
      <c r="G54" s="11">
        <f t="shared" si="1"/>
        <v>7.6447057410895152E-3</v>
      </c>
    </row>
    <row r="55" spans="1:7" x14ac:dyDescent="0.25">
      <c r="A55">
        <v>44</v>
      </c>
      <c r="B55" s="8">
        <v>1488.9526999999998</v>
      </c>
      <c r="C55" s="11">
        <f t="shared" si="0"/>
        <v>3.0485186302923661E-3</v>
      </c>
      <c r="E55" s="243">
        <v>44</v>
      </c>
      <c r="F55" s="333">
        <v>2902</v>
      </c>
      <c r="G55" s="11">
        <f t="shared" si="1"/>
        <v>6.4528609833163966E-3</v>
      </c>
    </row>
    <row r="56" spans="1:7" x14ac:dyDescent="0.25">
      <c r="A56">
        <v>45</v>
      </c>
      <c r="B56" s="8">
        <v>1531.2729999999999</v>
      </c>
      <c r="C56" s="11">
        <f t="shared" si="0"/>
        <v>3.1351662605290835E-3</v>
      </c>
      <c r="E56" s="244">
        <v>45</v>
      </c>
      <c r="F56" s="334">
        <v>3026</v>
      </c>
      <c r="G56" s="11">
        <f t="shared" si="1"/>
        <v>6.7285862630997303E-3</v>
      </c>
    </row>
    <row r="57" spans="1:7" x14ac:dyDescent="0.25">
      <c r="A57">
        <v>46</v>
      </c>
      <c r="B57" s="8">
        <v>1049.4897000000001</v>
      </c>
      <c r="C57" s="11">
        <f t="shared" si="0"/>
        <v>2.1487512012637786E-3</v>
      </c>
      <c r="E57" s="245">
        <v>46</v>
      </c>
      <c r="F57" s="335">
        <v>3125</v>
      </c>
      <c r="G57" s="11">
        <f t="shared" si="1"/>
        <v>6.9487217687331983E-3</v>
      </c>
    </row>
    <row r="58" spans="1:7" x14ac:dyDescent="0.25">
      <c r="A58">
        <v>47</v>
      </c>
      <c r="B58" s="8">
        <v>663.72019999999998</v>
      </c>
      <c r="C58" s="11">
        <f t="shared" si="0"/>
        <v>1.3589171737969751E-3</v>
      </c>
      <c r="E58" s="246">
        <v>47</v>
      </c>
      <c r="F58" s="336">
        <v>2160</v>
      </c>
      <c r="G58" s="11">
        <f t="shared" si="1"/>
        <v>4.8029564865483864E-3</v>
      </c>
    </row>
    <row r="59" spans="1:7" x14ac:dyDescent="0.25">
      <c r="A59">
        <v>48</v>
      </c>
      <c r="B59" s="8">
        <v>80.4285</v>
      </c>
      <c r="C59" s="11">
        <f t="shared" si="0"/>
        <v>1.6467130262530811E-4</v>
      </c>
      <c r="E59" s="247">
        <v>48</v>
      </c>
      <c r="F59" s="337">
        <v>2457</v>
      </c>
      <c r="G59" s="11">
        <f t="shared" si="1"/>
        <v>5.4633630034487896E-3</v>
      </c>
    </row>
    <row r="60" spans="1:7" x14ac:dyDescent="0.25">
      <c r="A60">
        <v>49</v>
      </c>
      <c r="B60" s="8">
        <v>424.66269999999997</v>
      </c>
      <c r="C60" s="11">
        <f t="shared" si="0"/>
        <v>8.6946492829507473E-4</v>
      </c>
      <c r="E60" s="248">
        <v>49</v>
      </c>
      <c r="F60" s="338">
        <v>1977</v>
      </c>
      <c r="G60" s="11">
        <f t="shared" si="1"/>
        <v>4.3960393397713708E-3</v>
      </c>
    </row>
    <row r="61" spans="1:7" x14ac:dyDescent="0.25">
      <c r="A61">
        <v>50</v>
      </c>
      <c r="B61" s="8">
        <v>884.50249999999994</v>
      </c>
      <c r="C61" s="11">
        <f t="shared" si="0"/>
        <v>1.8109523222532009E-3</v>
      </c>
      <c r="E61" s="249">
        <v>50</v>
      </c>
      <c r="F61" s="339">
        <v>1722</v>
      </c>
      <c r="G61" s="11">
        <f t="shared" si="1"/>
        <v>3.8290236434427413E-3</v>
      </c>
    </row>
    <row r="62" spans="1:7" x14ac:dyDescent="0.25">
      <c r="A62">
        <v>51</v>
      </c>
      <c r="B62" s="8">
        <v>99.674099999999996</v>
      </c>
      <c r="C62" s="11">
        <f t="shared" si="0"/>
        <v>2.0407522066189499E-4</v>
      </c>
      <c r="E62" s="250">
        <v>51</v>
      </c>
      <c r="F62" s="340">
        <v>1686</v>
      </c>
      <c r="G62" s="11">
        <f t="shared" si="1"/>
        <v>3.7489743686669351E-3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251">
        <v>52</v>
      </c>
      <c r="F63" s="341">
        <v>1844</v>
      </c>
      <c r="G63" s="11">
        <f t="shared" si="1"/>
        <v>4.1003017412940858E-3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252">
        <v>53</v>
      </c>
      <c r="F64" s="342">
        <v>1379</v>
      </c>
      <c r="G64" s="11">
        <f t="shared" si="1"/>
        <v>3.0663319421065857E-3</v>
      </c>
    </row>
    <row r="65" spans="1:7" x14ac:dyDescent="0.25">
      <c r="A65">
        <v>54</v>
      </c>
      <c r="B65" s="8">
        <v>314.726</v>
      </c>
      <c r="C65" s="11">
        <f t="shared" si="0"/>
        <v>6.4437780625092747E-4</v>
      </c>
      <c r="E65" s="253">
        <v>54</v>
      </c>
      <c r="F65" s="343">
        <v>1091</v>
      </c>
      <c r="G65" s="11">
        <f t="shared" si="1"/>
        <v>2.4259377439001342E-3</v>
      </c>
    </row>
    <row r="66" spans="1:7" x14ac:dyDescent="0.25">
      <c r="A66">
        <v>55</v>
      </c>
      <c r="B66" s="8">
        <v>918.09680000000003</v>
      </c>
      <c r="C66" s="11">
        <f t="shared" si="0"/>
        <v>1.8797341239999126E-3</v>
      </c>
      <c r="E66" s="254">
        <v>55</v>
      </c>
      <c r="F66" s="344">
        <v>1024</v>
      </c>
      <c r="G66" s="11">
        <f t="shared" si="1"/>
        <v>2.2769571491784942E-3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255">
        <v>56</v>
      </c>
      <c r="F67" s="345">
        <v>1177</v>
      </c>
      <c r="G67" s="11">
        <f t="shared" si="1"/>
        <v>2.6171665669756719E-3</v>
      </c>
    </row>
    <row r="68" spans="1:7" x14ac:dyDescent="0.25">
      <c r="A68">
        <v>57</v>
      </c>
      <c r="B68" s="8">
        <v>0</v>
      </c>
      <c r="C68" s="11">
        <f t="shared" si="0"/>
        <v>0</v>
      </c>
      <c r="E68" s="256">
        <v>57</v>
      </c>
      <c r="F68" s="346">
        <v>907</v>
      </c>
      <c r="G68" s="11">
        <f t="shared" si="1"/>
        <v>2.0167970061571233E-3</v>
      </c>
    </row>
    <row r="69" spans="1:7" x14ac:dyDescent="0.25">
      <c r="A69">
        <v>58</v>
      </c>
      <c r="B69" s="8">
        <v>163.9897</v>
      </c>
      <c r="C69" s="11">
        <f t="shared" si="0"/>
        <v>3.3575657280856272E-4</v>
      </c>
      <c r="E69" s="257">
        <v>58</v>
      </c>
      <c r="F69" s="347">
        <v>822</v>
      </c>
      <c r="G69" s="11">
        <f t="shared" si="1"/>
        <v>1.8277917740475804E-3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258">
        <v>59</v>
      </c>
      <c r="F70" s="348">
        <v>705</v>
      </c>
      <c r="G70" s="11">
        <f t="shared" si="1"/>
        <v>1.5676316310262095E-3</v>
      </c>
    </row>
    <row r="71" spans="1:7" x14ac:dyDescent="0.25">
      <c r="A71">
        <v>60</v>
      </c>
      <c r="B71" s="8">
        <v>0</v>
      </c>
      <c r="C71" s="11">
        <f t="shared" si="0"/>
        <v>0</v>
      </c>
      <c r="E71" s="259">
        <v>60</v>
      </c>
      <c r="F71" s="349">
        <v>609</v>
      </c>
      <c r="G71" s="11">
        <f t="shared" si="1"/>
        <v>1.3541668982907256E-3</v>
      </c>
    </row>
    <row r="72" spans="1:7" x14ac:dyDescent="0.25">
      <c r="A72">
        <v>61</v>
      </c>
      <c r="B72" s="8">
        <v>599.8445999999999</v>
      </c>
      <c r="C72" s="11">
        <f t="shared" si="0"/>
        <v>1.228136688546434E-3</v>
      </c>
      <c r="E72" s="260">
        <v>61</v>
      </c>
      <c r="F72" s="350">
        <v>574</v>
      </c>
      <c r="G72" s="11">
        <f t="shared" si="1"/>
        <v>1.2763412144809138E-3</v>
      </c>
    </row>
    <row r="73" spans="1:7" x14ac:dyDescent="0.25">
      <c r="A73">
        <v>62</v>
      </c>
      <c r="B73" s="8">
        <v>1144.2716</v>
      </c>
      <c r="C73" s="11">
        <f t="shared" si="0"/>
        <v>2.3428100104956016E-3</v>
      </c>
      <c r="E73" s="261">
        <v>62</v>
      </c>
      <c r="F73" s="351">
        <v>775</v>
      </c>
      <c r="G73" s="11">
        <f t="shared" si="1"/>
        <v>1.7232829986458332E-3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262">
        <v>63</v>
      </c>
      <c r="F74" s="352">
        <v>517</v>
      </c>
      <c r="G74" s="11">
        <f t="shared" si="1"/>
        <v>1.1495965294192202E-3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263">
        <v>64</v>
      </c>
      <c r="F75" s="353">
        <v>400</v>
      </c>
      <c r="G75" s="11">
        <f t="shared" si="1"/>
        <v>8.8943638639784933E-4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264">
        <v>65</v>
      </c>
      <c r="F76" s="354">
        <v>336</v>
      </c>
      <c r="G76" s="11">
        <f t="shared" si="1"/>
        <v>7.4712656457419347E-4</v>
      </c>
    </row>
    <row r="77" spans="1:7" x14ac:dyDescent="0.25">
      <c r="A77">
        <v>66</v>
      </c>
      <c r="B77" s="8">
        <v>0</v>
      </c>
      <c r="C77" s="11">
        <f t="shared" ref="C77:C102" si="2">B77/B$102</f>
        <v>0</v>
      </c>
      <c r="E77" s="265">
        <v>66</v>
      </c>
      <c r="F77" s="355">
        <v>317</v>
      </c>
      <c r="G77" s="11">
        <f t="shared" ref="G77:G102" si="3">F77/F$102</f>
        <v>7.0487833622029557E-4</v>
      </c>
    </row>
    <row r="78" spans="1:7" x14ac:dyDescent="0.25">
      <c r="A78">
        <v>67</v>
      </c>
      <c r="B78" s="8">
        <v>0</v>
      </c>
      <c r="C78" s="11">
        <f t="shared" si="2"/>
        <v>0</v>
      </c>
      <c r="E78" s="266">
        <v>67</v>
      </c>
      <c r="F78" s="356">
        <v>285</v>
      </c>
      <c r="G78" s="11">
        <f t="shared" si="3"/>
        <v>6.3372342530846769E-4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267">
        <v>68</v>
      </c>
      <c r="F79" s="357">
        <v>358</v>
      </c>
      <c r="G79" s="11">
        <f t="shared" si="3"/>
        <v>7.9604556582607512E-4</v>
      </c>
    </row>
    <row r="80" spans="1:7" x14ac:dyDescent="0.25">
      <c r="A80">
        <v>69</v>
      </c>
      <c r="B80" s="8">
        <v>78.963099999999997</v>
      </c>
      <c r="C80" s="11">
        <f t="shared" si="2"/>
        <v>1.6167100637625302E-4</v>
      </c>
      <c r="E80" s="268">
        <v>69</v>
      </c>
      <c r="F80" s="358">
        <v>223</v>
      </c>
      <c r="G80" s="11">
        <f t="shared" si="3"/>
        <v>4.9586078541680103E-4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269">
        <v>70</v>
      </c>
      <c r="F81" s="359">
        <v>199</v>
      </c>
      <c r="G81" s="11">
        <f t="shared" si="3"/>
        <v>4.4249460223293006E-4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270">
        <v>71</v>
      </c>
      <c r="F82" s="360">
        <v>165</v>
      </c>
      <c r="G82" s="11">
        <f t="shared" si="3"/>
        <v>3.6689250938911288E-4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271">
        <v>72</v>
      </c>
      <c r="F83" s="361">
        <v>151</v>
      </c>
      <c r="G83" s="11">
        <f t="shared" si="3"/>
        <v>3.3576223586518814E-4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272">
        <v>73</v>
      </c>
      <c r="F84" s="362">
        <v>168</v>
      </c>
      <c r="G84" s="11">
        <f t="shared" si="3"/>
        <v>3.7356328228709673E-4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273">
        <v>74</v>
      </c>
      <c r="F85" s="363">
        <v>142</v>
      </c>
      <c r="G85" s="11">
        <f t="shared" si="3"/>
        <v>3.1574991717123652E-4</v>
      </c>
    </row>
    <row r="86" spans="1:7" x14ac:dyDescent="0.25">
      <c r="A86">
        <v>75</v>
      </c>
      <c r="B86" s="8">
        <v>114.5552</v>
      </c>
      <c r="C86" s="11">
        <f t="shared" si="2"/>
        <v>2.3454315331633308E-4</v>
      </c>
      <c r="E86" s="274">
        <v>75</v>
      </c>
      <c r="F86" s="364">
        <v>99</v>
      </c>
      <c r="G86" s="11">
        <f t="shared" si="3"/>
        <v>2.201355056334677E-4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275">
        <v>76</v>
      </c>
      <c r="F87" s="365">
        <v>106</v>
      </c>
      <c r="G87" s="11">
        <f t="shared" si="3"/>
        <v>2.3570064239543007E-4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276">
        <v>77</v>
      </c>
      <c r="F88" s="366">
        <v>98</v>
      </c>
      <c r="G88" s="11">
        <f t="shared" si="3"/>
        <v>2.1791191466747308E-4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277">
        <v>78</v>
      </c>
      <c r="F89" s="367">
        <v>67</v>
      </c>
      <c r="G89" s="11">
        <f t="shared" si="3"/>
        <v>1.4898059472163977E-4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278">
        <v>79</v>
      </c>
      <c r="F90" s="368">
        <v>74</v>
      </c>
      <c r="G90" s="11">
        <f t="shared" si="3"/>
        <v>1.6454573148360211E-4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279">
        <v>80</v>
      </c>
      <c r="F91" s="369">
        <v>45</v>
      </c>
      <c r="G91" s="11">
        <f t="shared" si="3"/>
        <v>1.0006159346975805E-4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280">
        <v>81</v>
      </c>
      <c r="F92" s="370">
        <v>54</v>
      </c>
      <c r="G92" s="11">
        <f t="shared" si="3"/>
        <v>1.2007391216370966E-4</v>
      </c>
    </row>
    <row r="93" spans="1:7" x14ac:dyDescent="0.25">
      <c r="A93">
        <v>82</v>
      </c>
      <c r="B93" s="8">
        <v>243.23699999999999</v>
      </c>
      <c r="C93" s="11">
        <f t="shared" si="2"/>
        <v>4.9800945730272314E-4</v>
      </c>
      <c r="E93" s="281">
        <v>82</v>
      </c>
      <c r="F93" s="371">
        <v>36</v>
      </c>
      <c r="G93" s="11">
        <f t="shared" si="3"/>
        <v>8.0049274775806443E-5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282">
        <v>83</v>
      </c>
      <c r="F94" s="372">
        <v>64</v>
      </c>
      <c r="G94" s="11">
        <f t="shared" si="3"/>
        <v>1.4230982182365589E-4</v>
      </c>
    </row>
    <row r="95" spans="1:7" x14ac:dyDescent="0.25">
      <c r="A95">
        <v>84</v>
      </c>
      <c r="B95" s="8">
        <v>0</v>
      </c>
      <c r="C95" s="11">
        <f t="shared" si="2"/>
        <v>0</v>
      </c>
      <c r="E95" s="283">
        <v>84</v>
      </c>
      <c r="F95" s="373">
        <v>33</v>
      </c>
      <c r="G95" s="11">
        <f t="shared" si="3"/>
        <v>7.3378501877822573E-5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284">
        <v>85</v>
      </c>
      <c r="F96" s="374">
        <v>36</v>
      </c>
      <c r="G96" s="11">
        <f t="shared" si="3"/>
        <v>8.0049274775806443E-5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285">
        <v>86</v>
      </c>
      <c r="F97" s="375">
        <v>26</v>
      </c>
      <c r="G97" s="11">
        <f t="shared" si="3"/>
        <v>5.7813365115860204E-5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286">
        <v>87</v>
      </c>
      <c r="F98" s="376">
        <v>27</v>
      </c>
      <c r="G98" s="11">
        <f t="shared" si="3"/>
        <v>6.0036956081854832E-5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287">
        <v>88</v>
      </c>
      <c r="F99" s="377">
        <v>24</v>
      </c>
      <c r="G99" s="11">
        <f t="shared" si="3"/>
        <v>5.3366183183870962E-5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288">
        <v>89</v>
      </c>
      <c r="F100" s="378">
        <v>15</v>
      </c>
      <c r="G100" s="11">
        <f t="shared" si="3"/>
        <v>3.3353864489919351E-5</v>
      </c>
    </row>
    <row r="101" spans="1:7" ht="15.75" thickBot="1" x14ac:dyDescent="0.3">
      <c r="A101" s="1">
        <v>90</v>
      </c>
      <c r="B101" s="9">
        <v>1327.7044000000001</v>
      </c>
      <c r="C101" s="11">
        <f t="shared" si="2"/>
        <v>2.7183748677316265E-3</v>
      </c>
      <c r="E101" s="381">
        <v>90</v>
      </c>
      <c r="F101" s="381">
        <v>130</v>
      </c>
      <c r="G101" s="11">
        <f t="shared" si="3"/>
        <v>2.8906682557930104E-4</v>
      </c>
    </row>
    <row r="102" spans="1:7" x14ac:dyDescent="0.25">
      <c r="B102" s="8">
        <f>SUM(B11:B101)</f>
        <v>488418.43549999985</v>
      </c>
      <c r="C102" s="11">
        <f t="shared" si="2"/>
        <v>1</v>
      </c>
      <c r="F102" s="8">
        <f>SUM(F11:F101)</f>
        <v>449723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workbookViewId="0">
      <selection activeCell="A3" sqref="A3"/>
    </sheetView>
  </sheetViews>
  <sheetFormatPr defaultRowHeight="15" x14ac:dyDescent="0.25"/>
  <cols>
    <col min="4" max="4" width="12.28515625" bestFit="1" customWidth="1" collapsed="1"/>
    <col min="15" max="15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260</v>
      </c>
    </row>
    <row r="3" spans="1:21" x14ac:dyDescent="0.25">
      <c r="A3" t="s">
        <v>14</v>
      </c>
    </row>
    <row r="5" spans="1:21" ht="15.75" thickBot="1" x14ac:dyDescent="0.3">
      <c r="A5" s="4" t="s">
        <v>44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13</v>
      </c>
      <c r="J6" s="3" t="s">
        <v>4</v>
      </c>
      <c r="L6" s="2" t="s">
        <v>12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13</v>
      </c>
      <c r="U6" s="3" t="s">
        <v>4</v>
      </c>
    </row>
    <row r="7" spans="1:21" x14ac:dyDescent="0.25">
      <c r="A7" s="383" t="s">
        <v>34</v>
      </c>
      <c r="B7" s="12">
        <v>43870.433899999996</v>
      </c>
      <c r="C7" s="12">
        <v>6424.1588000000002</v>
      </c>
      <c r="D7" s="12">
        <v>718.34590000000003</v>
      </c>
      <c r="E7" s="12">
        <v>0</v>
      </c>
      <c r="F7" s="12">
        <v>0</v>
      </c>
      <c r="G7" s="12">
        <v>4727.4043000000001</v>
      </c>
      <c r="H7" s="12">
        <v>0</v>
      </c>
      <c r="I7" s="12"/>
      <c r="J7" s="12">
        <f>SUM(B7:I7)</f>
        <v>55740.342899999996</v>
      </c>
      <c r="K7" s="12"/>
      <c r="L7" t="str">
        <f>$A$7</f>
        <v>Williamson</v>
      </c>
      <c r="M7" s="380">
        <v>33351</v>
      </c>
      <c r="N7" s="380">
        <v>12175</v>
      </c>
      <c r="O7" s="380">
        <v>3434</v>
      </c>
      <c r="P7" s="380">
        <v>1404</v>
      </c>
      <c r="Q7" s="380">
        <v>610</v>
      </c>
      <c r="R7" s="380">
        <v>8854</v>
      </c>
      <c r="S7" s="380">
        <v>495</v>
      </c>
      <c r="T7" s="380"/>
      <c r="U7" s="12">
        <f>SUM(M7:T7)</f>
        <v>60323</v>
      </c>
    </row>
    <row r="8" spans="1:21" x14ac:dyDescent="0.25">
      <c r="A8" t="s">
        <v>35</v>
      </c>
      <c r="B8" s="12">
        <v>1294.0415</v>
      </c>
      <c r="C8" s="12">
        <v>22109.833299999998</v>
      </c>
      <c r="D8" s="12">
        <v>1240.0228</v>
      </c>
      <c r="E8" s="12">
        <v>279.85169999999999</v>
      </c>
      <c r="F8" s="12">
        <v>550.73859999999991</v>
      </c>
      <c r="G8" s="12">
        <v>326.85739999999998</v>
      </c>
      <c r="H8" s="12">
        <v>0</v>
      </c>
      <c r="I8" s="12"/>
      <c r="J8" s="12">
        <f t="shared" ref="J8:J14" si="0">SUM(B8:I8)</f>
        <v>25801.345299999997</v>
      </c>
      <c r="K8" s="12"/>
      <c r="L8" t="str">
        <f>$A$8</f>
        <v>Rutherford</v>
      </c>
      <c r="M8" s="380">
        <v>4226</v>
      </c>
      <c r="N8" s="380">
        <v>19451</v>
      </c>
      <c r="O8" s="380">
        <v>2422</v>
      </c>
      <c r="P8" s="380">
        <v>868</v>
      </c>
      <c r="Q8" s="380">
        <v>499</v>
      </c>
      <c r="R8" s="380">
        <v>2481</v>
      </c>
      <c r="S8" s="380">
        <v>230</v>
      </c>
      <c r="T8" s="380"/>
      <c r="U8" s="12">
        <f t="shared" ref="U8:U14" si="1">SUM(M8:T8)</f>
        <v>30177</v>
      </c>
    </row>
    <row r="9" spans="1:21" x14ac:dyDescent="0.25">
      <c r="A9" t="s">
        <v>36</v>
      </c>
      <c r="B9" s="12">
        <v>295.45299999999997</v>
      </c>
      <c r="C9" s="12">
        <v>1410.0923</v>
      </c>
      <c r="D9" s="12">
        <v>32433.8521</v>
      </c>
      <c r="E9" s="12">
        <v>4585.7681000000002</v>
      </c>
      <c r="F9" s="12">
        <v>1431.2684999999999</v>
      </c>
      <c r="G9" s="12">
        <v>387.53540000000004</v>
      </c>
      <c r="H9" s="12">
        <v>0</v>
      </c>
      <c r="I9" s="12"/>
      <c r="J9" s="12">
        <f t="shared" si="0"/>
        <v>40543.969400000002</v>
      </c>
      <c r="K9" s="13"/>
      <c r="L9" t="str">
        <f>$A$9</f>
        <v>Sumner</v>
      </c>
      <c r="M9" s="380">
        <v>1064</v>
      </c>
      <c r="N9" s="380">
        <v>1716</v>
      </c>
      <c r="O9" s="380">
        <v>19737</v>
      </c>
      <c r="P9" s="380">
        <v>3331</v>
      </c>
      <c r="Q9" s="380">
        <v>1119</v>
      </c>
      <c r="R9" s="380">
        <v>3665</v>
      </c>
      <c r="S9" s="380">
        <v>577</v>
      </c>
      <c r="T9" s="380"/>
      <c r="U9" s="12">
        <f t="shared" si="1"/>
        <v>31209</v>
      </c>
    </row>
    <row r="10" spans="1:21" x14ac:dyDescent="0.25">
      <c r="A10" t="s">
        <v>37</v>
      </c>
      <c r="B10" s="12">
        <v>0</v>
      </c>
      <c r="C10" s="12">
        <v>0</v>
      </c>
      <c r="D10" s="12">
        <v>2232.6801</v>
      </c>
      <c r="E10" s="12">
        <v>10579.83</v>
      </c>
      <c r="F10" s="12">
        <v>3710.7048999999997</v>
      </c>
      <c r="G10" s="12">
        <v>59.21</v>
      </c>
      <c r="H10" s="12">
        <v>59.21</v>
      </c>
      <c r="I10" s="12"/>
      <c r="J10" s="12">
        <f t="shared" si="0"/>
        <v>16641.634999999998</v>
      </c>
      <c r="K10" s="13"/>
      <c r="L10" t="str">
        <f>$A$10</f>
        <v>Roberston</v>
      </c>
      <c r="M10" s="380">
        <v>161</v>
      </c>
      <c r="N10" s="380">
        <v>220</v>
      </c>
      <c r="O10" s="380">
        <v>1840</v>
      </c>
      <c r="P10" s="380">
        <v>9747</v>
      </c>
      <c r="Q10" s="380">
        <v>1013</v>
      </c>
      <c r="R10" s="380">
        <v>1422</v>
      </c>
      <c r="S10" s="380">
        <v>422</v>
      </c>
      <c r="T10" s="380"/>
      <c r="U10" s="12">
        <f t="shared" si="1"/>
        <v>14825</v>
      </c>
    </row>
    <row r="11" spans="1:21" x14ac:dyDescent="0.25">
      <c r="A11" t="s">
        <v>38</v>
      </c>
      <c r="B11" s="12">
        <v>0</v>
      </c>
      <c r="C11" s="12">
        <v>0</v>
      </c>
      <c r="D11" s="12">
        <v>762.39530000000002</v>
      </c>
      <c r="E11" s="12">
        <v>4391.1058999999996</v>
      </c>
      <c r="F11" s="12">
        <v>15944.2948</v>
      </c>
      <c r="G11" s="12">
        <v>898.84669999999994</v>
      </c>
      <c r="H11" s="12">
        <v>5365.6594999999998</v>
      </c>
      <c r="I11" s="12"/>
      <c r="J11" s="12">
        <f t="shared" si="0"/>
        <v>27362.302199999998</v>
      </c>
      <c r="K11" s="13"/>
      <c r="L11" t="str">
        <f>$A$11</f>
        <v>Davidson</v>
      </c>
      <c r="M11" s="380">
        <v>162</v>
      </c>
      <c r="N11" s="380">
        <v>267</v>
      </c>
      <c r="O11" s="380">
        <v>1569</v>
      </c>
      <c r="P11" s="380">
        <v>2898</v>
      </c>
      <c r="Q11" s="380">
        <v>16880</v>
      </c>
      <c r="R11" s="380">
        <v>2664</v>
      </c>
      <c r="S11" s="380">
        <v>4172</v>
      </c>
      <c r="T11" s="380"/>
      <c r="U11" s="12">
        <f t="shared" si="1"/>
        <v>28612</v>
      </c>
    </row>
    <row r="12" spans="1:21" x14ac:dyDescent="0.25">
      <c r="A12" t="s">
        <v>39</v>
      </c>
      <c r="B12" s="12">
        <v>101.0141</v>
      </c>
      <c r="C12" s="12">
        <v>163.9897</v>
      </c>
      <c r="D12" s="12">
        <v>787.17489999999998</v>
      </c>
      <c r="E12" s="12">
        <v>5984.5149000000001</v>
      </c>
      <c r="F12" s="12">
        <v>1321.0711000000001</v>
      </c>
      <c r="G12" s="12">
        <v>103186.2257</v>
      </c>
      <c r="H12" s="12">
        <v>520.1155</v>
      </c>
      <c r="I12" s="12"/>
      <c r="J12" s="12">
        <f t="shared" si="0"/>
        <v>112064.1059</v>
      </c>
      <c r="K12" s="13"/>
      <c r="L12" t="str">
        <f>$A$12</f>
        <v>Maury</v>
      </c>
      <c r="M12" s="380">
        <v>2718</v>
      </c>
      <c r="N12" s="380">
        <v>1717</v>
      </c>
      <c r="O12" s="380">
        <v>4330</v>
      </c>
      <c r="P12" s="380">
        <v>4551</v>
      </c>
      <c r="Q12" s="380">
        <v>2785</v>
      </c>
      <c r="R12" s="380">
        <v>56452</v>
      </c>
      <c r="S12" s="380">
        <v>5313</v>
      </c>
      <c r="T12" s="380"/>
      <c r="U12" s="12">
        <f t="shared" si="1"/>
        <v>77866</v>
      </c>
    </row>
    <row r="13" spans="1:21" x14ac:dyDescent="0.25">
      <c r="A13" t="s">
        <v>40</v>
      </c>
      <c r="B13" s="12">
        <v>0</v>
      </c>
      <c r="C13" s="12">
        <v>0</v>
      </c>
      <c r="D13" s="12">
        <v>0</v>
      </c>
      <c r="E13" s="12">
        <v>0</v>
      </c>
      <c r="F13" s="12">
        <v>22895.722399999999</v>
      </c>
      <c r="G13" s="12">
        <v>2047.9648999999999</v>
      </c>
      <c r="H13" s="12">
        <v>41564.322899999999</v>
      </c>
      <c r="I13" s="12"/>
      <c r="J13" s="12">
        <f t="shared" si="0"/>
        <v>66508.01019999999</v>
      </c>
      <c r="K13" s="13"/>
      <c r="L13" t="str">
        <f>$A$13</f>
        <v>Wilson</v>
      </c>
      <c r="M13" s="380">
        <v>258</v>
      </c>
      <c r="N13" s="380">
        <v>287</v>
      </c>
      <c r="O13" s="380">
        <v>1507</v>
      </c>
      <c r="P13" s="380">
        <v>2236</v>
      </c>
      <c r="Q13" s="380">
        <v>5749</v>
      </c>
      <c r="R13" s="380">
        <v>6342</v>
      </c>
      <c r="S13" s="380">
        <v>45938</v>
      </c>
      <c r="T13" s="380"/>
      <c r="U13" s="12">
        <f t="shared" si="1"/>
        <v>62317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2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45560.942499999997</v>
      </c>
      <c r="C15" s="15">
        <f t="shared" si="2"/>
        <v>30108.074099999998</v>
      </c>
      <c r="D15" s="15">
        <f t="shared" si="2"/>
        <v>38174.471099999995</v>
      </c>
      <c r="E15" s="15">
        <f t="shared" si="2"/>
        <v>25821.070599999999</v>
      </c>
      <c r="F15" s="15">
        <f t="shared" si="2"/>
        <v>45853.800300000003</v>
      </c>
      <c r="G15" s="15">
        <f t="shared" si="2"/>
        <v>111634.0444</v>
      </c>
      <c r="H15" s="15">
        <f t="shared" si="2"/>
        <v>47509.3079</v>
      </c>
      <c r="I15" s="15">
        <f t="shared" si="2"/>
        <v>0</v>
      </c>
      <c r="J15" s="15">
        <f t="shared" si="2"/>
        <v>344661.71089999995</v>
      </c>
      <c r="K15" s="12"/>
      <c r="L15" s="15" t="s">
        <v>4</v>
      </c>
      <c r="M15" s="15">
        <f t="shared" ref="M15:U15" si="3">SUM(M7:M14)</f>
        <v>41940</v>
      </c>
      <c r="N15" s="15">
        <f t="shared" si="3"/>
        <v>35833</v>
      </c>
      <c r="O15" s="15">
        <f t="shared" si="3"/>
        <v>34839</v>
      </c>
      <c r="P15" s="15">
        <f t="shared" si="3"/>
        <v>25035</v>
      </c>
      <c r="Q15" s="15">
        <f t="shared" si="3"/>
        <v>28655</v>
      </c>
      <c r="R15" s="15">
        <f t="shared" si="3"/>
        <v>81880</v>
      </c>
      <c r="S15" s="15">
        <f t="shared" si="3"/>
        <v>57147</v>
      </c>
      <c r="T15" s="15">
        <f t="shared" si="3"/>
        <v>0</v>
      </c>
      <c r="U15" s="15">
        <f t="shared" si="3"/>
        <v>305329</v>
      </c>
    </row>
    <row r="18" spans="1:32" ht="15.75" thickBot="1" x14ac:dyDescent="0.3">
      <c r="A18" s="4" t="s">
        <v>45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13</v>
      </c>
      <c r="J19" s="3" t="s">
        <v>4</v>
      </c>
      <c r="L19" s="2" t="s">
        <v>12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13</v>
      </c>
      <c r="U19" s="3" t="s">
        <v>4</v>
      </c>
    </row>
    <row r="20" spans="1:32" x14ac:dyDescent="0.25">
      <c r="A20" t="str">
        <f>$A$7</f>
        <v>Williamson</v>
      </c>
      <c r="B20" s="12">
        <f t="shared" ref="B20:I20" si="4">($U7/$J7)*B7</f>
        <v>47477.213925601805</v>
      </c>
      <c r="C20" s="12">
        <f t="shared" si="4"/>
        <v>6952.3169598657068</v>
      </c>
      <c r="D20" s="12">
        <f t="shared" si="4"/>
        <v>777.40425464264592</v>
      </c>
      <c r="E20" s="12">
        <f t="shared" si="4"/>
        <v>0</v>
      </c>
      <c r="F20" s="12">
        <f t="shared" si="4"/>
        <v>0</v>
      </c>
      <c r="G20" s="12">
        <f t="shared" si="4"/>
        <v>5116.0648598898379</v>
      </c>
      <c r="H20" s="12">
        <f t="shared" si="4"/>
        <v>0</v>
      </c>
      <c r="I20" s="12">
        <f t="shared" si="4"/>
        <v>0</v>
      </c>
      <c r="J20" s="12">
        <f>SUM(B20:I20)</f>
        <v>60322.999999999993</v>
      </c>
      <c r="K20" s="12"/>
      <c r="L20" t="str">
        <f>$A$7</f>
        <v>Williamson</v>
      </c>
      <c r="M20" s="12">
        <f t="shared" ref="M20:M26" si="5">M7</f>
        <v>33351</v>
      </c>
      <c r="N20" s="12">
        <f t="shared" ref="N20:U20" si="6">N7</f>
        <v>12175</v>
      </c>
      <c r="O20" s="12">
        <f t="shared" si="6"/>
        <v>3434</v>
      </c>
      <c r="P20" s="12">
        <f t="shared" si="6"/>
        <v>1404</v>
      </c>
      <c r="Q20" s="12">
        <f t="shared" si="6"/>
        <v>610</v>
      </c>
      <c r="R20" s="12">
        <f t="shared" si="6"/>
        <v>8854</v>
      </c>
      <c r="S20" s="12">
        <f t="shared" si="6"/>
        <v>495</v>
      </c>
      <c r="T20" s="12"/>
      <c r="U20" s="12">
        <f t="shared" si="6"/>
        <v>60323</v>
      </c>
    </row>
    <row r="21" spans="1:32" x14ac:dyDescent="0.25">
      <c r="A21" t="str">
        <f>$A$8</f>
        <v>Rutherford</v>
      </c>
      <c r="B21" s="12">
        <f t="shared" ref="B21:G25" si="7">($U8/$J8)*B8</f>
        <v>1513.4982262145845</v>
      </c>
      <c r="C21" s="12">
        <f t="shared" si="7"/>
        <v>25859.4438288495</v>
      </c>
      <c r="D21" s="12">
        <f t="shared" si="7"/>
        <v>1450.3184853543278</v>
      </c>
      <c r="E21" s="12">
        <f t="shared" si="7"/>
        <v>327.31179916033301</v>
      </c>
      <c r="F21" s="12">
        <f t="shared" si="7"/>
        <v>644.1384563075477</v>
      </c>
      <c r="G21" s="12">
        <f t="shared" si="7"/>
        <v>382.28920411370956</v>
      </c>
      <c r="H21" s="12">
        <f t="shared" ref="H21:I26" si="8">($U8/$J8)*H8</f>
        <v>0</v>
      </c>
      <c r="I21" s="12">
        <f>($U8/$J8)*I8</f>
        <v>0</v>
      </c>
      <c r="J21" s="12">
        <f t="shared" ref="J21:J27" si="9">SUM(B21:I21)</f>
        <v>30177.000000000004</v>
      </c>
      <c r="K21" s="12"/>
      <c r="L21" t="str">
        <f>$A$8</f>
        <v>Rutherford</v>
      </c>
      <c r="M21" s="12">
        <f t="shared" si="5"/>
        <v>4226</v>
      </c>
      <c r="N21" s="12">
        <f t="shared" ref="N21:R25" si="10">N8</f>
        <v>19451</v>
      </c>
      <c r="O21" s="12">
        <f t="shared" si="10"/>
        <v>2422</v>
      </c>
      <c r="P21" s="12">
        <f t="shared" si="10"/>
        <v>868</v>
      </c>
      <c r="Q21" s="12">
        <f t="shared" si="10"/>
        <v>499</v>
      </c>
      <c r="R21" s="12">
        <f t="shared" si="10"/>
        <v>2481</v>
      </c>
      <c r="S21" s="12">
        <f t="shared" ref="S21" si="11">S8</f>
        <v>230</v>
      </c>
      <c r="T21" s="12"/>
      <c r="U21" s="12">
        <f t="shared" ref="U21:U26" si="12">U8</f>
        <v>30177</v>
      </c>
    </row>
    <row r="22" spans="1:32" x14ac:dyDescent="0.25">
      <c r="A22" t="str">
        <f>$A$9</f>
        <v>Sumner</v>
      </c>
      <c r="B22" s="12">
        <f t="shared" si="7"/>
        <v>227.42698392525915</v>
      </c>
      <c r="C22" s="12">
        <f t="shared" si="7"/>
        <v>1085.4282706394306</v>
      </c>
      <c r="D22" s="12">
        <f t="shared" si="7"/>
        <v>24966.181288329895</v>
      </c>
      <c r="E22" s="12">
        <f t="shared" si="7"/>
        <v>3529.926614262391</v>
      </c>
      <c r="F22" s="12">
        <f t="shared" si="7"/>
        <v>1101.7287966012523</v>
      </c>
      <c r="G22" s="12">
        <f t="shared" si="7"/>
        <v>298.30804624176733</v>
      </c>
      <c r="H22" s="12">
        <f t="shared" si="8"/>
        <v>0</v>
      </c>
      <c r="I22" s="12">
        <f>($U9/$J9)*I9</f>
        <v>0</v>
      </c>
      <c r="J22" s="12">
        <f t="shared" si="9"/>
        <v>31208.999999999996</v>
      </c>
      <c r="K22" s="13"/>
      <c r="L22" t="str">
        <f>$A$9</f>
        <v>Sumner</v>
      </c>
      <c r="M22" s="12">
        <f t="shared" si="5"/>
        <v>1064</v>
      </c>
      <c r="N22" s="12">
        <f t="shared" si="10"/>
        <v>1716</v>
      </c>
      <c r="O22" s="12">
        <f t="shared" si="10"/>
        <v>19737</v>
      </c>
      <c r="P22" s="12">
        <f t="shared" si="10"/>
        <v>3331</v>
      </c>
      <c r="Q22" s="12">
        <f t="shared" si="10"/>
        <v>1119</v>
      </c>
      <c r="R22" s="12">
        <f t="shared" si="10"/>
        <v>3665</v>
      </c>
      <c r="S22" s="12">
        <f t="shared" ref="S22" si="13">S9</f>
        <v>577</v>
      </c>
      <c r="T22" s="12"/>
      <c r="U22" s="12">
        <f t="shared" si="12"/>
        <v>31209</v>
      </c>
    </row>
    <row r="23" spans="1:32" x14ac:dyDescent="0.25">
      <c r="A23" t="str">
        <f>$A$10</f>
        <v>Roberston</v>
      </c>
      <c r="B23" s="12">
        <f t="shared" si="7"/>
        <v>0</v>
      </c>
      <c r="C23" s="12">
        <f t="shared" si="7"/>
        <v>0</v>
      </c>
      <c r="D23" s="12">
        <f t="shared" si="7"/>
        <v>1988.9561622100234</v>
      </c>
      <c r="E23" s="12">
        <f t="shared" si="7"/>
        <v>9424.9140634318683</v>
      </c>
      <c r="F23" s="12">
        <f t="shared" si="7"/>
        <v>3305.6367443763788</v>
      </c>
      <c r="G23" s="12">
        <f t="shared" si="7"/>
        <v>52.746514990864789</v>
      </c>
      <c r="H23" s="12">
        <f t="shared" si="8"/>
        <v>52.746514990864789</v>
      </c>
      <c r="I23" s="12">
        <f>($U10/$J10)*I10</f>
        <v>0</v>
      </c>
      <c r="J23" s="12">
        <f>SUM(B23:I23)</f>
        <v>14824.999999999998</v>
      </c>
      <c r="K23" s="13"/>
      <c r="L23" t="str">
        <f>$A$10</f>
        <v>Roberston</v>
      </c>
      <c r="M23" s="12">
        <f t="shared" si="5"/>
        <v>161</v>
      </c>
      <c r="N23" s="12">
        <f t="shared" si="10"/>
        <v>220</v>
      </c>
      <c r="O23" s="12">
        <f t="shared" si="10"/>
        <v>1840</v>
      </c>
      <c r="P23" s="12">
        <f t="shared" si="10"/>
        <v>9747</v>
      </c>
      <c r="Q23" s="12">
        <f t="shared" si="10"/>
        <v>1013</v>
      </c>
      <c r="R23" s="12">
        <f t="shared" si="10"/>
        <v>1422</v>
      </c>
      <c r="S23" s="12">
        <f t="shared" ref="S23" si="14">S10</f>
        <v>422</v>
      </c>
      <c r="T23" s="12"/>
      <c r="U23" s="12">
        <f t="shared" si="12"/>
        <v>14825</v>
      </c>
    </row>
    <row r="24" spans="1:32" x14ac:dyDescent="0.25">
      <c r="A24" t="str">
        <f>$A$11</f>
        <v>Davidson</v>
      </c>
      <c r="B24" s="12">
        <f t="shared" si="7"/>
        <v>0</v>
      </c>
      <c r="C24" s="12">
        <f t="shared" si="7"/>
        <v>0</v>
      </c>
      <c r="D24" s="12">
        <f t="shared" si="7"/>
        <v>797.21560576872798</v>
      </c>
      <c r="E24" s="12">
        <f t="shared" si="7"/>
        <v>4591.6575693254345</v>
      </c>
      <c r="F24" s="12">
        <f t="shared" si="7"/>
        <v>16672.506556030945</v>
      </c>
      <c r="G24" s="12">
        <f t="shared" si="7"/>
        <v>939.89904769051191</v>
      </c>
      <c r="H24" s="12">
        <f t="shared" si="8"/>
        <v>5610.721221184378</v>
      </c>
      <c r="I24" s="12">
        <f>($U11/$J11)*I11</f>
        <v>0</v>
      </c>
      <c r="J24" s="12">
        <f t="shared" si="9"/>
        <v>28612</v>
      </c>
      <c r="K24" s="13"/>
      <c r="L24" t="str">
        <f>$A$11</f>
        <v>Davidson</v>
      </c>
      <c r="M24" s="12">
        <f t="shared" si="5"/>
        <v>162</v>
      </c>
      <c r="N24" s="12">
        <f t="shared" si="10"/>
        <v>267</v>
      </c>
      <c r="O24" s="12">
        <f t="shared" si="10"/>
        <v>1569</v>
      </c>
      <c r="P24" s="12">
        <f t="shared" si="10"/>
        <v>2898</v>
      </c>
      <c r="Q24" s="12">
        <f t="shared" si="10"/>
        <v>16880</v>
      </c>
      <c r="R24" s="12">
        <f t="shared" si="10"/>
        <v>2664</v>
      </c>
      <c r="S24" s="12">
        <f t="shared" ref="S24" si="15">S11</f>
        <v>4172</v>
      </c>
      <c r="T24" s="12"/>
      <c r="U24" s="12">
        <f t="shared" si="12"/>
        <v>28612</v>
      </c>
    </row>
    <row r="25" spans="1:32" x14ac:dyDescent="0.25">
      <c r="A25" t="str">
        <f>$A$12</f>
        <v>Maury</v>
      </c>
      <c r="B25" s="12">
        <f t="shared" si="7"/>
        <v>70.188075364816697</v>
      </c>
      <c r="C25" s="12">
        <f t="shared" si="7"/>
        <v>113.94569097436577</v>
      </c>
      <c r="D25" s="12">
        <f t="shared" si="7"/>
        <v>546.95622894716735</v>
      </c>
      <c r="E25" s="12">
        <f t="shared" si="7"/>
        <v>4158.2470449478687</v>
      </c>
      <c r="F25" s="12">
        <f t="shared" si="7"/>
        <v>917.92569481964711</v>
      </c>
      <c r="G25" s="12">
        <f t="shared" si="7"/>
        <v>71697.34310400812</v>
      </c>
      <c r="H25" s="12">
        <f t="shared" si="8"/>
        <v>361.39416093802078</v>
      </c>
      <c r="I25" s="12">
        <f>($U12/$J12)*I12</f>
        <v>0</v>
      </c>
      <c r="J25" s="12">
        <f t="shared" si="9"/>
        <v>77866.000000000015</v>
      </c>
      <c r="K25" s="13"/>
      <c r="L25" t="str">
        <f>$A$12</f>
        <v>Maury</v>
      </c>
      <c r="M25" s="12">
        <f t="shared" si="5"/>
        <v>2718</v>
      </c>
      <c r="N25" s="12">
        <f t="shared" si="10"/>
        <v>1717</v>
      </c>
      <c r="O25" s="12">
        <f t="shared" si="10"/>
        <v>4330</v>
      </c>
      <c r="P25" s="12">
        <f t="shared" si="10"/>
        <v>4551</v>
      </c>
      <c r="Q25" s="12">
        <f t="shared" si="10"/>
        <v>2785</v>
      </c>
      <c r="R25" s="12">
        <f t="shared" si="10"/>
        <v>56452</v>
      </c>
      <c r="S25" s="12">
        <f t="shared" ref="S25:S26" si="16">S12</f>
        <v>5313</v>
      </c>
      <c r="T25" s="12"/>
      <c r="U25" s="12">
        <f t="shared" si="12"/>
        <v>77866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t="shared" ref="C26:G26" si="17">($U13/$J13)*C13</f>
        <v>0</v>
      </c>
      <c r="D26" s="12">
        <f t="shared" si="17"/>
        <v>0</v>
      </c>
      <c r="E26" s="12">
        <f t="shared" si="17"/>
        <v>0</v>
      </c>
      <c r="F26" s="12">
        <f t="shared" si="17"/>
        <v>21452.945720526157</v>
      </c>
      <c r="G26" s="12">
        <f t="shared" si="17"/>
        <v>1918.9121474167937</v>
      </c>
      <c r="H26" s="12">
        <f t="shared" si="8"/>
        <v>38945.142132057052</v>
      </c>
      <c r="I26" s="12">
        <f t="shared" si="8"/>
        <v>0</v>
      </c>
      <c r="J26" s="12">
        <f t="shared" si="9"/>
        <v>62317</v>
      </c>
      <c r="K26" s="13"/>
      <c r="L26" t="str">
        <f>$A$13</f>
        <v>Wilson</v>
      </c>
      <c r="M26" s="12">
        <f t="shared" si="5"/>
        <v>258</v>
      </c>
      <c r="N26" s="12">
        <f t="shared" ref="N26:R26" si="18">N13</f>
        <v>287</v>
      </c>
      <c r="O26" s="12">
        <f t="shared" si="18"/>
        <v>1507</v>
      </c>
      <c r="P26" s="12">
        <f t="shared" si="18"/>
        <v>2236</v>
      </c>
      <c r="Q26" s="12">
        <f t="shared" si="18"/>
        <v>5749</v>
      </c>
      <c r="R26" s="12">
        <f t="shared" si="18"/>
        <v>6342</v>
      </c>
      <c r="S26" s="12">
        <f t="shared" si="16"/>
        <v>45938</v>
      </c>
      <c r="T26" s="12"/>
      <c r="U26" s="12">
        <f t="shared" si="12"/>
        <v>62317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t="shared" si="9"/>
        <v>0</v>
      </c>
      <c r="K27" s="12"/>
      <c r="L27" s="38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49288.327211106465</v>
      </c>
      <c r="C28" s="15">
        <f t="shared" si="19"/>
        <v>34011.134750329002</v>
      </c>
      <c r="D28" s="15">
        <f t="shared" si="19"/>
        <v>30527.032025252789</v>
      </c>
      <c r="E28" s="15">
        <f t="shared" si="19"/>
        <v>22032.057091127896</v>
      </c>
      <c r="F28" s="15">
        <f t="shared" si="19"/>
        <v>44094.881968661932</v>
      </c>
      <c r="G28" s="15">
        <f t="shared" si="19"/>
        <v>80405.562924351601</v>
      </c>
      <c r="H28" s="15">
        <f t="shared" si="19"/>
        <v>44970.004029170319</v>
      </c>
      <c r="I28" s="15">
        <f t="shared" si="19"/>
        <v>0</v>
      </c>
      <c r="J28" s="15">
        <f t="shared" si="19"/>
        <v>305329</v>
      </c>
      <c r="K28" s="12"/>
      <c r="L28" s="15" t="s">
        <v>4</v>
      </c>
      <c r="M28" s="15">
        <f t="shared" ref="M28:U28" si="20">M15</f>
        <v>41940</v>
      </c>
      <c r="N28" s="15">
        <f t="shared" si="20"/>
        <v>35833</v>
      </c>
      <c r="O28" s="15">
        <f t="shared" si="20"/>
        <v>34839</v>
      </c>
      <c r="P28" s="15">
        <f t="shared" si="20"/>
        <v>25035</v>
      </c>
      <c r="Q28" s="15">
        <f t="shared" si="20"/>
        <v>28655</v>
      </c>
      <c r="R28" s="15">
        <f t="shared" si="20"/>
        <v>81880</v>
      </c>
      <c r="S28" s="15">
        <f t="shared" si="20"/>
        <v>57147</v>
      </c>
      <c r="T28" s="15"/>
      <c r="U28" s="15">
        <f t="shared" si="20"/>
        <v>305329</v>
      </c>
    </row>
    <row r="31" spans="1:32" ht="15.75" thickBot="1" x14ac:dyDescent="0.3">
      <c r="A31" s="4" t="s">
        <v>45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13</v>
      </c>
      <c r="J32" s="3" t="s">
        <v>4</v>
      </c>
      <c r="L32" s="2" t="s">
        <v>12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13</v>
      </c>
      <c r="U32" s="3" t="s">
        <v>4</v>
      </c>
      <c r="W32" s="2" t="s">
        <v>12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13</v>
      </c>
      <c r="AF32" s="3" t="s">
        <v>4</v>
      </c>
    </row>
    <row r="33" spans="1:32" x14ac:dyDescent="0.25">
      <c r="A33" t="str">
        <f>$A$7</f>
        <v>Williamson</v>
      </c>
      <c r="B33" s="16">
        <f t="shared" ref="B33:J39" si="21">B20/$J$28</f>
        <v>0.15549526551883969</v>
      </c>
      <c r="C33" s="16">
        <f t="shared" si="21"/>
        <v>2.2769920184016936E-2</v>
      </c>
      <c r="D33" s="16">
        <f t="shared" si="21"/>
        <v>2.5461199383047333E-3</v>
      </c>
      <c r="E33" s="16">
        <f t="shared" si="21"/>
        <v>0</v>
      </c>
      <c r="F33" s="16">
        <f t="shared" si="21"/>
        <v>0</v>
      </c>
      <c r="G33" s="16">
        <f t="shared" si="21"/>
        <v>1.6755908740702121E-2</v>
      </c>
      <c r="H33" s="16">
        <f t="shared" si="21"/>
        <v>0</v>
      </c>
      <c r="I33" s="16">
        <f t="shared" ref="I33:J38" si="22">I20/$J$28</f>
        <v>0</v>
      </c>
      <c r="J33" s="16">
        <f t="shared" si="22"/>
        <v>0.19756721438186348</v>
      </c>
      <c r="K33" s="12"/>
      <c r="L33" t="str">
        <f>$A$7</f>
        <v>Williamson</v>
      </c>
      <c r="M33" s="16">
        <f t="shared" ref="M33:S33" si="23">M20/$U$28</f>
        <v>0.10922971614225967</v>
      </c>
      <c r="N33" s="16">
        <f t="shared" si="23"/>
        <v>3.9875020060328364E-2</v>
      </c>
      <c r="O33" s="16">
        <f t="shared" si="23"/>
        <v>1.1246884508186252E-2</v>
      </c>
      <c r="P33" s="16">
        <f t="shared" si="23"/>
        <v>4.5983185350883804E-3</v>
      </c>
      <c r="Q33" s="16">
        <f t="shared" si="23"/>
        <v>1.9978449475811337E-3</v>
      </c>
      <c r="R33" s="16">
        <f t="shared" si="23"/>
        <v>2.8998228140792393E-2</v>
      </c>
      <c r="S33" s="16">
        <f t="shared" si="23"/>
        <v>1.6212020476273135E-3</v>
      </c>
      <c r="T33" s="16"/>
      <c r="U33" s="16">
        <f t="shared" ref="U33:U39" si="24">U20/$U$28</f>
        <v>0.1975672143818635</v>
      </c>
      <c r="W33" t="str">
        <f>$A$7</f>
        <v>Williamson</v>
      </c>
      <c r="X33" s="16">
        <f t="shared" ref="X33:AD33" si="25">M33-B33</f>
        <v>-4.626554937658002E-2</v>
      </c>
      <c r="Y33" s="16">
        <f t="shared" si="25"/>
        <v>1.7105099876311428E-2</v>
      </c>
      <c r="Z33" s="16">
        <f t="shared" si="25"/>
        <v>8.7007645698815184E-3</v>
      </c>
      <c r="AA33" s="16">
        <f t="shared" si="25"/>
        <v>4.5983185350883804E-3</v>
      </c>
      <c r="AB33" s="16">
        <f t="shared" si="25"/>
        <v>1.9978449475811337E-3</v>
      </c>
      <c r="AC33" s="16">
        <f t="shared" si="25"/>
        <v>1.2242319400090271E-2</v>
      </c>
      <c r="AD33" s="16">
        <f t="shared" si="25"/>
        <v>1.6212020476273135E-3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si="21"/>
        <v>4.956942269534124E-3</v>
      </c>
      <c r="C34" s="16">
        <f t="shared" si="21"/>
        <v>8.4693703607746071E-2</v>
      </c>
      <c r="D34" s="16">
        <f t="shared" si="21"/>
        <v>4.7500187841781416E-3</v>
      </c>
      <c r="E34" s="16">
        <f t="shared" si="21"/>
        <v>1.0719970889117411E-3</v>
      </c>
      <c r="F34" s="16">
        <f t="shared" si="21"/>
        <v>2.1096537056995821E-3</v>
      </c>
      <c r="G34" s="16">
        <f t="shared" si="21"/>
        <v>1.2520566474645695E-3</v>
      </c>
      <c r="H34" s="16">
        <f t="shared" ref="H34" si="27">H21/$J$28</f>
        <v>0</v>
      </c>
      <c r="I34" s="16">
        <f t="shared" si="22"/>
        <v>0</v>
      </c>
      <c r="J34" s="16">
        <f t="shared" si="22"/>
        <v>9.8834372103534227E-2</v>
      </c>
      <c r="K34" s="12"/>
      <c r="L34" t="str">
        <f>$A$8</f>
        <v>Rutherford</v>
      </c>
      <c r="M34" s="16">
        <f t="shared" ref="M34:R38" si="28">M21/$U$28</f>
        <v>1.3840807784389952E-2</v>
      </c>
      <c r="N34" s="16">
        <f t="shared" si="28"/>
        <v>6.3705052582623989E-2</v>
      </c>
      <c r="O34" s="16">
        <f t="shared" si="28"/>
        <v>7.9324269885926325E-3</v>
      </c>
      <c r="P34" s="16">
        <f t="shared" si="28"/>
        <v>2.8428351057384004E-3</v>
      </c>
      <c r="Q34" s="16">
        <f t="shared" si="28"/>
        <v>1.6343026702344029E-3</v>
      </c>
      <c r="R34" s="16">
        <f t="shared" si="28"/>
        <v>8.1256611720472022E-3</v>
      </c>
      <c r="S34" s="16">
        <f t="shared" ref="S34:S39" si="29">S21/$U$28</f>
        <v>7.5328579990764058E-4</v>
      </c>
      <c r="T34" s="16"/>
      <c r="U34" s="16">
        <f t="shared" si="24"/>
        <v>9.8834372103534227E-2</v>
      </c>
      <c r="W34" t="str">
        <f>$A$8</f>
        <v>Rutherford</v>
      </c>
      <c r="X34" s="16">
        <f t="shared" ref="X34:X39" si="30">M34-B34</f>
        <v>8.8838655148558293E-3</v>
      </c>
      <c r="Y34" s="16">
        <f t="shared" ref="Y34:AC38" si="31">N34-C34</f>
        <v>-2.0988651025122082E-2</v>
      </c>
      <c r="Z34" s="16">
        <f t="shared" si="31"/>
        <v>3.1824082044144908E-3</v>
      </c>
      <c r="AA34" s="16">
        <f t="shared" si="31"/>
        <v>1.7708380168266593E-3</v>
      </c>
      <c r="AB34" s="16">
        <f t="shared" si="31"/>
        <v>-4.7535103546517913E-4</v>
      </c>
      <c r="AC34" s="16">
        <f t="shared" si="31"/>
        <v>6.8736045245826327E-3</v>
      </c>
      <c r="AD34" s="16">
        <f t="shared" ref="AD34:AD39" si="32">S34-H34</f>
        <v>7.5328579990764058E-4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1"/>
        <v>7.4485877176835196E-4</v>
      </c>
      <c r="C35" s="16">
        <f t="shared" si="21"/>
        <v>3.5549465351782197E-3</v>
      </c>
      <c r="D35" s="16">
        <f t="shared" si="21"/>
        <v>8.1768129749646756E-2</v>
      </c>
      <c r="E35" s="16">
        <f t="shared" si="21"/>
        <v>1.1561059101043108E-2</v>
      </c>
      <c r="F35" s="16">
        <f t="shared" si="21"/>
        <v>3.6083332949089419E-3</v>
      </c>
      <c r="G35" s="16">
        <f t="shared" si="21"/>
        <v>9.7700528361789195E-4</v>
      </c>
      <c r="H35" s="16">
        <f t="shared" ref="H35" si="33">H22/$J$28</f>
        <v>0</v>
      </c>
      <c r="I35" s="16">
        <f t="shared" si="22"/>
        <v>0</v>
      </c>
      <c r="J35" s="16">
        <f t="shared" si="22"/>
        <v>0.10221433273616327</v>
      </c>
      <c r="K35" s="13"/>
      <c r="L35" t="str">
        <f>$A$9</f>
        <v>Sumner</v>
      </c>
      <c r="M35" s="16">
        <f t="shared" si="28"/>
        <v>3.4847656134857808E-3</v>
      </c>
      <c r="N35" s="16">
        <f t="shared" si="28"/>
        <v>5.6201670984413537E-3</v>
      </c>
      <c r="O35" s="16">
        <f t="shared" si="28"/>
        <v>6.464174709903088E-2</v>
      </c>
      <c r="P35" s="16">
        <f t="shared" si="28"/>
        <v>1.0909543476053699E-2</v>
      </c>
      <c r="Q35" s="16">
        <f t="shared" si="28"/>
        <v>3.6648991743332602E-3</v>
      </c>
      <c r="R35" s="16">
        <f t="shared" si="28"/>
        <v>1.2003445463745665E-2</v>
      </c>
      <c r="S35" s="16">
        <f t="shared" si="29"/>
        <v>1.8897648110726463E-3</v>
      </c>
      <c r="T35" s="16"/>
      <c r="U35" s="16">
        <f t="shared" si="24"/>
        <v>0.10221433273616329</v>
      </c>
      <c r="W35" t="str">
        <f>$A$9</f>
        <v>Sumner</v>
      </c>
      <c r="X35" s="16">
        <f t="shared" si="30"/>
        <v>2.7399068417174287E-3</v>
      </c>
      <c r="Y35" s="16">
        <f t="shared" si="31"/>
        <v>2.065220563263134E-3</v>
      </c>
      <c r="Z35" s="16">
        <f t="shared" si="31"/>
        <v>-1.7126382650615876E-2</v>
      </c>
      <c r="AA35" s="16">
        <f t="shared" si="31"/>
        <v>-6.5151562498940926E-4</v>
      </c>
      <c r="AB35" s="16">
        <f t="shared" si="31"/>
        <v>5.6565879424318264E-5</v>
      </c>
      <c r="AC35" s="16">
        <f t="shared" si="31"/>
        <v>1.1026440180127772E-2</v>
      </c>
      <c r="AD35" s="16">
        <f t="shared" si="32"/>
        <v>1.8897648110726463E-3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1"/>
        <v>0</v>
      </c>
      <c r="C36" s="16">
        <f t="shared" si="21"/>
        <v>0</v>
      </c>
      <c r="D36" s="16">
        <f t="shared" si="21"/>
        <v>6.5141410157896025E-3</v>
      </c>
      <c r="E36" s="16">
        <f t="shared" si="21"/>
        <v>3.0868060562317591E-2</v>
      </c>
      <c r="F36" s="16">
        <f t="shared" si="21"/>
        <v>1.082647486605065E-2</v>
      </c>
      <c r="G36" s="16">
        <f t="shared" si="21"/>
        <v>1.7275304668362581E-4</v>
      </c>
      <c r="H36" s="16">
        <f t="shared" ref="H36" si="34">H23/$J$28</f>
        <v>1.7275304668362581E-4</v>
      </c>
      <c r="I36" s="16">
        <f t="shared" si="22"/>
        <v>0</v>
      </c>
      <c r="J36" s="16">
        <f t="shared" si="22"/>
        <v>4.8554182537525088E-2</v>
      </c>
      <c r="K36" s="13"/>
      <c r="L36" t="str">
        <f>$A$10</f>
        <v>Roberston</v>
      </c>
      <c r="M36" s="16">
        <f t="shared" si="28"/>
        <v>5.2730005993534843E-4</v>
      </c>
      <c r="N36" s="16">
        <f t="shared" si="28"/>
        <v>7.2053424338991716E-4</v>
      </c>
      <c r="O36" s="16">
        <f t="shared" si="28"/>
        <v>6.0262863992611247E-3</v>
      </c>
      <c r="P36" s="16">
        <f t="shared" si="28"/>
        <v>3.1922942137825101E-2</v>
      </c>
      <c r="Q36" s="16">
        <f t="shared" si="28"/>
        <v>3.3177326752453912E-3</v>
      </c>
      <c r="R36" s="16">
        <f t="shared" si="28"/>
        <v>4.6572713368202828E-3</v>
      </c>
      <c r="S36" s="16">
        <f t="shared" si="29"/>
        <v>1.382115685047932E-3</v>
      </c>
      <c r="T36" s="16"/>
      <c r="U36" s="16">
        <f t="shared" si="24"/>
        <v>4.8554182537525095E-2</v>
      </c>
      <c r="W36" t="str">
        <f>$A$10</f>
        <v>Roberston</v>
      </c>
      <c r="X36" s="16">
        <f t="shared" si="30"/>
        <v>5.2730005993534843E-4</v>
      </c>
      <c r="Y36" s="16">
        <f t="shared" si="31"/>
        <v>7.2053424338991716E-4</v>
      </c>
      <c r="Z36" s="16">
        <f t="shared" si="31"/>
        <v>-4.8785461652847781E-4</v>
      </c>
      <c r="AA36" s="16">
        <f t="shared" si="31"/>
        <v>1.0548815755075103E-3</v>
      </c>
      <c r="AB36" s="16">
        <f t="shared" si="31"/>
        <v>-7.5087421908052593E-3</v>
      </c>
      <c r="AC36" s="16">
        <f t="shared" si="31"/>
        <v>4.4845182901366567E-3</v>
      </c>
      <c r="AD36" s="16">
        <f t="shared" si="32"/>
        <v>1.2093626383643061E-3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1"/>
        <v>0</v>
      </c>
      <c r="C37" s="16">
        <f t="shared" si="21"/>
        <v>0</v>
      </c>
      <c r="D37" s="16">
        <f t="shared" si="21"/>
        <v>2.6110051969145676E-3</v>
      </c>
      <c r="E37" s="16">
        <f t="shared" si="21"/>
        <v>1.5038393239179489E-2</v>
      </c>
      <c r="F37" s="16">
        <f t="shared" si="21"/>
        <v>5.4605054076196313E-2</v>
      </c>
      <c r="G37" s="16">
        <f t="shared" si="21"/>
        <v>3.07831567813903E-3</v>
      </c>
      <c r="H37" s="16">
        <f t="shared" ref="H37" si="35">H24/$J$28</f>
        <v>1.837598531808108E-2</v>
      </c>
      <c r="I37" s="16">
        <f t="shared" si="22"/>
        <v>0</v>
      </c>
      <c r="J37" s="16">
        <f t="shared" si="22"/>
        <v>9.3708753508510489E-2</v>
      </c>
      <c r="K37" s="13"/>
      <c r="L37" t="str">
        <f>$A$11</f>
        <v>Davidson</v>
      </c>
      <c r="M37" s="16">
        <f t="shared" si="28"/>
        <v>5.3057521558712078E-4</v>
      </c>
      <c r="N37" s="16">
        <f t="shared" si="28"/>
        <v>8.7446655902321754E-4</v>
      </c>
      <c r="O37" s="16">
        <f t="shared" si="28"/>
        <v>5.1387192176308178E-3</v>
      </c>
      <c r="P37" s="16">
        <f t="shared" si="28"/>
        <v>9.4914010788362708E-3</v>
      </c>
      <c r="Q37" s="16">
        <f t="shared" si="28"/>
        <v>5.5284627401917273E-2</v>
      </c>
      <c r="R37" s="16">
        <f t="shared" si="28"/>
        <v>8.7250146563215419E-3</v>
      </c>
      <c r="S37" s="16">
        <f t="shared" si="29"/>
        <v>1.3663949379194247E-2</v>
      </c>
      <c r="T37" s="16"/>
      <c r="U37" s="16">
        <f t="shared" si="24"/>
        <v>9.3708753508510489E-2</v>
      </c>
      <c r="W37" t="str">
        <f>$A$11</f>
        <v>Davidson</v>
      </c>
      <c r="X37" s="16">
        <f t="shared" si="30"/>
        <v>5.3057521558712078E-4</v>
      </c>
      <c r="Y37" s="16">
        <f t="shared" si="31"/>
        <v>8.7446655902321754E-4</v>
      </c>
      <c r="Z37" s="16">
        <f t="shared" si="31"/>
        <v>2.5277140207162502E-3</v>
      </c>
      <c r="AA37" s="16">
        <f t="shared" si="31"/>
        <v>-5.5469921603432185E-3</v>
      </c>
      <c r="AB37" s="16">
        <f t="shared" si="31"/>
        <v>6.7957332572095991E-4</v>
      </c>
      <c r="AC37" s="16">
        <f t="shared" si="31"/>
        <v>5.6466989781825119E-3</v>
      </c>
      <c r="AD37" s="16">
        <f t="shared" si="32"/>
        <v>-4.7120359388868327E-3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1"/>
        <v>2.2987687171810309E-4</v>
      </c>
      <c r="C38" s="16">
        <f t="shared" si="21"/>
        <v>3.7318987378979975E-4</v>
      </c>
      <c r="D38" s="16">
        <f t="shared" si="21"/>
        <v>1.7913667845084068E-3</v>
      </c>
      <c r="E38" s="16">
        <f t="shared" si="21"/>
        <v>1.3618906310726688E-2</v>
      </c>
      <c r="F38" s="16">
        <f t="shared" si="21"/>
        <v>3.0063495272956292E-3</v>
      </c>
      <c r="G38" s="16">
        <f t="shared" si="21"/>
        <v>0.23481995848415355</v>
      </c>
      <c r="H38" s="16">
        <f t="shared" ref="H38" si="36">H25/$J$28</f>
        <v>1.1836221287136852E-3</v>
      </c>
      <c r="I38" s="16">
        <f t="shared" si="22"/>
        <v>0</v>
      </c>
      <c r="J38" s="16">
        <f t="shared" si="22"/>
        <v>0.25502326998090591</v>
      </c>
      <c r="K38" s="13"/>
      <c r="L38" t="str">
        <f>$A$12</f>
        <v>Maury</v>
      </c>
      <c r="M38" s="16">
        <f t="shared" si="28"/>
        <v>8.901873061517249E-3</v>
      </c>
      <c r="N38" s="16">
        <f t="shared" si="28"/>
        <v>5.6234422540931261E-3</v>
      </c>
      <c r="O38" s="16">
        <f t="shared" si="28"/>
        <v>1.4181423972174277E-2</v>
      </c>
      <c r="P38" s="16">
        <f t="shared" si="28"/>
        <v>1.4905233371215966E-2</v>
      </c>
      <c r="Q38" s="16">
        <f t="shared" si="28"/>
        <v>9.1213084901859958E-3</v>
      </c>
      <c r="R38" s="16">
        <f t="shared" si="28"/>
        <v>0.18488908685385272</v>
      </c>
      <c r="S38" s="16">
        <f t="shared" si="29"/>
        <v>1.7400901977866499E-2</v>
      </c>
      <c r="T38" s="16"/>
      <c r="U38" s="16">
        <f t="shared" si="24"/>
        <v>0.25502326998090585</v>
      </c>
      <c r="W38" t="str">
        <f>$A$12</f>
        <v>Maury</v>
      </c>
      <c r="X38" s="16">
        <f t="shared" si="30"/>
        <v>8.6719961897991464E-3</v>
      </c>
      <c r="Y38" s="16">
        <f t="shared" si="31"/>
        <v>5.2502523803033265E-3</v>
      </c>
      <c r="Z38" s="16">
        <f t="shared" si="31"/>
        <v>1.239005718766587E-2</v>
      </c>
      <c r="AA38" s="16">
        <f t="shared" si="31"/>
        <v>1.2863270604892788E-3</v>
      </c>
      <c r="AB38" s="16">
        <f t="shared" si="31"/>
        <v>6.1149589628903666E-3</v>
      </c>
      <c r="AC38" s="16">
        <f t="shared" si="31"/>
        <v>-4.9930871630300827E-2</v>
      </c>
      <c r="AD38" s="16">
        <f t="shared" si="32"/>
        <v>1.6217279849152815E-2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 t="shared" si="21"/>
        <v>0</v>
      </c>
      <c r="C39" s="16">
        <f t="shared" si="21"/>
        <v>0</v>
      </c>
      <c r="D39" s="16">
        <f t="shared" si="21"/>
        <v>0</v>
      </c>
      <c r="E39" s="16">
        <f t="shared" si="21"/>
        <v>0</v>
      </c>
      <c r="F39" s="16">
        <f t="shared" si="21"/>
        <v>7.0261736423746696E-2</v>
      </c>
      <c r="G39" s="16">
        <f t="shared" si="21"/>
        <v>6.2847359648667295E-3</v>
      </c>
      <c r="H39" s="16">
        <f t="shared" si="21"/>
        <v>0.12755140236288415</v>
      </c>
      <c r="I39" s="16">
        <f t="shared" si="21"/>
        <v>0</v>
      </c>
      <c r="J39" s="16">
        <f t="shared" si="21"/>
        <v>0.20409787475149757</v>
      </c>
      <c r="K39" s="13"/>
      <c r="L39" t="str">
        <f>$A$13</f>
        <v>Wilson</v>
      </c>
      <c r="M39" s="16">
        <f>M26/$U$28</f>
        <v>8.4499015815726647E-4</v>
      </c>
      <c r="N39" s="16">
        <f t="shared" ref="N39:R39" si="37">N26/$U$28</f>
        <v>9.399696720586646E-4</v>
      </c>
      <c r="O39" s="16">
        <f t="shared" si="37"/>
        <v>4.9356595672209319E-3</v>
      </c>
      <c r="P39" s="16">
        <f t="shared" si="37"/>
        <v>7.3232480373629756E-3</v>
      </c>
      <c r="Q39" s="16">
        <f t="shared" si="37"/>
        <v>1.8828869842039242E-2</v>
      </c>
      <c r="R39" s="16">
        <f t="shared" si="37"/>
        <v>2.0771037143540248E-2</v>
      </c>
      <c r="S39" s="16">
        <f t="shared" si="29"/>
        <v>0.15045410033111822</v>
      </c>
      <c r="T39" s="16"/>
      <c r="U39" s="16">
        <f t="shared" si="24"/>
        <v>0.20409787475149757</v>
      </c>
      <c r="W39" t="str">
        <f>$A$13</f>
        <v>Wilson</v>
      </c>
      <c r="X39" s="16">
        <f t="shared" si="30"/>
        <v>8.4499015815726647E-4</v>
      </c>
      <c r="Y39" s="16">
        <f t="shared" ref="Y39" si="38">N39-C39</f>
        <v>9.399696720586646E-4</v>
      </c>
      <c r="Z39" s="16">
        <f t="shared" ref="Z39" si="39">O39-D39</f>
        <v>4.9356595672209319E-3</v>
      </c>
      <c r="AA39" s="16">
        <f t="shared" ref="AA39" si="40">P39-E39</f>
        <v>7.3232480373629756E-3</v>
      </c>
      <c r="AB39" s="16">
        <f t="shared" ref="AB39" si="41">Q39-F39</f>
        <v>-5.1432866581707454E-2</v>
      </c>
      <c r="AC39" s="16">
        <f t="shared" ref="AC39" si="42">R39-G39</f>
        <v>1.4486301178673519E-2</v>
      </c>
      <c r="AD39" s="16">
        <f t="shared" si="32"/>
        <v>2.2902697968234076E-2</v>
      </c>
      <c r="AE39" s="16"/>
      <c r="AF39" s="16">
        <f t="shared" si="26"/>
        <v>0</v>
      </c>
    </row>
    <row r="40" spans="1:32" x14ac:dyDescent="0.25">
      <c r="A40" s="7" t="s">
        <v>13</v>
      </c>
      <c r="B40" s="17">
        <f t="shared" ref="B40:H41" si="43">B27/$J$28</f>
        <v>0</v>
      </c>
      <c r="C40" s="17">
        <f t="shared" si="43"/>
        <v>0</v>
      </c>
      <c r="D40" s="17">
        <f t="shared" si="43"/>
        <v>0</v>
      </c>
      <c r="E40" s="17">
        <f t="shared" si="43"/>
        <v>0</v>
      </c>
      <c r="F40" s="17">
        <f t="shared" si="43"/>
        <v>0</v>
      </c>
      <c r="G40" s="17">
        <f t="shared" si="43"/>
        <v>0</v>
      </c>
      <c r="H40" s="16">
        <f t="shared" si="43"/>
        <v>0</v>
      </c>
      <c r="I40" s="17">
        <f>I27/$J$28</f>
        <v>0</v>
      </c>
      <c r="J40" s="17">
        <f>J27/$J$28</f>
        <v>0</v>
      </c>
      <c r="K40" s="12"/>
      <c r="L40" s="38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38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si="43"/>
        <v>0.16142694343186026</v>
      </c>
      <c r="C41" s="18">
        <f t="shared" si="43"/>
        <v>0.11139176020073102</v>
      </c>
      <c r="D41" s="18">
        <f t="shared" si="43"/>
        <v>9.9980781469342209E-2</v>
      </c>
      <c r="E41" s="18">
        <f t="shared" si="43"/>
        <v>7.2158416302178618E-2</v>
      </c>
      <c r="F41" s="18">
        <f t="shared" si="43"/>
        <v>0.14441760189389782</v>
      </c>
      <c r="G41" s="18">
        <f t="shared" si="43"/>
        <v>0.26334073384562751</v>
      </c>
      <c r="H41" s="18">
        <f t="shared" si="43"/>
        <v>0.14728376285636255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0.13736002803533237</v>
      </c>
      <c r="N41" s="18">
        <f>N28/$U$28</f>
        <v>0.11735865246995864</v>
      </c>
      <c r="O41" s="18">
        <f>O28/$U$28</f>
        <v>0.11410314775209691</v>
      </c>
      <c r="P41" s="18">
        <f>P28/$U$28</f>
        <v>8.1993521742120795E-2</v>
      </c>
      <c r="Q41" s="18">
        <f t="shared" ref="Q41:S41" si="44">Q28/$U$28</f>
        <v>9.3849585201536703E-2</v>
      </c>
      <c r="R41" s="18">
        <f t="shared" si="44"/>
        <v>0.26816974476712008</v>
      </c>
      <c r="S41" s="18">
        <f t="shared" si="44"/>
        <v>0.1871653200318345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5">M41-B41</f>
        <v>-2.4066915396527888E-2</v>
      </c>
      <c r="Y41" s="18">
        <f t="shared" si="45"/>
        <v>5.9668922692276138E-3</v>
      </c>
      <c r="Z41" s="18">
        <f t="shared" si="45"/>
        <v>1.4122366282754706E-2</v>
      </c>
      <c r="AA41" s="18">
        <f t="shared" si="45"/>
        <v>9.8351054399421767E-3</v>
      </c>
      <c r="AB41" s="18">
        <f t="shared" si="45"/>
        <v>-5.056801669236112E-2</v>
      </c>
      <c r="AC41" s="18">
        <f t="shared" si="45"/>
        <v>4.8290109214925714E-3</v>
      </c>
      <c r="AD41" s="18">
        <f t="shared" si="45"/>
        <v>3.9881557175471954E-2</v>
      </c>
      <c r="AE41" s="18">
        <f t="shared" si="45"/>
        <v>0</v>
      </c>
      <c r="AF41" s="18">
        <f t="shared" si="4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tabSelected="1"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263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activeCell="J5" sqref="J5"/>
    </sheetView>
  </sheetViews>
  <sheetFormatPr defaultRowHeight="15" x14ac:dyDescent="0.25"/>
  <sheetData>
    <row r="1" spans="1:11" x14ac:dyDescent="0.25">
      <c r="A1" s="386" t="s">
        <v>253</v>
      </c>
      <c r="B1" s="411"/>
      <c r="C1" s="411"/>
      <c r="D1" s="411"/>
      <c r="E1" s="411"/>
      <c r="F1" s="411"/>
      <c r="G1" s="411"/>
      <c r="H1" s="411" t="s">
        <v>254</v>
      </c>
      <c r="I1" s="411"/>
      <c r="J1" s="411"/>
      <c r="K1" s="411"/>
    </row>
    <row r="2" spans="1:11" x14ac:dyDescent="0.25">
      <c r="A2" s="411">
        <v>1</v>
      </c>
      <c r="B2" s="411" t="s">
        <v>255</v>
      </c>
      <c r="C2" s="411"/>
      <c r="D2" s="411"/>
      <c r="E2" s="411"/>
      <c r="F2" s="411"/>
      <c r="G2" s="411"/>
      <c r="H2" s="411"/>
      <c r="I2" s="411"/>
      <c r="J2" s="411"/>
      <c r="K2" s="411"/>
    </row>
    <row r="3" spans="1:11" x14ac:dyDescent="0.25">
      <c r="A3" s="411">
        <v>2</v>
      </c>
      <c r="B3" s="411" t="s">
        <v>256</v>
      </c>
      <c r="C3" s="411"/>
      <c r="D3" s="411"/>
      <c r="E3" s="411"/>
      <c r="F3" s="411"/>
      <c r="G3" s="411"/>
      <c r="H3" s="411"/>
      <c r="I3" s="411"/>
      <c r="J3" s="411"/>
      <c r="K3" s="411"/>
    </row>
    <row r="4" spans="1:11" x14ac:dyDescent="0.25">
      <c r="A4" s="411">
        <v>3</v>
      </c>
      <c r="B4" s="411" t="s">
        <v>257</v>
      </c>
      <c r="C4" s="411"/>
      <c r="D4" s="411"/>
      <c r="E4" s="411"/>
      <c r="F4" s="411"/>
      <c r="G4" s="411"/>
      <c r="H4" s="411"/>
      <c r="I4" s="411"/>
      <c r="J4" s="411"/>
      <c r="K4" s="411"/>
    </row>
    <row r="5" spans="1:11" x14ac:dyDescent="0.25">
      <c r="A5" s="411">
        <v>4</v>
      </c>
      <c r="B5" s="411" t="s">
        <v>258</v>
      </c>
      <c r="C5" s="411"/>
      <c r="D5" s="411"/>
      <c r="E5" s="411"/>
      <c r="F5" s="411"/>
      <c r="G5" s="411"/>
      <c r="H5" s="411"/>
      <c r="I5" s="411"/>
      <c r="J5" s="411"/>
      <c r="K5" s="411"/>
    </row>
    <row r="8" spans="1:11" x14ac:dyDescent="0.25">
      <c r="B8" t="s">
        <v>237</v>
      </c>
      <c r="C8" t="s">
        <v>238</v>
      </c>
      <c r="D8" t="s">
        <v>239</v>
      </c>
      <c r="E8" t="s">
        <v>240</v>
      </c>
      <c r="F8" t="s">
        <v>241</v>
      </c>
      <c r="G8" t="s">
        <v>242</v>
      </c>
      <c r="H8" t="s">
        <v>243</v>
      </c>
    </row>
    <row r="9" spans="1:11" x14ac:dyDescent="0.25">
      <c r="A9" t="s">
        <v>244</v>
      </c>
      <c r="B9" t="s">
        <v>245</v>
      </c>
      <c r="C9" t="s">
        <v>246</v>
      </c>
      <c r="D9" t="s">
        <v>247</v>
      </c>
      <c r="E9">
        <v>4</v>
      </c>
      <c r="F9" s="428">
        <v>0.48607638888888888</v>
      </c>
      <c r="G9" t="s">
        <v>248</v>
      </c>
      <c r="H9">
        <v>24</v>
      </c>
      <c r="I9" t="s">
        <v>249</v>
      </c>
      <c r="J9">
        <v>12</v>
      </c>
    </row>
    <row r="10" spans="1:11" x14ac:dyDescent="0.25">
      <c r="A10" t="s">
        <v>236</v>
      </c>
    </row>
    <row r="11" spans="1:11" x14ac:dyDescent="0.25">
      <c r="B11">
        <v>1</v>
      </c>
      <c r="C11" t="s">
        <v>53</v>
      </c>
      <c r="D11" t="s">
        <v>250</v>
      </c>
      <c r="E11">
        <v>1</v>
      </c>
      <c r="F11">
        <v>0</v>
      </c>
    </row>
    <row r="12" spans="1:11" x14ac:dyDescent="0.25">
      <c r="B12">
        <v>2</v>
      </c>
      <c r="C12" t="s">
        <v>56</v>
      </c>
      <c r="D12" t="s">
        <v>251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59</v>
      </c>
      <c r="D13" t="s">
        <v>251</v>
      </c>
      <c r="E13" s="429">
        <v>7.0220312730799997E-2</v>
      </c>
      <c r="F13">
        <v>0.25869937796300002</v>
      </c>
    </row>
    <row r="14" spans="1:11" x14ac:dyDescent="0.25">
      <c r="B14">
        <v>4</v>
      </c>
      <c r="C14" t="s">
        <v>62</v>
      </c>
      <c r="D14" t="s">
        <v>251</v>
      </c>
      <c r="E14" s="429">
        <v>-3.3904088920700001E-2</v>
      </c>
      <c r="F14">
        <v>0.29717527652300002</v>
      </c>
    </row>
    <row r="15" spans="1:11" x14ac:dyDescent="0.25">
      <c r="B15">
        <v>5</v>
      </c>
      <c r="C15" t="s">
        <v>65</v>
      </c>
      <c r="D15" t="s">
        <v>251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67</v>
      </c>
      <c r="D16" t="s">
        <v>251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69</v>
      </c>
      <c r="D17" t="s">
        <v>251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72</v>
      </c>
      <c r="D18" t="s">
        <v>251</v>
      </c>
      <c r="E18">
        <v>1.39963442933</v>
      </c>
      <c r="F18">
        <v>0.219287303381</v>
      </c>
    </row>
    <row r="19" spans="2:6" x14ac:dyDescent="0.25">
      <c r="B19">
        <v>9</v>
      </c>
      <c r="C19" t="s">
        <v>74</v>
      </c>
      <c r="D19" t="s">
        <v>251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76</v>
      </c>
      <c r="D20" t="s">
        <v>251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78</v>
      </c>
      <c r="D21" t="s">
        <v>251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80</v>
      </c>
      <c r="D22" t="s">
        <v>251</v>
      </c>
      <c r="E22">
        <v>-0.913115187153</v>
      </c>
      <c r="F22">
        <v>0.28732544144</v>
      </c>
    </row>
    <row r="23" spans="2:6" x14ac:dyDescent="0.25">
      <c r="B23">
        <v>13</v>
      </c>
      <c r="C23" t="s">
        <v>82</v>
      </c>
      <c r="D23" t="s">
        <v>251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84</v>
      </c>
      <c r="D24" t="s">
        <v>251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86</v>
      </c>
      <c r="D25" t="s">
        <v>251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88</v>
      </c>
      <c r="D26" t="s">
        <v>251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91</v>
      </c>
      <c r="D27" t="s">
        <v>250</v>
      </c>
      <c r="E27">
        <v>0</v>
      </c>
      <c r="F27">
        <v>0</v>
      </c>
    </row>
    <row r="28" spans="2:6" x14ac:dyDescent="0.25">
      <c r="B28">
        <v>18</v>
      </c>
      <c r="C28" t="s">
        <v>94</v>
      </c>
      <c r="D28" t="s">
        <v>250</v>
      </c>
      <c r="E28">
        <v>0</v>
      </c>
      <c r="F28">
        <v>0</v>
      </c>
    </row>
    <row r="29" spans="2:6" x14ac:dyDescent="0.25">
      <c r="B29">
        <v>19</v>
      </c>
      <c r="C29" t="s">
        <v>97</v>
      </c>
      <c r="D29" t="s">
        <v>250</v>
      </c>
      <c r="E29">
        <v>0</v>
      </c>
      <c r="F29">
        <v>0</v>
      </c>
    </row>
    <row r="30" spans="2:6" x14ac:dyDescent="0.25">
      <c r="B30">
        <v>20</v>
      </c>
      <c r="C30" t="s">
        <v>100</v>
      </c>
      <c r="D30" t="s">
        <v>251</v>
      </c>
      <c r="E30">
        <v>0.55927220197000005</v>
      </c>
      <c r="F30" s="429">
        <v>6.3070773371999997E-2</v>
      </c>
    </row>
    <row r="31" spans="2:6" x14ac:dyDescent="0.25">
      <c r="B31">
        <v>21</v>
      </c>
      <c r="C31" t="s">
        <v>102</v>
      </c>
      <c r="D31" t="s">
        <v>251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104</v>
      </c>
      <c r="D32" t="s">
        <v>251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106</v>
      </c>
      <c r="D33" t="s">
        <v>251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235</v>
      </c>
      <c r="D34" t="s">
        <v>251</v>
      </c>
      <c r="E34">
        <v>-1.4293629385</v>
      </c>
      <c r="F34">
        <v>0</v>
      </c>
    </row>
    <row r="35" spans="2:6" x14ac:dyDescent="0.25">
      <c r="B35">
        <v>24</v>
      </c>
      <c r="C35" t="s">
        <v>108</v>
      </c>
      <c r="D35" t="s">
        <v>251</v>
      </c>
      <c r="E35">
        <v>0.21220129380800001</v>
      </c>
      <c r="F35" s="429">
        <v>2.3591368768600001E-2</v>
      </c>
    </row>
    <row r="36" spans="2:6" x14ac:dyDescent="0.25">
      <c r="B36">
        <v>25</v>
      </c>
      <c r="C36" t="s">
        <v>111</v>
      </c>
      <c r="D36" t="s">
        <v>251</v>
      </c>
      <c r="E36">
        <v>-0.156772126135</v>
      </c>
      <c r="F36" s="429">
        <v>2.5404206972699999E-2</v>
      </c>
    </row>
    <row r="37" spans="2:6" x14ac:dyDescent="0.25">
      <c r="B37">
        <v>26</v>
      </c>
      <c r="C37" t="s">
        <v>113</v>
      </c>
      <c r="D37" t="s">
        <v>251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114</v>
      </c>
      <c r="D38" t="s">
        <v>251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116</v>
      </c>
      <c r="D39" t="s">
        <v>251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117</v>
      </c>
      <c r="D40" t="s">
        <v>251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118</v>
      </c>
      <c r="D41" t="s">
        <v>251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120</v>
      </c>
      <c r="D42" t="s">
        <v>251</v>
      </c>
      <c r="E42">
        <v>0.161916660248</v>
      </c>
      <c r="F42" s="429">
        <v>2.4598246513100001E-2</v>
      </c>
    </row>
    <row r="43" spans="2:6" x14ac:dyDescent="0.25">
      <c r="B43">
        <v>32</v>
      </c>
      <c r="C43" t="s">
        <v>122</v>
      </c>
      <c r="D43" t="s">
        <v>251</v>
      </c>
      <c r="E43">
        <v>-0.164548260329</v>
      </c>
      <c r="F43" s="429">
        <v>3.0497321424399999E-2</v>
      </c>
    </row>
    <row r="44" spans="2:6" x14ac:dyDescent="0.25">
      <c r="B44">
        <v>33</v>
      </c>
      <c r="C44" t="s">
        <v>124</v>
      </c>
      <c r="D44" t="s">
        <v>251</v>
      </c>
      <c r="E44">
        <v>0.20498917376299999</v>
      </c>
      <c r="F44" s="429">
        <v>2.26070286041E-2</v>
      </c>
    </row>
    <row r="45" spans="2:6" x14ac:dyDescent="0.25">
      <c r="B45">
        <v>34</v>
      </c>
      <c r="C45" t="s">
        <v>126</v>
      </c>
      <c r="D45" t="s">
        <v>251</v>
      </c>
      <c r="E45">
        <v>-0.128001396233</v>
      </c>
      <c r="F45" s="429">
        <v>2.71057179313E-2</v>
      </c>
    </row>
    <row r="46" spans="2:6" x14ac:dyDescent="0.25">
      <c r="B46">
        <v>35</v>
      </c>
      <c r="C46" t="s">
        <v>129</v>
      </c>
      <c r="D46" t="s">
        <v>251</v>
      </c>
      <c r="E46" s="429">
        <v>6.1170505754699997E-2</v>
      </c>
      <c r="F46" s="429">
        <v>1.6417141522400001E-2</v>
      </c>
    </row>
    <row r="47" spans="2:6" x14ac:dyDescent="0.25">
      <c r="B47">
        <v>36</v>
      </c>
      <c r="C47" t="s">
        <v>131</v>
      </c>
      <c r="D47" t="s">
        <v>251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132</v>
      </c>
      <c r="D48" t="s">
        <v>251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134</v>
      </c>
      <c r="D49" t="s">
        <v>251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135</v>
      </c>
      <c r="D50" t="s">
        <v>251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136</v>
      </c>
      <c r="D51" t="s">
        <v>251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137</v>
      </c>
      <c r="D52" t="s">
        <v>251</v>
      </c>
      <c r="E52">
        <v>-0.149205194047</v>
      </c>
      <c r="F52" s="429">
        <v>2.2183697722899999E-2</v>
      </c>
    </row>
    <row r="53" spans="2:6" x14ac:dyDescent="0.25">
      <c r="B53">
        <v>42</v>
      </c>
      <c r="C53" t="s">
        <v>139</v>
      </c>
      <c r="D53" t="s">
        <v>251</v>
      </c>
      <c r="E53">
        <v>0.517393579278</v>
      </c>
      <c r="F53" s="429">
        <v>3.32158540558E-2</v>
      </c>
    </row>
    <row r="54" spans="2:6" x14ac:dyDescent="0.25">
      <c r="B54">
        <v>43</v>
      </c>
      <c r="C54" t="s">
        <v>141</v>
      </c>
      <c r="D54" t="s">
        <v>251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142</v>
      </c>
      <c r="D55" t="s">
        <v>251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144</v>
      </c>
      <c r="D56" t="s">
        <v>251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146</v>
      </c>
      <c r="D57" t="s">
        <v>251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148</v>
      </c>
      <c r="D58" t="s">
        <v>251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151</v>
      </c>
      <c r="D59" t="s">
        <v>251</v>
      </c>
      <c r="E59">
        <v>0.16683062839400001</v>
      </c>
      <c r="F59" s="429">
        <v>3.6092162993199998E-2</v>
      </c>
    </row>
    <row r="60" spans="2:6" x14ac:dyDescent="0.25">
      <c r="B60">
        <v>49</v>
      </c>
      <c r="C60" t="s">
        <v>153</v>
      </c>
      <c r="D60" t="s">
        <v>251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154</v>
      </c>
      <c r="D61" t="s">
        <v>251</v>
      </c>
      <c r="E61">
        <v>-10.275631588</v>
      </c>
      <c r="F61">
        <v>2.32184701625</v>
      </c>
    </row>
    <row r="62" spans="2:6" x14ac:dyDescent="0.25">
      <c r="B62">
        <v>51</v>
      </c>
      <c r="C62" t="s">
        <v>155</v>
      </c>
      <c r="D62" t="s">
        <v>251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156</v>
      </c>
      <c r="D63" t="s">
        <v>251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157</v>
      </c>
      <c r="D64" t="s">
        <v>251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158</v>
      </c>
      <c r="D65" t="s">
        <v>251</v>
      </c>
      <c r="E65">
        <v>0.21306405683599999</v>
      </c>
      <c r="F65" s="429">
        <v>4.0484886653700002E-2</v>
      </c>
    </row>
    <row r="66" spans="2:6" x14ac:dyDescent="0.25">
      <c r="B66">
        <v>55</v>
      </c>
      <c r="C66" t="s">
        <v>160</v>
      </c>
      <c r="D66" t="s">
        <v>251</v>
      </c>
      <c r="E66">
        <v>0.49322187999099998</v>
      </c>
      <c r="F66" s="429">
        <v>4.4144582285800003E-2</v>
      </c>
    </row>
    <row r="67" spans="2:6" x14ac:dyDescent="0.25">
      <c r="B67">
        <v>56</v>
      </c>
      <c r="C67" t="s">
        <v>161</v>
      </c>
      <c r="D67" t="s">
        <v>251</v>
      </c>
      <c r="E67">
        <v>-0.81297460986500003</v>
      </c>
      <c r="F67" s="429">
        <v>4.4146608637300001E-2</v>
      </c>
    </row>
    <row r="68" spans="2:6" x14ac:dyDescent="0.25">
      <c r="B68">
        <v>57</v>
      </c>
      <c r="C68" t="s">
        <v>162</v>
      </c>
      <c r="D68" t="s">
        <v>251</v>
      </c>
      <c r="E68" s="429">
        <v>8.0759501397E-2</v>
      </c>
      <c r="F68" s="429">
        <v>2.06933444566E-2</v>
      </c>
    </row>
    <row r="69" spans="2:6" x14ac:dyDescent="0.25">
      <c r="B69">
        <v>70</v>
      </c>
      <c r="C69" t="s">
        <v>163</v>
      </c>
      <c r="D69" t="s">
        <v>251</v>
      </c>
      <c r="E69">
        <v>0.29053029913700001</v>
      </c>
      <c r="F69" s="429">
        <v>1.13080873111E-2</v>
      </c>
    </row>
    <row r="70" spans="2:6" x14ac:dyDescent="0.25">
      <c r="B70">
        <v>71</v>
      </c>
      <c r="C70" t="s">
        <v>164</v>
      </c>
      <c r="D70" t="s">
        <v>250</v>
      </c>
      <c r="E70">
        <v>0</v>
      </c>
      <c r="F70">
        <v>0</v>
      </c>
    </row>
    <row r="71" spans="2:6" x14ac:dyDescent="0.25">
      <c r="B71">
        <v>72</v>
      </c>
      <c r="C71" t="s">
        <v>166</v>
      </c>
      <c r="D71" t="s">
        <v>251</v>
      </c>
      <c r="E71">
        <v>-3.51218611463</v>
      </c>
      <c r="F71">
        <v>1.10016104602</v>
      </c>
    </row>
    <row r="72" spans="2:6" x14ac:dyDescent="0.25">
      <c r="B72">
        <v>73</v>
      </c>
      <c r="C72" t="s">
        <v>168</v>
      </c>
      <c r="D72" t="s">
        <v>251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170</v>
      </c>
      <c r="D73" t="s">
        <v>251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172</v>
      </c>
      <c r="D74" t="s">
        <v>251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174</v>
      </c>
      <c r="D75" t="s">
        <v>251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176</v>
      </c>
      <c r="D76" t="s">
        <v>251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178</v>
      </c>
      <c r="D77" t="s">
        <v>251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180</v>
      </c>
      <c r="D78" t="s">
        <v>251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182</v>
      </c>
      <c r="D79" t="s">
        <v>251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184</v>
      </c>
      <c r="D80" t="s">
        <v>251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186</v>
      </c>
      <c r="D81" t="s">
        <v>251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187</v>
      </c>
      <c r="D82" t="s">
        <v>251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189</v>
      </c>
      <c r="D83" t="s">
        <v>251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191</v>
      </c>
      <c r="D84" t="s">
        <v>251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193</v>
      </c>
      <c r="D85" t="s">
        <v>251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195</v>
      </c>
      <c r="D86" t="s">
        <v>251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197</v>
      </c>
      <c r="D87" t="s">
        <v>250</v>
      </c>
      <c r="E87">
        <v>0</v>
      </c>
      <c r="F87">
        <v>0</v>
      </c>
    </row>
    <row r="88" spans="2:6" x14ac:dyDescent="0.25">
      <c r="B88">
        <v>89</v>
      </c>
      <c r="C88" t="s">
        <v>199</v>
      </c>
      <c r="D88" t="s">
        <v>251</v>
      </c>
      <c r="E88">
        <v>-6.14284833482</v>
      </c>
      <c r="F88">
        <v>0.878821332959</v>
      </c>
    </row>
    <row r="89" spans="2:6" x14ac:dyDescent="0.25">
      <c r="B89">
        <v>90</v>
      </c>
      <c r="C89" t="s">
        <v>201</v>
      </c>
      <c r="D89" t="s">
        <v>251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203</v>
      </c>
      <c r="D90" t="s">
        <v>251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205</v>
      </c>
      <c r="D91" t="s">
        <v>251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207</v>
      </c>
      <c r="D92" t="s">
        <v>251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209</v>
      </c>
      <c r="D93" t="s">
        <v>250</v>
      </c>
      <c r="E93">
        <v>0</v>
      </c>
      <c r="F93">
        <v>0</v>
      </c>
    </row>
    <row r="94" spans="2:6" x14ac:dyDescent="0.25">
      <c r="B94">
        <v>95</v>
      </c>
      <c r="C94" t="s">
        <v>211</v>
      </c>
      <c r="D94" t="s">
        <v>251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213</v>
      </c>
      <c r="D95" t="s">
        <v>251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215</v>
      </c>
      <c r="D96" t="s">
        <v>251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217</v>
      </c>
      <c r="D97" t="s">
        <v>251</v>
      </c>
      <c r="E97">
        <v>-10.7755348742</v>
      </c>
      <c r="F97">
        <v>1.10642531916</v>
      </c>
    </row>
    <row r="98" spans="2:6" x14ac:dyDescent="0.25">
      <c r="B98">
        <v>99</v>
      </c>
      <c r="C98" t="s">
        <v>218</v>
      </c>
      <c r="D98" t="s">
        <v>251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219</v>
      </c>
      <c r="D99" t="s">
        <v>250</v>
      </c>
      <c r="E99">
        <v>0</v>
      </c>
      <c r="F99">
        <v>0</v>
      </c>
    </row>
    <row r="100" spans="2:6" x14ac:dyDescent="0.25">
      <c r="B100">
        <v>101</v>
      </c>
      <c r="C100" t="s">
        <v>220</v>
      </c>
      <c r="D100" t="s">
        <v>251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221</v>
      </c>
      <c r="D101" t="s">
        <v>250</v>
      </c>
      <c r="E101">
        <v>0</v>
      </c>
      <c r="F101">
        <v>0</v>
      </c>
    </row>
    <row r="102" spans="2:6" x14ac:dyDescent="0.25">
      <c r="B102">
        <v>103</v>
      </c>
      <c r="C102" t="s">
        <v>222</v>
      </c>
      <c r="D102" t="s">
        <v>251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223</v>
      </c>
      <c r="D103" t="s">
        <v>251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224</v>
      </c>
      <c r="D104" t="s">
        <v>251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225</v>
      </c>
      <c r="D105" t="s">
        <v>251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226</v>
      </c>
      <c r="D106" t="s">
        <v>251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228</v>
      </c>
      <c r="D107" t="s">
        <v>251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229</v>
      </c>
      <c r="D108" t="s">
        <v>251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230</v>
      </c>
      <c r="D109" t="s">
        <v>251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231</v>
      </c>
      <c r="D110" t="s">
        <v>250</v>
      </c>
      <c r="E110">
        <v>0</v>
      </c>
      <c r="F110">
        <v>0</v>
      </c>
    </row>
    <row r="111" spans="2:6" x14ac:dyDescent="0.25">
      <c r="B111">
        <v>112</v>
      </c>
      <c r="C111" t="s">
        <v>232</v>
      </c>
      <c r="D111" t="s">
        <v>250</v>
      </c>
      <c r="E111">
        <v>0</v>
      </c>
      <c r="F111">
        <v>0</v>
      </c>
    </row>
    <row r="112" spans="2:6" x14ac:dyDescent="0.25">
      <c r="B112">
        <v>113</v>
      </c>
      <c r="C112" t="s">
        <v>234</v>
      </c>
      <c r="D112" t="s">
        <v>251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429">
        <v>-7713.1262757699997</v>
      </c>
      <c r="D114" s="429">
        <v>-24166.840237699998</v>
      </c>
      <c r="E114" s="429">
        <v>-15453.864181499999</v>
      </c>
    </row>
    <row r="115" spans="1:11" x14ac:dyDescent="0.25">
      <c r="B115">
        <v>5</v>
      </c>
      <c r="C115" t="s">
        <v>252</v>
      </c>
      <c r="D115" t="s">
        <v>248</v>
      </c>
      <c r="E115">
        <v>24</v>
      </c>
      <c r="F115" t="s">
        <v>249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Q104"/>
  <sheetViews>
    <sheetView workbookViewId="0">
      <selection activeCell="F16" sqref="F16"/>
    </sheetView>
  </sheetViews>
  <sheetFormatPr defaultRowHeight="15" x14ac:dyDescent="0.25"/>
  <cols>
    <col min="1" max="1" width="12.7109375" style="385" bestFit="1" customWidth="1" collapsed="1"/>
    <col min="2" max="2" width="18.85546875" style="384" customWidth="1" collapsed="1"/>
    <col min="3" max="3" width="6.7109375" style="385" customWidth="1" collapsed="1"/>
    <col min="4" max="4" width="12.7109375" style="385" customWidth="1" collapsed="1"/>
    <col min="5" max="5" width="18.85546875" style="384" customWidth="1" collapsed="1"/>
    <col min="6" max="8" width="9.140625" style="385" collapsed="1"/>
    <col min="9" max="9" width="13" style="385" customWidth="1" collapsed="1"/>
    <col min="10" max="10" width="19.5703125" style="387" bestFit="1" customWidth="1" collapsed="1"/>
    <col min="11" max="11" width="19.5703125" style="427" customWidth="1" collapsed="1"/>
    <col min="12" max="12" width="92.42578125" style="385" customWidth="1" collapsed="1"/>
    <col min="13" max="16384" width="9.140625" style="385" collapsed="1"/>
  </cols>
  <sheetData>
    <row r="1" spans="1:17" x14ac:dyDescent="0.25">
      <c r="A1" s="10" t="s">
        <v>46</v>
      </c>
      <c r="D1" s="10" t="s">
        <v>47</v>
      </c>
      <c r="H1" s="386" t="s">
        <v>48</v>
      </c>
      <c r="N1" s="386"/>
    </row>
    <row r="2" spans="1:17" ht="15.75" thickBot="1" x14ac:dyDescent="0.3">
      <c r="A2" s="386" t="s">
        <v>49</v>
      </c>
      <c r="J2" s="387" t="s">
        <v>50</v>
      </c>
      <c r="K2" s="427" t="s">
        <v>51</v>
      </c>
      <c r="P2" s="388"/>
      <c r="Q2" s="388"/>
    </row>
    <row r="3" spans="1:17" x14ac:dyDescent="0.25">
      <c r="A3" s="389" t="s">
        <v>3</v>
      </c>
      <c r="B3" s="390" t="s">
        <v>52</v>
      </c>
      <c r="D3" s="389" t="s">
        <v>3</v>
      </c>
      <c r="E3" s="390" t="s">
        <v>52</v>
      </c>
      <c r="F3" s="391"/>
      <c r="H3" s="385">
        <v>1</v>
      </c>
      <c r="I3" s="385" t="s">
        <v>53</v>
      </c>
      <c r="J3" s="387">
        <f>OtherTourDestination!E11</f>
        <v>1</v>
      </c>
      <c r="K3" s="430">
        <f>J3</f>
        <v>1</v>
      </c>
      <c r="L3" s="385" t="s">
        <v>54</v>
      </c>
    </row>
    <row r="4" spans="1:17" x14ac:dyDescent="0.25">
      <c r="A4" s="392" t="s">
        <v>55</v>
      </c>
      <c r="B4" s="393">
        <f>TLFD!B11</f>
        <v>113664.92969999999</v>
      </c>
      <c r="D4" s="392" t="s">
        <v>55</v>
      </c>
      <c r="E4" s="393">
        <f>TLFD!F11</f>
        <v>51740</v>
      </c>
      <c r="F4" s="394"/>
      <c r="H4" s="385">
        <v>2</v>
      </c>
      <c r="I4" s="385" t="s">
        <v>56</v>
      </c>
      <c r="J4" s="387">
        <f>OtherTourDestination!E12</f>
        <v>13.7073027249</v>
      </c>
      <c r="K4" s="430">
        <f t="shared" ref="K4:K68" si="0">J4</f>
        <v>13.7073027249</v>
      </c>
      <c r="L4" s="385" t="s">
        <v>57</v>
      </c>
    </row>
    <row r="5" spans="1:17" x14ac:dyDescent="0.25">
      <c r="A5" s="395" t="s">
        <v>58</v>
      </c>
      <c r="B5" s="396">
        <f>TLFD!B12+TLFD!B13+(TLFD!B14/2)</f>
        <v>164666.16404999999</v>
      </c>
      <c r="D5" s="395" t="s">
        <v>58</v>
      </c>
      <c r="E5" s="396">
        <f>TLFD!F12+TLFD!F13+(TLFD!F14/2)</f>
        <v>69943</v>
      </c>
      <c r="F5" s="394"/>
      <c r="H5" s="385">
        <v>3</v>
      </c>
      <c r="I5" s="385" t="s">
        <v>59</v>
      </c>
      <c r="J5" s="387">
        <f>OtherTourDestination!E13</f>
        <v>7.0220312730799997E-2</v>
      </c>
      <c r="K5" s="430">
        <f t="shared" si="0"/>
        <v>7.0220312730799997E-2</v>
      </c>
      <c r="L5" s="385" t="s">
        <v>60</v>
      </c>
    </row>
    <row r="6" spans="1:17" x14ac:dyDescent="0.25">
      <c r="A6" s="395" t="s">
        <v>61</v>
      </c>
      <c r="B6" s="396">
        <f>(TLFD!B14/2)+SUM(TLFD!B15:B20)</f>
        <v>148298.44385000001</v>
      </c>
      <c r="D6" s="395" t="s">
        <v>61</v>
      </c>
      <c r="E6" s="396">
        <f>(TLFD!F14/2)+SUM(TLFD!F15:F20)</f>
        <v>195523</v>
      </c>
      <c r="F6" s="397"/>
      <c r="H6" s="385">
        <v>4</v>
      </c>
      <c r="I6" s="385" t="s">
        <v>62</v>
      </c>
      <c r="J6" s="387">
        <f>OtherTourDestination!E14</f>
        <v>-3.3904088920700001E-2</v>
      </c>
      <c r="K6" s="430">
        <f t="shared" si="0"/>
        <v>-3.3904088920700001E-2</v>
      </c>
      <c r="L6" s="385" t="s">
        <v>63</v>
      </c>
    </row>
    <row r="7" spans="1:17" x14ac:dyDescent="0.25">
      <c r="A7" s="398" t="s">
        <v>64</v>
      </c>
      <c r="B7" s="399">
        <f>SUM(TLFD!B21:B101)</f>
        <v>61788.897899999989</v>
      </c>
      <c r="D7" s="398" t="s">
        <v>64</v>
      </c>
      <c r="E7" s="399">
        <f>SUM(TLFD!F21:F101)</f>
        <v>132517</v>
      </c>
      <c r="F7" s="400"/>
      <c r="H7" s="385">
        <v>5</v>
      </c>
      <c r="I7" s="385" t="s">
        <v>65</v>
      </c>
      <c r="J7" s="387">
        <f>OtherTourDestination!E15</f>
        <v>0.14394271350499999</v>
      </c>
      <c r="K7" s="430">
        <f t="shared" si="0"/>
        <v>0.14394271350499999</v>
      </c>
      <c r="L7" s="385" t="s">
        <v>66</v>
      </c>
    </row>
    <row r="8" spans="1:17" ht="15.75" thickBot="1" x14ac:dyDescent="0.3">
      <c r="A8" s="401" t="s">
        <v>4</v>
      </c>
      <c r="B8" s="402">
        <f>SUM(B4:B7)</f>
        <v>488418.43550000002</v>
      </c>
      <c r="C8" s="403"/>
      <c r="D8" s="401" t="s">
        <v>4</v>
      </c>
      <c r="E8" s="402">
        <f>SUM(E4:E7)</f>
        <v>449723</v>
      </c>
      <c r="H8" s="385">
        <v>6</v>
      </c>
      <c r="I8" s="385" t="s">
        <v>67</v>
      </c>
      <c r="J8" s="387">
        <f>OtherTourDestination!E16</f>
        <v>0.36721258210199997</v>
      </c>
      <c r="K8" s="430">
        <f t="shared" si="0"/>
        <v>0.36721258210199997</v>
      </c>
      <c r="L8" s="385" t="s">
        <v>68</v>
      </c>
    </row>
    <row r="9" spans="1:17" x14ac:dyDescent="0.25">
      <c r="H9" s="385">
        <v>7</v>
      </c>
      <c r="I9" s="385" t="s">
        <v>69</v>
      </c>
      <c r="J9" s="387">
        <f>OtherTourDestination!E17</f>
        <v>-1.7918460355300001</v>
      </c>
      <c r="K9" s="430">
        <f t="shared" si="0"/>
        <v>-1.7918460355300001</v>
      </c>
      <c r="L9" s="385" t="s">
        <v>70</v>
      </c>
    </row>
    <row r="10" spans="1:17" ht="15.75" thickBot="1" x14ac:dyDescent="0.3">
      <c r="A10" s="404" t="s">
        <v>71</v>
      </c>
      <c r="F10" s="391"/>
      <c r="H10" s="385">
        <v>8</v>
      </c>
      <c r="I10" s="385" t="s">
        <v>72</v>
      </c>
      <c r="J10" s="387">
        <f>OtherTourDestination!E18</f>
        <v>1.39963442933</v>
      </c>
      <c r="K10" s="430">
        <f t="shared" si="0"/>
        <v>1.39963442933</v>
      </c>
      <c r="L10" s="385" t="s">
        <v>73</v>
      </c>
    </row>
    <row r="11" spans="1:17" x14ac:dyDescent="0.25">
      <c r="A11" s="389" t="s">
        <v>3</v>
      </c>
      <c r="B11" s="390" t="s">
        <v>52</v>
      </c>
      <c r="D11" s="389" t="s">
        <v>3</v>
      </c>
      <c r="E11" s="390" t="s">
        <v>52</v>
      </c>
      <c r="F11" s="405"/>
      <c r="H11" s="385">
        <v>9</v>
      </c>
      <c r="I11" s="385" t="s">
        <v>74</v>
      </c>
      <c r="J11" s="387">
        <f>OtherTourDestination!E19</f>
        <v>0.66317866364400002</v>
      </c>
      <c r="K11" s="430">
        <f t="shared" si="0"/>
        <v>0.66317866364400002</v>
      </c>
      <c r="L11" s="385" t="s">
        <v>75</v>
      </c>
    </row>
    <row r="12" spans="1:17" x14ac:dyDescent="0.25">
      <c r="A12" s="392" t="s">
        <v>55</v>
      </c>
      <c r="B12" s="406">
        <f>B4/B$8</f>
        <v>0.23272039185752641</v>
      </c>
      <c r="D12" s="392" t="s">
        <v>55</v>
      </c>
      <c r="E12" s="406">
        <f>E4/E$8</f>
        <v>0.11504859658056181</v>
      </c>
      <c r="F12" s="405"/>
      <c r="H12" s="385">
        <v>10</v>
      </c>
      <c r="I12" s="385" t="s">
        <v>76</v>
      </c>
      <c r="J12" s="387">
        <f>OtherTourDestination!E20</f>
        <v>-0.38108886824999999</v>
      </c>
      <c r="K12" s="430">
        <f t="shared" si="0"/>
        <v>-0.38108886824999999</v>
      </c>
      <c r="L12" s="385" t="s">
        <v>77</v>
      </c>
    </row>
    <row r="13" spans="1:17" x14ac:dyDescent="0.25">
      <c r="A13" s="395" t="s">
        <v>58</v>
      </c>
      <c r="B13" s="407">
        <f t="shared" ref="B13:B16" si="1">B5/B$8</f>
        <v>0.33714158205643729</v>
      </c>
      <c r="D13" s="395" t="s">
        <v>58</v>
      </c>
      <c r="E13" s="407">
        <f t="shared" ref="E13:E16" si="2">E5/E$8</f>
        <v>0.15552462293456193</v>
      </c>
      <c r="F13" s="405"/>
      <c r="H13" s="385">
        <v>11</v>
      </c>
      <c r="I13" s="385" t="s">
        <v>78</v>
      </c>
      <c r="J13" s="387">
        <f>OtherTourDestination!E21</f>
        <v>-0.73323034645999996</v>
      </c>
      <c r="K13" s="430">
        <f t="shared" si="0"/>
        <v>-0.73323034645999996</v>
      </c>
      <c r="L13" s="385" t="s">
        <v>79</v>
      </c>
    </row>
    <row r="14" spans="1:17" x14ac:dyDescent="0.25">
      <c r="A14" s="395" t="s">
        <v>61</v>
      </c>
      <c r="B14" s="407">
        <f t="shared" si="1"/>
        <v>0.30362990638996878</v>
      </c>
      <c r="D14" s="395" t="s">
        <v>61</v>
      </c>
      <c r="E14" s="407">
        <f t="shared" si="2"/>
        <v>0.43476317644416673</v>
      </c>
      <c r="F14" s="408"/>
      <c r="H14" s="385">
        <v>12</v>
      </c>
      <c r="I14" s="385" t="s">
        <v>80</v>
      </c>
      <c r="J14" s="387">
        <f>OtherTourDestination!E22</f>
        <v>-0.913115187153</v>
      </c>
      <c r="K14" s="430">
        <f t="shared" si="0"/>
        <v>-0.913115187153</v>
      </c>
      <c r="L14" s="385" t="s">
        <v>81</v>
      </c>
    </row>
    <row r="15" spans="1:17" x14ac:dyDescent="0.25">
      <c r="A15" s="398" t="s">
        <v>64</v>
      </c>
      <c r="B15" s="407">
        <f t="shared" si="1"/>
        <v>0.12650811969606743</v>
      </c>
      <c r="D15" s="398" t="s">
        <v>64</v>
      </c>
      <c r="E15" s="407">
        <f t="shared" si="2"/>
        <v>0.29466360404070951</v>
      </c>
      <c r="H15" s="385">
        <v>13</v>
      </c>
      <c r="I15" s="385" t="s">
        <v>82</v>
      </c>
      <c r="J15" s="387">
        <f>OtherTourDestination!E23</f>
        <v>-0.56168035354400003</v>
      </c>
      <c r="K15" s="430">
        <f t="shared" si="0"/>
        <v>-0.56168035354400003</v>
      </c>
      <c r="L15" s="385" t="s">
        <v>83</v>
      </c>
    </row>
    <row r="16" spans="1:17" ht="15.75" thickBot="1" x14ac:dyDescent="0.3">
      <c r="A16" s="401" t="s">
        <v>4</v>
      </c>
      <c r="B16" s="409">
        <f t="shared" si="1"/>
        <v>1</v>
      </c>
      <c r="C16" s="403"/>
      <c r="D16" s="401" t="s">
        <v>4</v>
      </c>
      <c r="E16" s="409">
        <f t="shared" si="2"/>
        <v>1</v>
      </c>
      <c r="H16" s="385">
        <v>14</v>
      </c>
      <c r="I16" s="385" t="s">
        <v>84</v>
      </c>
      <c r="J16" s="387">
        <f>OtherTourDestination!E24</f>
        <v>-0.30132725845199998</v>
      </c>
      <c r="K16" s="430">
        <f t="shared" si="0"/>
        <v>-0.30132725845199998</v>
      </c>
      <c r="L16" s="385" t="s">
        <v>85</v>
      </c>
    </row>
    <row r="17" spans="1:12" x14ac:dyDescent="0.25">
      <c r="H17" s="385">
        <v>15</v>
      </c>
      <c r="I17" s="385" t="s">
        <v>86</v>
      </c>
      <c r="J17" s="387">
        <f>OtherTourDestination!E25</f>
        <v>1.97893419319</v>
      </c>
      <c r="K17" s="430">
        <f t="shared" si="0"/>
        <v>1.97893419319</v>
      </c>
      <c r="L17" s="385" t="s">
        <v>87</v>
      </c>
    </row>
    <row r="18" spans="1:12" x14ac:dyDescent="0.25">
      <c r="H18" s="385">
        <v>16</v>
      </c>
      <c r="I18" s="385" t="s">
        <v>88</v>
      </c>
      <c r="J18" s="387">
        <f>OtherTourDestination!E26</f>
        <v>0.89286126056000004</v>
      </c>
      <c r="K18" s="430">
        <f t="shared" si="0"/>
        <v>0.89286126056000004</v>
      </c>
      <c r="L18" s="385" t="s">
        <v>89</v>
      </c>
    </row>
    <row r="19" spans="1:12" x14ac:dyDescent="0.25">
      <c r="A19" s="410" t="s">
        <v>90</v>
      </c>
      <c r="H19" s="385">
        <v>17</v>
      </c>
      <c r="I19" s="385" t="s">
        <v>91</v>
      </c>
      <c r="J19" s="387">
        <f>OtherTourDestination!E27</f>
        <v>0</v>
      </c>
      <c r="K19" s="430">
        <f t="shared" si="0"/>
        <v>0</v>
      </c>
      <c r="L19" s="385" t="s">
        <v>92</v>
      </c>
    </row>
    <row r="20" spans="1:12" x14ac:dyDescent="0.25">
      <c r="A20" s="410" t="s">
        <v>93</v>
      </c>
      <c r="H20" s="385">
        <v>18</v>
      </c>
      <c r="I20" s="385" t="s">
        <v>94</v>
      </c>
      <c r="J20" s="387">
        <f>OtherTourDestination!E28</f>
        <v>0</v>
      </c>
      <c r="K20" s="430">
        <f t="shared" si="0"/>
        <v>0</v>
      </c>
      <c r="L20" s="385" t="s">
        <v>95</v>
      </c>
    </row>
    <row r="21" spans="1:12" ht="15.75" thickBot="1" x14ac:dyDescent="0.3">
      <c r="A21" s="411"/>
      <c r="G21" s="385" t="s">
        <v>96</v>
      </c>
      <c r="H21" s="385">
        <v>19</v>
      </c>
      <c r="I21" s="385" t="s">
        <v>97</v>
      </c>
      <c r="J21" s="387">
        <f>OtherTourDestination!E29</f>
        <v>0</v>
      </c>
      <c r="K21" s="430">
        <f t="shared" si="0"/>
        <v>0</v>
      </c>
      <c r="L21" s="385" t="s">
        <v>98</v>
      </c>
    </row>
    <row r="22" spans="1:12" x14ac:dyDescent="0.25">
      <c r="A22" s="412" t="s">
        <v>99</v>
      </c>
      <c r="B22" s="413"/>
      <c r="G22" s="385" t="s">
        <v>96</v>
      </c>
      <c r="H22" s="385">
        <v>20</v>
      </c>
      <c r="I22" s="385" t="s">
        <v>100</v>
      </c>
      <c r="J22" s="387">
        <f>OtherTourDestination!E30</f>
        <v>0.55927220197000005</v>
      </c>
      <c r="K22" s="430">
        <f t="shared" si="0"/>
        <v>0.55927220197000005</v>
      </c>
      <c r="L22" s="414" t="s">
        <v>101</v>
      </c>
    </row>
    <row r="23" spans="1:12" x14ac:dyDescent="0.25">
      <c r="A23" s="392" t="s">
        <v>55</v>
      </c>
      <c r="B23" s="415">
        <f>J23</f>
        <v>-14.073533462</v>
      </c>
      <c r="G23" s="431" t="s">
        <v>96</v>
      </c>
      <c r="H23" s="431">
        <v>21</v>
      </c>
      <c r="I23" s="431" t="s">
        <v>102</v>
      </c>
      <c r="J23" s="432">
        <f>OtherTourDestination!E31</f>
        <v>-14.073533462</v>
      </c>
      <c r="K23" s="433">
        <f>B43</f>
        <v>-14.073533462</v>
      </c>
      <c r="L23" s="431" t="s">
        <v>103</v>
      </c>
    </row>
    <row r="24" spans="1:12" x14ac:dyDescent="0.25">
      <c r="A24" s="395" t="s">
        <v>58</v>
      </c>
      <c r="B24" s="415">
        <f>J24</f>
        <v>4.23561831E-2</v>
      </c>
      <c r="G24" s="431" t="s">
        <v>96</v>
      </c>
      <c r="H24" s="431">
        <v>22</v>
      </c>
      <c r="I24" s="431" t="s">
        <v>104</v>
      </c>
      <c r="J24" s="432">
        <f>OtherTourDestination!E32</f>
        <v>4.23561831E-2</v>
      </c>
      <c r="K24" s="433">
        <f>B44</f>
        <v>0.11157200415374879</v>
      </c>
      <c r="L24" s="431" t="s">
        <v>105</v>
      </c>
    </row>
    <row r="25" spans="1:12" x14ac:dyDescent="0.25">
      <c r="A25" s="395" t="s">
        <v>61</v>
      </c>
      <c r="B25" s="415">
        <f>J25</f>
        <v>-2.9413698566000002</v>
      </c>
      <c r="G25" s="431" t="s">
        <v>96</v>
      </c>
      <c r="H25" s="431">
        <v>23</v>
      </c>
      <c r="I25" s="431" t="s">
        <v>106</v>
      </c>
      <c r="J25" s="432">
        <f>OtherTourDestination!E33</f>
        <v>-2.9413698566000002</v>
      </c>
      <c r="K25" s="433">
        <f>B45</f>
        <v>-4.7785437518329363</v>
      </c>
      <c r="L25" s="431" t="s">
        <v>107</v>
      </c>
    </row>
    <row r="26" spans="1:12" ht="15.75" thickBot="1" x14ac:dyDescent="0.3">
      <c r="A26" s="416" t="s">
        <v>64</v>
      </c>
      <c r="B26" s="417">
        <f>J26</f>
        <v>-1.4293629385</v>
      </c>
      <c r="G26" s="431" t="s">
        <v>96</v>
      </c>
      <c r="H26" s="431">
        <v>924</v>
      </c>
      <c r="I26" s="431" t="s">
        <v>235</v>
      </c>
      <c r="J26" s="432">
        <f>OtherTourDestination!E34</f>
        <v>-1.4293629385</v>
      </c>
      <c r="K26" s="433">
        <f>B46</f>
        <v>-3.3940808920853023</v>
      </c>
      <c r="L26" s="431" t="s">
        <v>119</v>
      </c>
    </row>
    <row r="27" spans="1:12" x14ac:dyDescent="0.25">
      <c r="A27" s="411"/>
      <c r="B27" s="418"/>
      <c r="G27" s="424" t="s">
        <v>96</v>
      </c>
      <c r="H27" s="424">
        <v>24</v>
      </c>
      <c r="I27" s="424" t="s">
        <v>108</v>
      </c>
      <c r="J27" s="425">
        <f>OtherTourDestination!E35</f>
        <v>0.21220129380800001</v>
      </c>
      <c r="K27" s="430">
        <f t="shared" si="0"/>
        <v>0.21220129380800001</v>
      </c>
      <c r="L27" s="426" t="s">
        <v>109</v>
      </c>
    </row>
    <row r="28" spans="1:12" x14ac:dyDescent="0.25">
      <c r="A28" s="411"/>
      <c r="B28" s="418"/>
      <c r="G28" s="385" t="s">
        <v>110</v>
      </c>
      <c r="H28" s="385">
        <v>25</v>
      </c>
      <c r="I28" s="385" t="s">
        <v>111</v>
      </c>
      <c r="J28" s="387">
        <f>OtherTourDestination!E36</f>
        <v>-0.156772126135</v>
      </c>
      <c r="K28" s="430">
        <f t="shared" si="0"/>
        <v>-0.156772126135</v>
      </c>
      <c r="L28" s="414" t="s">
        <v>112</v>
      </c>
    </row>
    <row r="29" spans="1:12" x14ac:dyDescent="0.25">
      <c r="A29" s="410" t="s">
        <v>90</v>
      </c>
      <c r="B29" s="419"/>
      <c r="G29" s="385" t="s">
        <v>110</v>
      </c>
      <c r="H29" s="385">
        <v>26</v>
      </c>
      <c r="I29" s="385" t="s">
        <v>113</v>
      </c>
      <c r="J29" s="387">
        <f>OtherTourDestination!E37</f>
        <v>0.78053827557199995</v>
      </c>
      <c r="K29" s="430">
        <f t="shared" si="0"/>
        <v>0.78053827557199995</v>
      </c>
      <c r="L29" s="385" t="s">
        <v>101</v>
      </c>
    </row>
    <row r="30" spans="1:12" x14ac:dyDescent="0.25">
      <c r="A30" s="410" t="s">
        <v>115</v>
      </c>
      <c r="B30" s="419"/>
      <c r="G30" s="385" t="s">
        <v>110</v>
      </c>
      <c r="H30" s="385">
        <v>27</v>
      </c>
      <c r="I30" s="385" t="s">
        <v>114</v>
      </c>
      <c r="J30" s="387">
        <f>OtherTourDestination!E38</f>
        <v>-12.632321361500001</v>
      </c>
      <c r="K30" s="430">
        <f t="shared" si="0"/>
        <v>-12.632321361500001</v>
      </c>
      <c r="L30" s="385" t="s">
        <v>103</v>
      </c>
    </row>
    <row r="31" spans="1:12" ht="15.75" thickBot="1" x14ac:dyDescent="0.3">
      <c r="A31" s="411"/>
      <c r="B31" s="418"/>
      <c r="G31" s="385" t="s">
        <v>110</v>
      </c>
      <c r="H31" s="385">
        <v>28</v>
      </c>
      <c r="I31" s="385" t="s">
        <v>116</v>
      </c>
      <c r="J31" s="387">
        <f>OtherTourDestination!E39</f>
        <v>-4.7373800512499997</v>
      </c>
      <c r="K31" s="430">
        <f t="shared" si="0"/>
        <v>-4.7373800512499997</v>
      </c>
      <c r="L31" s="385" t="s">
        <v>105</v>
      </c>
    </row>
    <row r="32" spans="1:12" x14ac:dyDescent="0.25">
      <c r="A32" s="412" t="s">
        <v>99</v>
      </c>
      <c r="B32" s="413"/>
      <c r="G32" s="385" t="s">
        <v>110</v>
      </c>
      <c r="H32" s="385">
        <v>29</v>
      </c>
      <c r="I32" s="385" t="s">
        <v>117</v>
      </c>
      <c r="J32" s="387">
        <f>OtherTourDestination!E40</f>
        <v>-3.8495864337499999</v>
      </c>
      <c r="K32" s="430">
        <f t="shared" si="0"/>
        <v>-3.8495864337499999</v>
      </c>
      <c r="L32" s="385" t="s">
        <v>107</v>
      </c>
    </row>
    <row r="33" spans="1:12" x14ac:dyDescent="0.25">
      <c r="A33" s="392" t="s">
        <v>55</v>
      </c>
      <c r="B33" s="415">
        <f>LN(B12/E12)-LN(B12/E12)</f>
        <v>0</v>
      </c>
      <c r="G33" s="385" t="s">
        <v>110</v>
      </c>
      <c r="H33" s="385">
        <v>30</v>
      </c>
      <c r="I33" s="385" t="s">
        <v>118</v>
      </c>
      <c r="J33" s="387">
        <f>OtherTourDestination!E41</f>
        <v>-0.55196399758000003</v>
      </c>
      <c r="K33" s="430">
        <f t="shared" si="0"/>
        <v>-0.55196399758000003</v>
      </c>
      <c r="L33" s="385" t="s">
        <v>119</v>
      </c>
    </row>
    <row r="34" spans="1:12" x14ac:dyDescent="0.25">
      <c r="A34" s="395" t="s">
        <v>58</v>
      </c>
      <c r="B34" s="415">
        <f>LN(B13/E13)-LN(B12/E12)</f>
        <v>6.9215821053748794E-2</v>
      </c>
      <c r="G34" s="385" t="s">
        <v>110</v>
      </c>
      <c r="H34" s="385">
        <v>31</v>
      </c>
      <c r="I34" s="385" t="s">
        <v>120</v>
      </c>
      <c r="J34" s="387">
        <f>OtherTourDestination!E42</f>
        <v>0.161916660248</v>
      </c>
      <c r="K34" s="430">
        <f t="shared" si="0"/>
        <v>0.161916660248</v>
      </c>
      <c r="L34" s="414" t="s">
        <v>121</v>
      </c>
    </row>
    <row r="35" spans="1:12" x14ac:dyDescent="0.25">
      <c r="A35" s="395" t="s">
        <v>61</v>
      </c>
      <c r="B35" s="415">
        <f>LN(B14/E14)-LN(B13/E13)-LN(B12/E12)</f>
        <v>-1.8371738952329362</v>
      </c>
      <c r="E35" s="420"/>
      <c r="G35" s="385" t="s">
        <v>110</v>
      </c>
      <c r="H35" s="385">
        <v>32</v>
      </c>
      <c r="I35" s="385" t="s">
        <v>122</v>
      </c>
      <c r="J35" s="387">
        <f>OtherTourDestination!E43</f>
        <v>-0.164548260329</v>
      </c>
      <c r="K35" s="430">
        <f t="shared" si="0"/>
        <v>-0.164548260329</v>
      </c>
      <c r="L35" s="414" t="s">
        <v>123</v>
      </c>
    </row>
    <row r="36" spans="1:12" ht="15.75" thickBot="1" x14ac:dyDescent="0.3">
      <c r="A36" s="416" t="s">
        <v>64</v>
      </c>
      <c r="B36" s="417">
        <f>LN(B15/E15)-LN(B14/E14)-LN(B13/E13)-LN(B12/E12)</f>
        <v>-1.9647179535853021</v>
      </c>
      <c r="E36" s="421"/>
      <c r="G36" s="385" t="s">
        <v>110</v>
      </c>
      <c r="H36" s="385">
        <v>33</v>
      </c>
      <c r="I36" s="385" t="s">
        <v>124</v>
      </c>
      <c r="J36" s="387">
        <f>OtherTourDestination!E44</f>
        <v>0.20498917376299999</v>
      </c>
      <c r="K36" s="430">
        <f t="shared" si="0"/>
        <v>0.20498917376299999</v>
      </c>
      <c r="L36" s="414" t="s">
        <v>125</v>
      </c>
    </row>
    <row r="37" spans="1:12" x14ac:dyDescent="0.25">
      <c r="A37" s="411"/>
      <c r="B37" s="415"/>
      <c r="G37" s="385" t="s">
        <v>110</v>
      </c>
      <c r="H37" s="385">
        <v>34</v>
      </c>
      <c r="I37" s="385" t="s">
        <v>126</v>
      </c>
      <c r="J37" s="387">
        <f>OtherTourDestination!E45</f>
        <v>-0.128001396233</v>
      </c>
      <c r="K37" s="430">
        <f t="shared" si="0"/>
        <v>-0.128001396233</v>
      </c>
      <c r="L37" s="414" t="s">
        <v>127</v>
      </c>
    </row>
    <row r="38" spans="1:12" x14ac:dyDescent="0.25">
      <c r="A38" s="411"/>
      <c r="B38" s="415"/>
      <c r="G38" s="385" t="s">
        <v>128</v>
      </c>
      <c r="H38" s="385">
        <v>35</v>
      </c>
      <c r="I38" s="385" t="s">
        <v>129</v>
      </c>
      <c r="J38" s="387">
        <f>OtherTourDestination!E46</f>
        <v>6.1170505754699997E-2</v>
      </c>
      <c r="K38" s="430">
        <f t="shared" si="0"/>
        <v>6.1170505754699997E-2</v>
      </c>
      <c r="L38" s="414" t="s">
        <v>130</v>
      </c>
    </row>
    <row r="39" spans="1:12" x14ac:dyDescent="0.25">
      <c r="A39" s="410" t="s">
        <v>90</v>
      </c>
      <c r="B39" s="422"/>
      <c r="G39" s="385" t="s">
        <v>128</v>
      </c>
      <c r="H39" s="385">
        <v>36</v>
      </c>
      <c r="I39" s="385" t="s">
        <v>131</v>
      </c>
      <c r="J39" s="387">
        <f>OtherTourDestination!E47</f>
        <v>1.3253567635600001</v>
      </c>
      <c r="K39" s="430">
        <f t="shared" si="0"/>
        <v>1.3253567635600001</v>
      </c>
      <c r="L39" s="414" t="s">
        <v>101</v>
      </c>
    </row>
    <row r="40" spans="1:12" x14ac:dyDescent="0.25">
      <c r="A40" s="410" t="s">
        <v>133</v>
      </c>
      <c r="B40" s="422"/>
      <c r="G40" s="385" t="s">
        <v>128</v>
      </c>
      <c r="H40" s="385">
        <v>37</v>
      </c>
      <c r="I40" s="385" t="s">
        <v>132</v>
      </c>
      <c r="J40" s="387">
        <f>OtherTourDestination!E48</f>
        <v>-9.2010945905200003</v>
      </c>
      <c r="K40" s="430">
        <f t="shared" si="0"/>
        <v>-9.2010945905200003</v>
      </c>
      <c r="L40" s="414" t="s">
        <v>103</v>
      </c>
    </row>
    <row r="41" spans="1:12" ht="15.75" thickBot="1" x14ac:dyDescent="0.3">
      <c r="A41" s="411"/>
      <c r="B41" s="415"/>
      <c r="G41" s="385" t="s">
        <v>128</v>
      </c>
      <c r="H41" s="385">
        <v>38</v>
      </c>
      <c r="I41" s="385" t="s">
        <v>134</v>
      </c>
      <c r="J41" s="387">
        <f>OtherTourDestination!E49</f>
        <v>-2.1424454967800002</v>
      </c>
      <c r="K41" s="430">
        <f t="shared" si="0"/>
        <v>-2.1424454967800002</v>
      </c>
      <c r="L41" s="414" t="s">
        <v>105</v>
      </c>
    </row>
    <row r="42" spans="1:12" x14ac:dyDescent="0.25">
      <c r="A42" s="412" t="s">
        <v>99</v>
      </c>
      <c r="B42" s="423"/>
      <c r="G42" s="385" t="s">
        <v>128</v>
      </c>
      <c r="H42" s="385">
        <v>39</v>
      </c>
      <c r="I42" s="385" t="s">
        <v>135</v>
      </c>
      <c r="J42" s="387">
        <f>OtherTourDestination!E50</f>
        <v>-3.2698397693199999</v>
      </c>
      <c r="K42" s="430">
        <f t="shared" si="0"/>
        <v>-3.2698397693199999</v>
      </c>
      <c r="L42" s="414" t="s">
        <v>107</v>
      </c>
    </row>
    <row r="43" spans="1:12" x14ac:dyDescent="0.25">
      <c r="A43" s="392" t="s">
        <v>55</v>
      </c>
      <c r="B43" s="415">
        <f>B23+B33</f>
        <v>-14.073533462</v>
      </c>
      <c r="G43" s="385" t="s">
        <v>128</v>
      </c>
      <c r="H43" s="385">
        <v>40</v>
      </c>
      <c r="I43" s="385" t="s">
        <v>136</v>
      </c>
      <c r="J43" s="387">
        <f>OtherTourDestination!E51</f>
        <v>-1.5387148017900001</v>
      </c>
      <c r="K43" s="430">
        <f t="shared" si="0"/>
        <v>-1.5387148017900001</v>
      </c>
      <c r="L43" s="414" t="s">
        <v>119</v>
      </c>
    </row>
    <row r="44" spans="1:12" x14ac:dyDescent="0.25">
      <c r="A44" s="395" t="s">
        <v>58</v>
      </c>
      <c r="B44" s="415">
        <f t="shared" ref="B44:B46" si="3">B24+B34</f>
        <v>0.11157200415374879</v>
      </c>
      <c r="G44" s="385" t="s">
        <v>128</v>
      </c>
      <c r="H44" s="385">
        <v>41</v>
      </c>
      <c r="I44" s="385" t="s">
        <v>137</v>
      </c>
      <c r="J44" s="387">
        <f>OtherTourDestination!E52</f>
        <v>-0.149205194047</v>
      </c>
      <c r="K44" s="430">
        <f t="shared" si="0"/>
        <v>-0.149205194047</v>
      </c>
      <c r="L44" s="414" t="s">
        <v>121</v>
      </c>
    </row>
    <row r="45" spans="1:12" x14ac:dyDescent="0.25">
      <c r="A45" s="395" t="s">
        <v>61</v>
      </c>
      <c r="B45" s="415">
        <f t="shared" si="3"/>
        <v>-4.7785437518329363</v>
      </c>
      <c r="G45" s="385" t="s">
        <v>138</v>
      </c>
      <c r="H45" s="385">
        <v>42</v>
      </c>
      <c r="I45" s="385" t="s">
        <v>139</v>
      </c>
      <c r="J45" s="387">
        <f>OtherTourDestination!E53</f>
        <v>0.517393579278</v>
      </c>
      <c r="K45" s="430">
        <f t="shared" si="0"/>
        <v>0.517393579278</v>
      </c>
      <c r="L45" s="414" t="s">
        <v>140</v>
      </c>
    </row>
    <row r="46" spans="1:12" ht="15.75" thickBot="1" x14ac:dyDescent="0.3">
      <c r="A46" s="416" t="s">
        <v>64</v>
      </c>
      <c r="B46" s="417">
        <f t="shared" si="3"/>
        <v>-3.3940808920853023</v>
      </c>
      <c r="G46" s="424" t="s">
        <v>138</v>
      </c>
      <c r="H46" s="424">
        <v>43</v>
      </c>
      <c r="I46" s="424" t="s">
        <v>141</v>
      </c>
      <c r="J46" s="387">
        <f>OtherTourDestination!E54</f>
        <v>0.84374741070500003</v>
      </c>
      <c r="K46" s="430">
        <f t="shared" si="0"/>
        <v>0.84374741070500003</v>
      </c>
      <c r="L46" s="426" t="s">
        <v>101</v>
      </c>
    </row>
    <row r="47" spans="1:12" x14ac:dyDescent="0.25">
      <c r="G47" s="424" t="s">
        <v>138</v>
      </c>
      <c r="H47" s="424">
        <v>44</v>
      </c>
      <c r="I47" s="424" t="s">
        <v>142</v>
      </c>
      <c r="J47" s="387">
        <f>OtherTourDestination!E55</f>
        <v>-16.440174024099999</v>
      </c>
      <c r="K47" s="430">
        <f t="shared" si="0"/>
        <v>-16.440174024099999</v>
      </c>
      <c r="L47" s="426" t="s">
        <v>143</v>
      </c>
    </row>
    <row r="48" spans="1:12" x14ac:dyDescent="0.25">
      <c r="G48" s="424" t="s">
        <v>138</v>
      </c>
      <c r="H48" s="424">
        <v>45</v>
      </c>
      <c r="I48" s="424" t="s">
        <v>144</v>
      </c>
      <c r="J48" s="387">
        <f>OtherTourDestination!E56</f>
        <v>0.38560809579999999</v>
      </c>
      <c r="K48" s="430">
        <f t="shared" si="0"/>
        <v>0.38560809579999999</v>
      </c>
      <c r="L48" s="426" t="s">
        <v>145</v>
      </c>
    </row>
    <row r="49" spans="7:12" x14ac:dyDescent="0.25">
      <c r="G49" s="424" t="s">
        <v>138</v>
      </c>
      <c r="H49" s="424">
        <v>46</v>
      </c>
      <c r="I49" s="424" t="s">
        <v>146</v>
      </c>
      <c r="J49" s="387">
        <f>OtherTourDestination!E57</f>
        <v>-2.4592819233999998</v>
      </c>
      <c r="K49" s="430">
        <f t="shared" si="0"/>
        <v>-2.4592819233999998</v>
      </c>
      <c r="L49" s="426" t="s">
        <v>147</v>
      </c>
    </row>
    <row r="50" spans="7:12" x14ac:dyDescent="0.25">
      <c r="G50" s="424" t="s">
        <v>138</v>
      </c>
      <c r="H50" s="424">
        <v>47</v>
      </c>
      <c r="I50" s="424" t="s">
        <v>148</v>
      </c>
      <c r="J50" s="387">
        <f>OtherTourDestination!E58</f>
        <v>-2.8909492550999998</v>
      </c>
      <c r="K50" s="430">
        <f t="shared" si="0"/>
        <v>-2.8909492550999998</v>
      </c>
      <c r="L50" s="426" t="s">
        <v>149</v>
      </c>
    </row>
    <row r="51" spans="7:12" x14ac:dyDescent="0.25">
      <c r="G51" s="385" t="s">
        <v>150</v>
      </c>
      <c r="H51" s="385">
        <v>48</v>
      </c>
      <c r="I51" s="385" t="s">
        <v>151</v>
      </c>
      <c r="J51" s="387">
        <f>OtherTourDestination!E59</f>
        <v>0.16683062839400001</v>
      </c>
      <c r="K51" s="430">
        <f t="shared" si="0"/>
        <v>0.16683062839400001</v>
      </c>
      <c r="L51" s="414" t="s">
        <v>152</v>
      </c>
    </row>
    <row r="52" spans="7:12" x14ac:dyDescent="0.25">
      <c r="G52" s="385" t="s">
        <v>150</v>
      </c>
      <c r="H52" s="385">
        <v>49</v>
      </c>
      <c r="I52" s="385" t="s">
        <v>153</v>
      </c>
      <c r="J52" s="387">
        <f>OtherTourDestination!E60</f>
        <v>0.80686039286800004</v>
      </c>
      <c r="K52" s="430">
        <f t="shared" si="0"/>
        <v>0.80686039286800004</v>
      </c>
      <c r="L52" s="414" t="s">
        <v>101</v>
      </c>
    </row>
    <row r="53" spans="7:12" x14ac:dyDescent="0.25">
      <c r="G53" s="385" t="s">
        <v>150</v>
      </c>
      <c r="H53" s="385">
        <v>50</v>
      </c>
      <c r="I53" s="385" t="s">
        <v>154</v>
      </c>
      <c r="J53" s="387">
        <f>OtherTourDestination!E61</f>
        <v>-10.275631588</v>
      </c>
      <c r="K53" s="430">
        <f t="shared" si="0"/>
        <v>-10.275631588</v>
      </c>
      <c r="L53" s="414" t="s">
        <v>103</v>
      </c>
    </row>
    <row r="54" spans="7:12" x14ac:dyDescent="0.25">
      <c r="G54" s="385" t="s">
        <v>150</v>
      </c>
      <c r="H54" s="385">
        <v>51</v>
      </c>
      <c r="I54" s="385" t="s">
        <v>155</v>
      </c>
      <c r="J54" s="387">
        <f>OtherTourDestination!E62</f>
        <v>-3.6378931021600001</v>
      </c>
      <c r="K54" s="430">
        <f t="shared" si="0"/>
        <v>-3.6378931021600001</v>
      </c>
      <c r="L54" s="414" t="s">
        <v>105</v>
      </c>
    </row>
    <row r="55" spans="7:12" x14ac:dyDescent="0.25">
      <c r="G55" s="385" t="s">
        <v>150</v>
      </c>
      <c r="H55" s="385">
        <v>52</v>
      </c>
      <c r="I55" s="385" t="s">
        <v>156</v>
      </c>
      <c r="J55" s="387">
        <f>OtherTourDestination!E63</f>
        <v>-4.0172263670700001</v>
      </c>
      <c r="K55" s="430">
        <f t="shared" si="0"/>
        <v>-4.0172263670700001</v>
      </c>
      <c r="L55" s="414" t="s">
        <v>107</v>
      </c>
    </row>
    <row r="56" spans="7:12" x14ac:dyDescent="0.25">
      <c r="G56" s="385" t="s">
        <v>150</v>
      </c>
      <c r="H56" s="385">
        <v>53</v>
      </c>
      <c r="I56" s="385" t="s">
        <v>157</v>
      </c>
      <c r="J56" s="387">
        <f>OtherTourDestination!E64</f>
        <v>-0.54205465260999997</v>
      </c>
      <c r="K56" s="430">
        <f t="shared" si="0"/>
        <v>-0.54205465260999997</v>
      </c>
      <c r="L56" s="414" t="s">
        <v>119</v>
      </c>
    </row>
    <row r="57" spans="7:12" x14ac:dyDescent="0.25">
      <c r="G57" s="385" t="s">
        <v>150</v>
      </c>
      <c r="H57" s="385">
        <v>54</v>
      </c>
      <c r="I57" s="385" t="s">
        <v>158</v>
      </c>
      <c r="J57" s="387">
        <f>OtherTourDestination!E65</f>
        <v>0.21306405683599999</v>
      </c>
      <c r="K57" s="430">
        <f t="shared" si="0"/>
        <v>0.21306405683599999</v>
      </c>
      <c r="L57" s="414" t="s">
        <v>159</v>
      </c>
    </row>
    <row r="58" spans="7:12" x14ac:dyDescent="0.25">
      <c r="G58" s="385" t="s">
        <v>150</v>
      </c>
      <c r="H58" s="385">
        <v>55</v>
      </c>
      <c r="I58" s="385" t="s">
        <v>160</v>
      </c>
      <c r="J58" s="387">
        <f>OtherTourDestination!E66</f>
        <v>0.49322187999099998</v>
      </c>
      <c r="K58" s="430">
        <f t="shared" si="0"/>
        <v>0.49322187999099998</v>
      </c>
      <c r="L58" s="414" t="s">
        <v>123</v>
      </c>
    </row>
    <row r="59" spans="7:12" x14ac:dyDescent="0.25">
      <c r="G59" s="385" t="s">
        <v>150</v>
      </c>
      <c r="H59" s="385">
        <v>56</v>
      </c>
      <c r="I59" s="385" t="s">
        <v>161</v>
      </c>
      <c r="J59" s="387">
        <f>OtherTourDestination!E67</f>
        <v>-0.81297460986500003</v>
      </c>
      <c r="K59" s="430">
        <f t="shared" si="0"/>
        <v>-0.81297460986500003</v>
      </c>
      <c r="L59" s="414" t="s">
        <v>127</v>
      </c>
    </row>
    <row r="60" spans="7:12" x14ac:dyDescent="0.25">
      <c r="H60" s="385">
        <v>57</v>
      </c>
      <c r="I60" s="385" t="s">
        <v>162</v>
      </c>
      <c r="J60" s="387">
        <f>OtherTourDestination!E68</f>
        <v>8.0759501397E-2</v>
      </c>
      <c r="K60" s="430">
        <f t="shared" si="0"/>
        <v>8.0759501397E-2</v>
      </c>
      <c r="L60" s="414" t="s">
        <v>130</v>
      </c>
    </row>
    <row r="61" spans="7:12" x14ac:dyDescent="0.25">
      <c r="G61" s="385" t="s">
        <v>96</v>
      </c>
      <c r="H61" s="385">
        <v>70</v>
      </c>
      <c r="I61" s="385" t="s">
        <v>163</v>
      </c>
      <c r="J61" s="387">
        <f>OtherTourDestination!E69</f>
        <v>0.29053029913700001</v>
      </c>
      <c r="K61" s="430">
        <f t="shared" si="0"/>
        <v>0.29053029913700001</v>
      </c>
      <c r="L61" s="414"/>
    </row>
    <row r="62" spans="7:12" x14ac:dyDescent="0.25">
      <c r="G62" s="385" t="s">
        <v>96</v>
      </c>
      <c r="H62" s="385">
        <v>71</v>
      </c>
      <c r="I62" s="385" t="s">
        <v>164</v>
      </c>
      <c r="J62" s="387">
        <f>OtherTourDestination!E70</f>
        <v>0</v>
      </c>
      <c r="K62" s="430">
        <f t="shared" si="0"/>
        <v>0</v>
      </c>
      <c r="L62" s="385" t="s">
        <v>165</v>
      </c>
    </row>
    <row r="63" spans="7:12" x14ac:dyDescent="0.25">
      <c r="G63" s="385" t="s">
        <v>96</v>
      </c>
      <c r="H63" s="385">
        <v>72</v>
      </c>
      <c r="I63" s="385" t="s">
        <v>166</v>
      </c>
      <c r="J63" s="387">
        <f>OtherTourDestination!E71</f>
        <v>-3.51218611463</v>
      </c>
      <c r="K63" s="430">
        <f t="shared" si="0"/>
        <v>-3.51218611463</v>
      </c>
      <c r="L63" s="385" t="s">
        <v>167</v>
      </c>
    </row>
    <row r="64" spans="7:12" x14ac:dyDescent="0.25">
      <c r="G64" s="385" t="s">
        <v>96</v>
      </c>
      <c r="H64" s="385">
        <v>73</v>
      </c>
      <c r="I64" s="385" t="s">
        <v>168</v>
      </c>
      <c r="J64" s="387">
        <f>OtherTourDestination!E72</f>
        <v>-1.9512398226400001</v>
      </c>
      <c r="K64" s="430">
        <f t="shared" si="0"/>
        <v>-1.9512398226400001</v>
      </c>
      <c r="L64" s="385" t="s">
        <v>169</v>
      </c>
    </row>
    <row r="65" spans="7:12" x14ac:dyDescent="0.25">
      <c r="G65" s="385" t="s">
        <v>96</v>
      </c>
      <c r="H65" s="385">
        <v>74</v>
      </c>
      <c r="I65" s="385" t="s">
        <v>170</v>
      </c>
      <c r="J65" s="387">
        <f>OtherTourDestination!E73</f>
        <v>-2.2875988415099999</v>
      </c>
      <c r="K65" s="430">
        <f t="shared" si="0"/>
        <v>-2.2875988415099999</v>
      </c>
      <c r="L65" s="385" t="s">
        <v>171</v>
      </c>
    </row>
    <row r="66" spans="7:12" x14ac:dyDescent="0.25">
      <c r="G66" s="385" t="s">
        <v>96</v>
      </c>
      <c r="H66" s="385">
        <v>75</v>
      </c>
      <c r="I66" s="385" t="s">
        <v>172</v>
      </c>
      <c r="J66" s="387">
        <f>OtherTourDestination!E74</f>
        <v>-2.97270473739</v>
      </c>
      <c r="K66" s="430">
        <f t="shared" si="0"/>
        <v>-2.97270473739</v>
      </c>
      <c r="L66" s="385" t="s">
        <v>173</v>
      </c>
    </row>
    <row r="67" spans="7:12" x14ac:dyDescent="0.25">
      <c r="G67" s="385" t="s">
        <v>96</v>
      </c>
      <c r="H67" s="385">
        <v>76</v>
      </c>
      <c r="I67" s="385" t="s">
        <v>174</v>
      </c>
      <c r="J67" s="387">
        <f>OtherTourDestination!E75</f>
        <v>-2.2065775626700002</v>
      </c>
      <c r="K67" s="430">
        <f t="shared" si="0"/>
        <v>-2.2065775626700002</v>
      </c>
      <c r="L67" s="385" t="s">
        <v>175</v>
      </c>
    </row>
    <row r="68" spans="7:12" x14ac:dyDescent="0.25">
      <c r="G68" s="385" t="s">
        <v>96</v>
      </c>
      <c r="H68" s="385">
        <v>77</v>
      </c>
      <c r="I68" s="385" t="s">
        <v>176</v>
      </c>
      <c r="J68" s="387">
        <f>OtherTourDestination!E76</f>
        <v>-1.91608314575</v>
      </c>
      <c r="K68" s="430">
        <f t="shared" si="0"/>
        <v>-1.91608314575</v>
      </c>
      <c r="L68" s="385" t="s">
        <v>177</v>
      </c>
    </row>
    <row r="69" spans="7:12" x14ac:dyDescent="0.25">
      <c r="G69" s="385" t="s">
        <v>96</v>
      </c>
      <c r="H69" s="385">
        <v>78</v>
      </c>
      <c r="I69" s="385" t="s">
        <v>178</v>
      </c>
      <c r="J69" s="387">
        <f>OtherTourDestination!E77</f>
        <v>-2.9941803696</v>
      </c>
      <c r="K69" s="430">
        <f t="shared" ref="K69:K104" si="4">J69</f>
        <v>-2.9941803696</v>
      </c>
      <c r="L69" s="385" t="s">
        <v>179</v>
      </c>
    </row>
    <row r="70" spans="7:12" x14ac:dyDescent="0.25">
      <c r="G70" s="385" t="s">
        <v>96</v>
      </c>
      <c r="H70" s="385">
        <v>79</v>
      </c>
      <c r="I70" s="385" t="s">
        <v>180</v>
      </c>
      <c r="J70" s="387">
        <f>OtherTourDestination!E78</f>
        <v>-20.893048808300001</v>
      </c>
      <c r="K70" s="430">
        <f t="shared" si="4"/>
        <v>-20.893048808300001</v>
      </c>
      <c r="L70" s="385" t="s">
        <v>181</v>
      </c>
    </row>
    <row r="71" spans="7:12" x14ac:dyDescent="0.25">
      <c r="G71" s="385" t="s">
        <v>96</v>
      </c>
      <c r="H71" s="385">
        <v>80</v>
      </c>
      <c r="I71" s="385" t="s">
        <v>182</v>
      </c>
      <c r="J71" s="387">
        <f>OtherTourDestination!E79</f>
        <v>-0.340851234339</v>
      </c>
      <c r="K71" s="430">
        <f t="shared" si="4"/>
        <v>-0.340851234339</v>
      </c>
      <c r="L71" s="385" t="s">
        <v>183</v>
      </c>
    </row>
    <row r="72" spans="7:12" x14ac:dyDescent="0.25">
      <c r="G72" s="385" t="s">
        <v>96</v>
      </c>
      <c r="H72" s="385">
        <v>81</v>
      </c>
      <c r="I72" s="385" t="s">
        <v>184</v>
      </c>
      <c r="J72" s="387">
        <f>OtherTourDestination!E80</f>
        <v>-3.5548804977600001</v>
      </c>
      <c r="K72" s="430">
        <f t="shared" si="4"/>
        <v>-3.5548804977600001</v>
      </c>
      <c r="L72" s="385" t="s">
        <v>185</v>
      </c>
    </row>
    <row r="73" spans="7:12" x14ac:dyDescent="0.25">
      <c r="G73" s="385" t="s">
        <v>96</v>
      </c>
      <c r="H73" s="385">
        <v>82</v>
      </c>
      <c r="I73" s="385" t="s">
        <v>186</v>
      </c>
      <c r="J73" s="387">
        <f>OtherTourDestination!E81</f>
        <v>-2.04042829643</v>
      </c>
      <c r="K73" s="430">
        <f t="shared" si="4"/>
        <v>-2.04042829643</v>
      </c>
      <c r="L73" s="385" t="s">
        <v>185</v>
      </c>
    </row>
    <row r="74" spans="7:12" x14ac:dyDescent="0.25">
      <c r="G74" s="385" t="s">
        <v>96</v>
      </c>
      <c r="H74" s="385">
        <v>83</v>
      </c>
      <c r="I74" s="385" t="s">
        <v>187</v>
      </c>
      <c r="J74" s="387">
        <f>OtherTourDestination!E82</f>
        <v>-3.1291070048599998</v>
      </c>
      <c r="K74" s="430">
        <f t="shared" si="4"/>
        <v>-3.1291070048599998</v>
      </c>
      <c r="L74" s="385" t="s">
        <v>188</v>
      </c>
    </row>
    <row r="75" spans="7:12" x14ac:dyDescent="0.25">
      <c r="G75" s="385" t="s">
        <v>96</v>
      </c>
      <c r="H75" s="385">
        <v>84</v>
      </c>
      <c r="I75" s="385" t="s">
        <v>189</v>
      </c>
      <c r="J75" s="387">
        <f>OtherTourDestination!E83</f>
        <v>-1.36058822067</v>
      </c>
      <c r="K75" s="430">
        <f t="shared" si="4"/>
        <v>-1.36058822067</v>
      </c>
      <c r="L75" s="385" t="s">
        <v>190</v>
      </c>
    </row>
    <row r="76" spans="7:12" x14ac:dyDescent="0.25">
      <c r="G76" s="385" t="s">
        <v>96</v>
      </c>
      <c r="H76" s="385">
        <v>85</v>
      </c>
      <c r="I76" s="385" t="s">
        <v>191</v>
      </c>
      <c r="J76" s="387">
        <f>OtherTourDestination!E84</f>
        <v>-3.7593502074299998</v>
      </c>
      <c r="K76" s="430">
        <f t="shared" si="4"/>
        <v>-3.7593502074299998</v>
      </c>
      <c r="L76" s="385" t="s">
        <v>192</v>
      </c>
    </row>
    <row r="77" spans="7:12" x14ac:dyDescent="0.25">
      <c r="G77" s="385" t="s">
        <v>96</v>
      </c>
      <c r="H77" s="385">
        <v>86</v>
      </c>
      <c r="I77" s="385" t="s">
        <v>193</v>
      </c>
      <c r="J77" s="387">
        <f>OtherTourDestination!E85</f>
        <v>-2.6162258391100002</v>
      </c>
      <c r="K77" s="430">
        <f t="shared" si="4"/>
        <v>-2.6162258391100002</v>
      </c>
      <c r="L77" s="385" t="s">
        <v>194</v>
      </c>
    </row>
    <row r="78" spans="7:12" x14ac:dyDescent="0.25">
      <c r="G78" s="385" t="s">
        <v>96</v>
      </c>
      <c r="H78" s="385">
        <v>87</v>
      </c>
      <c r="I78" s="385" t="s">
        <v>195</v>
      </c>
      <c r="J78" s="387">
        <f>OtherTourDestination!E86</f>
        <v>-18.920608679800001</v>
      </c>
      <c r="K78" s="430">
        <f t="shared" si="4"/>
        <v>-18.920608679800001</v>
      </c>
      <c r="L78" s="385" t="s">
        <v>196</v>
      </c>
    </row>
    <row r="79" spans="7:12" x14ac:dyDescent="0.25">
      <c r="G79" s="385" t="s">
        <v>110</v>
      </c>
      <c r="H79" s="385">
        <v>88</v>
      </c>
      <c r="I79" s="385" t="s">
        <v>197</v>
      </c>
      <c r="J79" s="387">
        <f>OtherTourDestination!E87</f>
        <v>0</v>
      </c>
      <c r="K79" s="430">
        <f t="shared" si="4"/>
        <v>0</v>
      </c>
      <c r="L79" s="385" t="s">
        <v>198</v>
      </c>
    </row>
    <row r="80" spans="7:12" x14ac:dyDescent="0.25">
      <c r="G80" s="385" t="s">
        <v>110</v>
      </c>
      <c r="H80" s="385">
        <v>89</v>
      </c>
      <c r="I80" s="385" t="s">
        <v>199</v>
      </c>
      <c r="J80" s="387">
        <f>OtherTourDestination!E88</f>
        <v>-6.14284833482</v>
      </c>
      <c r="K80" s="430">
        <f t="shared" si="4"/>
        <v>-6.14284833482</v>
      </c>
      <c r="L80" s="385" t="s">
        <v>200</v>
      </c>
    </row>
    <row r="81" spans="7:12" x14ac:dyDescent="0.25">
      <c r="G81" s="385" t="s">
        <v>110</v>
      </c>
      <c r="H81" s="385">
        <v>90</v>
      </c>
      <c r="I81" s="385" t="s">
        <v>201</v>
      </c>
      <c r="J81" s="387">
        <f>OtherTourDestination!E89</f>
        <v>-16.4745846271</v>
      </c>
      <c r="K81" s="430">
        <f t="shared" si="4"/>
        <v>-16.4745846271</v>
      </c>
      <c r="L81" s="385" t="s">
        <v>202</v>
      </c>
    </row>
    <row r="82" spans="7:12" x14ac:dyDescent="0.25">
      <c r="G82" s="385" t="s">
        <v>110</v>
      </c>
      <c r="H82" s="385">
        <v>91</v>
      </c>
      <c r="I82" s="385" t="s">
        <v>203</v>
      </c>
      <c r="J82" s="387">
        <f>OtherTourDestination!E90</f>
        <v>-9.3272520902899991</v>
      </c>
      <c r="K82" s="430">
        <f t="shared" si="4"/>
        <v>-9.3272520902899991</v>
      </c>
      <c r="L82" s="385" t="s">
        <v>204</v>
      </c>
    </row>
    <row r="83" spans="7:12" x14ac:dyDescent="0.25">
      <c r="G83" s="385" t="s">
        <v>110</v>
      </c>
      <c r="H83" s="385">
        <v>92</v>
      </c>
      <c r="I83" s="385" t="s">
        <v>205</v>
      </c>
      <c r="J83" s="387">
        <f>OtherTourDestination!E91</f>
        <v>-0.748114378523</v>
      </c>
      <c r="K83" s="430">
        <f t="shared" si="4"/>
        <v>-0.748114378523</v>
      </c>
      <c r="L83" s="385" t="s">
        <v>206</v>
      </c>
    </row>
    <row r="84" spans="7:12" x14ac:dyDescent="0.25">
      <c r="G84" s="385" t="s">
        <v>110</v>
      </c>
      <c r="H84" s="385">
        <v>93</v>
      </c>
      <c r="I84" s="385" t="s">
        <v>207</v>
      </c>
      <c r="J84" s="387">
        <f>OtherTourDestination!E92</f>
        <v>-0.29100107664500002</v>
      </c>
      <c r="K84" s="430">
        <f t="shared" si="4"/>
        <v>-0.29100107664500002</v>
      </c>
      <c r="L84" s="385" t="s">
        <v>208</v>
      </c>
    </row>
    <row r="85" spans="7:12" x14ac:dyDescent="0.25">
      <c r="G85" s="385" t="s">
        <v>110</v>
      </c>
      <c r="H85" s="385">
        <v>94</v>
      </c>
      <c r="I85" s="385" t="s">
        <v>209</v>
      </c>
      <c r="J85" s="387">
        <f>OtherTourDestination!E93</f>
        <v>0</v>
      </c>
      <c r="K85" s="430">
        <f t="shared" si="4"/>
        <v>0</v>
      </c>
      <c r="L85" s="385" t="s">
        <v>210</v>
      </c>
    </row>
    <row r="86" spans="7:12" x14ac:dyDescent="0.25">
      <c r="G86" s="385" t="s">
        <v>110</v>
      </c>
      <c r="H86" s="385">
        <v>95</v>
      </c>
      <c r="I86" s="385" t="s">
        <v>211</v>
      </c>
      <c r="J86" s="387">
        <f>OtherTourDestination!E94</f>
        <v>-10.3298280696</v>
      </c>
      <c r="K86" s="430">
        <f t="shared" si="4"/>
        <v>-10.3298280696</v>
      </c>
      <c r="L86" s="385" t="s">
        <v>212</v>
      </c>
    </row>
    <row r="87" spans="7:12" x14ac:dyDescent="0.25">
      <c r="G87" s="385" t="s">
        <v>110</v>
      </c>
      <c r="H87" s="385">
        <v>96</v>
      </c>
      <c r="I87" s="385" t="s">
        <v>213</v>
      </c>
      <c r="J87" s="387">
        <f>OtherTourDestination!E95</f>
        <v>-16.742935323400001</v>
      </c>
      <c r="K87" s="430">
        <f t="shared" si="4"/>
        <v>-16.742935323400001</v>
      </c>
      <c r="L87" s="385" t="s">
        <v>214</v>
      </c>
    </row>
    <row r="88" spans="7:12" x14ac:dyDescent="0.25">
      <c r="G88" s="385" t="s">
        <v>128</v>
      </c>
      <c r="H88" s="385">
        <v>97</v>
      </c>
      <c r="I88" s="385" t="s">
        <v>215</v>
      </c>
      <c r="J88" s="387">
        <f>OtherTourDestination!E96</f>
        <v>-6.97234539975</v>
      </c>
      <c r="K88" s="430">
        <f t="shared" si="4"/>
        <v>-6.97234539975</v>
      </c>
      <c r="L88" s="385" t="s">
        <v>216</v>
      </c>
    </row>
    <row r="89" spans="7:12" x14ac:dyDescent="0.25">
      <c r="G89" s="385" t="s">
        <v>128</v>
      </c>
      <c r="H89" s="385">
        <v>98</v>
      </c>
      <c r="I89" s="385" t="s">
        <v>217</v>
      </c>
      <c r="J89" s="387">
        <f>OtherTourDestination!E97</f>
        <v>-10.7755348742</v>
      </c>
      <c r="K89" s="430">
        <f t="shared" si="4"/>
        <v>-10.7755348742</v>
      </c>
      <c r="L89" s="385" t="s">
        <v>202</v>
      </c>
    </row>
    <row r="90" spans="7:12" x14ac:dyDescent="0.25">
      <c r="G90" s="385" t="s">
        <v>128</v>
      </c>
      <c r="H90" s="385">
        <v>99</v>
      </c>
      <c r="I90" s="385" t="s">
        <v>218</v>
      </c>
      <c r="J90" s="387">
        <f>OtherTourDestination!E98</f>
        <v>-11.547846395100001</v>
      </c>
      <c r="K90" s="430">
        <f t="shared" si="4"/>
        <v>-11.547846395100001</v>
      </c>
      <c r="L90" s="385" t="s">
        <v>204</v>
      </c>
    </row>
    <row r="91" spans="7:12" x14ac:dyDescent="0.25">
      <c r="G91" s="385" t="s">
        <v>128</v>
      </c>
      <c r="H91" s="385">
        <v>100</v>
      </c>
      <c r="I91" s="385" t="s">
        <v>219</v>
      </c>
      <c r="J91" s="387">
        <f>OtherTourDestination!E99</f>
        <v>0</v>
      </c>
      <c r="K91" s="430">
        <f t="shared" si="4"/>
        <v>0</v>
      </c>
      <c r="L91" s="385" t="s">
        <v>206</v>
      </c>
    </row>
    <row r="92" spans="7:12" x14ac:dyDescent="0.25">
      <c r="G92" s="385" t="s">
        <v>138</v>
      </c>
      <c r="H92" s="385">
        <v>101</v>
      </c>
      <c r="I92" s="385" t="s">
        <v>220</v>
      </c>
      <c r="J92" s="387">
        <f>OtherTourDestination!E100</f>
        <v>-11.0962758301</v>
      </c>
      <c r="K92" s="430">
        <f t="shared" si="4"/>
        <v>-11.0962758301</v>
      </c>
      <c r="L92" s="385" t="s">
        <v>208</v>
      </c>
    </row>
    <row r="93" spans="7:12" x14ac:dyDescent="0.25">
      <c r="G93" s="385" t="s">
        <v>138</v>
      </c>
      <c r="H93" s="385">
        <v>102</v>
      </c>
      <c r="I93" s="385" t="s">
        <v>221</v>
      </c>
      <c r="J93" s="387">
        <f>OtherTourDestination!E101</f>
        <v>0</v>
      </c>
      <c r="K93" s="430">
        <f t="shared" si="4"/>
        <v>0</v>
      </c>
      <c r="L93" s="385" t="s">
        <v>202</v>
      </c>
    </row>
    <row r="94" spans="7:12" x14ac:dyDescent="0.25">
      <c r="G94" s="385" t="s">
        <v>138</v>
      </c>
      <c r="H94" s="385">
        <v>103</v>
      </c>
      <c r="I94" s="385" t="s">
        <v>222</v>
      </c>
      <c r="J94" s="387">
        <f>OtherTourDestination!E102</f>
        <v>-12.7257909892</v>
      </c>
      <c r="K94" s="430">
        <f t="shared" si="4"/>
        <v>-12.7257909892</v>
      </c>
      <c r="L94" s="385" t="s">
        <v>204</v>
      </c>
    </row>
    <row r="95" spans="7:12" x14ac:dyDescent="0.25">
      <c r="G95" s="385" t="s">
        <v>138</v>
      </c>
      <c r="H95" s="385">
        <v>104</v>
      </c>
      <c r="I95" s="385" t="s">
        <v>223</v>
      </c>
      <c r="J95" s="387">
        <f>OtherTourDestination!E103</f>
        <v>-12.5271034041</v>
      </c>
      <c r="K95" s="430">
        <f t="shared" si="4"/>
        <v>-12.5271034041</v>
      </c>
      <c r="L95" s="385" t="s">
        <v>206</v>
      </c>
    </row>
    <row r="96" spans="7:12" x14ac:dyDescent="0.25">
      <c r="G96" s="385" t="s">
        <v>150</v>
      </c>
      <c r="H96" s="385">
        <v>105</v>
      </c>
      <c r="I96" s="385" t="s">
        <v>224</v>
      </c>
      <c r="J96" s="387">
        <f>OtherTourDestination!E104</f>
        <v>-21.008822510800002</v>
      </c>
      <c r="K96" s="430">
        <f t="shared" si="4"/>
        <v>-21.008822510800002</v>
      </c>
      <c r="L96" s="385" t="s">
        <v>208</v>
      </c>
    </row>
    <row r="97" spans="7:12" x14ac:dyDescent="0.25">
      <c r="G97" s="385" t="s">
        <v>150</v>
      </c>
      <c r="H97" s="385">
        <v>106</v>
      </c>
      <c r="I97" s="385" t="s">
        <v>225</v>
      </c>
      <c r="J97" s="387">
        <f>OtherTourDestination!E105</f>
        <v>-1.63176275226</v>
      </c>
      <c r="K97" s="430">
        <f t="shared" si="4"/>
        <v>-1.63176275226</v>
      </c>
      <c r="L97" s="385" t="s">
        <v>202</v>
      </c>
    </row>
    <row r="98" spans="7:12" x14ac:dyDescent="0.25">
      <c r="G98" s="385" t="s">
        <v>150</v>
      </c>
      <c r="H98" s="385">
        <v>107</v>
      </c>
      <c r="I98" s="385" t="s">
        <v>226</v>
      </c>
      <c r="J98" s="387">
        <f>OtherTourDestination!E106</f>
        <v>-4.6653914733199997</v>
      </c>
      <c r="K98" s="430">
        <f t="shared" si="4"/>
        <v>-4.6653914733199997</v>
      </c>
      <c r="L98" s="385" t="s">
        <v>227</v>
      </c>
    </row>
    <row r="99" spans="7:12" x14ac:dyDescent="0.25">
      <c r="G99" s="385" t="s">
        <v>150</v>
      </c>
      <c r="H99" s="385">
        <v>108</v>
      </c>
      <c r="I99" s="385" t="s">
        <v>228</v>
      </c>
      <c r="J99" s="387">
        <f>OtherTourDestination!E107</f>
        <v>-7.5050624753099999</v>
      </c>
      <c r="K99" s="430">
        <f t="shared" si="4"/>
        <v>-7.5050624753099999</v>
      </c>
      <c r="L99" s="385" t="s">
        <v>204</v>
      </c>
    </row>
    <row r="100" spans="7:12" x14ac:dyDescent="0.25">
      <c r="G100" s="385" t="s">
        <v>150</v>
      </c>
      <c r="H100" s="385">
        <v>109</v>
      </c>
      <c r="I100" s="385" t="s">
        <v>229</v>
      </c>
      <c r="J100" s="387">
        <f>OtherTourDestination!E108</f>
        <v>-7.2217481188799999</v>
      </c>
      <c r="K100" s="430">
        <f t="shared" si="4"/>
        <v>-7.2217481188799999</v>
      </c>
      <c r="L100" s="385" t="s">
        <v>206</v>
      </c>
    </row>
    <row r="101" spans="7:12" x14ac:dyDescent="0.25">
      <c r="G101" s="385" t="s">
        <v>150</v>
      </c>
      <c r="H101" s="385">
        <v>110</v>
      </c>
      <c r="I101" s="385" t="s">
        <v>230</v>
      </c>
      <c r="J101" s="387">
        <f>OtherTourDestination!E109</f>
        <v>-3.4793464222399999</v>
      </c>
      <c r="K101" s="430">
        <f t="shared" si="4"/>
        <v>-3.4793464222399999</v>
      </c>
      <c r="L101" s="385" t="s">
        <v>208</v>
      </c>
    </row>
    <row r="102" spans="7:12" x14ac:dyDescent="0.25">
      <c r="G102" s="385" t="s">
        <v>150</v>
      </c>
      <c r="H102" s="385">
        <v>111</v>
      </c>
      <c r="I102" s="385" t="s">
        <v>231</v>
      </c>
      <c r="J102" s="387">
        <f>OtherTourDestination!E110</f>
        <v>0</v>
      </c>
      <c r="K102" s="430">
        <f t="shared" si="4"/>
        <v>0</v>
      </c>
      <c r="L102" s="385" t="s">
        <v>214</v>
      </c>
    </row>
    <row r="103" spans="7:12" x14ac:dyDescent="0.25">
      <c r="G103" s="385" t="s">
        <v>150</v>
      </c>
      <c r="H103" s="385">
        <v>112</v>
      </c>
      <c r="I103" s="385" t="s">
        <v>232</v>
      </c>
      <c r="J103" s="387">
        <f>OtherTourDestination!E111</f>
        <v>0</v>
      </c>
      <c r="K103" s="430">
        <f t="shared" si="4"/>
        <v>0</v>
      </c>
      <c r="L103" s="385" t="s">
        <v>233</v>
      </c>
    </row>
    <row r="104" spans="7:12" x14ac:dyDescent="0.25">
      <c r="G104" s="385" t="s">
        <v>150</v>
      </c>
      <c r="H104" s="385">
        <v>113</v>
      </c>
      <c r="I104" s="385" t="s">
        <v>234</v>
      </c>
      <c r="J104" s="387">
        <f>OtherTourDestination!E112</f>
        <v>-2.23577200178</v>
      </c>
      <c r="K104" s="430">
        <f t="shared" si="4"/>
        <v>-2.23577200178</v>
      </c>
      <c r="L104" s="385" t="s">
        <v>216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TLFD</vt:lpstr>
      <vt:lpstr>TDFD</vt:lpstr>
      <vt:lpstr>County_Flow</vt:lpstr>
      <vt:lpstr>Documentation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2017-04-27T22:22:33Z</dcterms:modified>
</cp:coreProperties>
</file>