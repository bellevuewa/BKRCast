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activeTab="6" firstSheet="1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6" l="1" r="D6"/>
  <c i="6" r="D7"/>
  <c i="6" r="G6"/>
  <c i="6" r="G7"/>
  <c i="6" l="1" r="B34"/>
  <c i="6" r="B44" s="1"/>
  <c i="6" r="B35"/>
  <c i="6" r="B45" s="1"/>
  <c i="6" r="B33"/>
  <c i="6" r="B43" s="1"/>
  <c i="6" r="N4"/>
  <c i="6" r="M4" s="1"/>
  <c i="6" r="O4"/>
  <c i="6" r="P4"/>
  <c i="6" r="N5"/>
  <c i="6" r="M5" s="1"/>
  <c i="6" r="O5"/>
  <c i="6" r="P5"/>
  <c i="6" r="N6"/>
  <c i="6" r="M6" s="1"/>
  <c i="6" r="O6"/>
  <c i="6" r="P6"/>
  <c i="6" r="N7"/>
  <c i="6" r="M7" s="1"/>
  <c i="6" r="O7"/>
  <c i="6" r="P7"/>
  <c i="6" r="N8"/>
  <c i="6" r="M8" s="1"/>
  <c i="6" r="O8"/>
  <c i="6" r="P8"/>
  <c i="6" r="N9"/>
  <c i="6" r="M9" s="1"/>
  <c i="6" r="O9"/>
  <c i="6" r="P9"/>
  <c i="6" r="N10"/>
  <c i="6" r="M10" s="1"/>
  <c i="6" r="O10"/>
  <c i="6" r="P10"/>
  <c i="6" r="N11"/>
  <c i="6" r="M11" s="1"/>
  <c i="6" r="O11"/>
  <c i="6" r="P11"/>
  <c i="6" r="N12"/>
  <c i="6" r="M12" s="1"/>
  <c i="6" r="O12"/>
  <c i="6" r="P12"/>
  <c i="6" r="N13"/>
  <c i="6" r="M13" s="1"/>
  <c i="6" r="O13"/>
  <c i="6" r="P13"/>
  <c i="6" r="N14"/>
  <c i="6" r="M14" s="1"/>
  <c i="6" r="O14"/>
  <c i="6" r="P14"/>
  <c i="6" r="N15"/>
  <c i="6" r="M15" s="1"/>
  <c i="6" r="O15"/>
  <c i="6" r="P15"/>
  <c i="6" r="N16"/>
  <c i="6" r="O16"/>
  <c i="6" r="P16"/>
  <c i="6" r="N17"/>
  <c i="6" r="M17" s="1"/>
  <c i="6" r="O17"/>
  <c i="6" r="P17"/>
  <c i="6" r="N18"/>
  <c i="6" r="M18" s="1"/>
  <c i="6" r="O18"/>
  <c i="6" r="P18"/>
  <c i="6" r="N19"/>
  <c i="6" r="O19"/>
  <c i="6" r="P19"/>
  <c i="6" r="N20"/>
  <c i="6" r="M20" s="1"/>
  <c i="6" r="O20"/>
  <c i="6" r="P20"/>
  <c i="6" r="N21"/>
  <c i="6" r="M21" s="1"/>
  <c i="6" r="O21"/>
  <c i="6" r="P21"/>
  <c i="6" r="N22"/>
  <c i="6" r="O22"/>
  <c i="6" r="P22"/>
  <c i="6" r="N23"/>
  <c i="6" r="M23" s="1"/>
  <c i="6" r="O23"/>
  <c i="6" r="P23"/>
  <c i="6" r="N24"/>
  <c i="6" r="M24" s="1"/>
  <c i="6" r="O24"/>
  <c i="6" r="P24"/>
  <c i="6" r="N25"/>
  <c i="6" r="M25" s="1"/>
  <c i="6" r="O25"/>
  <c i="6" r="P25"/>
  <c i="6" r="N26"/>
  <c i="6" r="M26" s="1"/>
  <c i="6" r="O26"/>
  <c i="6" r="P26"/>
  <c i="6" r="N27"/>
  <c i="6" r="M27" s="1"/>
  <c i="6" r="O27"/>
  <c i="6" r="P27"/>
  <c i="6" r="N28"/>
  <c i="6" r="M28" s="1"/>
  <c i="6" r="O28"/>
  <c i="6" r="P28"/>
  <c i="6" r="N29"/>
  <c i="6" r="M29" s="1"/>
  <c i="6" r="O29"/>
  <c i="6" r="P29"/>
  <c i="6" r="N30"/>
  <c i="6" r="M30" s="1"/>
  <c i="6" r="O30"/>
  <c i="6" r="P30"/>
  <c i="6" r="N31"/>
  <c i="6" r="M31" s="1"/>
  <c i="6" r="O31"/>
  <c i="6" r="P31"/>
  <c i="6" r="N32"/>
  <c i="6" r="M32" s="1"/>
  <c i="6" r="O32"/>
  <c i="6" r="P32"/>
  <c i="6" r="N33"/>
  <c i="6" r="O33"/>
  <c i="6" r="P33"/>
  <c i="6" r="N34"/>
  <c i="6" r="O34"/>
  <c i="6" r="P34"/>
  <c i="6" r="N35"/>
  <c i="6" r="O35"/>
  <c i="6" r="P35"/>
  <c i="6" r="N36"/>
  <c i="6" r="M36" s="1"/>
  <c i="6" r="O36"/>
  <c i="6" r="P36"/>
  <c i="6" r="N37"/>
  <c i="6" r="M37" s="1"/>
  <c i="6" r="O37"/>
  <c i="6" r="P37"/>
  <c i="6" r="N38"/>
  <c i="6" r="M38" s="1"/>
  <c i="6" r="O38"/>
  <c i="6" r="P38"/>
  <c i="6" r="N39"/>
  <c i="6" r="M39" s="1"/>
  <c i="6" r="O39"/>
  <c i="6" r="P39"/>
  <c i="6" r="N40"/>
  <c i="6" r="M40" s="1"/>
  <c i="6" r="O40"/>
  <c i="6" r="P40"/>
  <c i="6" r="N41"/>
  <c i="6" r="M41" s="1"/>
  <c i="6" r="O41"/>
  <c i="6" r="P41"/>
  <c i="6" r="N42"/>
  <c i="6" r="M42" s="1"/>
  <c i="6" r="O42"/>
  <c i="6" r="P42"/>
  <c i="6" r="N43"/>
  <c i="6" r="M43" s="1"/>
  <c i="6" r="O43"/>
  <c i="6" r="P43"/>
  <c i="6" r="N44"/>
  <c i="6" r="M44" s="1"/>
  <c i="6" r="O44"/>
  <c i="6" r="P44"/>
  <c i="6" r="N45"/>
  <c i="6" r="M45" s="1"/>
  <c i="6" r="O45"/>
  <c i="6" r="P45"/>
  <c i="6" r="N46"/>
  <c i="6" r="M46" s="1"/>
  <c i="6" r="O46"/>
  <c i="6" r="P46"/>
  <c i="6" r="N47"/>
  <c i="6" r="O47"/>
  <c i="6" r="P47"/>
  <c i="6" r="N48"/>
  <c i="6" r="M48" s="1"/>
  <c i="6" r="O48"/>
  <c i="6" r="P48"/>
  <c i="6" r="N49"/>
  <c i="6" r="M49" s="1"/>
  <c i="6" r="O49"/>
  <c i="6" r="P49"/>
  <c i="6" r="N50"/>
  <c i="6" r="M50" s="1"/>
  <c i="6" r="O50"/>
  <c i="6" r="P50"/>
  <c i="6" r="N51"/>
  <c i="6" r="M51" s="1"/>
  <c i="6" r="O51"/>
  <c i="6" r="P51"/>
  <c i="6" r="N52"/>
  <c i="6" r="M52" s="1"/>
  <c i="6" r="O52"/>
  <c i="6" r="P52"/>
  <c i="6" r="N53"/>
  <c i="6" r="M53" s="1"/>
  <c i="6" r="O53"/>
  <c i="6" r="P53"/>
  <c i="6" r="N54"/>
  <c i="6" r="M54" s="1"/>
  <c i="6" r="O54"/>
  <c i="6" r="P54"/>
  <c i="6" r="N55"/>
  <c i="6" r="M55" s="1"/>
  <c i="6" r="O55"/>
  <c i="6" r="P55"/>
  <c i="6" r="N56"/>
  <c i="6" r="M56" s="1"/>
  <c i="6" r="O56"/>
  <c i="6" r="P56"/>
  <c i="6" r="N57"/>
  <c i="6" r="M57" s="1"/>
  <c i="6" r="O57"/>
  <c i="6" r="P57"/>
  <c i="6" r="N58"/>
  <c i="6" r="M58" s="1"/>
  <c i="6" r="O58"/>
  <c i="6" r="P58"/>
  <c i="6" r="N59"/>
  <c i="6" r="M59" s="1"/>
  <c i="6" r="O59"/>
  <c i="6" r="P59"/>
  <c i="6" r="N60"/>
  <c i="6" r="M60" s="1"/>
  <c i="6" r="O60"/>
  <c i="6" r="P60"/>
  <c i="6" r="N61"/>
  <c i="6" r="M61" s="1"/>
  <c i="6" r="O61"/>
  <c i="6" r="P61"/>
  <c i="6" r="N62"/>
  <c i="6" r="O62"/>
  <c i="6" r="P62"/>
  <c i="6" r="N63"/>
  <c i="6" r="O63"/>
  <c i="6" r="P63"/>
  <c i="6" r="N64"/>
  <c i="6" r="M64" s="1"/>
  <c i="6" r="O64"/>
  <c i="6" r="P64"/>
  <c i="6" r="N65"/>
  <c i="6" r="M65" s="1"/>
  <c i="6" r="O65"/>
  <c i="6" r="P65"/>
  <c i="6" r="N66"/>
  <c i="6" r="M66" s="1"/>
  <c i="6" r="O66"/>
  <c i="6" r="P66"/>
  <c i="6" r="N67"/>
  <c i="6" r="M67" s="1"/>
  <c i="6" r="O67"/>
  <c i="6" r="P67"/>
  <c i="6" r="N68"/>
  <c i="6" r="M68" s="1"/>
  <c i="6" r="O68"/>
  <c i="6" r="P68"/>
  <c i="6" r="N69"/>
  <c i="6" r="M69" s="1"/>
  <c i="6" r="O69"/>
  <c i="6" r="P69"/>
  <c i="6" r="N70"/>
  <c i="6" r="M70" s="1"/>
  <c i="6" r="O70"/>
  <c i="6" r="P70"/>
  <c i="6" r="N71"/>
  <c i="6" r="M71" s="1"/>
  <c i="6" r="O71"/>
  <c i="6" r="P71"/>
  <c i="6" r="N72"/>
  <c i="6" r="M72" s="1"/>
  <c i="6" r="O72"/>
  <c i="6" r="P72"/>
  <c i="6" r="N73"/>
  <c i="6" r="M73" s="1"/>
  <c i="6" r="O73"/>
  <c i="6" r="P73"/>
  <c i="6" r="N74"/>
  <c i="6" r="M74" s="1"/>
  <c i="6" r="O74"/>
  <c i="6" r="P74"/>
  <c i="6" r="N75"/>
  <c i="6" r="M75" s="1"/>
  <c i="6" r="O75"/>
  <c i="6" r="P75"/>
  <c i="6" r="N76"/>
  <c i="6" r="M76" s="1"/>
  <c i="6" r="O76"/>
  <c i="6" r="P76"/>
  <c i="6" r="N77"/>
  <c i="6" r="M77" s="1"/>
  <c i="6" r="O77"/>
  <c i="6" r="P77"/>
  <c i="6" r="N78"/>
  <c i="6" r="M78" s="1"/>
  <c i="6" r="O78"/>
  <c i="6" r="P78"/>
  <c i="6" r="N79"/>
  <c i="6" r="M79" s="1"/>
  <c i="6" r="O79"/>
  <c i="6" r="P79"/>
  <c i="6" r="N80"/>
  <c i="6" r="M80" s="1"/>
  <c i="6" r="O80"/>
  <c i="6" r="P80"/>
  <c i="6" r="N81"/>
  <c i="6" r="M81" s="1"/>
  <c i="6" r="O81"/>
  <c i="6" r="P81"/>
  <c i="6" r="N82"/>
  <c i="6" r="M82" s="1"/>
  <c i="6" r="O82"/>
  <c i="6" r="P82"/>
  <c i="6" r="N83"/>
  <c i="6" r="O83"/>
  <c i="6" r="P83"/>
  <c i="6" r="N84"/>
  <c i="6" r="M84" s="1"/>
  <c i="6" r="O84"/>
  <c i="6" r="P84"/>
  <c i="6" r="N85"/>
  <c i="6" r="M85" s="1"/>
  <c i="6" r="O85"/>
  <c i="6" r="P85"/>
  <c i="6" r="N86"/>
  <c i="6" r="M86" s="1"/>
  <c i="6" r="O86"/>
  <c i="6" r="P86"/>
  <c i="6" r="N87"/>
  <c i="6" r="M87" s="1"/>
  <c i="6" r="O87"/>
  <c i="6" r="P87"/>
  <c i="6" r="N88"/>
  <c i="6" r="O88"/>
  <c i="6" r="P88"/>
  <c i="6" r="N89"/>
  <c i="6" r="M89" s="1"/>
  <c i="6" r="O89"/>
  <c i="6" r="P89"/>
  <c i="6" r="N90"/>
  <c i="6" r="M90" s="1"/>
  <c i="6" r="O90"/>
  <c i="6" r="P90"/>
  <c i="6" r="N91"/>
  <c i="6" r="M91" s="1"/>
  <c i="6" r="O91"/>
  <c i="6" r="P91"/>
  <c i="6" r="N92"/>
  <c i="6" r="M92" s="1"/>
  <c i="6" r="O92"/>
  <c i="6" r="P92"/>
  <c i="6" r="N93"/>
  <c i="6" r="M93" s="1"/>
  <c i="6" r="O93"/>
  <c i="6" r="P93"/>
  <c i="6" r="N94"/>
  <c i="6" r="M94" s="1"/>
  <c i="6" r="O94"/>
  <c i="6" r="P94"/>
  <c i="6" r="N95"/>
  <c i="6" r="M95" s="1"/>
  <c i="6" r="O95"/>
  <c i="6" r="P95"/>
  <c i="6" r="N96"/>
  <c i="6" r="M96" s="1"/>
  <c i="6" r="O96"/>
  <c i="6" r="P96"/>
  <c i="6" r="N97"/>
  <c i="6" r="M97" s="1"/>
  <c i="6" r="O97"/>
  <c i="6" r="P97"/>
  <c i="6" r="N98"/>
  <c i="6" r="M98" s="1"/>
  <c i="6" r="O98"/>
  <c i="6" r="P98"/>
  <c i="6" r="N99"/>
  <c i="6" r="M99" s="1"/>
  <c i="6" r="O99"/>
  <c i="6" r="P99"/>
  <c i="6" r="N100"/>
  <c i="6" r="M100" s="1"/>
  <c i="6" r="O100"/>
  <c i="6" r="P100"/>
  <c i="6" r="N101"/>
  <c i="6" r="M101" s="1"/>
  <c i="6" r="O101"/>
  <c i="6" r="P101"/>
  <c i="6" r="N102"/>
  <c i="6" r="M102" s="1"/>
  <c i="6" r="O102"/>
  <c i="6" r="P102"/>
  <c i="6" r="N103"/>
  <c i="6" r="M103" s="1"/>
  <c i="6" r="O103"/>
  <c i="6" r="P103"/>
  <c i="6" r="N104"/>
  <c i="6" r="M104" s="1"/>
  <c i="6" r="O104"/>
  <c i="6" r="P104"/>
  <c i="6" r="P3"/>
  <c i="6" r="O3"/>
  <c i="6" r="N3"/>
  <c i="6" r="M3" s="1"/>
  <c i="6" l="1" r="Q8"/>
  <c i="6" r="R23"/>
  <c i="6" r="Q34"/>
  <c i="6" r="Q19"/>
  <c i="6" r="Q16"/>
  <c i="6" r="Q63"/>
  <c i="6" r="Q47"/>
  <c i="6" r="Q83"/>
  <c i="6" r="R25"/>
  <c i="6" r="Q35"/>
  <c i="6" r="Q33"/>
  <c i="6" r="Q88"/>
  <c i="6" r="R24"/>
  <c i="6" r="Q49"/>
  <c i="6" r="Q44"/>
  <c i="6" r="Q22"/>
  <c i="6" r="Q62"/>
  <c i="6" r="M33"/>
  <c i="6" r="M34"/>
  <c i="6" r="M35"/>
  <c i="6" r="M47"/>
  <c i="6" r="M83"/>
  <c i="6" r="Q60"/>
  <c i="6" r="Q84"/>
  <c i="6" r="M88"/>
  <c i="6" r="Q3"/>
  <c i="6" r="Q36"/>
  <c i="6" r="Q48"/>
  <c i="6" r="Q50"/>
  <c i="6" r="Q51"/>
  <c i="6" r="Q56"/>
  <c i="6" r="Q57"/>
  <c i="6" r="M16"/>
  <c i="6" r="M19"/>
  <c i="6" r="Q90"/>
  <c i="6" r="Q80"/>
  <c i="6" r="M62"/>
  <c i="6" r="Q81"/>
  <c i="6" r="M63"/>
  <c i="6" r="Q82"/>
  <c i="6" r="Q45"/>
  <c i="6" r="Q85"/>
  <c i="6" r="Q46"/>
  <c i="6" r="Q86"/>
  <c i="6" r="Q87"/>
  <c i="6" r="M22"/>
  <c i="6" r="D23"/>
  <c i="6" r="Q58"/>
  <c i="6" r="D25"/>
  <c i="6" r="Q17"/>
  <c i="6" r="Q59"/>
  <c i="6" r="D24"/>
  <c i="6" r="Q104"/>
  <c i="6" r="Q18"/>
  <c i="6" r="Q61"/>
  <c i="6" r="Q20"/>
  <c i="6" r="Q72"/>
  <c i="6" r="Q26"/>
  <c i="6" r="Q73"/>
  <c i="6" r="Q27"/>
  <c i="6" r="Q74"/>
  <c i="6" r="Q21"/>
  <c i="6" r="Q32"/>
  <c i="6" r="Q75"/>
  <c i="6" r="Q89"/>
  <c i="6" r="Q91"/>
  <c i="6" r="Q64"/>
  <c i="6" r="Q92"/>
  <c i="6" r="Q9"/>
  <c i="6" r="Q37"/>
  <c i="6" r="Q65"/>
  <c i="6" r="Q93"/>
  <c i="6" r="Q10"/>
  <c i="6" r="Q38"/>
  <c i="6" r="Q66"/>
  <c i="6" r="Q94"/>
  <c i="6" r="Q11"/>
  <c i="6" r="Q39"/>
  <c i="6" r="Q67"/>
  <c i="6" r="Q95"/>
  <c i="6" r="Q12"/>
  <c i="6" r="Q40"/>
  <c i="6" r="Q68"/>
  <c i="6" r="Q96"/>
  <c i="6" r="Q13"/>
  <c i="6" r="Q41"/>
  <c i="6" r="Q69"/>
  <c i="6" r="Q97"/>
  <c i="6" r="Q14"/>
  <c i="6" r="Q42"/>
  <c i="6" r="Q70"/>
  <c i="6" r="Q98"/>
  <c i="6" r="Q15"/>
  <c i="6" r="Q43"/>
  <c i="6" r="Q71"/>
  <c i="6" r="Q99"/>
  <c i="6" r="Q4"/>
  <c i="6" r="Q28"/>
  <c i="6" r="Q52"/>
  <c i="6" r="Q76"/>
  <c i="6" r="Q100"/>
  <c i="6" r="Q5"/>
  <c i="6" r="Q29"/>
  <c i="6" r="Q53"/>
  <c i="6" r="Q77"/>
  <c i="6" r="Q101"/>
  <c i="6" r="Q6"/>
  <c i="6" r="Q30"/>
  <c i="6" r="Q54"/>
  <c i="6" r="Q78"/>
  <c i="6" r="Q102"/>
  <c i="6" r="Q7"/>
  <c i="6" r="Q31"/>
  <c i="6" r="Q55"/>
  <c i="6" r="Q79"/>
  <c i="6" r="Q103"/>
  <c i="1" r="S20"/>
  <c i="1" r="S21"/>
  <c i="1" r="S22"/>
  <c i="1" r="S23"/>
  <c i="1" r="S24"/>
  <c i="1" r="S25"/>
  <c i="1" r="S26"/>
  <c i="1" r="L13"/>
  <c i="1" r="H6"/>
  <c i="6" l="1" r="G5"/>
  <c i="6" r="D5"/>
  <c i="6" r="G4"/>
  <c i="6" r="D4"/>
  <c i="6" l="1" r="G8"/>
  <c i="6" r="G12" s="1"/>
  <c i="6" r="D8"/>
  <c i="6" r="D14" s="1"/>
  <c i="1" r="J13"/>
  <c i="1" r="H15"/>
  <c i="1" r="U13"/>
  <c i="1" r="S15"/>
  <c i="6" l="1" r="G13"/>
  <c i="6" r="G15"/>
  <c i="6" r="G14"/>
  <c i="6" r="G16"/>
  <c i="1" r="D26"/>
  <c i="1" r="H26"/>
  <c i="1" r="B26"/>
  <c i="1" r="E26"/>
  <c i="1" r="F26"/>
  <c i="1" r="C26"/>
  <c i="1" r="G26"/>
  <c i="6" r="D16"/>
  <c i="6" r="D13"/>
  <c i="6" r="D12"/>
  <c i="6" r="I12" s="1"/>
  <c i="6" r="J12" s="1"/>
  <c i="6" r="D15"/>
  <c i="1" r="U26"/>
  <c i="1" r="S28"/>
  <c i="1" r="N26"/>
  <c i="1" r="O26"/>
  <c i="1" r="P26"/>
  <c i="1" r="Q26"/>
  <c i="1" r="R26"/>
  <c i="1" r="M26"/>
  <c i="1" r="W39"/>
  <c i="1" r="L39"/>
  <c i="1" r="A39"/>
  <c i="1" r="L26"/>
  <c i="1" r="A26"/>
  <c i="1" r="AD32"/>
  <c i="1" r="S32"/>
  <c i="1" r="H32"/>
  <c i="1" r="S19"/>
  <c i="1" r="H19"/>
  <c i="1" r="S6"/>
  <c i="6" l="1" r="K12"/>
  <c i="6" r="D33" s="1"/>
  <c i="6" r="D43" s="1"/>
  <c i="6" r="Q23" s="1"/>
  <c i="6" r="I13"/>
  <c i="6" r="J13" s="1"/>
  <c i="6" r="I15"/>
  <c i="6" r="J14" s="1"/>
  <c i="6" r="K14" s="1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K13"/>
  <c i="6" r="D34" s="1"/>
  <c i="6" r="D44" s="1"/>
  <c i="6" r="Q24" s="1"/>
  <c i="6" r="D35"/>
  <c i="6" r="D45" s="1"/>
  <c i="6" r="Q25" s="1"/>
  <c i="1" r="Q15"/>
  <c i="1" r="Q28" s="1"/>
  <c i="1" r="R15"/>
  <c i="1" r="R28" s="1"/>
  <c i="1" r="U10"/>
  <c i="1" r="U11"/>
  <c i="1" r="U12"/>
  <c i="1" r="J10"/>
  <c i="1" r="G23" s="1"/>
  <c i="1" r="J11"/>
  <c i="1" r="J12"/>
  <c i="1" r="F15"/>
  <c i="1" r="G15"/>
  <c i="1" l="1" r="H24"/>
  <c i="1" r="H25"/>
  <c i="1" r="H23"/>
  <c i="1" r="G25"/>
  <c i="1" r="G24"/>
  <c i="1" r="U25"/>
  <c i="1" r="R25"/>
  <c i="1" r="Q25"/>
  <c i="1" r="P25"/>
  <c i="1" r="O25"/>
  <c i="1" r="N25"/>
  <c i="1" r="M25"/>
  <c i="1" r="F25"/>
  <c i="1" r="E25"/>
  <c i="1" r="D25"/>
  <c i="1" r="C25"/>
  <c i="1" r="B25"/>
  <c i="1" r="U24"/>
  <c i="1" r="R24"/>
  <c i="1" r="Q24"/>
  <c i="1" r="P24"/>
  <c i="1" r="O24"/>
  <c i="1" r="N24"/>
  <c i="1" r="M24"/>
  <c i="1" r="F24"/>
  <c i="1" r="E24"/>
  <c i="1" r="D24"/>
  <c i="1" r="C24"/>
  <c i="1" r="B24"/>
  <c i="1" r="U23"/>
  <c i="1" r="R23"/>
  <c i="1" r="Q23"/>
  <c i="1" r="P23"/>
  <c i="1" r="O23"/>
  <c i="1" r="N23"/>
  <c i="1" r="M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H22" s="1"/>
  <c i="1" r="J9"/>
  <c i="1" r="U8"/>
  <c i="1" r="J8"/>
  <c i="1" r="U7"/>
  <c i="1" r="J7"/>
  <c i="4" r="F102"/>
  <c i="4" r="G101" s="1"/>
  <c i="4" r="B102"/>
  <c i="4" r="C100" s="1"/>
  <c i="3" r="F102"/>
  <c i="3" r="G102" s="1"/>
  <c i="3" r="B102"/>
  <c i="3" r="C13" s="1"/>
  <c i="1" l="1" r="H20"/>
  <c i="1" r="H21"/>
  <c i="1" r="J23"/>
  <c i="1" r="J25"/>
  <c i="1" r="J24"/>
  <c i="1" r="U20"/>
  <c i="1" r="U21"/>
  <c i="1" r="G21"/>
  <c i="1" r="J27"/>
  <c i="1" r="G22"/>
  <c i="1" r="F21"/>
  <c i="1" r="G20"/>
  <c i="1" r="G28" s="1"/>
  <c i="1" r="B20"/>
  <c i="1" r="C20"/>
  <c i="1" r="D20"/>
  <c i="1" r="E20"/>
  <c i="1" r="F20"/>
  <c i="1" r="D21"/>
  <c i="1" r="E21"/>
  <c i="1" r="J15"/>
  <c i="1" r="C21"/>
  <c i="1" r="C22"/>
  <c i="1" r="D22"/>
  <c i="1" r="E22"/>
  <c i="1" r="F22"/>
  <c i="1" r="U15"/>
  <c i="1" r="U28" s="1"/>
  <c i="1" r="U22"/>
  <c i="1" r="B21"/>
  <c i="1" r="B22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1" l="1" r="S33"/>
  <c i="1" r="S34"/>
  <c i="1" r="S35"/>
  <c i="1" r="S36"/>
  <c i="1" r="S38"/>
  <c i="1" r="S39"/>
  <c i="1" r="S37"/>
  <c i="1" r="P39"/>
  <c i="1" r="Q39"/>
  <c i="1" r="N39"/>
  <c i="1" r="R39"/>
  <c i="1" r="M39"/>
  <c i="1" r="O39"/>
  <c i="1" r="J20"/>
  <c i="1" r="H28"/>
  <c i="1" r="I28"/>
  <c i="1" r="S41"/>
  <c i="1" r="U39"/>
  <c i="1" r="C28"/>
  <c i="1" r="F28"/>
  <c i="1" r="R33"/>
  <c i="1" r="R41"/>
  <c i="1" r="Q41"/>
  <c i="1" r="E28"/>
  <c i="1" r="U35"/>
  <c i="1" r="U36"/>
  <c i="1" r="R38"/>
  <c i="1" r="O33"/>
  <c i="1" r="M41"/>
  <c i="1" r="N36"/>
  <c i="1" r="Q33"/>
  <c i="1" r="P33"/>
  <c i="1" r="O36"/>
  <c i="1" r="P35"/>
  <c i="1" r="R37"/>
  <c i="1" r="R35"/>
  <c i="1" r="O35"/>
  <c i="1" r="P37"/>
  <c i="1" r="Q35"/>
  <c i="1" r="N35"/>
  <c i="1" r="Q37"/>
  <c i="1" r="U41"/>
  <c i="1" r="T41"/>
  <c i="1" r="M37"/>
  <c i="1" r="N37"/>
  <c i="1" r="O37"/>
  <c i="1" r="O38"/>
  <c i="1" r="U37"/>
  <c i="1" r="N38"/>
  <c i="1" r="M35"/>
  <c i="1" r="M38"/>
  <c i="1" r="P38"/>
  <c i="1" r="N41"/>
  <c i="1" r="Q36"/>
  <c i="1" r="R34"/>
  <c i="1" r="P41"/>
  <c i="1" r="U38"/>
  <c i="1" r="O34"/>
  <c i="1" r="J21"/>
  <c i="1" r="B28"/>
  <c i="1" r="M36"/>
  <c i="1" r="J22"/>
  <c i="1" r="Q38"/>
  <c i="1" r="O41"/>
  <c i="1" r="D28"/>
  <c i="1" r="U34"/>
  <c i="1" r="P36"/>
  <c i="1" r="Q34"/>
  <c i="1" r="M34"/>
  <c i="1" r="P34"/>
  <c i="1" r="M33"/>
  <c i="1" r="N34"/>
  <c i="1" r="U33"/>
  <c i="1" r="R36"/>
  <c i="1" r="N33"/>
  <c i="1" l="1" r="J28"/>
  <c i="1" r="C35" s="1"/>
  <c i="1" r="Y35" s="1"/>
  <c i="1" r="I41"/>
  <c i="1" r="AE41" s="1"/>
  <c i="1" r="E33"/>
  <c i="1" r="AA33" s="1"/>
  <c i="1" r="C33"/>
  <c i="1" r="Y33" s="1"/>
  <c i="1" r="E38"/>
  <c i="1" r="AA38" s="1"/>
  <c i="1" l="1" r="J37"/>
  <c i="1" r="AF37" s="1"/>
  <c i="1" r="D34"/>
  <c i="1" r="Z34" s="1"/>
  <c i="1" r="C39"/>
  <c i="1" r="Y39" s="1"/>
  <c i="1" r="F39"/>
  <c i="1" r="AB39" s="1"/>
  <c i="1" r="D39"/>
  <c i="1" r="Z39" s="1"/>
  <c i="1" r="E39"/>
  <c i="1" r="AA39" s="1"/>
  <c i="1" r="H39"/>
  <c i="1" r="AD39" s="1"/>
  <c i="1" r="B39"/>
  <c i="1" r="X39" s="1"/>
  <c i="1" r="G39"/>
  <c i="1" r="AC39" s="1"/>
  <c i="1" r="H35"/>
  <c i="1" r="AD35" s="1"/>
  <c i="1" r="H36"/>
  <c i="1" r="AD36" s="1"/>
  <c i="1" r="H38"/>
  <c i="1" r="AD38" s="1"/>
  <c i="1" r="H37"/>
  <c i="1" r="AD37" s="1"/>
  <c i="1" r="H34"/>
  <c i="1" r="AD34" s="1"/>
  <c i="1" r="H33"/>
  <c i="1" r="AD33" s="1"/>
  <c i="1" r="G36"/>
  <c i="1" r="AC36" s="1"/>
  <c i="1" r="D33"/>
  <c i="1" r="Z33" s="1"/>
  <c i="1" r="E35"/>
  <c i="1" r="AA35" s="1"/>
  <c i="1" r="B33"/>
  <c i="1" r="X33" s="1"/>
  <c i="1" r="G33"/>
  <c i="1" r="AC33" s="1"/>
  <c i="1" r="C34"/>
  <c i="1" r="Y34" s="1"/>
  <c i="1" r="G38"/>
  <c i="1" r="AC38" s="1"/>
  <c i="1" r="E41"/>
  <c i="1" r="AA41" s="1"/>
  <c i="1" r="F33"/>
  <c i="1" r="AB33" s="1"/>
  <c i="1" r="G41"/>
  <c i="1" r="AC41" s="1"/>
  <c i="1" r="D35"/>
  <c i="1" r="Z35" s="1"/>
  <c i="1" r="G35"/>
  <c i="1" r="AC35" s="1"/>
  <c i="1" r="F41"/>
  <c i="1" r="AB41" s="1"/>
  <c i="1" r="B41"/>
  <c i="1" r="X41" s="1"/>
  <c i="1" r="J34"/>
  <c i="1" r="AF34" s="1"/>
  <c i="1" r="F35"/>
  <c i="1" r="AB35" s="1"/>
  <c i="1" r="C37"/>
  <c i="1" r="Y37" s="1"/>
  <c i="1" r="B37"/>
  <c i="1" r="X37" s="1"/>
  <c i="1" r="D41"/>
  <c i="1" r="Z41" s="1"/>
  <c i="1" r="B35"/>
  <c i="1" r="X35" s="1"/>
  <c i="1" r="B36"/>
  <c i="1" r="X36" s="1"/>
  <c i="1" r="C41"/>
  <c i="1" r="Y41" s="1"/>
  <c i="1" r="E36"/>
  <c i="1" r="AA36" s="1"/>
  <c i="1" r="F34"/>
  <c i="1" r="AB34" s="1"/>
  <c i="1" r="J40"/>
  <c i="1" r="F36"/>
  <c i="1" r="AB36" s="1"/>
  <c i="1" r="F37"/>
  <c i="1" r="AB37" s="1"/>
  <c i="1" r="D37"/>
  <c i="1" r="Z37" s="1"/>
  <c i="1" r="C38"/>
  <c i="1" r="Y38" s="1"/>
  <c i="1" r="B38"/>
  <c i="1" r="X38" s="1"/>
  <c i="1" r="J33"/>
  <c i="1" r="AF33" s="1"/>
  <c i="1" r="J35"/>
  <c i="1" r="AF35" s="1"/>
  <c i="1" r="J41"/>
  <c i="1" r="AF41" s="1"/>
  <c i="1" r="C36"/>
  <c i="1" r="Y36" s="1"/>
  <c i="1" r="F38"/>
  <c i="1" r="AB38" s="1"/>
  <c i="1" r="G34"/>
  <c i="1" r="AC34" s="1"/>
  <c i="1" r="J39"/>
  <c i="1" r="AF39" s="1"/>
  <c i="1" r="E37"/>
  <c i="1" r="AA37" s="1"/>
  <c i="1" r="J38"/>
  <c i="1" r="AF38" s="1"/>
  <c i="1" r="D36"/>
  <c i="1" r="Z36" s="1"/>
  <c i="1" r="H41"/>
  <c i="1" r="AD41" s="1"/>
  <c i="1" r="B34"/>
  <c i="1" r="X34" s="1"/>
  <c i="1" r="D38"/>
  <c i="1" r="Z38" s="1"/>
  <c i="1" r="J36"/>
  <c i="1" r="AF36" s="1"/>
  <c i="1" r="E34"/>
  <c i="1" r="AA34" s="1"/>
  <c i="1" r="G37"/>
  <c i="1" r="AC37" s="1"/>
</calcChain>
</file>

<file path=xl/sharedStrings.xml><?xml version="1.0" encoding="utf-8"?>
<sst xmlns="http://schemas.openxmlformats.org/spreadsheetml/2006/main" count="717" uniqueCount="288">
  <si>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</si>
  <si>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</si>
  <si>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</si>
  <si>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</si>
  <si>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</si>
  <si>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</si>
  <si>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</si>
  <si>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</si>
  <si>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</si>
  <si>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</si>
  <si>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</si>
  <si>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</si>
  <si>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</si>
  <si>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</si>
  <si>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</si>
  <si>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</si>
  <si>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</si>
  <si>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</si>
  <si>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</si>
  <si>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</si>
  <si>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</si>
  <si>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MD</t>
  </si>
  <si>
    <t>PM</t>
  </si>
  <si>
    <t>EV</t>
  </si>
  <si>
    <t>600-859</t>
  </si>
  <si>
    <t>900-1529</t>
  </si>
  <si>
    <t>1530-1829</t>
  </si>
  <si>
    <t>1830-559</t>
  </si>
  <si>
    <t>Corresponding auto skims (distance and time) were merged in for each tour half using origin-destination TAZs and time period</t>
  </si>
  <si>
    <t>Distributions for work-based tours were generated separately based on three worker classes</t>
  </si>
  <si>
    <t>All work-based tour purposes were included in these distributions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</si>
  <si>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</si>
  <si>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</si>
  <si>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Table X. Estimated Escort Tour Flows by County: DaySim</t>
  </si>
  <si>
    <t>Table X. Observed Trip Lengths: Survey</t>
  </si>
  <si>
    <t>Survey</t>
  </si>
  <si>
    <t>Table X. Observed Trip Durations: Survey</t>
  </si>
  <si>
    <t>Table X. Observed Escort Tour Flows by County: Survey</t>
  </si>
  <si>
    <t>Table X. Adjusted Observed Escort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</si>
  <si>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</si>
  <si>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</si>
  <si>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</si>
  <si>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</si>
  <si>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</si>
  <si>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</si>
  <si>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</si>
  <si>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</si>
  <si>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</si>
  <si>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</si>
  <si>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</si>
  <si>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</si>
  <si>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</si>
  <si>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</si>
  <si>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</si>
  <si>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</si>
  <si>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</si>
  <si>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</si>
  <si>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</si>
  <si>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</si>
  <si>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</si>
  <si>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</si>
  <si>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</si>
  <si>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</si>
  <si>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</si>
  <si>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</si>
  <si>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</si>
  <si>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</si>
  <si>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</si>
  <si>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</si>
  <si>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</si>
  <si>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</si>
  <si>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</si>
  <si>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</si>
  <si>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</si>
  <si>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</si>
  <si>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</si>
  <si>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</si>
  <si>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</si>
  <si>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</si>
  <si>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</si>
  <si>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</si>
  <si>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</si>
  <si>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</si>
  <si>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</si>
  <si>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</si>
  <si>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</si>
  <si>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</si>
  <si>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</si>
  <si>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</si>
  <si>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</si>
  <si>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</si>
  <si>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</si>
  <si>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</si>
  <si>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</si>
  <si>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</si>
  <si>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</si>
  <si>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</si>
  <si>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</si>
  <si>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</si>
  <si>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</si>
  <si>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</si>
  <si>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</si>
  <si>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</si>
  <si>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</si>
  <si>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</si>
  <si>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</si>
  <si>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</si>
  <si>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</si>
  <si>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</si>
  <si>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</si>
  <si>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</si>
  <si>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</si>
  <si>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</si>
  <si>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</si>
  <si>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</si>
  <si>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</si>
  <si>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</si>
  <si>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</si>
  <si>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</si>
  <si>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</si>
  <si>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</si>
  <si>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</si>
  <si>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</si>
  <si>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</si>
  <si>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</si>
  <si>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</si>
  <si>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</si>
  <si>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</si>
  <si>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</si>
  <si>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</si>
  <si>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</si>
  <si>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</si>
  <si>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</si>
  <si>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</si>
  <si>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</si>
  <si>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</si>
  <si>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</si>
  <si>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</si>
  <si>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</si>
  <si>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</si>
  <si>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</si>
  <si>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</si>
  <si>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</si>
  <si>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</si>
  <si>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</si>
  <si>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</si>
  <si>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</si>
  <si>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</si>
  <si>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</si>
  <si>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</si>
  <si>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</si>
  <si>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</si>
  <si>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</si>
  <si>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</si>
  <si>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</si>
  <si>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</si>
  <si>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</si>
  <si>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</si>
  <si>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</si>
  <si>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</si>
  <si>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</si>
  <si>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</si>
  <si>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</si>
  <si>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</si>
  <si>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</si>
  <si>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</si>
  <si>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</si>
  <si>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</si>
  <si>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</si>
  <si>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</si>
  <si>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</si>
  <si>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</si>
  <si>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</si>
  <si>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</si>
  <si>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</si>
  <si>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</si>
  <si>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</si>
  <si>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</si>
  <si>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</si>
  <si>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</si>
  <si>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</si>
  <si>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</si>
  <si>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</si>
  <si>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</si>
  <si>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</si>
  <si>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</si>
  <si>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</si>
  <si>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</si>
  <si>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</si>
  <si>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</si>
  <si>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</si>
  <si>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</si>
  <si>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</si>
  <si>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</si>
  <si>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</si>
  <si>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</si>
  <si>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</si>
  <si>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</si>
  <si>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</si>
  <si>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</si>
  <si>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</si>
  <si>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</si>
  <si>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</si>
  <si>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</si>
  <si>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</si>
  <si>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</si>
  <si>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</si>
  <si>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</si>
  <si>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</si>
  <si>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</si>
  <si>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</si>
  <si>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</si>
  <si>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</si>
  <si>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</si>
  <si>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</si>
  <si>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</si>
  <si>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</si>
  <si>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</si>
  <si>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</si>
  <si>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</si>
  <si>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</si>
  <si>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</si>
  <si>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</si>
  <si>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</si>
  <si>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</si>
  <si>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</si>
  <si>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END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</si>
  <si>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</si>
  <si>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</si>
  <si>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</si>
  <si>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</si>
  <si>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</si>
  <si>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</si>
  <si>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</si>
  <si>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</si>
  <si>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T</t>
  </si>
  <si>
    <t>F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</si>
  <si>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</si>
  <si>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</si>
  <si>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</si>
  <si>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</si>
  <si>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</si>
  <si>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 xml:space="preserve">Observed Sources: Survey </t>
  </si>
  <si>
    <t>Observed Sources: Survey</t>
  </si>
  <si>
    <t>Observed duration (in minutes) based on joining AM peak SOV skim values to HH survey</t>
  </si>
  <si>
    <t>Observed distance (in miles)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</si>
  <si>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</si>
  <si>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</si>
  <si>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</si>
  <si>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</si>
  <si>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</si>
  <si>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</si>
  <si>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</si>
  <si>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</si>
  <si>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Open "OtherTourDestinationModel.F12" in Notepad+</t>
  </si>
  <si>
    <t>v0402)</t>
  </si>
  <si>
    <t>Oct</t>
  </si>
  <si>
    <t>Beta00118</t>
  </si>
  <si>
    <t>011:04:21</t>
  </si>
  <si>
    <t>Index</t>
  </si>
  <si>
    <t>Tag</t>
  </si>
  <si>
    <t>Description</t>
  </si>
  <si>
    <t>New</t>
  </si>
  <si>
    <t>OtherTourDestinationModel.F12</t>
  </si>
  <si>
    <t>Old</t>
  </si>
  <si>
    <t>UltraEdit Instructions:</t>
  </si>
  <si>
    <t>Copy (Ctrl-c) cells M3:M104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</si>
  <si>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</si>
  <si>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</si>
  <si>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</si>
  <si>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</si>
  <si>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</si>
  <si>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</si>
  <si>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</si>
  <si>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</si>
  <si>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</si>
  <si>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</si>
  <si>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</si>
  <si>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ALL</t>
  </si>
  <si>
    <t>RATIO</t>
  </si>
  <si>
    <t>LN(RATIO)</t>
  </si>
  <si>
    <t>ADJ</t>
  </si>
  <si>
    <t>Copy (Ctrl-c) cells Q3:Q104</t>
  </si>
  <si>
    <t>CALIBRATION</t>
  </si>
  <si>
    <t>Damp</t>
  </si>
  <si>
    <t>Distance from origin is 0-1 mile</t>
  </si>
  <si>
    <t>Distance from origin is 1-3.5 miles</t>
  </si>
  <si>
    <t>Distance from origin is 3.5-10 miles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</si>
</sst>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  <numFmt numFmtId="172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9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applyFont="1" applyNumberFormat="1" borderId="3" fillId="0" fontId="0" numFmtId="169" xfId="8"/>
    <xf applyBorder="1" applyFill="1" applyFont="1" borderId="5" fillId="5" fontId="5" numFmtId="0" xfId="0"/>
    <xf applyBorder="1" applyFill="1" applyFont="1" borderId="6" fillId="5" fontId="7" numFmtId="0" xfId="0"/>
    <xf applyBorder="1" applyFill="1" applyFont="1" borderId="7" fillId="5" fontId="7" numFmtId="0" xfId="0"/>
    <xf applyBorder="1" applyFill="1" applyFont="1" borderId="8" fillId="5" fontId="7" numFmtId="0" xfId="0"/>
    <xf applyBorder="1" applyFill="1" applyFont="1" borderId="0" fillId="5" fontId="7" numFmtId="0" xfId="0"/>
    <xf applyBorder="1" applyFill="1" applyFont="1" borderId="9" fillId="5" fontId="7" numFmtId="0" xfId="0"/>
    <xf applyBorder="1" applyFill="1" applyFont="1" borderId="10" fillId="5" fontId="7" numFmtId="0" xfId="0"/>
    <xf applyBorder="1" applyFill="1" applyFont="1" borderId="3" fillId="5" fontId="7" numFmtId="0" xfId="0"/>
    <xf applyBorder="1" applyFill="1" applyFont="1" borderId="11" fillId="5" fontId="7" numFmtId="0" xfId="0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Border="1" applyFont="1" borderId="1" fillId="0" fontId="0" numFmtId="0" xfId="0"/>
    <xf applyAlignment="1" applyBorder="1" applyFont="1" borderId="12" fillId="0" fontId="0" numFmtId="0" xfId="0">
      <alignment horizontal="left"/>
    </xf>
    <xf applyFont="1" applyNumberFormat="1" borderId="0" fillId="0" fontId="0" numFmtId="167" xfId="0"/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ont="1" borderId="0" fillId="0" fontId="8" numFmtId="0" xfId="0"/>
    <xf applyAlignment="1" applyFont="1" applyNumberFormat="1" borderId="0" fillId="0" fontId="1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Border="1" applyFill="1" applyFont="1" applyNumberFormat="1" borderId="1" fillId="4" fontId="7" numFmtId="166" xfId="0">
      <alignment horizontal="right"/>
    </xf>
    <xf applyAlignment="1" applyBorder="1" applyFill="1" applyFont="1" applyNumberFormat="1" borderId="6" fillId="4" fontId="7" numFmtId="166" xfId="0">
      <alignment horizontal="right"/>
    </xf>
    <xf applyAlignment="1" applyBorder="1" applyFill="1" applyFont="1" applyNumberFormat="1" borderId="0" fillId="4" fontId="7" numFmtId="166" xfId="0">
      <alignment horizontal="right"/>
    </xf>
    <xf applyFont="1" applyNumberFormat="1" borderId="0" fillId="0" fontId="0" numFmtId="171" xfId="0"/>
    <xf applyAlignment="1" applyFont="1" applyNumberFormat="1" borderId="0" fillId="0" fontId="0" numFmtId="171" xfId="0">
      <alignment horizontal="right"/>
    </xf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1" fillId="0" fontId="0" numFmtId="170" xfId="0">
      <alignment horizontal="right" vertical="top"/>
    </xf>
    <xf applyBorder="1" applyFont="1" borderId="0" fillId="0" fontId="0" numFmtId="0" xfId="0"/>
    <xf applyAlignment="1" applyBorder="1" applyFont="1" applyNumberFormat="1" borderId="0" fillId="0" fontId="0" numFmtId="2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0" fillId="0" fontId="0" numFmtId="172" xfId="0">
      <alignment horizontal="right" vertical="top"/>
    </xf>
    <xf applyAlignment="1" applyFont="1" applyNumberFormat="1" borderId="0" fillId="0" fontId="0" numFmtId="172" xfId="0">
      <alignment horizontal="right"/>
    </xf>
    <xf applyAlignment="1" applyBorder="1" applyFill="1" applyFont="1" borderId="2" fillId="6" fontId="1" numFmtId="0" xfId="0">
      <alignment horizontal="left"/>
    </xf>
    <xf applyAlignment="1" applyBorder="1" applyFill="1" applyFont="1" borderId="2" fillId="6" fontId="6" numFmtId="0" xfId="0">
      <alignment horizontal="left"/>
    </xf>
    <xf applyAlignment="1" applyBorder="1" applyFill="1" applyFont="1" applyNumberFormat="1" borderId="2" fillId="6" fontId="6" numFmtId="1" xfId="0">
      <alignment horizontal="right"/>
    </xf>
    <xf applyAlignment="1" applyFill="1" applyFont="1" borderId="0" fillId="6" fontId="0" numFmtId="0" xfId="0">
      <alignment horizontal="left"/>
    </xf>
    <xf applyAlignment="1" applyBorder="1" applyFill="1" applyFont="1" borderId="0" fillId="6" fontId="0" numFmtId="0" xfId="0">
      <alignment horizontal="left" vertical="top"/>
    </xf>
    <xf applyAlignment="1" applyFill="1" applyFont="1" applyNumberFormat="1" borderId="0" fillId="6" fontId="7" numFmtId="166" xfId="0">
      <alignment horizontal="right"/>
    </xf>
    <xf applyFill="1" applyFont="1" borderId="0" fillId="6" fontId="0" numFmtId="0" xfId="0"/>
    <xf applyFill="1" applyFont="1" applyNumberFormat="1" borderId="0" fillId="6" fontId="0" numFmtId="3" xfId="0"/>
    <xf applyAlignment="1" applyBorder="1" applyFill="1" applyFont="1" borderId="1" fillId="6" fontId="0" numFmtId="0" xfId="0">
      <alignment horizontal="left"/>
    </xf>
    <xf applyBorder="1" applyFill="1" applyFont="1" applyNumberFormat="1" borderId="1" fillId="6" fontId="0" numFmtId="3" xfId="0"/>
    <xf applyAlignment="1" applyBorder="1" applyFill="1" applyFont="1" applyNumberFormat="1" borderId="1" fillId="6" fontId="7" numFmtId="166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4.0663548505444534E-2</c:v>
                </c:pt>
                <c:pt idx="1">
                  <c:v>5.4075128560358961E-2</c:v>
                </c:pt>
                <c:pt idx="2">
                  <c:v>7.1263169458941247E-2</c:v>
                </c:pt>
                <c:pt idx="3">
                  <c:v>0.1086341323527313</c:v>
                </c:pt>
                <c:pt idx="4">
                  <c:v>0.20221555173518957</c:v>
                </c:pt>
                <c:pt idx="5">
                  <c:v>8.7182570512387245E-2</c:v>
                </c:pt>
                <c:pt idx="6">
                  <c:v>0.12011221186629407</c:v>
                </c:pt>
                <c:pt idx="7">
                  <c:v>7.1789132269216654E-2</c:v>
                </c:pt>
                <c:pt idx="8">
                  <c:v>3.091890479280248E-2</c:v>
                </c:pt>
                <c:pt idx="9">
                  <c:v>2.3297138492224451E-2</c:v>
                </c:pt>
                <c:pt idx="10">
                  <c:v>7.0983326556598128E-2</c:v>
                </c:pt>
                <c:pt idx="11">
                  <c:v>1.236829340649597E-2</c:v>
                </c:pt>
                <c:pt idx="12">
                  <c:v>1.6574818158702539E-2</c:v>
                </c:pt>
                <c:pt idx="13">
                  <c:v>7.9620856270818403E-3</c:v>
                </c:pt>
                <c:pt idx="14">
                  <c:v>9.4429366990092124E-3</c:v>
                </c:pt>
                <c:pt idx="15">
                  <c:v>5.2172578020261299E-3</c:v>
                </c:pt>
                <c:pt idx="16">
                  <c:v>1.55637068578515E-2</c:v>
                </c:pt>
                <c:pt idx="17">
                  <c:v>1.4395788097115754E-2</c:v>
                </c:pt>
                <c:pt idx="18">
                  <c:v>1.4022051187162187E-2</c:v>
                </c:pt>
                <c:pt idx="19">
                  <c:v>3.1976208799237562E-3</c:v>
                </c:pt>
                <c:pt idx="20">
                  <c:v>1.4171558563406399E-3</c:v>
                </c:pt>
                <c:pt idx="21">
                  <c:v>2.8106520781222151E-3</c:v>
                </c:pt>
                <c:pt idx="22">
                  <c:v>2.3039300946086209E-3</c:v>
                </c:pt>
                <c:pt idx="23">
                  <c:v>1.1641621602611698E-3</c:v>
                </c:pt>
                <c:pt idx="24">
                  <c:v>1.3655160684095669E-3</c:v>
                </c:pt>
                <c:pt idx="25">
                  <c:v>0</c:v>
                </c:pt>
                <c:pt idx="26">
                  <c:v>3.8200666267687106E-4</c:v>
                </c:pt>
                <c:pt idx="27">
                  <c:v>2.8338534256362731E-3</c:v>
                </c:pt>
                <c:pt idx="28">
                  <c:v>1.9790544197180078E-3</c:v>
                </c:pt>
                <c:pt idx="29">
                  <c:v>8.3860491240621846E-4</c:v>
                </c:pt>
                <c:pt idx="30">
                  <c:v>0</c:v>
                </c:pt>
                <c:pt idx="31">
                  <c:v>5.684206346484161E-4</c:v>
                </c:pt>
                <c:pt idx="32">
                  <c:v>0</c:v>
                </c:pt>
                <c:pt idx="33">
                  <c:v>1.2045499525443111E-3</c:v>
                </c:pt>
                <c:pt idx="34">
                  <c:v>2.2024110653399423E-3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4.5183123787483363E-4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5.9847761385513093E-4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3-41FA-8971-07652FEEED69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0.13180795072093138</c:v>
                </c:pt>
                <c:pt idx="1">
                  <c:v>0.10265889713179897</c:v>
                </c:pt>
                <c:pt idx="2">
                  <c:v>7.1987839328515907E-2</c:v>
                </c:pt>
                <c:pt idx="3">
                  <c:v>4.8456906461476025E-2</c:v>
                </c:pt>
                <c:pt idx="4">
                  <c:v>0.17808535960829558</c:v>
                </c:pt>
                <c:pt idx="5">
                  <c:v>8.9652580624212719E-2</c:v>
                </c:pt>
                <c:pt idx="6">
                  <c:v>7.7924133160605827E-2</c:v>
                </c:pt>
                <c:pt idx="7">
                  <c:v>3.6240052823040894E-2</c:v>
                </c:pt>
                <c:pt idx="8">
                  <c:v>4.2775924768561104E-2</c:v>
                </c:pt>
                <c:pt idx="9">
                  <c:v>2.3758714204286515E-2</c:v>
                </c:pt>
                <c:pt idx="10">
                  <c:v>1.3868054439500307E-2</c:v>
                </c:pt>
                <c:pt idx="11">
                  <c:v>1.5579420877120156E-2</c:v>
                </c:pt>
                <c:pt idx="12">
                  <c:v>1.56639196549033E-2</c:v>
                </c:pt>
                <c:pt idx="13">
                  <c:v>1.2153062979877206E-2</c:v>
                </c:pt>
                <c:pt idx="14">
                  <c:v>1.8193089371406793E-2</c:v>
                </c:pt>
                <c:pt idx="15">
                  <c:v>1.0105014628258548E-2</c:v>
                </c:pt>
                <c:pt idx="16">
                  <c:v>2.1101579424104566E-2</c:v>
                </c:pt>
                <c:pt idx="17">
                  <c:v>1.0884319151405085E-2</c:v>
                </c:pt>
                <c:pt idx="18">
                  <c:v>7.3805138158191544E-3</c:v>
                </c:pt>
                <c:pt idx="19">
                  <c:v>7.054354663017369E-3</c:v>
                </c:pt>
                <c:pt idx="20">
                  <c:v>6.7005865907302474E-3</c:v>
                </c:pt>
                <c:pt idx="21">
                  <c:v>5.2073396935407431E-3</c:v>
                </c:pt>
                <c:pt idx="22">
                  <c:v>4.9092794082989093E-3</c:v>
                </c:pt>
                <c:pt idx="23">
                  <c:v>6.1848139533814944E-3</c:v>
                </c:pt>
                <c:pt idx="24">
                  <c:v>4.5408389136419886E-3</c:v>
                </c:pt>
                <c:pt idx="25">
                  <c:v>4.3727500274201997E-3</c:v>
                </c:pt>
                <c:pt idx="26">
                  <c:v>2.7013666070836487E-3</c:v>
                </c:pt>
                <c:pt idx="27">
                  <c:v>5.9807624598287989E-3</c:v>
                </c:pt>
                <c:pt idx="28">
                  <c:v>2.6258486320813708E-3</c:v>
                </c:pt>
                <c:pt idx="29">
                  <c:v>2.9918338020085127E-3</c:v>
                </c:pt>
                <c:pt idx="30">
                  <c:v>2.3062738099958171E-3</c:v>
                </c:pt>
                <c:pt idx="31">
                  <c:v>2.0861465863396106E-3</c:v>
                </c:pt>
                <c:pt idx="32">
                  <c:v>1.8821803302704787E-3</c:v>
                </c:pt>
                <c:pt idx="33">
                  <c:v>1.427956825551979E-3</c:v>
                </c:pt>
                <c:pt idx="34">
                  <c:v>1.4032916624245753E-3</c:v>
                </c:pt>
                <c:pt idx="35">
                  <c:v>9.739903144588641E-4</c:v>
                </c:pt>
                <c:pt idx="36">
                  <c:v>1.4591028365067529E-3</c:v>
                </c:pt>
                <c:pt idx="37">
                  <c:v>7.6605344863380301E-4</c:v>
                </c:pt>
                <c:pt idx="38">
                  <c:v>1.0062896878992639E-3</c:v>
                </c:pt>
                <c:pt idx="39">
                  <c:v>8.3416609284769786E-4</c:v>
                </c:pt>
                <c:pt idx="40">
                  <c:v>5.5723509301982795E-4</c:v>
                </c:pt>
                <c:pt idx="41">
                  <c:v>4.2086329254238734E-4</c:v>
                </c:pt>
                <c:pt idx="42">
                  <c:v>4.3608589255185638E-4</c:v>
                </c:pt>
                <c:pt idx="43">
                  <c:v>3.3582887409572357E-4</c:v>
                </c:pt>
                <c:pt idx="44">
                  <c:v>3.5709494243515598E-4</c:v>
                </c:pt>
                <c:pt idx="45">
                  <c:v>3.8396449862160113E-4</c:v>
                </c:pt>
                <c:pt idx="46">
                  <c:v>3.2528904613966201E-4</c:v>
                </c:pt>
                <c:pt idx="47">
                  <c:v>1.5528405098074708E-4</c:v>
                </c:pt>
                <c:pt idx="48">
                  <c:v>1.1311853242992365E-4</c:v>
                </c:pt>
                <c:pt idx="49">
                  <c:v>1.9974368870327301E-4</c:v>
                </c:pt>
                <c:pt idx="50">
                  <c:v>1.5241002915608666E-4</c:v>
                </c:pt>
                <c:pt idx="51">
                  <c:v>1.497163792070915E-4</c:v>
                </c:pt>
                <c:pt idx="52">
                  <c:v>8.9117183676471067E-5</c:v>
                </c:pt>
                <c:pt idx="53">
                  <c:v>1.3189074250115234E-4</c:v>
                </c:pt>
                <c:pt idx="54">
                  <c:v>1.0850626800103957E-4</c:v>
                </c:pt>
                <c:pt idx="55">
                  <c:v>6.620759774017608E-5</c:v>
                </c:pt>
                <c:pt idx="56">
                  <c:v>2.3438863365834915E-5</c:v>
                </c:pt>
                <c:pt idx="57">
                  <c:v>6.9515684074208006E-5</c:v>
                </c:pt>
                <c:pt idx="58">
                  <c:v>3.1278787174370786E-5</c:v>
                </c:pt>
                <c:pt idx="59">
                  <c:v>0</c:v>
                </c:pt>
                <c:pt idx="60">
                  <c:v>3.0719150652367604E-5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D3-41FA-8971-07652FEEE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412352"/>
        <c:axId val="133449408"/>
      </c:lineChart>
      <c:catAx>
        <c:axId val="133412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Length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3449408"/>
        <c:crosses val="autoZero"/>
        <c:auto val="1"/>
        <c:lblAlgn val="ctr"/>
        <c:lblOffset val="100"/>
        <c:tickLblSkip val="10"/>
        <c:noMultiLvlLbl val="0"/>
      </c:catAx>
      <c:valAx>
        <c:axId val="1334494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33412352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7.8823411559398367E-3</c:v>
                </c:pt>
                <c:pt idx="1">
                  <c:v>8.3562248856167854E-3</c:v>
                </c:pt>
                <c:pt idx="2">
                  <c:v>8.3713929298280358E-3</c:v>
                </c:pt>
                <c:pt idx="3">
                  <c:v>1.3887582379366161E-2</c:v>
                </c:pt>
                <c:pt idx="4">
                  <c:v>9.8974462925424649E-3</c:v>
                </c:pt>
                <c:pt idx="5">
                  <c:v>1.6985692531482219E-2</c:v>
                </c:pt>
                <c:pt idx="6">
                  <c:v>1.7185250309230689E-2</c:v>
                </c:pt>
                <c:pt idx="7">
                  <c:v>1.9881504903815104E-2</c:v>
                </c:pt>
                <c:pt idx="8">
                  <c:v>1.0191671749939075E-2</c:v>
                </c:pt>
                <c:pt idx="9">
                  <c:v>2.0981580802418697E-2</c:v>
                </c:pt>
                <c:pt idx="10">
                  <c:v>1.0357147580466885E-2</c:v>
                </c:pt>
                <c:pt idx="11">
                  <c:v>2.0842847524058485E-2</c:v>
                </c:pt>
                <c:pt idx="12">
                  <c:v>3.060550247516633E-2</c:v>
                </c:pt>
                <c:pt idx="13">
                  <c:v>1.4305723522528763E-2</c:v>
                </c:pt>
                <c:pt idx="14">
                  <c:v>1.8950583561768639E-2</c:v>
                </c:pt>
                <c:pt idx="15">
                  <c:v>2.3695465101975727E-3</c:v>
                </c:pt>
                <c:pt idx="16">
                  <c:v>5.6311162799233011E-2</c:v>
                </c:pt>
                <c:pt idx="17">
                  <c:v>2.722691766788482E-2</c:v>
                </c:pt>
                <c:pt idx="18">
                  <c:v>7.8074047471600169E-2</c:v>
                </c:pt>
                <c:pt idx="19">
                  <c:v>3.3389973630763493E-2</c:v>
                </c:pt>
                <c:pt idx="20">
                  <c:v>6.8358493735521372E-2</c:v>
                </c:pt>
                <c:pt idx="21">
                  <c:v>6.1392263324781933E-2</c:v>
                </c:pt>
                <c:pt idx="22">
                  <c:v>5.5519315170052666E-2</c:v>
                </c:pt>
                <c:pt idx="23">
                  <c:v>3.2186193503114691E-2</c:v>
                </c:pt>
                <c:pt idx="24">
                  <c:v>3.7215309520792814E-2</c:v>
                </c:pt>
                <c:pt idx="25">
                  <c:v>2.7592935228613905E-2</c:v>
                </c:pt>
                <c:pt idx="26">
                  <c:v>4.8414079007517381E-2</c:v>
                </c:pt>
                <c:pt idx="27">
                  <c:v>1.1024747927221452E-2</c:v>
                </c:pt>
                <c:pt idx="28">
                  <c:v>1.8014299496391061E-2</c:v>
                </c:pt>
                <c:pt idx="29">
                  <c:v>3.4885734951102296E-2</c:v>
                </c:pt>
                <c:pt idx="30">
                  <c:v>1.2353079629854996E-2</c:v>
                </c:pt>
                <c:pt idx="31">
                  <c:v>7.9376718731913754E-3</c:v>
                </c:pt>
                <c:pt idx="32">
                  <c:v>8.1746205377270544E-3</c:v>
                </c:pt>
                <c:pt idx="33">
                  <c:v>1.1900248106359573E-2</c:v>
                </c:pt>
                <c:pt idx="34">
                  <c:v>1.4349643847000087E-2</c:v>
                </c:pt>
                <c:pt idx="35">
                  <c:v>2.954002277773332E-3</c:v>
                </c:pt>
                <c:pt idx="36">
                  <c:v>2.3242812027457799E-3</c:v>
                </c:pt>
                <c:pt idx="37">
                  <c:v>1.359478242994651E-2</c:v>
                </c:pt>
                <c:pt idx="38">
                  <c:v>1.06380446193555E-2</c:v>
                </c:pt>
                <c:pt idx="39">
                  <c:v>3.5742622827463718E-3</c:v>
                </c:pt>
                <c:pt idx="40">
                  <c:v>2.3929282252571162E-3</c:v>
                </c:pt>
                <c:pt idx="41">
                  <c:v>3.0843293804451331E-3</c:v>
                </c:pt>
                <c:pt idx="42">
                  <c:v>1.0681417618045735E-3</c:v>
                </c:pt>
                <c:pt idx="43">
                  <c:v>1.1246969877088814E-3</c:v>
                </c:pt>
                <c:pt idx="44">
                  <c:v>2.8306419963098719E-3</c:v>
                </c:pt>
                <c:pt idx="45">
                  <c:v>5.5595650358306291E-2</c:v>
                </c:pt>
                <c:pt idx="46">
                  <c:v>5.4168001738846524E-4</c:v>
                </c:pt>
                <c:pt idx="47">
                  <c:v>7.9364374921482345E-4</c:v>
                </c:pt>
                <c:pt idx="48">
                  <c:v>3.2708486205617177E-3</c:v>
                </c:pt>
                <c:pt idx="49">
                  <c:v>3.5547256340943354E-4</c:v>
                </c:pt>
                <c:pt idx="50">
                  <c:v>5.0137711532583504E-4</c:v>
                </c:pt>
                <c:pt idx="51">
                  <c:v>3.0142428411379424E-4</c:v>
                </c:pt>
                <c:pt idx="52">
                  <c:v>0</c:v>
                </c:pt>
                <c:pt idx="53">
                  <c:v>9.9069516062357107E-4</c:v>
                </c:pt>
                <c:pt idx="54">
                  <c:v>0</c:v>
                </c:pt>
                <c:pt idx="55">
                  <c:v>1.1519791040042698E-3</c:v>
                </c:pt>
                <c:pt idx="56">
                  <c:v>0</c:v>
                </c:pt>
                <c:pt idx="57">
                  <c:v>2.0609422399043126E-3</c:v>
                </c:pt>
                <c:pt idx="58">
                  <c:v>1.4146882543562936E-4</c:v>
                </c:pt>
                <c:pt idx="59">
                  <c:v>0</c:v>
                </c:pt>
                <c:pt idx="60">
                  <c:v>1.5041223076397066E-3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D5-4D22-BC44-075CCF303CA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2.7725613068513323E-2</c:v>
                </c:pt>
                <c:pt idx="1">
                  <c:v>2.4166643510594249E-2</c:v>
                </c:pt>
                <c:pt idx="2">
                  <c:v>3.0506588636674783E-2</c:v>
                </c:pt>
                <c:pt idx="3">
                  <c:v>3.0806878245120288E-2</c:v>
                </c:pt>
                <c:pt idx="4">
                  <c:v>3.1113237094699746E-2</c:v>
                </c:pt>
                <c:pt idx="5">
                  <c:v>2.9534890446801368E-2</c:v>
                </c:pt>
                <c:pt idx="6">
                  <c:v>2.8566235625743779E-2</c:v>
                </c:pt>
                <c:pt idx="7">
                  <c:v>2.7168310276588854E-2</c:v>
                </c:pt>
                <c:pt idx="8">
                  <c:v>2.517569191204878E-2</c:v>
                </c:pt>
                <c:pt idx="9">
                  <c:v>2.3244959451859323E-2</c:v>
                </c:pt>
                <c:pt idx="10">
                  <c:v>2.0857111773156529E-2</c:v>
                </c:pt>
                <c:pt idx="11">
                  <c:v>1.7996953198494078E-2</c:v>
                </c:pt>
                <c:pt idx="12">
                  <c:v>1.6914083850422805E-2</c:v>
                </c:pt>
                <c:pt idx="13">
                  <c:v>1.424438442333893E-2</c:v>
                </c:pt>
                <c:pt idx="14">
                  <c:v>1.2160482042487788E-2</c:v>
                </c:pt>
                <c:pt idx="15">
                  <c:v>1.2504219102425286E-2</c:v>
                </c:pt>
                <c:pt idx="16">
                  <c:v>1.0376222155798644E-2</c:v>
                </c:pt>
                <c:pt idx="17">
                  <c:v>1.0147238343107285E-2</c:v>
                </c:pt>
                <c:pt idx="18">
                  <c:v>0.12298424628133875</c:v>
                </c:pt>
                <c:pt idx="19">
                  <c:v>3.4720086199122868E-2</c:v>
                </c:pt>
                <c:pt idx="20">
                  <c:v>3.2007360873517007E-2</c:v>
                </c:pt>
                <c:pt idx="21">
                  <c:v>4.6504469066808864E-2</c:v>
                </c:pt>
                <c:pt idx="22">
                  <c:v>4.2461144460325506E-2</c:v>
                </c:pt>
                <c:pt idx="23">
                  <c:v>2.5391783945716954E-2</c:v>
                </c:pt>
                <c:pt idx="24">
                  <c:v>2.7073806168121758E-2</c:v>
                </c:pt>
                <c:pt idx="25">
                  <c:v>2.20238536166566E-2</c:v>
                </c:pt>
                <c:pt idx="26">
                  <c:v>2.145318594535621E-2</c:v>
                </c:pt>
                <c:pt idx="27">
                  <c:v>1.2712813865692604E-2</c:v>
                </c:pt>
                <c:pt idx="28">
                  <c:v>1.2782719888293787E-2</c:v>
                </c:pt>
                <c:pt idx="29">
                  <c:v>1.5485436651956265E-2</c:v>
                </c:pt>
                <c:pt idx="30">
                  <c:v>1.2617632103321586E-2</c:v>
                </c:pt>
                <c:pt idx="31">
                  <c:v>1.2005507918419896E-2</c:v>
                </c:pt>
                <c:pt idx="32">
                  <c:v>2.1045429838393678E-2</c:v>
                </c:pt>
                <c:pt idx="33">
                  <c:v>1.0211409146762494E-2</c:v>
                </c:pt>
                <c:pt idx="34">
                  <c:v>1.1010082519888683E-2</c:v>
                </c:pt>
                <c:pt idx="35">
                  <c:v>1.2899832151548756E-2</c:v>
                </c:pt>
                <c:pt idx="36">
                  <c:v>9.7794174471346647E-3</c:v>
                </c:pt>
                <c:pt idx="37">
                  <c:v>6.6872201291170138E-3</c:v>
                </c:pt>
                <c:pt idx="38">
                  <c:v>8.0553578033738926E-3</c:v>
                </c:pt>
                <c:pt idx="39">
                  <c:v>6.9705779075844619E-3</c:v>
                </c:pt>
                <c:pt idx="40">
                  <c:v>9.7954364403680903E-3</c:v>
                </c:pt>
                <c:pt idx="41">
                  <c:v>5.1106856585440225E-3</c:v>
                </c:pt>
                <c:pt idx="42">
                  <c:v>8.2649657236135345E-3</c:v>
                </c:pt>
                <c:pt idx="43">
                  <c:v>4.5773144627434814E-3</c:v>
                </c:pt>
                <c:pt idx="44">
                  <c:v>4.4508694532215095E-3</c:v>
                </c:pt>
                <c:pt idx="45">
                  <c:v>3.386421402790028E-3</c:v>
                </c:pt>
                <c:pt idx="46">
                  <c:v>5.9378917585021021E-3</c:v>
                </c:pt>
                <c:pt idx="47">
                  <c:v>3.1776601815039648E-3</c:v>
                </c:pt>
                <c:pt idx="48">
                  <c:v>2.4729594909243466E-3</c:v>
                </c:pt>
                <c:pt idx="49">
                  <c:v>2.6344473983549378E-3</c:v>
                </c:pt>
                <c:pt idx="50">
                  <c:v>3.2591855490683428E-3</c:v>
                </c:pt>
                <c:pt idx="51">
                  <c:v>3.5954596315039807E-3</c:v>
                </c:pt>
                <c:pt idx="52">
                  <c:v>3.2207635725567296E-3</c:v>
                </c:pt>
                <c:pt idx="53">
                  <c:v>1.8498502119767386E-3</c:v>
                </c:pt>
                <c:pt idx="54">
                  <c:v>1.5931385160751685E-3</c:v>
                </c:pt>
                <c:pt idx="55">
                  <c:v>1.7772845659204226E-3</c:v>
                </c:pt>
                <c:pt idx="56">
                  <c:v>1.2891930598010696E-3</c:v>
                </c:pt>
                <c:pt idx="57">
                  <c:v>2.3608138597438141E-3</c:v>
                </c:pt>
                <c:pt idx="58">
                  <c:v>1.0172922894933752E-3</c:v>
                </c:pt>
                <c:pt idx="59">
                  <c:v>1.0482954071395351E-3</c:v>
                </c:pt>
                <c:pt idx="60">
                  <c:v>1.0151374258387238E-3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D5-4D22-BC44-075CCF303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726400"/>
        <c:axId val="133451136"/>
      </c:lineChart>
      <c:catAx>
        <c:axId val="154726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</a:t>
                </a:r>
                <a:r>
                  <a:rPr baseline="0" lang="en-US"/>
                  <a:t> (mins)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33451136"/>
        <c:crosses val="autoZero"/>
        <c:auto val="1"/>
        <c:lblAlgn val="ctr"/>
        <c:lblOffset val="100"/>
        <c:tickLblSkip val="10"/>
        <c:noMultiLvlLbl val="0"/>
      </c:catAx>
      <c:valAx>
        <c:axId val="13345113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472640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workbookViewId="0">
      <selection activeCell="M31" sqref="M3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1</v>
      </c>
    </row>
    <row r="2" spans="1:12" x14ac:dyDescent="0.25">
      <c r="A2" t="s">
        <v>242</v>
      </c>
    </row>
    <row r="3" spans="1:12" x14ac:dyDescent="0.25">
      <c r="A3" t="s">
        <v>245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35" t="n">
        <v>26340.527496600098</v>
      </c>
      <c r="C11" s="11">
        <f>B11/B$102</f>
        <v>4.0663548505444534E-2</v>
      </c>
      <c r="E11" s="19">
        <v>0</v>
      </c>
      <c r="F11" s="337" t="n">
        <v>88715.93814048324</v>
      </c>
      <c r="G11" s="11">
        <f>F11/F$102</f>
        <v>0.13180795072093138</v>
      </c>
      <c r="K11" s="8" t="n">
        <v>6.156876216054111</v>
      </c>
      <c r="L11" s="8" t="n">
        <v>6.887671637146234</v>
      </c>
    </row>
    <row r="12" spans="1:12" x14ac:dyDescent="0.25">
      <c r="A12">
        <v>1</v>
      </c>
      <c r="B12" s="335" t="n">
        <v>35028.1139516294</v>
      </c>
      <c r="C12" s="11">
        <f>B12/B$102</f>
        <v>5.4075128560358961E-2</v>
      </c>
      <c r="E12" s="20">
        <v>1</v>
      </c>
      <c r="F12" s="337" t="n">
        <v>68506.92665697531</v>
      </c>
      <c r="G12" s="11">
        <f>F12/F$102</f>
        <v>0.10265889713179897</v>
      </c>
      <c r="K12" s="8"/>
      <c r="L12" s="289"/>
    </row>
    <row r="13" spans="1:12" x14ac:dyDescent="0.25">
      <c r="A13">
        <v>2</v>
      </c>
      <c r="B13" s="335" t="n">
        <v>46161.9692235365</v>
      </c>
      <c r="C13" s="11">
        <f ref="C13:C76" si="0" t="shared">B13/B$102</f>
        <v>7.1263169458941247E-2</v>
      </c>
      <c r="E13" s="21">
        <v>2</v>
      </c>
      <c r="F13" s="337" t="n">
        <v>47164.97326993162</v>
      </c>
      <c r="G13" s="11">
        <f ref="G13:G76" si="1" t="shared">F13/F$102</f>
        <v>7.1987839328515907E-2</v>
      </c>
    </row>
    <row r="14" spans="1:12" x14ac:dyDescent="0.25">
      <c r="A14">
        <v>3</v>
      </c>
      <c r="B14" s="335" t="n">
        <v>70369.666580458</v>
      </c>
      <c r="C14" s="11">
        <f si="0" t="shared"/>
        <v>0.1086341323527313</v>
      </c>
      <c r="E14" s="22">
        <v>3</v>
      </c>
      <c r="F14" s="337" t="n">
        <v>30943.853024654025</v>
      </c>
      <c r="G14" s="11">
        <f si="1" t="shared"/>
        <v>4.8456906461476025E-2</v>
      </c>
    </row>
    <row r="15" spans="1:12" x14ac:dyDescent="0.25">
      <c r="A15">
        <v>4</v>
      </c>
      <c r="B15" s="335" t="n">
        <v>130988.6740456935</v>
      </c>
      <c r="C15" s="11">
        <f si="0" t="shared"/>
        <v>0.20221555173518957</v>
      </c>
      <c r="E15" s="23">
        <v>4</v>
      </c>
      <c r="F15" s="337" t="n">
        <v>116872.82576945562</v>
      </c>
      <c r="G15" s="11">
        <f si="1" t="shared"/>
        <v>0.17808535960829558</v>
      </c>
    </row>
    <row r="16" spans="1:12" x14ac:dyDescent="0.25">
      <c r="A16">
        <v>5</v>
      </c>
      <c r="B16" s="335" t="n">
        <v>56474.0407615518</v>
      </c>
      <c r="C16" s="11">
        <f si="0" t="shared"/>
        <v>8.7182570512387245E-2</v>
      </c>
      <c r="E16" s="24">
        <v>5</v>
      </c>
      <c r="F16" s="337" t="n">
        <v>58451.827235608005</v>
      </c>
      <c r="G16" s="11">
        <f si="1" t="shared"/>
        <v>8.9652580624212719E-2</v>
      </c>
    </row>
    <row r="17" spans="1:7" x14ac:dyDescent="0.25">
      <c r="A17">
        <v>6</v>
      </c>
      <c r="B17" s="335" t="n">
        <v>77804.7941122985</v>
      </c>
      <c r="C17" s="11">
        <f si="0" t="shared"/>
        <v>0.12011221186629407</v>
      </c>
      <c r="E17" s="25">
        <v>6</v>
      </c>
      <c r="F17" s="337" t="n">
        <v>51335.13452892443</v>
      </c>
      <c r="G17" s="11">
        <f si="1" t="shared"/>
        <v>7.7924133160605827E-2</v>
      </c>
    </row>
    <row r="18" spans="1:7" x14ac:dyDescent="0.25">
      <c r="A18">
        <v>7</v>
      </c>
      <c r="B18" s="335" t="n">
        <v>46502.6708685096</v>
      </c>
      <c r="C18" s="11">
        <f si="0" t="shared"/>
        <v>7.1789132269216654E-2</v>
      </c>
      <c r="E18" s="26">
        <v>7</v>
      </c>
      <c r="F18" s="337" t="n">
        <v>22726.624199531452</v>
      </c>
      <c r="G18" s="11">
        <f si="1" t="shared"/>
        <v>3.6240052823040894E-2</v>
      </c>
    </row>
    <row r="19" spans="1:7" x14ac:dyDescent="0.25">
      <c r="A19">
        <v>8</v>
      </c>
      <c r="B19" s="335" t="n">
        <v>20028.263439688</v>
      </c>
      <c r="C19" s="11">
        <f si="0" t="shared"/>
        <v>3.091890479280248E-2</v>
      </c>
      <c r="E19" s="27">
        <v>8</v>
      </c>
      <c r="F19" s="337" t="n">
        <v>30925.312034599552</v>
      </c>
      <c r="G19" s="11">
        <f si="1" t="shared"/>
        <v>4.2775924768561104E-2</v>
      </c>
    </row>
    <row r="20" spans="1:7" x14ac:dyDescent="0.25">
      <c r="A20">
        <v>9</v>
      </c>
      <c r="B20" s="335" t="n">
        <v>15091.1304989621</v>
      </c>
      <c r="C20" s="11">
        <f si="0" t="shared"/>
        <v>2.3297138492224451E-2</v>
      </c>
      <c r="E20" s="28">
        <v>9</v>
      </c>
      <c r="F20" s="337" t="n">
        <v>13845.42887906301</v>
      </c>
      <c r="G20" s="11">
        <f si="1" t="shared"/>
        <v>2.3758714204286515E-2</v>
      </c>
    </row>
    <row r="21" spans="1:7" x14ac:dyDescent="0.25">
      <c r="A21">
        <v>10</v>
      </c>
      <c r="B21" s="335" t="n">
        <v>45980.6960701886</v>
      </c>
      <c r="C21" s="11">
        <f si="0" t="shared"/>
        <v>7.0983326556598128E-2</v>
      </c>
      <c r="E21" s="29">
        <v>10</v>
      </c>
      <c r="F21" s="337" t="n">
        <v>8498.481117770596</v>
      </c>
      <c r="G21" s="11">
        <f si="1" t="shared"/>
        <v>1.3868054439500307E-2</v>
      </c>
    </row>
    <row r="22" spans="1:7" x14ac:dyDescent="0.25">
      <c r="A22">
        <v>11</v>
      </c>
      <c r="B22" s="335" t="n">
        <v>8011.779210961</v>
      </c>
      <c r="C22" s="11">
        <f si="0" t="shared"/>
        <v>1.236829340649597E-2</v>
      </c>
      <c r="E22" s="30">
        <v>11</v>
      </c>
      <c r="F22" s="337" t="n">
        <v>9993.324423243657</v>
      </c>
      <c r="G22" s="11">
        <f si="1" t="shared"/>
        <v>1.5579420877120156E-2</v>
      </c>
    </row>
    <row r="23" spans="1:7" x14ac:dyDescent="0.25">
      <c r="A23">
        <v>12</v>
      </c>
      <c r="B23" s="335" t="n">
        <v>10736.6294754624</v>
      </c>
      <c r="C23" s="11">
        <f si="0" t="shared"/>
        <v>1.6574818158702539E-2</v>
      </c>
      <c r="E23" s="31">
        <v>12</v>
      </c>
      <c r="F23" s="337" t="n">
        <v>10381.592575721885</v>
      </c>
      <c r="G23" s="11">
        <f si="1" t="shared"/>
        <v>1.56639196549033E-2</v>
      </c>
    </row>
    <row r="24" spans="1:7" x14ac:dyDescent="0.25">
      <c r="A24">
        <v>13</v>
      </c>
      <c r="B24" s="335" t="n">
        <v>5157.5807596416</v>
      </c>
      <c r="C24" s="11">
        <f si="0" t="shared"/>
        <v>7.9620856270818403E-3</v>
      </c>
      <c r="E24" s="32">
        <v>13</v>
      </c>
      <c r="F24" s="337" t="n">
        <v>7708.732765329375</v>
      </c>
      <c r="G24" s="11">
        <f si="1" t="shared"/>
        <v>1.2153062979877206E-2</v>
      </c>
    </row>
    <row r="25" spans="1:7" x14ac:dyDescent="0.25">
      <c r="A25">
        <v>14</v>
      </c>
      <c r="B25" s="335" t="n">
        <v>6116.8280415961</v>
      </c>
      <c r="C25" s="11">
        <f si="0" t="shared"/>
        <v>9.4429366990092124E-3</v>
      </c>
      <c r="E25" s="33">
        <v>14</v>
      </c>
      <c r="F25" s="337" t="n">
        <v>11722.058606527145</v>
      </c>
      <c r="G25" s="11">
        <f si="1" t="shared"/>
        <v>1.8193089371406793E-2</v>
      </c>
    </row>
    <row r="26" spans="1:7" x14ac:dyDescent="0.25">
      <c r="A26">
        <v>15</v>
      </c>
      <c r="B26" s="335" t="n">
        <v>3379.5703435159003</v>
      </c>
      <c r="C26" s="11">
        <f si="0" t="shared"/>
        <v>5.2172578020261299E-3</v>
      </c>
      <c r="E26" s="34">
        <v>15</v>
      </c>
      <c r="F26" s="337" t="n">
        <v>6991.13184455145</v>
      </c>
      <c r="G26" s="11">
        <f si="1" t="shared"/>
        <v>1.0105014628258548E-2</v>
      </c>
    </row>
    <row r="27" spans="1:7" x14ac:dyDescent="0.25">
      <c r="A27">
        <v>16</v>
      </c>
      <c r="B27" s="335" t="n">
        <v>10081.6643777011</v>
      </c>
      <c r="C27" s="11">
        <f si="0" t="shared"/>
        <v>1.55637068578515E-2</v>
      </c>
      <c r="E27" s="35">
        <v>16</v>
      </c>
      <c r="F27" s="337" t="n">
        <v>13520.925111786119</v>
      </c>
      <c r="G27" s="11">
        <f si="1" t="shared"/>
        <v>2.1101579424104566E-2</v>
      </c>
    </row>
    <row r="28" spans="1:7" x14ac:dyDescent="0.25">
      <c r="A28">
        <v>17</v>
      </c>
      <c r="B28" s="335" t="n">
        <v>9325.124494645</v>
      </c>
      <c r="C28" s="11">
        <f si="0" t="shared"/>
        <v>1.4395788097115754E-2</v>
      </c>
      <c r="E28" s="36">
        <v>17</v>
      </c>
      <c r="F28" s="337" t="n">
        <v>7012.264188223426</v>
      </c>
      <c r="G28" s="11">
        <f si="1" t="shared"/>
        <v>1.0884319151405085E-2</v>
      </c>
    </row>
    <row r="29" spans="1:7" x14ac:dyDescent="0.25">
      <c r="A29">
        <v>18</v>
      </c>
      <c r="B29" s="335" t="n">
        <v>9083.0298493189</v>
      </c>
      <c r="C29" s="11">
        <f si="0" t="shared"/>
        <v>1.4022051187162187E-2</v>
      </c>
      <c r="E29" s="37">
        <v>18</v>
      </c>
      <c r="F29" s="337" t="n">
        <v>5591.189727668371</v>
      </c>
      <c r="G29" s="11">
        <f si="1" t="shared"/>
        <v>7.3805138158191544E-3</v>
      </c>
    </row>
    <row r="30" spans="1:7" x14ac:dyDescent="0.25">
      <c r="A30">
        <v>19</v>
      </c>
      <c r="B30" s="335" t="n">
        <v>2071.3150673522</v>
      </c>
      <c r="C30" s="11">
        <f si="0" t="shared"/>
        <v>3.1976208799237562E-3</v>
      </c>
      <c r="E30" s="38">
        <v>19</v>
      </c>
      <c r="F30" s="337" t="n">
        <v>4280.520465670287</v>
      </c>
      <c r="G30" s="11">
        <f si="1" t="shared"/>
        <v>7.054354663017369E-3</v>
      </c>
    </row>
    <row r="31" spans="1:7" x14ac:dyDescent="0.25">
      <c r="A31">
        <v>20</v>
      </c>
      <c r="B31" s="335" t="n">
        <v>917.9875877264</v>
      </c>
      <c r="C31" s="11">
        <f si="0" t="shared"/>
        <v>1.4171558563406399E-3</v>
      </c>
      <c r="E31" s="39">
        <v>20</v>
      </c>
      <c r="F31" s="337" t="n">
        <v>3949.4112839148247</v>
      </c>
      <c r="G31" s="11">
        <f si="1" t="shared"/>
        <v>6.7005865907302474E-3</v>
      </c>
    </row>
    <row r="32" spans="1:7" x14ac:dyDescent="0.25">
      <c r="A32">
        <v>21</v>
      </c>
      <c r="B32" s="335" t="n">
        <v>1820.649231762</v>
      </c>
      <c r="C32" s="11">
        <f si="0" t="shared"/>
        <v>2.8106520781222151E-3</v>
      </c>
      <c r="E32" s="40">
        <v>21</v>
      </c>
      <c r="F32" s="337" t="n">
        <v>4091.816719830653</v>
      </c>
      <c r="G32" s="11">
        <f si="1" t="shared"/>
        <v>5.2073396935407431E-3</v>
      </c>
    </row>
    <row r="33" spans="1:7" x14ac:dyDescent="0.25">
      <c r="A33">
        <v>22</v>
      </c>
      <c r="B33" s="335" t="n">
        <v>1492.4111701456</v>
      </c>
      <c r="C33" s="11">
        <f si="0" t="shared"/>
        <v>2.3039300946086209E-3</v>
      </c>
      <c r="E33" s="41">
        <v>22</v>
      </c>
      <c r="F33" s="337" t="n">
        <v>4093.9614109605413</v>
      </c>
      <c r="G33" s="11">
        <f si="1" t="shared"/>
        <v>4.9092794082989093E-3</v>
      </c>
    </row>
    <row r="34" spans="1:7" x14ac:dyDescent="0.25">
      <c r="A34">
        <v>23</v>
      </c>
      <c r="B34" s="335" t="n">
        <v>754.106479142</v>
      </c>
      <c r="C34" s="11">
        <f si="0" t="shared"/>
        <v>1.1641621602611698E-3</v>
      </c>
      <c r="E34" s="42">
        <v>23</v>
      </c>
      <c r="F34" s="337" t="n">
        <v>3301.7649117783085</v>
      </c>
      <c r="G34" s="11">
        <f si="1" t="shared"/>
        <v>6.1848139533814944E-3</v>
      </c>
    </row>
    <row r="35" spans="1:7" x14ac:dyDescent="0.25">
      <c r="A35">
        <v>24</v>
      </c>
      <c r="B35" s="335" t="n">
        <v>884.537008426</v>
      </c>
      <c r="C35" s="11">
        <f si="0" t="shared"/>
        <v>1.3655160684095669E-3</v>
      </c>
      <c r="E35" s="43">
        <v>24</v>
      </c>
      <c r="F35" s="337" t="n">
        <v>3573.314018114324</v>
      </c>
      <c r="G35" s="11">
        <f si="1" t="shared"/>
        <v>4.5408389136419886E-3</v>
      </c>
    </row>
    <row r="36" spans="1:7" x14ac:dyDescent="0.25">
      <c r="A36">
        <v>25</v>
      </c>
      <c r="B36" s="335" t="n">
        <v>0.0</v>
      </c>
      <c r="C36" s="11">
        <f si="0" t="shared"/>
        <v>0</v>
      </c>
      <c r="E36" s="44">
        <v>25</v>
      </c>
      <c r="F36" s="337" t="n">
        <v>4030.626850443683</v>
      </c>
      <c r="G36" s="11">
        <f si="1" t="shared"/>
        <v>4.3727500274201997E-3</v>
      </c>
    </row>
    <row r="37" spans="1:7" x14ac:dyDescent="0.25">
      <c r="A37">
        <v>26</v>
      </c>
      <c r="B37" s="335" t="n">
        <v>247.4515228492</v>
      </c>
      <c r="C37" s="11">
        <f si="0" t="shared"/>
        <v>3.8200666267687106E-4</v>
      </c>
      <c r="E37" s="45">
        <v>26</v>
      </c>
      <c r="F37" s="337" t="n">
        <v>2147.32128600364</v>
      </c>
      <c r="G37" s="11">
        <f si="1" t="shared"/>
        <v>2.7013666070836487E-3</v>
      </c>
    </row>
    <row r="38" spans="1:7" x14ac:dyDescent="0.25">
      <c r="A38">
        <v>27</v>
      </c>
      <c r="B38" s="335" t="n">
        <v>1835.678311973</v>
      </c>
      <c r="C38" s="11">
        <f si="0" t="shared"/>
        <v>2.8338534256362731E-3</v>
      </c>
      <c r="E38" s="46">
        <v>27</v>
      </c>
      <c r="F38" s="337" t="n">
        <v>2147.5480827099377</v>
      </c>
      <c r="G38" s="11">
        <f si="1" t="shared"/>
        <v>5.9807624598287989E-3</v>
      </c>
    </row>
    <row r="39" spans="1:7" x14ac:dyDescent="0.25">
      <c r="A39">
        <v>28</v>
      </c>
      <c r="B39" s="335" t="n">
        <v>1281.967247715</v>
      </c>
      <c r="C39" s="11">
        <f si="0" t="shared"/>
        <v>1.9790544197180078E-3</v>
      </c>
      <c r="E39" s="47">
        <v>28</v>
      </c>
      <c r="F39" s="337" t="n">
        <v>2164.843202865555</v>
      </c>
      <c r="G39" s="11">
        <f si="1" t="shared"/>
        <v>2.6258486320813708E-3</v>
      </c>
    </row>
    <row r="40" spans="1:7" x14ac:dyDescent="0.25">
      <c r="A40">
        <v>29</v>
      </c>
      <c r="B40" s="335" t="n">
        <v>543.221055857</v>
      </c>
      <c r="C40" s="11">
        <f si="0" t="shared"/>
        <v>8.3860491240621846E-4</v>
      </c>
      <c r="E40" s="48">
        <v>29</v>
      </c>
      <c r="F40" s="337" t="n">
        <v>1896.775668756404</v>
      </c>
      <c r="G40" s="11">
        <f si="1" t="shared"/>
        <v>2.9918338020085127E-3</v>
      </c>
    </row>
    <row r="41" spans="1:7" x14ac:dyDescent="0.25">
      <c r="A41">
        <v>30</v>
      </c>
      <c r="B41" s="335" t="n">
        <v>0.0</v>
      </c>
      <c r="C41" s="11">
        <f si="0" t="shared"/>
        <v>0</v>
      </c>
      <c r="E41" s="49">
        <v>30</v>
      </c>
      <c r="F41" s="337" t="n">
        <v>1790.1708823450833</v>
      </c>
      <c r="G41" s="11">
        <f si="1" t="shared"/>
        <v>2.3062738099958171E-3</v>
      </c>
    </row>
    <row r="42" spans="1:7" x14ac:dyDescent="0.25">
      <c r="A42">
        <v>31</v>
      </c>
      <c r="B42" s="335" t="n">
        <v>368.204446166</v>
      </c>
      <c r="C42" s="11">
        <f si="0" t="shared"/>
        <v>5.684206346484161E-4</v>
      </c>
      <c r="E42" s="50">
        <v>31</v>
      </c>
      <c r="F42" s="337" t="n">
        <v>1136.2637471615622</v>
      </c>
      <c r="G42" s="11">
        <f si="1" t="shared"/>
        <v>2.0861465863396106E-3</v>
      </c>
    </row>
    <row r="43" spans="1:7" x14ac:dyDescent="0.25">
      <c r="A43">
        <v>32</v>
      </c>
      <c r="B43" s="335" t="n">
        <v>0.0</v>
      </c>
      <c r="C43" s="11">
        <f si="0" t="shared"/>
        <v>0</v>
      </c>
      <c r="E43" s="51">
        <v>32</v>
      </c>
      <c r="F43" s="337" t="n">
        <v>1132.4869690623425</v>
      </c>
      <c r="G43" s="11">
        <f si="1" t="shared"/>
        <v>1.8821803302704787E-3</v>
      </c>
    </row>
    <row r="44" spans="1:7" x14ac:dyDescent="0.25">
      <c r="A44">
        <v>33</v>
      </c>
      <c r="B44" s="335" t="n">
        <v>780.268380704</v>
      </c>
      <c r="C44" s="11">
        <f si="0" t="shared"/>
        <v>1.2045499525443111E-3</v>
      </c>
      <c r="E44" s="52">
        <v>33</v>
      </c>
      <c r="F44" s="337" t="n">
        <v>860.5869485701301</v>
      </c>
      <c r="G44" s="11">
        <f si="1" t="shared"/>
        <v>1.427956825551979E-3</v>
      </c>
    </row>
    <row r="45" spans="1:7" x14ac:dyDescent="0.25">
      <c r="A45">
        <v>34</v>
      </c>
      <c r="B45" s="335" t="n">
        <v>1426.6504365116</v>
      </c>
      <c r="C45" s="11">
        <f si="0" t="shared"/>
        <v>2.2024110653399423E-3</v>
      </c>
      <c r="E45" s="53">
        <v>34</v>
      </c>
      <c r="F45" s="337" t="n">
        <v>989.095407207455</v>
      </c>
      <c r="G45" s="11">
        <f si="1" t="shared"/>
        <v>1.4032916624245753E-3</v>
      </c>
    </row>
    <row r="46" spans="1:7" x14ac:dyDescent="0.25">
      <c r="A46">
        <v>35</v>
      </c>
      <c r="B46" s="335" t="n">
        <v>0.0</v>
      </c>
      <c r="C46" s="11">
        <f si="0" t="shared"/>
        <v>0</v>
      </c>
      <c r="E46" s="54">
        <v>35</v>
      </c>
      <c r="F46" s="337" t="n">
        <v>570.7344100790219</v>
      </c>
      <c r="G46" s="11">
        <f si="1" t="shared"/>
        <v>9.739903144588641E-4</v>
      </c>
    </row>
    <row r="47" spans="1:7" x14ac:dyDescent="0.25">
      <c r="A47">
        <v>36</v>
      </c>
      <c r="B47" s="335" t="n">
        <v>0.0</v>
      </c>
      <c r="C47" s="11">
        <f si="0" t="shared"/>
        <v>0</v>
      </c>
      <c r="E47" s="55">
        <v>36</v>
      </c>
      <c r="F47" s="337" t="n">
        <v>1064.190321769043</v>
      </c>
      <c r="G47" s="11">
        <f si="1" t="shared"/>
        <v>1.4591028365067529E-3</v>
      </c>
    </row>
    <row r="48" spans="1:7" x14ac:dyDescent="0.25">
      <c r="A48">
        <v>37</v>
      </c>
      <c r="B48" s="335" t="n">
        <v>0.0</v>
      </c>
      <c r="C48" s="11">
        <f si="0" t="shared"/>
        <v>0</v>
      </c>
      <c r="E48" s="56">
        <v>37</v>
      </c>
      <c r="F48" s="337" t="n">
        <v>578.9007801263703</v>
      </c>
      <c r="G48" s="11">
        <f si="1" t="shared"/>
        <v>7.6605344863380301E-4</v>
      </c>
    </row>
    <row r="49" spans="1:7" x14ac:dyDescent="0.25">
      <c r="A49">
        <v>38</v>
      </c>
      <c r="B49" s="335" t="n">
        <v>292.681617382</v>
      </c>
      <c r="C49" s="11">
        <f si="0" t="shared"/>
        <v>4.5183123787483363E-4</v>
      </c>
      <c r="E49" s="57">
        <v>38</v>
      </c>
      <c r="F49" s="337" t="n">
        <v>550.7325459108698</v>
      </c>
      <c r="G49" s="11">
        <f si="1" t="shared"/>
        <v>1.0062896878992639E-3</v>
      </c>
    </row>
    <row r="50" spans="1:7" x14ac:dyDescent="0.25">
      <c r="A50">
        <v>39</v>
      </c>
      <c r="B50" s="335" t="n">
        <v>0.0</v>
      </c>
      <c r="C50" s="11">
        <f si="0" t="shared"/>
        <v>0</v>
      </c>
      <c r="E50" s="58">
        <v>39</v>
      </c>
      <c r="F50" s="337" t="n">
        <v>554.7236759278131</v>
      </c>
      <c r="G50" s="11">
        <f si="1" t="shared"/>
        <v>8.3416609284769786E-4</v>
      </c>
    </row>
    <row r="51" spans="1:7" x14ac:dyDescent="0.25">
      <c r="A51">
        <v>40</v>
      </c>
      <c r="B51" s="335" t="n">
        <v>0.0</v>
      </c>
      <c r="C51" s="11">
        <f si="0" t="shared"/>
        <v>0</v>
      </c>
      <c r="E51" s="59">
        <v>40</v>
      </c>
      <c r="F51" s="337" t="n">
        <v>337.00003869198713</v>
      </c>
      <c r="G51" s="11">
        <f si="1" t="shared"/>
        <v>5.5723509301982795E-4</v>
      </c>
    </row>
    <row r="52" spans="1:7" x14ac:dyDescent="0.25">
      <c r="A52">
        <v>41</v>
      </c>
      <c r="B52" s="335" t="n">
        <v>0.0</v>
      </c>
      <c r="C52" s="11">
        <f si="0" t="shared"/>
        <v>0</v>
      </c>
      <c r="E52" s="60">
        <v>41</v>
      </c>
      <c r="F52" s="337" t="n">
        <v>353.7129998156822</v>
      </c>
      <c r="G52" s="11">
        <f si="1" t="shared"/>
        <v>4.2086329254238734E-4</v>
      </c>
    </row>
    <row r="53" spans="1:7" x14ac:dyDescent="0.25">
      <c r="A53">
        <v>42</v>
      </c>
      <c r="B53" s="335" t="n">
        <v>0.0</v>
      </c>
      <c r="C53" s="11">
        <f si="0" t="shared"/>
        <v>0</v>
      </c>
      <c r="E53" s="61">
        <v>42</v>
      </c>
      <c r="F53" s="337" t="n">
        <v>244.78055744331894</v>
      </c>
      <c r="G53" s="11">
        <f si="1" t="shared"/>
        <v>4.3608589255185638E-4</v>
      </c>
    </row>
    <row r="54" spans="1:7" x14ac:dyDescent="0.25">
      <c r="A54">
        <v>43</v>
      </c>
      <c r="B54" s="335" t="n">
        <v>0.0</v>
      </c>
      <c r="C54" s="11">
        <f si="0" t="shared"/>
        <v>0</v>
      </c>
      <c r="E54" s="62">
        <v>43</v>
      </c>
      <c r="F54" s="337" t="n">
        <v>222.90724225727294</v>
      </c>
      <c r="G54" s="11">
        <f si="1" t="shared"/>
        <v>3.3582887409572357E-4</v>
      </c>
    </row>
    <row r="55" spans="1:7" x14ac:dyDescent="0.25">
      <c r="A55">
        <v>44</v>
      </c>
      <c r="B55" s="335" t="n">
        <v>0.0</v>
      </c>
      <c r="C55" s="11">
        <f si="0" t="shared"/>
        <v>0</v>
      </c>
      <c r="E55" s="63">
        <v>44</v>
      </c>
      <c r="F55" s="337" t="n">
        <v>185.74932090238397</v>
      </c>
      <c r="G55" s="11">
        <f si="1" t="shared"/>
        <v>3.5709494243515598E-4</v>
      </c>
    </row>
    <row r="56" spans="1:7" x14ac:dyDescent="0.25">
      <c r="A56">
        <v>45</v>
      </c>
      <c r="B56" s="335" t="n">
        <v>0.0</v>
      </c>
      <c r="C56" s="11">
        <f si="0" t="shared"/>
        <v>0</v>
      </c>
      <c r="E56" s="64">
        <v>45</v>
      </c>
      <c r="F56" s="337" t="n">
        <v>209.8832170977411</v>
      </c>
      <c r="G56" s="11">
        <f si="1" t="shared"/>
        <v>3.8396449862160113E-4</v>
      </c>
    </row>
    <row r="57" spans="1:7" x14ac:dyDescent="0.25">
      <c r="A57">
        <v>46</v>
      </c>
      <c r="B57" s="335" t="n">
        <v>0.0</v>
      </c>
      <c r="C57" s="11">
        <f si="0" t="shared"/>
        <v>0</v>
      </c>
      <c r="E57" s="65">
        <v>46</v>
      </c>
      <c r="F57" s="337" t="n">
        <v>166.77924292980313</v>
      </c>
      <c r="G57" s="11">
        <f si="1" t="shared"/>
        <v>3.2528904613966201E-4</v>
      </c>
    </row>
    <row r="58" spans="1:7" x14ac:dyDescent="0.25">
      <c r="A58">
        <v>47</v>
      </c>
      <c r="B58" s="335" t="n">
        <v>0.0</v>
      </c>
      <c r="C58" s="11">
        <f si="0" t="shared"/>
        <v>0</v>
      </c>
      <c r="E58" s="66">
        <v>47</v>
      </c>
      <c r="F58" s="337" t="n">
        <v>173.16108596808445</v>
      </c>
      <c r="G58" s="11">
        <f si="1" t="shared"/>
        <v>1.5528405098074708E-4</v>
      </c>
    </row>
    <row r="59" spans="1:7" x14ac:dyDescent="0.25">
      <c r="A59">
        <v>48</v>
      </c>
      <c r="B59" s="335" t="n">
        <v>0.0</v>
      </c>
      <c r="C59" s="11">
        <f si="0" t="shared"/>
        <v>0</v>
      </c>
      <c r="E59" s="67">
        <v>48</v>
      </c>
      <c r="F59" s="337" t="n">
        <v>116.27355191350853</v>
      </c>
      <c r="G59" s="11">
        <f si="1" t="shared"/>
        <v>1.1311853242992365E-4</v>
      </c>
    </row>
    <row r="60" spans="1:7" x14ac:dyDescent="0.25">
      <c r="A60">
        <v>49</v>
      </c>
      <c r="B60" s="335" t="n">
        <v>0.0</v>
      </c>
      <c r="C60" s="11">
        <f si="0" t="shared"/>
        <v>0</v>
      </c>
      <c r="E60" s="68">
        <v>49</v>
      </c>
      <c r="F60" s="337" t="n">
        <v>123.21957116793637</v>
      </c>
      <c r="G60" s="11">
        <f si="1" t="shared"/>
        <v>1.9974368870327301E-4</v>
      </c>
    </row>
    <row r="61" spans="1:7" x14ac:dyDescent="0.25">
      <c r="A61">
        <v>50</v>
      </c>
      <c r="B61" s="335" t="n">
        <v>0.0</v>
      </c>
      <c r="C61" s="11">
        <f si="0" t="shared"/>
        <v>0</v>
      </c>
      <c r="E61" s="69">
        <v>50</v>
      </c>
      <c r="F61" s="337" t="n">
        <v>94.78317755675289</v>
      </c>
      <c r="G61" s="11">
        <f si="1" t="shared"/>
        <v>1.5241002915608666E-4</v>
      </c>
    </row>
    <row r="62" spans="1:7" x14ac:dyDescent="0.25">
      <c r="A62">
        <v>51</v>
      </c>
      <c r="B62" s="335" t="n">
        <v>387.674382174</v>
      </c>
      <c r="C62" s="11">
        <f si="0" t="shared"/>
        <v>5.9847761385513093E-4</v>
      </c>
      <c r="E62" s="70">
        <v>51</v>
      </c>
      <c r="F62" s="337" t="n">
        <v>102.47687485249436</v>
      </c>
      <c r="G62" s="11">
        <f si="1" t="shared"/>
        <v>1.497163792070915E-4</v>
      </c>
    </row>
    <row r="63" spans="1:7" x14ac:dyDescent="0.25">
      <c r="A63">
        <v>52</v>
      </c>
      <c r="B63" s="335" t="n">
        <v>0.0</v>
      </c>
      <c r="C63" s="11">
        <f si="0" t="shared"/>
        <v>0</v>
      </c>
      <c r="E63" s="71">
        <v>52</v>
      </c>
      <c r="F63" s="337" t="n">
        <v>66.23628460436552</v>
      </c>
      <c r="G63" s="11">
        <f si="1" t="shared"/>
        <v>8.9117183676471067E-5</v>
      </c>
    </row>
    <row r="64" spans="1:7" x14ac:dyDescent="0.25">
      <c r="A64">
        <v>53</v>
      </c>
      <c r="B64" s="335" t="n">
        <v>0.0</v>
      </c>
      <c r="C64" s="11">
        <f si="0" t="shared"/>
        <v>0</v>
      </c>
      <c r="E64" s="72">
        <v>53</v>
      </c>
      <c r="F64" s="337" t="n">
        <v>73.97330708379765</v>
      </c>
      <c r="G64" s="11">
        <f si="1" t="shared"/>
        <v>1.3189074250115234E-4</v>
      </c>
    </row>
    <row r="65" spans="1:7" x14ac:dyDescent="0.25">
      <c r="A65">
        <v>54</v>
      </c>
      <c r="B65" s="335" t="n">
        <v>0.0</v>
      </c>
      <c r="C65" s="11">
        <f si="0" t="shared"/>
        <v>0</v>
      </c>
      <c r="E65" s="73">
        <v>54</v>
      </c>
      <c r="F65" s="337" t="n">
        <v>51.76801680842698</v>
      </c>
      <c r="G65" s="11">
        <f si="1" t="shared"/>
        <v>1.0850626800103957E-4</v>
      </c>
    </row>
    <row r="66" spans="1:7" x14ac:dyDescent="0.25">
      <c r="A66">
        <v>55</v>
      </c>
      <c r="B66" s="335" t="n">
        <v>0.0</v>
      </c>
      <c r="C66" s="11">
        <f si="0" t="shared"/>
        <v>0</v>
      </c>
      <c r="E66" s="74">
        <v>55</v>
      </c>
      <c r="F66" s="337" t="n">
        <v>55.037862024643836</v>
      </c>
      <c r="G66" s="11">
        <f si="1" t="shared"/>
        <v>6.620759774017608E-5</v>
      </c>
    </row>
    <row r="67" spans="1:7" x14ac:dyDescent="0.25">
      <c r="A67">
        <v>56</v>
      </c>
      <c r="B67" s="335" t="n">
        <v>0.0</v>
      </c>
      <c r="C67" s="11">
        <f si="0" t="shared"/>
        <v>0</v>
      </c>
      <c r="E67" s="75">
        <v>56</v>
      </c>
      <c r="F67" s="337" t="n">
        <v>38.34079746259669</v>
      </c>
      <c r="G67" s="11">
        <f si="1" t="shared"/>
        <v>2.3438863365834915E-5</v>
      </c>
    </row>
    <row r="68" spans="1:7" x14ac:dyDescent="0.25">
      <c r="A68">
        <v>57</v>
      </c>
      <c r="B68" s="335" t="n">
        <v>0.0</v>
      </c>
      <c r="C68" s="11">
        <f si="0" t="shared"/>
        <v>0</v>
      </c>
      <c r="E68" s="76">
        <v>57</v>
      </c>
      <c r="F68" s="337" t="n">
        <v>32.90023790338247</v>
      </c>
      <c r="G68" s="11">
        <f si="1" t="shared"/>
        <v>6.9515684074208006E-5</v>
      </c>
    </row>
    <row r="69" spans="1:7" x14ac:dyDescent="0.25">
      <c r="A69">
        <v>58</v>
      </c>
      <c r="B69" s="335" t="n">
        <v>0.0</v>
      </c>
      <c r="C69" s="11">
        <f si="0" t="shared"/>
        <v>0</v>
      </c>
      <c r="E69" s="77">
        <v>58</v>
      </c>
      <c r="F69" s="337" t="n">
        <v>36.117574827322166</v>
      </c>
      <c r="G69" s="11">
        <f si="1" t="shared"/>
        <v>3.1278787174370786E-5</v>
      </c>
    </row>
    <row r="70" spans="1:7" x14ac:dyDescent="0.25">
      <c r="A70">
        <v>59</v>
      </c>
      <c r="B70" s="335" t="n">
        <v>0.0</v>
      </c>
      <c r="C70" s="11">
        <f si="0" t="shared"/>
        <v>0</v>
      </c>
      <c r="E70" s="78">
        <v>59</v>
      </c>
      <c r="F70" s="337" t="n">
        <v>13.567249624070174</v>
      </c>
      <c r="G70" s="11">
        <f si="1" t="shared"/>
        <v>0</v>
      </c>
    </row>
    <row r="71" spans="1:7" x14ac:dyDescent="0.25">
      <c r="A71">
        <v>60</v>
      </c>
      <c r="B71" s="335" t="n">
        <v>0.0</v>
      </c>
      <c r="C71" s="11">
        <f si="0" t="shared"/>
        <v>0</v>
      </c>
      <c r="E71" s="79">
        <v>60</v>
      </c>
      <c r="F71" s="337" t="n">
        <v>21.526069440509158</v>
      </c>
      <c r="G71" s="11">
        <f si="1" t="shared"/>
        <v>3.0719150652367604E-5</v>
      </c>
    </row>
    <row r="72" spans="1:7" x14ac:dyDescent="0.25">
      <c r="A72">
        <v>61</v>
      </c>
      <c r="B72" s="335" t="n">
        <v>0.0</v>
      </c>
      <c r="C72" s="11">
        <f si="0" t="shared"/>
        <v>0</v>
      </c>
      <c r="E72" s="80">
        <v>61</v>
      </c>
      <c r="F72" s="337" t="n">
        <v>25.697169495440164</v>
      </c>
      <c r="G72" s="11">
        <f si="1" t="shared"/>
        <v>1.5483596443247348E-5</v>
      </c>
    </row>
    <row r="73" spans="1:7" x14ac:dyDescent="0.25">
      <c r="A73">
        <v>62</v>
      </c>
      <c r="B73" s="335" t="n">
        <v>0.0</v>
      </c>
      <c r="C73" s="11">
        <f si="0" t="shared"/>
        <v>0</v>
      </c>
      <c r="E73" s="81">
        <v>62</v>
      </c>
      <c r="F73" s="337" t="n">
        <v>14.157712977128172</v>
      </c>
      <c r="G73" s="11">
        <f si="1" t="shared"/>
        <v>1.5838864218781268E-5</v>
      </c>
    </row>
    <row r="74" spans="1:7" x14ac:dyDescent="0.25">
      <c r="A74">
        <v>63</v>
      </c>
      <c r="B74" s="335" t="n">
        <v>0.0</v>
      </c>
      <c r="C74" s="11">
        <f si="0" t="shared"/>
        <v>0</v>
      </c>
      <c r="E74" s="82">
        <v>63</v>
      </c>
      <c r="F74" s="337" t="n">
        <v>4.6</v>
      </c>
      <c r="G74" s="11">
        <f si="1" t="shared"/>
        <v>0</v>
      </c>
    </row>
    <row r="75" spans="1:7" x14ac:dyDescent="0.25">
      <c r="A75">
        <v>64</v>
      </c>
      <c r="B75" s="335" t="n">
        <v>0.0</v>
      </c>
      <c r="C75" s="11">
        <f si="0" t="shared"/>
        <v>0</v>
      </c>
      <c r="E75" s="83">
        <v>64</v>
      </c>
      <c r="F75" s="337" t="n">
        <v>1.15</v>
      </c>
      <c r="G75" s="11">
        <f si="1" t="shared"/>
        <v>1.5450634165104909E-5</v>
      </c>
    </row>
    <row r="76" spans="1:7" x14ac:dyDescent="0.25">
      <c r="A76">
        <v>65</v>
      </c>
      <c r="B76" s="335" t="n">
        <v>0.0</v>
      </c>
      <c r="C76" s="11">
        <f si="0" t="shared"/>
        <v>0</v>
      </c>
      <c r="E76" s="84">
        <v>65</v>
      </c>
      <c r="F76" s="337" t="n">
        <v>0.0</v>
      </c>
      <c r="G76" s="11">
        <f si="1" t="shared"/>
        <v>0</v>
      </c>
    </row>
    <row r="77" spans="1:7" x14ac:dyDescent="0.25">
      <c r="A77">
        <v>66</v>
      </c>
      <c r="B77" s="335" t="n">
        <v>0.0</v>
      </c>
      <c r="C77" s="11">
        <f ref="C77:C102" si="2" t="shared">B77/B$102</f>
        <v>0</v>
      </c>
      <c r="E77" s="85">
        <v>66</v>
      </c>
      <c r="F77" s="337" t="n">
        <v>5.75</v>
      </c>
      <c r="G77" s="11">
        <f ref="G77:G102" si="3" t="shared">F77/F$102</f>
        <v>0</v>
      </c>
    </row>
    <row r="78" spans="1:7" x14ac:dyDescent="0.25">
      <c r="A78">
        <v>67</v>
      </c>
      <c r="B78" s="335" t="n">
        <v>0.0</v>
      </c>
      <c r="C78" s="11">
        <f si="2" t="shared"/>
        <v>0</v>
      </c>
      <c r="E78" s="86">
        <v>67</v>
      </c>
      <c r="F78" s="337" t="n">
        <v>3.4499999999999997</v>
      </c>
      <c r="G78" s="11">
        <f si="3" t="shared"/>
        <v>0</v>
      </c>
    </row>
    <row r="79" spans="1:7" x14ac:dyDescent="0.25">
      <c r="A79">
        <v>68</v>
      </c>
      <c r="B79" s="335" t="n">
        <v>0.0</v>
      </c>
      <c r="C79" s="11">
        <f si="2" t="shared"/>
        <v>0</v>
      </c>
      <c r="E79" s="87">
        <v>68</v>
      </c>
      <c r="F79" s="337" t="n">
        <v>20.37072313084994</v>
      </c>
      <c r="G79" s="11">
        <f si="3" t="shared"/>
        <v>1.5457493274640336E-5</v>
      </c>
    </row>
    <row r="80" spans="1:7" x14ac:dyDescent="0.25">
      <c r="A80">
        <v>69</v>
      </c>
      <c r="B80" s="335" t="n">
        <v>0.0</v>
      </c>
      <c r="C80" s="11">
        <f si="2" t="shared"/>
        <v>0</v>
      </c>
      <c r="E80" s="88">
        <v>69</v>
      </c>
      <c r="F80" s="337" t="n">
        <v>6.217574827322165</v>
      </c>
      <c r="G80" s="11">
        <f si="3" t="shared"/>
        <v>3.0968726447650379E-5</v>
      </c>
    </row>
    <row r="81" spans="1:7" x14ac:dyDescent="0.25">
      <c r="A81">
        <v>70</v>
      </c>
      <c r="B81" s="335" t="n">
        <v>0.0</v>
      </c>
      <c r="C81" s="11">
        <f si="2" t="shared"/>
        <v>0</v>
      </c>
      <c r="E81" s="89">
        <v>70</v>
      </c>
      <c r="F81" s="337" t="n">
        <v>9.262480591187419</v>
      </c>
      <c r="G81" s="11">
        <f si="3" t="shared"/>
        <v>3.0933028696102945E-5</v>
      </c>
    </row>
    <row r="82" spans="1:7" x14ac:dyDescent="0.25">
      <c r="A82">
        <v>71</v>
      </c>
      <c r="B82" s="335" t="n">
        <v>0.0</v>
      </c>
      <c r="C82" s="11">
        <f si="2" t="shared"/>
        <v>0</v>
      </c>
      <c r="E82" s="90">
        <v>71</v>
      </c>
      <c r="F82" s="337" t="n">
        <v>0.233997800384635</v>
      </c>
      <c r="G82" s="11">
        <f si="3" t="shared"/>
        <v>1.5327771479042058E-5</v>
      </c>
    </row>
    <row r="83" spans="1:7" x14ac:dyDescent="0.25">
      <c r="A83">
        <v>72</v>
      </c>
      <c r="B83" s="335" t="n">
        <v>0.0</v>
      </c>
      <c r="C83" s="11">
        <f si="2" t="shared"/>
        <v>0</v>
      </c>
      <c r="E83" s="91">
        <v>72</v>
      </c>
      <c r="F83" s="337" t="n">
        <v>0.0</v>
      </c>
      <c r="G83" s="11">
        <f si="3" t="shared"/>
        <v>0</v>
      </c>
    </row>
    <row r="84" spans="1:7" x14ac:dyDescent="0.25">
      <c r="A84">
        <v>73</v>
      </c>
      <c r="B84" s="335" t="n">
        <v>0.0</v>
      </c>
      <c r="C84" s="11">
        <f si="2" t="shared"/>
        <v>0</v>
      </c>
      <c r="E84" s="92">
        <v>73</v>
      </c>
      <c r="F84" s="337" t="n">
        <v>0.0</v>
      </c>
      <c r="G84" s="11">
        <f si="3" t="shared"/>
        <v>0</v>
      </c>
    </row>
    <row r="85" spans="1:7" x14ac:dyDescent="0.25">
      <c r="A85">
        <v>74</v>
      </c>
      <c r="B85" s="335" t="n">
        <v>0.0</v>
      </c>
      <c r="C85" s="11">
        <f si="2" t="shared"/>
        <v>0</v>
      </c>
      <c r="E85" s="93">
        <v>74</v>
      </c>
      <c r="F85" s="337" t="n">
        <v>0.0</v>
      </c>
      <c r="G85" s="11">
        <f si="3" t="shared"/>
        <v>0</v>
      </c>
    </row>
    <row r="86" spans="1:7" x14ac:dyDescent="0.25">
      <c r="A86">
        <v>75</v>
      </c>
      <c r="B86" s="335" t="n">
        <v>0.0</v>
      </c>
      <c r="C86" s="11">
        <f si="2" t="shared"/>
        <v>0</v>
      </c>
      <c r="E86" s="94">
        <v>75</v>
      </c>
      <c r="F86" s="337" t="n">
        <v>0.0</v>
      </c>
      <c r="G86" s="11">
        <f si="3" t="shared"/>
        <v>1.5385752588172143E-5</v>
      </c>
    </row>
    <row r="87" spans="1:7" x14ac:dyDescent="0.25">
      <c r="A87">
        <v>76</v>
      </c>
      <c r="B87" s="335" t="n">
        <v>0.0</v>
      </c>
      <c r="C87" s="11">
        <f si="2" t="shared"/>
        <v>0</v>
      </c>
      <c r="E87" s="95">
        <v>76</v>
      </c>
      <c r="F87" s="337" t="n">
        <v>4.6</v>
      </c>
      <c r="G87" s="11">
        <f si="3" t="shared"/>
        <v>0</v>
      </c>
    </row>
    <row r="88" spans="1:7" x14ac:dyDescent="0.25">
      <c r="A88">
        <v>77</v>
      </c>
      <c r="B88" s="335" t="n">
        <v>0.0</v>
      </c>
      <c r="C88" s="11">
        <f si="2" t="shared"/>
        <v>0</v>
      </c>
      <c r="E88" s="96">
        <v>77</v>
      </c>
      <c r="F88" s="337" t="n">
        <v>1.539406779661043</v>
      </c>
      <c r="G88" s="11">
        <f si="3" t="shared"/>
        <v>0</v>
      </c>
    </row>
    <row r="89" spans="1:7" x14ac:dyDescent="0.25">
      <c r="A89">
        <v>78</v>
      </c>
      <c r="B89" s="335" t="n">
        <v>0.0</v>
      </c>
      <c r="C89" s="11">
        <f si="2" t="shared"/>
        <v>0</v>
      </c>
      <c r="E89" s="97">
        <v>78</v>
      </c>
      <c r="F89" s="337" t="n">
        <v>1.15</v>
      </c>
      <c r="G89" s="11">
        <f si="3" t="shared"/>
        <v>1.5286015536252917E-5</v>
      </c>
    </row>
    <row r="90" spans="1:7" x14ac:dyDescent="0.25">
      <c r="A90">
        <v>79</v>
      </c>
      <c r="B90" s="335" t="n">
        <v>0.0</v>
      </c>
      <c r="C90" s="11">
        <f si="2" t="shared"/>
        <v>0</v>
      </c>
      <c r="E90" s="98">
        <v>79</v>
      </c>
      <c r="F90" s="337" t="n">
        <v>2.3</v>
      </c>
      <c r="G90" s="11">
        <f si="3" t="shared"/>
        <v>0</v>
      </c>
    </row>
    <row r="91" spans="1:7" x14ac:dyDescent="0.25">
      <c r="A91">
        <v>80</v>
      </c>
      <c r="B91" s="335" t="n">
        <v>0.0</v>
      </c>
      <c r="C91" s="11">
        <f si="2" t="shared"/>
        <v>0</v>
      </c>
      <c r="E91" s="99">
        <v>80</v>
      </c>
      <c r="F91" s="337" t="n">
        <v>0.0</v>
      </c>
      <c r="G91" s="11">
        <f si="3" t="shared"/>
        <v>0</v>
      </c>
    </row>
    <row r="92" spans="1:7" x14ac:dyDescent="0.25">
      <c r="A92">
        <v>81</v>
      </c>
      <c r="B92" s="335" t="n">
        <v>0.0</v>
      </c>
      <c r="C92" s="11">
        <f si="2" t="shared"/>
        <v>0</v>
      </c>
      <c r="E92" s="100">
        <v>81</v>
      </c>
      <c r="F92" s="337" t="n">
        <v>1.544393305439387</v>
      </c>
      <c r="G92" s="11">
        <f si="3" t="shared"/>
        <v>0</v>
      </c>
    </row>
    <row r="93" spans="1:7" x14ac:dyDescent="0.25">
      <c r="A93">
        <v>82</v>
      </c>
      <c r="B93" s="335" t="n">
        <v>0.0</v>
      </c>
      <c r="C93" s="11">
        <f si="2" t="shared"/>
        <v>0</v>
      </c>
      <c r="E93" s="101">
        <v>82</v>
      </c>
      <c r="F93" s="337" t="n">
        <v>0.0</v>
      </c>
      <c r="G93" s="11">
        <f si="3" t="shared"/>
        <v>0</v>
      </c>
    </row>
    <row r="94" spans="1:7" x14ac:dyDescent="0.25">
      <c r="A94">
        <v>83</v>
      </c>
      <c r="B94" s="335" t="n">
        <v>0.0</v>
      </c>
      <c r="C94" s="11">
        <f si="2" t="shared"/>
        <v>0</v>
      </c>
      <c r="E94" s="102">
        <v>83</v>
      </c>
      <c r="F94" s="337" t="n">
        <v>1.938786610878774</v>
      </c>
      <c r="G94" s="11">
        <f si="3" t="shared"/>
        <v>0</v>
      </c>
    </row>
    <row r="95" spans="1:7" x14ac:dyDescent="0.25">
      <c r="A95">
        <v>84</v>
      </c>
      <c r="B95" s="335" t="n">
        <v>0.0</v>
      </c>
      <c r="C95" s="11">
        <f si="2" t="shared"/>
        <v>0</v>
      </c>
      <c r="E95" s="103">
        <v>84</v>
      </c>
      <c r="F95" s="337" t="n">
        <v>0.0</v>
      </c>
      <c r="G95" s="11">
        <f si="3" t="shared"/>
        <v>0</v>
      </c>
    </row>
    <row r="96" spans="1:7" x14ac:dyDescent="0.25">
      <c r="A96">
        <v>85</v>
      </c>
      <c r="B96" s="335" t="n">
        <v>0.0</v>
      </c>
      <c r="C96" s="11">
        <f si="2" t="shared"/>
        <v>0</v>
      </c>
      <c r="E96" s="104">
        <v>85</v>
      </c>
      <c r="F96" s="337" t="n">
        <v>1.15</v>
      </c>
      <c r="G96" s="11">
        <f si="3" t="shared"/>
        <v>0</v>
      </c>
    </row>
    <row r="97" spans="1:7" x14ac:dyDescent="0.25">
      <c r="A97">
        <v>86</v>
      </c>
      <c r="B97" s="335" t="n">
        <v>0.0</v>
      </c>
      <c r="C97" s="11">
        <f si="2" t="shared"/>
        <v>0</v>
      </c>
      <c r="E97" s="105">
        <v>86</v>
      </c>
      <c r="F97" s="337" t="n">
        <v>0.0</v>
      </c>
      <c r="G97" s="11">
        <f si="3" t="shared"/>
        <v>0</v>
      </c>
    </row>
    <row r="98" spans="1:7" x14ac:dyDescent="0.25">
      <c r="A98">
        <v>87</v>
      </c>
      <c r="B98" s="335" t="n">
        <v>0.0</v>
      </c>
      <c r="C98" s="11">
        <f si="2" t="shared"/>
        <v>0</v>
      </c>
      <c r="E98" s="106">
        <v>87</v>
      </c>
      <c r="F98" s="337" t="n">
        <v>0.0</v>
      </c>
      <c r="G98" s="11">
        <f si="3" t="shared"/>
        <v>0</v>
      </c>
    </row>
    <row r="99" spans="1:7" x14ac:dyDescent="0.25">
      <c r="A99">
        <v>88</v>
      </c>
      <c r="B99" s="335" t="n">
        <v>0.0</v>
      </c>
      <c r="C99" s="11">
        <f si="2" t="shared"/>
        <v>0</v>
      </c>
      <c r="E99" s="107">
        <v>88</v>
      </c>
      <c r="F99" s="337" t="n">
        <v>0.0</v>
      </c>
      <c r="G99" s="11">
        <f si="3" t="shared"/>
        <v>0</v>
      </c>
    </row>
    <row r="100" spans="1:7" x14ac:dyDescent="0.25">
      <c r="A100">
        <v>89</v>
      </c>
      <c r="B100" s="335" t="n">
        <v>0.0</v>
      </c>
      <c r="C100" s="11">
        <f si="2" t="shared"/>
        <v>0</v>
      </c>
      <c r="E100" s="108">
        <v>89</v>
      </c>
      <c r="F100" s="337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336" t="n">
        <v>0.0</v>
      </c>
      <c r="C101" s="11">
        <f si="2" t="shared"/>
        <v>0</v>
      </c>
      <c r="E101" s="291">
        <v>90</v>
      </c>
      <c r="F101" s="338" t="n">
        <v>0.0</v>
      </c>
      <c r="G101" s="11">
        <f si="3" t="shared"/>
        <v>0</v>
      </c>
    </row>
    <row r="102" spans="1:7" x14ac:dyDescent="0.25">
      <c r="B102" s="335">
        <f>SUM(B11:B101)</f>
        <v>647767.55754784425</v>
      </c>
      <c r="C102" s="11">
        <f si="2" t="shared"/>
        <v>1</v>
      </c>
      <c r="F102" s="335">
        <f>SUM(F11:F101)</f>
        <v>647962.3078539588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>
      <selection activeCell="K31" sqref="K3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5105.924878342</v>
      </c>
      <c r="C11" s="11">
        <f>B11/B$102</f>
        <v>7.8823411559398367E-3</v>
      </c>
      <c r="E11" s="109">
        <v>0</v>
      </c>
      <c r="F11" s="199" t="n">
        <v>20045.7262669047</v>
      </c>
      <c r="G11" s="11">
        <f>F11/F$102</f>
        <v>2.7725613068513323E-2</v>
      </c>
      <c r="K11" s="8" t="n">
        <v>22.15593424968025</v>
      </c>
      <c r="L11" s="8" t="n">
        <v>19.598580032613217</v>
      </c>
    </row>
    <row r="12" spans="1:12" x14ac:dyDescent="0.25">
      <c r="A12">
        <v>1</v>
      </c>
      <c r="B12" s="8" t="n">
        <v>5412.8913844765</v>
      </c>
      <c r="C12" s="11">
        <f>B12/B$102</f>
        <v>8.3562248856167854E-3</v>
      </c>
      <c r="E12" s="110">
        <v>1</v>
      </c>
      <c r="F12" s="200" t="n">
        <v>15990.800035658409</v>
      </c>
      <c r="G12" s="11">
        <f>F12/F$102</f>
        <v>2.4166643510594249E-2</v>
      </c>
      <c r="K12" s="8"/>
      <c r="L12" s="290"/>
    </row>
    <row r="13" spans="1:12" x14ac:dyDescent="0.25">
      <c r="A13">
        <v>2</v>
      </c>
      <c r="B13" s="8" t="n">
        <v>5422.716751428</v>
      </c>
      <c r="C13" s="11">
        <f ref="C13:C76" si="0" t="shared">B13/B$102</f>
        <v>8.3713929298280358E-3</v>
      </c>
      <c r="E13" s="111">
        <v>2</v>
      </c>
      <c r="F13" s="201" t="n">
        <v>19090.12458750263</v>
      </c>
      <c r="G13" s="11">
        <f ref="G13:G76" si="1" t="shared">F13/F$102</f>
        <v>3.0506588636674783E-2</v>
      </c>
    </row>
    <row r="14" spans="1:12" x14ac:dyDescent="0.25">
      <c r="A14">
        <v>3</v>
      </c>
      <c r="B14" s="8" t="n">
        <v>8995.9253181265</v>
      </c>
      <c r="C14" s="11">
        <f si="0" t="shared"/>
        <v>1.3887582379366161E-2</v>
      </c>
      <c r="E14" s="112">
        <v>3</v>
      </c>
      <c r="F14" s="202" t="n">
        <v>20711.88021101758</v>
      </c>
      <c r="G14" s="11">
        <f si="1" t="shared"/>
        <v>3.0806878245120288E-2</v>
      </c>
    </row>
    <row r="15" spans="1:12" x14ac:dyDescent="0.25">
      <c r="A15">
        <v>4</v>
      </c>
      <c r="B15" s="8" t="n">
        <v>6411.2446108812</v>
      </c>
      <c r="C15" s="11">
        <f si="0" t="shared"/>
        <v>9.8974462925424649E-3</v>
      </c>
      <c r="E15" s="113">
        <v>4</v>
      </c>
      <c r="F15" s="203" t="n">
        <v>20961.055038559047</v>
      </c>
      <c r="G15" s="11">
        <f si="1" t="shared"/>
        <v>3.1113237094699746E-2</v>
      </c>
    </row>
    <row r="16" spans="1:12" x14ac:dyDescent="0.25">
      <c r="A16">
        <v>5</v>
      </c>
      <c r="B16" s="8" t="n">
        <v>11002.780564376899</v>
      </c>
      <c r="C16" s="11">
        <f si="0" t="shared"/>
        <v>1.6985692531482219E-2</v>
      </c>
      <c r="E16" s="114">
        <v>5</v>
      </c>
      <c r="F16" s="204" t="n">
        <v>19938.029866333836</v>
      </c>
      <c r="G16" s="11">
        <f si="1" t="shared"/>
        <v>2.9534890446801368E-2</v>
      </c>
    </row>
    <row r="17" spans="1:7" x14ac:dyDescent="0.25">
      <c r="A17">
        <v>6</v>
      </c>
      <c r="B17" s="8" t="n">
        <v>11132.0476186587</v>
      </c>
      <c r="C17" s="11">
        <f si="0" t="shared"/>
        <v>1.7185250309230689E-2</v>
      </c>
      <c r="E17" s="115">
        <v>6</v>
      </c>
      <c r="F17" s="205" t="n">
        <v>18993.66572752891</v>
      </c>
      <c r="G17" s="11">
        <f si="1" t="shared"/>
        <v>2.8566235625743779E-2</v>
      </c>
    </row>
    <row r="18" spans="1:7" x14ac:dyDescent="0.25">
      <c r="A18">
        <v>7</v>
      </c>
      <c r="B18" s="8" t="n">
        <v>12878.5938719198</v>
      </c>
      <c r="C18" s="11">
        <f si="0" t="shared"/>
        <v>1.9881504903815104E-2</v>
      </c>
      <c r="E18" s="116">
        <v>7</v>
      </c>
      <c r="F18" s="206" t="n">
        <v>18082.603769548077</v>
      </c>
      <c r="G18" s="11">
        <f si="1" t="shared"/>
        <v>2.7168310276588854E-2</v>
      </c>
    </row>
    <row r="19" spans="1:7" x14ac:dyDescent="0.25">
      <c r="A19">
        <v>8</v>
      </c>
      <c r="B19" s="8" t="n">
        <v>6601.8343167874</v>
      </c>
      <c r="C19" s="11">
        <f si="0" t="shared"/>
        <v>1.0191671749939075E-2</v>
      </c>
      <c r="E19" s="117">
        <v>8</v>
      </c>
      <c r="F19" s="207" t="n">
        <v>16955.097056410017</v>
      </c>
      <c r="G19" s="11">
        <f si="1" t="shared"/>
        <v>2.517569191204878E-2</v>
      </c>
    </row>
    <row r="20" spans="1:7" x14ac:dyDescent="0.25">
      <c r="A20">
        <v>9</v>
      </c>
      <c r="B20" s="8" t="n">
        <v>13591.1873498755</v>
      </c>
      <c r="C20" s="11">
        <f si="0" t="shared"/>
        <v>2.0981580802418697E-2</v>
      </c>
      <c r="E20" s="118">
        <v>9</v>
      </c>
      <c r="F20" s="208" t="n">
        <v>15396.040870153536</v>
      </c>
      <c r="G20" s="11">
        <f si="1" t="shared"/>
        <v>2.3244959451859323E-2</v>
      </c>
    </row>
    <row r="21" spans="1:7" x14ac:dyDescent="0.25">
      <c r="A21">
        <v>10</v>
      </c>
      <c r="B21" s="8" t="n">
        <v>6709.0241913616</v>
      </c>
      <c r="C21" s="11">
        <f si="0" t="shared"/>
        <v>1.0357147580466885E-2</v>
      </c>
      <c r="E21" s="119">
        <v>10</v>
      </c>
      <c r="F21" s="209" t="n">
        <v>13409.39420944357</v>
      </c>
      <c r="G21" s="11">
        <f si="1" t="shared"/>
        <v>2.0857111773156529E-2</v>
      </c>
    </row>
    <row r="22" spans="1:7" x14ac:dyDescent="0.25">
      <c r="A22">
        <v>11</v>
      </c>
      <c r="B22" s="8" t="n">
        <v>13501.3204330015</v>
      </c>
      <c r="C22" s="11">
        <f si="0" t="shared"/>
        <v>2.0842847524058485E-2</v>
      </c>
      <c r="E22" s="120">
        <v>11</v>
      </c>
      <c r="F22" s="210" t="n">
        <v>11883.540232417574</v>
      </c>
      <c r="G22" s="11">
        <f si="1" t="shared"/>
        <v>1.7996953198494078E-2</v>
      </c>
    </row>
    <row r="23" spans="1:7" x14ac:dyDescent="0.25">
      <c r="A23">
        <v>12</v>
      </c>
      <c r="B23" s="8" t="n">
        <v>19825.251585863</v>
      </c>
      <c r="C23" s="11">
        <f si="0" t="shared"/>
        <v>3.060550247516633E-2</v>
      </c>
      <c r="E23" s="121">
        <v>12</v>
      </c>
      <c r="F23" s="211" t="n">
        <v>11034.424360996323</v>
      </c>
      <c r="G23" s="11">
        <f si="1" t="shared"/>
        <v>1.6914083850422805E-2</v>
      </c>
    </row>
    <row r="24" spans="1:7" x14ac:dyDescent="0.25">
      <c r="A24">
        <v>13</v>
      </c>
      <c r="B24" s="8" t="n">
        <v>9266.783585143201</v>
      </c>
      <c r="C24" s="11">
        <f si="0" t="shared"/>
        <v>1.4305723522528763E-2</v>
      </c>
      <c r="E24" s="122">
        <v>13</v>
      </c>
      <c r="F24" s="212" t="n">
        <v>9139.099748006907</v>
      </c>
      <c r="G24" s="11">
        <f si="1" t="shared"/>
        <v>1.424438442333893E-2</v>
      </c>
    </row>
    <row r="25" spans="1:7" x14ac:dyDescent="0.25">
      <c r="A25">
        <v>14</v>
      </c>
      <c r="B25" s="8" t="n">
        <v>12275.5732279132</v>
      </c>
      <c r="C25" s="11">
        <f si="0" t="shared"/>
        <v>1.8950583561768639E-2</v>
      </c>
      <c r="E25" s="123">
        <v>14</v>
      </c>
      <c r="F25" s="213" t="n">
        <v>8146.524717449014</v>
      </c>
      <c r="G25" s="11">
        <f si="1" t="shared"/>
        <v>1.2160482042487788E-2</v>
      </c>
    </row>
    <row r="26" spans="1:7" x14ac:dyDescent="0.25">
      <c r="A26">
        <v>15</v>
      </c>
      <c r="B26" s="8" t="n">
        <v>1534.9153554067</v>
      </c>
      <c r="C26" s="11">
        <f si="0" t="shared"/>
        <v>2.3695465101975727E-3</v>
      </c>
      <c r="E26" s="124">
        <v>15</v>
      </c>
      <c r="F26" s="214" t="n">
        <v>7662.031142507324</v>
      </c>
      <c r="G26" s="11">
        <f si="1" t="shared"/>
        <v>1.2504219102425286E-2</v>
      </c>
    </row>
    <row r="27" spans="1:7" x14ac:dyDescent="0.25">
      <c r="A27">
        <v>16</v>
      </c>
      <c r="B27" s="8" t="n">
        <v>36476.5443891382</v>
      </c>
      <c r="C27" s="11">
        <f si="0" t="shared"/>
        <v>5.6311162799233011E-2</v>
      </c>
      <c r="E27" s="125">
        <v>16</v>
      </c>
      <c r="F27" s="215" t="n">
        <v>6876.947937959263</v>
      </c>
      <c r="G27" s="11">
        <f si="1" t="shared"/>
        <v>1.0376222155798644E-2</v>
      </c>
    </row>
    <row r="28" spans="1:7" x14ac:dyDescent="0.25">
      <c r="A28">
        <v>17</v>
      </c>
      <c r="B28" s="8" t="n">
        <v>17636.713957282</v>
      </c>
      <c r="C28" s="11">
        <f si="0" t="shared"/>
        <v>2.722691766788482E-2</v>
      </c>
      <c r="E28" s="126">
        <v>17</v>
      </c>
      <c r="F28" s="216" t="n">
        <v>6181.130661630655</v>
      </c>
      <c r="G28" s="11">
        <f si="1" t="shared"/>
        <v>1.0147238343107285E-2</v>
      </c>
    </row>
    <row r="29" spans="1:7" x14ac:dyDescent="0.25">
      <c r="A29">
        <v>18</v>
      </c>
      <c r="B29" s="8" t="n">
        <v>50573.8350385529</v>
      </c>
      <c r="C29" s="11">
        <f si="0" t="shared"/>
        <v>7.8074047471600169E-2</v>
      </c>
      <c r="E29" s="127">
        <v>18</v>
      </c>
      <c r="F29" s="217" t="n">
        <v>81240.43771824907</v>
      </c>
      <c r="G29" s="11">
        <f si="1" t="shared"/>
        <v>0.12298424628133875</v>
      </c>
    </row>
    <row r="30" spans="1:7" x14ac:dyDescent="0.25">
      <c r="A30">
        <v>19</v>
      </c>
      <c r="B30" s="8" t="n">
        <v>21628.9416653866</v>
      </c>
      <c r="C30" s="11">
        <f si="0" t="shared"/>
        <v>3.3389973630763493E-2</v>
      </c>
      <c r="E30" s="128">
        <v>19</v>
      </c>
      <c r="F30" s="218" t="n">
        <v>23109.202384655066</v>
      </c>
      <c r="G30" s="11">
        <f si="1" t="shared"/>
        <v>3.4720086199122868E-2</v>
      </c>
    </row>
    <row r="31" spans="1:7" x14ac:dyDescent="0.25">
      <c r="A31">
        <v>20</v>
      </c>
      <c r="B31" s="8" t="n">
        <v>44280.4145247083</v>
      </c>
      <c r="C31" s="11">
        <f si="0" t="shared"/>
        <v>6.8358493735521372E-2</v>
      </c>
      <c r="E31" s="129">
        <v>20</v>
      </c>
      <c r="F31" s="219" t="n">
        <v>20292.548159967064</v>
      </c>
      <c r="G31" s="11">
        <f si="1" t="shared"/>
        <v>3.2007360873517007E-2</v>
      </c>
    </row>
    <row r="32" spans="1:7" x14ac:dyDescent="0.25">
      <c r="A32">
        <v>21</v>
      </c>
      <c r="B32" s="8" t="n">
        <v>39767.9164662281</v>
      </c>
      <c r="C32" s="11">
        <f si="0" t="shared"/>
        <v>6.1392263324781933E-2</v>
      </c>
      <c r="E32" s="130">
        <v>21</v>
      </c>
      <c r="F32" s="220" t="n">
        <v>29696.009284146687</v>
      </c>
      <c r="G32" s="11">
        <f si="1" t="shared"/>
        <v>4.6504469066808864E-2</v>
      </c>
    </row>
    <row r="33" spans="1:7" x14ac:dyDescent="0.25">
      <c r="A33">
        <v>22</v>
      </c>
      <c r="B33" s="8" t="n">
        <v>35963.611184434</v>
      </c>
      <c r="C33" s="11">
        <f si="0" t="shared"/>
        <v>5.5519315170052666E-2</v>
      </c>
      <c r="E33" s="131">
        <v>22</v>
      </c>
      <c r="F33" s="221" t="n">
        <v>28847.119948922747</v>
      </c>
      <c r="G33" s="11">
        <f si="1" t="shared"/>
        <v>4.2461144460325506E-2</v>
      </c>
    </row>
    <row r="34" spans="1:7" x14ac:dyDescent="0.25">
      <c r="A34">
        <v>23</v>
      </c>
      <c r="B34" s="8" t="n">
        <v>20849.1719522749</v>
      </c>
      <c r="C34" s="11">
        <f si="0" t="shared"/>
        <v>3.2186193503114691E-2</v>
      </c>
      <c r="E34" s="132">
        <v>23</v>
      </c>
      <c r="F34" s="222" t="n">
        <v>18027.633339797885</v>
      </c>
      <c r="G34" s="11">
        <f si="1" t="shared"/>
        <v>2.5391783945716954E-2</v>
      </c>
    </row>
    <row r="35" spans="1:7" x14ac:dyDescent="0.25">
      <c r="A35">
        <v>24</v>
      </c>
      <c r="B35" s="8" t="n">
        <v>24106.870151671</v>
      </c>
      <c r="C35" s="11">
        <f si="0" t="shared"/>
        <v>3.7215309520792814E-2</v>
      </c>
      <c r="E35" s="133">
        <v>24</v>
      </c>
      <c r="F35" s="223" t="n">
        <v>17289.266229318717</v>
      </c>
      <c r="G35" s="11">
        <f si="1" t="shared"/>
        <v>2.7073806168121758E-2</v>
      </c>
    </row>
    <row r="36" spans="1:7" x14ac:dyDescent="0.25">
      <c r="A36">
        <v>25</v>
      </c>
      <c r="B36" s="8" t="n">
        <v>17873.8082586151</v>
      </c>
      <c r="C36" s="11">
        <f si="0" t="shared"/>
        <v>2.7592935228613905E-2</v>
      </c>
      <c r="E36" s="134">
        <v>25</v>
      </c>
      <c r="F36" s="224" t="n">
        <v>16406.82013775614</v>
      </c>
      <c r="G36" s="11">
        <f si="1" t="shared"/>
        <v>2.20238536166566E-2</v>
      </c>
    </row>
    <row r="37" spans="1:7" x14ac:dyDescent="0.25">
      <c r="A37">
        <v>26</v>
      </c>
      <c r="B37" s="8" t="n">
        <v>31361.0697096279</v>
      </c>
      <c r="C37" s="11">
        <f si="0" t="shared"/>
        <v>4.8414079007517381E-2</v>
      </c>
      <c r="E37" s="135">
        <v>26</v>
      </c>
      <c r="F37" s="225" t="n">
        <v>12781.877602864173</v>
      </c>
      <c r="G37" s="11">
        <f si="1" t="shared"/>
        <v>2.145318594535621E-2</v>
      </c>
    </row>
    <row r="38" spans="1:7" x14ac:dyDescent="0.25">
      <c r="A38">
        <v>27</v>
      </c>
      <c r="B38" s="8" t="n">
        <v>7141.4740373969</v>
      </c>
      <c r="C38" s="11">
        <f si="0" t="shared"/>
        <v>1.1024747927221452E-2</v>
      </c>
      <c r="E38" s="136">
        <v>27</v>
      </c>
      <c r="F38" s="226" t="n">
        <v>9212.521952000741</v>
      </c>
      <c r="G38" s="11">
        <f si="1" t="shared"/>
        <v>1.2712813865692604E-2</v>
      </c>
    </row>
    <row r="39" spans="1:7" x14ac:dyDescent="0.25">
      <c r="A39">
        <v>28</v>
      </c>
      <c r="B39" s="8" t="n">
        <v>11669.0787857126</v>
      </c>
      <c r="C39" s="11">
        <f si="0" t="shared"/>
        <v>1.8014299496391061E-2</v>
      </c>
      <c r="E39" s="137">
        <v>28</v>
      </c>
      <c r="F39" s="227" t="n">
        <v>9003.239437730486</v>
      </c>
      <c r="G39" s="11">
        <f si="1" t="shared"/>
        <v>1.2782719888293787E-2</v>
      </c>
    </row>
    <row r="40" spans="1:7" x14ac:dyDescent="0.25">
      <c r="A40">
        <v>29</v>
      </c>
      <c r="B40" s="8" t="n">
        <v>22597.847322537</v>
      </c>
      <c r="C40" s="11">
        <f si="0" t="shared"/>
        <v>3.4885734951102296E-2</v>
      </c>
      <c r="E40" s="138">
        <v>29</v>
      </c>
      <c r="F40" s="228" t="n">
        <v>8984.225149225329</v>
      </c>
      <c r="G40" s="11">
        <f si="1" t="shared"/>
        <v>1.5485436651956265E-2</v>
      </c>
    </row>
    <row r="41" spans="1:7" x14ac:dyDescent="0.25">
      <c r="A41">
        <v>30</v>
      </c>
      <c r="B41" s="8" t="n">
        <v>8001.9242200252</v>
      </c>
      <c r="C41" s="11">
        <f si="0" t="shared"/>
        <v>1.2353079629854996E-2</v>
      </c>
      <c r="E41" s="139">
        <v>30</v>
      </c>
      <c r="F41" s="229" t="n">
        <v>9187.319548469328</v>
      </c>
      <c r="G41" s="11">
        <f si="1" t="shared"/>
        <v>1.2617632103321586E-2</v>
      </c>
    </row>
    <row r="42" spans="1:7" x14ac:dyDescent="0.25">
      <c r="A42">
        <v>31</v>
      </c>
      <c r="B42" s="8" t="n">
        <v>5141.7663219134</v>
      </c>
      <c r="C42" s="11">
        <f si="0" t="shared"/>
        <v>7.9376718731913754E-3</v>
      </c>
      <c r="E42" s="140">
        <v>31</v>
      </c>
      <c r="F42" s="230" t="n">
        <v>7757.901340184224</v>
      </c>
      <c r="G42" s="11">
        <f si="1" t="shared"/>
        <v>1.2005507918419896E-2</v>
      </c>
    </row>
    <row r="43" spans="1:7" x14ac:dyDescent="0.25">
      <c r="A43">
        <v>32</v>
      </c>
      <c r="B43" s="8" t="n">
        <v>5295.2539796039</v>
      </c>
      <c r="C43" s="11">
        <f si="0" t="shared"/>
        <v>8.1746205377270544E-3</v>
      </c>
      <c r="E43" s="141">
        <v>32</v>
      </c>
      <c r="F43" s="231" t="n">
        <v>10672.64063732393</v>
      </c>
      <c r="G43" s="11">
        <f si="1" t="shared"/>
        <v>2.1045429838393678E-2</v>
      </c>
    </row>
    <row r="44" spans="1:7" x14ac:dyDescent="0.25">
      <c r="A44">
        <v>33</v>
      </c>
      <c r="B44" s="8" t="n">
        <v>7708.5946500699</v>
      </c>
      <c r="C44" s="11">
        <f si="0" t="shared"/>
        <v>1.1900248106359573E-2</v>
      </c>
      <c r="E44" s="142">
        <v>33</v>
      </c>
      <c r="F44" s="232" t="n">
        <v>7820.655982296245</v>
      </c>
      <c r="G44" s="11">
        <f si="1" t="shared"/>
        <v>1.0211409146762494E-2</v>
      </c>
    </row>
    <row r="45" spans="1:7" x14ac:dyDescent="0.25">
      <c r="A45">
        <v>34</v>
      </c>
      <c r="B45" s="8" t="n">
        <v>9295.233746452699</v>
      </c>
      <c r="C45" s="11">
        <f si="0" t="shared"/>
        <v>1.4349643847000087E-2</v>
      </c>
      <c r="E45" s="143">
        <v>34</v>
      </c>
      <c r="F45" s="233" t="n">
        <v>9962.797857636986</v>
      </c>
      <c r="G45" s="11">
        <f si="1" t="shared"/>
        <v>1.1010082519888683E-2</v>
      </c>
    </row>
    <row r="46" spans="1:7" x14ac:dyDescent="0.25">
      <c r="A46">
        <v>35</v>
      </c>
      <c r="B46" s="8" t="n">
        <v>1913.506840464</v>
      </c>
      <c r="C46" s="11">
        <f si="0" t="shared"/>
        <v>2.954002277773332E-3</v>
      </c>
      <c r="E46" s="144">
        <v>35</v>
      </c>
      <c r="F46" s="234" t="n">
        <v>5979.574089941441</v>
      </c>
      <c r="G46" s="11">
        <f si="1" t="shared"/>
        <v>1.2899832151548756E-2</v>
      </c>
    </row>
    <row r="47" spans="1:7" x14ac:dyDescent="0.25">
      <c r="A47">
        <v>36</v>
      </c>
      <c r="B47" s="8" t="n">
        <v>1505.593957757</v>
      </c>
      <c r="C47" s="11">
        <f si="0" t="shared"/>
        <v>2.3242812027457799E-3</v>
      </c>
      <c r="E47" s="145">
        <v>36</v>
      </c>
      <c r="F47" s="235" t="n">
        <v>5123.323436469649</v>
      </c>
      <c r="G47" s="11">
        <f si="1" t="shared"/>
        <v>9.7794174471346647E-3</v>
      </c>
    </row>
    <row r="48" spans="1:7" x14ac:dyDescent="0.25">
      <c r="A48">
        <v>37</v>
      </c>
      <c r="B48" s="8" t="n">
        <v>8806.2590100408</v>
      </c>
      <c r="C48" s="11">
        <f si="0" t="shared"/>
        <v>1.359478242994651E-2</v>
      </c>
      <c r="E48" s="146">
        <v>37</v>
      </c>
      <c r="F48" s="236" t="n">
        <v>5438.837002408476</v>
      </c>
      <c r="G48" s="11">
        <f si="1" t="shared"/>
        <v>6.6872201291170138E-3</v>
      </c>
    </row>
    <row r="49" spans="1:7" x14ac:dyDescent="0.25">
      <c r="A49">
        <v>38</v>
      </c>
      <c r="B49" s="8" t="n">
        <v>6890.9801801649</v>
      </c>
      <c r="C49" s="11">
        <f si="0" t="shared"/>
        <v>1.06380446193555E-2</v>
      </c>
      <c r="E49" s="147">
        <v>38</v>
      </c>
      <c r="F49" s="237" t="n">
        <v>6260.474269642968</v>
      </c>
      <c r="G49" s="11">
        <f si="1" t="shared"/>
        <v>8.0553578033738926E-3</v>
      </c>
    </row>
    <row r="50" spans="1:7" x14ac:dyDescent="0.25">
      <c r="A50">
        <v>39</v>
      </c>
      <c r="B50" s="8" t="n">
        <v>2315.29114893</v>
      </c>
      <c r="C50" s="11">
        <f si="0" t="shared"/>
        <v>3.5742622827463718E-3</v>
      </c>
      <c r="E50" s="148">
        <v>39</v>
      </c>
      <c r="F50" s="238" t="n">
        <v>4450.051749225941</v>
      </c>
      <c r="G50" s="11">
        <f si="1" t="shared"/>
        <v>6.9705779075844619E-3</v>
      </c>
    </row>
    <row r="51" spans="1:7" x14ac:dyDescent="0.25">
      <c r="A51">
        <v>40</v>
      </c>
      <c r="B51" s="8" t="n">
        <v>1550.0612718621</v>
      </c>
      <c r="C51" s="11">
        <f si="0" t="shared"/>
        <v>2.3929282252571162E-3</v>
      </c>
      <c r="E51" s="149">
        <v>40</v>
      </c>
      <c r="F51" s="239" t="n">
        <v>3935.36651181236</v>
      </c>
      <c r="G51" s="11">
        <f si="1" t="shared"/>
        <v>9.7954364403680903E-3</v>
      </c>
    </row>
    <row r="52" spans="1:7" x14ac:dyDescent="0.25">
      <c r="A52">
        <v>41</v>
      </c>
      <c r="B52" s="8" t="n">
        <v>1997.928509444</v>
      </c>
      <c r="C52" s="11">
        <f si="0" t="shared"/>
        <v>3.0843293804451331E-3</v>
      </c>
      <c r="E52" s="150">
        <v>41</v>
      </c>
      <c r="F52" s="240" t="n">
        <v>3438.2800520377427</v>
      </c>
      <c r="G52" s="11">
        <f si="1" t="shared"/>
        <v>5.1106856585440225E-3</v>
      </c>
    </row>
    <row r="53" spans="1:7" x14ac:dyDescent="0.25">
      <c r="A53">
        <v>42</v>
      </c>
      <c r="B53" s="8" t="n">
        <v>691.907580159</v>
      </c>
      <c r="C53" s="11">
        <f si="0" t="shared"/>
        <v>1.0681417618045735E-3</v>
      </c>
      <c r="E53" s="151">
        <v>42</v>
      </c>
      <c r="F53" s="241" t="n">
        <v>5600.878073717145</v>
      </c>
      <c r="G53" s="11">
        <f si="1" t="shared"/>
        <v>8.2649657236135345E-3</v>
      </c>
    </row>
    <row r="54" spans="1:7" x14ac:dyDescent="0.25">
      <c r="A54">
        <v>43</v>
      </c>
      <c r="B54" s="8" t="n">
        <v>728.5422207096</v>
      </c>
      <c r="C54" s="11">
        <f si="0" t="shared"/>
        <v>1.1246969877088814E-3</v>
      </c>
      <c r="E54" s="152">
        <v>43</v>
      </c>
      <c r="F54" s="242" t="n">
        <v>3053.0540712805246</v>
      </c>
      <c r="G54" s="11">
        <f si="1" t="shared"/>
        <v>4.5773144627434814E-3</v>
      </c>
    </row>
    <row r="55" spans="1:7" x14ac:dyDescent="0.25">
      <c r="A55">
        <v>44</v>
      </c>
      <c r="B55" s="8" t="n">
        <v>1833.598052242</v>
      </c>
      <c r="C55" s="11">
        <f si="0" t="shared"/>
        <v>2.8306419963098719E-3</v>
      </c>
      <c r="E55" s="153">
        <v>44</v>
      </c>
      <c r="F55" s="243" t="n">
        <v>3122.0989138441064</v>
      </c>
      <c r="G55" s="11">
        <f si="1" t="shared"/>
        <v>4.4508694532215095E-3</v>
      </c>
    </row>
    <row r="56" spans="1:7" x14ac:dyDescent="0.25">
      <c r="A56">
        <v>45</v>
      </c>
      <c r="B56" s="8" t="n">
        <v>36013.058642884</v>
      </c>
      <c r="C56" s="11">
        <f si="0" t="shared"/>
        <v>5.5595650358306291E-2</v>
      </c>
      <c r="E56" s="154">
        <v>45</v>
      </c>
      <c r="F56" s="244" t="n">
        <v>3084.146815618736</v>
      </c>
      <c r="G56" s="11">
        <f si="1" t="shared"/>
        <v>3.386421402790028E-3</v>
      </c>
    </row>
    <row r="57" spans="1:7" x14ac:dyDescent="0.25">
      <c r="A57">
        <v>46</v>
      </c>
      <c r="B57" s="8" t="n">
        <v>350.8827418362</v>
      </c>
      <c r="C57" s="11">
        <f si="0" t="shared"/>
        <v>5.4168001738846524E-4</v>
      </c>
      <c r="E57" s="155">
        <v>46</v>
      </c>
      <c r="F57" s="245" t="n">
        <v>2579.9641301599218</v>
      </c>
      <c r="G57" s="11">
        <f si="1" t="shared"/>
        <v>5.9378917585021021E-3</v>
      </c>
    </row>
    <row r="58" spans="1:7" x14ac:dyDescent="0.25">
      <c r="A58">
        <v>47</v>
      </c>
      <c r="B58" s="8" t="n">
        <v>514.0966729920001</v>
      </c>
      <c r="C58" s="11">
        <f si="0" t="shared"/>
        <v>7.9364374921482345E-4</v>
      </c>
      <c r="E58" s="156">
        <v>47</v>
      </c>
      <c r="F58" s="246" t="n">
        <v>2037.7254857530468</v>
      </c>
      <c r="G58" s="11">
        <f si="1" t="shared"/>
        <v>3.1776601815039648E-3</v>
      </c>
    </row>
    <row r="59" spans="1:7" x14ac:dyDescent="0.25">
      <c r="A59">
        <v>48</v>
      </c>
      <c r="B59" s="8" t="n">
        <v>2118.7496220499997</v>
      </c>
      <c r="C59" s="11">
        <f si="0" t="shared"/>
        <v>3.2708486205617177E-3</v>
      </c>
      <c r="E59" s="157">
        <v>48</v>
      </c>
      <c r="F59" s="247" t="n">
        <v>2610.1733486471335</v>
      </c>
      <c r="G59" s="11">
        <f si="1" t="shared"/>
        <v>2.4729594909243466E-3</v>
      </c>
    </row>
    <row r="60" spans="1:7" x14ac:dyDescent="0.25">
      <c r="A60">
        <v>49</v>
      </c>
      <c r="B60" s="8" t="n">
        <v>230.26359417499998</v>
      </c>
      <c r="C60" s="11">
        <f si="0" t="shared"/>
        <v>3.5547256340943354E-4</v>
      </c>
      <c r="E60" s="158">
        <v>49</v>
      </c>
      <c r="F60" s="248" t="n">
        <v>1639.5551637135704</v>
      </c>
      <c r="G60" s="11">
        <f si="1" t="shared"/>
        <v>2.6344473983549378E-3</v>
      </c>
    </row>
    <row r="61" spans="1:7" x14ac:dyDescent="0.25">
      <c r="A61">
        <v>50</v>
      </c>
      <c r="B61" s="8" t="n">
        <v>324.775829405</v>
      </c>
      <c r="C61" s="11">
        <f si="0" t="shared"/>
        <v>5.0137711532583504E-4</v>
      </c>
      <c r="E61" s="159">
        <v>50</v>
      </c>
      <c r="F61" s="249" t="n">
        <v>1395.8396336871765</v>
      </c>
      <c r="G61" s="11">
        <f si="1" t="shared"/>
        <v>3.2591855490683428E-3</v>
      </c>
    </row>
    <row r="62" spans="1:7" x14ac:dyDescent="0.25">
      <c r="A62">
        <v>51</v>
      </c>
      <c r="B62" s="8" t="n">
        <v>195.252872306</v>
      </c>
      <c r="C62" s="11">
        <f si="0" t="shared"/>
        <v>3.0142428411379424E-4</v>
      </c>
      <c r="E62" s="160">
        <v>51</v>
      </c>
      <c r="F62" s="250" t="n">
        <v>2264.7106760363085</v>
      </c>
      <c r="G62" s="11">
        <f si="1" t="shared"/>
        <v>3.5954596315039807E-3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161">
        <v>52</v>
      </c>
      <c r="F63" s="251" t="n">
        <v>2363.094097139998</v>
      </c>
      <c r="G63" s="11">
        <f si="1" t="shared"/>
        <v>3.2207635725567296E-3</v>
      </c>
    </row>
    <row r="64" spans="1:7" x14ac:dyDescent="0.25">
      <c r="A64">
        <v>53</v>
      </c>
      <c r="B64" s="8" t="n">
        <v>641.7401844716001</v>
      </c>
      <c r="C64" s="11">
        <f si="0" t="shared"/>
        <v>9.9069516062357107E-4</v>
      </c>
      <c r="E64" s="162">
        <v>53</v>
      </c>
      <c r="F64" s="252" t="n">
        <v>981.613850788799</v>
      </c>
      <c r="G64" s="11">
        <f si="1" t="shared"/>
        <v>1.8498502119767386E-3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163">
        <v>54</v>
      </c>
      <c r="F65" s="253" t="n">
        <v>1526.8554820621437</v>
      </c>
      <c r="G65" s="11">
        <f si="1" t="shared"/>
        <v>1.5931385160751685E-3</v>
      </c>
    </row>
    <row r="66" spans="1:7" x14ac:dyDescent="0.25">
      <c r="A66">
        <v>55</v>
      </c>
      <c r="B66" s="8" t="n">
        <v>746.214690547</v>
      </c>
      <c r="C66" s="11">
        <f si="0" t="shared"/>
        <v>1.1519791040042698E-3</v>
      </c>
      <c r="E66" s="164">
        <v>55</v>
      </c>
      <c r="F66" s="254" t="n">
        <v>1263.1849817368084</v>
      </c>
      <c r="G66" s="11">
        <f si="1" t="shared"/>
        <v>1.7772845659204226E-3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165">
        <v>56</v>
      </c>
      <c r="F67" s="255" t="n">
        <v>1381.7108211297596</v>
      </c>
      <c r="G67" s="11">
        <f si="1" t="shared"/>
        <v>1.2891930598010696E-3</v>
      </c>
    </row>
    <row r="68" spans="1:7" x14ac:dyDescent="0.25">
      <c r="A68">
        <v>57</v>
      </c>
      <c r="B68" s="8" t="n">
        <v>1335.01152099</v>
      </c>
      <c r="C68" s="11">
        <f si="0" t="shared"/>
        <v>2.0609422399043126E-3</v>
      </c>
      <c r="E68" s="166">
        <v>57</v>
      </c>
      <c r="F68" s="256" t="n">
        <v>842.891565465858</v>
      </c>
      <c r="G68" s="11">
        <f si="1" t="shared"/>
        <v>2.3608138597438141E-3</v>
      </c>
    </row>
    <row r="69" spans="1:7" x14ac:dyDescent="0.25">
      <c r="A69">
        <v>58</v>
      </c>
      <c r="B69" s="8" t="n">
        <v>91.6389155216</v>
      </c>
      <c r="C69" s="11">
        <f si="0" t="shared"/>
        <v>1.4146882543562936E-4</v>
      </c>
      <c r="E69" s="167">
        <v>58</v>
      </c>
      <c r="F69" s="257" t="n">
        <v>760.896582613817</v>
      </c>
      <c r="G69" s="11">
        <f si="1" t="shared"/>
        <v>1.0172922894933752E-3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622.7643117512026</v>
      </c>
      <c r="G70" s="11">
        <f si="1" t="shared"/>
        <v>1.0482954071395351E-3</v>
      </c>
    </row>
    <row r="71" spans="1:7" x14ac:dyDescent="0.25">
      <c r="A71">
        <v>60</v>
      </c>
      <c r="B71" s="8" t="n">
        <v>974.321633473</v>
      </c>
      <c r="C71" s="11">
        <f si="0" t="shared"/>
        <v>1.5041223076397066E-3</v>
      </c>
      <c r="E71" s="169">
        <v>60</v>
      </c>
      <c r="F71" s="259" t="n">
        <v>849.9617128596188</v>
      </c>
      <c r="G71" s="11">
        <f si="1" t="shared"/>
        <v>1.0151374258387238E-3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830.2404697597063</v>
      </c>
      <c r="G72" s="11">
        <f si="1" t="shared"/>
        <v>5.2266758222423246E-4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171">
        <v>62</v>
      </c>
      <c r="F73" s="261" t="n">
        <v>485.61397671896304</v>
      </c>
      <c r="G73" s="11">
        <f si="1" t="shared"/>
        <v>7.6296197046395577E-4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172">
        <v>63</v>
      </c>
      <c r="F74" s="262" t="n">
        <v>495.5843779673776</v>
      </c>
      <c r="G74" s="11">
        <f si="1" t="shared"/>
        <v>1.1993073766363245E-3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390.80371666931336</v>
      </c>
      <c r="G75" s="11">
        <f si="1" t="shared"/>
        <v>6.0532349184416626E-4</v>
      </c>
    </row>
    <row r="76" spans="1:7" x14ac:dyDescent="0.25">
      <c r="A76">
        <v>65</v>
      </c>
      <c r="B76" s="8" t="n">
        <v>292.681617382</v>
      </c>
      <c r="C76" s="11">
        <f si="0" t="shared"/>
        <v>4.5183123787483358E-4</v>
      </c>
      <c r="E76" s="174">
        <v>65</v>
      </c>
      <c r="F76" s="264" t="n">
        <v>285.9806226917593</v>
      </c>
      <c r="G76" s="11">
        <f si="1" t="shared"/>
        <v>5.1764066895093185E-4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175">
        <v>66</v>
      </c>
      <c r="F77" s="265" t="n">
        <v>258.124845495894</v>
      </c>
      <c r="G77" s="11">
        <f ref="G77:G102" si="3" t="shared">F77/F$102</f>
        <v>6.1997648549622271E-4</v>
      </c>
    </row>
    <row r="78" spans="1:7" x14ac:dyDescent="0.25">
      <c r="A78">
        <v>67</v>
      </c>
      <c r="B78" s="8" t="n">
        <v>498.635433791</v>
      </c>
      <c r="C78" s="11">
        <f si="2" t="shared"/>
        <v>7.6977525036698159E-4</v>
      </c>
      <c r="E78" s="176">
        <v>67</v>
      </c>
      <c r="F78" s="266" t="n">
        <v>347.3844609096338</v>
      </c>
      <c r="G78" s="11">
        <f si="3" t="shared"/>
        <v>5.1391022004857877E-4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167.52712924678497</v>
      </c>
      <c r="G79" s="11">
        <f si="3" t="shared"/>
        <v>2.6991572230430428E-4</v>
      </c>
    </row>
    <row r="80" spans="1:7" x14ac:dyDescent="0.25">
      <c r="A80">
        <v>69</v>
      </c>
      <c r="B80" s="8" t="n">
        <v>387.674382174</v>
      </c>
      <c r="C80" s="11">
        <f si="2" t="shared"/>
        <v>5.9847761385513083E-4</v>
      </c>
      <c r="E80" s="178">
        <v>69</v>
      </c>
      <c r="F80" s="268" t="n">
        <v>186.370304730915</v>
      </c>
      <c r="G80" s="11">
        <f si="3" t="shared"/>
        <v>2.5662670547535433E-4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153.4361668953231</v>
      </c>
      <c r="G81" s="11">
        <f si="3" t="shared"/>
        <v>2.167863312716685E-4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266.45931059854234</v>
      </c>
      <c r="G82" s="11">
        <f si="3" t="shared"/>
        <v>3.0921277007229462E-4</v>
      </c>
    </row>
    <row r="83" spans="1:7" x14ac:dyDescent="0.25">
      <c r="A83">
        <v>72</v>
      </c>
      <c r="B83" s="8" t="n">
        <v>5062.342946146</v>
      </c>
      <c r="C83" s="11">
        <f si="2" t="shared"/>
        <v>7.8150609538238467E-3</v>
      </c>
      <c r="E83" s="181">
        <v>72</v>
      </c>
      <c r="F83" s="271" t="n">
        <v>178.62558318522935</v>
      </c>
      <c r="G83" s="11">
        <f si="3" t="shared"/>
        <v>2.6175579847600181E-4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182">
        <v>73</v>
      </c>
      <c r="F84" s="272" t="n">
        <v>118.08928550728368</v>
      </c>
      <c r="G84" s="11">
        <f si="3" t="shared"/>
        <v>1.852235842406888E-4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140.2292760254675</v>
      </c>
      <c r="G85" s="11">
        <f si="3" t="shared"/>
        <v>3.4019422219133411E-4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184">
        <v>75</v>
      </c>
      <c r="F86" s="274" t="n">
        <v>77.4539348888541</v>
      </c>
      <c r="G86" s="11">
        <f si="3" t="shared"/>
        <v>2.8625885936597612E-4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185">
        <v>76</v>
      </c>
      <c r="F87" s="275" t="n">
        <v>80.83431456607458</v>
      </c>
      <c r="G87" s="11">
        <f si="3" t="shared"/>
        <v>1.5628612547336353E-4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61.30825501765847</v>
      </c>
      <c r="G88" s="11">
        <f si="3" t="shared"/>
        <v>9.9421910810645677E-5</v>
      </c>
    </row>
    <row r="89" spans="1:7" x14ac:dyDescent="0.25">
      <c r="A89">
        <v>78</v>
      </c>
      <c r="B89" s="8" t="n">
        <v>256.371317496</v>
      </c>
      <c r="C89" s="11">
        <f si="2" t="shared"/>
        <v>3.9577671729425001E-4</v>
      </c>
      <c r="E89" s="187">
        <v>78</v>
      </c>
      <c r="F89" s="277" t="n">
        <v>72.3272674120536</v>
      </c>
      <c r="G89" s="11">
        <f si="3" t="shared"/>
        <v>9.7412965103278742E-5</v>
      </c>
    </row>
    <row r="90" spans="1:7" x14ac:dyDescent="0.25">
      <c r="A90">
        <v>79</v>
      </c>
      <c r="B90" s="8" t="n">
        <v>256.371317496</v>
      </c>
      <c r="C90" s="11">
        <f si="2" t="shared"/>
        <v>3.9577671729425001E-4</v>
      </c>
      <c r="E90" s="188">
        <v>79</v>
      </c>
      <c r="F90" s="278" t="n">
        <v>66.19962925597207</v>
      </c>
      <c r="G90" s="11">
        <f si="3" t="shared"/>
        <v>2.6625610530278009E-5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77.7353542495326</v>
      </c>
      <c r="G91" s="11">
        <f si="3" t="shared"/>
        <v>8.486175833668117E-5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29.68249531026169</v>
      </c>
      <c r="G92" s="11">
        <f si="3" t="shared"/>
        <v>7.1884174929773742E-5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59.40547969937271</v>
      </c>
      <c r="G93" s="11">
        <f si="3" t="shared"/>
        <v>8.9063167865954438E-5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40.38760466870354</v>
      </c>
      <c r="G94" s="11">
        <f si="3" t="shared"/>
        <v>6.4414901841658789E-5</v>
      </c>
    </row>
    <row r="95" spans="1:7" x14ac:dyDescent="0.25">
      <c r="A95">
        <v>84</v>
      </c>
      <c r="B95" s="8" t="n">
        <v>1132.619328192</v>
      </c>
      <c r="C95" s="11">
        <f si="2" t="shared"/>
        <v>1.7484965324283692E-3</v>
      </c>
      <c r="E95" s="193">
        <v>84</v>
      </c>
      <c r="F95" s="283" t="n">
        <v>33.595695532274384</v>
      </c>
      <c r="G95" s="11">
        <f si="3" t="shared"/>
        <v>6.3555133268310921E-5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39.70553487973335</v>
      </c>
      <c r="G96" s="11">
        <f si="3" t="shared"/>
        <v>4.6718207816992655E-5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51.755493843904766</v>
      </c>
      <c r="G97" s="11">
        <f si="3" t="shared"/>
        <v>3.8500808298797409E-5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29.80849292690429</v>
      </c>
      <c r="G98" s="11">
        <f si="3" t="shared"/>
        <v>8.5249332420683899E-5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23.04774112530141</v>
      </c>
      <c r="G99" s="11">
        <f si="3" t="shared"/>
        <v>1.6940899319498015E-5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18.24761433539173</v>
      </c>
      <c r="G100" s="11">
        <f si="3" t="shared"/>
        <v>2.3907782603357102E-5</v>
      </c>
    </row>
    <row ht="15.75" r="101" spans="1:7" thickBot="1" x14ac:dyDescent="0.3">
      <c r="A101" s="1">
        <v>90</v>
      </c>
      <c r="B101" s="9" t="n">
        <v>1073.10010755</v>
      </c>
      <c r="C101" s="11">
        <f si="2" t="shared"/>
        <v>1.6566129239511049E-3</v>
      </c>
      <c r="E101" s="291">
        <v>90</v>
      </c>
      <c r="F101" s="291" t="n">
        <v>176.31580092011654</v>
      </c>
      <c r="G101" s="11">
        <f si="3" t="shared"/>
        <v>2.3921228630709824E-4</v>
      </c>
    </row>
    <row r="102" spans="1:7" x14ac:dyDescent="0.25">
      <c r="B102" s="8">
        <f>SUM(B11:B101)</f>
        <v>647767.55754784436</v>
      </c>
      <c r="C102" s="11">
        <f si="2" t="shared"/>
        <v>1</v>
      </c>
      <c r="F102" s="8">
        <f>SUM(F11:F101)</f>
        <v>647962.30785395857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F7" workbookViewId="0">
      <selection activeCell="AE36" sqref="AE36"/>
    </sheetView>
  </sheetViews>
  <sheetFormatPr defaultRowHeight="15" x14ac:dyDescent="0.25"/>
  <cols>
    <col min="4" max="4" bestFit="true" customWidth="true" width="12.28515625" collapsed="true"/>
    <col min="13" max="14" bestFit="true" customWidth="true" width="10.7109375" collapsed="true"/>
    <col min="15" max="15" bestFit="true" customWidth="true" width="12.5703125" collapsed="true"/>
    <col min="16" max="18" bestFit="true" customWidth="true" width="10.7109375" collapsed="true"/>
    <col min="19" max="19" bestFit="true" customWidth="true" width="11.5703125" collapsed="true"/>
    <col min="20" max="20" bestFit="true" customWidth="true" width="9.28515625" collapsed="true"/>
    <col min="21" max="21" bestFit="true" customWidth="true" width="11.57031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3" t="s">
        <v>248</v>
      </c>
      <c r="B7" s="12" t="n">
        <v>26029.7757432698</v>
      </c>
      <c r="C7" s="12" t="n">
        <v>569.6071198999</v>
      </c>
      <c r="D7" s="12" t="n">
        <v>1534.9425674075</v>
      </c>
      <c r="E7" s="12" t="n">
        <v>1988.534357276</v>
      </c>
      <c r="F7" s="12" t="n">
        <v>1173.048027738</v>
      </c>
      <c r="G7" s="12" t="n">
        <v>0.0</v>
      </c>
      <c r="H7" s="12" t="n">
        <v>2766.069891038</v>
      </c>
      <c r="I7" s="12"/>
      <c r="J7" s="12">
        <f>SUM(B7:I7)</f>
        <v>34061.977706629201</v>
      </c>
      <c r="K7" s="12"/>
      <c r="L7" t="str">
        <f>$A$7</f>
        <v>Bellevue</v>
      </c>
      <c r="M7" s="337" t="n">
        <v>16756.21968122481</v>
      </c>
      <c r="N7" s="337" t="n">
        <v>1320.8282530929555</v>
      </c>
      <c r="O7" s="337" t="n">
        <v>1716.6029668374006</v>
      </c>
      <c r="P7" s="337" t="n">
        <v>2085.403348207427</v>
      </c>
      <c r="Q7" s="337" t="n">
        <v>2078.784072041962</v>
      </c>
      <c r="R7" s="337" t="n">
        <v>384.54854385840656</v>
      </c>
      <c r="S7" s="337" t="n">
        <v>3078.6442640605924</v>
      </c>
      <c r="T7" s="337"/>
      <c r="U7" s="335">
        <f>SUM(M7:T7)</f>
        <v>26951.25</v>
      </c>
    </row>
    <row r="8" spans="1:21" x14ac:dyDescent="0.25">
      <c r="A8" t="s">
        <v>249</v>
      </c>
      <c r="B8" s="12" t="n">
        <v>367.319274416</v>
      </c>
      <c r="C8" s="12" t="n">
        <v>0.0</v>
      </c>
      <c r="D8" s="12" t="n">
        <v>0.0</v>
      </c>
      <c r="E8" s="12" t="n">
        <v>0.0</v>
      </c>
      <c r="F8" s="12" t="n">
        <v>95.3516777933</v>
      </c>
      <c r="G8" s="12" t="n">
        <v>0.0</v>
      </c>
      <c r="H8" s="12" t="n">
        <v>0.0</v>
      </c>
      <c r="I8" s="12"/>
      <c r="J8" s="12">
        <f ref="J8:J14" si="0" t="shared">SUM(B8:I8)</f>
        <v>462.67095220929997</v>
      </c>
      <c r="K8" s="12"/>
      <c r="L8" t="str">
        <f>$A$8</f>
        <v>Bellevue Downtown</v>
      </c>
      <c r="M8" s="337" t="n">
        <v>667.6522752737902</v>
      </c>
      <c r="N8" s="337" t="n">
        <v>345.8831054265673</v>
      </c>
      <c r="O8" s="337" t="n">
        <v>100.10336949032836</v>
      </c>
      <c r="P8" s="337" t="n">
        <v>58.286332351154954</v>
      </c>
      <c r="Q8" s="337" t="n">
        <v>56.49311903633629</v>
      </c>
      <c r="R8" s="337" t="n">
        <v>13.622404462567177</v>
      </c>
      <c r="S8" s="337" t="n">
        <v>53.17015753724764</v>
      </c>
      <c r="T8" s="337"/>
      <c r="U8" s="335">
        <f ref="U8:U14" si="1" t="shared">SUM(M8:T8)</f>
        <v>1367.75</v>
      </c>
    </row>
    <row r="9" spans="1:21" x14ac:dyDescent="0.25">
      <c r="A9" t="s">
        <v>250</v>
      </c>
      <c r="B9" s="12" t="n">
        <v>2053.243504975</v>
      </c>
      <c r="C9" s="12" t="n">
        <v>0.0</v>
      </c>
      <c r="D9" s="12" t="n">
        <v>25333.1346751792</v>
      </c>
      <c r="E9" s="12" t="n">
        <v>1016.7372094737</v>
      </c>
      <c r="F9" s="12" t="n">
        <v>1810.1093605400001</v>
      </c>
      <c r="G9" s="12" t="n">
        <v>0.0</v>
      </c>
      <c r="H9" s="12" t="n">
        <v>1662.80419651</v>
      </c>
      <c r="I9" s="12"/>
      <c r="J9" s="12">
        <f si="0" t="shared"/>
        <v>31876.0289466779</v>
      </c>
      <c r="K9" s="13"/>
      <c r="L9" t="str">
        <f>$A$9</f>
        <v>Kirkland</v>
      </c>
      <c r="M9" s="337" t="n">
        <v>1793.770154549606</v>
      </c>
      <c r="N9" s="337" t="n">
        <v>214.31523169682035</v>
      </c>
      <c r="O9" s="337" t="n">
        <v>13457.20891545992</v>
      </c>
      <c r="P9" s="337" t="n">
        <v>2548.7510881299595</v>
      </c>
      <c r="Q9" s="337" t="n">
        <v>2112.454982431726</v>
      </c>
      <c r="R9" s="337" t="n">
        <v>234.30329161040007</v>
      </c>
      <c r="S9" s="337" t="n">
        <v>2624.4136108819016</v>
      </c>
      <c r="T9" s="337"/>
      <c r="U9" s="335">
        <f si="1" t="shared"/>
        <v>22679</v>
      </c>
    </row>
    <row r="10" spans="1:21" x14ac:dyDescent="0.25">
      <c r="A10" t="s">
        <v>251</v>
      </c>
      <c r="B10" s="12" t="n">
        <v>3036.969147183</v>
      </c>
      <c r="C10" s="12" t="n">
        <v>6066.66386189</v>
      </c>
      <c r="D10" s="12" t="n">
        <v>334.470623207</v>
      </c>
      <c r="E10" s="12" t="n">
        <v>20878.3845702224</v>
      </c>
      <c r="F10" s="12" t="n">
        <v>0.0</v>
      </c>
      <c r="G10" s="12" t="n">
        <v>145.892226826</v>
      </c>
      <c r="H10" s="12" t="n">
        <v>4109.33920293</v>
      </c>
      <c r="I10" s="12"/>
      <c r="J10" s="12">
        <f si="0" t="shared"/>
        <v>34571.719632258399</v>
      </c>
      <c r="K10" s="13"/>
      <c r="L10" t="str">
        <f>$A$10</f>
        <v>Redmond</v>
      </c>
      <c r="M10" s="337" t="n">
        <v>3208.6988061415163</v>
      </c>
      <c r="N10" s="337" t="n">
        <v>171.85943697918697</v>
      </c>
      <c r="O10" s="337" t="n">
        <v>3322.692218710275</v>
      </c>
      <c r="P10" s="337" t="n">
        <v>9204.6752822555</v>
      </c>
      <c r="Q10" s="337" t="n">
        <v>1268.955300217474</v>
      </c>
      <c r="R10" s="337" t="n">
        <v>249.4948469853804</v>
      </c>
      <c r="S10" s="337" t="n">
        <v>2567.063984226401</v>
      </c>
      <c r="T10" s="337"/>
      <c r="U10" s="335">
        <f si="1" t="shared"/>
        <v>19210.5</v>
      </c>
    </row>
    <row r="11" spans="1:21" x14ac:dyDescent="0.25">
      <c r="A11" t="s">
        <v>247</v>
      </c>
      <c r="B11" s="12" t="n">
        <v>193.9322355631</v>
      </c>
      <c r="C11" s="12" t="n">
        <v>204.895576933</v>
      </c>
      <c r="D11" s="12" t="n">
        <v>1516.321549231</v>
      </c>
      <c r="E11" s="12" t="n">
        <v>0.0</v>
      </c>
      <c r="F11" s="12" t="n">
        <v>67994.173376713</v>
      </c>
      <c r="G11" s="12" t="n">
        <v>11465.8802925862</v>
      </c>
      <c r="H11" s="12" t="n">
        <v>11204.6773325296</v>
      </c>
      <c r="I11" s="12"/>
      <c r="J11" s="12">
        <f si="0" t="shared"/>
        <v>92579.880363555902</v>
      </c>
      <c r="K11" s="13"/>
      <c r="L11" t="str">
        <f>$A$11</f>
        <v>Seattle</v>
      </c>
      <c r="M11" s="337" t="n">
        <v>2140.9121961329115</v>
      </c>
      <c r="N11" s="337" t="n">
        <v>195.5617772347131</v>
      </c>
      <c r="O11" s="337" t="n">
        <v>1927.0457875283819</v>
      </c>
      <c r="P11" s="337" t="n">
        <v>753.9869182432922</v>
      </c>
      <c r="Q11" s="337" t="n">
        <v>75346.13742005872</v>
      </c>
      <c r="R11" s="337" t="n">
        <v>4197.04313937187</v>
      </c>
      <c r="S11" s="337" t="n">
        <v>9468.998988118583</v>
      </c>
      <c r="T11" s="337"/>
      <c r="U11" s="335">
        <f si="1" t="shared"/>
        <v>93043.935189003998</v>
      </c>
    </row>
    <row r="12" spans="1:21" x14ac:dyDescent="0.25">
      <c r="A12" t="s">
        <v>252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868.1588883439</v>
      </c>
      <c r="G12" s="12" t="n">
        <v>1644.320850104</v>
      </c>
      <c r="H12" s="12" t="n">
        <v>98.7014267996</v>
      </c>
      <c r="I12" s="12"/>
      <c r="J12" s="12">
        <f si="0" t="shared"/>
        <v>2611.1811652475003</v>
      </c>
      <c r="K12" s="13"/>
      <c r="L12" t="str">
        <f>$A$12</f>
        <v>Seattle Downtown</v>
      </c>
      <c r="M12" s="337" t="n">
        <v>92.94043552481729</v>
      </c>
      <c r="N12" s="337" t="n">
        <v>7.553206628790945</v>
      </c>
      <c r="O12" s="337" t="n">
        <v>55.79775337655159</v>
      </c>
      <c r="P12" s="337" t="n">
        <v>22.5321287661222</v>
      </c>
      <c r="Q12" s="337" t="n">
        <v>1232.1465717512017</v>
      </c>
      <c r="R12" s="337" t="n">
        <v>3628.508775869538</v>
      </c>
      <c r="S12" s="337" t="n">
        <v>171.36314312459703</v>
      </c>
      <c r="T12" s="337"/>
      <c r="U12" s="335">
        <f si="1" t="shared"/>
        <v>5628.3710908370158</v>
      </c>
    </row>
    <row r="13" spans="1:21" x14ac:dyDescent="0.25">
      <c r="A13" t="s">
        <v>253</v>
      </c>
      <c r="B13" s="12" t="n">
        <v>7032.93034059</v>
      </c>
      <c r="C13" s="12" t="n">
        <v>0.0</v>
      </c>
      <c r="D13" s="12" t="n">
        <v>7749.763040492</v>
      </c>
      <c r="E13" s="12" t="n">
        <v>2803.178594254</v>
      </c>
      <c r="F13" s="12" t="n">
        <v>17159.3430143765</v>
      </c>
      <c r="G13" s="12" t="n">
        <v>647.187678475</v>
      </c>
      <c r="H13" s="12" t="n">
        <v>417241.15166280343</v>
      </c>
      <c r="I13" s="12"/>
      <c r="J13" s="12">
        <f si="0" t="shared"/>
        <v>452633.55433099094</v>
      </c>
      <c r="K13" s="13"/>
      <c r="L13" t="str">
        <f>A13</f>
        <v>Rest</v>
      </c>
      <c r="M13" s="337" t="n">
        <v>10586.65881853099</v>
      </c>
      <c r="N13" s="337" t="n">
        <v>744.4202200087042</v>
      </c>
      <c r="O13" s="337" t="n">
        <v>8321.069792829088</v>
      </c>
      <c r="P13" s="337" t="n">
        <v>6908.204735637102</v>
      </c>
      <c r="Q13" s="337" t="n">
        <v>21122.995010201103</v>
      </c>
      <c r="R13" s="337" t="n">
        <v>2614.095910602119</v>
      </c>
      <c r="S13" s="337" t="n">
        <v>433814.1962990894</v>
      </c>
      <c r="T13" s="337"/>
      <c r="U13" s="335">
        <f si="1" t="shared"/>
        <v>476404.35878687183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2" t="s">
        <v>13</v>
      </c>
      <c r="M14" s="339"/>
      <c r="N14" s="339"/>
      <c r="O14" s="339"/>
      <c r="P14" s="339"/>
      <c r="Q14" s="339"/>
      <c r="R14" s="339"/>
      <c r="S14" s="339"/>
      <c r="T14" s="339"/>
      <c r="U14" s="339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38714.170245996902</v>
      </c>
      <c r="C15" s="15">
        <f si="2" t="shared"/>
        <v>6841.166558722899</v>
      </c>
      <c r="D15" s="15">
        <f si="2" t="shared"/>
        <v>36468.632455516701</v>
      </c>
      <c r="E15" s="15">
        <f si="2" t="shared"/>
        <v>26686.834731226099</v>
      </c>
      <c r="F15" s="15">
        <f si="2" t="shared"/>
        <v>89100.184345504706</v>
      </c>
      <c r="G15" s="15">
        <f si="2" t="shared"/>
        <v>13903.2810479912</v>
      </c>
      <c r="H15" s="15">
        <f si="2" t="shared"/>
        <v>437082.74371261062</v>
      </c>
      <c r="I15" s="15">
        <f si="2" t="shared"/>
        <v>0</v>
      </c>
      <c r="J15" s="15">
        <f si="2" t="shared"/>
        <v>648797.01309756911</v>
      </c>
      <c r="K15" s="12"/>
      <c r="L15" s="15" t="s">
        <v>4</v>
      </c>
      <c r="M15" s="336">
        <f ref="M15:U15" si="3" t="shared">SUM(M7:M14)</f>
        <v>34122.44297925532</v>
      </c>
      <c r="N15" s="336">
        <f si="3" t="shared"/>
        <v>3159.8542161546025</v>
      </c>
      <c r="O15" s="336">
        <f si="3" t="shared"/>
        <v>28875.520685245952</v>
      </c>
      <c r="P15" s="336">
        <f si="3" t="shared"/>
        <v>21040.796804152986</v>
      </c>
      <c r="Q15" s="336">
        <f si="3" t="shared"/>
        <v>101840.70202343351</v>
      </c>
      <c r="R15" s="336">
        <f si="3" t="shared"/>
        <v>11709.168684150824</v>
      </c>
      <c r="S15" s="336">
        <f si="3" t="shared"/>
        <v>444536.67967431963</v>
      </c>
      <c r="T15" s="336">
        <f si="3" t="shared"/>
        <v>0</v>
      </c>
      <c r="U15" s="336">
        <f si="3" t="shared"/>
        <v>645285.16506671289</v>
      </c>
    </row>
    <row ht="15.75" r="18" spans="1:32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ref="B20:G20" si="4" t="shared">($U7/$J7)*B7</f>
        <v>20595.83854886577</v>
      </c>
      <c r="C20" s="12">
        <f si="4" t="shared"/>
        <v>450.69678638226634</v>
      </c>
      <c r="D20" s="12">
        <f si="4" t="shared"/>
        <v>1214.5102444180789</v>
      </c>
      <c r="E20" s="12">
        <f si="4" t="shared"/>
        <v>1573.4108881794123</v>
      </c>
      <c r="F20" s="12">
        <f si="4" t="shared"/>
        <v>928.16426955211068</v>
      </c>
      <c r="G20" s="12">
        <f si="4" t="shared"/>
        <v>0</v>
      </c>
      <c r="H20" s="12">
        <f ref="H20" si="5" t="shared">($U7/$J7)*H7</f>
        <v>2188.6292626023601</v>
      </c>
      <c r="I20" s="12"/>
      <c r="J20" s="12">
        <f>SUM(B20:I20)</f>
        <v>26951.249999999996</v>
      </c>
      <c r="K20" s="12"/>
      <c r="L20" t="str">
        <f>$A$7</f>
        <v>Bellevue</v>
      </c>
      <c r="M20" s="12">
        <f ref="M20:M26" si="6" t="shared">M7</f>
        <v>16393.5</v>
      </c>
      <c r="N20" s="12">
        <f ref="N20:U20" si="7" t="shared">N7</f>
        <v>1336</v>
      </c>
      <c r="O20" s="12">
        <f si="7" t="shared"/>
        <v>1728.75</v>
      </c>
      <c r="P20" s="12">
        <f si="7" t="shared"/>
        <v>2022.25</v>
      </c>
      <c r="Q20" s="12">
        <f si="7" t="shared"/>
        <v>2038.25</v>
      </c>
      <c r="R20" s="12">
        <f si="7" t="shared"/>
        <v>395.75</v>
      </c>
      <c r="S20" s="12">
        <f ref="S20" si="8" t="shared">S7</f>
        <v>3036.75</v>
      </c>
      <c r="T20" s="12"/>
      <c r="U20" s="12">
        <f si="7" t="shared"/>
        <v>26951.25</v>
      </c>
    </row>
    <row r="21" spans="1:32" x14ac:dyDescent="0.25">
      <c r="A21" t="str">
        <f>$A$8</f>
        <v>Bellevue Downtown</v>
      </c>
      <c r="B21" s="12">
        <f ref="B21:G26" si="9" t="shared">($U8/$J8)*B8</f>
        <v>1085.8709309142262</v>
      </c>
      <c r="C21" s="12">
        <f si="9" t="shared"/>
        <v>0</v>
      </c>
      <c r="D21" s="12">
        <f si="9" t="shared"/>
        <v>0</v>
      </c>
      <c r="E21" s="12">
        <f si="9" t="shared"/>
        <v>0</v>
      </c>
      <c r="F21" s="12">
        <f si="9" t="shared"/>
        <v>281.87906908577395</v>
      </c>
      <c r="G21" s="12">
        <f si="9" t="shared"/>
        <v>0</v>
      </c>
      <c r="H21" s="12">
        <f ref="H21" si="10" t="shared">($U8/$J8)*H8</f>
        <v>0</v>
      </c>
      <c r="I21" s="12"/>
      <c r="J21" s="12">
        <f ref="J21:J27" si="11" t="shared">SUM(B21:I21)</f>
        <v>1367.75</v>
      </c>
      <c r="K21" s="12"/>
      <c r="L21" t="str">
        <f>$A$8</f>
        <v>Bellevue Downtown</v>
      </c>
      <c r="M21" s="12">
        <f si="6" t="shared"/>
        <v>686.25</v>
      </c>
      <c r="N21" s="12">
        <f ref="N21:R25" si="12" t="shared">N8</f>
        <v>390</v>
      </c>
      <c r="O21" s="12">
        <f si="12" t="shared"/>
        <v>109.25</v>
      </c>
      <c r="P21" s="12">
        <f si="12" t="shared"/>
        <v>46.25</v>
      </c>
      <c r="Q21" s="12">
        <f si="12" t="shared"/>
        <v>61.5</v>
      </c>
      <c r="R21" s="12">
        <f si="12" t="shared"/>
        <v>12.25</v>
      </c>
      <c r="S21" s="12">
        <f ref="S21" si="13" t="shared">S8</f>
        <v>62.25</v>
      </c>
      <c r="T21" s="12"/>
      <c r="U21" s="12">
        <f ref="U21:U26" si="14" t="shared">U8</f>
        <v>1367.75</v>
      </c>
    </row>
    <row r="22" spans="1:32" x14ac:dyDescent="0.25">
      <c r="A22" t="str">
        <f>$A$9</f>
        <v>Kirkland</v>
      </c>
      <c r="B22" s="12">
        <f si="9" t="shared"/>
        <v>1460.8315711854395</v>
      </c>
      <c r="C22" s="12">
        <f si="9" t="shared"/>
        <v>0</v>
      </c>
      <c r="D22" s="12">
        <f si="9" t="shared"/>
        <v>18023.893825026353</v>
      </c>
      <c r="E22" s="12">
        <f si="9" t="shared"/>
        <v>723.38317963716099</v>
      </c>
      <c r="F22" s="12">
        <f si="9" t="shared"/>
        <v>1287.8476881909414</v>
      </c>
      <c r="G22" s="12">
        <f si="9" t="shared"/>
        <v>0</v>
      </c>
      <c r="H22" s="12">
        <f ref="H22" si="15" t="shared">($U9/$J9)*H9</f>
        <v>1183.0437359601056</v>
      </c>
      <c r="I22" s="12"/>
      <c r="J22" s="12">
        <f si="11" t="shared"/>
        <v>22679</v>
      </c>
      <c r="K22" s="13"/>
      <c r="L22" t="str">
        <f>$A$9</f>
        <v>Kirkland</v>
      </c>
      <c r="M22" s="12">
        <f si="6" t="shared"/>
        <v>1764.75</v>
      </c>
      <c r="N22" s="12">
        <f si="12" t="shared"/>
        <v>216.5</v>
      </c>
      <c r="O22" s="12">
        <f si="12" t="shared"/>
        <v>13247.75</v>
      </c>
      <c r="P22" s="12">
        <f si="12" t="shared"/>
        <v>2534.25</v>
      </c>
      <c r="Q22" s="12">
        <f si="12" t="shared"/>
        <v>2057.5</v>
      </c>
      <c r="R22" s="12">
        <f si="12" t="shared"/>
        <v>225.25</v>
      </c>
      <c r="S22" s="12">
        <f ref="S22" si="16" t="shared">S9</f>
        <v>2633</v>
      </c>
      <c r="T22" s="12"/>
      <c r="U22" s="12">
        <f si="14" t="shared"/>
        <v>22679</v>
      </c>
    </row>
    <row r="23" spans="1:32" x14ac:dyDescent="0.25">
      <c r="A23" t="str">
        <f>$A$10</f>
        <v>Redmond</v>
      </c>
      <c r="B23" s="12">
        <f si="9" t="shared"/>
        <v>1687.555505556084</v>
      </c>
      <c r="C23" s="12">
        <f si="9" t="shared"/>
        <v>3371.0688203687891</v>
      </c>
      <c r="D23" s="12">
        <f si="9" t="shared"/>
        <v>185.85560612734662</v>
      </c>
      <c r="E23" s="12">
        <f si="9" t="shared"/>
        <v>11601.511612746366</v>
      </c>
      <c r="F23" s="12">
        <f si="9" t="shared"/>
        <v>0</v>
      </c>
      <c r="G23" s="12">
        <f si="9" t="shared"/>
        <v>81.068071049197883</v>
      </c>
      <c r="H23" s="12">
        <f ref="H23" si="17" t="shared">($U10/$J10)*H10</f>
        <v>2283.4403841522144</v>
      </c>
      <c r="I23" s="12"/>
      <c r="J23" s="12">
        <f>SUM(B23:I23)</f>
        <v>19210.499999999996</v>
      </c>
      <c r="K23" s="13"/>
      <c r="L23" t="str">
        <f>$A$10</f>
        <v>Redmond</v>
      </c>
      <c r="M23" s="12">
        <f si="6" t="shared"/>
        <v>2934.25</v>
      </c>
      <c r="N23" s="12">
        <f si="12" t="shared"/>
        <v>151.25</v>
      </c>
      <c r="O23" s="12">
        <f si="12" t="shared"/>
        <v>3311.75</v>
      </c>
      <c r="P23" s="12">
        <f si="12" t="shared"/>
        <v>8932.75</v>
      </c>
      <c r="Q23" s="12">
        <f si="12" t="shared"/>
        <v>1271.25</v>
      </c>
      <c r="R23" s="12">
        <f si="12" t="shared"/>
        <v>256</v>
      </c>
      <c r="S23" s="12">
        <f ref="S23" si="18" t="shared">S10</f>
        <v>2353.25</v>
      </c>
      <c r="T23" s="12"/>
      <c r="U23" s="12">
        <f si="14" t="shared"/>
        <v>19210.5</v>
      </c>
    </row>
    <row r="24" spans="1:32" x14ac:dyDescent="0.25">
      <c r="A24" t="str">
        <f>$A$11</f>
        <v>Seattle</v>
      </c>
      <c r="B24" s="12">
        <f si="9" t="shared"/>
        <v>194.9043170711943</v>
      </c>
      <c r="C24" s="12">
        <f si="9" t="shared"/>
        <v>205.9226119736087</v>
      </c>
      <c r="D24" s="12">
        <f si="9" t="shared"/>
        <v>1523.9220811077789</v>
      </c>
      <c r="E24" s="12">
        <f si="9" t="shared"/>
        <v>0</v>
      </c>
      <c r="F24" s="12">
        <f si="9" t="shared"/>
        <v>68334.992830506977</v>
      </c>
      <c r="G24" s="12">
        <f si="9" t="shared"/>
        <v>11523.352791544834</v>
      </c>
      <c r="H24" s="12">
        <f ref="H24" si="19" t="shared">($U11/$J11)*H11</f>
        <v>11260.840556799612</v>
      </c>
      <c r="I24" s="12"/>
      <c r="J24" s="12">
        <f si="11" t="shared"/>
        <v>93043.935189003998</v>
      </c>
      <c r="K24" s="13"/>
      <c r="L24" t="str">
        <f>$A$11</f>
        <v>Seattle</v>
      </c>
      <c r="M24" s="12">
        <f si="6" t="shared"/>
        <v>2161.7853168623401</v>
      </c>
      <c r="N24" s="12">
        <f si="12" t="shared"/>
        <v>219.84329350738713</v>
      </c>
      <c r="O24" s="12">
        <f si="12" t="shared"/>
        <v>1937.8175978510978</v>
      </c>
      <c r="P24" s="12">
        <f si="12" t="shared"/>
        <v>655.28360809400738</v>
      </c>
      <c r="Q24" s="12">
        <f si="12" t="shared"/>
        <v>74108.000262281537</v>
      </c>
      <c r="R24" s="12">
        <f si="12" t="shared"/>
        <v>4271.8755438479393</v>
      </c>
      <c r="S24" s="12">
        <f ref="S24" si="20" t="shared">S11</f>
        <v>9689.3295665596816</v>
      </c>
      <c r="T24" s="12"/>
      <c r="U24" s="12">
        <f si="14" t="shared"/>
        <v>93043.935189003998</v>
      </c>
    </row>
    <row r="25" spans="1:32" x14ac:dyDescent="0.25">
      <c r="A25" t="str">
        <f>$A$12</f>
        <v>Seattle Downtown</v>
      </c>
      <c r="B25" s="12">
        <f si="9" t="shared"/>
        <v>0</v>
      </c>
      <c r="C25" s="12">
        <f si="9" t="shared"/>
        <v>0</v>
      </c>
      <c r="D25" s="12">
        <f si="9" t="shared"/>
        <v>0</v>
      </c>
      <c r="E25" s="12">
        <f si="9" t="shared"/>
        <v>0</v>
      </c>
      <c r="F25" s="12">
        <f si="9" t="shared"/>
        <v>1871.3065391404423</v>
      </c>
      <c r="G25" s="12">
        <f si="9" t="shared"/>
        <v>3544.314756846326</v>
      </c>
      <c r="H25" s="12">
        <f ref="H25:H26" si="21" t="shared">($U12/$J12)*H12</f>
        <v>212.74979485024696</v>
      </c>
      <c r="I25" s="12"/>
      <c r="J25" s="12">
        <f si="11" t="shared"/>
        <v>5628.3710908370149</v>
      </c>
      <c r="K25" s="13"/>
      <c r="L25" t="str">
        <f>$A$12</f>
        <v>Seattle Downtown</v>
      </c>
      <c r="M25" s="12">
        <f si="6" t="shared"/>
        <v>99.112696042113825</v>
      </c>
      <c r="N25" s="12">
        <f si="12" t="shared"/>
        <v>5.9971830985915497</v>
      </c>
      <c r="O25" s="12">
        <f si="12" t="shared"/>
        <v>43.957680804950819</v>
      </c>
      <c r="P25" s="12">
        <f si="12" t="shared"/>
        <v>33.92366030424725</v>
      </c>
      <c r="Q25" s="12">
        <f si="12" t="shared"/>
        <v>1305.7861468822321</v>
      </c>
      <c r="R25" s="12">
        <f si="12" t="shared"/>
        <v>3932.7233780266206</v>
      </c>
      <c r="S25" s="12">
        <f ref="S25" si="22" t="shared">S12</f>
        <v>206.87034567825953</v>
      </c>
      <c r="T25" s="12"/>
      <c r="U25" s="12">
        <f si="14" t="shared"/>
        <v>5628.3710908370158</v>
      </c>
    </row>
    <row r="26" spans="1:32" x14ac:dyDescent="0.25">
      <c r="A26" t="str">
        <f>$A$13</f>
        <v>Rest</v>
      </c>
      <c r="B26" s="12">
        <f si="9" t="shared"/>
        <v>7402.2763828318139</v>
      </c>
      <c r="C26" s="12">
        <f si="9" t="shared"/>
        <v>0</v>
      </c>
      <c r="D26" s="12">
        <f si="9" t="shared"/>
        <v>8156.7547450447682</v>
      </c>
      <c r="E26" s="12">
        <f si="9" t="shared"/>
        <v>2950.3921836605787</v>
      </c>
      <c r="F26" s="12">
        <f si="9" t="shared"/>
        <v>18060.494472290415</v>
      </c>
      <c r="G26" s="12">
        <f si="9" t="shared"/>
        <v>681.17581657055746</v>
      </c>
      <c r="H26" s="12">
        <f si="21" t="shared"/>
        <v>439153.26518647367</v>
      </c>
      <c r="I26" s="12"/>
      <c r="J26" s="12">
        <f si="11" t="shared"/>
        <v>476404.35878687177</v>
      </c>
      <c r="K26" s="13"/>
      <c r="L26" t="str">
        <f>$A$13</f>
        <v>Rest</v>
      </c>
      <c r="M26" s="12">
        <f si="6" t="shared"/>
        <v>10082.794966350864</v>
      </c>
      <c r="N26" s="12">
        <f ref="N26:R26" si="23" t="shared">N13</f>
        <v>840.26373954862402</v>
      </c>
      <c r="O26" s="12">
        <f si="23" t="shared"/>
        <v>8496.2454065899037</v>
      </c>
      <c r="P26" s="12">
        <f si="23" t="shared"/>
        <v>6816.0895357547324</v>
      </c>
      <c r="Q26" s="12">
        <f si="23" t="shared"/>
        <v>20998.415614269736</v>
      </c>
      <c r="R26" s="12">
        <f si="23" t="shared"/>
        <v>2615.3197622762627</v>
      </c>
      <c r="S26" s="12">
        <f ref="S26" si="24" t="shared">S13</f>
        <v>426555.2297620817</v>
      </c>
      <c r="T26" s="12"/>
      <c r="U26" s="12">
        <f si="14" t="shared"/>
        <v>476404.35878687183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2">
        <f si="11" t="shared"/>
        <v>0</v>
      </c>
      <c r="K27" s="12"/>
      <c r="L27" s="292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>
        <f ref="B28:J28" si="25" t="shared">SUM(B20:B27)</f>
        <v>32427.277256424528</v>
      </c>
      <c r="C28" s="15">
        <f si="25" t="shared"/>
        <v>4027.6882187246642</v>
      </c>
      <c r="D28" s="15">
        <f si="25" t="shared"/>
        <v>29104.936501724322</v>
      </c>
      <c r="E28" s="15">
        <f si="25" t="shared"/>
        <v>16848.697864223519</v>
      </c>
      <c r="F28" s="15">
        <f si="25" t="shared"/>
        <v>90764.684868766664</v>
      </c>
      <c r="G28" s="15">
        <f si="25" t="shared"/>
        <v>15829.911436010916</v>
      </c>
      <c r="H28" s="15">
        <f si="25" t="shared"/>
        <v>456281.9689208382</v>
      </c>
      <c r="I28" s="15">
        <f si="25" t="shared"/>
        <v>0</v>
      </c>
      <c r="J28" s="15">
        <f si="25" t="shared"/>
        <v>645285.16506671277</v>
      </c>
      <c r="K28" s="12"/>
      <c r="L28" s="15" t="s">
        <v>4</v>
      </c>
      <c r="M28" s="15">
        <f ref="M28:U28" si="26" t="shared">M15</f>
        <v>34122.44297925532</v>
      </c>
      <c r="N28" s="15">
        <f si="26" t="shared"/>
        <v>3159.8542161546025</v>
      </c>
      <c r="O28" s="15">
        <f si="26" t="shared"/>
        <v>28875.520685245952</v>
      </c>
      <c r="P28" s="15">
        <f si="26" t="shared"/>
        <v>21040.796804152986</v>
      </c>
      <c r="Q28" s="15">
        <f si="26" t="shared"/>
        <v>101840.70202343351</v>
      </c>
      <c r="R28" s="15">
        <f si="26" t="shared"/>
        <v>11709.168684150824</v>
      </c>
      <c r="S28" s="15">
        <f si="26" t="shared"/>
        <v>444536.67967431963</v>
      </c>
      <c r="T28" s="15"/>
      <c r="U28" s="15">
        <f si="26" t="shared"/>
        <v>645285.16506671289</v>
      </c>
    </row>
    <row ht="15.75" r="31" spans="1:32" thickBot="1" x14ac:dyDescent="0.3">
      <c r="A31" s="4" t="s">
        <v>38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>
        <f ref="B33:J39" si="27" t="shared">B20/$J$28</f>
        <v>3.1917421419003909E-2</v>
      </c>
      <c r="C33" s="16">
        <f si="27" t="shared"/>
        <v>6.9844591318889387E-4</v>
      </c>
      <c r="D33" s="16">
        <f si="27" t="shared"/>
        <v>1.8821294989673546E-3</v>
      </c>
      <c r="E33" s="16">
        <f si="27" t="shared"/>
        <v>2.4383187052142213E-3</v>
      </c>
      <c r="F33" s="16">
        <f si="27" t="shared"/>
        <v>1.438378440725741E-3</v>
      </c>
      <c r="G33" s="16">
        <f si="27" t="shared"/>
        <v>0</v>
      </c>
      <c r="H33" s="16">
        <f ref="H33" si="28" t="shared">H20/$J$28</f>
        <v>3.3917241261483032E-3</v>
      </c>
      <c r="I33" s="16"/>
      <c r="J33" s="16">
        <f ref="J33:J38" si="29" t="shared">J20/$J$28</f>
        <v>4.1766418103248416E-2</v>
      </c>
      <c r="K33" s="12"/>
      <c r="L33" t="str">
        <f>$A$7</f>
        <v>Bellevue</v>
      </c>
      <c r="M33" s="16">
        <f ref="M33:R33" si="30" t="shared">M20/$U$28</f>
        <v>2.5405047082254179E-2</v>
      </c>
      <c r="N33" s="16">
        <f si="30" t="shared"/>
        <v>2.0704024706067392E-3</v>
      </c>
      <c r="O33" s="16">
        <f si="30" t="shared"/>
        <v>2.6790481070818866E-3</v>
      </c>
      <c r="P33" s="16">
        <f si="30" t="shared"/>
        <v>3.1338857755871846E-3</v>
      </c>
      <c r="Q33" s="16">
        <f si="30" t="shared"/>
        <v>3.1586810147561277E-3</v>
      </c>
      <c r="R33" s="16">
        <f si="30" t="shared"/>
        <v>6.1329474381932418E-4</v>
      </c>
      <c r="S33" s="16">
        <f ref="S33" si="31" t="shared">S20/$U$28</f>
        <v>4.7060589091429761E-3</v>
      </c>
      <c r="T33" s="16"/>
      <c r="U33" s="16">
        <f ref="U33:U39" si="32" t="shared">U20/$U$28</f>
        <v>4.1766418103248416E-2</v>
      </c>
      <c r="W33" t="str">
        <f>$A$7</f>
        <v>Bellevue</v>
      </c>
      <c r="X33" s="16">
        <f ref="X33:AD33" si="33" t="shared">M33-B33</f>
        <v>-6.5123743367497301E-3</v>
      </c>
      <c r="Y33" s="16">
        <f si="33" t="shared"/>
        <v>1.3719565574178453E-3</v>
      </c>
      <c r="Z33" s="16">
        <f si="33" t="shared"/>
        <v>7.9691860811453201E-4</v>
      </c>
      <c r="AA33" s="16">
        <f si="33" t="shared"/>
        <v>6.9556707037296333E-4</v>
      </c>
      <c r="AB33" s="16">
        <f si="33" t="shared"/>
        <v>1.7203025740303868E-3</v>
      </c>
      <c r="AC33" s="16">
        <f si="33" t="shared"/>
        <v>6.1329474381932418E-4</v>
      </c>
      <c r="AD33" s="16">
        <f si="33" t="shared"/>
        <v>1.3143347829946729E-3</v>
      </c>
      <c r="AE33" s="16"/>
      <c r="AF33" s="16">
        <f ref="AF33:AF39" si="34" t="shared">U33-J33</f>
        <v>0</v>
      </c>
    </row>
    <row r="34" spans="1:32" x14ac:dyDescent="0.25">
      <c r="A34" t="str">
        <f>$A$8</f>
        <v>Bellevue Downtown</v>
      </c>
      <c r="B34" s="16">
        <f si="27" t="shared"/>
        <v>1.6827768399138132E-3</v>
      </c>
      <c r="C34" s="16">
        <f si="27" t="shared"/>
        <v>0</v>
      </c>
      <c r="D34" s="16">
        <f si="27" t="shared"/>
        <v>0</v>
      </c>
      <c r="E34" s="16">
        <f si="27" t="shared"/>
        <v>0</v>
      </c>
      <c r="F34" s="16">
        <f si="27" t="shared"/>
        <v>4.3682868341879811E-4</v>
      </c>
      <c r="G34" s="16">
        <f si="27" t="shared"/>
        <v>0</v>
      </c>
      <c r="H34" s="16">
        <f ref="H34" si="35" t="shared">H21/$J$28</f>
        <v>0</v>
      </c>
      <c r="I34" s="16"/>
      <c r="J34" s="16">
        <f si="29" t="shared"/>
        <v>2.1196055233326109E-3</v>
      </c>
      <c r="K34" s="12"/>
      <c r="L34" t="str">
        <f>$A$8</f>
        <v>Bellevue Downtown</v>
      </c>
      <c r="M34" s="16">
        <f ref="M34:R39" si="36" t="shared">M21/$U$28</f>
        <v>1.0634833049804452E-3</v>
      </c>
      <c r="N34" s="16">
        <f si="36" t="shared"/>
        <v>6.043839547429853E-4</v>
      </c>
      <c r="O34" s="16">
        <f si="36" t="shared"/>
        <v>1.6930499245043884E-4</v>
      </c>
      <c r="P34" s="16">
        <f si="36" t="shared"/>
        <v>7.1673738222725818E-5</v>
      </c>
      <c r="Q34" s="16">
        <f si="36" t="shared"/>
        <v>9.5306700555624604E-5</v>
      </c>
      <c r="R34" s="16">
        <f si="36" t="shared"/>
        <v>1.8983854988721973E-5</v>
      </c>
      <c r="S34" s="16">
        <f ref="S34" si="37" t="shared">S21/$U$28</f>
        <v>9.6468977391668805E-5</v>
      </c>
      <c r="T34" s="16"/>
      <c r="U34" s="16">
        <f si="32" t="shared"/>
        <v>2.1196055233326104E-3</v>
      </c>
      <c r="W34" t="str">
        <f>$A$8</f>
        <v>Bellevue Downtown</v>
      </c>
      <c r="X34" s="16">
        <f ref="X34:X38" si="38" t="shared">M34-B34</f>
        <v>-6.1929353493336793E-4</v>
      </c>
      <c r="Y34" s="16">
        <f ref="Y34:AD38" si="39" t="shared">N34-C34</f>
        <v>6.043839547429853E-4</v>
      </c>
      <c r="Z34" s="16">
        <f si="39" t="shared"/>
        <v>1.6930499245043884E-4</v>
      </c>
      <c r="AA34" s="16">
        <f si="39" t="shared"/>
        <v>7.1673738222725818E-5</v>
      </c>
      <c r="AB34" s="16">
        <f si="39" t="shared"/>
        <v>-3.4152198286317351E-4</v>
      </c>
      <c r="AC34" s="16">
        <f si="39" t="shared"/>
        <v>1.8983854988721973E-5</v>
      </c>
      <c r="AD34" s="16">
        <f si="39" t="shared"/>
        <v>9.6468977391668805E-5</v>
      </c>
      <c r="AE34" s="16"/>
      <c r="AF34" s="16">
        <f si="34" t="shared"/>
        <v>0</v>
      </c>
    </row>
    <row r="35" spans="1:32" x14ac:dyDescent="0.25">
      <c r="A35" t="str">
        <f>$A$9</f>
        <v>Kirkland</v>
      </c>
      <c r="B35" s="16">
        <f si="27" t="shared"/>
        <v>2.2638542620678588E-3</v>
      </c>
      <c r="C35" s="16">
        <f si="27" t="shared"/>
        <v>0</v>
      </c>
      <c r="D35" s="16">
        <f si="27" t="shared"/>
        <v>2.7931672384197696E-2</v>
      </c>
      <c r="E35" s="16">
        <f si="27" t="shared"/>
        <v>1.1210286843683661E-3</v>
      </c>
      <c r="F35" s="16">
        <f si="27" t="shared"/>
        <v>1.9957807151165445E-3</v>
      </c>
      <c r="G35" s="16">
        <f si="27" t="shared"/>
        <v>0</v>
      </c>
      <c r="H35" s="16">
        <f ref="H35" si="40" t="shared">H22/$J$28</f>
        <v>1.8333657737781661E-3</v>
      </c>
      <c r="I35" s="16"/>
      <c r="J35" s="16">
        <f si="29" t="shared"/>
        <v>3.5145701819528634E-2</v>
      </c>
      <c r="K35" s="13"/>
      <c r="L35" t="str">
        <f>$A$9</f>
        <v>Kirkland</v>
      </c>
      <c r="M35" s="16">
        <f si="36" t="shared"/>
        <v>2.7348373952120085E-3</v>
      </c>
      <c r="N35" s="16">
        <f si="36" t="shared"/>
        <v>3.3551058000475979E-4</v>
      </c>
      <c r="O35" s="16">
        <f si="36" t="shared"/>
        <v>2.0530070606272779E-2</v>
      </c>
      <c r="P35" s="16">
        <f si="36" t="shared"/>
        <v>3.9273334289933607E-3</v>
      </c>
      <c r="Q35" s="16">
        <f si="36" t="shared"/>
        <v>3.1885127868812621E-3</v>
      </c>
      <c r="R35" s="16">
        <f si="36" t="shared"/>
        <v>3.4907047642527547E-4</v>
      </c>
      <c r="S35" s="16">
        <f ref="S35" si="41" t="shared">S22/$U$28</f>
        <v>4.0803665457391806E-3</v>
      </c>
      <c r="T35" s="16"/>
      <c r="U35" s="16">
        <f si="32" t="shared"/>
        <v>3.5145701819528627E-2</v>
      </c>
      <c r="W35" t="str">
        <f>$A$9</f>
        <v>Kirkland</v>
      </c>
      <c r="X35" s="16">
        <f si="38" t="shared"/>
        <v>4.7098313314414969E-4</v>
      </c>
      <c r="Y35" s="16">
        <f si="39" t="shared"/>
        <v>3.3551058000475979E-4</v>
      </c>
      <c r="Z35" s="16">
        <f si="39" t="shared"/>
        <v>-7.4016017779249162E-3</v>
      </c>
      <c r="AA35" s="16">
        <f si="39" t="shared"/>
        <v>2.8063047446249944E-3</v>
      </c>
      <c r="AB35" s="16">
        <f si="39" t="shared"/>
        <v>1.1927320717647176E-3</v>
      </c>
      <c r="AC35" s="16">
        <f si="39" t="shared"/>
        <v>3.4907047642527547E-4</v>
      </c>
      <c r="AD35" s="16">
        <f si="39" t="shared"/>
        <v>2.2470007719610145E-3</v>
      </c>
      <c r="AE35" s="16"/>
      <c r="AF35" s="16">
        <f si="34" t="shared"/>
        <v>0</v>
      </c>
    </row>
    <row r="36" spans="1:32" x14ac:dyDescent="0.25">
      <c r="A36" t="str">
        <f>$A$10</f>
        <v>Redmond</v>
      </c>
      <c r="B36" s="16">
        <f si="27" t="shared"/>
        <v>2.6152088981956003E-3</v>
      </c>
      <c r="C36" s="16">
        <f si="27" t="shared"/>
        <v>5.2241536035006657E-3</v>
      </c>
      <c r="D36" s="16">
        <f si="27" t="shared"/>
        <v>2.8802088780102659E-4</v>
      </c>
      <c r="E36" s="16">
        <f si="27" t="shared"/>
        <v>1.7978890947457228E-2</v>
      </c>
      <c r="F36" s="16">
        <f si="27" t="shared"/>
        <v>0</v>
      </c>
      <c r="G36" s="16">
        <f si="27" t="shared"/>
        <v>1.256313881643578E-4</v>
      </c>
      <c r="H36" s="16">
        <f ref="H36" si="42" t="shared">H23/$J$28</f>
        <v>3.538653153317326E-3</v>
      </c>
      <c r="I36" s="16"/>
      <c r="J36" s="16">
        <f si="29" t="shared"/>
        <v>2.9770558878436201E-2</v>
      </c>
      <c r="K36" s="13"/>
      <c r="L36" t="str">
        <f>$A$10</f>
        <v>Redmond</v>
      </c>
      <c r="M36" s="16">
        <f si="36" t="shared"/>
        <v>4.547214408216935E-3</v>
      </c>
      <c r="N36" s="16">
        <f si="36" t="shared"/>
        <v>2.3439249526891417E-4</v>
      </c>
      <c r="O36" s="16">
        <f si="36" t="shared"/>
        <v>5.1322270823591833E-3</v>
      </c>
      <c r="P36" s="16">
        <f si="36" t="shared"/>
        <v>1.3843104542898466E-2</v>
      </c>
      <c r="Q36" s="16">
        <f si="36" t="shared"/>
        <v>1.9700592370949233E-3</v>
      </c>
      <c r="R36" s="16">
        <f si="36" t="shared"/>
        <v>3.967238267030878E-4</v>
      </c>
      <c r="S36" s="16">
        <f ref="S36" si="43" t="shared">S23/$U$28</f>
        <v>3.6468372858946929E-3</v>
      </c>
      <c r="T36" s="16"/>
      <c r="U36" s="16">
        <f si="32" t="shared"/>
        <v>2.9770558878436201E-2</v>
      </c>
      <c r="W36" t="str">
        <f>$A$10</f>
        <v>Redmond</v>
      </c>
      <c r="X36" s="16">
        <f si="38" t="shared"/>
        <v>1.9320055100213347E-3</v>
      </c>
      <c r="Y36" s="16">
        <f si="39" t="shared"/>
        <v>-4.9897611082317514E-3</v>
      </c>
      <c r="Z36" s="16">
        <f si="39" t="shared"/>
        <v>4.8442061945581571E-3</v>
      </c>
      <c r="AA36" s="16">
        <f si="39" t="shared"/>
        <v>-4.1357864045587622E-3</v>
      </c>
      <c r="AB36" s="16">
        <f si="39" t="shared"/>
        <v>1.9700592370949233E-3</v>
      </c>
      <c r="AC36" s="16">
        <f si="39" t="shared"/>
        <v>2.7109243853872997E-4</v>
      </c>
      <c r="AD36" s="16">
        <f si="39" t="shared"/>
        <v>1.0818413257736694E-4</v>
      </c>
      <c r="AE36" s="16"/>
      <c r="AF36" s="16">
        <f si="34" t="shared"/>
        <v>0</v>
      </c>
    </row>
    <row r="37" spans="1:32" x14ac:dyDescent="0.25">
      <c r="A37" t="str">
        <f>$A$11</f>
        <v>Seattle</v>
      </c>
      <c r="B37" s="16">
        <f si="27" t="shared"/>
        <v>3.0204369730248506E-4</v>
      </c>
      <c r="C37" s="16">
        <f si="27" t="shared"/>
        <v>3.1911877588619195E-4</v>
      </c>
      <c r="D37" s="16">
        <f si="27" t="shared"/>
        <v>2.3616257797437947E-3</v>
      </c>
      <c r="E37" s="16">
        <f si="27" t="shared"/>
        <v>0</v>
      </c>
      <c r="F37" s="16">
        <f si="27" t="shared"/>
        <v>0.10589890567752656</v>
      </c>
      <c r="G37" s="16">
        <f si="27" t="shared"/>
        <v>1.7857768030903814E-2</v>
      </c>
      <c r="H37" s="16">
        <f ref="H37" si="44" t="shared">H24/$J$28</f>
        <v>1.7450952178073721E-2</v>
      </c>
      <c r="I37" s="16"/>
      <c r="J37" s="16">
        <f si="29" t="shared"/>
        <v>0.14419041413943656</v>
      </c>
      <c r="K37" s="13"/>
      <c r="L37" t="str">
        <f>$A$11</f>
        <v>Seattle</v>
      </c>
      <c r="M37" s="16">
        <f si="36" t="shared"/>
        <v>3.3501239977194327E-3</v>
      </c>
      <c r="N37" s="16">
        <f si="36" t="shared"/>
        <v>3.4069169013773717E-4</v>
      </c>
      <c r="O37" s="16">
        <f si="36" t="shared"/>
        <v>3.0030406752815345E-3</v>
      </c>
      <c r="P37" s="16">
        <f si="36" t="shared"/>
        <v>1.015494611636176E-3</v>
      </c>
      <c r="Q37" s="16">
        <f si="36" t="shared"/>
        <v>0.11484534942721002</v>
      </c>
      <c r="R37" s="16">
        <f si="36" t="shared"/>
        <v>6.620135988104253E-3</v>
      </c>
      <c r="S37" s="16">
        <f ref="S37" si="45" t="shared">S24/$U$28</f>
        <v>1.5015577749347375E-2</v>
      </c>
      <c r="T37" s="16"/>
      <c r="U37" s="16">
        <f si="32" t="shared"/>
        <v>0.14419041413943653</v>
      </c>
      <c r="W37" t="str">
        <f>$A$11</f>
        <v>Seattle</v>
      </c>
      <c r="X37" s="16">
        <f si="38" t="shared"/>
        <v>3.0480803004169477E-3</v>
      </c>
      <c r="Y37" s="16">
        <f si="39" t="shared"/>
        <v>2.1572914251545214E-5</v>
      </c>
      <c r="Z37" s="16">
        <f si="39" t="shared"/>
        <v>6.4141489553773976E-4</v>
      </c>
      <c r="AA37" s="16">
        <f si="39" t="shared"/>
        <v>1.015494611636176E-3</v>
      </c>
      <c r="AB37" s="16">
        <f si="39" t="shared"/>
        <v>8.9464437496834526E-3</v>
      </c>
      <c r="AC37" s="16">
        <f si="39" t="shared"/>
        <v>-1.123763204279956E-2</v>
      </c>
      <c r="AD37" s="16">
        <f si="39" t="shared"/>
        <v>-2.4353744287263467E-3</v>
      </c>
      <c r="AE37" s="16"/>
      <c r="AF37" s="16">
        <f si="34" t="shared"/>
        <v>0</v>
      </c>
    </row>
    <row r="38" spans="1:32" x14ac:dyDescent="0.25">
      <c r="A38" t="str">
        <f>$A$12</f>
        <v>Seattle Downtown</v>
      </c>
      <c r="B38" s="16">
        <f si="27" t="shared"/>
        <v>0</v>
      </c>
      <c r="C38" s="16">
        <f si="27" t="shared"/>
        <v>0</v>
      </c>
      <c r="D38" s="16">
        <f si="27" t="shared"/>
        <v>0</v>
      </c>
      <c r="E38" s="16">
        <f si="27" t="shared"/>
        <v>0</v>
      </c>
      <c r="F38" s="16">
        <f si="27" t="shared"/>
        <v>2.8999683247746405E-3</v>
      </c>
      <c r="G38" s="16">
        <f si="27" t="shared"/>
        <v>5.4926332553761675E-3</v>
      </c>
      <c r="H38" s="16">
        <f ref="H38:H39" si="46" t="shared">H25/$J$28</f>
        <v>3.2969887790346435E-4</v>
      </c>
      <c r="I38" s="16"/>
      <c r="J38" s="16">
        <f si="29" t="shared"/>
        <v>8.7223004580542721E-3</v>
      </c>
      <c r="K38" s="13"/>
      <c r="L38" t="str">
        <f>$A$12</f>
        <v>Seattle Downtown</v>
      </c>
      <c r="M38" s="16">
        <f si="36" t="shared"/>
        <v>1.5359518769018509E-4</v>
      </c>
      <c r="N38" s="16">
        <f si="36" t="shared"/>
        <v>9.2938493293450037E-6</v>
      </c>
      <c r="O38" s="16">
        <f si="36" t="shared"/>
        <v>6.8121325554425615E-5</v>
      </c>
      <c r="P38" s="16">
        <f si="36" t="shared"/>
        <v>5.2571579420611733E-5</v>
      </c>
      <c r="Q38" s="16">
        <f si="36" t="shared"/>
        <v>2.0235799884648414E-3</v>
      </c>
      <c r="R38" s="16">
        <f si="36" t="shared"/>
        <v>6.0945510464664654E-3</v>
      </c>
      <c r="S38" s="16">
        <f ref="S38:S39" si="47" t="shared">S25/$U$28</f>
        <v>3.2058748112839727E-4</v>
      </c>
      <c r="T38" s="16"/>
      <c r="U38" s="16">
        <f si="32" t="shared"/>
        <v>8.7223004580542704E-3</v>
      </c>
      <c r="W38" t="str">
        <f>$A$12</f>
        <v>Seattle Downtown</v>
      </c>
      <c r="X38" s="16">
        <f si="38" t="shared"/>
        <v>1.5359518769018509E-4</v>
      </c>
      <c r="Y38" s="16">
        <f si="39" t="shared"/>
        <v>9.2938493293450037E-6</v>
      </c>
      <c r="Z38" s="16">
        <f si="39" t="shared"/>
        <v>6.8121325554425615E-5</v>
      </c>
      <c r="AA38" s="16">
        <f si="39" t="shared"/>
        <v>5.2571579420611733E-5</v>
      </c>
      <c r="AB38" s="16">
        <f si="39" t="shared"/>
        <v>-8.763883363097991E-4</v>
      </c>
      <c r="AC38" s="16">
        <f si="39" t="shared"/>
        <v>6.0191779109029786E-4</v>
      </c>
      <c r="AD38" s="16">
        <f si="39" t="shared"/>
        <v>-9.1113967750670812E-6</v>
      </c>
      <c r="AE38" s="16"/>
      <c r="AF38" s="16">
        <f si="34" t="shared"/>
        <v>0</v>
      </c>
    </row>
    <row r="39" spans="1:32" x14ac:dyDescent="0.25">
      <c r="A39" t="str">
        <f>$A$13</f>
        <v>Rest</v>
      </c>
      <c r="B39" s="16">
        <f si="27" t="shared"/>
        <v>1.1471325831683315E-2</v>
      </c>
      <c r="C39" s="16">
        <f si="27" t="shared"/>
        <v>0</v>
      </c>
      <c r="D39" s="16">
        <f si="27" t="shared"/>
        <v>1.2640542796612227E-2</v>
      </c>
      <c r="E39" s="16">
        <f si="27" t="shared"/>
        <v>4.5722299897527517E-3</v>
      </c>
      <c r="F39" s="16">
        <f si="27" t="shared"/>
        <v>2.7988392496863353E-2</v>
      </c>
      <c r="G39" s="16">
        <f si="27" t="shared"/>
        <v>1.0556198304979383E-3</v>
      </c>
      <c r="H39" s="16">
        <f si="46" t="shared"/>
        <v>0.68055689013255383</v>
      </c>
      <c r="I39" s="16"/>
      <c r="J39" s="16">
        <f si="27" t="shared"/>
        <v>0.73828500107796335</v>
      </c>
      <c r="K39" s="13"/>
      <c r="L39" t="str">
        <f>$A$13</f>
        <v>Rest</v>
      </c>
      <c r="M39" s="16">
        <f si="36" t="shared"/>
        <v>1.5625332042630259E-2</v>
      </c>
      <c r="N39" s="16">
        <f si="36" t="shared"/>
        <v>1.3021587741936594E-3</v>
      </c>
      <c r="O39" s="16">
        <f si="36" t="shared"/>
        <v>1.3166652305901869E-2</v>
      </c>
      <c r="P39" s="16">
        <f si="36" t="shared"/>
        <v>1.056291063974801E-2</v>
      </c>
      <c r="Q39" s="16">
        <f si="36" t="shared"/>
        <v>3.2541296082792812E-2</v>
      </c>
      <c r="R39" s="16">
        <f si="36" t="shared"/>
        <v>4.0529674380564403E-3</v>
      </c>
      <c r="S39" s="16">
        <f si="47" t="shared"/>
        <v>0.66103368379464023</v>
      </c>
      <c r="T39" s="16"/>
      <c r="U39" s="16">
        <f si="32" t="shared"/>
        <v>0.73828500107796324</v>
      </c>
      <c r="W39" t="str">
        <f>$A$13</f>
        <v>Rest</v>
      </c>
      <c r="X39" s="16">
        <f ref="X39" si="48" t="shared">M39-B39</f>
        <v>4.154006210946944E-3</v>
      </c>
      <c r="Y39" s="16">
        <f ref="Y39" si="49" t="shared">N39-C39</f>
        <v>1.3021587741936594E-3</v>
      </c>
      <c r="Z39" s="16">
        <f ref="Z39" si="50" t="shared">O39-D39</f>
        <v>5.2610950928964201E-4</v>
      </c>
      <c r="AA39" s="16">
        <f ref="AA39" si="51" t="shared">P39-E39</f>
        <v>5.9906806499952581E-3</v>
      </c>
      <c r="AB39" s="16">
        <f ref="AB39" si="52" t="shared">Q39-F39</f>
        <v>4.5529035859294582E-3</v>
      </c>
      <c r="AC39" s="16">
        <f ref="AC39" si="53" t="shared">R39-G39</f>
        <v>2.9973476075585018E-3</v>
      </c>
      <c r="AD39" s="16">
        <f ref="AD39" si="54" t="shared">S39-H39</f>
        <v>-1.9523206337913601E-2</v>
      </c>
      <c r="AE39" s="16"/>
      <c r="AF39" s="16">
        <f si="34" t="shared"/>
        <v>0</v>
      </c>
    </row>
    <row r="40" spans="1:32" x14ac:dyDescent="0.2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>
        <f>J27/$J$28</f>
        <v>0</v>
      </c>
      <c r="K40" s="12"/>
      <c r="L40" s="292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2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ht="15.75" r="41" spans="1:32" thickBot="1" x14ac:dyDescent="0.3">
      <c r="A41" s="1" t="s">
        <v>4</v>
      </c>
      <c r="B41" s="18">
        <f ref="B41:H41" si="55" t="shared">B28/$J$28</f>
        <v>5.0252630948166982E-2</v>
      </c>
      <c r="C41" s="18">
        <f si="55" t="shared"/>
        <v>6.2417182925757512E-3</v>
      </c>
      <c r="D41" s="18">
        <f si="55" t="shared"/>
        <v>4.5103991347322091E-2</v>
      </c>
      <c r="E41" s="18">
        <f si="55" t="shared"/>
        <v>2.611046832679257E-2</v>
      </c>
      <c r="F41" s="18">
        <f si="55" t="shared"/>
        <v>0.14065825433842566</v>
      </c>
      <c r="G41" s="18">
        <f si="55" t="shared"/>
        <v>2.453165250494228E-2</v>
      </c>
      <c r="H41" s="18">
        <f si="55" t="shared"/>
        <v>0.70710128424177476</v>
      </c>
      <c r="I41" s="18">
        <f>I28/$J$28</f>
        <v>0</v>
      </c>
      <c r="J41" s="18">
        <f>J28/$J$28</f>
        <v>1</v>
      </c>
      <c r="K41" s="12"/>
      <c r="L41" s="15" t="s">
        <v>4</v>
      </c>
      <c r="M41" s="18">
        <f>M28/$U$28</f>
        <v>5.2879633418703449E-2</v>
      </c>
      <c r="N41" s="18">
        <f>N28/$U$28</f>
        <v>4.8968338142841399E-3</v>
      </c>
      <c r="O41" s="18">
        <f>O28/$U$28</f>
        <v>4.4748465094902115E-2</v>
      </c>
      <c r="P41" s="18">
        <f>P28/$U$28</f>
        <v>3.2606974316506533E-2</v>
      </c>
      <c r="Q41" s="18">
        <f ref="Q41:S41" si="56" t="shared">Q28/$U$28</f>
        <v>0.15782278523775561</v>
      </c>
      <c r="R41" s="18">
        <f si="56" t="shared"/>
        <v>1.8145727374563568E-2</v>
      </c>
      <c r="S41" s="18">
        <f si="56" t="shared"/>
        <v>0.6888995807432845</v>
      </c>
      <c r="T41" s="18">
        <f>T28/$U$28</f>
        <v>0</v>
      </c>
      <c r="U41" s="18">
        <f>U28/$U$28</f>
        <v>1</v>
      </c>
      <c r="W41" s="15" t="s">
        <v>4</v>
      </c>
      <c r="X41" s="18">
        <f ref="X41:AF41" si="57" t="shared">M41-B41</f>
        <v>2.6270024705364672E-3</v>
      </c>
      <c r="Y41" s="18">
        <f si="57" t="shared"/>
        <v>-1.3448844782916114E-3</v>
      </c>
      <c r="Z41" s="18">
        <f si="57" t="shared"/>
        <v>-3.5552625241997565E-4</v>
      </c>
      <c r="AA41" s="18">
        <f si="57" t="shared"/>
        <v>6.4965059897139632E-3</v>
      </c>
      <c r="AB41" s="18">
        <f si="57" t="shared"/>
        <v>1.7164530899329955E-2</v>
      </c>
      <c r="AC41" s="18">
        <f si="57" t="shared"/>
        <v>-6.3859251303787119E-3</v>
      </c>
      <c r="AD41" s="18">
        <f si="57" t="shared"/>
        <v>-1.8201703498490263E-2</v>
      </c>
      <c r="AE41" s="18">
        <f si="57" t="shared"/>
        <v>0</v>
      </c>
      <c r="AF41" s="18">
        <f si="57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>
      <selection activeCell="J16" sqref="J16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24</v>
      </c>
    </row>
    <row r="4" spans="1:3" x14ac:dyDescent="0.25">
      <c r="B4" t="s">
        <v>21</v>
      </c>
      <c r="C4" t="s">
        <v>25</v>
      </c>
    </row>
    <row r="5" spans="1:3" x14ac:dyDescent="0.25">
      <c r="B5" t="s">
        <v>22</v>
      </c>
      <c r="C5" t="s">
        <v>26</v>
      </c>
    </row>
    <row r="6" spans="1:3" x14ac:dyDescent="0.25">
      <c r="B6" t="s">
        <v>23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31</v>
      </c>
    </row>
    <row r="12" spans="1:3" x14ac:dyDescent="0.25">
      <c r="A12">
        <v>4</v>
      </c>
      <c r="B12" t="s">
        <v>32</v>
      </c>
    </row>
    <row r="14" spans="1:3" x14ac:dyDescent="0.25">
      <c r="A14">
        <v>5</v>
      </c>
      <c r="B14" t="s">
        <v>29</v>
      </c>
    </row>
    <row r="15" spans="1:3" x14ac:dyDescent="0.25">
      <c r="B15" t="s">
        <v>30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04"/>
  <sheetViews>
    <sheetView topLeftCell="A10" workbookViewId="0">
      <selection activeCell="D28" sqref="D28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6" t="s">
        <v>41</v>
      </c>
    </row>
    <row r="2" spans="1:4" x14ac:dyDescent="0.25">
      <c r="A2" t="s">
        <v>259</v>
      </c>
      <c r="B2" t="s">
        <v>260</v>
      </c>
      <c r="C2" t="s">
        <v>90</v>
      </c>
      <c r="D2" t="s">
        <v>261</v>
      </c>
    </row>
    <row r="3" spans="1:4" x14ac:dyDescent="0.25">
      <c r="A3">
        <v>1</v>
      </c>
      <c r="B3" t="s">
        <v>44</v>
      </c>
      <c r="C3" t="s">
        <v>278</v>
      </c>
      <c r="D3" t="s">
        <v>45</v>
      </c>
    </row>
    <row r="4" spans="1:4" x14ac:dyDescent="0.25">
      <c r="A4">
        <v>2</v>
      </c>
      <c r="B4" t="s">
        <v>47</v>
      </c>
      <c r="C4" t="s">
        <v>278</v>
      </c>
      <c r="D4" t="s">
        <v>48</v>
      </c>
    </row>
    <row r="5" spans="1:4" x14ac:dyDescent="0.25">
      <c r="A5">
        <v>3</v>
      </c>
      <c r="B5" t="s">
        <v>50</v>
      </c>
      <c r="C5" t="s">
        <v>278</v>
      </c>
      <c r="D5" t="s">
        <v>51</v>
      </c>
    </row>
    <row r="6" spans="1:4" x14ac:dyDescent="0.25">
      <c r="A6">
        <v>4</v>
      </c>
      <c r="B6" t="s">
        <v>53</v>
      </c>
      <c r="C6" t="s">
        <v>278</v>
      </c>
      <c r="D6" t="s">
        <v>54</v>
      </c>
    </row>
    <row r="7" spans="1:4" x14ac:dyDescent="0.25">
      <c r="A7">
        <v>5</v>
      </c>
      <c r="B7" t="s">
        <v>56</v>
      </c>
      <c r="C7" t="s">
        <v>278</v>
      </c>
      <c r="D7" t="s">
        <v>57</v>
      </c>
    </row>
    <row r="8" spans="1:4" x14ac:dyDescent="0.25">
      <c r="A8">
        <v>6</v>
      </c>
      <c r="B8" t="s">
        <v>58</v>
      </c>
      <c r="C8" t="s">
        <v>278</v>
      </c>
      <c r="D8" t="s">
        <v>59</v>
      </c>
    </row>
    <row r="9" spans="1:4" x14ac:dyDescent="0.25">
      <c r="A9">
        <v>7</v>
      </c>
      <c r="B9" t="s">
        <v>60</v>
      </c>
      <c r="C9" t="s">
        <v>278</v>
      </c>
      <c r="D9" t="s">
        <v>61</v>
      </c>
    </row>
    <row r="10" spans="1:4" x14ac:dyDescent="0.25">
      <c r="A10">
        <v>8</v>
      </c>
      <c r="B10" t="s">
        <v>63</v>
      </c>
      <c r="C10" t="s">
        <v>278</v>
      </c>
      <c r="D10" t="s">
        <v>64</v>
      </c>
    </row>
    <row r="11" spans="1:4" x14ac:dyDescent="0.25">
      <c r="A11">
        <v>9</v>
      </c>
      <c r="B11" t="s">
        <v>65</v>
      </c>
      <c r="C11" t="s">
        <v>278</v>
      </c>
      <c r="D11" t="s">
        <v>66</v>
      </c>
    </row>
    <row r="12" spans="1:4" x14ac:dyDescent="0.25">
      <c r="A12">
        <v>10</v>
      </c>
      <c r="B12" t="s">
        <v>67</v>
      </c>
      <c r="C12" t="s">
        <v>278</v>
      </c>
      <c r="D12" t="s">
        <v>68</v>
      </c>
    </row>
    <row r="13" spans="1:4" x14ac:dyDescent="0.25">
      <c r="A13">
        <v>11</v>
      </c>
      <c r="B13" t="s">
        <v>69</v>
      </c>
      <c r="C13" t="s">
        <v>278</v>
      </c>
      <c r="D13" t="s">
        <v>70</v>
      </c>
    </row>
    <row r="14" spans="1:4" x14ac:dyDescent="0.25">
      <c r="A14">
        <v>12</v>
      </c>
      <c r="B14" t="s">
        <v>71</v>
      </c>
      <c r="C14" t="s">
        <v>278</v>
      </c>
      <c r="D14" t="s">
        <v>72</v>
      </c>
    </row>
    <row r="15" spans="1:4" x14ac:dyDescent="0.25">
      <c r="A15">
        <v>13</v>
      </c>
      <c r="B15" t="s">
        <v>73</v>
      </c>
      <c r="C15" t="s">
        <v>278</v>
      </c>
      <c r="D15" t="s">
        <v>74</v>
      </c>
    </row>
    <row r="16" spans="1:4" x14ac:dyDescent="0.25">
      <c r="A16">
        <v>14</v>
      </c>
      <c r="B16" t="s">
        <v>75</v>
      </c>
      <c r="C16" t="s">
        <v>278</v>
      </c>
      <c r="D16" t="s">
        <v>76</v>
      </c>
    </row>
    <row r="17" spans="1:4" x14ac:dyDescent="0.25">
      <c r="A17">
        <v>15</v>
      </c>
      <c r="B17" t="s">
        <v>77</v>
      </c>
      <c r="C17" t="s">
        <v>278</v>
      </c>
      <c r="D17" t="s">
        <v>78</v>
      </c>
    </row>
    <row r="18" spans="1:4" x14ac:dyDescent="0.25">
      <c r="A18">
        <v>16</v>
      </c>
      <c r="B18" t="s">
        <v>79</v>
      </c>
      <c r="C18" t="s">
        <v>278</v>
      </c>
      <c r="D18" t="s">
        <v>80</v>
      </c>
    </row>
    <row r="19" spans="1:4" x14ac:dyDescent="0.25">
      <c r="A19">
        <v>17</v>
      </c>
      <c r="B19" t="s">
        <v>82</v>
      </c>
      <c r="C19" t="s">
        <v>278</v>
      </c>
      <c r="D19" t="s">
        <v>83</v>
      </c>
    </row>
    <row r="20" spans="1:4" x14ac:dyDescent="0.25">
      <c r="A20">
        <v>18</v>
      </c>
      <c r="B20" t="s">
        <v>85</v>
      </c>
      <c r="C20" t="s">
        <v>278</v>
      </c>
      <c r="D20" t="s">
        <v>86</v>
      </c>
    </row>
    <row r="21" spans="1:4" x14ac:dyDescent="0.25">
      <c r="A21">
        <v>19</v>
      </c>
      <c r="B21" t="s">
        <v>88</v>
      </c>
      <c r="C21" t="s">
        <v>278</v>
      </c>
      <c r="D21" t="s">
        <v>89</v>
      </c>
    </row>
    <row r="22" spans="1:4" x14ac:dyDescent="0.25">
      <c r="A22">
        <v>20</v>
      </c>
      <c r="B22" t="s">
        <v>91</v>
      </c>
      <c r="C22" t="s">
        <v>87</v>
      </c>
      <c r="D22" t="s">
        <v>92</v>
      </c>
    </row>
    <row r="23" spans="1:4" x14ac:dyDescent="0.25">
      <c r="A23">
        <v>21</v>
      </c>
      <c r="B23" t="s">
        <v>93</v>
      </c>
      <c r="C23" t="s">
        <v>87</v>
      </c>
      <c r="D23" t="s">
        <v>94</v>
      </c>
    </row>
    <row r="24" spans="1:4" x14ac:dyDescent="0.25">
      <c r="A24">
        <v>22</v>
      </c>
      <c r="B24" t="s">
        <v>95</v>
      </c>
      <c r="C24" t="s">
        <v>87</v>
      </c>
      <c r="D24" t="s">
        <v>96</v>
      </c>
    </row>
    <row r="25" spans="1:4" x14ac:dyDescent="0.25">
      <c r="A25">
        <v>23</v>
      </c>
      <c r="B25" t="s">
        <v>97</v>
      </c>
      <c r="C25" t="s">
        <v>87</v>
      </c>
      <c r="D25" t="s">
        <v>98</v>
      </c>
    </row>
    <row r="26" spans="1:4" x14ac:dyDescent="0.25">
      <c r="A26">
        <v>24</v>
      </c>
      <c r="B26" t="s">
        <v>99</v>
      </c>
      <c r="C26" t="s">
        <v>87</v>
      </c>
      <c r="D26" t="s">
        <v>100</v>
      </c>
    </row>
    <row r="27" spans="1:4" x14ac:dyDescent="0.25">
      <c r="A27">
        <v>25</v>
      </c>
      <c r="B27" t="s">
        <v>102</v>
      </c>
      <c r="C27" t="s">
        <v>87</v>
      </c>
      <c r="D27" t="s">
        <v>103</v>
      </c>
    </row>
    <row r="28" spans="1:4" x14ac:dyDescent="0.25">
      <c r="A28">
        <v>26</v>
      </c>
      <c r="B28" t="s">
        <v>104</v>
      </c>
      <c r="C28" t="s">
        <v>101</v>
      </c>
      <c r="D28" t="s">
        <v>92</v>
      </c>
    </row>
    <row r="29" spans="1:4" x14ac:dyDescent="0.25">
      <c r="A29">
        <v>27</v>
      </c>
      <c r="B29" t="s">
        <v>105</v>
      </c>
      <c r="C29" t="s">
        <v>101</v>
      </c>
      <c r="D29" t="s">
        <v>94</v>
      </c>
    </row>
    <row r="30" spans="1:4" x14ac:dyDescent="0.25">
      <c r="A30">
        <v>28</v>
      </c>
      <c r="B30" t="s">
        <v>107</v>
      </c>
      <c r="C30" t="s">
        <v>101</v>
      </c>
      <c r="D30" t="s">
        <v>96</v>
      </c>
    </row>
    <row r="31" spans="1:4" x14ac:dyDescent="0.25">
      <c r="A31">
        <v>29</v>
      </c>
      <c r="B31" t="s">
        <v>108</v>
      </c>
      <c r="C31" t="s">
        <v>101</v>
      </c>
      <c r="D31" t="s">
        <v>98</v>
      </c>
    </row>
    <row r="32" spans="1:4" x14ac:dyDescent="0.25">
      <c r="A32">
        <v>30</v>
      </c>
      <c r="B32" t="s">
        <v>109</v>
      </c>
      <c r="C32" t="s">
        <v>101</v>
      </c>
      <c r="D32" t="s">
        <v>110</v>
      </c>
    </row>
    <row r="33" spans="1:4" x14ac:dyDescent="0.25">
      <c r="A33">
        <v>31</v>
      </c>
      <c r="B33" t="s">
        <v>111</v>
      </c>
      <c r="C33" t="s">
        <v>101</v>
      </c>
      <c r="D33" t="s">
        <v>112</v>
      </c>
    </row>
    <row r="34" spans="1:4" x14ac:dyDescent="0.25">
      <c r="A34">
        <v>32</v>
      </c>
      <c r="B34" t="s">
        <v>113</v>
      </c>
      <c r="C34" t="s">
        <v>101</v>
      </c>
      <c r="D34" t="s">
        <v>114</v>
      </c>
    </row>
    <row r="35" spans="1:4" x14ac:dyDescent="0.25">
      <c r="A35">
        <v>33</v>
      </c>
      <c r="B35" t="s">
        <v>115</v>
      </c>
      <c r="C35" t="s">
        <v>101</v>
      </c>
      <c r="D35" t="s">
        <v>116</v>
      </c>
    </row>
    <row r="36" spans="1:4" x14ac:dyDescent="0.25">
      <c r="A36">
        <v>34</v>
      </c>
      <c r="B36" t="s">
        <v>117</v>
      </c>
      <c r="C36" t="s">
        <v>101</v>
      </c>
      <c r="D36" t="s">
        <v>118</v>
      </c>
    </row>
    <row r="37" spans="1:4" x14ac:dyDescent="0.25">
      <c r="A37">
        <v>35</v>
      </c>
      <c r="B37" t="s">
        <v>120</v>
      </c>
      <c r="C37" t="s">
        <v>101</v>
      </c>
      <c r="D37" t="s">
        <v>121</v>
      </c>
    </row>
    <row r="38" spans="1:4" x14ac:dyDescent="0.25">
      <c r="A38">
        <v>36</v>
      </c>
      <c r="B38" t="s">
        <v>122</v>
      </c>
      <c r="C38" t="s">
        <v>119</v>
      </c>
      <c r="D38" t="s">
        <v>92</v>
      </c>
    </row>
    <row r="39" spans="1:4" x14ac:dyDescent="0.25">
      <c r="A39">
        <v>37</v>
      </c>
      <c r="B39" t="s">
        <v>123</v>
      </c>
      <c r="C39" t="s">
        <v>119</v>
      </c>
      <c r="D39" t="s">
        <v>94</v>
      </c>
    </row>
    <row r="40" spans="1:4" x14ac:dyDescent="0.25">
      <c r="A40">
        <v>38</v>
      </c>
      <c r="B40" t="s">
        <v>125</v>
      </c>
      <c r="C40" t="s">
        <v>119</v>
      </c>
      <c r="D40" t="s">
        <v>96</v>
      </c>
    </row>
    <row r="41" spans="1:4" x14ac:dyDescent="0.25">
      <c r="A41">
        <v>39</v>
      </c>
      <c r="B41" t="s">
        <v>126</v>
      </c>
      <c r="C41" t="s">
        <v>119</v>
      </c>
      <c r="D41" t="s">
        <v>98</v>
      </c>
    </row>
    <row r="42" spans="1:4" x14ac:dyDescent="0.25">
      <c r="A42">
        <v>40</v>
      </c>
      <c r="B42" t="s">
        <v>127</v>
      </c>
      <c r="C42" t="s">
        <v>119</v>
      </c>
      <c r="D42" t="s">
        <v>110</v>
      </c>
    </row>
    <row r="43" spans="1:4" x14ac:dyDescent="0.25">
      <c r="A43">
        <v>41</v>
      </c>
      <c r="B43" t="s">
        <v>128</v>
      </c>
      <c r="C43" t="s">
        <v>119</v>
      </c>
      <c r="D43" t="s">
        <v>112</v>
      </c>
    </row>
    <row r="44" spans="1:4" x14ac:dyDescent="0.25">
      <c r="A44">
        <v>42</v>
      </c>
      <c r="B44" t="s">
        <v>130</v>
      </c>
      <c r="C44" t="s">
        <v>119</v>
      </c>
      <c r="D44" t="s">
        <v>131</v>
      </c>
    </row>
    <row r="45" spans="1:4" x14ac:dyDescent="0.25">
      <c r="A45">
        <v>43</v>
      </c>
      <c r="B45" t="s">
        <v>132</v>
      </c>
      <c r="C45" t="s">
        <v>129</v>
      </c>
      <c r="D45" t="s">
        <v>92</v>
      </c>
    </row>
    <row r="46" spans="1:4" x14ac:dyDescent="0.25">
      <c r="A46">
        <v>44</v>
      </c>
      <c r="B46" t="s">
        <v>133</v>
      </c>
      <c r="C46" t="s">
        <v>129</v>
      </c>
      <c r="D46" t="s">
        <v>134</v>
      </c>
    </row>
    <row r="47" spans="1:4" x14ac:dyDescent="0.25">
      <c r="A47">
        <v>45</v>
      </c>
      <c r="B47" t="s">
        <v>135</v>
      </c>
      <c r="C47" t="s">
        <v>129</v>
      </c>
      <c r="D47" t="s">
        <v>136</v>
      </c>
    </row>
    <row r="48" spans="1:4" x14ac:dyDescent="0.25">
      <c r="A48">
        <v>46</v>
      </c>
      <c r="B48" t="s">
        <v>137</v>
      </c>
      <c r="C48" t="s">
        <v>129</v>
      </c>
      <c r="D48" t="s">
        <v>138</v>
      </c>
    </row>
    <row r="49" spans="1:4" x14ac:dyDescent="0.25">
      <c r="A49">
        <v>47</v>
      </c>
      <c r="B49" t="s">
        <v>139</v>
      </c>
      <c r="C49" t="s">
        <v>129</v>
      </c>
      <c r="D49" t="s">
        <v>140</v>
      </c>
    </row>
    <row r="50" spans="1:4" x14ac:dyDescent="0.25">
      <c r="A50">
        <v>48</v>
      </c>
      <c r="B50" t="s">
        <v>142</v>
      </c>
      <c r="C50" t="s">
        <v>129</v>
      </c>
      <c r="D50" t="s">
        <v>143</v>
      </c>
    </row>
    <row r="51" spans="1:4" x14ac:dyDescent="0.25">
      <c r="A51">
        <v>49</v>
      </c>
      <c r="B51" t="s">
        <v>144</v>
      </c>
      <c r="C51" t="s">
        <v>141</v>
      </c>
      <c r="D51" t="s">
        <v>92</v>
      </c>
    </row>
    <row r="52" spans="1:4" x14ac:dyDescent="0.25">
      <c r="A52">
        <v>50</v>
      </c>
      <c r="B52" t="s">
        <v>145</v>
      </c>
      <c r="C52" t="s">
        <v>141</v>
      </c>
      <c r="D52" t="s">
        <v>94</v>
      </c>
    </row>
    <row r="53" spans="1:4" x14ac:dyDescent="0.25">
      <c r="A53">
        <v>51</v>
      </c>
      <c r="B53" t="s">
        <v>146</v>
      </c>
      <c r="C53" t="s">
        <v>141</v>
      </c>
      <c r="D53" t="s">
        <v>96</v>
      </c>
    </row>
    <row r="54" spans="1:4" x14ac:dyDescent="0.25">
      <c r="A54">
        <v>52</v>
      </c>
      <c r="B54" t="s">
        <v>147</v>
      </c>
      <c r="C54" t="s">
        <v>141</v>
      </c>
      <c r="D54" t="s">
        <v>98</v>
      </c>
    </row>
    <row r="55" spans="1:4" x14ac:dyDescent="0.25">
      <c r="A55">
        <v>53</v>
      </c>
      <c r="B55" t="s">
        <v>148</v>
      </c>
      <c r="C55" t="s">
        <v>141</v>
      </c>
      <c r="D55" t="s">
        <v>110</v>
      </c>
    </row>
    <row r="56" spans="1:4" x14ac:dyDescent="0.25">
      <c r="A56">
        <v>54</v>
      </c>
      <c r="B56" t="s">
        <v>149</v>
      </c>
      <c r="C56" t="s">
        <v>141</v>
      </c>
      <c r="D56" t="s">
        <v>150</v>
      </c>
    </row>
    <row r="57" spans="1:4" x14ac:dyDescent="0.25">
      <c r="A57">
        <v>55</v>
      </c>
      <c r="B57" t="s">
        <v>151</v>
      </c>
      <c r="C57" t="s">
        <v>141</v>
      </c>
      <c r="D57" t="s">
        <v>114</v>
      </c>
    </row>
    <row r="58" spans="1:4" x14ac:dyDescent="0.25">
      <c r="A58">
        <v>56</v>
      </c>
      <c r="B58" t="s">
        <v>152</v>
      </c>
      <c r="C58" t="s">
        <v>141</v>
      </c>
      <c r="D58" t="s">
        <v>118</v>
      </c>
    </row>
    <row r="59" spans="1:4" x14ac:dyDescent="0.25">
      <c r="A59">
        <v>57</v>
      </c>
      <c r="B59" t="s">
        <v>153</v>
      </c>
      <c r="C59" t="s">
        <v>141</v>
      </c>
      <c r="D59" t="s">
        <v>121</v>
      </c>
    </row>
    <row r="60" spans="1:4" x14ac:dyDescent="0.25">
      <c r="A60">
        <v>118</v>
      </c>
      <c r="B60" t="s">
        <v>257</v>
      </c>
    </row>
    <row r="61" spans="1:4" x14ac:dyDescent="0.25">
      <c r="A61">
        <v>70</v>
      </c>
      <c r="B61" t="s">
        <v>154</v>
      </c>
      <c r="C61" t="s">
        <v>87</v>
      </c>
    </row>
    <row r="62" spans="1:4" x14ac:dyDescent="0.25">
      <c r="A62">
        <v>71</v>
      </c>
      <c r="B62" t="s">
        <v>155</v>
      </c>
      <c r="C62" t="s">
        <v>87</v>
      </c>
      <c r="D62" t="s">
        <v>156</v>
      </c>
    </row>
    <row r="63" spans="1:4" x14ac:dyDescent="0.25">
      <c r="A63">
        <v>72</v>
      </c>
      <c r="B63" t="s">
        <v>157</v>
      </c>
      <c r="C63" t="s">
        <v>87</v>
      </c>
      <c r="D63" t="s">
        <v>158</v>
      </c>
    </row>
    <row r="64" spans="1:4" x14ac:dyDescent="0.25">
      <c r="A64">
        <v>73</v>
      </c>
      <c r="B64" t="s">
        <v>159</v>
      </c>
      <c r="C64" t="s">
        <v>87</v>
      </c>
      <c r="D64" t="s">
        <v>160</v>
      </c>
    </row>
    <row r="65" spans="1:4" x14ac:dyDescent="0.25">
      <c r="A65">
        <v>74</v>
      </c>
      <c r="B65" t="s">
        <v>161</v>
      </c>
      <c r="C65" t="s">
        <v>87</v>
      </c>
      <c r="D65" t="s">
        <v>162</v>
      </c>
    </row>
    <row r="66" spans="1:4" x14ac:dyDescent="0.25">
      <c r="A66">
        <v>75</v>
      </c>
      <c r="B66" t="s">
        <v>163</v>
      </c>
      <c r="C66" t="s">
        <v>87</v>
      </c>
      <c r="D66" t="s">
        <v>164</v>
      </c>
    </row>
    <row r="67" spans="1:4" x14ac:dyDescent="0.25">
      <c r="A67">
        <v>76</v>
      </c>
      <c r="B67" t="s">
        <v>165</v>
      </c>
      <c r="C67" t="s">
        <v>87</v>
      </c>
      <c r="D67" t="s">
        <v>166</v>
      </c>
    </row>
    <row r="68" spans="1:4" x14ac:dyDescent="0.25">
      <c r="A68">
        <v>77</v>
      </c>
      <c r="B68" t="s">
        <v>167</v>
      </c>
      <c r="C68" t="s">
        <v>87</v>
      </c>
      <c r="D68" t="s">
        <v>168</v>
      </c>
    </row>
    <row r="69" spans="1:4" x14ac:dyDescent="0.25">
      <c r="A69">
        <v>78</v>
      </c>
      <c r="B69" t="s">
        <v>169</v>
      </c>
      <c r="C69" t="s">
        <v>87</v>
      </c>
      <c r="D69" t="s">
        <v>170</v>
      </c>
    </row>
    <row r="70" spans="1:4" x14ac:dyDescent="0.25">
      <c r="A70">
        <v>79</v>
      </c>
      <c r="B70" t="s">
        <v>171</v>
      </c>
      <c r="C70" t="s">
        <v>87</v>
      </c>
      <c r="D70" t="s">
        <v>172</v>
      </c>
    </row>
    <row r="71" spans="1:4" x14ac:dyDescent="0.25">
      <c r="A71">
        <v>80</v>
      </c>
      <c r="B71" t="s">
        <v>173</v>
      </c>
      <c r="C71" t="s">
        <v>87</v>
      </c>
      <c r="D71" t="s">
        <v>174</v>
      </c>
    </row>
    <row r="72" spans="1:4" x14ac:dyDescent="0.25">
      <c r="A72">
        <v>81</v>
      </c>
      <c r="B72" t="s">
        <v>175</v>
      </c>
      <c r="C72" t="s">
        <v>87</v>
      </c>
      <c r="D72" t="s">
        <v>176</v>
      </c>
    </row>
    <row r="73" spans="1:4" x14ac:dyDescent="0.25">
      <c r="A73">
        <v>82</v>
      </c>
      <c r="B73" t="s">
        <v>177</v>
      </c>
      <c r="C73" t="s">
        <v>87</v>
      </c>
      <c r="D73" t="s">
        <v>176</v>
      </c>
    </row>
    <row r="74" spans="1:4" x14ac:dyDescent="0.25">
      <c r="A74">
        <v>83</v>
      </c>
      <c r="B74" t="s">
        <v>178</v>
      </c>
      <c r="C74" t="s">
        <v>87</v>
      </c>
      <c r="D74" t="s">
        <v>179</v>
      </c>
    </row>
    <row r="75" spans="1:4" x14ac:dyDescent="0.25">
      <c r="A75">
        <v>84</v>
      </c>
      <c r="B75" t="s">
        <v>180</v>
      </c>
      <c r="C75" t="s">
        <v>87</v>
      </c>
      <c r="D75" t="s">
        <v>181</v>
      </c>
    </row>
    <row r="76" spans="1:4" x14ac:dyDescent="0.25">
      <c r="A76">
        <v>85</v>
      </c>
      <c r="B76" t="s">
        <v>182</v>
      </c>
      <c r="C76" t="s">
        <v>87</v>
      </c>
      <c r="D76" t="s">
        <v>183</v>
      </c>
    </row>
    <row r="77" spans="1:4" x14ac:dyDescent="0.25">
      <c r="A77">
        <v>86</v>
      </c>
      <c r="B77" t="s">
        <v>184</v>
      </c>
      <c r="C77" t="s">
        <v>87</v>
      </c>
      <c r="D77" t="s">
        <v>185</v>
      </c>
    </row>
    <row r="78" spans="1:4" x14ac:dyDescent="0.25">
      <c r="A78">
        <v>87</v>
      </c>
      <c r="B78" t="s">
        <v>186</v>
      </c>
      <c r="C78" t="s">
        <v>87</v>
      </c>
      <c r="D78" t="s">
        <v>187</v>
      </c>
    </row>
    <row r="79" spans="1:4" x14ac:dyDescent="0.25">
      <c r="A79">
        <v>88</v>
      </c>
      <c r="B79" t="s">
        <v>188</v>
      </c>
      <c r="C79" t="s">
        <v>87</v>
      </c>
      <c r="D79" t="s">
        <v>189</v>
      </c>
    </row>
    <row r="80" spans="1:4" x14ac:dyDescent="0.25">
      <c r="A80">
        <v>89</v>
      </c>
      <c r="B80" t="s">
        <v>190</v>
      </c>
      <c r="C80" t="s">
        <v>101</v>
      </c>
      <c r="D80" t="s">
        <v>191</v>
      </c>
    </row>
    <row r="81" spans="1:4" x14ac:dyDescent="0.25">
      <c r="A81">
        <v>90</v>
      </c>
      <c r="B81" t="s">
        <v>192</v>
      </c>
      <c r="C81" t="s">
        <v>101</v>
      </c>
      <c r="D81" t="s">
        <v>193</v>
      </c>
    </row>
    <row r="82" spans="1:4" x14ac:dyDescent="0.25">
      <c r="A82">
        <v>91</v>
      </c>
      <c r="B82" t="s">
        <v>194</v>
      </c>
      <c r="C82" t="s">
        <v>101</v>
      </c>
      <c r="D82" t="s">
        <v>195</v>
      </c>
    </row>
    <row r="83" spans="1:4" x14ac:dyDescent="0.25">
      <c r="A83">
        <v>92</v>
      </c>
      <c r="B83" t="s">
        <v>196</v>
      </c>
      <c r="C83" t="s">
        <v>101</v>
      </c>
      <c r="D83" t="s">
        <v>197</v>
      </c>
    </row>
    <row r="84" spans="1:4" x14ac:dyDescent="0.25">
      <c r="A84">
        <v>93</v>
      </c>
      <c r="B84" t="s">
        <v>198</v>
      </c>
      <c r="C84" t="s">
        <v>101</v>
      </c>
      <c r="D84" t="s">
        <v>199</v>
      </c>
    </row>
    <row r="85" spans="1:4" x14ac:dyDescent="0.25">
      <c r="A85">
        <v>94</v>
      </c>
      <c r="B85" t="s">
        <v>200</v>
      </c>
      <c r="C85" t="s">
        <v>101</v>
      </c>
      <c r="D85" t="s">
        <v>201</v>
      </c>
    </row>
    <row r="86" spans="1:4" x14ac:dyDescent="0.25">
      <c r="A86">
        <v>95</v>
      </c>
      <c r="B86" t="s">
        <v>202</v>
      </c>
      <c r="C86" t="s">
        <v>101</v>
      </c>
      <c r="D86" t="s">
        <v>203</v>
      </c>
    </row>
    <row r="87" spans="1:4" x14ac:dyDescent="0.25">
      <c r="A87">
        <v>96</v>
      </c>
      <c r="B87" t="s">
        <v>204</v>
      </c>
      <c r="C87" t="s">
        <v>101</v>
      </c>
      <c r="D87" t="s">
        <v>205</v>
      </c>
    </row>
    <row r="88" spans="1:4" x14ac:dyDescent="0.25">
      <c r="A88">
        <v>97</v>
      </c>
      <c r="B88" t="s">
        <v>206</v>
      </c>
      <c r="C88" t="s">
        <v>101</v>
      </c>
      <c r="D88" t="s">
        <v>207</v>
      </c>
    </row>
    <row r="89" spans="1:4" x14ac:dyDescent="0.25">
      <c r="A89">
        <v>98</v>
      </c>
      <c r="B89" t="s">
        <v>208</v>
      </c>
      <c r="C89" t="s">
        <v>119</v>
      </c>
      <c r="D89" t="s">
        <v>193</v>
      </c>
    </row>
    <row r="90" spans="1:4" x14ac:dyDescent="0.25">
      <c r="A90">
        <v>99</v>
      </c>
      <c r="B90" t="s">
        <v>209</v>
      </c>
      <c r="C90" t="s">
        <v>119</v>
      </c>
      <c r="D90" t="s">
        <v>195</v>
      </c>
    </row>
    <row r="91" spans="1:4" x14ac:dyDescent="0.25">
      <c r="A91">
        <v>100</v>
      </c>
      <c r="B91" t="s">
        <v>210</v>
      </c>
      <c r="C91" t="s">
        <v>119</v>
      </c>
      <c r="D91" t="s">
        <v>197</v>
      </c>
    </row>
    <row r="92" spans="1:4" x14ac:dyDescent="0.25">
      <c r="A92">
        <v>101</v>
      </c>
      <c r="B92" t="s">
        <v>211</v>
      </c>
      <c r="C92" t="s">
        <v>119</v>
      </c>
      <c r="D92" t="s">
        <v>199</v>
      </c>
    </row>
    <row r="93" spans="1:4" x14ac:dyDescent="0.25">
      <c r="A93">
        <v>102</v>
      </c>
      <c r="B93" t="s">
        <v>212</v>
      </c>
      <c r="C93" t="s">
        <v>129</v>
      </c>
      <c r="D93" t="s">
        <v>193</v>
      </c>
    </row>
    <row r="94" spans="1:4" x14ac:dyDescent="0.25">
      <c r="A94">
        <v>103</v>
      </c>
      <c r="B94" t="s">
        <v>213</v>
      </c>
      <c r="C94" t="s">
        <v>129</v>
      </c>
      <c r="D94" t="s">
        <v>195</v>
      </c>
    </row>
    <row r="95" spans="1:4" x14ac:dyDescent="0.25">
      <c r="A95">
        <v>104</v>
      </c>
      <c r="B95" t="s">
        <v>214</v>
      </c>
      <c r="C95" t="s">
        <v>129</v>
      </c>
      <c r="D95" t="s">
        <v>197</v>
      </c>
    </row>
    <row r="96" spans="1:4" x14ac:dyDescent="0.25">
      <c r="A96">
        <v>105</v>
      </c>
      <c r="B96" t="s">
        <v>215</v>
      </c>
      <c r="C96" t="s">
        <v>129</v>
      </c>
      <c r="D96" t="s">
        <v>199</v>
      </c>
    </row>
    <row r="97" spans="1:4" x14ac:dyDescent="0.25">
      <c r="A97">
        <v>106</v>
      </c>
      <c r="B97" t="s">
        <v>216</v>
      </c>
      <c r="C97" t="s">
        <v>141</v>
      </c>
      <c r="D97" t="s">
        <v>193</v>
      </c>
    </row>
    <row r="98" spans="1:4" x14ac:dyDescent="0.25">
      <c r="A98">
        <v>107</v>
      </c>
      <c r="B98" t="s">
        <v>217</v>
      </c>
      <c r="C98" t="s">
        <v>141</v>
      </c>
      <c r="D98" t="s">
        <v>218</v>
      </c>
    </row>
    <row r="99" spans="1:4" x14ac:dyDescent="0.25">
      <c r="A99">
        <v>108</v>
      </c>
      <c r="B99" t="s">
        <v>219</v>
      </c>
      <c r="C99" t="s">
        <v>141</v>
      </c>
      <c r="D99" t="s">
        <v>195</v>
      </c>
    </row>
    <row r="100" spans="1:4" x14ac:dyDescent="0.25">
      <c r="A100">
        <v>109</v>
      </c>
      <c r="B100" t="s">
        <v>220</v>
      </c>
      <c r="C100" t="s">
        <v>141</v>
      </c>
      <c r="D100" t="s">
        <v>197</v>
      </c>
    </row>
    <row r="101" spans="1:4" x14ac:dyDescent="0.25">
      <c r="A101">
        <v>110</v>
      </c>
      <c r="B101" t="s">
        <v>221</v>
      </c>
      <c r="C101" t="s">
        <v>141</v>
      </c>
      <c r="D101" t="s">
        <v>199</v>
      </c>
    </row>
    <row r="102" spans="1:4" x14ac:dyDescent="0.25">
      <c r="A102">
        <v>111</v>
      </c>
      <c r="B102" t="s">
        <v>222</v>
      </c>
      <c r="C102" t="s">
        <v>141</v>
      </c>
      <c r="D102" t="s">
        <v>205</v>
      </c>
    </row>
    <row r="103" spans="1:4" x14ac:dyDescent="0.25">
      <c r="A103">
        <v>112</v>
      </c>
      <c r="B103" t="s">
        <v>223</v>
      </c>
      <c r="C103" t="s">
        <v>141</v>
      </c>
      <c r="D103" t="s">
        <v>224</v>
      </c>
    </row>
    <row r="104" spans="1:4" x14ac:dyDescent="0.25">
      <c r="A104">
        <v>113</v>
      </c>
      <c r="B104" t="s">
        <v>225</v>
      </c>
      <c r="C104" t="s">
        <v>141</v>
      </c>
      <c r="D104" t="s">
        <v>207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workbookViewId="0">
      <selection activeCell="P18" sqref="P18"/>
    </sheetView>
  </sheetViews>
  <sheetFormatPr defaultRowHeight="15" x14ac:dyDescent="0.25"/>
  <sheetData>
    <row r="1" spans="1:11" x14ac:dyDescent="0.25">
      <c r="A1" s="340" t="s">
        <v>237</v>
      </c>
      <c r="B1" s="341"/>
      <c r="C1" s="341"/>
      <c r="D1" s="341"/>
      <c r="E1" s="341"/>
      <c r="F1" s="341"/>
      <c r="G1" s="341"/>
      <c r="H1" s="341" t="s">
        <v>238</v>
      </c>
      <c r="I1" s="341"/>
      <c r="J1" s="341"/>
      <c r="K1" s="342"/>
    </row>
    <row r="2" spans="1:11" x14ac:dyDescent="0.25">
      <c r="A2" s="343">
        <v>1</v>
      </c>
      <c r="B2" s="344" t="s">
        <v>254</v>
      </c>
      <c r="C2" s="344"/>
      <c r="D2" s="344"/>
      <c r="E2" s="344"/>
      <c r="F2" s="344"/>
      <c r="G2" s="344"/>
      <c r="H2" s="344"/>
      <c r="I2" s="344"/>
      <c r="J2" s="344"/>
      <c r="K2" s="345"/>
    </row>
    <row r="3" spans="1:11" x14ac:dyDescent="0.25">
      <c r="A3" s="343">
        <v>2</v>
      </c>
      <c r="B3" s="344" t="s">
        <v>239</v>
      </c>
      <c r="C3" s="344"/>
      <c r="D3" s="344"/>
      <c r="E3" s="344"/>
      <c r="F3" s="344"/>
      <c r="G3" s="344"/>
      <c r="H3" s="344"/>
      <c r="I3" s="344"/>
      <c r="J3" s="344"/>
      <c r="K3" s="345"/>
    </row>
    <row r="4" spans="1:11" x14ac:dyDescent="0.25">
      <c r="A4" s="343">
        <v>3</v>
      </c>
      <c r="B4" s="344" t="s">
        <v>240</v>
      </c>
      <c r="C4" s="344"/>
      <c r="D4" s="344"/>
      <c r="E4" s="344"/>
      <c r="F4" s="344"/>
      <c r="G4" s="344"/>
      <c r="H4" s="344"/>
      <c r="I4" s="344"/>
      <c r="J4" s="344"/>
      <c r="K4" s="345"/>
    </row>
    <row r="5" spans="1:11" x14ac:dyDescent="0.25">
      <c r="A5" s="346">
        <v>4</v>
      </c>
      <c r="B5" s="347" t="s">
        <v>241</v>
      </c>
      <c r="C5" s="347"/>
      <c r="D5" s="347"/>
      <c r="E5" s="347"/>
      <c r="F5" s="347"/>
      <c r="G5" s="347"/>
      <c r="H5" s="347"/>
      <c r="I5" s="347"/>
      <c r="J5" s="347"/>
      <c r="K5" s="348"/>
    </row>
    <row r="8" spans="1:11" x14ac:dyDescent="0.25">
      <c r="A8" t="s">
        <v>227</v>
      </c>
      <c r="B8" t="s">
        <v>228</v>
      </c>
      <c r="C8" t="s">
        <v>229</v>
      </c>
      <c r="D8" t="s">
        <v>255</v>
      </c>
    </row>
    <row r="9" spans="1:11" x14ac:dyDescent="0.25">
      <c r="A9" t="s">
        <v>230</v>
      </c>
      <c r="B9" t="s">
        <v>231</v>
      </c>
      <c r="C9" t="s">
        <v>232</v>
      </c>
      <c r="D9" t="s">
        <v>233</v>
      </c>
      <c r="E9">
        <v>4</v>
      </c>
      <c r="F9" s="332">
        <v>0.46135416666666668</v>
      </c>
      <c r="G9" t="s">
        <v>234</v>
      </c>
      <c r="H9">
        <v>31</v>
      </c>
      <c r="I9" t="s">
        <v>256</v>
      </c>
      <c r="J9">
        <v>16</v>
      </c>
    </row>
    <row r="10" spans="1:11" x14ac:dyDescent="0.25">
      <c r="A10" t="s">
        <v>226</v>
      </c>
    </row>
    <row r="11" spans="1:11" x14ac:dyDescent="0.25">
      <c r="B11">
        <v>1</v>
      </c>
      <c r="C11" t="s">
        <v>44</v>
      </c>
      <c r="D11" t="s">
        <v>235</v>
      </c>
      <c r="E11">
        <v>1</v>
      </c>
      <c r="F11">
        <v>0</v>
      </c>
    </row>
    <row r="12" spans="1:11" x14ac:dyDescent="0.25">
      <c r="B12">
        <v>2</v>
      </c>
      <c r="C12" t="s">
        <v>47</v>
      </c>
      <c r="D12" t="s">
        <v>236</v>
      </c>
      <c r="E12">
        <v>11.7146172749</v>
      </c>
      <c r="F12">
        <v>1.25201685879</v>
      </c>
    </row>
    <row r="13" spans="1:11" x14ac:dyDescent="0.25">
      <c r="B13">
        <v>3</v>
      </c>
      <c r="C13" t="s">
        <v>50</v>
      </c>
      <c r="D13" t="s">
        <v>235</v>
      </c>
      <c r="E13" s="333">
        <v>-0.2117</v>
      </c>
      <c r="F13">
        <v>0</v>
      </c>
    </row>
    <row r="14" spans="1:11" x14ac:dyDescent="0.25">
      <c r="B14">
        <v>4</v>
      </c>
      <c r="C14" t="s">
        <v>53</v>
      </c>
      <c r="D14" t="s">
        <v>236</v>
      </c>
      <c r="E14" s="333">
        <v>0.27120783067900001</v>
      </c>
      <c r="F14">
        <v>0.28080475059900001</v>
      </c>
    </row>
    <row r="15" spans="1:11" x14ac:dyDescent="0.25">
      <c r="B15">
        <v>5</v>
      </c>
      <c r="C15" t="s">
        <v>56</v>
      </c>
      <c r="D15" t="s">
        <v>236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58</v>
      </c>
      <c r="D16" t="s">
        <v>236</v>
      </c>
      <c r="E16" s="333">
        <v>-8.2865473150899996E-2</v>
      </c>
      <c r="F16">
        <v>0.12955742148800001</v>
      </c>
    </row>
    <row r="17" spans="2:6" x14ac:dyDescent="0.25">
      <c r="B17">
        <v>7</v>
      </c>
      <c r="C17" t="s">
        <v>60</v>
      </c>
      <c r="D17" t="s">
        <v>236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63</v>
      </c>
      <c r="D18" t="s">
        <v>235</v>
      </c>
      <c r="E18" s="333">
        <v>6.9400000000000003E-2</v>
      </c>
      <c r="F18">
        <v>0</v>
      </c>
    </row>
    <row r="19" spans="2:6" x14ac:dyDescent="0.25">
      <c r="B19">
        <v>9</v>
      </c>
      <c r="C19" t="s">
        <v>65</v>
      </c>
      <c r="D19" t="s">
        <v>236</v>
      </c>
      <c r="E19" s="333">
        <v>-9.5820044919499997E-2</v>
      </c>
      <c r="F19">
        <v>0.17082561533000001</v>
      </c>
    </row>
    <row r="20" spans="2:6" x14ac:dyDescent="0.25">
      <c r="B20">
        <v>10</v>
      </c>
      <c r="C20" t="s">
        <v>67</v>
      </c>
      <c r="D20" t="s">
        <v>236</v>
      </c>
      <c r="E20">
        <v>0.517563261484</v>
      </c>
      <c r="F20">
        <v>0.123013847134</v>
      </c>
    </row>
    <row r="21" spans="2:6" x14ac:dyDescent="0.25">
      <c r="B21">
        <v>11</v>
      </c>
      <c r="C21" t="s">
        <v>69</v>
      </c>
      <c r="D21" t="s">
        <v>236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71</v>
      </c>
      <c r="D22" t="s">
        <v>236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73</v>
      </c>
      <c r="D23" t="s">
        <v>236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75</v>
      </c>
      <c r="D24" t="s">
        <v>236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77</v>
      </c>
      <c r="D25" t="s">
        <v>236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79</v>
      </c>
      <c r="D26" t="s">
        <v>236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82</v>
      </c>
      <c r="D27" t="s">
        <v>235</v>
      </c>
      <c r="E27">
        <v>0</v>
      </c>
      <c r="F27">
        <v>0</v>
      </c>
    </row>
    <row r="28" spans="2:6" x14ac:dyDescent="0.25">
      <c r="B28">
        <v>18</v>
      </c>
      <c r="C28" t="s">
        <v>85</v>
      </c>
      <c r="D28" t="s">
        <v>235</v>
      </c>
      <c r="E28">
        <v>0</v>
      </c>
      <c r="F28">
        <v>0</v>
      </c>
    </row>
    <row r="29" spans="2:6" x14ac:dyDescent="0.25">
      <c r="B29">
        <v>19</v>
      </c>
      <c r="C29" t="s">
        <v>88</v>
      </c>
      <c r="D29" t="s">
        <v>235</v>
      </c>
      <c r="E29">
        <v>0</v>
      </c>
      <c r="F29">
        <v>0</v>
      </c>
    </row>
    <row r="30" spans="2:6" x14ac:dyDescent="0.25">
      <c r="B30">
        <v>20</v>
      </c>
      <c r="C30" t="s">
        <v>91</v>
      </c>
      <c r="D30" t="s">
        <v>236</v>
      </c>
      <c r="E30">
        <v>0.63771148688699997</v>
      </c>
      <c r="F30" s="333">
        <v>6.0015015733300002E-2</v>
      </c>
    </row>
    <row r="31" spans="2:6" x14ac:dyDescent="0.25">
      <c r="B31">
        <v>21</v>
      </c>
      <c r="C31" t="s">
        <v>93</v>
      </c>
      <c r="D31" t="s">
        <v>236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95</v>
      </c>
      <c r="D32" t="s">
        <v>236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97</v>
      </c>
      <c r="D33" t="s">
        <v>236</v>
      </c>
      <c r="E33">
        <v>-2.4557170493427001</v>
      </c>
      <c r="F33">
        <v>0.27393549837699999</v>
      </c>
    </row>
    <row r="34" spans="2:6" x14ac:dyDescent="0.25">
      <c r="B34">
        <v>24</v>
      </c>
      <c r="C34" t="s">
        <v>99</v>
      </c>
      <c r="D34" t="s">
        <v>236</v>
      </c>
      <c r="E34">
        <v>0.10429329553199999</v>
      </c>
      <c r="F34" s="333">
        <v>1.6423300294899999E-2</v>
      </c>
    </row>
    <row r="35" spans="2:6" x14ac:dyDescent="0.25">
      <c r="B35">
        <v>25</v>
      </c>
      <c r="C35" t="s">
        <v>102</v>
      </c>
      <c r="D35" t="s">
        <v>235</v>
      </c>
      <c r="E35">
        <v>0</v>
      </c>
      <c r="F35" s="333">
        <v>0</v>
      </c>
    </row>
    <row r="36" spans="2:6" x14ac:dyDescent="0.25">
      <c r="B36">
        <v>26</v>
      </c>
      <c r="C36" t="s">
        <v>104</v>
      </c>
      <c r="D36" t="s">
        <v>236</v>
      </c>
      <c r="E36">
        <v>0.417326479157</v>
      </c>
      <c r="F36" s="333">
        <v>9.4301876730200004E-2</v>
      </c>
    </row>
    <row r="37" spans="2:6" x14ac:dyDescent="0.25">
      <c r="B37">
        <v>27</v>
      </c>
      <c r="C37" t="s">
        <v>105</v>
      </c>
      <c r="D37" t="s">
        <v>236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107</v>
      </c>
      <c r="D38" t="s">
        <v>236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108</v>
      </c>
      <c r="D39" t="s">
        <v>236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109</v>
      </c>
      <c r="D40" t="s">
        <v>236</v>
      </c>
      <c r="E40">
        <v>-0.91046169190000004</v>
      </c>
      <c r="F40" s="333">
        <v>9.2244527309799998E-2</v>
      </c>
    </row>
    <row r="41" spans="2:6" x14ac:dyDescent="0.25">
      <c r="B41">
        <v>31</v>
      </c>
      <c r="C41" t="s">
        <v>111</v>
      </c>
      <c r="D41" t="s">
        <v>236</v>
      </c>
      <c r="E41" s="333">
        <v>5.7553461640599997E-2</v>
      </c>
      <c r="F41" s="333">
        <v>1.69631861578E-2</v>
      </c>
    </row>
    <row r="42" spans="2:6" x14ac:dyDescent="0.25">
      <c r="B42">
        <v>32</v>
      </c>
      <c r="C42" t="s">
        <v>113</v>
      </c>
      <c r="D42" t="s">
        <v>236</v>
      </c>
      <c r="E42">
        <v>0.237798002151</v>
      </c>
      <c r="F42" s="333">
        <v>2.05709725741E-2</v>
      </c>
    </row>
    <row r="43" spans="2:6" x14ac:dyDescent="0.25">
      <c r="B43">
        <v>33</v>
      </c>
      <c r="C43" t="s">
        <v>115</v>
      </c>
      <c r="D43" t="s">
        <v>235</v>
      </c>
      <c r="E43">
        <v>0</v>
      </c>
      <c r="F43" s="333">
        <v>0</v>
      </c>
    </row>
    <row r="44" spans="2:6" x14ac:dyDescent="0.25">
      <c r="B44">
        <v>34</v>
      </c>
      <c r="C44" t="s">
        <v>117</v>
      </c>
      <c r="D44" t="s">
        <v>235</v>
      </c>
      <c r="E44">
        <v>0</v>
      </c>
      <c r="F44" s="333">
        <v>0</v>
      </c>
    </row>
    <row r="45" spans="2:6" x14ac:dyDescent="0.25">
      <c r="B45">
        <v>35</v>
      </c>
      <c r="C45" t="s">
        <v>120</v>
      </c>
      <c r="D45" t="s">
        <v>235</v>
      </c>
      <c r="E45">
        <v>0</v>
      </c>
      <c r="F45" s="333">
        <v>0</v>
      </c>
    </row>
    <row r="46" spans="2:6" x14ac:dyDescent="0.25">
      <c r="B46">
        <v>36</v>
      </c>
      <c r="C46" t="s">
        <v>122</v>
      </c>
      <c r="D46" t="s">
        <v>236</v>
      </c>
      <c r="E46" s="333">
        <v>0.61259135262599995</v>
      </c>
      <c r="F46" s="333">
        <v>9.8788050589500007E-2</v>
      </c>
    </row>
    <row r="47" spans="2:6" x14ac:dyDescent="0.25">
      <c r="B47">
        <v>37</v>
      </c>
      <c r="C47" t="s">
        <v>123</v>
      </c>
      <c r="D47" t="s">
        <v>236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125</v>
      </c>
      <c r="D48" t="s">
        <v>236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126</v>
      </c>
      <c r="D49" t="s">
        <v>236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127</v>
      </c>
      <c r="D50" t="s">
        <v>236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128</v>
      </c>
      <c r="D51" t="s">
        <v>236</v>
      </c>
      <c r="E51">
        <v>-0.22141031751900001</v>
      </c>
      <c r="F51" s="333">
        <v>1.8224220405400001E-2</v>
      </c>
    </row>
    <row r="52" spans="2:6" x14ac:dyDescent="0.25">
      <c r="B52">
        <v>42</v>
      </c>
      <c r="C52" t="s">
        <v>130</v>
      </c>
      <c r="D52" t="s">
        <v>236</v>
      </c>
      <c r="E52">
        <v>0.64228876129599999</v>
      </c>
      <c r="F52" s="333">
        <v>2.3327425635499999E-2</v>
      </c>
    </row>
    <row r="53" spans="2:6" x14ac:dyDescent="0.25">
      <c r="B53">
        <v>43</v>
      </c>
      <c r="C53" t="s">
        <v>132</v>
      </c>
      <c r="D53" t="s">
        <v>236</v>
      </c>
      <c r="E53">
        <v>0.74588429254199995</v>
      </c>
      <c r="F53" s="333">
        <v>9.8514285453599998E-2</v>
      </c>
    </row>
    <row r="54" spans="2:6" x14ac:dyDescent="0.25">
      <c r="B54">
        <v>44</v>
      </c>
      <c r="C54" t="s">
        <v>133</v>
      </c>
      <c r="D54" t="s">
        <v>236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135</v>
      </c>
      <c r="D55" t="s">
        <v>236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137</v>
      </c>
      <c r="D56" t="s">
        <v>236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139</v>
      </c>
      <c r="D57" t="s">
        <v>236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142</v>
      </c>
      <c r="D58" t="s">
        <v>236</v>
      </c>
      <c r="E58">
        <v>0.65760260093900003</v>
      </c>
      <c r="F58" s="333">
        <v>2.9500746847800002E-2</v>
      </c>
    </row>
    <row r="59" spans="2:6" x14ac:dyDescent="0.25">
      <c r="B59">
        <v>49</v>
      </c>
      <c r="C59" t="s">
        <v>144</v>
      </c>
      <c r="D59" t="s">
        <v>236</v>
      </c>
      <c r="E59">
        <v>0.201576719663</v>
      </c>
      <c r="F59" s="333">
        <v>0.11309559824400001</v>
      </c>
    </row>
    <row r="60" spans="2:6" x14ac:dyDescent="0.25">
      <c r="B60">
        <v>50</v>
      </c>
      <c r="C60" t="s">
        <v>145</v>
      </c>
      <c r="D60" t="s">
        <v>236</v>
      </c>
      <c r="E60">
        <v>-29.556856147209999</v>
      </c>
      <c r="F60">
        <v>2.50137650421</v>
      </c>
    </row>
    <row r="61" spans="2:6" x14ac:dyDescent="0.25">
      <c r="B61">
        <v>51</v>
      </c>
      <c r="C61" t="s">
        <v>146</v>
      </c>
      <c r="D61" t="s">
        <v>236</v>
      </c>
      <c r="E61">
        <v>-5.8091947247600002</v>
      </c>
      <c r="F61">
        <v>0.70645143226499996</v>
      </c>
    </row>
    <row r="62" spans="2:6" x14ac:dyDescent="0.25">
      <c r="B62">
        <v>52</v>
      </c>
      <c r="C62" t="s">
        <v>147</v>
      </c>
      <c r="D62" t="s">
        <v>236</v>
      </c>
      <c r="E62">
        <v>-1.94064618888</v>
      </c>
      <c r="F62">
        <v>0.24991877725200001</v>
      </c>
    </row>
    <row r="63" spans="2:6" x14ac:dyDescent="0.25">
      <c r="B63">
        <v>53</v>
      </c>
      <c r="C63" t="s">
        <v>148</v>
      </c>
      <c r="D63" t="s">
        <v>236</v>
      </c>
      <c r="E63">
        <v>-0.66321888748000002</v>
      </c>
      <c r="F63">
        <v>0.12393486604700001</v>
      </c>
    </row>
    <row r="64" spans="2:6" x14ac:dyDescent="0.25">
      <c r="B64">
        <v>54</v>
      </c>
      <c r="C64" t="s">
        <v>149</v>
      </c>
      <c r="D64" t="s">
        <v>236</v>
      </c>
      <c r="E64">
        <v>0.20818008309700001</v>
      </c>
      <c r="F64" s="333">
        <v>4.2700310294800002E-2</v>
      </c>
    </row>
    <row r="65" spans="2:6" x14ac:dyDescent="0.25">
      <c r="B65">
        <v>55</v>
      </c>
      <c r="C65" t="s">
        <v>151</v>
      </c>
      <c r="D65" t="s">
        <v>236</v>
      </c>
      <c r="E65">
        <v>0.42522231451499998</v>
      </c>
      <c r="F65" s="333">
        <v>4.5274903018000003E-2</v>
      </c>
    </row>
    <row r="66" spans="2:6" x14ac:dyDescent="0.25">
      <c r="B66">
        <v>56</v>
      </c>
      <c r="C66" t="s">
        <v>152</v>
      </c>
      <c r="D66" t="s">
        <v>236</v>
      </c>
      <c r="E66">
        <v>-0.743588483327</v>
      </c>
      <c r="F66" s="333">
        <v>4.4293261467400001E-2</v>
      </c>
    </row>
    <row r="67" spans="2:6" x14ac:dyDescent="0.25">
      <c r="B67">
        <v>57</v>
      </c>
      <c r="C67" t="s">
        <v>153</v>
      </c>
      <c r="D67" t="s">
        <v>235</v>
      </c>
      <c r="E67" s="333">
        <v>6.2100000000000002E-2</v>
      </c>
      <c r="F67" s="333">
        <v>0</v>
      </c>
    </row>
    <row r="68" spans="2:6" x14ac:dyDescent="0.25">
      <c r="B68">
        <v>118</v>
      </c>
      <c r="C68" t="s">
        <v>257</v>
      </c>
      <c r="D68" t="s">
        <v>235</v>
      </c>
      <c r="E68" s="333">
        <v>-3</v>
      </c>
      <c r="F68" s="333">
        <v>0</v>
      </c>
    </row>
    <row r="69" spans="2:6" x14ac:dyDescent="0.25">
      <c r="B69">
        <v>70</v>
      </c>
      <c r="C69" t="s">
        <v>154</v>
      </c>
      <c r="D69" t="s">
        <v>236</v>
      </c>
      <c r="E69">
        <v>0.29394695214400002</v>
      </c>
      <c r="F69" s="333">
        <v>8.1089668188599993E-3</v>
      </c>
    </row>
    <row r="70" spans="2:6" x14ac:dyDescent="0.25">
      <c r="B70">
        <v>71</v>
      </c>
      <c r="C70" t="s">
        <v>155</v>
      </c>
      <c r="D70" t="s">
        <v>235</v>
      </c>
      <c r="E70">
        <v>0</v>
      </c>
      <c r="F70">
        <v>0</v>
      </c>
    </row>
    <row r="71" spans="2:6" x14ac:dyDescent="0.25">
      <c r="B71">
        <v>72</v>
      </c>
      <c r="C71" t="s">
        <v>157</v>
      </c>
      <c r="D71" t="s">
        <v>236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159</v>
      </c>
      <c r="D72" t="s">
        <v>236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161</v>
      </c>
      <c r="D73" t="s">
        <v>236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163</v>
      </c>
      <c r="D74" t="s">
        <v>236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165</v>
      </c>
      <c r="D75" t="s">
        <v>236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167</v>
      </c>
      <c r="D76" t="s">
        <v>236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169</v>
      </c>
      <c r="D77" t="s">
        <v>236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171</v>
      </c>
      <c r="D78" t="s">
        <v>236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173</v>
      </c>
      <c r="D79" t="s">
        <v>236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175</v>
      </c>
      <c r="D80" t="s">
        <v>236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177</v>
      </c>
      <c r="D81" t="s">
        <v>236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178</v>
      </c>
      <c r="D82" t="s">
        <v>236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180</v>
      </c>
      <c r="D83" t="s">
        <v>236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182</v>
      </c>
      <c r="D84" t="s">
        <v>236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184</v>
      </c>
      <c r="D85" t="s">
        <v>236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186</v>
      </c>
      <c r="D86" t="s">
        <v>236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188</v>
      </c>
      <c r="D87" t="s">
        <v>235</v>
      </c>
      <c r="E87">
        <v>0</v>
      </c>
      <c r="F87">
        <v>0</v>
      </c>
    </row>
    <row r="88" spans="2:6" x14ac:dyDescent="0.25">
      <c r="B88">
        <v>89</v>
      </c>
      <c r="C88" t="s">
        <v>190</v>
      </c>
      <c r="D88" t="s">
        <v>236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192</v>
      </c>
      <c r="D89" t="s">
        <v>236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194</v>
      </c>
      <c r="D90" t="s">
        <v>236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196</v>
      </c>
      <c r="D91" t="s">
        <v>236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198</v>
      </c>
      <c r="D92" t="s">
        <v>236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200</v>
      </c>
      <c r="D93" t="s">
        <v>235</v>
      </c>
      <c r="E93">
        <v>0</v>
      </c>
      <c r="F93">
        <v>0</v>
      </c>
    </row>
    <row r="94" spans="2:6" x14ac:dyDescent="0.25">
      <c r="B94">
        <v>95</v>
      </c>
      <c r="C94" t="s">
        <v>202</v>
      </c>
      <c r="D94" t="s">
        <v>236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204</v>
      </c>
      <c r="D95" t="s">
        <v>236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206</v>
      </c>
      <c r="D96" t="s">
        <v>235</v>
      </c>
      <c r="E96">
        <v>-30</v>
      </c>
      <c r="F96">
        <v>0</v>
      </c>
    </row>
    <row r="97" spans="2:6" x14ac:dyDescent="0.25">
      <c r="B97">
        <v>98</v>
      </c>
      <c r="C97" t="s">
        <v>208</v>
      </c>
      <c r="D97" t="s">
        <v>236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209</v>
      </c>
      <c r="D98" t="s">
        <v>236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210</v>
      </c>
      <c r="D99" t="s">
        <v>235</v>
      </c>
      <c r="E99">
        <v>-0.7</v>
      </c>
      <c r="F99">
        <v>0</v>
      </c>
    </row>
    <row r="100" spans="2:6" x14ac:dyDescent="0.25">
      <c r="B100">
        <v>101</v>
      </c>
      <c r="C100" t="s">
        <v>211</v>
      </c>
      <c r="D100" t="s">
        <v>236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212</v>
      </c>
      <c r="D101" t="s">
        <v>235</v>
      </c>
      <c r="E101">
        <v>0</v>
      </c>
      <c r="F101">
        <v>0</v>
      </c>
    </row>
    <row r="102" spans="2:6" x14ac:dyDescent="0.25">
      <c r="B102">
        <v>103</v>
      </c>
      <c r="C102" t="s">
        <v>213</v>
      </c>
      <c r="D102" t="s">
        <v>235</v>
      </c>
      <c r="E102">
        <v>5</v>
      </c>
      <c r="F102">
        <v>0</v>
      </c>
    </row>
    <row r="103" spans="2:6" x14ac:dyDescent="0.25">
      <c r="B103">
        <v>104</v>
      </c>
      <c r="C103" t="s">
        <v>214</v>
      </c>
      <c r="D103" t="s">
        <v>235</v>
      </c>
      <c r="E103">
        <v>-30</v>
      </c>
      <c r="F103">
        <v>0</v>
      </c>
    </row>
    <row r="104" spans="2:6" x14ac:dyDescent="0.25">
      <c r="B104">
        <v>105</v>
      </c>
      <c r="C104" t="s">
        <v>215</v>
      </c>
      <c r="D104" t="s">
        <v>236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216</v>
      </c>
      <c r="D105" t="s">
        <v>236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217</v>
      </c>
      <c r="D106" t="s">
        <v>235</v>
      </c>
      <c r="E106">
        <v>0</v>
      </c>
      <c r="F106">
        <v>0</v>
      </c>
    </row>
    <row r="107" spans="2:6" x14ac:dyDescent="0.25">
      <c r="B107">
        <v>108</v>
      </c>
      <c r="C107" t="s">
        <v>219</v>
      </c>
      <c r="D107" t="s">
        <v>236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220</v>
      </c>
      <c r="D108" t="s">
        <v>236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221</v>
      </c>
      <c r="D109" t="s">
        <v>236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222</v>
      </c>
      <c r="D110" t="s">
        <v>236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223</v>
      </c>
      <c r="D111" t="s">
        <v>235</v>
      </c>
      <c r="E111">
        <v>-5.6623999999999999</v>
      </c>
      <c r="F111">
        <v>0</v>
      </c>
    </row>
    <row r="112" spans="2:6" x14ac:dyDescent="0.25">
      <c r="B112">
        <v>113</v>
      </c>
      <c r="C112" t="s">
        <v>225</v>
      </c>
      <c r="D112" t="s">
        <v>236</v>
      </c>
      <c r="E112">
        <v>-12.0597581892</v>
      </c>
      <c r="F112">
        <v>2.2172988793199999</v>
      </c>
    </row>
    <row r="113" spans="2:11" x14ac:dyDescent="0.25">
      <c r="B113">
        <v>-1</v>
      </c>
    </row>
    <row r="114" spans="2:11" x14ac:dyDescent="0.25">
      <c r="B114">
        <v>10005</v>
      </c>
      <c r="C114" s="333">
        <v>-5981.59020986</v>
      </c>
      <c r="D114" s="333">
        <v>-29805.783655800002</v>
      </c>
      <c r="E114" s="333">
        <v>-17292.021287899999</v>
      </c>
    </row>
    <row r="115" spans="2:11" x14ac:dyDescent="0.25">
      <c r="B115">
        <v>17</v>
      </c>
      <c r="C115" t="s">
        <v>258</v>
      </c>
      <c r="D115" t="s">
        <v>234</v>
      </c>
      <c r="E115">
        <v>31</v>
      </c>
      <c r="F115" t="s">
        <v>256</v>
      </c>
      <c r="G115">
        <v>16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2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2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2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2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2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2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2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2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2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2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2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104"/>
  <sheetViews>
    <sheetView tabSelected="1" topLeftCell="A4" workbookViewId="0" zoomScaleNormal="100">
      <selection activeCell="E24" sqref="E24"/>
    </sheetView>
  </sheetViews>
  <sheetFormatPr defaultRowHeight="15" x14ac:dyDescent="0.25"/>
  <cols>
    <col min="1" max="2" style="295" width="9.140625" collapsed="true"/>
    <col min="3" max="3" customWidth="true" style="295" width="12.7109375" collapsed="true"/>
    <col min="4" max="4" customWidth="true" style="294" width="18.85546875" collapsed="true"/>
    <col min="5" max="5" customWidth="true" style="295" width="39.42578125" collapsed="true"/>
    <col min="6" max="6" customWidth="true" style="295" width="12.7109375" collapsed="true"/>
    <col min="7" max="7" customWidth="true" style="294" width="18.85546875" collapsed="true"/>
    <col min="8" max="8" customWidth="true" style="294" width="8.7109375" collapsed="true"/>
    <col min="9" max="9" bestFit="true" customWidth="true" style="294" width="6.5703125" collapsed="true"/>
    <col min="10" max="10" bestFit="true" customWidth="true" style="294" width="10.140625" collapsed="true"/>
    <col min="11" max="11" bestFit="true" customWidth="true" style="294" width="9.85546875" collapsed="true"/>
    <col min="12" max="14" style="295" width="9.140625" collapsed="true"/>
    <col min="15" max="15" customWidth="true" style="295" width="13.0" collapsed="true"/>
    <col min="16" max="16" bestFit="true" customWidth="true" style="297" width="19.5703125" collapsed="true"/>
    <col min="17" max="17" customWidth="true" style="354" width="19.5703125" collapsed="true"/>
    <col min="18" max="16384" style="295" width="9.140625" collapsed="true"/>
  </cols>
  <sheetData>
    <row r="1" spans="3:23" x14ac:dyDescent="0.25">
      <c r="C1" s="10" t="s">
        <v>39</v>
      </c>
      <c r="F1" s="10" t="s">
        <v>40</v>
      </c>
      <c r="N1" s="296" t="s">
        <v>263</v>
      </c>
      <c r="S1" s="296"/>
      <c r="T1" s="296" t="s">
        <v>263</v>
      </c>
      <c r="U1" s="320"/>
      <c r="V1" s="320"/>
      <c r="W1" s="320"/>
    </row>
    <row ht="15.75" r="2" spans="3:23" thickBot="1" x14ac:dyDescent="0.3">
      <c r="C2" s="296" t="s">
        <v>42</v>
      </c>
      <c r="M2" s="10" t="s">
        <v>90</v>
      </c>
      <c r="N2" s="10" t="s">
        <v>259</v>
      </c>
      <c r="O2" s="10" t="s">
        <v>260</v>
      </c>
      <c r="P2" s="358" t="s">
        <v>264</v>
      </c>
      <c r="Q2" s="355" t="s">
        <v>262</v>
      </c>
      <c r="T2" s="320"/>
      <c r="U2" s="296" t="s">
        <v>265</v>
      </c>
      <c r="V2"/>
      <c r="W2" s="320"/>
    </row>
    <row r="3" spans="3:23" x14ac:dyDescent="0.25">
      <c r="C3" s="298" t="s">
        <v>3</v>
      </c>
      <c r="D3" s="299" t="s">
        <v>43</v>
      </c>
      <c r="F3" s="298" t="s">
        <v>3</v>
      </c>
      <c r="G3" s="299" t="s">
        <v>43</v>
      </c>
      <c r="H3" s="366"/>
      <c r="I3" s="366"/>
      <c r="J3" s="366"/>
      <c r="K3" s="366"/>
      <c r="L3" s="300"/>
      <c r="M3" s="295" t="str">
        <f>VLOOKUP(N3,Coeff_Descr!$A:$D,3,FALSE)</f>
        <v>ALL</v>
      </c>
      <c r="N3" s="295">
        <f>OtherTourDestination!B11</f>
        <v>1</v>
      </c>
      <c r="O3" s="295" t="str">
        <f>OtherTourDestination!C11</f>
        <v>Beta00001</v>
      </c>
      <c r="P3" s="295">
        <f>OtherTourDestination!E11</f>
        <v>1</v>
      </c>
      <c r="Q3" s="356">
        <f>_xlfn.IFNA(VLOOKUP(N3,$B$43:$D$46,3,FALSE),P3)</f>
        <v>1</v>
      </c>
      <c r="T3">
        <v>1</v>
      </c>
      <c r="U3" s="293" t="s">
        <v>282</v>
      </c>
      <c r="V3"/>
      <c r="W3" s="320"/>
    </row>
    <row r="4" spans="3:23" x14ac:dyDescent="0.25">
      <c r="C4" s="301" t="s">
        <v>46</v>
      </c>
      <c r="D4" s="302">
        <f>TLFD!B11</f>
        <v>26340.527496600098</v>
      </c>
      <c r="F4" s="301" t="s">
        <v>46</v>
      </c>
      <c r="G4" s="302">
        <f>TLFD!F11</f>
        <v>85406.583942635567</v>
      </c>
      <c r="H4" s="302"/>
      <c r="I4" s="302"/>
      <c r="J4" s="302"/>
      <c r="K4" s="302"/>
      <c r="L4" s="303"/>
      <c r="M4" s="295" t="str">
        <f>VLOOKUP(N4,Coeff_Descr!$A:$D,3,FALSE)</f>
        <v>ALL</v>
      </c>
      <c r="N4" s="295">
        <f>OtherTourDestination!B12</f>
        <v>2</v>
      </c>
      <c r="O4" s="295" t="str">
        <f>OtherTourDestination!C12</f>
        <v>Beta00002</v>
      </c>
      <c r="P4" s="295">
        <f>OtherTourDestination!E12</f>
        <v>11.7146172749</v>
      </c>
      <c r="Q4" s="356">
        <f>_xlfn.IFNA(VLOOKUP(N4,$B$43:$D$46,3,FALSE),P4)</f>
        <v>11.7146172749</v>
      </c>
      <c r="T4">
        <v>2</v>
      </c>
      <c r="U4" s="293" t="s">
        <v>267</v>
      </c>
      <c r="V4"/>
      <c r="W4" s="320"/>
    </row>
    <row r="5" spans="3:23" x14ac:dyDescent="0.25">
      <c r="C5" s="304" t="s">
        <v>49</v>
      </c>
      <c r="D5" s="305">
        <f>TLFD!B12+TLFD!B13+(TLFD!B14/2)</f>
        <v>116374.9164653949</v>
      </c>
      <c r="F5" s="304" t="s">
        <v>49</v>
      </c>
      <c r="G5" s="305">
        <f>TLFD!F12+TLFD!F13+(TLFD!F14/2)</f>
        <v>128863.62688710848</v>
      </c>
      <c r="H5" s="305"/>
      <c r="I5" s="305"/>
      <c r="J5" s="305"/>
      <c r="K5" s="305"/>
      <c r="L5" s="303"/>
      <c r="M5" s="295" t="str">
        <f>VLOOKUP(N5,Coeff_Descr!$A:$D,3,FALSE)</f>
        <v>ALL</v>
      </c>
      <c r="N5" s="295">
        <f>OtherTourDestination!B13</f>
        <v>3</v>
      </c>
      <c r="O5" s="295" t="str">
        <f>OtherTourDestination!C13</f>
        <v>Beta00003</v>
      </c>
      <c r="P5" s="295">
        <f>OtherTourDestination!E13</f>
        <v>-0.2117</v>
      </c>
      <c r="Q5" s="356">
        <f ref="Q5:Q68" si="0" t="shared">_xlfn.IFNA(VLOOKUP(N5,$B$43:$D$46,3,FALSE),P5)</f>
        <v>-0.2117</v>
      </c>
      <c r="T5">
        <v>3</v>
      </c>
      <c r="U5" s="320" t="s">
        <v>268</v>
      </c>
      <c r="V5" s="320"/>
      <c r="W5" s="320"/>
    </row>
    <row r="6" spans="3:23" x14ac:dyDescent="0.25">
      <c r="C6" s="304" t="s">
        <v>52</v>
      </c>
      <c r="D6" s="305">
        <f>(TLFD!B14/2)+SUM(TLFD!B15:B20)</f>
        <v>382074.40701693262</v>
      </c>
      <c r="F6" s="304" t="s">
        <v>52</v>
      </c>
      <c r="G6" s="305">
        <f>(TLFD!F14/2)+SUM(TLFD!F15:F20)</f>
        <v>306269.24576955067</v>
      </c>
      <c r="H6" s="305"/>
      <c r="I6" s="305"/>
      <c r="J6" s="305"/>
      <c r="K6" s="305"/>
      <c r="L6" s="306"/>
      <c r="M6" s="295" t="str">
        <f>VLOOKUP(N6,Coeff_Descr!$A:$D,3,FALSE)</f>
        <v>ALL</v>
      </c>
      <c r="N6" s="295">
        <f>OtherTourDestination!B14</f>
        <v>4</v>
      </c>
      <c r="O6" s="295" t="str">
        <f>OtherTourDestination!C14</f>
        <v>Beta00004</v>
      </c>
      <c r="P6" s="295">
        <f>OtherTourDestination!E14</f>
        <v>0.27120783067900001</v>
      </c>
      <c r="Q6" s="356">
        <f si="0" t="shared"/>
        <v>0.27120783067900001</v>
      </c>
      <c r="T6">
        <v>4</v>
      </c>
      <c r="U6" s="320" t="s">
        <v>269</v>
      </c>
      <c r="V6" s="320"/>
      <c r="W6" s="320"/>
    </row>
    <row r="7" spans="3:23" x14ac:dyDescent="0.25">
      <c r="C7" s="307" t="s">
        <v>55</v>
      </c>
      <c r="D7" s="308">
        <f>SUM(TLFD!B21:B101)</f>
        <v>122977.70656891659</v>
      </c>
      <c r="F7" s="307" t="s">
        <v>55</v>
      </c>
      <c r="G7" s="308">
        <f>SUM(TLFD!F21:F101)</f>
        <v>127422.85125466417</v>
      </c>
      <c r="H7" s="367"/>
      <c r="I7" s="367"/>
      <c r="J7" s="367"/>
      <c r="K7" s="367"/>
      <c r="L7" s="309"/>
      <c r="M7" s="295" t="str">
        <f>VLOOKUP(N7,Coeff_Descr!$A:$D,3,FALSE)</f>
        <v>ALL</v>
      </c>
      <c r="N7" s="295">
        <f>OtherTourDestination!B15</f>
        <v>5</v>
      </c>
      <c r="O7" s="295" t="str">
        <f>OtherTourDestination!C15</f>
        <v>Beta00005</v>
      </c>
      <c r="P7" s="295">
        <f>OtherTourDestination!E15</f>
        <v>-0.34490013167299999</v>
      </c>
      <c r="Q7" s="356">
        <f si="0" t="shared"/>
        <v>-0.34490013167299999</v>
      </c>
      <c r="T7" s="320">
        <v>5</v>
      </c>
      <c r="U7" s="320" t="s">
        <v>270</v>
      </c>
      <c r="V7" s="320"/>
      <c r="W7" s="320"/>
    </row>
    <row ht="15.75" r="8" spans="3:23" thickBot="1" x14ac:dyDescent="0.3">
      <c r="C8" s="310" t="s">
        <v>4</v>
      </c>
      <c r="D8" s="311">
        <f>SUM(D4:D7)</f>
        <v>647767.55754784413</v>
      </c>
      <c r="E8" s="312"/>
      <c r="F8" s="310" t="s">
        <v>4</v>
      </c>
      <c r="G8" s="311">
        <f>SUM(G4:G7)</f>
        <v>647962.30785395892</v>
      </c>
      <c r="H8" s="368"/>
      <c r="I8" s="368"/>
      <c r="J8" s="368"/>
      <c r="K8" s="368"/>
      <c r="M8" s="295" t="str">
        <f>VLOOKUP(N8,Coeff_Descr!$A:$D,3,FALSE)</f>
        <v>ALL</v>
      </c>
      <c r="N8" s="295">
        <f>OtherTourDestination!B16</f>
        <v>6</v>
      </c>
      <c r="O8" s="295" t="str">
        <f>OtherTourDestination!C16</f>
        <v>Beta00006</v>
      </c>
      <c r="P8" s="295">
        <f>OtherTourDestination!E16</f>
        <v>-8.2865473150899996E-2</v>
      </c>
      <c r="Q8" s="356">
        <f si="0" t="shared"/>
        <v>-8.2865473150899996E-2</v>
      </c>
      <c r="T8" s="320"/>
      <c r="U8" s="320"/>
      <c r="V8" s="320"/>
      <c r="W8" s="320"/>
    </row>
    <row r="9" spans="3:23" x14ac:dyDescent="0.25">
      <c r="M9" s="295" t="str">
        <f>VLOOKUP(N9,Coeff_Descr!$A:$D,3,FALSE)</f>
        <v>ALL</v>
      </c>
      <c r="N9" s="295">
        <f>OtherTourDestination!B17</f>
        <v>7</v>
      </c>
      <c r="O9" s="295" t="str">
        <f>OtherTourDestination!C17</f>
        <v>Beta00007</v>
      </c>
      <c r="P9" s="295">
        <f>OtherTourDestination!E17</f>
        <v>-3.9895313632499998</v>
      </c>
      <c r="Q9" s="356">
        <f si="0" t="shared"/>
        <v>-3.9895313632499998</v>
      </c>
      <c r="T9" s="320"/>
      <c r="U9" s="357" t="s">
        <v>271</v>
      </c>
      <c r="V9" s="320"/>
      <c r="W9" s="320"/>
    </row>
    <row ht="15.75" r="10" spans="3:23" thickBot="1" x14ac:dyDescent="0.3">
      <c r="C10" s="313" t="s">
        <v>62</v>
      </c>
      <c r="H10" s="294" t="s">
        <v>284</v>
      </c>
      <c r="I10" s="377" t="s">
        <v>283</v>
      </c>
      <c r="J10" s="373"/>
      <c r="K10" s="373"/>
      <c r="L10" s="300"/>
      <c r="M10" s="295" t="str">
        <f>VLOOKUP(N10,Coeff_Descr!$A:$D,3,FALSE)</f>
        <v>ALL</v>
      </c>
      <c r="N10" s="295">
        <f>OtherTourDestination!B18</f>
        <v>8</v>
      </c>
      <c r="O10" s="295" t="str">
        <f>OtherTourDestination!C18</f>
        <v>Beta00008</v>
      </c>
      <c r="P10" s="295">
        <f>OtherTourDestination!E18</f>
        <v>6.9400000000000003E-2</v>
      </c>
      <c r="Q10" s="356">
        <f si="0" t="shared"/>
        <v>6.9400000000000003E-2</v>
      </c>
      <c r="T10" s="320">
        <v>1</v>
      </c>
      <c r="U10" s="293" t="s">
        <v>266</v>
      </c>
      <c r="V10" s="320"/>
      <c r="W10" s="320"/>
    </row>
    <row r="11" spans="3:23" x14ac:dyDescent="0.25">
      <c r="C11" s="298" t="s">
        <v>3</v>
      </c>
      <c r="D11" s="299" t="s">
        <v>43</v>
      </c>
      <c r="F11" s="298" t="s">
        <v>3</v>
      </c>
      <c r="G11" s="299" t="s">
        <v>43</v>
      </c>
      <c r="H11" s="366"/>
      <c r="I11" s="299" t="s">
        <v>279</v>
      </c>
      <c r="J11" s="299" t="s">
        <v>280</v>
      </c>
      <c r="K11" s="299" t="s">
        <v>281</v>
      </c>
      <c r="L11" s="314"/>
      <c r="M11" s="295" t="str">
        <f>VLOOKUP(N11,Coeff_Descr!$A:$D,3,FALSE)</f>
        <v>ALL</v>
      </c>
      <c r="N11" s="295">
        <f>OtherTourDestination!B19</f>
        <v>9</v>
      </c>
      <c r="O11" s="295" t="str">
        <f>OtherTourDestination!C19</f>
        <v>Beta00009</v>
      </c>
      <c r="P11" s="295">
        <f>OtherTourDestination!E19</f>
        <v>-9.5820044919499997E-2</v>
      </c>
      <c r="Q11" s="356">
        <f si="0" t="shared"/>
        <v>-9.5820044919499997E-2</v>
      </c>
      <c r="T11" s="320">
        <v>2</v>
      </c>
      <c r="U11" s="320" t="s">
        <v>272</v>
      </c>
      <c r="V11" s="320"/>
      <c r="W11" s="320"/>
    </row>
    <row r="12" spans="3:23" x14ac:dyDescent="0.25">
      <c r="C12" s="301" t="s">
        <v>46</v>
      </c>
      <c r="D12" s="315">
        <f>D4/D$8</f>
        <v>4.0663548505444541E-2</v>
      </c>
      <c r="F12" s="301" t="s">
        <v>46</v>
      </c>
      <c r="G12" s="315">
        <f>G4/G$8</f>
        <v>0.13180795072093135</v>
      </c>
      <c r="H12" s="378">
        <v>0</v>
      </c>
      <c r="I12" s="371">
        <f>D12/G12</f>
        <v>0.30850603687435291</v>
      </c>
      <c r="J12" s="370">
        <f>LN(I12)</f>
        <v>-1.176013867353753</v>
      </c>
      <c r="K12" s="370">
        <f>H12*J12</f>
        <v>0</v>
      </c>
      <c r="L12" s="314"/>
      <c r="M12" s="295" t="str">
        <f>VLOOKUP(N12,Coeff_Descr!$A:$D,3,FALSE)</f>
        <v>ALL</v>
      </c>
      <c r="N12" s="295">
        <f>OtherTourDestination!B20</f>
        <v>10</v>
      </c>
      <c r="O12" s="295" t="str">
        <f>OtherTourDestination!C20</f>
        <v>Beta00010</v>
      </c>
      <c r="P12" s="295">
        <f>OtherTourDestination!E20</f>
        <v>0.517563261484</v>
      </c>
      <c r="Q12" s="356">
        <f si="0" t="shared"/>
        <v>0.517563261484</v>
      </c>
      <c r="T12" s="320">
        <v>3</v>
      </c>
      <c r="U12" s="320" t="s">
        <v>273</v>
      </c>
      <c r="V12" s="320"/>
      <c r="W12" s="320"/>
    </row>
    <row r="13" spans="3:23" x14ac:dyDescent="0.25">
      <c r="C13" s="304" t="s">
        <v>49</v>
      </c>
      <c r="D13" s="316">
        <f ref="D13:D16" si="1" t="shared">D5/D$8</f>
        <v>0.17965536419566588</v>
      </c>
      <c r="F13" s="304" t="s">
        <v>49</v>
      </c>
      <c r="G13" s="316">
        <f ref="G13:G16" si="2" t="shared">G5/G$8</f>
        <v>0.19887518969105286</v>
      </c>
      <c r="H13" s="379">
        <v>0</v>
      </c>
      <c r="I13" s="371">
        <f ref="I13:I15" si="3" t="shared">D13/G13</f>
        <v>0.90335734927396194</v>
      </c>
      <c r="J13" s="370">
        <f ref="J13" si="4" t="shared">LN(I13)</f>
        <v>-0.10163706821776426</v>
      </c>
      <c r="K13" s="370">
        <f>H13*(J13-J12)</f>
        <v>0</v>
      </c>
      <c r="L13" s="314"/>
      <c r="M13" s="295" t="str">
        <f>VLOOKUP(N13,Coeff_Descr!$A:$D,3,FALSE)</f>
        <v>ALL</v>
      </c>
      <c r="N13" s="295">
        <f>OtherTourDestination!B21</f>
        <v>11</v>
      </c>
      <c r="O13" s="295" t="str">
        <f>OtherTourDestination!C21</f>
        <v>Beta00011</v>
      </c>
      <c r="P13" s="295">
        <f>OtherTourDestination!E21</f>
        <v>-0.80352358260699996</v>
      </c>
      <c r="Q13" s="356">
        <f si="0" t="shared"/>
        <v>-0.80352358260699996</v>
      </c>
      <c r="T13" s="320">
        <v>4</v>
      </c>
      <c r="U13" s="320" t="s">
        <v>274</v>
      </c>
      <c r="V13" s="320"/>
      <c r="W13" s="320"/>
    </row>
    <row r="14" spans="3:23" x14ac:dyDescent="0.25">
      <c r="C14" s="304" t="s">
        <v>52</v>
      </c>
      <c r="D14" s="316">
        <f si="1" t="shared"/>
        <v>0.58983257584448046</v>
      </c>
      <c r="F14" s="304" t="s">
        <v>52</v>
      </c>
      <c r="G14" s="316">
        <f si="2" t="shared"/>
        <v>0.47266521841974057</v>
      </c>
      <c r="H14" s="379">
        <v>0</v>
      </c>
      <c r="I14" s="371"/>
      <c r="J14" s="370">
        <f>LN(I15)</f>
        <v>-3.5207398467067372E-2</v>
      </c>
      <c r="K14" s="370">
        <f>H15*J14</f>
        <v>-3.5207398467067372E-2</v>
      </c>
      <c r="L14" s="317"/>
      <c r="M14" s="295" t="str">
        <f>VLOOKUP(N14,Coeff_Descr!$A:$D,3,FALSE)</f>
        <v>ALL</v>
      </c>
      <c r="N14" s="295">
        <f>OtherTourDestination!B22</f>
        <v>12</v>
      </c>
      <c r="O14" s="295" t="str">
        <f>OtherTourDestination!C22</f>
        <v>Beta00012</v>
      </c>
      <c r="P14" s="295">
        <f>OtherTourDestination!E22</f>
        <v>-0.80534348065299999</v>
      </c>
      <c r="Q14" s="356">
        <f si="0" t="shared"/>
        <v>-0.80534348065299999</v>
      </c>
      <c r="T14" s="320">
        <v>5</v>
      </c>
      <c r="U14" s="293" t="s">
        <v>275</v>
      </c>
      <c r="V14" s="320"/>
      <c r="W14" s="320"/>
    </row>
    <row ht="15.75" r="15" spans="3:23" thickBot="1" x14ac:dyDescent="0.3">
      <c r="C15" s="307" t="s">
        <v>55</v>
      </c>
      <c r="D15" s="316">
        <f si="1" t="shared"/>
        <v>0.18984851145440926</v>
      </c>
      <c r="F15" s="307" t="s">
        <v>55</v>
      </c>
      <c r="G15" s="316">
        <f si="2" t="shared"/>
        <v>0.19665164116827516</v>
      </c>
      <c r="H15" s="379">
        <v>1</v>
      </c>
      <c r="I15" s="372">
        <f si="3" t="shared"/>
        <v>0.9654051719403427</v>
      </c>
      <c r="J15" s="374"/>
      <c r="K15" s="374"/>
      <c r="M15" s="295" t="str">
        <f>VLOOKUP(N15,Coeff_Descr!$A:$D,3,FALSE)</f>
        <v>ALL</v>
      </c>
      <c r="N15" s="295">
        <f>OtherTourDestination!B23</f>
        <v>13</v>
      </c>
      <c r="O15" s="295" t="str">
        <f>OtherTourDestination!C23</f>
        <v>Beta00013</v>
      </c>
      <c r="P15" s="295">
        <f>OtherTourDestination!E23</f>
        <v>-0.51977799879300002</v>
      </c>
      <c r="Q15" s="356">
        <f si="0" t="shared"/>
        <v>-0.51977799879300002</v>
      </c>
      <c r="T15" s="320">
        <v>6</v>
      </c>
      <c r="U15" s="320" t="s">
        <v>276</v>
      </c>
      <c r="V15" s="320"/>
      <c r="W15" s="320"/>
    </row>
    <row ht="15.75" r="16" spans="3:23" thickBot="1" x14ac:dyDescent="0.3">
      <c r="C16" s="310" t="s">
        <v>4</v>
      </c>
      <c r="D16" s="318">
        <f si="1" t="shared"/>
        <v>1</v>
      </c>
      <c r="E16" s="312"/>
      <c r="F16" s="310" t="s">
        <v>4</v>
      </c>
      <c r="G16" s="318">
        <f si="2" t="shared"/>
        <v>1</v>
      </c>
      <c r="H16" s="369"/>
      <c r="I16" s="371"/>
      <c r="J16" s="371"/>
      <c r="K16" s="371"/>
      <c r="M16" s="295" t="str">
        <f>VLOOKUP(N16,Coeff_Descr!$A:$D,3,FALSE)</f>
        <v>ALL</v>
      </c>
      <c r="N16" s="295">
        <f>OtherTourDestination!B24</f>
        <v>14</v>
      </c>
      <c r="O16" s="295" t="str">
        <f>OtherTourDestination!C24</f>
        <v>Beta00014</v>
      </c>
      <c r="P16" s="295">
        <f>OtherTourDestination!E24</f>
        <v>-0.27562686954600002</v>
      </c>
      <c r="Q16" s="356">
        <f si="0" t="shared"/>
        <v>-0.27562686954600002</v>
      </c>
      <c r="T16" s="320">
        <v>7</v>
      </c>
      <c r="U16" s="320" t="s">
        <v>269</v>
      </c>
      <c r="V16" s="320"/>
      <c r="W16" s="320"/>
    </row>
    <row r="17" spans="2:23" x14ac:dyDescent="0.25">
      <c r="M17" s="295" t="str">
        <f>VLOOKUP(N17,Coeff_Descr!$A:$D,3,FALSE)</f>
        <v>ALL</v>
      </c>
      <c r="N17" s="295">
        <f>OtherTourDestination!B25</f>
        <v>15</v>
      </c>
      <c r="O17" s="295" t="str">
        <f>OtherTourDestination!C25</f>
        <v>Beta00015</v>
      </c>
      <c r="P17" s="295">
        <f>OtherTourDestination!E25</f>
        <v>-0.55245424085299999</v>
      </c>
      <c r="Q17" s="356">
        <f si="0" t="shared"/>
        <v>-0.55245424085299999</v>
      </c>
      <c r="T17" s="320">
        <v>8</v>
      </c>
      <c r="U17" s="320" t="s">
        <v>277</v>
      </c>
      <c r="V17" s="320"/>
      <c r="W17" s="320"/>
    </row>
    <row r="18" spans="2:23" x14ac:dyDescent="0.25">
      <c r="F18" s="375"/>
      <c r="G18" s="376"/>
      <c r="H18" s="376"/>
      <c r="I18" s="376"/>
      <c r="J18" s="376"/>
      <c r="K18" s="370"/>
      <c r="M18" s="295" t="str">
        <f>VLOOKUP(N18,Coeff_Descr!$A:$D,3,FALSE)</f>
        <v>ALL</v>
      </c>
      <c r="N18" s="295">
        <f>OtherTourDestination!B26</f>
        <v>16</v>
      </c>
      <c r="O18" s="295" t="str">
        <f>OtherTourDestination!C26</f>
        <v>Beta00016</v>
      </c>
      <c r="P18" s="295">
        <f>OtherTourDestination!E26</f>
        <v>-0.493022087256</v>
      </c>
      <c r="Q18" s="356">
        <f si="0" t="shared"/>
        <v>-0.493022087256</v>
      </c>
    </row>
    <row r="19" spans="2:23" x14ac:dyDescent="0.25">
      <c r="C19" s="319" t="s">
        <v>81</v>
      </c>
      <c r="F19" s="375"/>
      <c r="G19" s="376"/>
      <c r="H19" s="376"/>
      <c r="I19" s="376"/>
      <c r="J19" s="376"/>
      <c r="K19" s="370"/>
      <c r="M19" s="295" t="str">
        <f>VLOOKUP(N19,Coeff_Descr!$A:$D,3,FALSE)</f>
        <v>ALL</v>
      </c>
      <c r="N19" s="295">
        <f>OtherTourDestination!B27</f>
        <v>17</v>
      </c>
      <c r="O19" s="295" t="str">
        <f>OtherTourDestination!C27</f>
        <v>Beta00017</v>
      </c>
      <c r="P19" s="295">
        <f>OtherTourDestination!E27</f>
        <v>0</v>
      </c>
      <c r="Q19" s="356">
        <f si="0" t="shared"/>
        <v>0</v>
      </c>
    </row>
    <row r="20" spans="2:23" x14ac:dyDescent="0.25">
      <c r="C20" s="319" t="s">
        <v>84</v>
      </c>
      <c r="F20" s="375"/>
      <c r="G20" s="376"/>
      <c r="H20" s="376"/>
      <c r="I20" s="376"/>
      <c r="J20" s="376"/>
      <c r="K20" s="370"/>
      <c r="M20" s="295" t="str">
        <f>VLOOKUP(N20,Coeff_Descr!$A:$D,3,FALSE)</f>
        <v>ALL</v>
      </c>
      <c r="N20" s="295">
        <f>OtherTourDestination!B28</f>
        <v>18</v>
      </c>
      <c r="O20" s="295" t="str">
        <f>OtherTourDestination!C28</f>
        <v>Beta00018</v>
      </c>
      <c r="P20" s="295">
        <f>OtherTourDestination!E28</f>
        <v>0</v>
      </c>
      <c r="Q20" s="356">
        <f si="0" t="shared"/>
        <v>0</v>
      </c>
    </row>
    <row ht="15.75" r="21" spans="2:23" thickBot="1" x14ac:dyDescent="0.3">
      <c r="C21" s="320"/>
      <c r="F21" s="375"/>
      <c r="G21" s="376"/>
      <c r="H21" s="376"/>
      <c r="I21" s="376"/>
      <c r="J21" s="376"/>
      <c r="K21" s="370"/>
      <c r="M21" s="295" t="str">
        <f>VLOOKUP(N21,Coeff_Descr!$A:$D,3,FALSE)</f>
        <v>ALL</v>
      </c>
      <c r="N21" s="295">
        <f>OtherTourDestination!B29</f>
        <v>19</v>
      </c>
      <c r="O21" s="295" t="str">
        <f>OtherTourDestination!C29</f>
        <v>Beta00019</v>
      </c>
      <c r="P21" s="295">
        <f>OtherTourDestination!E29</f>
        <v>0</v>
      </c>
      <c r="Q21" s="356">
        <f si="0" t="shared"/>
        <v>0</v>
      </c>
    </row>
    <row r="22" spans="2:23" x14ac:dyDescent="0.25">
      <c r="B22" s="349" t="s">
        <v>259</v>
      </c>
      <c r="C22" s="321" t="s">
        <v>90</v>
      </c>
      <c r="D22" s="322"/>
      <c r="M22" s="295" t="str">
        <f>VLOOKUP(N22,Coeff_Descr!$A:$D,3,FALSE)</f>
        <v>ESCORT</v>
      </c>
      <c r="N22" s="295">
        <f>OtherTourDestination!B30</f>
        <v>20</v>
      </c>
      <c r="O22" s="295" t="str">
        <f>OtherTourDestination!C30</f>
        <v>Beta00020</v>
      </c>
      <c r="P22" s="295">
        <f>OtherTourDestination!E30</f>
        <v>0.63771148688699997</v>
      </c>
      <c r="Q22" s="356">
        <f si="0" t="shared"/>
        <v>0.63771148688699997</v>
      </c>
    </row>
    <row r="23" spans="2:23" x14ac:dyDescent="0.25">
      <c r="B23" s="350">
        <v>21</v>
      </c>
      <c r="C23" s="301" t="s">
        <v>46</v>
      </c>
      <c r="D23" s="362">
        <f>_xlfn.IFNA(VLOOKUP($B23,$N$3:$P$104,3,FALSE),0)</f>
        <v>-12.0946718381</v>
      </c>
      <c r="G23" s="365"/>
      <c r="H23" s="365"/>
      <c r="I23" s="365"/>
      <c r="J23" s="365"/>
      <c r="K23" s="365"/>
      <c r="M23" s="295" t="str">
        <f>VLOOKUP(N23,Coeff_Descr!$A:$D,3,FALSE)</f>
        <v>ESCORT</v>
      </c>
      <c r="N23" s="334">
        <f>OtherTourDestination!B31</f>
        <v>21</v>
      </c>
      <c r="O23" s="334" t="str">
        <f>OtherTourDestination!C31</f>
        <v>Beta00021</v>
      </c>
      <c r="P23" s="334">
        <f>OtherTourDestination!E31</f>
        <v>-12.0946718381</v>
      </c>
      <c r="Q23" s="356">
        <f si="0" t="shared"/>
        <v>-12.0946718381</v>
      </c>
      <c r="R23" s="295" t="str">
        <f>VLOOKUP(N23,Coeff_Descr!$A$2:$E$104,4,FALSE)</f>
        <v>distanceFromOrigin4</v>
      </c>
    </row>
    <row r="24" spans="2:23" x14ac:dyDescent="0.25">
      <c r="B24" s="350">
        <v>22</v>
      </c>
      <c r="C24" s="304" t="s">
        <v>49</v>
      </c>
      <c r="D24" s="363">
        <f ref="D24:D25" si="5" t="shared">_xlfn.IFNA(VLOOKUP($B24,$N$3:$P$104,3,FALSE),0)</f>
        <v>-4.03623745316</v>
      </c>
      <c r="F24" s="364"/>
      <c r="M24" s="295" t="str">
        <f>VLOOKUP(N24,Coeff_Descr!$A:$D,3,FALSE)</f>
        <v>ESCORT</v>
      </c>
      <c r="N24" s="334">
        <f>OtherTourDestination!B32</f>
        <v>22</v>
      </c>
      <c r="O24" s="334" t="str">
        <f>OtherTourDestination!C32</f>
        <v>Beta00022</v>
      </c>
      <c r="P24" s="334">
        <f>OtherTourDestination!E32</f>
        <v>-4.03623745316</v>
      </c>
      <c r="Q24" s="356">
        <f si="0" t="shared"/>
        <v>-4.03623745316</v>
      </c>
      <c r="R24" s="295" t="str">
        <f>VLOOKUP(N24,Coeff_Descr!$A$2:$E$104,4,FALSE)</f>
        <v>distanceFromOrigin8</v>
      </c>
    </row>
    <row r="25" spans="2:23" x14ac:dyDescent="0.25">
      <c r="B25" s="350">
        <v>23</v>
      </c>
      <c r="C25" s="304" t="s">
        <v>52</v>
      </c>
      <c r="D25" s="363">
        <f si="5" t="shared"/>
        <v>-2.4557170493427001</v>
      </c>
      <c r="M25" s="295" t="str">
        <f>VLOOKUP(N25,Coeff_Descr!$A:$D,3,FALSE)</f>
        <v>ESCORT</v>
      </c>
      <c r="N25" s="334">
        <f>OtherTourDestination!B33</f>
        <v>23</v>
      </c>
      <c r="O25" s="334" t="str">
        <f>OtherTourDestination!C33</f>
        <v>Beta00023</v>
      </c>
      <c r="P25" s="334">
        <f>OtherTourDestination!E33</f>
        <v>-2.4557170493427001</v>
      </c>
      <c r="Q25" s="356">
        <f si="0" t="shared"/>
        <v>-2.4909244478097676</v>
      </c>
      <c r="R25" s="295" t="str">
        <f>VLOOKUP(N25,Coeff_Descr!$A$2:$E$104,4,FALSE)</f>
        <v>distanceFromOrigin9</v>
      </c>
    </row>
    <row ht="15.75" r="26" spans="2:23" thickBot="1" x14ac:dyDescent="0.3">
      <c r="B26" s="351"/>
      <c r="C26" s="324"/>
      <c r="D26" s="361"/>
      <c r="M26" s="295" t="str">
        <f>VLOOKUP(N26,Coeff_Descr!$A:$D,3,FALSE)</f>
        <v>ESCORT</v>
      </c>
      <c r="N26" s="331">
        <f>OtherTourDestination!B34</f>
        <v>24</v>
      </c>
      <c r="O26" s="331" t="str">
        <f>OtherTourDestination!C34</f>
        <v>Beta00024</v>
      </c>
      <c r="P26" s="331">
        <f>OtherTourDestination!E34</f>
        <v>0.10429329553199999</v>
      </c>
      <c r="Q26" s="356">
        <f si="0" t="shared"/>
        <v>0.10429329553199999</v>
      </c>
    </row>
    <row r="27" spans="2:23" x14ac:dyDescent="0.25">
      <c r="C27" s="320"/>
      <c r="D27" s="325"/>
      <c r="M27" s="295" t="str">
        <f>VLOOKUP(N27,Coeff_Descr!$A:$D,3,FALSE)</f>
        <v>ESCORT</v>
      </c>
      <c r="N27" s="295">
        <f>OtherTourDestination!B35</f>
        <v>25</v>
      </c>
      <c r="O27" s="295" t="str">
        <f>OtherTourDestination!C35</f>
        <v>Beta00025</v>
      </c>
      <c r="P27" s="295">
        <f>OtherTourDestination!E35</f>
        <v>0</v>
      </c>
      <c r="Q27" s="356">
        <f si="0" t="shared"/>
        <v>0</v>
      </c>
    </row>
    <row r="28" spans="2:23" x14ac:dyDescent="0.25">
      <c r="C28" s="320"/>
      <c r="D28" s="325"/>
      <c r="M28" s="295" t="str">
        <f>VLOOKUP(N28,Coeff_Descr!$A:$D,3,FALSE)</f>
        <v>PERSBUS/MED</v>
      </c>
      <c r="N28" s="295">
        <f>OtherTourDestination!B36</f>
        <v>26</v>
      </c>
      <c r="O28" s="295" t="str">
        <f>OtherTourDestination!C36</f>
        <v>Beta00026</v>
      </c>
      <c r="P28" s="295">
        <f>OtherTourDestination!E36</f>
        <v>0.417326479157</v>
      </c>
      <c r="Q28" s="356">
        <f si="0" t="shared"/>
        <v>0.417326479157</v>
      </c>
    </row>
    <row r="29" spans="2:23" x14ac:dyDescent="0.25">
      <c r="C29" s="319" t="s">
        <v>81</v>
      </c>
      <c r="D29" s="326"/>
      <c r="M29" s="295" t="str">
        <f>VLOOKUP(N29,Coeff_Descr!$A:$D,3,FALSE)</f>
        <v>PERSBUS/MED</v>
      </c>
      <c r="N29" s="295">
        <f>OtherTourDestination!B37</f>
        <v>27</v>
      </c>
      <c r="O29" s="295" t="str">
        <f>OtherTourDestination!C37</f>
        <v>Beta00027</v>
      </c>
      <c r="P29" s="295">
        <f>OtherTourDestination!E37</f>
        <v>-14.8384910501</v>
      </c>
      <c r="Q29" s="356">
        <f si="0" t="shared"/>
        <v>-14.8384910501</v>
      </c>
    </row>
    <row r="30" spans="2:23" x14ac:dyDescent="0.25">
      <c r="C30" s="319" t="s">
        <v>106</v>
      </c>
      <c r="D30" s="326"/>
      <c r="M30" s="295" t="str">
        <f>VLOOKUP(N30,Coeff_Descr!$A:$D,3,FALSE)</f>
        <v>PERSBUS/MED</v>
      </c>
      <c r="N30" s="295">
        <f>OtherTourDestination!B38</f>
        <v>28</v>
      </c>
      <c r="O30" s="295" t="str">
        <f>OtherTourDestination!C38</f>
        <v>Beta00028</v>
      </c>
      <c r="P30" s="295">
        <f>OtherTourDestination!E38</f>
        <v>-5.1880432348000003</v>
      </c>
      <c r="Q30" s="356">
        <f si="0" t="shared"/>
        <v>-5.1880432348000003</v>
      </c>
    </row>
    <row ht="15.75" r="31" spans="2:23" thickBot="1" x14ac:dyDescent="0.3">
      <c r="C31" s="320"/>
      <c r="D31" s="325"/>
      <c r="E31" s="320"/>
      <c r="M31" s="295" t="str">
        <f>VLOOKUP(N31,Coeff_Descr!$A:$D,3,FALSE)</f>
        <v>PERSBUS/MED</v>
      </c>
      <c r="N31" s="295">
        <f>OtherTourDestination!B39</f>
        <v>29</v>
      </c>
      <c r="O31" s="295" t="str">
        <f>OtherTourDestination!C39</f>
        <v>Beta00029</v>
      </c>
      <c r="P31" s="295">
        <f>OtherTourDestination!E39</f>
        <v>-2.6156308707</v>
      </c>
      <c r="Q31" s="356">
        <f si="0" t="shared"/>
        <v>-2.6156308707</v>
      </c>
    </row>
    <row r="32" spans="2:23" x14ac:dyDescent="0.25">
      <c r="B32" s="380" t="s">
        <v>259</v>
      </c>
      <c r="C32" s="381" t="s">
        <v>90</v>
      </c>
      <c r="D32" s="382"/>
      <c r="E32" s="381" t="s">
        <v>261</v>
      </c>
      <c r="M32" s="295" t="str">
        <f>VLOOKUP(N32,Coeff_Descr!$A:$D,3,FALSE)</f>
        <v>PERSBUS/MED</v>
      </c>
      <c r="N32" s="295">
        <f>OtherTourDestination!B40</f>
        <v>30</v>
      </c>
      <c r="O32" s="295" t="str">
        <f>OtherTourDestination!C40</f>
        <v>Beta00030</v>
      </c>
      <c r="P32" s="295">
        <f>OtherTourDestination!E40</f>
        <v>-0.91046169190000004</v>
      </c>
      <c r="Q32" s="356">
        <f si="0" t="shared"/>
        <v>-0.91046169190000004</v>
      </c>
    </row>
    <row r="33" spans="2:17" x14ac:dyDescent="0.25">
      <c r="B33" s="383">
        <f>B23</f>
        <v>21</v>
      </c>
      <c r="C33" s="384" t="s">
        <v>46</v>
      </c>
      <c r="D33" s="385">
        <f>K12</f>
        <v>0</v>
      </c>
      <c r="E33" s="386" t="s">
        <v>285</v>
      </c>
      <c r="M33" s="295" t="str">
        <f>VLOOKUP(N33,Coeff_Descr!$A:$D,3,FALSE)</f>
        <v>PERSBUS/MED</v>
      </c>
      <c r="N33" s="295">
        <f>OtherTourDestination!B41</f>
        <v>31</v>
      </c>
      <c r="O33" s="295" t="str">
        <f>OtherTourDestination!C41</f>
        <v>Beta00031</v>
      </c>
      <c r="P33" s="295">
        <f>OtherTourDestination!E41</f>
        <v>5.7553461640599997E-2</v>
      </c>
      <c r="Q33" s="356">
        <f si="0" t="shared"/>
        <v>5.7553461640599997E-2</v>
      </c>
    </row>
    <row r="34" spans="2:17" x14ac:dyDescent="0.25">
      <c r="B34" s="383">
        <f ref="B34:B35" si="6" t="shared">B24</f>
        <v>22</v>
      </c>
      <c r="C34" s="387" t="s">
        <v>49</v>
      </c>
      <c r="D34" s="385">
        <f ref="D34:D35" si="7" t="shared">K13</f>
        <v>0</v>
      </c>
      <c r="E34" s="386" t="s">
        <v>286</v>
      </c>
      <c r="M34" s="295" t="str">
        <f>VLOOKUP(N34,Coeff_Descr!$A:$D,3,FALSE)</f>
        <v>PERSBUS/MED</v>
      </c>
      <c r="N34" s="295">
        <f>OtherTourDestination!B42</f>
        <v>32</v>
      </c>
      <c r="O34" s="295" t="str">
        <f>OtherTourDestination!C42</f>
        <v>Beta00032</v>
      </c>
      <c r="P34" s="295">
        <f>OtherTourDestination!E42</f>
        <v>0.237798002151</v>
      </c>
      <c r="Q34" s="356">
        <f si="0" t="shared"/>
        <v>0.237798002151</v>
      </c>
    </row>
    <row r="35" spans="2:17" x14ac:dyDescent="0.25">
      <c r="B35" s="383">
        <f si="6" t="shared"/>
        <v>23</v>
      </c>
      <c r="C35" s="387" t="s">
        <v>52</v>
      </c>
      <c r="D35" s="385">
        <f si="7" t="shared"/>
        <v>-3.5207398467067372E-2</v>
      </c>
      <c r="E35" s="386" t="s">
        <v>287</v>
      </c>
      <c r="G35" s="327"/>
      <c r="H35" s="327"/>
      <c r="I35" s="327"/>
      <c r="J35" s="327"/>
      <c r="K35" s="327"/>
      <c r="M35" s="295" t="str">
        <f>VLOOKUP(N35,Coeff_Descr!$A:$D,3,FALSE)</f>
        <v>PERSBUS/MED</v>
      </c>
      <c r="N35" s="295">
        <f>OtherTourDestination!B43</f>
        <v>33</v>
      </c>
      <c r="O35" s="295" t="str">
        <f>OtherTourDestination!C43</f>
        <v>Beta00033</v>
      </c>
      <c r="P35" s="295">
        <f>OtherTourDestination!E43</f>
        <v>0</v>
      </c>
      <c r="Q35" s="356">
        <f si="0" t="shared"/>
        <v>0</v>
      </c>
    </row>
    <row ht="15.75" r="36" spans="2:17" thickBot="1" x14ac:dyDescent="0.3">
      <c r="B36" s="388"/>
      <c r="C36" s="389"/>
      <c r="D36" s="390"/>
      <c r="E36" s="390"/>
      <c r="G36" s="328"/>
      <c r="H36" s="328"/>
      <c r="I36" s="328"/>
      <c r="J36" s="328"/>
      <c r="K36" s="328"/>
      <c r="M36" s="295" t="str">
        <f>VLOOKUP(N36,Coeff_Descr!$A:$D,3,FALSE)</f>
        <v>PERSBUS/MED</v>
      </c>
      <c r="N36" s="295">
        <f>OtherTourDestination!B44</f>
        <v>34</v>
      </c>
      <c r="O36" s="295" t="str">
        <f>OtherTourDestination!C44</f>
        <v>Beta00034</v>
      </c>
      <c r="P36" s="295">
        <f>OtherTourDestination!E44</f>
        <v>0</v>
      </c>
      <c r="Q36" s="356">
        <f si="0" t="shared"/>
        <v>0</v>
      </c>
    </row>
    <row r="37" spans="2:17" x14ac:dyDescent="0.25">
      <c r="C37" s="320"/>
      <c r="D37" s="323"/>
      <c r="M37" s="295" t="str">
        <f>VLOOKUP(N37,Coeff_Descr!$A:$D,3,FALSE)</f>
        <v>PERSBUS/MED</v>
      </c>
      <c r="N37" s="295">
        <f>OtherTourDestination!B45</f>
        <v>35</v>
      </c>
      <c r="O37" s="295" t="str">
        <f>OtherTourDestination!C45</f>
        <v>Beta00035</v>
      </c>
      <c r="P37" s="295">
        <f>OtherTourDestination!E45</f>
        <v>0</v>
      </c>
      <c r="Q37" s="356">
        <f si="0" t="shared"/>
        <v>0</v>
      </c>
    </row>
    <row r="38" spans="2:17" x14ac:dyDescent="0.25">
      <c r="C38" s="320"/>
      <c r="D38" s="323"/>
      <c r="M38" s="295" t="str">
        <f>VLOOKUP(N38,Coeff_Descr!$A:$D,3,FALSE)</f>
        <v>SHOP</v>
      </c>
      <c r="N38" s="295">
        <f>OtherTourDestination!B46</f>
        <v>36</v>
      </c>
      <c r="O38" s="295" t="str">
        <f>OtherTourDestination!C46</f>
        <v>Beta00036</v>
      </c>
      <c r="P38" s="295">
        <f>OtherTourDestination!E46</f>
        <v>0.61259135262599995</v>
      </c>
      <c r="Q38" s="356">
        <f si="0" t="shared"/>
        <v>0.61259135262599995</v>
      </c>
    </row>
    <row r="39" spans="2:17" x14ac:dyDescent="0.25">
      <c r="C39" s="319" t="s">
        <v>81</v>
      </c>
      <c r="D39" s="329"/>
      <c r="M39" s="295" t="str">
        <f>VLOOKUP(N39,Coeff_Descr!$A:$D,3,FALSE)</f>
        <v>SHOP</v>
      </c>
      <c r="N39" s="295">
        <f>OtherTourDestination!B47</f>
        <v>37</v>
      </c>
      <c r="O39" s="295" t="str">
        <f>OtherTourDestination!C47</f>
        <v>Beta00037</v>
      </c>
      <c r="P39" s="295">
        <f>OtherTourDestination!E47</f>
        <v>-20.810228388700001</v>
      </c>
      <c r="Q39" s="356">
        <f si="0" t="shared"/>
        <v>-20.810228388700001</v>
      </c>
    </row>
    <row r="40" spans="2:17" x14ac:dyDescent="0.25">
      <c r="C40" s="319" t="s">
        <v>124</v>
      </c>
      <c r="D40" s="329"/>
      <c r="M40" s="295" t="str">
        <f>VLOOKUP(N40,Coeff_Descr!$A:$D,3,FALSE)</f>
        <v>SHOP</v>
      </c>
      <c r="N40" s="295">
        <f>OtherTourDestination!B48</f>
        <v>38</v>
      </c>
      <c r="O40" s="295" t="str">
        <f>OtherTourDestination!C48</f>
        <v>Beta00038</v>
      </c>
      <c r="P40" s="295">
        <f>OtherTourDestination!E48</f>
        <v>-7.1836373472300004</v>
      </c>
      <c r="Q40" s="356">
        <f si="0" t="shared"/>
        <v>-7.1836373472300004</v>
      </c>
    </row>
    <row ht="15.75" r="41" spans="2:17" thickBot="1" x14ac:dyDescent="0.3">
      <c r="B41" s="352"/>
      <c r="C41" s="320"/>
      <c r="D41" s="323"/>
      <c r="M41" s="295" t="str">
        <f>VLOOKUP(N41,Coeff_Descr!$A:$D,3,FALSE)</f>
        <v>SHOP</v>
      </c>
      <c r="N41" s="295">
        <f>OtherTourDestination!B49</f>
        <v>39</v>
      </c>
      <c r="O41" s="295" t="str">
        <f>OtherTourDestination!C49</f>
        <v>Beta00039</v>
      </c>
      <c r="P41" s="295">
        <f>OtherTourDestination!E49</f>
        <v>-3.6600975390500001</v>
      </c>
      <c r="Q41" s="356">
        <f si="0" t="shared"/>
        <v>-3.6600975390500001</v>
      </c>
    </row>
    <row r="42" spans="2:17" x14ac:dyDescent="0.25">
      <c r="B42" s="349" t="s">
        <v>259</v>
      </c>
      <c r="C42" s="321" t="s">
        <v>90</v>
      </c>
      <c r="D42" s="330"/>
      <c r="M42" s="295" t="str">
        <f>VLOOKUP(N42,Coeff_Descr!$A:$D,3,FALSE)</f>
        <v>SHOP</v>
      </c>
      <c r="N42" s="295">
        <f>OtherTourDestination!B50</f>
        <v>40</v>
      </c>
      <c r="O42" s="295" t="str">
        <f>OtherTourDestination!C50</f>
        <v>Beta00040</v>
      </c>
      <c r="P42" s="295">
        <f>OtherTourDestination!E50</f>
        <v>-1.3605457273599999</v>
      </c>
      <c r="Q42" s="356">
        <f si="0" t="shared"/>
        <v>-1.3605457273599999</v>
      </c>
    </row>
    <row r="43" spans="2:17" x14ac:dyDescent="0.25">
      <c r="B43" s="350">
        <f>B33</f>
        <v>21</v>
      </c>
      <c r="C43" s="301" t="s">
        <v>46</v>
      </c>
      <c r="D43" s="359">
        <f>D23+D33</f>
        <v>-12.0946718381</v>
      </c>
      <c r="M43" s="295" t="str">
        <f>VLOOKUP(N43,Coeff_Descr!$A:$D,3,FALSE)</f>
        <v>SHOP</v>
      </c>
      <c r="N43" s="295">
        <f>OtherTourDestination!B51</f>
        <v>41</v>
      </c>
      <c r="O43" s="295" t="str">
        <f>OtherTourDestination!C51</f>
        <v>Beta00041</v>
      </c>
      <c r="P43" s="295">
        <f>OtherTourDestination!E51</f>
        <v>-0.22141031751900001</v>
      </c>
      <c r="Q43" s="356">
        <f si="0" t="shared"/>
        <v>-0.22141031751900001</v>
      </c>
    </row>
    <row r="44" spans="2:17" x14ac:dyDescent="0.25">
      <c r="B44" s="350">
        <f ref="B44:B45" si="8" t="shared">B34</f>
        <v>22</v>
      </c>
      <c r="C44" s="304" t="s">
        <v>49</v>
      </c>
      <c r="D44" s="359">
        <f ref="D44:D45" si="9" t="shared">D24+D34</f>
        <v>-4.03623745316</v>
      </c>
      <c r="M44" s="295" t="str">
        <f>VLOOKUP(N44,Coeff_Descr!$A:$D,3,FALSE)</f>
        <v>SHOP</v>
      </c>
      <c r="N44" s="295">
        <f>OtherTourDestination!B52</f>
        <v>42</v>
      </c>
      <c r="O44" s="295" t="str">
        <f>OtherTourDestination!C52</f>
        <v>Beta00042</v>
      </c>
      <c r="P44" s="295">
        <f>OtherTourDestination!E52</f>
        <v>0.64228876129599999</v>
      </c>
      <c r="Q44" s="356">
        <f si="0" t="shared"/>
        <v>0.64228876129599999</v>
      </c>
    </row>
    <row r="45" spans="2:17" x14ac:dyDescent="0.25">
      <c r="B45" s="350">
        <f si="8" t="shared"/>
        <v>23</v>
      </c>
      <c r="C45" s="304" t="s">
        <v>52</v>
      </c>
      <c r="D45" s="359">
        <f si="9" t="shared"/>
        <v>-2.4909244478097676</v>
      </c>
      <c r="M45" s="295" t="str">
        <f>VLOOKUP(N45,Coeff_Descr!$A:$D,3,FALSE)</f>
        <v>MEAL</v>
      </c>
      <c r="N45" s="295">
        <f>OtherTourDestination!B53</f>
        <v>43</v>
      </c>
      <c r="O45" s="295" t="str">
        <f>OtherTourDestination!C53</f>
        <v>Beta00043</v>
      </c>
      <c r="P45" s="295">
        <f>OtherTourDestination!E53</f>
        <v>0.74588429254199995</v>
      </c>
      <c r="Q45" s="356">
        <f si="0" t="shared"/>
        <v>0.74588429254199995</v>
      </c>
    </row>
    <row ht="15.75" r="46" spans="2:17" thickBot="1" x14ac:dyDescent="0.3">
      <c r="B46" s="353"/>
      <c r="C46" s="324"/>
      <c r="D46" s="360"/>
      <c r="M46" s="295" t="str">
        <f>VLOOKUP(N46,Coeff_Descr!$A:$D,3,FALSE)</f>
        <v>MEAL</v>
      </c>
      <c r="N46" s="295">
        <f>OtherTourDestination!B54</f>
        <v>44</v>
      </c>
      <c r="O46" s="295" t="str">
        <f>OtherTourDestination!C54</f>
        <v>Beta00044</v>
      </c>
      <c r="P46" s="295">
        <f>OtherTourDestination!E54</f>
        <v>-32.156094092099998</v>
      </c>
      <c r="Q46" s="356">
        <f si="0" t="shared"/>
        <v>-32.156094092099998</v>
      </c>
    </row>
    <row ht="15.75" r="47" spans="2:17" thickTop="1" x14ac:dyDescent="0.25">
      <c r="M47" s="295" t="str">
        <f>VLOOKUP(N47,Coeff_Descr!$A:$D,3,FALSE)</f>
        <v>MEAL</v>
      </c>
      <c r="N47" s="295">
        <f>OtherTourDestination!B55</f>
        <v>45</v>
      </c>
      <c r="O47" s="295" t="str">
        <f>OtherTourDestination!C55</f>
        <v>Beta00045</v>
      </c>
      <c r="P47" s="295">
        <f>OtherTourDestination!E55</f>
        <v>-7.5551873767200002</v>
      </c>
      <c r="Q47" s="356">
        <f si="0" t="shared"/>
        <v>-7.5551873767200002</v>
      </c>
    </row>
    <row r="48" spans="2:17" x14ac:dyDescent="0.25">
      <c r="M48" s="295" t="str">
        <f>VLOOKUP(N48,Coeff_Descr!$A:$D,3,FALSE)</f>
        <v>MEAL</v>
      </c>
      <c r="N48" s="295">
        <f>OtherTourDestination!B56</f>
        <v>46</v>
      </c>
      <c r="O48" s="295" t="str">
        <f>OtherTourDestination!C56</f>
        <v>Beta00046</v>
      </c>
      <c r="P48" s="295">
        <f>OtherTourDestination!E56</f>
        <v>-3.4784098231399998</v>
      </c>
      <c r="Q48" s="356">
        <f si="0" t="shared"/>
        <v>-3.4784098231399998</v>
      </c>
    </row>
    <row r="49" spans="13:17" x14ac:dyDescent="0.25">
      <c r="M49" s="295" t="str">
        <f>VLOOKUP(N49,Coeff_Descr!$A:$D,3,FALSE)</f>
        <v>MEAL</v>
      </c>
      <c r="N49" s="295">
        <f>OtherTourDestination!B57</f>
        <v>47</v>
      </c>
      <c r="O49" s="295" t="str">
        <f>OtherTourDestination!C57</f>
        <v>Beta00047</v>
      </c>
      <c r="P49" s="295">
        <f>OtherTourDestination!E57</f>
        <v>-0.79171784712299997</v>
      </c>
      <c r="Q49" s="356">
        <f si="0" t="shared"/>
        <v>-0.79171784712299997</v>
      </c>
    </row>
    <row r="50" spans="13:17" x14ac:dyDescent="0.25">
      <c r="M50" s="295" t="str">
        <f>VLOOKUP(N50,Coeff_Descr!$A:$D,3,FALSE)</f>
        <v>MEAL</v>
      </c>
      <c r="N50" s="295">
        <f>OtherTourDestination!B58</f>
        <v>48</v>
      </c>
      <c r="O50" s="295" t="str">
        <f>OtherTourDestination!C58</f>
        <v>Beta00048</v>
      </c>
      <c r="P50" s="295">
        <f>OtherTourDestination!E58</f>
        <v>0.65760260093900003</v>
      </c>
      <c r="Q50" s="356">
        <f si="0" t="shared"/>
        <v>0.65760260093900003</v>
      </c>
    </row>
    <row r="51" spans="13:17" x14ac:dyDescent="0.25">
      <c r="M51" s="295" t="str">
        <f>VLOOKUP(N51,Coeff_Descr!$A:$D,3,FALSE)</f>
        <v>SOCREC</v>
      </c>
      <c r="N51" s="295">
        <f>OtherTourDestination!B59</f>
        <v>49</v>
      </c>
      <c r="O51" s="295" t="str">
        <f>OtherTourDestination!C59</f>
        <v>Beta00049</v>
      </c>
      <c r="P51" s="295">
        <f>OtherTourDestination!E59</f>
        <v>0.201576719663</v>
      </c>
      <c r="Q51" s="356">
        <f si="0" t="shared"/>
        <v>0.201576719663</v>
      </c>
    </row>
    <row r="52" spans="13:17" x14ac:dyDescent="0.25">
      <c r="M52" s="295" t="str">
        <f>VLOOKUP(N52,Coeff_Descr!$A:$D,3,FALSE)</f>
        <v>SOCREC</v>
      </c>
      <c r="N52" s="295">
        <f>OtherTourDestination!B60</f>
        <v>50</v>
      </c>
      <c r="O52" s="295" t="str">
        <f>OtherTourDestination!C60</f>
        <v>Beta00050</v>
      </c>
      <c r="P52" s="295">
        <f>OtherTourDestination!E60</f>
        <v>-29.556856147209999</v>
      </c>
      <c r="Q52" s="356">
        <f si="0" t="shared"/>
        <v>-29.556856147209999</v>
      </c>
    </row>
    <row r="53" spans="13:17" x14ac:dyDescent="0.25">
      <c r="M53" s="295" t="str">
        <f>VLOOKUP(N53,Coeff_Descr!$A:$D,3,FALSE)</f>
        <v>SOCREC</v>
      </c>
      <c r="N53" s="295">
        <f>OtherTourDestination!B61</f>
        <v>51</v>
      </c>
      <c r="O53" s="295" t="str">
        <f>OtherTourDestination!C61</f>
        <v>Beta00051</v>
      </c>
      <c r="P53" s="295">
        <f>OtherTourDestination!E61</f>
        <v>-5.8091947247600002</v>
      </c>
      <c r="Q53" s="356">
        <f si="0" t="shared"/>
        <v>-5.8091947247600002</v>
      </c>
    </row>
    <row r="54" spans="13:17" x14ac:dyDescent="0.25">
      <c r="M54" s="295" t="str">
        <f>VLOOKUP(N54,Coeff_Descr!$A:$D,3,FALSE)</f>
        <v>SOCREC</v>
      </c>
      <c r="N54" s="295">
        <f>OtherTourDestination!B62</f>
        <v>52</v>
      </c>
      <c r="O54" s="295" t="str">
        <f>OtherTourDestination!C62</f>
        <v>Beta00052</v>
      </c>
      <c r="P54" s="295">
        <f>OtherTourDestination!E62</f>
        <v>-1.94064618888</v>
      </c>
      <c r="Q54" s="356">
        <f si="0" t="shared"/>
        <v>-1.94064618888</v>
      </c>
    </row>
    <row r="55" spans="13:17" x14ac:dyDescent="0.25">
      <c r="M55" s="295" t="str">
        <f>VLOOKUP(N55,Coeff_Descr!$A:$D,3,FALSE)</f>
        <v>SOCREC</v>
      </c>
      <c r="N55" s="295">
        <f>OtherTourDestination!B63</f>
        <v>53</v>
      </c>
      <c r="O55" s="295" t="str">
        <f>OtherTourDestination!C63</f>
        <v>Beta00053</v>
      </c>
      <c r="P55" s="295">
        <f>OtherTourDestination!E63</f>
        <v>-0.66321888748000002</v>
      </c>
      <c r="Q55" s="356">
        <f si="0" t="shared"/>
        <v>-0.66321888748000002</v>
      </c>
    </row>
    <row r="56" spans="13:17" x14ac:dyDescent="0.25">
      <c r="M56" s="295" t="str">
        <f>VLOOKUP(N56,Coeff_Descr!$A:$D,3,FALSE)</f>
        <v>SOCREC</v>
      </c>
      <c r="N56" s="295">
        <f>OtherTourDestination!B64</f>
        <v>54</v>
      </c>
      <c r="O56" s="295" t="str">
        <f>OtherTourDestination!C64</f>
        <v>Beta00054</v>
      </c>
      <c r="P56" s="295">
        <f>OtherTourDestination!E64</f>
        <v>0.20818008309700001</v>
      </c>
      <c r="Q56" s="356">
        <f si="0" t="shared"/>
        <v>0.20818008309700001</v>
      </c>
    </row>
    <row r="57" spans="13:17" x14ac:dyDescent="0.25">
      <c r="M57" s="295" t="str">
        <f>VLOOKUP(N57,Coeff_Descr!$A:$D,3,FALSE)</f>
        <v>SOCREC</v>
      </c>
      <c r="N57" s="295">
        <f>OtherTourDestination!B65</f>
        <v>55</v>
      </c>
      <c r="O57" s="295" t="str">
        <f>OtherTourDestination!C65</f>
        <v>Beta00055</v>
      </c>
      <c r="P57" s="295">
        <f>OtherTourDestination!E65</f>
        <v>0.42522231451499998</v>
      </c>
      <c r="Q57" s="356">
        <f si="0" t="shared"/>
        <v>0.42522231451499998</v>
      </c>
    </row>
    <row r="58" spans="13:17" x14ac:dyDescent="0.25">
      <c r="M58" s="295" t="str">
        <f>VLOOKUP(N58,Coeff_Descr!$A:$D,3,FALSE)</f>
        <v>SOCREC</v>
      </c>
      <c r="N58" s="295">
        <f>OtherTourDestination!B66</f>
        <v>56</v>
      </c>
      <c r="O58" s="295" t="str">
        <f>OtherTourDestination!C66</f>
        <v>Beta00056</v>
      </c>
      <c r="P58" s="295">
        <f>OtherTourDestination!E66</f>
        <v>-0.743588483327</v>
      </c>
      <c r="Q58" s="356">
        <f si="0" t="shared"/>
        <v>-0.743588483327</v>
      </c>
    </row>
    <row r="59" spans="13:17" x14ac:dyDescent="0.25">
      <c r="M59" s="295" t="str">
        <f>VLOOKUP(N59,Coeff_Descr!$A:$D,3,FALSE)</f>
        <v>SOCREC</v>
      </c>
      <c r="N59" s="295">
        <f>OtherTourDestination!B67</f>
        <v>57</v>
      </c>
      <c r="O59" s="295" t="str">
        <f>OtherTourDestination!C67</f>
        <v>Beta00057</v>
      </c>
      <c r="P59" s="295">
        <f>OtherTourDestination!E67</f>
        <v>6.2100000000000002E-2</v>
      </c>
      <c r="Q59" s="356">
        <f si="0" t="shared"/>
        <v>6.2100000000000002E-2</v>
      </c>
    </row>
    <row r="60" spans="13:17" x14ac:dyDescent="0.25">
      <c r="M60" s="295">
        <f>VLOOKUP(N60,Coeff_Descr!$A:$D,3,FALSE)</f>
        <v>0</v>
      </c>
      <c r="N60" s="295">
        <f>OtherTourDestination!B68</f>
        <v>118</v>
      </c>
      <c r="O60" s="295" t="str">
        <f>OtherTourDestination!C68</f>
        <v>Beta00118</v>
      </c>
      <c r="P60" s="295">
        <f>OtherTourDestination!E68</f>
        <v>-3</v>
      </c>
      <c r="Q60" s="356">
        <f si="0" t="shared"/>
        <v>-3</v>
      </c>
    </row>
    <row r="61" spans="13:17" x14ac:dyDescent="0.25">
      <c r="M61" s="295" t="str">
        <f>VLOOKUP(N61,Coeff_Descr!$A:$D,3,FALSE)</f>
        <v>ESCORT</v>
      </c>
      <c r="N61" s="295">
        <f>OtherTourDestination!B69</f>
        <v>70</v>
      </c>
      <c r="O61" s="295" t="str">
        <f>OtherTourDestination!C69</f>
        <v>LSM_0070</v>
      </c>
      <c r="P61" s="295">
        <f>OtherTourDestination!E69</f>
        <v>0.29394695214400002</v>
      </c>
      <c r="Q61" s="356">
        <f si="0" t="shared"/>
        <v>0.29394695214400002</v>
      </c>
    </row>
    <row r="62" spans="13:17" x14ac:dyDescent="0.25">
      <c r="M62" s="295" t="str">
        <f>VLOOKUP(N62,Coeff_Descr!$A:$D,3,FALSE)</f>
        <v>ESCORT</v>
      </c>
      <c r="N62" s="295">
        <f>OtherTourDestination!B70</f>
        <v>71</v>
      </c>
      <c r="O62" s="295" t="str">
        <f>OtherTourDestination!C70</f>
        <v>Gamma071</v>
      </c>
      <c r="P62" s="295">
        <f>OtherTourDestination!E70</f>
        <v>0</v>
      </c>
      <c r="Q62" s="356">
        <f si="0" t="shared"/>
        <v>0</v>
      </c>
    </row>
    <row r="63" spans="13:17" x14ac:dyDescent="0.25">
      <c r="M63" s="295" t="str">
        <f>VLOOKUP(N63,Coeff_Descr!$A:$D,3,FALSE)</f>
        <v>ESCORT</v>
      </c>
      <c r="N63" s="295">
        <f>OtherTourDestination!B71</f>
        <v>72</v>
      </c>
      <c r="O63" s="295" t="str">
        <f>OtherTourDestination!C71</f>
        <v>Gamma072</v>
      </c>
      <c r="P63" s="295">
        <f>OtherTourDestination!E71</f>
        <v>-6.2798471793299999</v>
      </c>
      <c r="Q63" s="356">
        <f si="0" t="shared"/>
        <v>-6.2798471793299999</v>
      </c>
    </row>
    <row r="64" spans="13:17" x14ac:dyDescent="0.25">
      <c r="M64" s="295" t="str">
        <f>VLOOKUP(N64,Coeff_Descr!$A:$D,3,FALSE)</f>
        <v>ESCORT</v>
      </c>
      <c r="N64" s="295">
        <f>OtherTourDestination!B72</f>
        <v>73</v>
      </c>
      <c r="O64" s="295" t="str">
        <f>OtherTourDestination!C72</f>
        <v>Gamma073</v>
      </c>
      <c r="P64" s="295">
        <f>OtherTourDestination!E72</f>
        <v>3.2962256518299999</v>
      </c>
      <c r="Q64" s="356">
        <f si="0" t="shared"/>
        <v>3.2962256518299999</v>
      </c>
    </row>
    <row r="65" spans="13:17" x14ac:dyDescent="0.25">
      <c r="M65" s="295" t="str">
        <f>VLOOKUP(N65,Coeff_Descr!$A:$D,3,FALSE)</f>
        <v>ESCORT</v>
      </c>
      <c r="N65" s="295">
        <f>OtherTourDestination!B73</f>
        <v>74</v>
      </c>
      <c r="O65" s="295" t="str">
        <f>OtherTourDestination!C73</f>
        <v>Gamma074</v>
      </c>
      <c r="P65" s="295">
        <f>OtherTourDestination!E73</f>
        <v>-5.4150639062700003</v>
      </c>
      <c r="Q65" s="356">
        <f si="0" t="shared"/>
        <v>-5.4150639062700003</v>
      </c>
    </row>
    <row r="66" spans="13:17" x14ac:dyDescent="0.25">
      <c r="M66" s="295" t="str">
        <f>VLOOKUP(N66,Coeff_Descr!$A:$D,3,FALSE)</f>
        <v>ESCORT</v>
      </c>
      <c r="N66" s="295">
        <f>OtherTourDestination!B74</f>
        <v>75</v>
      </c>
      <c r="O66" s="295" t="str">
        <f>OtherTourDestination!C74</f>
        <v>Gamma075</v>
      </c>
      <c r="P66" s="295">
        <f>OtherTourDestination!E74</f>
        <v>-5.94820877094</v>
      </c>
      <c r="Q66" s="356">
        <f si="0" t="shared"/>
        <v>-5.94820877094</v>
      </c>
    </row>
    <row r="67" spans="13:17" x14ac:dyDescent="0.25">
      <c r="M67" s="295" t="str">
        <f>VLOOKUP(N67,Coeff_Descr!$A:$D,3,FALSE)</f>
        <v>ESCORT</v>
      </c>
      <c r="N67" s="295">
        <f>OtherTourDestination!B75</f>
        <v>76</v>
      </c>
      <c r="O67" s="295" t="str">
        <f>OtherTourDestination!C75</f>
        <v>Gamma076</v>
      </c>
      <c r="P67" s="295">
        <f>OtherTourDestination!E75</f>
        <v>-4.8479831726300002</v>
      </c>
      <c r="Q67" s="356">
        <f si="0" t="shared"/>
        <v>-4.8479831726300002</v>
      </c>
    </row>
    <row r="68" spans="13:17" x14ac:dyDescent="0.25">
      <c r="M68" s="295" t="str">
        <f>VLOOKUP(N68,Coeff_Descr!$A:$D,3,FALSE)</f>
        <v>ESCORT</v>
      </c>
      <c r="N68" s="295">
        <f>OtherTourDestination!B76</f>
        <v>77</v>
      </c>
      <c r="O68" s="295" t="str">
        <f>OtherTourDestination!C76</f>
        <v>Gamma077</v>
      </c>
      <c r="P68" s="295">
        <f>OtherTourDestination!E76</f>
        <v>-5.4883496585599998</v>
      </c>
      <c r="Q68" s="356">
        <f si="0" t="shared"/>
        <v>-5.4883496585599998</v>
      </c>
    </row>
    <row r="69" spans="13:17" x14ac:dyDescent="0.25">
      <c r="M69" s="295" t="str">
        <f>VLOOKUP(N69,Coeff_Descr!$A:$D,3,FALSE)</f>
        <v>ESCORT</v>
      </c>
      <c r="N69" s="295">
        <f>OtherTourDestination!B77</f>
        <v>78</v>
      </c>
      <c r="O69" s="295" t="str">
        <f>OtherTourDestination!C77</f>
        <v>Gamma078</v>
      </c>
      <c r="P69" s="295">
        <f>OtherTourDestination!E77</f>
        <v>-6.9308352438999998</v>
      </c>
      <c r="Q69" s="356">
        <f ref="Q69:Q104" si="10" t="shared">_xlfn.IFNA(VLOOKUP(N69,$B$43:$D$46,3,FALSE),P69)</f>
        <v>-6.9308352438999998</v>
      </c>
    </row>
    <row r="70" spans="13:17" x14ac:dyDescent="0.25">
      <c r="M70" s="295" t="str">
        <f>VLOOKUP(N70,Coeff_Descr!$A:$D,3,FALSE)</f>
        <v>ESCORT</v>
      </c>
      <c r="N70" s="295">
        <f>OtherTourDestination!B78</f>
        <v>79</v>
      </c>
      <c r="O70" s="295" t="str">
        <f>OtherTourDestination!C78</f>
        <v>Gamma079</v>
      </c>
      <c r="P70" s="295">
        <f>OtherTourDestination!E78</f>
        <v>-22.404820174200001</v>
      </c>
      <c r="Q70" s="356">
        <f si="10" t="shared"/>
        <v>-22.404820174200001</v>
      </c>
    </row>
    <row r="71" spans="13:17" x14ac:dyDescent="0.25">
      <c r="M71" s="295" t="str">
        <f>VLOOKUP(N71,Coeff_Descr!$A:$D,3,FALSE)</f>
        <v>ESCORT</v>
      </c>
      <c r="N71" s="295">
        <f>OtherTourDestination!B79</f>
        <v>80</v>
      </c>
      <c r="O71" s="295" t="str">
        <f>OtherTourDestination!C79</f>
        <v>Gamma080</v>
      </c>
      <c r="P71" s="295">
        <f>OtherTourDestination!E79</f>
        <v>-2.8929233973800002</v>
      </c>
      <c r="Q71" s="356">
        <f si="10" t="shared"/>
        <v>-2.8929233973800002</v>
      </c>
    </row>
    <row r="72" spans="13:17" x14ac:dyDescent="0.25">
      <c r="M72" s="295" t="str">
        <f>VLOOKUP(N72,Coeff_Descr!$A:$D,3,FALSE)</f>
        <v>ESCORT</v>
      </c>
      <c r="N72" s="295">
        <f>OtherTourDestination!B80</f>
        <v>81</v>
      </c>
      <c r="O72" s="295" t="str">
        <f>OtherTourDestination!C80</f>
        <v>Gamma081</v>
      </c>
      <c r="P72" s="295">
        <f>OtherTourDestination!E80</f>
        <v>-2.5610724948299999</v>
      </c>
      <c r="Q72" s="356">
        <f si="10" t="shared"/>
        <v>-2.5610724948299999</v>
      </c>
    </row>
    <row r="73" spans="13:17" x14ac:dyDescent="0.25">
      <c r="M73" s="295" t="str">
        <f>VLOOKUP(N73,Coeff_Descr!$A:$D,3,FALSE)</f>
        <v>ESCORT</v>
      </c>
      <c r="N73" s="295">
        <f>OtherTourDestination!B81</f>
        <v>82</v>
      </c>
      <c r="O73" s="295" t="str">
        <f>OtherTourDestination!C81</f>
        <v>Gamma082</v>
      </c>
      <c r="P73" s="295">
        <f>OtherTourDestination!E81</f>
        <v>-6.7871010869299999</v>
      </c>
      <c r="Q73" s="356">
        <f si="10" t="shared"/>
        <v>-6.7871010869299999</v>
      </c>
    </row>
    <row r="74" spans="13:17" x14ac:dyDescent="0.25">
      <c r="M74" s="295" t="str">
        <f>VLOOKUP(N74,Coeff_Descr!$A:$D,3,FALSE)</f>
        <v>ESCORT</v>
      </c>
      <c r="N74" s="295">
        <f>OtherTourDestination!B82</f>
        <v>83</v>
      </c>
      <c r="O74" s="295" t="str">
        <f>OtherTourDestination!C82</f>
        <v>Gamma083</v>
      </c>
      <c r="P74" s="295">
        <f>OtherTourDestination!E82</f>
        <v>-7.1983706387300002</v>
      </c>
      <c r="Q74" s="356">
        <f si="10" t="shared"/>
        <v>-7.1983706387300002</v>
      </c>
    </row>
    <row r="75" spans="13:17" x14ac:dyDescent="0.25">
      <c r="M75" s="295" t="str">
        <f>VLOOKUP(N75,Coeff_Descr!$A:$D,3,FALSE)</f>
        <v>ESCORT</v>
      </c>
      <c r="N75" s="295">
        <f>OtherTourDestination!B83</f>
        <v>84</v>
      </c>
      <c r="O75" s="295" t="str">
        <f>OtherTourDestination!C83</f>
        <v>Gamma084</v>
      </c>
      <c r="P75" s="295">
        <f>OtherTourDestination!E83</f>
        <v>-6.5584328775399996</v>
      </c>
      <c r="Q75" s="356">
        <f si="10" t="shared"/>
        <v>-6.5584328775399996</v>
      </c>
    </row>
    <row r="76" spans="13:17" x14ac:dyDescent="0.25">
      <c r="M76" s="295" t="str">
        <f>VLOOKUP(N76,Coeff_Descr!$A:$D,3,FALSE)</f>
        <v>ESCORT</v>
      </c>
      <c r="N76" s="295">
        <f>OtherTourDestination!B84</f>
        <v>85</v>
      </c>
      <c r="O76" s="295" t="str">
        <f>OtherTourDestination!C84</f>
        <v>Gamma085</v>
      </c>
      <c r="P76" s="295">
        <f>OtherTourDestination!E84</f>
        <v>-7.3832576457999997</v>
      </c>
      <c r="Q76" s="356">
        <f si="10" t="shared"/>
        <v>-7.3832576457999997</v>
      </c>
    </row>
    <row r="77" spans="13:17" x14ac:dyDescent="0.25">
      <c r="M77" s="295" t="str">
        <f>VLOOKUP(N77,Coeff_Descr!$A:$D,3,FALSE)</f>
        <v>ESCORT</v>
      </c>
      <c r="N77" s="295">
        <f>OtherTourDestination!B85</f>
        <v>86</v>
      </c>
      <c r="O77" s="295" t="str">
        <f>OtherTourDestination!C85</f>
        <v>Gamma086</v>
      </c>
      <c r="P77" s="295">
        <f>OtherTourDestination!E85</f>
        <v>-8.5452246906399996</v>
      </c>
      <c r="Q77" s="356">
        <f si="10" t="shared"/>
        <v>-8.5452246906399996</v>
      </c>
    </row>
    <row r="78" spans="13:17" x14ac:dyDescent="0.25">
      <c r="M78" s="295" t="str">
        <f>VLOOKUP(N78,Coeff_Descr!$A:$D,3,FALSE)</f>
        <v>ESCORT</v>
      </c>
      <c r="N78" s="295">
        <f>OtherTourDestination!B86</f>
        <v>87</v>
      </c>
      <c r="O78" s="295" t="str">
        <f>OtherTourDestination!C86</f>
        <v>Gamma087</v>
      </c>
      <c r="P78" s="295">
        <f>OtherTourDestination!E86</f>
        <v>-24.633851965200002</v>
      </c>
      <c r="Q78" s="356">
        <f si="10" t="shared"/>
        <v>-24.633851965200002</v>
      </c>
    </row>
    <row r="79" spans="13:17" x14ac:dyDescent="0.25">
      <c r="M79" s="295" t="str">
        <f>VLOOKUP(N79,Coeff_Descr!$A:$D,3,FALSE)</f>
        <v>ESCORT</v>
      </c>
      <c r="N79" s="295">
        <f>OtherTourDestination!B87</f>
        <v>88</v>
      </c>
      <c r="O79" s="295" t="str">
        <f>OtherTourDestination!C87</f>
        <v>Gamma088</v>
      </c>
      <c r="P79" s="295">
        <f>OtherTourDestination!E87</f>
        <v>0</v>
      </c>
      <c r="Q79" s="356">
        <f si="10" t="shared"/>
        <v>0</v>
      </c>
    </row>
    <row r="80" spans="13:17" x14ac:dyDescent="0.25">
      <c r="M80" s="295" t="str">
        <f>VLOOKUP(N80,Coeff_Descr!$A:$D,3,FALSE)</f>
        <v>PERSBUS/MED</v>
      </c>
      <c r="N80" s="295">
        <f>OtherTourDestination!B88</f>
        <v>89</v>
      </c>
      <c r="O80" s="295" t="str">
        <f>OtherTourDestination!C88</f>
        <v>Gamma089</v>
      </c>
      <c r="P80" s="295">
        <f>OtherTourDestination!E88</f>
        <v>-0.55009338373399996</v>
      </c>
      <c r="Q80" s="356">
        <f si="10" t="shared"/>
        <v>-0.55009338373399996</v>
      </c>
    </row>
    <row r="81" spans="13:17" x14ac:dyDescent="0.25">
      <c r="M81" s="295" t="str">
        <f>VLOOKUP(N81,Coeff_Descr!$A:$D,3,FALSE)</f>
        <v>PERSBUS/MED</v>
      </c>
      <c r="N81" s="295">
        <f>OtherTourDestination!B89</f>
        <v>90</v>
      </c>
      <c r="O81" s="295" t="str">
        <f>OtherTourDestination!C89</f>
        <v>Gamma090</v>
      </c>
      <c r="P81" s="295">
        <f>OtherTourDestination!E89</f>
        <v>-9.9117567037699992</v>
      </c>
      <c r="Q81" s="356">
        <f si="10" t="shared"/>
        <v>-9.9117567037699992</v>
      </c>
    </row>
    <row r="82" spans="13:17" x14ac:dyDescent="0.25">
      <c r="M82" s="295" t="str">
        <f>VLOOKUP(N82,Coeff_Descr!$A:$D,3,FALSE)</f>
        <v>PERSBUS/MED</v>
      </c>
      <c r="N82" s="295">
        <f>OtherTourDestination!B90</f>
        <v>91</v>
      </c>
      <c r="O82" s="295" t="str">
        <f>OtherTourDestination!C90</f>
        <v>Gamma091</v>
      </c>
      <c r="P82" s="295">
        <f>OtherTourDestination!E90</f>
        <v>-9.3194311560499994</v>
      </c>
      <c r="Q82" s="356">
        <f si="10" t="shared"/>
        <v>-9.3194311560499994</v>
      </c>
    </row>
    <row r="83" spans="13:17" x14ac:dyDescent="0.25">
      <c r="M83" s="295" t="str">
        <f>VLOOKUP(N83,Coeff_Descr!$A:$D,3,FALSE)</f>
        <v>PERSBUS/MED</v>
      </c>
      <c r="N83" s="295">
        <f>OtherTourDestination!B91</f>
        <v>92</v>
      </c>
      <c r="O83" s="295" t="str">
        <f>OtherTourDestination!C91</f>
        <v>Gamma092</v>
      </c>
      <c r="P83" s="295">
        <f>OtherTourDestination!E91</f>
        <v>-0.20086270196799999</v>
      </c>
      <c r="Q83" s="356">
        <f si="10" t="shared"/>
        <v>-0.20086270196799999</v>
      </c>
    </row>
    <row r="84" spans="13:17" x14ac:dyDescent="0.25">
      <c r="M84" s="295" t="str">
        <f>VLOOKUP(N84,Coeff_Descr!$A:$D,3,FALSE)</f>
        <v>PERSBUS/MED</v>
      </c>
      <c r="N84" s="295">
        <f>OtherTourDestination!B92</f>
        <v>93</v>
      </c>
      <c r="O84" s="295" t="str">
        <f>OtherTourDestination!C92</f>
        <v>Gamma093</v>
      </c>
      <c r="P84" s="295">
        <f>OtherTourDestination!E92</f>
        <v>-2.1843835309699999</v>
      </c>
      <c r="Q84" s="356">
        <f si="10" t="shared"/>
        <v>-2.1843835309699999</v>
      </c>
    </row>
    <row r="85" spans="13:17" x14ac:dyDescent="0.25">
      <c r="M85" s="295" t="str">
        <f>VLOOKUP(N85,Coeff_Descr!$A:$D,3,FALSE)</f>
        <v>PERSBUS/MED</v>
      </c>
      <c r="N85" s="295">
        <f>OtherTourDestination!B93</f>
        <v>94</v>
      </c>
      <c r="O85" s="295" t="str">
        <f>OtherTourDestination!C93</f>
        <v>Gamma094</v>
      </c>
      <c r="P85" s="295">
        <f>OtherTourDestination!E93</f>
        <v>0</v>
      </c>
      <c r="Q85" s="356">
        <f si="10" t="shared"/>
        <v>0</v>
      </c>
    </row>
    <row r="86" spans="13:17" x14ac:dyDescent="0.25">
      <c r="M86" s="295" t="str">
        <f>VLOOKUP(N86,Coeff_Descr!$A:$D,3,FALSE)</f>
        <v>PERSBUS/MED</v>
      </c>
      <c r="N86" s="295">
        <f>OtherTourDestination!B94</f>
        <v>95</v>
      </c>
      <c r="O86" s="295" t="str">
        <f>OtherTourDestination!C94</f>
        <v>Gamma095</v>
      </c>
      <c r="P86" s="295">
        <f>OtherTourDestination!E94</f>
        <v>-9.9476357147400005</v>
      </c>
      <c r="Q86" s="356">
        <f si="10" t="shared"/>
        <v>-9.9476357147400005</v>
      </c>
    </row>
    <row r="87" spans="13:17" x14ac:dyDescent="0.25">
      <c r="M87" s="295" t="str">
        <f>VLOOKUP(N87,Coeff_Descr!$A:$D,3,FALSE)</f>
        <v>PERSBUS/MED</v>
      </c>
      <c r="N87" s="295">
        <f>OtherTourDestination!B95</f>
        <v>96</v>
      </c>
      <c r="O87" s="295" t="str">
        <f>OtherTourDestination!C95</f>
        <v>Gamma096</v>
      </c>
      <c r="P87" s="295">
        <f>OtherTourDestination!E95</f>
        <v>-12.800107987600001</v>
      </c>
      <c r="Q87" s="356">
        <f si="10" t="shared"/>
        <v>-12.800107987600001</v>
      </c>
    </row>
    <row r="88" spans="13:17" x14ac:dyDescent="0.25">
      <c r="M88" s="295" t="str">
        <f>VLOOKUP(N88,Coeff_Descr!$A:$D,3,FALSE)</f>
        <v>PERSBUS/MED</v>
      </c>
      <c r="N88" s="295">
        <f>OtherTourDestination!B96</f>
        <v>97</v>
      </c>
      <c r="O88" s="295" t="str">
        <f>OtherTourDestination!C96</f>
        <v>Gamma097</v>
      </c>
      <c r="P88" s="295">
        <f>OtherTourDestination!E96</f>
        <v>-30</v>
      </c>
      <c r="Q88" s="356">
        <f si="10" t="shared"/>
        <v>-30</v>
      </c>
    </row>
    <row r="89" spans="13:17" x14ac:dyDescent="0.25">
      <c r="M89" s="295" t="str">
        <f>VLOOKUP(N89,Coeff_Descr!$A:$D,3,FALSE)</f>
        <v>SHOP</v>
      </c>
      <c r="N89" s="295">
        <f>OtherTourDestination!B97</f>
        <v>98</v>
      </c>
      <c r="O89" s="295" t="str">
        <f>OtherTourDestination!C97</f>
        <v>Gamma098</v>
      </c>
      <c r="P89" s="295">
        <f>OtherTourDestination!E97</f>
        <v>-21.699928591700001</v>
      </c>
      <c r="Q89" s="356">
        <f si="10" t="shared"/>
        <v>-21.699928591700001</v>
      </c>
    </row>
    <row r="90" spans="13:17" x14ac:dyDescent="0.25">
      <c r="M90" s="295" t="str">
        <f>VLOOKUP(N90,Coeff_Descr!$A:$D,3,FALSE)</f>
        <v>SHOP</v>
      </c>
      <c r="N90" s="295">
        <f>OtherTourDestination!B98</f>
        <v>99</v>
      </c>
      <c r="O90" s="295" t="str">
        <f>OtherTourDestination!C98</f>
        <v>Gamma099</v>
      </c>
      <c r="P90" s="295">
        <f>OtherTourDestination!E98</f>
        <v>-17.700475093400001</v>
      </c>
      <c r="Q90" s="356">
        <f si="10" t="shared"/>
        <v>-17.700475093400001</v>
      </c>
    </row>
    <row r="91" spans="13:17" x14ac:dyDescent="0.25">
      <c r="M91" s="295" t="str">
        <f>VLOOKUP(N91,Coeff_Descr!$A:$D,3,FALSE)</f>
        <v>SHOP</v>
      </c>
      <c r="N91" s="295">
        <f>OtherTourDestination!B99</f>
        <v>100</v>
      </c>
      <c r="O91" s="295" t="str">
        <f>OtherTourDestination!C99</f>
        <v>Gamma100</v>
      </c>
      <c r="P91" s="295">
        <f>OtherTourDestination!E99</f>
        <v>-0.7</v>
      </c>
      <c r="Q91" s="356">
        <f si="10" t="shared"/>
        <v>-0.7</v>
      </c>
    </row>
    <row r="92" spans="13:17" x14ac:dyDescent="0.25">
      <c r="M92" s="295" t="str">
        <f>VLOOKUP(N92,Coeff_Descr!$A:$D,3,FALSE)</f>
        <v>SHOP</v>
      </c>
      <c r="N92" s="295">
        <f>OtherTourDestination!B100</f>
        <v>101</v>
      </c>
      <c r="O92" s="295" t="str">
        <f>OtherTourDestination!C100</f>
        <v>Gamma101</v>
      </c>
      <c r="P92" s="295">
        <f>OtherTourDestination!E100</f>
        <v>-17.8758745875</v>
      </c>
      <c r="Q92" s="356">
        <f si="10" t="shared"/>
        <v>-17.8758745875</v>
      </c>
    </row>
    <row r="93" spans="13:17" x14ac:dyDescent="0.25">
      <c r="M93" s="295" t="str">
        <f>VLOOKUP(N93,Coeff_Descr!$A:$D,3,FALSE)</f>
        <v>MEAL</v>
      </c>
      <c r="N93" s="295">
        <f>OtherTourDestination!B101</f>
        <v>102</v>
      </c>
      <c r="O93" s="295" t="str">
        <f>OtherTourDestination!C101</f>
        <v>Gamma102</v>
      </c>
      <c r="P93" s="295">
        <f>OtherTourDestination!E101</f>
        <v>0</v>
      </c>
      <c r="Q93" s="356">
        <f si="10" t="shared"/>
        <v>0</v>
      </c>
    </row>
    <row r="94" spans="13:17" x14ac:dyDescent="0.25">
      <c r="M94" s="295" t="str">
        <f>VLOOKUP(N94,Coeff_Descr!$A:$D,3,FALSE)</f>
        <v>MEAL</v>
      </c>
      <c r="N94" s="295">
        <f>OtherTourDestination!B102</f>
        <v>103</v>
      </c>
      <c r="O94" s="295" t="str">
        <f>OtherTourDestination!C102</f>
        <v>Gamma103</v>
      </c>
      <c r="P94" s="295">
        <f>OtherTourDestination!E102</f>
        <v>5</v>
      </c>
      <c r="Q94" s="356">
        <f si="10" t="shared"/>
        <v>5</v>
      </c>
    </row>
    <row r="95" spans="13:17" x14ac:dyDescent="0.25">
      <c r="M95" s="295" t="str">
        <f>VLOOKUP(N95,Coeff_Descr!$A:$D,3,FALSE)</f>
        <v>MEAL</v>
      </c>
      <c r="N95" s="295">
        <f>OtherTourDestination!B103</f>
        <v>104</v>
      </c>
      <c r="O95" s="295" t="str">
        <f>OtherTourDestination!C103</f>
        <v>Gamma104</v>
      </c>
      <c r="P95" s="295">
        <f>OtherTourDestination!E103</f>
        <v>-30</v>
      </c>
      <c r="Q95" s="356">
        <f si="10" t="shared"/>
        <v>-30</v>
      </c>
    </row>
    <row r="96" spans="13:17" x14ac:dyDescent="0.25">
      <c r="M96" s="295" t="str">
        <f>VLOOKUP(N96,Coeff_Descr!$A:$D,3,FALSE)</f>
        <v>MEAL</v>
      </c>
      <c r="N96" s="295">
        <f>OtherTourDestination!B104</f>
        <v>105</v>
      </c>
      <c r="O96" s="295" t="str">
        <f>OtherTourDestination!C104</f>
        <v>Gamma105</v>
      </c>
      <c r="P96" s="295">
        <f>OtherTourDestination!E104</f>
        <v>-24.158093970700001</v>
      </c>
      <c r="Q96" s="356">
        <f si="10" t="shared"/>
        <v>-24.158093970700001</v>
      </c>
    </row>
    <row r="97" spans="13:17" x14ac:dyDescent="0.25">
      <c r="M97" s="295" t="str">
        <f>VLOOKUP(N97,Coeff_Descr!$A:$D,3,FALSE)</f>
        <v>SOCREC</v>
      </c>
      <c r="N97" s="295">
        <f>OtherTourDestination!B105</f>
        <v>106</v>
      </c>
      <c r="O97" s="295" t="str">
        <f>OtherTourDestination!C105</f>
        <v>Gamma106</v>
      </c>
      <c r="P97" s="295">
        <f>OtherTourDestination!E105</f>
        <v>-9.5803170794600003</v>
      </c>
      <c r="Q97" s="356">
        <f si="10" t="shared"/>
        <v>-9.5803170794600003</v>
      </c>
    </row>
    <row r="98" spans="13:17" x14ac:dyDescent="0.25">
      <c r="M98" s="295" t="str">
        <f>VLOOKUP(N98,Coeff_Descr!$A:$D,3,FALSE)</f>
        <v>SOCREC</v>
      </c>
      <c r="N98" s="295">
        <f>OtherTourDestination!B106</f>
        <v>107</v>
      </c>
      <c r="O98" s="295" t="str">
        <f>OtherTourDestination!C106</f>
        <v>Gamma107</v>
      </c>
      <c r="P98" s="295">
        <f>OtherTourDestination!E106</f>
        <v>0</v>
      </c>
      <c r="Q98" s="356">
        <f si="10" t="shared"/>
        <v>0</v>
      </c>
    </row>
    <row r="99" spans="13:17" x14ac:dyDescent="0.25">
      <c r="M99" s="295" t="str">
        <f>VLOOKUP(N99,Coeff_Descr!$A:$D,3,FALSE)</f>
        <v>SOCREC</v>
      </c>
      <c r="N99" s="295">
        <f>OtherTourDestination!B107</f>
        <v>108</v>
      </c>
      <c r="O99" s="295" t="str">
        <f>OtherTourDestination!C107</f>
        <v>Gamma108</v>
      </c>
      <c r="P99" s="295">
        <f>OtherTourDestination!E107</f>
        <v>-15.671349338700001</v>
      </c>
      <c r="Q99" s="356">
        <f si="10" t="shared"/>
        <v>-15.671349338700001</v>
      </c>
    </row>
    <row r="100" spans="13:17" x14ac:dyDescent="0.25">
      <c r="M100" s="295" t="str">
        <f>VLOOKUP(N100,Coeff_Descr!$A:$D,3,FALSE)</f>
        <v>SOCREC</v>
      </c>
      <c r="N100" s="295">
        <f>OtherTourDestination!B108</f>
        <v>109</v>
      </c>
      <c r="O100" s="295" t="str">
        <f>OtherTourDestination!C108</f>
        <v>Gamma109</v>
      </c>
      <c r="P100" s="295">
        <f>OtherTourDestination!E108</f>
        <v>-18.208541213899998</v>
      </c>
      <c r="Q100" s="356">
        <f si="10" t="shared"/>
        <v>-18.208541213899998</v>
      </c>
    </row>
    <row r="101" spans="13:17" x14ac:dyDescent="0.25">
      <c r="M101" s="295" t="str">
        <f>VLOOKUP(N101,Coeff_Descr!$A:$D,3,FALSE)</f>
        <v>SOCREC</v>
      </c>
      <c r="N101" s="295">
        <f>OtherTourDestination!B109</f>
        <v>110</v>
      </c>
      <c r="O101" s="295" t="str">
        <f>OtherTourDestination!C109</f>
        <v>Gamma110</v>
      </c>
      <c r="P101" s="295">
        <f>OtherTourDestination!E109</f>
        <v>-11.2471450075</v>
      </c>
      <c r="Q101" s="356">
        <f si="10" t="shared"/>
        <v>-11.2471450075</v>
      </c>
    </row>
    <row r="102" spans="13:17" x14ac:dyDescent="0.25">
      <c r="M102" s="295" t="str">
        <f>VLOOKUP(N102,Coeff_Descr!$A:$D,3,FALSE)</f>
        <v>SOCREC</v>
      </c>
      <c r="N102" s="295">
        <f>OtherTourDestination!B110</f>
        <v>111</v>
      </c>
      <c r="O102" s="295" t="str">
        <f>OtherTourDestination!C110</f>
        <v>Gamma111</v>
      </c>
      <c r="P102" s="295">
        <f>OtherTourDestination!E110</f>
        <v>-10.0807778908</v>
      </c>
      <c r="Q102" s="356">
        <f si="10" t="shared"/>
        <v>-10.0807778908</v>
      </c>
    </row>
    <row r="103" spans="13:17" x14ac:dyDescent="0.25">
      <c r="M103" s="295" t="str">
        <f>VLOOKUP(N103,Coeff_Descr!$A:$D,3,FALSE)</f>
        <v>SOCREC</v>
      </c>
      <c r="N103" s="295">
        <f>OtherTourDestination!B111</f>
        <v>112</v>
      </c>
      <c r="O103" s="295" t="str">
        <f>OtherTourDestination!C111</f>
        <v>Gamma112</v>
      </c>
      <c r="P103" s="295">
        <f>OtherTourDestination!E111</f>
        <v>-5.6623999999999999</v>
      </c>
      <c r="Q103" s="356">
        <f si="10" t="shared"/>
        <v>-5.6623999999999999</v>
      </c>
    </row>
    <row r="104" spans="13:17" x14ac:dyDescent="0.25">
      <c r="M104" s="295" t="str">
        <f>VLOOKUP(N104,Coeff_Descr!$A:$D,3,FALSE)</f>
        <v>SOCREC</v>
      </c>
      <c r="N104" s="295">
        <f>OtherTourDestination!B112</f>
        <v>113</v>
      </c>
      <c r="O104" s="295" t="str">
        <f>OtherTourDestination!C112</f>
        <v>Gamma113</v>
      </c>
      <c r="P104" s="295">
        <f>OtherTourDestination!E112</f>
        <v>-12.0597581892</v>
      </c>
      <c r="Q104" s="356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baseType="lpstr" size="2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2017-07-14T02:42:41Z</dcterms:modified>
</cp:coreProperties>
</file>