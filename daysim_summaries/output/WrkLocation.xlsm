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-15" yWindow="-15" windowWidth="27060" windowHeight="11790" activeTab="5"/>
  </bookViews>
  <sheets>
    <sheet name="TLFD" sheetId="3" r:id="rId1"/>
    <sheet name="TDFD" sheetId="4" r:id="rId2"/>
    <sheet name="TDFD_Agg" sheetId="10" r:id="rId3"/>
    <sheet name="County_Flow" sheetId="1" r:id="rId4"/>
    <sheet name="WorkAtHome" sheetId="8" r:id="rId5"/>
    <sheet name="Documentation" sheetId="7" r:id="rId6"/>
    <sheet name="CoeffDef" sheetId="11" r:id="rId7"/>
    <sheet name="WorkLocationCoefficients" sheetId="13" r:id="rId8"/>
    <sheet name="calibration" sheetId="12" r:id="rId9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out1">TLFD!$B$11:$D$101</definedName>
    <definedName name="out10">County_Flow!$X$7:$AE$13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County_Flow!$B$7:$I$13</definedName>
    <definedName name="tot">WorkAtHome!$I$18:$K$23</definedName>
    <definedName name="Wrk_dist">TLFD!$H$11:$J$101</definedName>
    <definedName name="Wrk_time">TDFD!$H$11:$J$101</definedName>
  </definedNames>
  <calcPr calcId="171027"/>
</workbook>
</file>

<file path=xl/calcChain.xml><?xml version="1.0" encoding="utf-8"?>
<calcChain xmlns="http://schemas.openxmlformats.org/spreadsheetml/2006/main">
  <c r="J41" i="1" l="1"/>
  <c r="I33" i="1"/>
  <c r="H33" i="1"/>
  <c r="G33" i="1"/>
  <c r="F33" i="1"/>
  <c r="E33" i="1"/>
  <c r="D33" i="1"/>
  <c r="C33" i="1"/>
  <c r="B33" i="1"/>
  <c r="J27" i="1"/>
  <c r="I19" i="1"/>
  <c r="H19" i="1"/>
  <c r="G19" i="1"/>
  <c r="F19" i="1"/>
  <c r="E19" i="1"/>
  <c r="D19" i="1"/>
  <c r="C19" i="1"/>
  <c r="B19" i="1"/>
  <c r="B29" i="8" l="1"/>
  <c r="B7" i="12" l="1"/>
  <c r="V4" i="12" l="1"/>
  <c r="W4" i="12" s="1"/>
  <c r="V5" i="12"/>
  <c r="W5" i="12" s="1"/>
  <c r="V6" i="12"/>
  <c r="W6" i="12" s="1"/>
  <c r="V7" i="12"/>
  <c r="W7" i="12" s="1"/>
  <c r="V8" i="12"/>
  <c r="N14" i="12" s="1"/>
  <c r="V9" i="12"/>
  <c r="N15" i="12" s="1"/>
  <c r="V10" i="12"/>
  <c r="N16" i="12" s="1"/>
  <c r="V11" i="12"/>
  <c r="W11" i="12" s="1"/>
  <c r="V12" i="12"/>
  <c r="W12" i="12" s="1"/>
  <c r="V13" i="12"/>
  <c r="W13" i="12" s="1"/>
  <c r="V14" i="12"/>
  <c r="W14" i="12" s="1"/>
  <c r="V15" i="12"/>
  <c r="W15" i="12" s="1"/>
  <c r="V16" i="12"/>
  <c r="W16" i="12" s="1"/>
  <c r="V17" i="12"/>
  <c r="W17" i="12" s="1"/>
  <c r="V18" i="12"/>
  <c r="W18" i="12" s="1"/>
  <c r="V19" i="12"/>
  <c r="W19" i="12" s="1"/>
  <c r="V20" i="12"/>
  <c r="W20" i="12" s="1"/>
  <c r="V21" i="12"/>
  <c r="W21" i="12" s="1"/>
  <c r="V22" i="12"/>
  <c r="W22" i="12" s="1"/>
  <c r="V23" i="12"/>
  <c r="W23" i="12" s="1"/>
  <c r="V24" i="12"/>
  <c r="W24" i="12" s="1"/>
  <c r="V25" i="12"/>
  <c r="W25" i="12" s="1"/>
  <c r="V26" i="12"/>
  <c r="W26" i="12" s="1"/>
  <c r="V27" i="12"/>
  <c r="W27" i="12" s="1"/>
  <c r="V28" i="12"/>
  <c r="W28" i="12" s="1"/>
  <c r="V29" i="12"/>
  <c r="W29" i="12" s="1"/>
  <c r="V30" i="12"/>
  <c r="W30" i="12" s="1"/>
  <c r="V31" i="12"/>
  <c r="W31" i="12" s="1"/>
  <c r="V32" i="12"/>
  <c r="W32" i="12" s="1"/>
  <c r="V33" i="12"/>
  <c r="W33" i="12" s="1"/>
  <c r="V34" i="12"/>
  <c r="W34" i="12" s="1"/>
  <c r="V35" i="12"/>
  <c r="W35" i="12" s="1"/>
  <c r="V36" i="12"/>
  <c r="W36" i="12" s="1"/>
  <c r="V37" i="12"/>
  <c r="W37" i="12" s="1"/>
  <c r="V38" i="12"/>
  <c r="W38" i="12" s="1"/>
  <c r="V39" i="12"/>
  <c r="N31" i="12" s="1"/>
  <c r="V40" i="12"/>
  <c r="W40" i="12" s="1"/>
  <c r="V41" i="12"/>
  <c r="W41" i="12" s="1"/>
  <c r="V42" i="12"/>
  <c r="W42" i="12" s="1"/>
  <c r="V43" i="12"/>
  <c r="W43" i="12" s="1"/>
  <c r="V44" i="12"/>
  <c r="W44" i="12" s="1"/>
  <c r="V45" i="12"/>
  <c r="W45" i="12" s="1"/>
  <c r="V46" i="12"/>
  <c r="W46" i="12" s="1"/>
  <c r="V47" i="12"/>
  <c r="W47" i="12" s="1"/>
  <c r="V48" i="12"/>
  <c r="W48" i="12" s="1"/>
  <c r="V49" i="12"/>
  <c r="W49" i="12" s="1"/>
  <c r="V50" i="12"/>
  <c r="W50" i="12" s="1"/>
  <c r="V51" i="12"/>
  <c r="W51" i="12" s="1"/>
  <c r="V52" i="12"/>
  <c r="W52" i="12" s="1"/>
  <c r="V53" i="12"/>
  <c r="W53" i="12" s="1"/>
  <c r="V54" i="12"/>
  <c r="W54" i="12" s="1"/>
  <c r="V55" i="12"/>
  <c r="W55" i="12" s="1"/>
  <c r="V56" i="12"/>
  <c r="W56" i="12" s="1"/>
  <c r="V57" i="12"/>
  <c r="W57" i="12" s="1"/>
  <c r="V58" i="12"/>
  <c r="W58" i="12" s="1"/>
  <c r="V59" i="12"/>
  <c r="W59" i="12" s="1"/>
  <c r="V60" i="12"/>
  <c r="W60" i="12" s="1"/>
  <c r="V61" i="12"/>
  <c r="W61" i="12" s="1"/>
  <c r="V62" i="12"/>
  <c r="W62" i="12" s="1"/>
  <c r="V63" i="12"/>
  <c r="W63" i="12" s="1"/>
  <c r="V64" i="12"/>
  <c r="W64" i="12" s="1"/>
  <c r="V65" i="12"/>
  <c r="W65" i="12" s="1"/>
  <c r="V66" i="12"/>
  <c r="W66" i="12" s="1"/>
  <c r="V67" i="12"/>
  <c r="W67" i="12" s="1"/>
  <c r="V68" i="12"/>
  <c r="W68" i="12" s="1"/>
  <c r="V69" i="12"/>
  <c r="W69" i="12" s="1"/>
  <c r="V70" i="12"/>
  <c r="W70" i="12" s="1"/>
  <c r="V71" i="12"/>
  <c r="W71" i="12" s="1"/>
  <c r="V72" i="12"/>
  <c r="W72" i="12" s="1"/>
  <c r="V73" i="12"/>
  <c r="W73" i="12" s="1"/>
  <c r="V74" i="12"/>
  <c r="W74" i="12" s="1"/>
  <c r="V75" i="12"/>
  <c r="W75" i="12" s="1"/>
  <c r="V3" i="12"/>
  <c r="W3" i="12" s="1"/>
  <c r="I7" i="12"/>
  <c r="J7" i="12"/>
  <c r="I8" i="12"/>
  <c r="J8" i="12"/>
  <c r="I9" i="12"/>
  <c r="J9" i="12"/>
  <c r="H9" i="12"/>
  <c r="H8" i="12"/>
  <c r="H7" i="12"/>
  <c r="C9" i="12"/>
  <c r="D9" i="12"/>
  <c r="B9" i="12"/>
  <c r="C8" i="12"/>
  <c r="D8" i="12"/>
  <c r="B8" i="12"/>
  <c r="D7" i="12"/>
  <c r="C7" i="12"/>
  <c r="J10" i="12" l="1"/>
  <c r="J14" i="12" s="1"/>
  <c r="I10" i="12"/>
  <c r="I14" i="12" s="1"/>
  <c r="C10" i="12"/>
  <c r="C14" i="12" s="1"/>
  <c r="B10" i="12"/>
  <c r="B15" i="12" s="1"/>
  <c r="H10" i="12"/>
  <c r="H16" i="12" s="1"/>
  <c r="J16" i="12"/>
  <c r="D10" i="12"/>
  <c r="D15" i="12" s="1"/>
  <c r="E8" i="12"/>
  <c r="E7" i="12"/>
  <c r="K7" i="12"/>
  <c r="K8" i="12"/>
  <c r="K9" i="12"/>
  <c r="E9" i="12"/>
  <c r="Y15" i="1"/>
  <c r="Z15" i="1"/>
  <c r="AA15" i="1"/>
  <c r="AB15" i="1"/>
  <c r="AC15" i="1"/>
  <c r="AD15" i="1"/>
  <c r="AE15" i="1"/>
  <c r="X15" i="1"/>
  <c r="AF8" i="1"/>
  <c r="AF9" i="1"/>
  <c r="AF10" i="1"/>
  <c r="AF11" i="1"/>
  <c r="AF12" i="1"/>
  <c r="AF13" i="1"/>
  <c r="AF14" i="1"/>
  <c r="AF7" i="1"/>
  <c r="J13" i="1"/>
  <c r="H15" i="1"/>
  <c r="N15" i="1"/>
  <c r="O15" i="1"/>
  <c r="P15" i="1"/>
  <c r="Q15" i="1"/>
  <c r="R15" i="1"/>
  <c r="S15" i="1"/>
  <c r="T15" i="1"/>
  <c r="M15" i="1"/>
  <c r="U8" i="1"/>
  <c r="U9" i="1"/>
  <c r="U10" i="1"/>
  <c r="U11" i="1"/>
  <c r="U12" i="1"/>
  <c r="U13" i="1"/>
  <c r="U14" i="1"/>
  <c r="U7" i="1"/>
  <c r="G26" i="1" l="1"/>
  <c r="F26" i="1"/>
  <c r="D26" i="1"/>
  <c r="C26" i="1"/>
  <c r="B26" i="1"/>
  <c r="I26" i="1"/>
  <c r="E26" i="1"/>
  <c r="H26" i="1"/>
  <c r="J15" i="12"/>
  <c r="J17" i="12" s="1"/>
  <c r="D14" i="12"/>
  <c r="E10" i="12"/>
  <c r="E14" i="12" s="1"/>
  <c r="I16" i="12"/>
  <c r="H15" i="12"/>
  <c r="O15" i="12" s="1"/>
  <c r="D16" i="12"/>
  <c r="C15" i="12"/>
  <c r="B16" i="12"/>
  <c r="O16" i="12" s="1"/>
  <c r="H14" i="12"/>
  <c r="H17" i="12" s="1"/>
  <c r="K10" i="12"/>
  <c r="K15" i="12" s="1"/>
  <c r="C16" i="12"/>
  <c r="B17" i="12"/>
  <c r="B14" i="12"/>
  <c r="O14" i="12" s="1"/>
  <c r="P14" i="12" s="1"/>
  <c r="Q14" i="12" s="1"/>
  <c r="W8" i="12" s="1"/>
  <c r="I15" i="12"/>
  <c r="I17" i="12" s="1"/>
  <c r="E16" i="12"/>
  <c r="K16" i="12"/>
  <c r="AF15" i="1"/>
  <c r="U15" i="1"/>
  <c r="S21" i="1"/>
  <c r="S22" i="1"/>
  <c r="S23" i="1"/>
  <c r="S24" i="1"/>
  <c r="S25" i="1"/>
  <c r="S26" i="1"/>
  <c r="S20" i="1"/>
  <c r="N26" i="1"/>
  <c r="O26" i="1"/>
  <c r="P26" i="1"/>
  <c r="Q26" i="1"/>
  <c r="R26" i="1"/>
  <c r="T26" i="1"/>
  <c r="M26" i="1"/>
  <c r="U26" i="1" s="1"/>
  <c r="L24" i="8"/>
  <c r="E24" i="8"/>
  <c r="L13" i="8"/>
  <c r="E13" i="8"/>
  <c r="J26" i="1" l="1"/>
  <c r="P15" i="12"/>
  <c r="Q15" i="12" s="1"/>
  <c r="W9" i="12" s="1"/>
  <c r="C17" i="12"/>
  <c r="K14" i="12"/>
  <c r="K17" i="12" s="1"/>
  <c r="E15" i="12"/>
  <c r="E17" i="12" s="1"/>
  <c r="D17" i="12"/>
  <c r="P16" i="12"/>
  <c r="Q16" i="12" s="1"/>
  <c r="W10" i="12" s="1"/>
  <c r="S13" i="8"/>
  <c r="S28" i="1"/>
  <c r="W54" i="1"/>
  <c r="W40" i="1"/>
  <c r="L40" i="1"/>
  <c r="L26" i="1"/>
  <c r="W13" i="1"/>
  <c r="AD47" i="1"/>
  <c r="AD33" i="1"/>
  <c r="AD6" i="1"/>
  <c r="S33" i="1"/>
  <c r="S19" i="1"/>
  <c r="S6" i="1"/>
  <c r="H6" i="1"/>
  <c r="L13" i="1"/>
  <c r="V35" i="8"/>
  <c r="O35" i="8"/>
  <c r="H35" i="8"/>
  <c r="A35" i="8"/>
  <c r="A24" i="8"/>
  <c r="H24" i="8"/>
  <c r="O24" i="8"/>
  <c r="V24" i="8"/>
  <c r="V13" i="8"/>
  <c r="O13" i="8"/>
  <c r="H13" i="8"/>
  <c r="X25" i="8" l="1"/>
  <c r="Y25" i="8"/>
  <c r="Z25" i="8"/>
  <c r="W25" i="8"/>
  <c r="X14" i="8"/>
  <c r="X36" i="8" s="1"/>
  <c r="Y14" i="8"/>
  <c r="Y36" i="8" s="1"/>
  <c r="Z14" i="8"/>
  <c r="Z36" i="8" s="1"/>
  <c r="W14" i="8"/>
  <c r="W36" i="8" s="1"/>
  <c r="J25" i="8"/>
  <c r="K25" i="8"/>
  <c r="I25" i="8"/>
  <c r="C25" i="8"/>
  <c r="D25" i="8"/>
  <c r="B25" i="8"/>
  <c r="C14" i="8"/>
  <c r="C36" i="8" s="1"/>
  <c r="D14" i="8"/>
  <c r="D36" i="8" s="1"/>
  <c r="B14" i="8"/>
  <c r="J14" i="8"/>
  <c r="J36" i="8" s="1"/>
  <c r="K14" i="8"/>
  <c r="K36" i="8" s="1"/>
  <c r="R36" i="8" s="1"/>
  <c r="I14" i="8"/>
  <c r="I36" i="8" s="1"/>
  <c r="Q36" i="8" l="1"/>
  <c r="B36" i="8"/>
  <c r="P36" i="8" s="1"/>
  <c r="R25" i="8"/>
  <c r="P25" i="8"/>
  <c r="Q25" i="8"/>
  <c r="P14" i="8"/>
  <c r="R14" i="8"/>
  <c r="Q14" i="8"/>
  <c r="M19" i="1"/>
  <c r="N19" i="1"/>
  <c r="O19" i="1"/>
  <c r="P19" i="1"/>
  <c r="Q19" i="1"/>
  <c r="R19" i="1"/>
  <c r="T19" i="1"/>
  <c r="L20" i="1"/>
  <c r="M20" i="1"/>
  <c r="N20" i="1"/>
  <c r="O20" i="1"/>
  <c r="P20" i="1"/>
  <c r="Q20" i="1"/>
  <c r="R20" i="1"/>
  <c r="T20" i="1"/>
  <c r="L21" i="1"/>
  <c r="M21" i="1"/>
  <c r="N21" i="1"/>
  <c r="O21" i="1"/>
  <c r="P21" i="1"/>
  <c r="Q21" i="1"/>
  <c r="R21" i="1"/>
  <c r="T21" i="1"/>
  <c r="L22" i="1"/>
  <c r="M22" i="1"/>
  <c r="N22" i="1"/>
  <c r="O22" i="1"/>
  <c r="P22" i="1"/>
  <c r="Q22" i="1"/>
  <c r="R22" i="1"/>
  <c r="T22" i="1"/>
  <c r="L23" i="1"/>
  <c r="M23" i="1"/>
  <c r="N23" i="1"/>
  <c r="O23" i="1"/>
  <c r="P23" i="1"/>
  <c r="Q23" i="1"/>
  <c r="R23" i="1"/>
  <c r="T23" i="1"/>
  <c r="L24" i="1"/>
  <c r="M24" i="1"/>
  <c r="N24" i="1"/>
  <c r="O24" i="1"/>
  <c r="P24" i="1"/>
  <c r="Q24" i="1"/>
  <c r="R24" i="1"/>
  <c r="T24" i="1"/>
  <c r="L25" i="1"/>
  <c r="M25" i="1"/>
  <c r="N25" i="1"/>
  <c r="O25" i="1"/>
  <c r="P25" i="1"/>
  <c r="Q25" i="1"/>
  <c r="R25" i="1"/>
  <c r="T25" i="1"/>
  <c r="U23" i="1" l="1"/>
  <c r="U21" i="1"/>
  <c r="U25" i="1"/>
  <c r="U24" i="1"/>
  <c r="U22" i="1"/>
  <c r="U20" i="1"/>
  <c r="V34" i="8" l="1"/>
  <c r="V33" i="8"/>
  <c r="V32" i="8"/>
  <c r="V31" i="8"/>
  <c r="V30" i="8"/>
  <c r="V29" i="8"/>
  <c r="O34" i="8"/>
  <c r="O33" i="8"/>
  <c r="O32" i="8"/>
  <c r="O31" i="8"/>
  <c r="O30" i="8"/>
  <c r="O29" i="8"/>
  <c r="H34" i="8"/>
  <c r="H33" i="8"/>
  <c r="H32" i="8"/>
  <c r="H31" i="8"/>
  <c r="H30" i="8"/>
  <c r="H29" i="8"/>
  <c r="A34" i="8"/>
  <c r="A33" i="8"/>
  <c r="A32" i="8"/>
  <c r="A31" i="8"/>
  <c r="A30" i="8"/>
  <c r="A29" i="8"/>
  <c r="V23" i="8"/>
  <c r="V22" i="8"/>
  <c r="V21" i="8"/>
  <c r="V20" i="8"/>
  <c r="V19" i="8"/>
  <c r="V18" i="8"/>
  <c r="O23" i="8"/>
  <c r="O22" i="8"/>
  <c r="O21" i="8"/>
  <c r="O20" i="8"/>
  <c r="O19" i="8"/>
  <c r="O18" i="8"/>
  <c r="H23" i="8"/>
  <c r="H22" i="8"/>
  <c r="H21" i="8"/>
  <c r="H20" i="8"/>
  <c r="H19" i="8"/>
  <c r="H18" i="8"/>
  <c r="A23" i="8"/>
  <c r="A22" i="8"/>
  <c r="A21" i="8"/>
  <c r="A20" i="8"/>
  <c r="A19" i="8"/>
  <c r="A18" i="8"/>
  <c r="V12" i="8"/>
  <c r="V11" i="8"/>
  <c r="V10" i="8"/>
  <c r="V9" i="8"/>
  <c r="V8" i="8"/>
  <c r="V7" i="8"/>
  <c r="O12" i="8"/>
  <c r="O11" i="8"/>
  <c r="O10" i="8"/>
  <c r="O9" i="8"/>
  <c r="O8" i="8"/>
  <c r="O7" i="8"/>
  <c r="H12" i="8"/>
  <c r="H11" i="8"/>
  <c r="H10" i="8"/>
  <c r="H9" i="8"/>
  <c r="H8" i="8"/>
  <c r="H7" i="8"/>
  <c r="AE47" i="1"/>
  <c r="AC47" i="1"/>
  <c r="AB47" i="1"/>
  <c r="AA47" i="1"/>
  <c r="Z47" i="1"/>
  <c r="Y47" i="1"/>
  <c r="X47" i="1"/>
  <c r="AE33" i="1"/>
  <c r="AC33" i="1"/>
  <c r="AB33" i="1"/>
  <c r="AA33" i="1"/>
  <c r="Z33" i="1"/>
  <c r="Y33" i="1"/>
  <c r="X33" i="1"/>
  <c r="T33" i="1"/>
  <c r="R33" i="1"/>
  <c r="Q33" i="1"/>
  <c r="P33" i="1"/>
  <c r="O33" i="1"/>
  <c r="N33" i="1"/>
  <c r="M33" i="1"/>
  <c r="AE6" i="1"/>
  <c r="AC6" i="1"/>
  <c r="AB6" i="1"/>
  <c r="AA6" i="1"/>
  <c r="Z6" i="1"/>
  <c r="Y6" i="1"/>
  <c r="X6" i="1"/>
  <c r="T6" i="1"/>
  <c r="R6" i="1"/>
  <c r="Q6" i="1"/>
  <c r="P6" i="1"/>
  <c r="O6" i="1"/>
  <c r="N6" i="1"/>
  <c r="M6" i="1"/>
  <c r="I6" i="1"/>
  <c r="G6" i="1"/>
  <c r="F6" i="1"/>
  <c r="E6" i="1"/>
  <c r="D6" i="1"/>
  <c r="C6" i="1"/>
  <c r="B6" i="1"/>
  <c r="W53" i="1"/>
  <c r="W52" i="1"/>
  <c r="W51" i="1"/>
  <c r="W50" i="1"/>
  <c r="W49" i="1"/>
  <c r="W48" i="1"/>
  <c r="W39" i="1"/>
  <c r="W38" i="1"/>
  <c r="W37" i="1"/>
  <c r="W36" i="1"/>
  <c r="W35" i="1"/>
  <c r="W34" i="1"/>
  <c r="L39" i="1"/>
  <c r="L38" i="1"/>
  <c r="L37" i="1"/>
  <c r="L36" i="1"/>
  <c r="L35" i="1"/>
  <c r="L34" i="1"/>
  <c r="W12" i="1"/>
  <c r="W11" i="1"/>
  <c r="W10" i="1"/>
  <c r="W9" i="1"/>
  <c r="W8" i="1"/>
  <c r="W7" i="1"/>
  <c r="L12" i="1"/>
  <c r="L11" i="1"/>
  <c r="L10" i="1"/>
  <c r="L9" i="1"/>
  <c r="L8" i="1"/>
  <c r="L7" i="1"/>
  <c r="E19" i="8" l="1"/>
  <c r="E20" i="8"/>
  <c r="E21" i="8"/>
  <c r="E22" i="8"/>
  <c r="E23" i="8"/>
  <c r="L20" i="8"/>
  <c r="L21" i="8"/>
  <c r="L22" i="8"/>
  <c r="L9" i="8"/>
  <c r="L10" i="8"/>
  <c r="L11" i="8"/>
  <c r="E8" i="8"/>
  <c r="E9" i="8"/>
  <c r="E10" i="8"/>
  <c r="E11" i="8"/>
  <c r="J9" i="1"/>
  <c r="J10" i="1"/>
  <c r="J11" i="1"/>
  <c r="E101" i="3"/>
  <c r="B22" i="1" l="1"/>
  <c r="H22" i="1"/>
  <c r="G22" i="1"/>
  <c r="F22" i="1"/>
  <c r="E22" i="1"/>
  <c r="D22" i="1"/>
  <c r="I22" i="1"/>
  <c r="C22" i="1"/>
  <c r="F23" i="1"/>
  <c r="I23" i="1"/>
  <c r="H23" i="1"/>
  <c r="G23" i="1"/>
  <c r="E23" i="1"/>
  <c r="D23" i="1"/>
  <c r="C23" i="1"/>
  <c r="B23" i="1"/>
  <c r="I24" i="1"/>
  <c r="H24" i="1"/>
  <c r="G24" i="1"/>
  <c r="F24" i="1"/>
  <c r="E24" i="1"/>
  <c r="D24" i="1"/>
  <c r="C24" i="1"/>
  <c r="B24" i="1"/>
  <c r="W31" i="8"/>
  <c r="X31" i="8"/>
  <c r="Y31" i="8"/>
  <c r="Z31" i="8"/>
  <c r="W32" i="8"/>
  <c r="X32" i="8"/>
  <c r="Y32" i="8"/>
  <c r="Z32" i="8"/>
  <c r="W33" i="8"/>
  <c r="X33" i="8"/>
  <c r="Y33" i="8"/>
  <c r="Z33" i="8"/>
  <c r="B31" i="8"/>
  <c r="C31" i="8"/>
  <c r="D31" i="8"/>
  <c r="E31" i="8"/>
  <c r="B32" i="8"/>
  <c r="C32" i="8"/>
  <c r="D32" i="8"/>
  <c r="E32" i="8"/>
  <c r="B33" i="8"/>
  <c r="C33" i="8"/>
  <c r="D33" i="8"/>
  <c r="E33" i="8"/>
  <c r="I31" i="8"/>
  <c r="J31" i="8"/>
  <c r="K31" i="8"/>
  <c r="L31" i="8"/>
  <c r="I32" i="8"/>
  <c r="J32" i="8"/>
  <c r="K32" i="8"/>
  <c r="L32" i="8"/>
  <c r="I33" i="8"/>
  <c r="J33" i="8"/>
  <c r="K33" i="8"/>
  <c r="L33" i="8"/>
  <c r="P20" i="8"/>
  <c r="Q20" i="8"/>
  <c r="R20" i="8"/>
  <c r="S20" i="8"/>
  <c r="P21" i="8"/>
  <c r="Q21" i="8"/>
  <c r="R21" i="8"/>
  <c r="S21" i="8"/>
  <c r="P22" i="8"/>
  <c r="Q22" i="8"/>
  <c r="R22" i="8"/>
  <c r="S22" i="8"/>
  <c r="P9" i="8"/>
  <c r="Q9" i="8"/>
  <c r="R9" i="8"/>
  <c r="S9" i="8"/>
  <c r="P10" i="8"/>
  <c r="Q10" i="8"/>
  <c r="R10" i="8"/>
  <c r="S10" i="8"/>
  <c r="P11" i="8"/>
  <c r="Q11" i="8"/>
  <c r="R11" i="8"/>
  <c r="S11" i="8"/>
  <c r="G15" i="1"/>
  <c r="F15" i="1"/>
  <c r="E15" i="1"/>
  <c r="J24" i="1" l="1"/>
  <c r="J23" i="1"/>
  <c r="R31" i="8"/>
  <c r="Q31" i="8"/>
  <c r="S31" i="8"/>
  <c r="J22" i="1"/>
  <c r="S32" i="8"/>
  <c r="R32" i="8"/>
  <c r="Q32" i="8"/>
  <c r="R33" i="8"/>
  <c r="P33" i="8"/>
  <c r="S33" i="8"/>
  <c r="P32" i="8"/>
  <c r="Q33" i="8"/>
  <c r="P31" i="8"/>
  <c r="P7" i="8"/>
  <c r="Q7" i="8"/>
  <c r="R7" i="8"/>
  <c r="P8" i="8"/>
  <c r="Q8" i="8"/>
  <c r="R8" i="8"/>
  <c r="P12" i="8"/>
  <c r="Q12" i="8"/>
  <c r="R12" i="8"/>
  <c r="E101" i="4" l="1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8" i="8"/>
  <c r="E12" i="8"/>
  <c r="E7" i="8"/>
  <c r="Z34" i="8"/>
  <c r="Y34" i="8"/>
  <c r="X34" i="8"/>
  <c r="W34" i="8"/>
  <c r="Z30" i="8"/>
  <c r="Y30" i="8"/>
  <c r="X30" i="8"/>
  <c r="W30" i="8"/>
  <c r="Z29" i="8"/>
  <c r="Y29" i="8"/>
  <c r="X29" i="8"/>
  <c r="W29" i="8"/>
  <c r="Y35" i="8" l="1"/>
  <c r="S27" i="1"/>
  <c r="X35" i="8"/>
  <c r="Z35" i="8"/>
  <c r="W35" i="8"/>
  <c r="E14" i="8"/>
  <c r="E25" i="8"/>
  <c r="B27" i="12" s="1"/>
  <c r="B32" i="12" s="1"/>
  <c r="P18" i="8"/>
  <c r="Q18" i="8"/>
  <c r="R18" i="8"/>
  <c r="P19" i="8"/>
  <c r="Q19" i="8"/>
  <c r="R19" i="8"/>
  <c r="P23" i="8"/>
  <c r="Q23" i="8"/>
  <c r="R23" i="8"/>
  <c r="J14" i="1"/>
  <c r="B26" i="12" l="1"/>
  <c r="E36" i="8"/>
  <c r="B31" i="12"/>
  <c r="P27" i="1"/>
  <c r="P28" i="1" s="1"/>
  <c r="R27" i="1"/>
  <c r="R28" i="1" s="1"/>
  <c r="M27" i="1"/>
  <c r="Q27" i="1"/>
  <c r="Q28" i="1" s="1"/>
  <c r="N27" i="1"/>
  <c r="N28" i="1" s="1"/>
  <c r="T27" i="1"/>
  <c r="T28" i="1" s="1"/>
  <c r="O27" i="1"/>
  <c r="O28" i="1" s="1"/>
  <c r="I15" i="1"/>
  <c r="D15" i="1"/>
  <c r="C15" i="1"/>
  <c r="B15" i="1"/>
  <c r="J12" i="1"/>
  <c r="J8" i="1"/>
  <c r="J7" i="1"/>
  <c r="G20" i="1" l="1"/>
  <c r="E20" i="1"/>
  <c r="D20" i="1"/>
  <c r="B20" i="1"/>
  <c r="I20" i="1"/>
  <c r="H20" i="1"/>
  <c r="F20" i="1"/>
  <c r="C20" i="1"/>
  <c r="B25" i="1"/>
  <c r="I25" i="1"/>
  <c r="H25" i="1"/>
  <c r="G25" i="1"/>
  <c r="F25" i="1"/>
  <c r="E25" i="1"/>
  <c r="D25" i="1"/>
  <c r="C25" i="1"/>
  <c r="I21" i="1"/>
  <c r="H21" i="1"/>
  <c r="G21" i="1"/>
  <c r="F21" i="1"/>
  <c r="E21" i="1"/>
  <c r="D21" i="1"/>
  <c r="C21" i="1"/>
  <c r="B21" i="1"/>
  <c r="U27" i="1"/>
  <c r="U28" i="1" s="1"/>
  <c r="M28" i="1"/>
  <c r="P24" i="8"/>
  <c r="J15" i="1"/>
  <c r="J21" i="1" l="1"/>
  <c r="B28" i="1"/>
  <c r="J25" i="1"/>
  <c r="H28" i="1"/>
  <c r="D28" i="1"/>
  <c r="J20" i="1"/>
  <c r="C28" i="1"/>
  <c r="E28" i="1"/>
  <c r="F28" i="1"/>
  <c r="I28" i="1"/>
  <c r="G28" i="1"/>
  <c r="S37" i="1"/>
  <c r="O40" i="1"/>
  <c r="Q40" i="1"/>
  <c r="Q41" i="1"/>
  <c r="M41" i="1"/>
  <c r="S38" i="1"/>
  <c r="P40" i="1"/>
  <c r="R40" i="1"/>
  <c r="T40" i="1"/>
  <c r="S39" i="1"/>
  <c r="S34" i="1"/>
  <c r="P41" i="1"/>
  <c r="T41" i="1"/>
  <c r="S40" i="1"/>
  <c r="O41" i="1"/>
  <c r="S41" i="1"/>
  <c r="N40" i="1"/>
  <c r="N41" i="1"/>
  <c r="R41" i="1"/>
  <c r="S36" i="1"/>
  <c r="S35" i="1"/>
  <c r="M40" i="1"/>
  <c r="L23" i="8"/>
  <c r="S23" i="8" s="1"/>
  <c r="L19" i="8"/>
  <c r="S19" i="8" s="1"/>
  <c r="L18" i="8"/>
  <c r="L8" i="8"/>
  <c r="S8" i="8" s="1"/>
  <c r="L12" i="8"/>
  <c r="S12" i="8" s="1"/>
  <c r="L7" i="8"/>
  <c r="K34" i="8"/>
  <c r="J34" i="8"/>
  <c r="I34" i="8"/>
  <c r="K30" i="8"/>
  <c r="J30" i="8"/>
  <c r="I30" i="8"/>
  <c r="K29" i="8"/>
  <c r="J29" i="8"/>
  <c r="I29" i="8"/>
  <c r="J28" i="1" l="1"/>
  <c r="S42" i="1"/>
  <c r="U40" i="1"/>
  <c r="S7" i="8"/>
  <c r="L14" i="8"/>
  <c r="S18" i="8"/>
  <c r="L25" i="8"/>
  <c r="S24" i="8"/>
  <c r="L29" i="8"/>
  <c r="J35" i="8"/>
  <c r="L30" i="8"/>
  <c r="K35" i="8"/>
  <c r="L34" i="8"/>
  <c r="I35" i="8"/>
  <c r="H40" i="1" l="1"/>
  <c r="C40" i="1"/>
  <c r="F40" i="1"/>
  <c r="G40" i="1"/>
  <c r="E40" i="1"/>
  <c r="I40" i="1"/>
  <c r="D40" i="1"/>
  <c r="B40" i="1"/>
  <c r="J40" i="1"/>
  <c r="E38" i="1"/>
  <c r="I38" i="1"/>
  <c r="F37" i="1"/>
  <c r="C36" i="1"/>
  <c r="B36" i="1"/>
  <c r="D37" i="1"/>
  <c r="G36" i="1"/>
  <c r="G38" i="1"/>
  <c r="H38" i="1"/>
  <c r="C38" i="1"/>
  <c r="D38" i="1"/>
  <c r="I36" i="1"/>
  <c r="I37" i="1"/>
  <c r="H36" i="1"/>
  <c r="C37" i="1"/>
  <c r="D36" i="1"/>
  <c r="F36" i="1"/>
  <c r="E37" i="1"/>
  <c r="F38" i="1"/>
  <c r="B37" i="1"/>
  <c r="G37" i="1"/>
  <c r="B38" i="1"/>
  <c r="E36" i="1"/>
  <c r="H37" i="1"/>
  <c r="J37" i="1"/>
  <c r="J36" i="1"/>
  <c r="J38" i="1"/>
  <c r="D35" i="1"/>
  <c r="H39" i="1"/>
  <c r="G39" i="1"/>
  <c r="B39" i="1"/>
  <c r="B35" i="1"/>
  <c r="E34" i="1"/>
  <c r="I39" i="1"/>
  <c r="G34" i="1"/>
  <c r="G42" i="1" s="1"/>
  <c r="H35" i="1"/>
  <c r="E35" i="1"/>
  <c r="E39" i="1"/>
  <c r="H34" i="1"/>
  <c r="H42" i="1" s="1"/>
  <c r="D39" i="1"/>
  <c r="C39" i="1"/>
  <c r="I35" i="1"/>
  <c r="F35" i="1"/>
  <c r="I34" i="1"/>
  <c r="F34" i="1"/>
  <c r="B34" i="1"/>
  <c r="C34" i="1"/>
  <c r="C35" i="1"/>
  <c r="G35" i="1"/>
  <c r="D34" i="1"/>
  <c r="F39" i="1"/>
  <c r="J35" i="1"/>
  <c r="J39" i="1"/>
  <c r="J34" i="1"/>
  <c r="J42" i="1" s="1"/>
  <c r="H26" i="12"/>
  <c r="L36" i="8"/>
  <c r="S36" i="8" s="1"/>
  <c r="S25" i="8"/>
  <c r="H27" i="12"/>
  <c r="H32" i="12" s="1"/>
  <c r="S14" i="8"/>
  <c r="L35" i="8"/>
  <c r="E42" i="1" l="1"/>
  <c r="D42" i="1"/>
  <c r="C42" i="1"/>
  <c r="B42" i="1"/>
  <c r="F42" i="1"/>
  <c r="I42" i="1"/>
  <c r="H31" i="12"/>
  <c r="O31" i="12" s="1"/>
  <c r="P31" i="12" s="1"/>
  <c r="Q31" i="12" s="1"/>
  <c r="W39" i="12" s="1"/>
  <c r="B11" i="10"/>
  <c r="O22" i="10"/>
  <c r="P22" i="10"/>
  <c r="N22" i="10"/>
  <c r="C22" i="10"/>
  <c r="D22" i="10"/>
  <c r="B22" i="10"/>
  <c r="O21" i="10"/>
  <c r="P21" i="10"/>
  <c r="N21" i="10"/>
  <c r="C21" i="10"/>
  <c r="D21" i="10"/>
  <c r="B21" i="10"/>
  <c r="O20" i="10"/>
  <c r="P20" i="10"/>
  <c r="N20" i="10"/>
  <c r="C20" i="10"/>
  <c r="D20" i="10"/>
  <c r="B20" i="10"/>
  <c r="O19" i="10"/>
  <c r="P19" i="10"/>
  <c r="N19" i="10"/>
  <c r="C19" i="10"/>
  <c r="D19" i="10"/>
  <c r="B19" i="10"/>
  <c r="O18" i="10"/>
  <c r="P18" i="10"/>
  <c r="N18" i="10"/>
  <c r="C18" i="10"/>
  <c r="D18" i="10"/>
  <c r="B18" i="10"/>
  <c r="O17" i="10"/>
  <c r="P17" i="10"/>
  <c r="N17" i="10"/>
  <c r="C17" i="10"/>
  <c r="D17" i="10"/>
  <c r="B17" i="10"/>
  <c r="O16" i="10"/>
  <c r="P16" i="10"/>
  <c r="N16" i="10"/>
  <c r="C16" i="10"/>
  <c r="D16" i="10"/>
  <c r="B16" i="10"/>
  <c r="O15" i="10"/>
  <c r="P15" i="10"/>
  <c r="N15" i="10"/>
  <c r="C15" i="10"/>
  <c r="D15" i="10"/>
  <c r="B15" i="10"/>
  <c r="O14" i="10"/>
  <c r="P14" i="10"/>
  <c r="N14" i="10"/>
  <c r="C14" i="10"/>
  <c r="D14" i="10"/>
  <c r="B14" i="10"/>
  <c r="O13" i="10"/>
  <c r="P13" i="10"/>
  <c r="N13" i="10"/>
  <c r="C13" i="10"/>
  <c r="D13" i="10"/>
  <c r="B13" i="10"/>
  <c r="O12" i="10"/>
  <c r="P12" i="10"/>
  <c r="N12" i="10"/>
  <c r="C12" i="10"/>
  <c r="D12" i="10"/>
  <c r="B12" i="10"/>
  <c r="O11" i="10"/>
  <c r="P11" i="10"/>
  <c r="N11" i="10"/>
  <c r="D11" i="10"/>
  <c r="C11" i="10"/>
  <c r="B30" i="8"/>
  <c r="P30" i="8" s="1"/>
  <c r="C30" i="8"/>
  <c r="Q30" i="8" s="1"/>
  <c r="D30" i="8"/>
  <c r="R30" i="8" s="1"/>
  <c r="B34" i="8"/>
  <c r="P34" i="8" s="1"/>
  <c r="C34" i="8"/>
  <c r="Q34" i="8" s="1"/>
  <c r="D34" i="8"/>
  <c r="R34" i="8" s="1"/>
  <c r="C29" i="8"/>
  <c r="Q29" i="8" s="1"/>
  <c r="D29" i="8"/>
  <c r="R29" i="8" s="1"/>
  <c r="P29" i="8"/>
  <c r="R24" i="8"/>
  <c r="Q24" i="8"/>
  <c r="R13" i="8"/>
  <c r="Q13" i="8"/>
  <c r="P13" i="8"/>
  <c r="K101" i="4"/>
  <c r="Q22" i="10" s="1"/>
  <c r="K95" i="4"/>
  <c r="K96" i="4"/>
  <c r="K97" i="4"/>
  <c r="K98" i="4"/>
  <c r="K99" i="4"/>
  <c r="K100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11" i="4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1" i="3"/>
  <c r="E29" i="8" l="1"/>
  <c r="S29" i="8" s="1"/>
  <c r="E30" i="8"/>
  <c r="S30" i="8" s="1"/>
  <c r="B35" i="8"/>
  <c r="P35" i="8" s="1"/>
  <c r="Q11" i="10"/>
  <c r="Q15" i="10"/>
  <c r="Q21" i="10"/>
  <c r="Q19" i="10"/>
  <c r="Q20" i="10"/>
  <c r="Q17" i="10"/>
  <c r="Q16" i="10"/>
  <c r="Q13" i="10"/>
  <c r="Q12" i="10"/>
  <c r="Q18" i="10"/>
  <c r="Q14" i="10"/>
  <c r="D35" i="8"/>
  <c r="R35" i="8" s="1"/>
  <c r="C35" i="8"/>
  <c r="Q35" i="8" s="1"/>
  <c r="E34" i="8"/>
  <c r="S34" i="8" s="1"/>
  <c r="E22" i="10"/>
  <c r="E21" i="10" l="1"/>
  <c r="E19" i="10"/>
  <c r="E15" i="10"/>
  <c r="E20" i="10"/>
  <c r="E16" i="10"/>
  <c r="E12" i="10"/>
  <c r="E11" i="10"/>
  <c r="E17" i="10"/>
  <c r="E13" i="10"/>
  <c r="E18" i="10"/>
  <c r="E14" i="10"/>
  <c r="E35" i="8"/>
  <c r="S35" i="8" s="1"/>
  <c r="AD40" i="1" l="1"/>
  <c r="AD54" i="1" s="1"/>
  <c r="AD39" i="1"/>
  <c r="AD53" i="1" s="1"/>
  <c r="AC40" i="1"/>
  <c r="AC54" i="1" s="1"/>
  <c r="AD41" i="1"/>
  <c r="AD55" i="1" s="1"/>
  <c r="AB40" i="1"/>
  <c r="AB54" i="1" s="1"/>
  <c r="AA40" i="1"/>
  <c r="AA54" i="1" s="1"/>
  <c r="AD36" i="1"/>
  <c r="AD50" i="1" s="1"/>
  <c r="Z40" i="1"/>
  <c r="Z54" i="1" s="1"/>
  <c r="AD34" i="1"/>
  <c r="AD48" i="1" s="1"/>
  <c r="AE40" i="1"/>
  <c r="AE54" i="1" s="1"/>
  <c r="AD38" i="1"/>
  <c r="AD52" i="1" s="1"/>
  <c r="AD37" i="1"/>
  <c r="AD51" i="1" s="1"/>
  <c r="AD35" i="1"/>
  <c r="AD49" i="1" s="1"/>
  <c r="X40" i="1"/>
  <c r="X54" i="1" s="1"/>
  <c r="Y40" i="1"/>
  <c r="Y54" i="1" s="1"/>
  <c r="Y37" i="1"/>
  <c r="Y51" i="1" s="1"/>
  <c r="Z34" i="1"/>
  <c r="Z48" i="1" s="1"/>
  <c r="AA34" i="1"/>
  <c r="AA48" i="1" s="1"/>
  <c r="Z37" i="1"/>
  <c r="Z51" i="1" s="1"/>
  <c r="X34" i="1"/>
  <c r="X48" i="1" s="1"/>
  <c r="AC38" i="1"/>
  <c r="AC52" i="1" s="1"/>
  <c r="X39" i="1"/>
  <c r="X53" i="1" s="1"/>
  <c r="AA37" i="1"/>
  <c r="AA51" i="1" s="1"/>
  <c r="AB37" i="1"/>
  <c r="AB51" i="1" s="1"/>
  <c r="AC37" i="1"/>
  <c r="AC51" i="1" s="1"/>
  <c r="Y38" i="1"/>
  <c r="Y52" i="1" s="1"/>
  <c r="AB38" i="1"/>
  <c r="AB52" i="1" s="1"/>
  <c r="Y39" i="1"/>
  <c r="Y53" i="1" s="1"/>
  <c r="AB34" i="1"/>
  <c r="AB48" i="1" s="1"/>
  <c r="X38" i="1"/>
  <c r="X52" i="1" s="1"/>
  <c r="Z38" i="1"/>
  <c r="Z52" i="1" s="1"/>
  <c r="AA38" i="1"/>
  <c r="AA52" i="1" s="1"/>
  <c r="X41" i="1"/>
  <c r="X55" i="1" s="1"/>
  <c r="AC35" i="1"/>
  <c r="AC49" i="1" s="1"/>
  <c r="AB36" i="1"/>
  <c r="AB50" i="1" s="1"/>
  <c r="AC34" i="1"/>
  <c r="AC48" i="1" s="1"/>
  <c r="AB35" i="1"/>
  <c r="AB49" i="1" s="1"/>
  <c r="X37" i="1"/>
  <c r="X51" i="1" s="1"/>
  <c r="Y35" i="1"/>
  <c r="Y49" i="1" s="1"/>
  <c r="Z39" i="1"/>
  <c r="Z53" i="1" s="1"/>
  <c r="AC39" i="1"/>
  <c r="AC53" i="1" s="1"/>
  <c r="Z35" i="1"/>
  <c r="Z49" i="1" s="1"/>
  <c r="AA35" i="1"/>
  <c r="AA49" i="1" s="1"/>
  <c r="AA39" i="1"/>
  <c r="AA53" i="1" s="1"/>
  <c r="X35" i="1"/>
  <c r="X49" i="1" s="1"/>
  <c r="AB39" i="1"/>
  <c r="AB53" i="1" s="1"/>
  <c r="X36" i="1"/>
  <c r="X50" i="1" s="1"/>
  <c r="Y36" i="1"/>
  <c r="Y50" i="1" s="1"/>
  <c r="Z36" i="1"/>
  <c r="Z50" i="1" s="1"/>
  <c r="AE41" i="1"/>
  <c r="AE55" i="1" s="1"/>
  <c r="AA36" i="1"/>
  <c r="AA50" i="1" s="1"/>
  <c r="Y34" i="1"/>
  <c r="Y48" i="1" s="1"/>
  <c r="AC36" i="1"/>
  <c r="AC50" i="1" s="1"/>
  <c r="AE37" i="1"/>
  <c r="AE51" i="1" s="1"/>
  <c r="AE35" i="1"/>
  <c r="AE49" i="1" s="1"/>
  <c r="AE38" i="1"/>
  <c r="AE52" i="1" s="1"/>
  <c r="AE36" i="1"/>
  <c r="AE50" i="1" s="1"/>
  <c r="AE34" i="1"/>
  <c r="AE48" i="1" s="1"/>
  <c r="AE39" i="1"/>
  <c r="AE53" i="1" s="1"/>
  <c r="AB41" i="1"/>
  <c r="AB55" i="1" s="1"/>
  <c r="AC41" i="1"/>
  <c r="AC55" i="1" s="1"/>
  <c r="AA41" i="1"/>
  <c r="AA55" i="1" s="1"/>
  <c r="Y41" i="1"/>
  <c r="Y55" i="1" s="1"/>
  <c r="Z41" i="1"/>
  <c r="Z55" i="1" s="1"/>
  <c r="AF40" i="1" l="1"/>
  <c r="AF54" i="1" s="1"/>
  <c r="AD42" i="1"/>
  <c r="AD56" i="1" s="1"/>
  <c r="AF34" i="1"/>
  <c r="AF48" i="1" s="1"/>
  <c r="AA42" i="1"/>
  <c r="AA56" i="1" s="1"/>
  <c r="AE42" i="1"/>
  <c r="AE56" i="1" s="1"/>
  <c r="X42" i="1"/>
  <c r="X56" i="1" s="1"/>
  <c r="AF37" i="1"/>
  <c r="AF51" i="1" s="1"/>
  <c r="AF35" i="1"/>
  <c r="AF49" i="1" s="1"/>
  <c r="AF38" i="1"/>
  <c r="AF52" i="1" s="1"/>
  <c r="AF36" i="1"/>
  <c r="AF50" i="1" s="1"/>
  <c r="AB42" i="1"/>
  <c r="AB56" i="1" s="1"/>
  <c r="Y42" i="1"/>
  <c r="Y56" i="1" s="1"/>
  <c r="AF39" i="1"/>
  <c r="AF53" i="1" s="1"/>
  <c r="Z42" i="1"/>
  <c r="Z56" i="1" s="1"/>
  <c r="AF41" i="1"/>
  <c r="AF55" i="1" s="1"/>
  <c r="AC42" i="1"/>
  <c r="AC56" i="1" s="1"/>
  <c r="O37" i="1" l="1"/>
  <c r="R38" i="1"/>
  <c r="M34" i="1"/>
  <c r="P35" i="1"/>
  <c r="T34" i="1"/>
  <c r="N35" i="1"/>
  <c r="T38" i="1"/>
  <c r="Q37" i="1"/>
  <c r="T36" i="1"/>
  <c r="T37" i="1"/>
  <c r="R35" i="1"/>
  <c r="M36" i="1"/>
  <c r="O36" i="1"/>
  <c r="Q36" i="1"/>
  <c r="O39" i="1"/>
  <c r="M35" i="1"/>
  <c r="M37" i="1"/>
  <c r="R36" i="1"/>
  <c r="O35" i="1"/>
  <c r="R34" i="1"/>
  <c r="N37" i="1"/>
  <c r="R39" i="1"/>
  <c r="M38" i="1"/>
  <c r="Q34" i="1"/>
  <c r="O34" i="1"/>
  <c r="P34" i="1"/>
  <c r="T39" i="1"/>
  <c r="P39" i="1"/>
  <c r="N38" i="1"/>
  <c r="M39" i="1"/>
  <c r="R37" i="1"/>
  <c r="N36" i="1"/>
  <c r="P37" i="1"/>
  <c r="T35" i="1"/>
  <c r="N39" i="1"/>
  <c r="P36" i="1"/>
  <c r="N34" i="1"/>
  <c r="O38" i="1"/>
  <c r="Q35" i="1"/>
  <c r="P38" i="1"/>
  <c r="Q39" i="1"/>
  <c r="Q38" i="1"/>
  <c r="AF42" i="1"/>
  <c r="AF56" i="1" s="1"/>
  <c r="P42" i="1" l="1"/>
  <c r="U38" i="1"/>
  <c r="U35" i="1"/>
  <c r="U37" i="1"/>
  <c r="U41" i="1"/>
  <c r="U34" i="1"/>
  <c r="N42" i="1"/>
  <c r="U39" i="1"/>
  <c r="R42" i="1"/>
  <c r="T42" i="1"/>
  <c r="M42" i="1"/>
  <c r="Q42" i="1"/>
  <c r="U36" i="1"/>
  <c r="O42" i="1"/>
  <c r="U42" i="1" l="1"/>
</calcChain>
</file>

<file path=xl/sharedStrings.xml><?xml version="1.0" encoding="utf-8"?>
<sst xmlns="http://schemas.openxmlformats.org/spreadsheetml/2006/main" count="820" uniqueCount="286">
  <si>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</si>
  <si>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</si>
  <si>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</si>
  <si>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</si>
  <si>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</si>
  <si>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</si>
  <si>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</si>
  <si>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</si>
  <si>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</si>
  <si>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</si>
  <si>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</si>
  <si>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</si>
  <si>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</si>
  <si>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</si>
  <si>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</si>
  <si>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</si>
  <si>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</si>
  <si>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</si>
  <si>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</si>
  <si>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</si>
  <si>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</si>
  <si>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</si>
  <si>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</si>
  <si>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</si>
  <si>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</si>
  <si>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</si>
  <si>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</si>
  <si>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</si>
  <si>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</si>
  <si>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</si>
  <si>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</si>
  <si>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</si>
  <si>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</si>
  <si>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</si>
  <si>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</si>
  <si>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</si>
  <si>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</si>
  <si>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</si>
  <si>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</si>
  <si>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</si>
  <si>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</si>
  <si>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</si>
  <si>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</si>
  <si>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DaySim</t>
  </si>
  <si>
    <t>Table X. Average Trip Length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</si>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</sst>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mm/dd/yyyy\ hh:mm:ss"/>
    <numFmt numFmtId="166" formatCode="0.000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3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8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" fontId="0" fillId="0" borderId="0" xfId="0" applyNumberFormat="1"/>
    <xf numFmtId="1" fontId="0" fillId="0" borderId="1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0" xfId="1" applyAlignment="1"/>
    <xf numFmtId="0" fontId="2" fillId="0" borderId="1" xfId="1" applyBorder="1" applyAlignmen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 applyAlignment="1">
      <alignment horizontal="center"/>
    </xf>
    <xf numFmtId="3" fontId="0" fillId="0" borderId="2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1" fillId="0" borderId="0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0" fillId="2" borderId="3" xfId="0" applyFill="1" applyBorder="1"/>
    <xf numFmtId="164" fontId="0" fillId="2" borderId="1" xfId="0" applyNumberFormat="1" applyFill="1" applyBorder="1"/>
    <xf numFmtId="0" fontId="1" fillId="2" borderId="0" xfId="0" applyFont="1" applyFill="1"/>
    <xf numFmtId="0" fontId="0" fillId="2" borderId="2" xfId="0" applyFill="1" applyBorder="1" applyAlignment="1">
      <alignment horizontal="center" vertical="top"/>
    </xf>
    <xf numFmtId="2" fontId="0" fillId="2" borderId="0" xfId="0" applyNumberFormat="1" applyFill="1"/>
    <xf numFmtId="2" fontId="0" fillId="2" borderId="3" xfId="0" applyNumberFormat="1" applyFill="1" applyBorder="1"/>
    <xf numFmtId="2" fontId="0" fillId="2" borderId="1" xfId="0" applyNumberFormat="1" applyFill="1" applyBorder="1"/>
    <xf numFmtId="0" fontId="0" fillId="2" borderId="2" xfId="0" applyFill="1" applyBorder="1" applyAlignment="1">
      <alignment horizontal="center"/>
    </xf>
    <xf numFmtId="164" fontId="0" fillId="2" borderId="3" xfId="0" applyNumberFormat="1" applyFill="1" applyBorder="1"/>
    <xf numFmtId="164" fontId="0" fillId="0" borderId="0" xfId="0" applyNumberFormat="1" applyBorder="1"/>
    <xf numFmtId="0" fontId="4" fillId="0" borderId="0" xfId="0" applyFont="1"/>
    <xf numFmtId="164" fontId="0" fillId="2" borderId="4" xfId="0" applyNumberFormat="1" applyFill="1" applyBorder="1"/>
    <xf numFmtId="0" fontId="0" fillId="0" borderId="0" xfId="0" applyFill="1" applyBorder="1"/>
    <xf numFmtId="0" fontId="0" fillId="0" borderId="4" xfId="0" applyBorder="1"/>
    <xf numFmtId="164" fontId="0" fillId="0" borderId="4" xfId="0" applyNumberFormat="1" applyBorder="1"/>
    <xf numFmtId="1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1" fontId="0" fillId="0" borderId="0" xfId="0" applyNumberFormat="1"/>
    <xf numFmtId="0" fontId="0" fillId="5" borderId="0" xfId="0" applyFill="1"/>
    <xf numFmtId="166" fontId="0" fillId="0" borderId="0" xfId="0" applyNumberFormat="1"/>
    <xf numFmtId="166" fontId="0" fillId="5" borderId="0" xfId="0" applyNumberFormat="1" applyFill="1"/>
    <xf numFmtId="166" fontId="0" fillId="4" borderId="0" xfId="0" applyNumberFormat="1" applyFill="1"/>
    <xf numFmtId="166" fontId="0" fillId="4" borderId="3" xfId="0" applyNumberFormat="1" applyFill="1" applyBorder="1"/>
    <xf numFmtId="166" fontId="0" fillId="5" borderId="3" xfId="0" applyNumberFormat="1" applyFill="1" applyBorder="1"/>
    <xf numFmtId="166" fontId="0" fillId="6" borderId="0" xfId="0" applyNumberFormat="1" applyFill="1"/>
    <xf numFmtId="0" fontId="1" fillId="0" borderId="0" xfId="0" applyFont="1" applyAlignment="1">
      <alignment horizontal="right"/>
    </xf>
    <xf numFmtId="3" fontId="5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3" fontId="0" fillId="0" borderId="3" xfId="0" applyNumberFormat="1" applyFont="1" applyBorder="1"/>
    <xf numFmtId="1" fontId="0" fillId="0" borderId="3" xfId="0" applyNumberFormat="1" applyBorder="1"/>
    <xf numFmtId="3" fontId="0" fillId="0" borderId="5" xfId="0" applyNumberFormat="1" applyFont="1" applyBorder="1"/>
    <xf numFmtId="1" fontId="0" fillId="0" borderId="5" xfId="0" applyNumberFormat="1" applyBorder="1"/>
    <xf numFmtId="3" fontId="0" fillId="0" borderId="4" xfId="0" applyNumberFormat="1" applyFont="1" applyFill="1" applyBorder="1"/>
    <xf numFmtId="1" fontId="0" fillId="0" borderId="4" xfId="0" applyNumberFormat="1" applyFill="1" applyBorder="1"/>
    <xf numFmtId="9" fontId="0" fillId="0" borderId="0" xfId="0" applyNumberFormat="1"/>
    <xf numFmtId="9" fontId="0" fillId="0" borderId="4" xfId="0" applyNumberFormat="1" applyBorder="1"/>
    <xf numFmtId="0" fontId="0" fillId="0" borderId="0" xfId="0" applyBorder="1" applyAlignment="1">
      <alignment horizontal="center" vertical="top"/>
    </xf>
    <xf numFmtId="0" fontId="1" fillId="0" borderId="0" xfId="0" applyFont="1" applyFill="1" applyBorder="1"/>
    <xf numFmtId="0" fontId="0" fillId="0" borderId="0" xfId="0" applyFill="1" applyBorder="1" applyAlignment="1">
      <alignment horizontal="center" vertical="top"/>
    </xf>
    <xf numFmtId="1" fontId="0" fillId="0" borderId="0" xfId="0" applyNumberFormat="1" applyBorder="1"/>
    <xf numFmtId="9" fontId="0" fillId="0" borderId="4" xfId="0" applyNumberFormat="1" applyFill="1" applyBorder="1"/>
    <xf numFmtId="10" fontId="0" fillId="0" borderId="5" xfId="0" applyNumberFormat="1" applyBorder="1"/>
    <xf numFmtId="10" fontId="0" fillId="0" borderId="0" xfId="0" applyNumberForma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0.00</c:formatCode>
                <c:ptCount val="90"/>
                <c:pt idx="0">
                  <c:v>85039.716499999995</c:v>
                </c:pt>
                <c:pt idx="1">
                  <c:v>85842.826799999995</c:v>
                </c:pt>
                <c:pt idx="2">
                  <c:v>105618.5233</c:v>
                </c:pt>
                <c:pt idx="3">
                  <c:v>92190.919500000004</c:v>
                </c:pt>
                <c:pt idx="4">
                  <c:v>103126.36320000001</c:v>
                </c:pt>
                <c:pt idx="5">
                  <c:v>88857.689600000012</c:v>
                </c:pt>
                <c:pt idx="6">
                  <c:v>72936.159299999999</c:v>
                </c:pt>
                <c:pt idx="7">
                  <c:v>80834.968999999997</c:v>
                </c:pt>
                <c:pt idx="8">
                  <c:v>63676.913699999997</c:v>
                </c:pt>
                <c:pt idx="9">
                  <c:v>71945.103800000012</c:v>
                </c:pt>
                <c:pt idx="10">
                  <c:v>66215.087500000009</c:v>
                </c:pt>
                <c:pt idx="11">
                  <c:v>59376.788699999997</c:v>
                </c:pt>
                <c:pt idx="12">
                  <c:v>59995.309800000003</c:v>
                </c:pt>
                <c:pt idx="13">
                  <c:v>44101.584300000002</c:v>
                </c:pt>
                <c:pt idx="14">
                  <c:v>45361.338200000006</c:v>
                </c:pt>
                <c:pt idx="15">
                  <c:v>55349.123399999997</c:v>
                </c:pt>
                <c:pt idx="16">
                  <c:v>47730.809099999999</c:v>
                </c:pt>
                <c:pt idx="17">
                  <c:v>35412.780100000004</c:v>
                </c:pt>
                <c:pt idx="18">
                  <c:v>33205.405599999998</c:v>
                </c:pt>
                <c:pt idx="19">
                  <c:v>43487.585200000001</c:v>
                </c:pt>
                <c:pt idx="20">
                  <c:v>34153.897300000004</c:v>
                </c:pt>
                <c:pt idx="21">
                  <c:v>27415.6751</c:v>
                </c:pt>
                <c:pt idx="22">
                  <c:v>19466.1162</c:v>
                </c:pt>
                <c:pt idx="23">
                  <c:v>19118.4506</c:v>
                </c:pt>
                <c:pt idx="24">
                  <c:v>16284.7448</c:v>
                </c:pt>
                <c:pt idx="25">
                  <c:v>14176.493299999998</c:v>
                </c:pt>
                <c:pt idx="26">
                  <c:v>14916.535100000001</c:v>
                </c:pt>
                <c:pt idx="27">
                  <c:v>11838.680899999999</c:v>
                </c:pt>
                <c:pt idx="28">
                  <c:v>11893.646999999999</c:v>
                </c:pt>
                <c:pt idx="29">
                  <c:v>10585.864100000001</c:v>
                </c:pt>
                <c:pt idx="30">
                  <c:v>9387.6650000000009</c:v>
                </c:pt>
                <c:pt idx="31">
                  <c:v>3068.7134000000001</c:v>
                </c:pt>
                <c:pt idx="32">
                  <c:v>6988.1571000000004</c:v>
                </c:pt>
                <c:pt idx="33">
                  <c:v>5682.3688000000002</c:v>
                </c:pt>
                <c:pt idx="34">
                  <c:v>8874.8028000000013</c:v>
                </c:pt>
                <c:pt idx="35">
                  <c:v>4700.9268000000002</c:v>
                </c:pt>
                <c:pt idx="36">
                  <c:v>3152.8854000000001</c:v>
                </c:pt>
                <c:pt idx="37">
                  <c:v>8281.9946999999993</c:v>
                </c:pt>
                <c:pt idx="38">
                  <c:v>4655.5133000000005</c:v>
                </c:pt>
                <c:pt idx="39">
                  <c:v>6708.1134000000002</c:v>
                </c:pt>
                <c:pt idx="40">
                  <c:v>3627.6376999999998</c:v>
                </c:pt>
                <c:pt idx="41">
                  <c:v>2362.5331999999999</c:v>
                </c:pt>
                <c:pt idx="42">
                  <c:v>4605.1264000000001</c:v>
                </c:pt>
                <c:pt idx="43">
                  <c:v>2574.2503999999999</c:v>
                </c:pt>
                <c:pt idx="44">
                  <c:v>2922.0286000000001</c:v>
                </c:pt>
                <c:pt idx="45">
                  <c:v>834.4692</c:v>
                </c:pt>
                <c:pt idx="46">
                  <c:v>2012.6988999999999</c:v>
                </c:pt>
                <c:pt idx="47">
                  <c:v>3453.3629000000001</c:v>
                </c:pt>
                <c:pt idx="48">
                  <c:v>4284.2075999999997</c:v>
                </c:pt>
                <c:pt idx="49">
                  <c:v>852.64760000000001</c:v>
                </c:pt>
                <c:pt idx="50">
                  <c:v>433.27530000000002</c:v>
                </c:pt>
                <c:pt idx="51">
                  <c:v>650.32550000000003</c:v>
                </c:pt>
                <c:pt idx="52">
                  <c:v>1379.8378</c:v>
                </c:pt>
                <c:pt idx="53">
                  <c:v>963.79630000000009</c:v>
                </c:pt>
                <c:pt idx="54">
                  <c:v>3851.1878999999999</c:v>
                </c:pt>
                <c:pt idx="55">
                  <c:v>1860.3566000000001</c:v>
                </c:pt>
                <c:pt idx="56">
                  <c:v>602.62779999999998</c:v>
                </c:pt>
                <c:pt idx="57">
                  <c:v>821.63049999999998</c:v>
                </c:pt>
                <c:pt idx="58">
                  <c:v>1419.4822999999999</c:v>
                </c:pt>
                <c:pt idx="59">
                  <c:v>525.65689999999995</c:v>
                </c:pt>
                <c:pt idx="60">
                  <c:v>0</c:v>
                </c:pt>
                <c:pt idx="61">
                  <c:v>86.093599999999995</c:v>
                </c:pt>
                <c:pt idx="62">
                  <c:v>0</c:v>
                </c:pt>
                <c:pt idx="63">
                  <c:v>535.73469999999998</c:v>
                </c:pt>
                <c:pt idx="64">
                  <c:v>471.4812</c:v>
                </c:pt>
                <c:pt idx="65">
                  <c:v>315.6103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147.13730000000001</c:v>
                </c:pt>
                <c:pt idx="70">
                  <c:v>315.68950000000001</c:v>
                </c:pt>
                <c:pt idx="71">
                  <c:v>138.9538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409.13839999999999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232.55410000000001</c:v>
                </c:pt>
                <c:pt idx="82">
                  <c:v>0</c:v>
                </c:pt>
                <c:pt idx="83">
                  <c:v>79.145200000000003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General</c:formatCode>
                <c:ptCount val="90"/>
                <c:pt idx="0">
                  <c:v>100073</c:v>
                </c:pt>
                <c:pt idx="1">
                  <c:v>60098</c:v>
                </c:pt>
                <c:pt idx="2">
                  <c:v>43126</c:v>
                </c:pt>
                <c:pt idx="3">
                  <c:v>35817</c:v>
                </c:pt>
                <c:pt idx="4">
                  <c:v>119757</c:v>
                </c:pt>
                <c:pt idx="5">
                  <c:v>117226</c:v>
                </c:pt>
                <c:pt idx="6">
                  <c:v>107489</c:v>
                </c:pt>
                <c:pt idx="7">
                  <c:v>82671</c:v>
                </c:pt>
                <c:pt idx="8">
                  <c:v>86408</c:v>
                </c:pt>
                <c:pt idx="9">
                  <c:v>95825</c:v>
                </c:pt>
                <c:pt idx="10">
                  <c:v>52826</c:v>
                </c:pt>
                <c:pt idx="11">
                  <c:v>75163</c:v>
                </c:pt>
                <c:pt idx="12">
                  <c:v>52940</c:v>
                </c:pt>
                <c:pt idx="13">
                  <c:v>73778</c:v>
                </c:pt>
                <c:pt idx="14">
                  <c:v>47622</c:v>
                </c:pt>
                <c:pt idx="15">
                  <c:v>57773</c:v>
                </c:pt>
                <c:pt idx="16">
                  <c:v>62470</c:v>
                </c:pt>
                <c:pt idx="17">
                  <c:v>47219</c:v>
                </c:pt>
                <c:pt idx="18">
                  <c:v>47450</c:v>
                </c:pt>
                <c:pt idx="19">
                  <c:v>40545</c:v>
                </c:pt>
                <c:pt idx="20">
                  <c:v>37594</c:v>
                </c:pt>
                <c:pt idx="21">
                  <c:v>36263</c:v>
                </c:pt>
                <c:pt idx="22">
                  <c:v>28049</c:v>
                </c:pt>
                <c:pt idx="23">
                  <c:v>34734</c:v>
                </c:pt>
                <c:pt idx="24">
                  <c:v>24471</c:v>
                </c:pt>
                <c:pt idx="25">
                  <c:v>24425</c:v>
                </c:pt>
                <c:pt idx="26">
                  <c:v>21285</c:v>
                </c:pt>
                <c:pt idx="27">
                  <c:v>23483</c:v>
                </c:pt>
                <c:pt idx="28">
                  <c:v>15670</c:v>
                </c:pt>
                <c:pt idx="29">
                  <c:v>16225</c:v>
                </c:pt>
                <c:pt idx="30">
                  <c:v>17216</c:v>
                </c:pt>
                <c:pt idx="31">
                  <c:v>12363</c:v>
                </c:pt>
                <c:pt idx="32">
                  <c:v>10767</c:v>
                </c:pt>
                <c:pt idx="33">
                  <c:v>10030</c:v>
                </c:pt>
                <c:pt idx="34">
                  <c:v>9438</c:v>
                </c:pt>
                <c:pt idx="35">
                  <c:v>8158</c:v>
                </c:pt>
                <c:pt idx="36">
                  <c:v>9808</c:v>
                </c:pt>
                <c:pt idx="37">
                  <c:v>9280</c:v>
                </c:pt>
                <c:pt idx="38">
                  <c:v>7811</c:v>
                </c:pt>
                <c:pt idx="39">
                  <c:v>7095</c:v>
                </c:pt>
                <c:pt idx="40">
                  <c:v>6022</c:v>
                </c:pt>
                <c:pt idx="41">
                  <c:v>5626</c:v>
                </c:pt>
                <c:pt idx="42">
                  <c:v>5552</c:v>
                </c:pt>
                <c:pt idx="43">
                  <c:v>3428</c:v>
                </c:pt>
                <c:pt idx="44">
                  <c:v>3121</c:v>
                </c:pt>
                <c:pt idx="45">
                  <c:v>5733</c:v>
                </c:pt>
                <c:pt idx="46">
                  <c:v>3869</c:v>
                </c:pt>
                <c:pt idx="47">
                  <c:v>3420</c:v>
                </c:pt>
                <c:pt idx="48">
                  <c:v>2053</c:v>
                </c:pt>
                <c:pt idx="49">
                  <c:v>2300</c:v>
                </c:pt>
                <c:pt idx="50">
                  <c:v>2308</c:v>
                </c:pt>
                <c:pt idx="51">
                  <c:v>2167</c:v>
                </c:pt>
                <c:pt idx="52">
                  <c:v>1748</c:v>
                </c:pt>
                <c:pt idx="53">
                  <c:v>1462</c:v>
                </c:pt>
                <c:pt idx="54">
                  <c:v>1171</c:v>
                </c:pt>
                <c:pt idx="55">
                  <c:v>1385</c:v>
                </c:pt>
                <c:pt idx="56">
                  <c:v>1376</c:v>
                </c:pt>
                <c:pt idx="57">
                  <c:v>840</c:v>
                </c:pt>
                <c:pt idx="58">
                  <c:v>1089</c:v>
                </c:pt>
                <c:pt idx="59">
                  <c:v>874</c:v>
                </c:pt>
                <c:pt idx="60">
                  <c:v>958</c:v>
                </c:pt>
                <c:pt idx="61">
                  <c:v>324</c:v>
                </c:pt>
                <c:pt idx="62">
                  <c:v>789</c:v>
                </c:pt>
                <c:pt idx="63">
                  <c:v>507</c:v>
                </c:pt>
                <c:pt idx="64">
                  <c:v>198</c:v>
                </c:pt>
                <c:pt idx="65">
                  <c:v>380</c:v>
                </c:pt>
                <c:pt idx="66">
                  <c:v>365</c:v>
                </c:pt>
                <c:pt idx="67">
                  <c:v>113</c:v>
                </c:pt>
                <c:pt idx="68">
                  <c:v>325</c:v>
                </c:pt>
                <c:pt idx="69">
                  <c:v>278</c:v>
                </c:pt>
                <c:pt idx="70">
                  <c:v>461</c:v>
                </c:pt>
                <c:pt idx="71">
                  <c:v>363</c:v>
                </c:pt>
                <c:pt idx="72">
                  <c:v>250</c:v>
                </c:pt>
                <c:pt idx="73">
                  <c:v>296</c:v>
                </c:pt>
                <c:pt idx="74">
                  <c:v>151</c:v>
                </c:pt>
                <c:pt idx="75">
                  <c:v>105</c:v>
                </c:pt>
                <c:pt idx="76">
                  <c:v>322</c:v>
                </c:pt>
                <c:pt idx="77">
                  <c:v>61</c:v>
                </c:pt>
                <c:pt idx="78">
                  <c:v>153</c:v>
                </c:pt>
                <c:pt idx="79">
                  <c:v>57</c:v>
                </c:pt>
                <c:pt idx="80">
                  <c:v>114</c:v>
                </c:pt>
                <c:pt idx="81">
                  <c:v>46</c:v>
                </c:pt>
                <c:pt idx="82">
                  <c:v>27</c:v>
                </c:pt>
                <c:pt idx="83">
                  <c:v>45</c:v>
                </c:pt>
                <c:pt idx="84">
                  <c:v>48</c:v>
                </c:pt>
                <c:pt idx="85">
                  <c:v>19</c:v>
                </c:pt>
                <c:pt idx="86">
                  <c:v>51</c:v>
                </c:pt>
                <c:pt idx="87">
                  <c:v>45</c:v>
                </c:pt>
                <c:pt idx="88">
                  <c:v>14</c:v>
                </c:pt>
                <c:pt idx="89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77679872"/>
        <c:crosses val="autoZero"/>
        <c:crossBetween val="between"/>
        <c:majorUnit val="10000"/>
      </c:valAx>
    </c:plotArea>
    <c:legend>
      <c:legendPos val="r"/>
      <c:layout>
        <c:manualLayout>
          <c:xMode val="edge"/>
          <c:yMode val="edge"/>
          <c:x val="0.77126377952755898"/>
          <c:y val="7.8319845435987162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TDFD!$E$11:$E$101</c:f>
              <c:numCache>
                <c:formatCode>0.00</c:formatCode>
                <c:ptCount val="91"/>
                <c:pt idx="0">
                  <c:v>17018.537799999998</c:v>
                </c:pt>
                <c:pt idx="1">
                  <c:v>5720.3581000000004</c:v>
                </c:pt>
                <c:pt idx="2">
                  <c:v>8982.2846000000009</c:v>
                </c:pt>
                <c:pt idx="3">
                  <c:v>10257.983100000001</c:v>
                </c:pt>
                <c:pt idx="4">
                  <c:v>14846.6052</c:v>
                </c:pt>
                <c:pt idx="5">
                  <c:v>12812.7649</c:v>
                </c:pt>
                <c:pt idx="6">
                  <c:v>19082.898099999999</c:v>
                </c:pt>
                <c:pt idx="7">
                  <c:v>22139.721699999998</c:v>
                </c:pt>
                <c:pt idx="8">
                  <c:v>44122.114799999996</c:v>
                </c:pt>
                <c:pt idx="9">
                  <c:v>29554.084800000001</c:v>
                </c:pt>
                <c:pt idx="10">
                  <c:v>32974.297300000006</c:v>
                </c:pt>
                <c:pt idx="11">
                  <c:v>35087.299299999999</c:v>
                </c:pt>
                <c:pt idx="12">
                  <c:v>41201.900300000001</c:v>
                </c:pt>
                <c:pt idx="13">
                  <c:v>44980.626500000006</c:v>
                </c:pt>
                <c:pt idx="14">
                  <c:v>43429.59</c:v>
                </c:pt>
                <c:pt idx="15">
                  <c:v>46423.3485</c:v>
                </c:pt>
                <c:pt idx="16">
                  <c:v>46646.846900000004</c:v>
                </c:pt>
                <c:pt idx="17">
                  <c:v>47255.094100000002</c:v>
                </c:pt>
                <c:pt idx="18">
                  <c:v>48078.4159</c:v>
                </c:pt>
                <c:pt idx="19">
                  <c:v>48699.1734</c:v>
                </c:pt>
                <c:pt idx="20">
                  <c:v>27393.071200000002</c:v>
                </c:pt>
                <c:pt idx="21">
                  <c:v>39285.754200000003</c:v>
                </c:pt>
                <c:pt idx="22">
                  <c:v>48638.657099999997</c:v>
                </c:pt>
                <c:pt idx="23">
                  <c:v>43759.900699999998</c:v>
                </c:pt>
                <c:pt idx="24">
                  <c:v>35571.027099999999</c:v>
                </c:pt>
                <c:pt idx="25">
                  <c:v>39330.617900000005</c:v>
                </c:pt>
                <c:pt idx="26">
                  <c:v>35076.5334</c:v>
                </c:pt>
                <c:pt idx="27">
                  <c:v>38699.232499999998</c:v>
                </c:pt>
                <c:pt idx="28">
                  <c:v>28150.361499999999</c:v>
                </c:pt>
                <c:pt idx="29">
                  <c:v>33148.524400000002</c:v>
                </c:pt>
                <c:pt idx="30">
                  <c:v>31027.513000000003</c:v>
                </c:pt>
                <c:pt idx="31">
                  <c:v>22313.853800000001</c:v>
                </c:pt>
                <c:pt idx="32">
                  <c:v>22591.6309</c:v>
                </c:pt>
                <c:pt idx="33">
                  <c:v>29897.725100000003</c:v>
                </c:pt>
                <c:pt idx="34">
                  <c:v>22888.397700000001</c:v>
                </c:pt>
                <c:pt idx="35">
                  <c:v>31957.6747</c:v>
                </c:pt>
                <c:pt idx="36">
                  <c:v>25154.640100000001</c:v>
                </c:pt>
                <c:pt idx="37">
                  <c:v>18817.825799999999</c:v>
                </c:pt>
                <c:pt idx="38">
                  <c:v>17113.4827</c:v>
                </c:pt>
                <c:pt idx="39">
                  <c:v>24840.3815</c:v>
                </c:pt>
                <c:pt idx="40">
                  <c:v>23360.348999999998</c:v>
                </c:pt>
                <c:pt idx="41">
                  <c:v>13320.879400000002</c:v>
                </c:pt>
                <c:pt idx="42">
                  <c:v>12303.314699999999</c:v>
                </c:pt>
                <c:pt idx="43">
                  <c:v>13051.8027</c:v>
                </c:pt>
                <c:pt idx="44">
                  <c:v>13328.351699999999</c:v>
                </c:pt>
                <c:pt idx="45">
                  <c:v>17564.983500000002</c:v>
                </c:pt>
                <c:pt idx="46">
                  <c:v>25142.388999999999</c:v>
                </c:pt>
                <c:pt idx="47">
                  <c:v>17935.377400000001</c:v>
                </c:pt>
                <c:pt idx="48">
                  <c:v>12533.344300000001</c:v>
                </c:pt>
                <c:pt idx="49">
                  <c:v>13109.454599999999</c:v>
                </c:pt>
                <c:pt idx="50">
                  <c:v>12454.492600000001</c:v>
                </c:pt>
                <c:pt idx="51">
                  <c:v>17619.581900000001</c:v>
                </c:pt>
                <c:pt idx="52">
                  <c:v>7405.4948999999997</c:v>
                </c:pt>
                <c:pt idx="53">
                  <c:v>10231.900399999999</c:v>
                </c:pt>
                <c:pt idx="54">
                  <c:v>8581.6427999999996</c:v>
                </c:pt>
                <c:pt idx="55">
                  <c:v>9938.4154999999992</c:v>
                </c:pt>
                <c:pt idx="56">
                  <c:v>11799.124800000001</c:v>
                </c:pt>
                <c:pt idx="57">
                  <c:v>9408.2662</c:v>
                </c:pt>
                <c:pt idx="58">
                  <c:v>5777.2713999999996</c:v>
                </c:pt>
                <c:pt idx="59">
                  <c:v>6025.3595999999998</c:v>
                </c:pt>
                <c:pt idx="60">
                  <c:v>5566.4840999999997</c:v>
                </c:pt>
                <c:pt idx="61">
                  <c:v>8769.0545000000002</c:v>
                </c:pt>
                <c:pt idx="62">
                  <c:v>6093.6025999999993</c:v>
                </c:pt>
                <c:pt idx="63">
                  <c:v>7310.0471000000007</c:v>
                </c:pt>
                <c:pt idx="64">
                  <c:v>6542.0893999999998</c:v>
                </c:pt>
                <c:pt idx="65">
                  <c:v>3997.6642999999999</c:v>
                </c:pt>
                <c:pt idx="66">
                  <c:v>3568.6383000000001</c:v>
                </c:pt>
                <c:pt idx="67">
                  <c:v>1672.7043000000001</c:v>
                </c:pt>
                <c:pt idx="68">
                  <c:v>2638.0938999999998</c:v>
                </c:pt>
                <c:pt idx="69">
                  <c:v>4022.9100999999996</c:v>
                </c:pt>
                <c:pt idx="70">
                  <c:v>1923.5444</c:v>
                </c:pt>
                <c:pt idx="71">
                  <c:v>3589.9627</c:v>
                </c:pt>
                <c:pt idx="72">
                  <c:v>1840.9567</c:v>
                </c:pt>
                <c:pt idx="73">
                  <c:v>2338.1328000000003</c:v>
                </c:pt>
                <c:pt idx="74">
                  <c:v>3721.1529</c:v>
                </c:pt>
                <c:pt idx="75">
                  <c:v>2901.5257000000001</c:v>
                </c:pt>
                <c:pt idx="76">
                  <c:v>4055.1631000000002</c:v>
                </c:pt>
                <c:pt idx="77">
                  <c:v>3538.3783000000003</c:v>
                </c:pt>
                <c:pt idx="78">
                  <c:v>1590.9432999999999</c:v>
                </c:pt>
                <c:pt idx="79">
                  <c:v>1971.6870999999999</c:v>
                </c:pt>
                <c:pt idx="80">
                  <c:v>1085.4887999999999</c:v>
                </c:pt>
                <c:pt idx="81">
                  <c:v>6191.5956999999999</c:v>
                </c:pt>
                <c:pt idx="82">
                  <c:v>1178.2114999999999</c:v>
                </c:pt>
                <c:pt idx="83">
                  <c:v>693.52530000000002</c:v>
                </c:pt>
                <c:pt idx="84">
                  <c:v>1310.9626000000001</c:v>
                </c:pt>
                <c:pt idx="85">
                  <c:v>2190.5170000000003</c:v>
                </c:pt>
                <c:pt idx="86">
                  <c:v>3106.2154</c:v>
                </c:pt>
                <c:pt idx="87">
                  <c:v>5312.8410000000003</c:v>
                </c:pt>
                <c:pt idx="88">
                  <c:v>688.70439999999996</c:v>
                </c:pt>
                <c:pt idx="89">
                  <c:v>29151.5749</c:v>
                </c:pt>
                <c:pt idx="90">
                  <c:v>192811.24280000001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TDFD!$K$11:$K$101</c:f>
              <c:numCache>
                <c:formatCode>General</c:formatCode>
                <c:ptCount val="91"/>
                <c:pt idx="0">
                  <c:v>35754</c:v>
                </c:pt>
                <c:pt idx="1">
                  <c:v>13703</c:v>
                </c:pt>
                <c:pt idx="2">
                  <c:v>17220</c:v>
                </c:pt>
                <c:pt idx="3">
                  <c:v>17516</c:v>
                </c:pt>
                <c:pt idx="4">
                  <c:v>17670</c:v>
                </c:pt>
                <c:pt idx="5">
                  <c:v>17354</c:v>
                </c:pt>
                <c:pt idx="6">
                  <c:v>16972</c:v>
                </c:pt>
                <c:pt idx="7">
                  <c:v>15728</c:v>
                </c:pt>
                <c:pt idx="8">
                  <c:v>14254</c:v>
                </c:pt>
                <c:pt idx="9">
                  <c:v>13752</c:v>
                </c:pt>
                <c:pt idx="10">
                  <c:v>12799</c:v>
                </c:pt>
                <c:pt idx="11">
                  <c:v>11894</c:v>
                </c:pt>
                <c:pt idx="12">
                  <c:v>11742</c:v>
                </c:pt>
                <c:pt idx="13">
                  <c:v>11262</c:v>
                </c:pt>
                <c:pt idx="14">
                  <c:v>10626</c:v>
                </c:pt>
                <c:pt idx="15">
                  <c:v>9495</c:v>
                </c:pt>
                <c:pt idx="16">
                  <c:v>9702</c:v>
                </c:pt>
                <c:pt idx="17">
                  <c:v>8890</c:v>
                </c:pt>
                <c:pt idx="18">
                  <c:v>68306</c:v>
                </c:pt>
                <c:pt idx="19">
                  <c:v>31602</c:v>
                </c:pt>
                <c:pt idx="20">
                  <c:v>35294</c:v>
                </c:pt>
                <c:pt idx="21">
                  <c:v>56457</c:v>
                </c:pt>
                <c:pt idx="22">
                  <c:v>46477</c:v>
                </c:pt>
                <c:pt idx="23">
                  <c:v>62947</c:v>
                </c:pt>
                <c:pt idx="24">
                  <c:v>37190</c:v>
                </c:pt>
                <c:pt idx="25">
                  <c:v>50383</c:v>
                </c:pt>
                <c:pt idx="26">
                  <c:v>47682</c:v>
                </c:pt>
                <c:pt idx="27">
                  <c:v>41638</c:v>
                </c:pt>
                <c:pt idx="28">
                  <c:v>54926</c:v>
                </c:pt>
                <c:pt idx="29">
                  <c:v>42025</c:v>
                </c:pt>
                <c:pt idx="30">
                  <c:v>39442</c:v>
                </c:pt>
                <c:pt idx="31">
                  <c:v>60150</c:v>
                </c:pt>
                <c:pt idx="32">
                  <c:v>51145</c:v>
                </c:pt>
                <c:pt idx="33">
                  <c:v>32100</c:v>
                </c:pt>
                <c:pt idx="34">
                  <c:v>45112</c:v>
                </c:pt>
                <c:pt idx="35">
                  <c:v>31436</c:v>
                </c:pt>
                <c:pt idx="36">
                  <c:v>32981</c:v>
                </c:pt>
                <c:pt idx="37">
                  <c:v>40204</c:v>
                </c:pt>
                <c:pt idx="38">
                  <c:v>33465</c:v>
                </c:pt>
                <c:pt idx="39">
                  <c:v>38458</c:v>
                </c:pt>
                <c:pt idx="40">
                  <c:v>37814</c:v>
                </c:pt>
                <c:pt idx="41">
                  <c:v>39375</c:v>
                </c:pt>
                <c:pt idx="42">
                  <c:v>29834</c:v>
                </c:pt>
                <c:pt idx="43">
                  <c:v>34093</c:v>
                </c:pt>
                <c:pt idx="44">
                  <c:v>27354</c:v>
                </c:pt>
                <c:pt idx="45">
                  <c:v>20031</c:v>
                </c:pt>
                <c:pt idx="46">
                  <c:v>16103</c:v>
                </c:pt>
                <c:pt idx="47">
                  <c:v>23645</c:v>
                </c:pt>
                <c:pt idx="48">
                  <c:v>19828</c:v>
                </c:pt>
                <c:pt idx="49">
                  <c:v>15309</c:v>
                </c:pt>
                <c:pt idx="50">
                  <c:v>18113</c:v>
                </c:pt>
                <c:pt idx="51">
                  <c:v>15740</c:v>
                </c:pt>
                <c:pt idx="52">
                  <c:v>19731</c:v>
                </c:pt>
                <c:pt idx="53">
                  <c:v>17826</c:v>
                </c:pt>
                <c:pt idx="54">
                  <c:v>13320</c:v>
                </c:pt>
                <c:pt idx="55">
                  <c:v>11187</c:v>
                </c:pt>
                <c:pt idx="56">
                  <c:v>15142</c:v>
                </c:pt>
                <c:pt idx="57">
                  <c:v>11061</c:v>
                </c:pt>
                <c:pt idx="58">
                  <c:v>8391</c:v>
                </c:pt>
                <c:pt idx="59">
                  <c:v>9606</c:v>
                </c:pt>
                <c:pt idx="60">
                  <c:v>10617</c:v>
                </c:pt>
                <c:pt idx="61">
                  <c:v>7713</c:v>
                </c:pt>
                <c:pt idx="62">
                  <c:v>7631</c:v>
                </c:pt>
                <c:pt idx="63">
                  <c:v>9196</c:v>
                </c:pt>
                <c:pt idx="64">
                  <c:v>7145</c:v>
                </c:pt>
                <c:pt idx="65">
                  <c:v>11439</c:v>
                </c:pt>
                <c:pt idx="66">
                  <c:v>9391</c:v>
                </c:pt>
                <c:pt idx="67">
                  <c:v>5591</c:v>
                </c:pt>
                <c:pt idx="68">
                  <c:v>7505</c:v>
                </c:pt>
                <c:pt idx="69">
                  <c:v>6667</c:v>
                </c:pt>
                <c:pt idx="70">
                  <c:v>4475</c:v>
                </c:pt>
                <c:pt idx="71">
                  <c:v>4282</c:v>
                </c:pt>
                <c:pt idx="72">
                  <c:v>4211</c:v>
                </c:pt>
                <c:pt idx="73">
                  <c:v>4890</c:v>
                </c:pt>
                <c:pt idx="74">
                  <c:v>3707</c:v>
                </c:pt>
                <c:pt idx="75">
                  <c:v>3592</c:v>
                </c:pt>
                <c:pt idx="76">
                  <c:v>2980</c:v>
                </c:pt>
                <c:pt idx="77">
                  <c:v>1792</c:v>
                </c:pt>
                <c:pt idx="78">
                  <c:v>2454</c:v>
                </c:pt>
                <c:pt idx="79">
                  <c:v>2462</c:v>
                </c:pt>
                <c:pt idx="80">
                  <c:v>2482</c:v>
                </c:pt>
                <c:pt idx="81">
                  <c:v>2597</c:v>
                </c:pt>
                <c:pt idx="82">
                  <c:v>1792</c:v>
                </c:pt>
                <c:pt idx="83">
                  <c:v>1563</c:v>
                </c:pt>
                <c:pt idx="84">
                  <c:v>1452</c:v>
                </c:pt>
                <c:pt idx="85">
                  <c:v>1429</c:v>
                </c:pt>
                <c:pt idx="86">
                  <c:v>1689</c:v>
                </c:pt>
                <c:pt idx="87">
                  <c:v>1412</c:v>
                </c:pt>
                <c:pt idx="88">
                  <c:v>1937</c:v>
                </c:pt>
                <c:pt idx="89">
                  <c:v>49604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600075</xdr:colOff>
      <xdr:row>16</xdr:row>
      <xdr:rowOff>95250</xdr:rowOff>
    </xdr:from>
    <xdr:to>
      <xdr:col>21</xdr:col>
      <xdr:colOff>9525</xdr:colOff>
      <xdr:row>30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16</xdr:row>
      <xdr:rowOff>38100</xdr:rowOff>
    </xdr:from>
    <xdr:to>
      <xdr:col>20</xdr:col>
      <xdr:colOff>600075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1"/>
  <sheetViews>
    <sheetView workbookViewId="0">
      <selection activeCell="G6" sqref="G6"/>
    </sheetView>
  </sheetViews>
  <sheetFormatPr defaultRowHeight="15" x14ac:dyDescent="0.25"/>
  <cols>
    <col min="1" max="1" width="13.5703125" customWidth="1" collapsed="1"/>
    <col min="5" max="5" width="9.5703125" bestFit="1" customWidth="1" collapsed="1"/>
  </cols>
  <sheetData>
    <row r="1" spans="1:23" x14ac:dyDescent="0.25">
      <c r="A1" t="s">
        <v>1</v>
      </c>
    </row>
    <row r="2" spans="1:23" x14ac:dyDescent="0.25">
      <c r="A2" t="s">
        <v>282</v>
      </c>
    </row>
    <row r="3" spans="1:23" x14ac:dyDescent="0.25">
      <c r="A3" t="s">
        <v>266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r="9" spans="1:23" ht="15.75" thickBot="1" x14ac:dyDescent="0.3">
      <c r="A9" s="4" t="s">
        <v>228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9" t="s">
        <v>44</v>
      </c>
      <c r="N9" s="35"/>
      <c r="O9" s="35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222</v>
      </c>
      <c r="G10" s="2" t="s">
        <v>3</v>
      </c>
      <c r="H10" s="5" t="s">
        <v>9</v>
      </c>
      <c r="I10" s="5" t="s">
        <v>10</v>
      </c>
      <c r="J10" s="5" t="s">
        <v>11</v>
      </c>
      <c r="K10" s="5" t="s">
        <v>43</v>
      </c>
      <c r="M10" s="34"/>
      <c r="N10" s="40" t="s">
        <v>222</v>
      </c>
      <c r="O10" s="40" t="s">
        <v>43</v>
      </c>
    </row>
    <row r="11" spans="1:23" x14ac:dyDescent="0.25">
      <c r="A11">
        <v>0</v>
      </c>
      <c r="B11" s="9">
        <v>58998.2166</v>
      </c>
      <c r="C11" s="9">
        <v>23376.902699999999</v>
      </c>
      <c r="D11" s="9">
        <v>2664.5972000000002</v>
      </c>
      <c r="E11" s="9">
        <f>SUM(B11:D11)</f>
        <v>85039.716499999995</v>
      </c>
      <c r="G11">
        <v>0</v>
      </c>
      <c r="H11" s="16">
        <v>66091</v>
      </c>
      <c r="I11" s="16">
        <v>26895</v>
      </c>
      <c r="J11" s="16">
        <v>7087</v>
      </c>
      <c r="K11">
        <f>SUM(H11:J11)</f>
        <v>100073</v>
      </c>
      <c r="M11" s="35" t="s">
        <v>9</v>
      </c>
      <c r="N11" s="41">
        <v>12.837997884672721</v>
      </c>
      <c r="O11" s="41">
        <v>14.893586345174482</v>
      </c>
    </row>
    <row r="12" spans="1:23" x14ac:dyDescent="0.25">
      <c r="A12">
        <v>1</v>
      </c>
      <c r="B12" s="9">
        <v>58371.966099999998</v>
      </c>
      <c r="C12" s="9">
        <v>22824.3115</v>
      </c>
      <c r="D12" s="9">
        <v>4646.5492000000004</v>
      </c>
      <c r="E12" s="9">
        <f t="shared" ref="E12:E75" si="0">SUM(B12:D12)</f>
        <v>85842.826799999995</v>
      </c>
      <c r="G12">
        <v>1</v>
      </c>
      <c r="H12" s="16">
        <v>36995</v>
      </c>
      <c r="I12" s="16">
        <v>18424</v>
      </c>
      <c r="J12" s="16">
        <v>4679</v>
      </c>
      <c r="K12">
        <f t="shared" ref="K12:K75" si="1">SUM(H12:J12)</f>
        <v>60098</v>
      </c>
      <c r="M12" s="35" t="s">
        <v>10</v>
      </c>
      <c r="N12" s="41">
        <v>8.9166950020219424</v>
      </c>
      <c r="O12" s="41">
        <v>11.03544336083754</v>
      </c>
    </row>
    <row r="13" spans="1:23" x14ac:dyDescent="0.25">
      <c r="A13">
        <v>2</v>
      </c>
      <c r="B13" s="9">
        <v>84270.369500000001</v>
      </c>
      <c r="C13" s="9">
        <v>20187.856</v>
      </c>
      <c r="D13" s="9">
        <v>1160.2978000000001</v>
      </c>
      <c r="E13" s="9">
        <f t="shared" si="0"/>
        <v>105618.5233</v>
      </c>
      <c r="G13">
        <v>2</v>
      </c>
      <c r="H13" s="16">
        <v>28490</v>
      </c>
      <c r="I13" s="16">
        <v>11634</v>
      </c>
      <c r="J13" s="16">
        <v>3002</v>
      </c>
      <c r="K13">
        <f t="shared" si="1"/>
        <v>43126</v>
      </c>
      <c r="M13" s="37" t="s">
        <v>11</v>
      </c>
      <c r="N13" s="42">
        <v>9.8997421596103141</v>
      </c>
      <c r="O13" s="42">
        <v>10.283776365354013</v>
      </c>
    </row>
    <row r="14" spans="1:23" ht="15.75" thickBot="1" x14ac:dyDescent="0.3">
      <c r="A14">
        <v>3</v>
      </c>
      <c r="B14" s="9">
        <v>67592.561400000006</v>
      </c>
      <c r="C14" s="9">
        <v>21324.143599999999</v>
      </c>
      <c r="D14" s="9">
        <v>3274.2145</v>
      </c>
      <c r="E14" s="9">
        <f t="shared" si="0"/>
        <v>92190.919500000004</v>
      </c>
      <c r="G14">
        <v>3</v>
      </c>
      <c r="H14" s="16">
        <v>24772</v>
      </c>
      <c r="I14" s="16">
        <v>8715</v>
      </c>
      <c r="J14" s="16">
        <v>2330</v>
      </c>
      <c r="K14">
        <f t="shared" si="1"/>
        <v>35817</v>
      </c>
      <c r="M14" s="33" t="s">
        <v>4</v>
      </c>
      <c r="N14" s="43">
        <v>12.1067831945929</v>
      </c>
      <c r="O14" s="43">
        <v>13.967800068195258</v>
      </c>
      <c r="S14" s="9"/>
    </row>
    <row r="15" spans="1:23" x14ac:dyDescent="0.25">
      <c r="A15">
        <v>4</v>
      </c>
      <c r="B15" s="9">
        <v>76193.044999999998</v>
      </c>
      <c r="C15" s="9">
        <v>21665.140200000002</v>
      </c>
      <c r="D15" s="9">
        <v>5268.1779999999999</v>
      </c>
      <c r="E15" s="9">
        <f t="shared" si="0"/>
        <v>103126.36320000001</v>
      </c>
      <c r="G15">
        <v>4</v>
      </c>
      <c r="H15" s="16">
        <v>79636</v>
      </c>
      <c r="I15" s="16">
        <v>31161</v>
      </c>
      <c r="J15" s="16">
        <v>8960</v>
      </c>
      <c r="K15">
        <f t="shared" si="1"/>
        <v>119757</v>
      </c>
      <c r="W15" s="9"/>
    </row>
    <row r="16" spans="1:23" x14ac:dyDescent="0.25">
      <c r="A16">
        <v>5</v>
      </c>
      <c r="B16" s="9">
        <v>67956.698900000003</v>
      </c>
      <c r="C16" s="9">
        <v>17781.5399</v>
      </c>
      <c r="D16" s="9">
        <v>3119.4508000000001</v>
      </c>
      <c r="E16" s="9">
        <f t="shared" si="0"/>
        <v>88857.689600000012</v>
      </c>
      <c r="G16">
        <v>5</v>
      </c>
      <c r="H16" s="16">
        <v>84497</v>
      </c>
      <c r="I16" s="16">
        <v>25155</v>
      </c>
      <c r="J16" s="16">
        <v>7574</v>
      </c>
      <c r="K16">
        <f t="shared" si="1"/>
        <v>117226</v>
      </c>
      <c r="W16" s="9"/>
    </row>
    <row r="17" spans="1:23" x14ac:dyDescent="0.25">
      <c r="A17">
        <v>6</v>
      </c>
      <c r="B17" s="9">
        <v>58799.381000000001</v>
      </c>
      <c r="C17" s="9">
        <v>10361.3815</v>
      </c>
      <c r="D17" s="9">
        <v>3775.3968</v>
      </c>
      <c r="E17" s="9">
        <f t="shared" si="0"/>
        <v>72936.159299999999</v>
      </c>
      <c r="G17">
        <v>6</v>
      </c>
      <c r="H17" s="16">
        <v>77783</v>
      </c>
      <c r="I17" s="16">
        <v>22606</v>
      </c>
      <c r="J17" s="16">
        <v>7100</v>
      </c>
      <c r="K17">
        <f t="shared" si="1"/>
        <v>107489</v>
      </c>
      <c r="W17" s="9"/>
    </row>
    <row r="18" spans="1:23" x14ac:dyDescent="0.25">
      <c r="A18">
        <v>7</v>
      </c>
      <c r="B18" s="9">
        <v>68081.040299999993</v>
      </c>
      <c r="C18" s="9">
        <v>11136.3627</v>
      </c>
      <c r="D18" s="9">
        <v>1617.566</v>
      </c>
      <c r="E18" s="9">
        <f t="shared" si="0"/>
        <v>80834.968999999997</v>
      </c>
      <c r="G18">
        <v>7</v>
      </c>
      <c r="H18" s="16">
        <v>60095</v>
      </c>
      <c r="I18" s="16">
        <v>17263</v>
      </c>
      <c r="J18" s="16">
        <v>5313</v>
      </c>
      <c r="K18">
        <f t="shared" si="1"/>
        <v>82671</v>
      </c>
      <c r="W18" s="9"/>
    </row>
    <row r="19" spans="1:23" x14ac:dyDescent="0.25">
      <c r="A19">
        <v>8</v>
      </c>
      <c r="B19" s="9">
        <v>48441.781799999997</v>
      </c>
      <c r="C19" s="9">
        <v>10951.506600000001</v>
      </c>
      <c r="D19" s="9">
        <v>4283.6252999999997</v>
      </c>
      <c r="E19" s="9">
        <f t="shared" si="0"/>
        <v>63676.913699999997</v>
      </c>
      <c r="G19">
        <v>8</v>
      </c>
      <c r="H19" s="16">
        <v>65674</v>
      </c>
      <c r="I19" s="16">
        <v>15867</v>
      </c>
      <c r="J19" s="16">
        <v>4867</v>
      </c>
      <c r="K19">
        <f t="shared" si="1"/>
        <v>86408</v>
      </c>
      <c r="W19" s="9"/>
    </row>
    <row r="20" spans="1:23" x14ac:dyDescent="0.25">
      <c r="A20">
        <v>9</v>
      </c>
      <c r="B20" s="9">
        <v>58986.7451</v>
      </c>
      <c r="C20" s="9">
        <v>9103.6679999999997</v>
      </c>
      <c r="D20" s="9">
        <v>3854.6907000000001</v>
      </c>
      <c r="E20" s="9">
        <f t="shared" si="0"/>
        <v>71945.103800000012</v>
      </c>
      <c r="G20">
        <v>9</v>
      </c>
      <c r="H20" s="16">
        <v>73492</v>
      </c>
      <c r="I20" s="16">
        <v>17092</v>
      </c>
      <c r="J20" s="16">
        <v>5241</v>
      </c>
      <c r="K20">
        <f t="shared" si="1"/>
        <v>95825</v>
      </c>
      <c r="W20" s="9"/>
    </row>
    <row r="21" spans="1:23" x14ac:dyDescent="0.25">
      <c r="A21">
        <v>10</v>
      </c>
      <c r="B21" s="9">
        <v>49905.674100000004</v>
      </c>
      <c r="C21" s="9">
        <v>14233.76</v>
      </c>
      <c r="D21" s="9">
        <v>2075.6533999999997</v>
      </c>
      <c r="E21" s="9">
        <f t="shared" si="0"/>
        <v>66215.087500000009</v>
      </c>
      <c r="G21">
        <v>10</v>
      </c>
      <c r="H21" s="16">
        <v>40471</v>
      </c>
      <c r="I21" s="16">
        <v>9479</v>
      </c>
      <c r="J21" s="16">
        <v>2876</v>
      </c>
      <c r="K21">
        <f t="shared" si="1"/>
        <v>52826</v>
      </c>
      <c r="W21" s="9"/>
    </row>
    <row r="22" spans="1:23" x14ac:dyDescent="0.25">
      <c r="A22">
        <v>11</v>
      </c>
      <c r="B22" s="9">
        <v>47184.4018</v>
      </c>
      <c r="C22" s="9">
        <v>8639.49</v>
      </c>
      <c r="D22" s="9">
        <v>3552.8968999999997</v>
      </c>
      <c r="E22" s="9">
        <f t="shared" si="0"/>
        <v>59376.788699999997</v>
      </c>
      <c r="G22">
        <v>11</v>
      </c>
      <c r="H22" s="16">
        <v>59571</v>
      </c>
      <c r="I22" s="16">
        <v>12204</v>
      </c>
      <c r="J22" s="16">
        <v>3388</v>
      </c>
      <c r="K22">
        <f t="shared" si="1"/>
        <v>75163</v>
      </c>
      <c r="W22" s="9"/>
    </row>
    <row r="23" spans="1:23" x14ac:dyDescent="0.25">
      <c r="A23">
        <v>12</v>
      </c>
      <c r="B23" s="9">
        <v>44097.326200000003</v>
      </c>
      <c r="C23" s="9">
        <v>12351.7456</v>
      </c>
      <c r="D23" s="9">
        <v>3546.2379999999998</v>
      </c>
      <c r="E23" s="9">
        <f t="shared" si="0"/>
        <v>59995.309800000003</v>
      </c>
      <c r="G23">
        <v>12</v>
      </c>
      <c r="H23" s="16">
        <v>41510</v>
      </c>
      <c r="I23" s="16">
        <v>8839</v>
      </c>
      <c r="J23" s="16">
        <v>2591</v>
      </c>
      <c r="K23">
        <f t="shared" si="1"/>
        <v>52940</v>
      </c>
      <c r="W23" s="9"/>
    </row>
    <row r="24" spans="1:23" x14ac:dyDescent="0.25">
      <c r="A24">
        <v>13</v>
      </c>
      <c r="B24" s="9">
        <v>37474.729299999999</v>
      </c>
      <c r="C24" s="9">
        <v>3932.5895</v>
      </c>
      <c r="D24" s="9">
        <v>2694.2655</v>
      </c>
      <c r="E24" s="9">
        <f t="shared" si="0"/>
        <v>44101.584300000002</v>
      </c>
      <c r="G24">
        <v>13</v>
      </c>
      <c r="H24" s="16">
        <v>58360</v>
      </c>
      <c r="I24" s="16">
        <v>12399</v>
      </c>
      <c r="J24" s="16">
        <v>3019</v>
      </c>
      <c r="K24">
        <f t="shared" si="1"/>
        <v>73778</v>
      </c>
      <c r="W24" s="9"/>
    </row>
    <row r="25" spans="1:23" x14ac:dyDescent="0.25">
      <c r="A25">
        <v>14</v>
      </c>
      <c r="B25" s="9">
        <v>36980.648500000003</v>
      </c>
      <c r="C25" s="9">
        <v>7168.4448999999995</v>
      </c>
      <c r="D25" s="9">
        <v>1212.2447999999999</v>
      </c>
      <c r="E25" s="9">
        <f t="shared" si="0"/>
        <v>45361.338200000006</v>
      </c>
      <c r="G25">
        <v>14</v>
      </c>
      <c r="H25" s="16">
        <v>37625</v>
      </c>
      <c r="I25" s="16">
        <v>7773</v>
      </c>
      <c r="J25" s="16">
        <v>2224</v>
      </c>
      <c r="K25">
        <f t="shared" si="1"/>
        <v>47622</v>
      </c>
      <c r="W25" s="9"/>
    </row>
    <row r="26" spans="1:23" x14ac:dyDescent="0.25">
      <c r="A26">
        <v>15</v>
      </c>
      <c r="B26" s="9">
        <v>47334.2431</v>
      </c>
      <c r="C26" s="9">
        <v>6097.9681</v>
      </c>
      <c r="D26" s="9">
        <v>1916.9122</v>
      </c>
      <c r="E26" s="9">
        <f t="shared" si="0"/>
        <v>55349.123399999997</v>
      </c>
      <c r="G26">
        <v>15</v>
      </c>
      <c r="H26" s="16">
        <v>46514</v>
      </c>
      <c r="I26" s="16">
        <v>8787</v>
      </c>
      <c r="J26" s="16">
        <v>2472</v>
      </c>
      <c r="K26">
        <f t="shared" si="1"/>
        <v>57773</v>
      </c>
      <c r="W26" s="9"/>
    </row>
    <row r="27" spans="1:23" x14ac:dyDescent="0.25">
      <c r="A27">
        <v>16</v>
      </c>
      <c r="B27" s="9">
        <v>39952.907599999999</v>
      </c>
      <c r="C27" s="9">
        <v>7390.7619000000004</v>
      </c>
      <c r="D27" s="9">
        <v>387.13959999999997</v>
      </c>
      <c r="E27" s="9">
        <f t="shared" si="0"/>
        <v>47730.809099999999</v>
      </c>
      <c r="G27">
        <v>16</v>
      </c>
      <c r="H27" s="16">
        <v>50712</v>
      </c>
      <c r="I27" s="16">
        <v>9224</v>
      </c>
      <c r="J27" s="16">
        <v>2534</v>
      </c>
      <c r="K27">
        <f t="shared" si="1"/>
        <v>62470</v>
      </c>
      <c r="W27" s="9"/>
    </row>
    <row r="28" spans="1:23" x14ac:dyDescent="0.25">
      <c r="A28">
        <v>17</v>
      </c>
      <c r="B28" s="9">
        <v>27396.1427</v>
      </c>
      <c r="C28" s="9">
        <v>7939.9490999999998</v>
      </c>
      <c r="D28" s="9">
        <v>76.688299999999998</v>
      </c>
      <c r="E28" s="9">
        <f t="shared" si="0"/>
        <v>35412.780100000004</v>
      </c>
      <c r="G28">
        <v>17</v>
      </c>
      <c r="H28" s="16">
        <v>38864</v>
      </c>
      <c r="I28" s="16">
        <v>6677</v>
      </c>
      <c r="J28" s="16">
        <v>1678</v>
      </c>
      <c r="K28">
        <f t="shared" si="1"/>
        <v>47219</v>
      </c>
      <c r="W28" s="9"/>
    </row>
    <row r="29" spans="1:23" x14ac:dyDescent="0.25">
      <c r="A29">
        <v>18</v>
      </c>
      <c r="B29" s="9">
        <v>30478.050899999998</v>
      </c>
      <c r="C29" s="9">
        <v>2439.087</v>
      </c>
      <c r="D29" s="9">
        <v>288.26769999999999</v>
      </c>
      <c r="E29" s="9">
        <f t="shared" si="0"/>
        <v>33205.405599999998</v>
      </c>
      <c r="G29">
        <v>18</v>
      </c>
      <c r="H29" s="16">
        <v>39546</v>
      </c>
      <c r="I29" s="16">
        <v>6236</v>
      </c>
      <c r="J29" s="16">
        <v>1668</v>
      </c>
      <c r="K29">
        <f t="shared" si="1"/>
        <v>47450</v>
      </c>
      <c r="W29" s="9"/>
    </row>
    <row r="30" spans="1:23" x14ac:dyDescent="0.25">
      <c r="A30">
        <v>19</v>
      </c>
      <c r="B30" s="9">
        <v>38006.169900000001</v>
      </c>
      <c r="C30" s="9">
        <v>4820.3725000000004</v>
      </c>
      <c r="D30" s="9">
        <v>661.04279999999994</v>
      </c>
      <c r="E30" s="9">
        <f t="shared" si="0"/>
        <v>43487.585200000001</v>
      </c>
      <c r="G30">
        <v>19</v>
      </c>
      <c r="H30" s="16">
        <v>33818</v>
      </c>
      <c r="I30" s="16">
        <v>5311</v>
      </c>
      <c r="J30" s="16">
        <v>1416</v>
      </c>
      <c r="K30">
        <f t="shared" si="1"/>
        <v>40545</v>
      </c>
      <c r="W30" s="9"/>
    </row>
    <row r="31" spans="1:23" x14ac:dyDescent="0.25">
      <c r="A31">
        <v>20</v>
      </c>
      <c r="B31" s="9">
        <v>31572.426800000001</v>
      </c>
      <c r="C31" s="9">
        <v>1902.6271999999999</v>
      </c>
      <c r="D31" s="9">
        <v>678.8433</v>
      </c>
      <c r="E31" s="9">
        <f t="shared" si="0"/>
        <v>34153.897300000004</v>
      </c>
      <c r="G31">
        <v>20</v>
      </c>
      <c r="H31" s="16">
        <v>31610</v>
      </c>
      <c r="I31" s="16">
        <v>4724</v>
      </c>
      <c r="J31" s="16">
        <v>1260</v>
      </c>
      <c r="K31">
        <f t="shared" si="1"/>
        <v>37594</v>
      </c>
      <c r="W31" s="9"/>
    </row>
    <row r="32" spans="1:23" x14ac:dyDescent="0.25">
      <c r="A32">
        <v>21</v>
      </c>
      <c r="B32" s="9">
        <v>25949.667000000001</v>
      </c>
      <c r="C32" s="9">
        <v>1316.4322</v>
      </c>
      <c r="D32" s="9">
        <v>149.57589999999999</v>
      </c>
      <c r="E32" s="9">
        <f t="shared" si="0"/>
        <v>27415.6751</v>
      </c>
      <c r="G32">
        <v>21</v>
      </c>
      <c r="H32" s="16">
        <v>30390</v>
      </c>
      <c r="I32" s="16">
        <v>4868</v>
      </c>
      <c r="J32" s="16">
        <v>1005</v>
      </c>
      <c r="K32">
        <f t="shared" si="1"/>
        <v>36263</v>
      </c>
      <c r="W32" s="9"/>
    </row>
    <row r="33" spans="1:23" x14ac:dyDescent="0.25">
      <c r="A33">
        <v>22</v>
      </c>
      <c r="B33" s="9">
        <v>18693.508900000001</v>
      </c>
      <c r="C33" s="9">
        <v>629.70240000000001</v>
      </c>
      <c r="D33" s="9">
        <v>142.9049</v>
      </c>
      <c r="E33" s="9">
        <f t="shared" si="0"/>
        <v>19466.1162</v>
      </c>
      <c r="G33">
        <v>22</v>
      </c>
      <c r="H33" s="16">
        <v>23805</v>
      </c>
      <c r="I33" s="16">
        <v>3417</v>
      </c>
      <c r="J33" s="16">
        <v>827</v>
      </c>
      <c r="K33">
        <f t="shared" si="1"/>
        <v>28049</v>
      </c>
      <c r="W33" s="9"/>
    </row>
    <row r="34" spans="1:23" x14ac:dyDescent="0.25">
      <c r="A34">
        <v>23</v>
      </c>
      <c r="B34" s="9">
        <v>17674.863099999999</v>
      </c>
      <c r="C34" s="9">
        <v>1443.5875000000001</v>
      </c>
      <c r="D34" s="9">
        <v>0</v>
      </c>
      <c r="E34" s="9">
        <f t="shared" si="0"/>
        <v>19118.4506</v>
      </c>
      <c r="G34">
        <v>23</v>
      </c>
      <c r="H34" s="16">
        <v>29984</v>
      </c>
      <c r="I34" s="16">
        <v>3852</v>
      </c>
      <c r="J34" s="16">
        <v>898</v>
      </c>
      <c r="K34">
        <f t="shared" si="1"/>
        <v>34734</v>
      </c>
      <c r="W34" s="9"/>
    </row>
    <row r="35" spans="1:23" x14ac:dyDescent="0.25">
      <c r="A35">
        <v>24</v>
      </c>
      <c r="B35" s="9">
        <v>15164.296899999999</v>
      </c>
      <c r="C35" s="9">
        <v>955.52409999999998</v>
      </c>
      <c r="D35" s="9">
        <v>164.9238</v>
      </c>
      <c r="E35" s="9">
        <f t="shared" si="0"/>
        <v>16284.7448</v>
      </c>
      <c r="G35">
        <v>24</v>
      </c>
      <c r="H35" s="16">
        <v>20870</v>
      </c>
      <c r="I35" s="16">
        <v>2989</v>
      </c>
      <c r="J35" s="16">
        <v>612</v>
      </c>
      <c r="K35">
        <f t="shared" si="1"/>
        <v>24471</v>
      </c>
      <c r="W35" s="9"/>
    </row>
    <row r="36" spans="1:23" x14ac:dyDescent="0.25">
      <c r="A36">
        <v>25</v>
      </c>
      <c r="B36" s="9">
        <v>11132.203799999999</v>
      </c>
      <c r="C36" s="9">
        <v>2786.1113999999998</v>
      </c>
      <c r="D36" s="9">
        <v>258.17809999999997</v>
      </c>
      <c r="E36" s="9">
        <f t="shared" si="0"/>
        <v>14176.493299999998</v>
      </c>
      <c r="G36">
        <v>25</v>
      </c>
      <c r="H36" s="16">
        <v>20735</v>
      </c>
      <c r="I36" s="16">
        <v>2959</v>
      </c>
      <c r="J36" s="16">
        <v>731</v>
      </c>
      <c r="K36">
        <f t="shared" si="1"/>
        <v>24425</v>
      </c>
      <c r="W36" s="9"/>
    </row>
    <row r="37" spans="1:23" x14ac:dyDescent="0.25">
      <c r="A37">
        <v>26</v>
      </c>
      <c r="B37" s="9">
        <v>14916.535100000001</v>
      </c>
      <c r="C37" s="9">
        <v>0</v>
      </c>
      <c r="D37" s="9">
        <v>0</v>
      </c>
      <c r="E37" s="9">
        <f t="shared" si="0"/>
        <v>14916.535100000001</v>
      </c>
      <c r="G37">
        <v>26</v>
      </c>
      <c r="H37" s="16">
        <v>18378</v>
      </c>
      <c r="I37" s="16">
        <v>2401</v>
      </c>
      <c r="J37" s="16">
        <v>506</v>
      </c>
      <c r="K37">
        <f t="shared" si="1"/>
        <v>21285</v>
      </c>
      <c r="W37" s="9"/>
    </row>
    <row r="38" spans="1:23" x14ac:dyDescent="0.25">
      <c r="A38">
        <v>27</v>
      </c>
      <c r="B38" s="9">
        <v>10846.57</v>
      </c>
      <c r="C38" s="9">
        <v>781.26779999999997</v>
      </c>
      <c r="D38" s="9">
        <v>210.84309999999999</v>
      </c>
      <c r="E38" s="9">
        <f t="shared" si="0"/>
        <v>11838.680899999999</v>
      </c>
      <c r="G38">
        <v>27</v>
      </c>
      <c r="H38" s="16">
        <v>19328</v>
      </c>
      <c r="I38" s="16">
        <v>3223</v>
      </c>
      <c r="J38" s="16">
        <v>932</v>
      </c>
      <c r="K38">
        <f t="shared" si="1"/>
        <v>23483</v>
      </c>
      <c r="W38" s="9"/>
    </row>
    <row r="39" spans="1:23" x14ac:dyDescent="0.25">
      <c r="A39">
        <v>28</v>
      </c>
      <c r="B39" s="9">
        <v>10341.7716</v>
      </c>
      <c r="C39" s="9">
        <v>1442.5253</v>
      </c>
      <c r="D39" s="9">
        <v>109.3501</v>
      </c>
      <c r="E39" s="9">
        <f t="shared" si="0"/>
        <v>11893.646999999999</v>
      </c>
      <c r="G39">
        <v>28</v>
      </c>
      <c r="H39" s="16">
        <v>13528</v>
      </c>
      <c r="I39" s="16">
        <v>1756</v>
      </c>
      <c r="J39" s="16">
        <v>386</v>
      </c>
      <c r="K39">
        <f t="shared" si="1"/>
        <v>15670</v>
      </c>
      <c r="W39" s="9"/>
    </row>
    <row r="40" spans="1:23" x14ac:dyDescent="0.25">
      <c r="A40">
        <v>29</v>
      </c>
      <c r="B40" s="9">
        <v>9767.0323000000008</v>
      </c>
      <c r="C40" s="9">
        <v>585.74869999999999</v>
      </c>
      <c r="D40" s="9">
        <v>233.0831</v>
      </c>
      <c r="E40" s="9">
        <f t="shared" si="0"/>
        <v>10585.864100000001</v>
      </c>
      <c r="G40">
        <v>29</v>
      </c>
      <c r="H40" s="16">
        <v>13941</v>
      </c>
      <c r="I40" s="16">
        <v>1898</v>
      </c>
      <c r="J40" s="16">
        <v>386</v>
      </c>
      <c r="K40">
        <f t="shared" si="1"/>
        <v>16225</v>
      </c>
      <c r="W40" s="9"/>
    </row>
    <row r="41" spans="1:23" x14ac:dyDescent="0.25">
      <c r="A41">
        <v>30</v>
      </c>
      <c r="B41" s="9">
        <v>9387.6650000000009</v>
      </c>
      <c r="C41" s="9">
        <v>0</v>
      </c>
      <c r="D41" s="9">
        <v>0</v>
      </c>
      <c r="E41" s="9">
        <f t="shared" si="0"/>
        <v>9387.6650000000009</v>
      </c>
      <c r="G41">
        <v>30</v>
      </c>
      <c r="H41" s="16">
        <v>14777</v>
      </c>
      <c r="I41" s="16">
        <v>2038</v>
      </c>
      <c r="J41" s="16">
        <v>401</v>
      </c>
      <c r="K41">
        <f t="shared" si="1"/>
        <v>17216</v>
      </c>
      <c r="W41" s="9"/>
    </row>
    <row r="42" spans="1:23" x14ac:dyDescent="0.25">
      <c r="A42">
        <v>31</v>
      </c>
      <c r="B42" s="9">
        <v>3068.7134000000001</v>
      </c>
      <c r="C42" s="9">
        <v>0</v>
      </c>
      <c r="D42" s="9">
        <v>0</v>
      </c>
      <c r="E42" s="9">
        <f t="shared" si="0"/>
        <v>3068.7134000000001</v>
      </c>
      <c r="G42">
        <v>31</v>
      </c>
      <c r="H42" s="16">
        <v>10568</v>
      </c>
      <c r="I42" s="16">
        <v>1503</v>
      </c>
      <c r="J42" s="16">
        <v>292</v>
      </c>
      <c r="K42">
        <f t="shared" si="1"/>
        <v>12363</v>
      </c>
      <c r="W42" s="9"/>
    </row>
    <row r="43" spans="1:23" x14ac:dyDescent="0.25">
      <c r="A43">
        <v>32</v>
      </c>
      <c r="B43" s="9">
        <v>6988.1571000000004</v>
      </c>
      <c r="C43" s="9">
        <v>0</v>
      </c>
      <c r="D43" s="9">
        <v>0</v>
      </c>
      <c r="E43" s="9">
        <f t="shared" si="0"/>
        <v>6988.1571000000004</v>
      </c>
      <c r="G43">
        <v>32</v>
      </c>
      <c r="H43" s="16">
        <v>9189</v>
      </c>
      <c r="I43" s="16">
        <v>1329</v>
      </c>
      <c r="J43" s="16">
        <v>249</v>
      </c>
      <c r="K43">
        <f t="shared" si="1"/>
        <v>10767</v>
      </c>
      <c r="W43" s="9"/>
    </row>
    <row r="44" spans="1:23" x14ac:dyDescent="0.25">
      <c r="A44">
        <v>33</v>
      </c>
      <c r="B44" s="9">
        <v>5310.817</v>
      </c>
      <c r="C44" s="9">
        <v>221.9759</v>
      </c>
      <c r="D44" s="9">
        <v>149.57589999999999</v>
      </c>
      <c r="E44" s="9">
        <f t="shared" si="0"/>
        <v>5682.3688000000002</v>
      </c>
      <c r="G44">
        <v>33</v>
      </c>
      <c r="H44" s="16">
        <v>8626</v>
      </c>
      <c r="I44" s="16">
        <v>1150</v>
      </c>
      <c r="J44" s="16">
        <v>254</v>
      </c>
      <c r="K44">
        <f t="shared" si="1"/>
        <v>10030</v>
      </c>
      <c r="W44" s="9"/>
    </row>
    <row r="45" spans="1:23" x14ac:dyDescent="0.25">
      <c r="A45">
        <v>34</v>
      </c>
      <c r="B45" s="9">
        <v>8363.0007000000005</v>
      </c>
      <c r="C45" s="9">
        <v>511.8021</v>
      </c>
      <c r="D45" s="9">
        <v>0</v>
      </c>
      <c r="E45" s="9">
        <f t="shared" si="0"/>
        <v>8874.8028000000013</v>
      </c>
      <c r="G45">
        <v>34</v>
      </c>
      <c r="H45" s="16">
        <v>8067</v>
      </c>
      <c r="I45" s="16">
        <v>1107</v>
      </c>
      <c r="J45" s="16">
        <v>264</v>
      </c>
      <c r="K45">
        <f t="shared" si="1"/>
        <v>9438</v>
      </c>
      <c r="W45" s="9"/>
    </row>
    <row r="46" spans="1:23" x14ac:dyDescent="0.25">
      <c r="A46">
        <v>35</v>
      </c>
      <c r="B46" s="9">
        <v>4107.8891000000003</v>
      </c>
      <c r="C46" s="9">
        <v>355.0009</v>
      </c>
      <c r="D46" s="9">
        <v>238.0368</v>
      </c>
      <c r="E46" s="9">
        <f t="shared" si="0"/>
        <v>4700.9268000000002</v>
      </c>
      <c r="G46">
        <v>35</v>
      </c>
      <c r="H46" s="16">
        <v>7097</v>
      </c>
      <c r="I46" s="16">
        <v>889</v>
      </c>
      <c r="J46" s="16">
        <v>172</v>
      </c>
      <c r="K46">
        <f t="shared" si="1"/>
        <v>8158</v>
      </c>
      <c r="W46" s="9"/>
    </row>
    <row r="47" spans="1:23" x14ac:dyDescent="0.25">
      <c r="A47">
        <v>36</v>
      </c>
      <c r="B47" s="9">
        <v>2188.5616</v>
      </c>
      <c r="C47" s="9">
        <v>726.28700000000003</v>
      </c>
      <c r="D47" s="9">
        <v>238.0368</v>
      </c>
      <c r="E47" s="9">
        <f t="shared" si="0"/>
        <v>3152.8854000000001</v>
      </c>
      <c r="G47">
        <v>36</v>
      </c>
      <c r="H47" s="16">
        <v>8618</v>
      </c>
      <c r="I47" s="16">
        <v>1018</v>
      </c>
      <c r="J47" s="16">
        <v>172</v>
      </c>
      <c r="K47">
        <f t="shared" si="1"/>
        <v>9808</v>
      </c>
      <c r="W47" s="9"/>
    </row>
    <row r="48" spans="1:23" x14ac:dyDescent="0.25">
      <c r="A48">
        <v>37</v>
      </c>
      <c r="B48" s="9">
        <v>8063.3669</v>
      </c>
      <c r="C48" s="9">
        <v>0</v>
      </c>
      <c r="D48" s="9">
        <v>218.62780000000001</v>
      </c>
      <c r="E48" s="9">
        <f t="shared" si="0"/>
        <v>8281.9946999999993</v>
      </c>
      <c r="G48">
        <v>37</v>
      </c>
      <c r="H48" s="16">
        <v>8120</v>
      </c>
      <c r="I48" s="16">
        <v>997</v>
      </c>
      <c r="J48" s="16">
        <v>163</v>
      </c>
      <c r="K48">
        <f t="shared" si="1"/>
        <v>9280</v>
      </c>
      <c r="W48" s="9"/>
    </row>
    <row r="49" spans="1:23" x14ac:dyDescent="0.25">
      <c r="A49">
        <v>38</v>
      </c>
      <c r="B49" s="9">
        <v>3432.1527000000001</v>
      </c>
      <c r="C49" s="9">
        <v>717.72460000000001</v>
      </c>
      <c r="D49" s="9">
        <v>505.63600000000002</v>
      </c>
      <c r="E49" s="9">
        <f t="shared" si="0"/>
        <v>4655.5133000000005</v>
      </c>
      <c r="G49">
        <v>38</v>
      </c>
      <c r="H49" s="16">
        <v>6982</v>
      </c>
      <c r="I49" s="16">
        <v>707</v>
      </c>
      <c r="J49" s="16">
        <v>122</v>
      </c>
      <c r="K49">
        <f t="shared" si="1"/>
        <v>7811</v>
      </c>
      <c r="W49" s="9"/>
    </row>
    <row r="50" spans="1:23" x14ac:dyDescent="0.25">
      <c r="A50">
        <v>39</v>
      </c>
      <c r="B50" s="9">
        <v>6392.9867999999997</v>
      </c>
      <c r="C50" s="9">
        <v>56.973500000000001</v>
      </c>
      <c r="D50" s="9">
        <v>258.15309999999999</v>
      </c>
      <c r="E50" s="9">
        <f t="shared" si="0"/>
        <v>6708.1134000000002</v>
      </c>
      <c r="G50">
        <v>39</v>
      </c>
      <c r="H50" s="16">
        <v>6287</v>
      </c>
      <c r="I50" s="16">
        <v>706</v>
      </c>
      <c r="J50" s="16">
        <v>102</v>
      </c>
      <c r="K50">
        <f t="shared" si="1"/>
        <v>7095</v>
      </c>
      <c r="W50" s="9"/>
    </row>
    <row r="51" spans="1:23" x14ac:dyDescent="0.25">
      <c r="A51">
        <v>40</v>
      </c>
      <c r="B51" s="9">
        <v>3627.6376999999998</v>
      </c>
      <c r="C51" s="9">
        <v>0</v>
      </c>
      <c r="D51" s="9">
        <v>0</v>
      </c>
      <c r="E51" s="9">
        <f t="shared" si="0"/>
        <v>3627.6376999999998</v>
      </c>
      <c r="G51">
        <v>40</v>
      </c>
      <c r="H51" s="16">
        <v>5214</v>
      </c>
      <c r="I51" s="16">
        <v>697</v>
      </c>
      <c r="J51" s="16">
        <v>111</v>
      </c>
      <c r="K51">
        <f t="shared" si="1"/>
        <v>6022</v>
      </c>
      <c r="W51" s="9"/>
    </row>
    <row r="52" spans="1:23" x14ac:dyDescent="0.25">
      <c r="A52">
        <v>41</v>
      </c>
      <c r="B52" s="9">
        <v>1776.905</v>
      </c>
      <c r="C52" s="9">
        <v>585.62819999999999</v>
      </c>
      <c r="D52" s="9">
        <v>0</v>
      </c>
      <c r="E52" s="9">
        <f t="shared" si="0"/>
        <v>2362.5331999999999</v>
      </c>
      <c r="G52">
        <v>41</v>
      </c>
      <c r="H52" s="16">
        <v>5004</v>
      </c>
      <c r="I52" s="16">
        <v>539</v>
      </c>
      <c r="J52" s="16">
        <v>83</v>
      </c>
      <c r="K52">
        <f t="shared" si="1"/>
        <v>5626</v>
      </c>
      <c r="W52" s="9"/>
    </row>
    <row r="53" spans="1:23" x14ac:dyDescent="0.25">
      <c r="A53">
        <v>42</v>
      </c>
      <c r="B53" s="9">
        <v>4517.5738000000001</v>
      </c>
      <c r="C53" s="9">
        <v>87.552599999999998</v>
      </c>
      <c r="D53" s="9">
        <v>0</v>
      </c>
      <c r="E53" s="9">
        <f t="shared" si="0"/>
        <v>4605.1264000000001</v>
      </c>
      <c r="G53">
        <v>42</v>
      </c>
      <c r="H53" s="16">
        <v>4894</v>
      </c>
      <c r="I53" s="16">
        <v>538</v>
      </c>
      <c r="J53" s="16">
        <v>120</v>
      </c>
      <c r="K53">
        <f t="shared" si="1"/>
        <v>5552</v>
      </c>
      <c r="W53" s="9"/>
    </row>
    <row r="54" spans="1:23" x14ac:dyDescent="0.25">
      <c r="A54">
        <v>43</v>
      </c>
      <c r="B54" s="9">
        <v>2574.2503999999999</v>
      </c>
      <c r="C54" s="9">
        <v>0</v>
      </c>
      <c r="D54" s="9">
        <v>0</v>
      </c>
      <c r="E54" s="9">
        <f t="shared" si="0"/>
        <v>2574.2503999999999</v>
      </c>
      <c r="G54">
        <v>43</v>
      </c>
      <c r="H54" s="16">
        <v>3013</v>
      </c>
      <c r="I54" s="16">
        <v>375</v>
      </c>
      <c r="J54" s="16">
        <v>40</v>
      </c>
      <c r="K54">
        <f t="shared" si="1"/>
        <v>3428</v>
      </c>
      <c r="W54" s="9"/>
    </row>
    <row r="55" spans="1:23" x14ac:dyDescent="0.25">
      <c r="A55">
        <v>44</v>
      </c>
      <c r="B55" s="9">
        <v>2273.8326999999999</v>
      </c>
      <c r="C55" s="9">
        <v>648.19590000000005</v>
      </c>
      <c r="D55" s="9">
        <v>0</v>
      </c>
      <c r="E55" s="9">
        <f t="shared" si="0"/>
        <v>2922.0286000000001</v>
      </c>
      <c r="G55">
        <v>44</v>
      </c>
      <c r="H55" s="16">
        <v>2741</v>
      </c>
      <c r="I55" s="16">
        <v>332</v>
      </c>
      <c r="J55" s="16">
        <v>48</v>
      </c>
      <c r="K55">
        <f t="shared" si="1"/>
        <v>3121</v>
      </c>
      <c r="W55" s="9"/>
    </row>
    <row r="56" spans="1:23" x14ac:dyDescent="0.25">
      <c r="A56">
        <v>45</v>
      </c>
      <c r="B56" s="9">
        <v>548.22590000000002</v>
      </c>
      <c r="C56" s="9">
        <v>286.24329999999998</v>
      </c>
      <c r="D56" s="9">
        <v>0</v>
      </c>
      <c r="E56" s="9">
        <f t="shared" si="0"/>
        <v>834.4692</v>
      </c>
      <c r="G56">
        <v>45</v>
      </c>
      <c r="H56" s="16">
        <v>5108</v>
      </c>
      <c r="I56" s="16">
        <v>522</v>
      </c>
      <c r="J56" s="16">
        <v>103</v>
      </c>
      <c r="K56">
        <f t="shared" si="1"/>
        <v>5733</v>
      </c>
      <c r="W56" s="9"/>
    </row>
    <row r="57" spans="1:23" x14ac:dyDescent="0.25">
      <c r="A57">
        <v>46</v>
      </c>
      <c r="B57" s="9">
        <v>1691.2033999999999</v>
      </c>
      <c r="C57" s="9">
        <v>0</v>
      </c>
      <c r="D57" s="9">
        <v>321.49549999999999</v>
      </c>
      <c r="E57" s="9">
        <f t="shared" si="0"/>
        <v>2012.6988999999999</v>
      </c>
      <c r="G57">
        <v>46</v>
      </c>
      <c r="H57" s="16">
        <v>3409</v>
      </c>
      <c r="I57" s="16">
        <v>394</v>
      </c>
      <c r="J57" s="16">
        <v>66</v>
      </c>
      <c r="K57">
        <f t="shared" si="1"/>
        <v>3869</v>
      </c>
      <c r="W57" s="9"/>
    </row>
    <row r="58" spans="1:23" x14ac:dyDescent="0.25">
      <c r="A58">
        <v>47</v>
      </c>
      <c r="B58" s="9">
        <v>3453.3629000000001</v>
      </c>
      <c r="C58" s="9">
        <v>0</v>
      </c>
      <c r="D58" s="9">
        <v>0</v>
      </c>
      <c r="E58" s="9">
        <f t="shared" si="0"/>
        <v>3453.3629000000001</v>
      </c>
      <c r="G58">
        <v>47</v>
      </c>
      <c r="H58" s="16">
        <v>3000</v>
      </c>
      <c r="I58" s="16">
        <v>350</v>
      </c>
      <c r="J58" s="16">
        <v>70</v>
      </c>
      <c r="K58">
        <f t="shared" si="1"/>
        <v>3420</v>
      </c>
      <c r="W58" s="9"/>
    </row>
    <row r="59" spans="1:23" x14ac:dyDescent="0.25">
      <c r="A59">
        <v>48</v>
      </c>
      <c r="B59" s="9">
        <v>4284.2075999999997</v>
      </c>
      <c r="C59" s="9">
        <v>0</v>
      </c>
      <c r="D59" s="9">
        <v>0</v>
      </c>
      <c r="E59" s="9">
        <f t="shared" si="0"/>
        <v>4284.2075999999997</v>
      </c>
      <c r="G59">
        <v>48</v>
      </c>
      <c r="H59" s="16">
        <v>1778</v>
      </c>
      <c r="I59" s="16">
        <v>245</v>
      </c>
      <c r="J59" s="16">
        <v>30</v>
      </c>
      <c r="K59">
        <f t="shared" si="1"/>
        <v>2053</v>
      </c>
      <c r="W59" s="9"/>
    </row>
    <row r="60" spans="1:23" x14ac:dyDescent="0.25">
      <c r="A60">
        <v>49</v>
      </c>
      <c r="B60" s="9">
        <v>852.64760000000001</v>
      </c>
      <c r="C60" s="9">
        <v>0</v>
      </c>
      <c r="D60" s="9">
        <v>0</v>
      </c>
      <c r="E60" s="9">
        <f t="shared" si="0"/>
        <v>852.64760000000001</v>
      </c>
      <c r="G60">
        <v>49</v>
      </c>
      <c r="H60" s="16">
        <v>2049</v>
      </c>
      <c r="I60" s="16">
        <v>219</v>
      </c>
      <c r="J60" s="16">
        <v>32</v>
      </c>
      <c r="K60">
        <f t="shared" si="1"/>
        <v>2300</v>
      </c>
      <c r="W60" s="9"/>
    </row>
    <row r="61" spans="1:23" x14ac:dyDescent="0.25">
      <c r="A61">
        <v>50</v>
      </c>
      <c r="B61" s="9">
        <v>327.83109999999999</v>
      </c>
      <c r="C61" s="9">
        <v>105.4442</v>
      </c>
      <c r="D61" s="9">
        <v>0</v>
      </c>
      <c r="E61" s="9">
        <f t="shared" si="0"/>
        <v>433.27530000000002</v>
      </c>
      <c r="G61">
        <v>50</v>
      </c>
      <c r="H61" s="16">
        <v>2065</v>
      </c>
      <c r="I61" s="16">
        <v>182</v>
      </c>
      <c r="J61" s="16">
        <v>61</v>
      </c>
      <c r="K61">
        <f t="shared" si="1"/>
        <v>2308</v>
      </c>
      <c r="W61" s="9"/>
    </row>
    <row r="62" spans="1:23" x14ac:dyDescent="0.25">
      <c r="A62">
        <v>51</v>
      </c>
      <c r="B62" s="9">
        <v>650.32550000000003</v>
      </c>
      <c r="C62" s="9">
        <v>0</v>
      </c>
      <c r="D62" s="9">
        <v>0</v>
      </c>
      <c r="E62" s="9">
        <f t="shared" si="0"/>
        <v>650.32550000000003</v>
      </c>
      <c r="G62">
        <v>51</v>
      </c>
      <c r="H62" s="16">
        <v>1938</v>
      </c>
      <c r="I62" s="16">
        <v>191</v>
      </c>
      <c r="J62" s="16">
        <v>38</v>
      </c>
      <c r="K62">
        <f t="shared" si="1"/>
        <v>2167</v>
      </c>
      <c r="W62" s="9"/>
    </row>
    <row r="63" spans="1:23" x14ac:dyDescent="0.25">
      <c r="A63">
        <v>52</v>
      </c>
      <c r="B63" s="9">
        <v>1111.4619</v>
      </c>
      <c r="C63" s="9">
        <v>268.3759</v>
      </c>
      <c r="D63" s="9">
        <v>0</v>
      </c>
      <c r="E63" s="9">
        <f t="shared" si="0"/>
        <v>1379.8378</v>
      </c>
      <c r="G63">
        <v>52</v>
      </c>
      <c r="H63" s="16">
        <v>1576</v>
      </c>
      <c r="I63" s="16">
        <v>150</v>
      </c>
      <c r="J63" s="16">
        <v>22</v>
      </c>
      <c r="K63">
        <f t="shared" si="1"/>
        <v>1748</v>
      </c>
      <c r="W63" s="9"/>
    </row>
    <row r="64" spans="1:23" x14ac:dyDescent="0.25">
      <c r="A64">
        <v>53</v>
      </c>
      <c r="B64" s="9">
        <v>798.61070000000007</v>
      </c>
      <c r="C64" s="9">
        <v>0</v>
      </c>
      <c r="D64" s="9">
        <v>165.18559999999999</v>
      </c>
      <c r="E64" s="9">
        <f t="shared" si="0"/>
        <v>963.79630000000009</v>
      </c>
      <c r="G64">
        <v>53</v>
      </c>
      <c r="H64" s="16">
        <v>1329</v>
      </c>
      <c r="I64" s="16">
        <v>121</v>
      </c>
      <c r="J64" s="16">
        <v>12</v>
      </c>
      <c r="K64">
        <f t="shared" si="1"/>
        <v>1462</v>
      </c>
      <c r="W64" s="9"/>
    </row>
    <row r="65" spans="1:23" x14ac:dyDescent="0.25">
      <c r="A65">
        <v>54</v>
      </c>
      <c r="B65" s="9">
        <v>2329.39</v>
      </c>
      <c r="C65" s="9">
        <v>1521.7979</v>
      </c>
      <c r="D65" s="9">
        <v>0</v>
      </c>
      <c r="E65" s="9">
        <f t="shared" si="0"/>
        <v>3851.1878999999999</v>
      </c>
      <c r="G65">
        <v>54</v>
      </c>
      <c r="H65" s="16">
        <v>1047</v>
      </c>
      <c r="I65" s="16">
        <v>105</v>
      </c>
      <c r="J65" s="16">
        <v>19</v>
      </c>
      <c r="K65">
        <f t="shared" si="1"/>
        <v>1171</v>
      </c>
      <c r="W65" s="9"/>
    </row>
    <row r="66" spans="1:23" x14ac:dyDescent="0.25">
      <c r="A66">
        <v>55</v>
      </c>
      <c r="B66" s="9">
        <v>1788.5024000000001</v>
      </c>
      <c r="C66" s="9">
        <v>71.854200000000006</v>
      </c>
      <c r="D66" s="9">
        <v>0</v>
      </c>
      <c r="E66" s="9">
        <f t="shared" si="0"/>
        <v>1860.3566000000001</v>
      </c>
      <c r="G66">
        <v>55</v>
      </c>
      <c r="H66" s="16">
        <v>1235</v>
      </c>
      <c r="I66" s="16">
        <v>136</v>
      </c>
      <c r="J66" s="16">
        <v>14</v>
      </c>
      <c r="K66">
        <f t="shared" si="1"/>
        <v>1385</v>
      </c>
      <c r="W66" s="9"/>
    </row>
    <row r="67" spans="1:23" x14ac:dyDescent="0.25">
      <c r="A67">
        <v>56</v>
      </c>
      <c r="B67" s="9">
        <v>602.62779999999998</v>
      </c>
      <c r="C67" s="9">
        <v>0</v>
      </c>
      <c r="D67" s="9">
        <v>0</v>
      </c>
      <c r="E67" s="9">
        <f t="shared" si="0"/>
        <v>602.62779999999998</v>
      </c>
      <c r="G67">
        <v>56</v>
      </c>
      <c r="H67" s="16">
        <v>1190</v>
      </c>
      <c r="I67" s="16">
        <v>151</v>
      </c>
      <c r="J67" s="16">
        <v>35</v>
      </c>
      <c r="K67">
        <f t="shared" si="1"/>
        <v>1376</v>
      </c>
      <c r="W67" s="9"/>
    </row>
    <row r="68" spans="1:23" x14ac:dyDescent="0.25">
      <c r="A68">
        <v>57</v>
      </c>
      <c r="B68" s="9">
        <v>821.63049999999998</v>
      </c>
      <c r="C68" s="9">
        <v>0</v>
      </c>
      <c r="D68" s="9">
        <v>0</v>
      </c>
      <c r="E68" s="9">
        <f t="shared" si="0"/>
        <v>821.63049999999998</v>
      </c>
      <c r="G68">
        <v>57</v>
      </c>
      <c r="H68" s="16">
        <v>767</v>
      </c>
      <c r="I68" s="16">
        <v>59</v>
      </c>
      <c r="J68" s="16">
        <v>14</v>
      </c>
      <c r="K68">
        <f t="shared" si="1"/>
        <v>840</v>
      </c>
      <c r="W68" s="9"/>
    </row>
    <row r="69" spans="1:23" x14ac:dyDescent="0.25">
      <c r="A69">
        <v>58</v>
      </c>
      <c r="B69" s="9">
        <v>1419.4822999999999</v>
      </c>
      <c r="C69" s="9">
        <v>0</v>
      </c>
      <c r="D69" s="9">
        <v>0</v>
      </c>
      <c r="E69" s="9">
        <f t="shared" si="0"/>
        <v>1419.4822999999999</v>
      </c>
      <c r="G69">
        <v>58</v>
      </c>
      <c r="H69" s="16">
        <v>982</v>
      </c>
      <c r="I69" s="16">
        <v>83</v>
      </c>
      <c r="J69" s="16">
        <v>24</v>
      </c>
      <c r="K69">
        <f t="shared" si="1"/>
        <v>1089</v>
      </c>
      <c r="W69" s="9"/>
    </row>
    <row r="70" spans="1:23" x14ac:dyDescent="0.25">
      <c r="A70">
        <v>59</v>
      </c>
      <c r="B70" s="9">
        <v>322.31849999999997</v>
      </c>
      <c r="C70" s="9">
        <v>203.33840000000001</v>
      </c>
      <c r="D70" s="9">
        <v>0</v>
      </c>
      <c r="E70" s="9">
        <f t="shared" si="0"/>
        <v>525.65689999999995</v>
      </c>
      <c r="G70">
        <v>59</v>
      </c>
      <c r="H70" s="16">
        <v>787</v>
      </c>
      <c r="I70" s="16">
        <v>73</v>
      </c>
      <c r="J70" s="16">
        <v>14</v>
      </c>
      <c r="K70">
        <f t="shared" si="1"/>
        <v>874</v>
      </c>
      <c r="W70" s="9"/>
    </row>
    <row r="71" spans="1:23" x14ac:dyDescent="0.25">
      <c r="A71">
        <v>60</v>
      </c>
      <c r="B71" s="9">
        <v>0</v>
      </c>
      <c r="C71" s="9">
        <v>0</v>
      </c>
      <c r="D71" s="9">
        <v>0</v>
      </c>
      <c r="E71" s="9">
        <f t="shared" si="0"/>
        <v>0</v>
      </c>
      <c r="G71">
        <v>60</v>
      </c>
      <c r="H71" s="16">
        <v>847</v>
      </c>
      <c r="I71" s="16">
        <v>95</v>
      </c>
      <c r="J71" s="16">
        <v>16</v>
      </c>
      <c r="K71">
        <f t="shared" si="1"/>
        <v>958</v>
      </c>
      <c r="W71" s="9"/>
    </row>
    <row r="72" spans="1:23" x14ac:dyDescent="0.25">
      <c r="A72">
        <v>61</v>
      </c>
      <c r="B72" s="9">
        <v>86.093599999999995</v>
      </c>
      <c r="C72" s="9">
        <v>0</v>
      </c>
      <c r="D72" s="9">
        <v>0</v>
      </c>
      <c r="E72" s="9">
        <f t="shared" si="0"/>
        <v>86.093599999999995</v>
      </c>
      <c r="G72">
        <v>61</v>
      </c>
      <c r="H72" s="16">
        <v>286</v>
      </c>
      <c r="I72" s="16">
        <v>30</v>
      </c>
      <c r="J72" s="16">
        <v>8</v>
      </c>
      <c r="K72">
        <f t="shared" si="1"/>
        <v>324</v>
      </c>
      <c r="W72" s="9"/>
    </row>
    <row r="73" spans="1:23" x14ac:dyDescent="0.25">
      <c r="A73">
        <v>62</v>
      </c>
      <c r="B73" s="9">
        <v>0</v>
      </c>
      <c r="C73" s="9">
        <v>0</v>
      </c>
      <c r="D73" s="9">
        <v>0</v>
      </c>
      <c r="E73" s="9">
        <f t="shared" si="0"/>
        <v>0</v>
      </c>
      <c r="G73">
        <v>62</v>
      </c>
      <c r="H73" s="16">
        <v>712</v>
      </c>
      <c r="I73" s="16">
        <v>70</v>
      </c>
      <c r="J73" s="16">
        <v>7</v>
      </c>
      <c r="K73">
        <f t="shared" si="1"/>
        <v>789</v>
      </c>
      <c r="W73" s="9"/>
    </row>
    <row r="74" spans="1:23" x14ac:dyDescent="0.25">
      <c r="A74">
        <v>63</v>
      </c>
      <c r="B74" s="9">
        <v>368.66719999999998</v>
      </c>
      <c r="C74" s="9">
        <v>167.0675</v>
      </c>
      <c r="D74" s="9">
        <v>0</v>
      </c>
      <c r="E74" s="9">
        <f t="shared" si="0"/>
        <v>535.73469999999998</v>
      </c>
      <c r="G74">
        <v>63</v>
      </c>
      <c r="H74" s="16">
        <v>468</v>
      </c>
      <c r="I74" s="16">
        <v>29</v>
      </c>
      <c r="J74" s="16">
        <v>10</v>
      </c>
      <c r="K74">
        <f t="shared" si="1"/>
        <v>507</v>
      </c>
      <c r="W74" s="9"/>
    </row>
    <row r="75" spans="1:23" x14ac:dyDescent="0.25">
      <c r="A75">
        <v>64</v>
      </c>
      <c r="B75" s="9">
        <v>471.4812</v>
      </c>
      <c r="C75" s="9">
        <v>0</v>
      </c>
      <c r="D75" s="9">
        <v>0</v>
      </c>
      <c r="E75" s="9">
        <f t="shared" si="0"/>
        <v>471.4812</v>
      </c>
      <c r="G75">
        <v>64</v>
      </c>
      <c r="H75" s="16">
        <v>173</v>
      </c>
      <c r="I75" s="16">
        <v>20</v>
      </c>
      <c r="J75" s="16">
        <v>5</v>
      </c>
      <c r="K75">
        <f t="shared" si="1"/>
        <v>198</v>
      </c>
      <c r="W75" s="9"/>
    </row>
    <row r="76" spans="1:23" x14ac:dyDescent="0.25">
      <c r="A76">
        <v>65</v>
      </c>
      <c r="B76" s="9">
        <v>315.6103</v>
      </c>
      <c r="C76" s="9">
        <v>0</v>
      </c>
      <c r="D76" s="9">
        <v>0</v>
      </c>
      <c r="E76" s="9">
        <f t="shared" ref="E76:E100" si="2">SUM(B76:D76)</f>
        <v>315.6103</v>
      </c>
      <c r="G76">
        <v>65</v>
      </c>
      <c r="H76" s="16">
        <v>344</v>
      </c>
      <c r="I76" s="16">
        <v>31</v>
      </c>
      <c r="J76" s="16">
        <v>5</v>
      </c>
      <c r="K76">
        <f t="shared" ref="K76:K101" si="3">SUM(H76:J76)</f>
        <v>380</v>
      </c>
      <c r="W76" s="9"/>
    </row>
    <row r="77" spans="1:23" x14ac:dyDescent="0.25">
      <c r="A77">
        <v>66</v>
      </c>
      <c r="B77" s="9">
        <v>0</v>
      </c>
      <c r="C77" s="9">
        <v>0</v>
      </c>
      <c r="D77" s="9">
        <v>0</v>
      </c>
      <c r="E77" s="9">
        <f t="shared" si="2"/>
        <v>0</v>
      </c>
      <c r="G77">
        <v>66</v>
      </c>
      <c r="H77" s="16">
        <v>328</v>
      </c>
      <c r="I77" s="16">
        <v>33</v>
      </c>
      <c r="J77" s="16">
        <v>4</v>
      </c>
      <c r="K77">
        <f t="shared" si="3"/>
        <v>365</v>
      </c>
      <c r="W77" s="9"/>
    </row>
    <row r="78" spans="1:23" x14ac:dyDescent="0.25">
      <c r="A78">
        <v>67</v>
      </c>
      <c r="B78" s="9">
        <v>0</v>
      </c>
      <c r="C78" s="9">
        <v>0</v>
      </c>
      <c r="D78" s="9">
        <v>0</v>
      </c>
      <c r="E78" s="9">
        <f t="shared" si="2"/>
        <v>0</v>
      </c>
      <c r="G78">
        <v>67</v>
      </c>
      <c r="H78" s="16">
        <v>106</v>
      </c>
      <c r="I78" s="16">
        <v>5</v>
      </c>
      <c r="J78" s="16">
        <v>2</v>
      </c>
      <c r="K78">
        <f t="shared" si="3"/>
        <v>113</v>
      </c>
      <c r="W78" s="9"/>
    </row>
    <row r="79" spans="1:23" x14ac:dyDescent="0.25">
      <c r="A79">
        <v>68</v>
      </c>
      <c r="B79" s="9">
        <v>0</v>
      </c>
      <c r="C79" s="9">
        <v>0</v>
      </c>
      <c r="D79" s="9">
        <v>0</v>
      </c>
      <c r="E79" s="9">
        <f t="shared" si="2"/>
        <v>0</v>
      </c>
      <c r="G79">
        <v>68</v>
      </c>
      <c r="H79" s="16">
        <v>300</v>
      </c>
      <c r="I79" s="16">
        <v>24</v>
      </c>
      <c r="J79" s="16">
        <v>1</v>
      </c>
      <c r="K79">
        <f t="shared" si="3"/>
        <v>325</v>
      </c>
      <c r="W79" s="9"/>
    </row>
    <row r="80" spans="1:23" x14ac:dyDescent="0.25">
      <c r="A80">
        <v>69</v>
      </c>
      <c r="B80" s="9">
        <v>147.13730000000001</v>
      </c>
      <c r="C80" s="9">
        <v>0</v>
      </c>
      <c r="D80" s="9">
        <v>0</v>
      </c>
      <c r="E80" s="9">
        <f t="shared" si="2"/>
        <v>147.13730000000001</v>
      </c>
      <c r="G80">
        <v>69</v>
      </c>
      <c r="H80" s="16">
        <v>252</v>
      </c>
      <c r="I80" s="16">
        <v>22</v>
      </c>
      <c r="J80" s="16">
        <v>4</v>
      </c>
      <c r="K80">
        <f t="shared" si="3"/>
        <v>278</v>
      </c>
      <c r="W80" s="9"/>
    </row>
    <row r="81" spans="1:23" x14ac:dyDescent="0.25">
      <c r="A81">
        <v>70</v>
      </c>
      <c r="B81" s="9">
        <v>315.68950000000001</v>
      </c>
      <c r="C81" s="9">
        <v>0</v>
      </c>
      <c r="D81" s="9">
        <v>0</v>
      </c>
      <c r="E81" s="9">
        <f t="shared" si="2"/>
        <v>315.68950000000001</v>
      </c>
      <c r="G81">
        <v>70</v>
      </c>
      <c r="H81" s="16">
        <v>427</v>
      </c>
      <c r="I81" s="16">
        <v>25</v>
      </c>
      <c r="J81" s="16">
        <v>9</v>
      </c>
      <c r="K81">
        <f t="shared" si="3"/>
        <v>461</v>
      </c>
      <c r="W81" s="9"/>
    </row>
    <row r="82" spans="1:23" x14ac:dyDescent="0.25">
      <c r="A82">
        <v>71</v>
      </c>
      <c r="B82" s="9">
        <v>138.9538</v>
      </c>
      <c r="C82" s="9">
        <v>0</v>
      </c>
      <c r="D82" s="9">
        <v>0</v>
      </c>
      <c r="E82" s="9">
        <f t="shared" si="2"/>
        <v>138.9538</v>
      </c>
      <c r="G82">
        <v>71</v>
      </c>
      <c r="H82" s="16">
        <v>317</v>
      </c>
      <c r="I82" s="16">
        <v>36</v>
      </c>
      <c r="J82" s="16">
        <v>10</v>
      </c>
      <c r="K82">
        <f t="shared" si="3"/>
        <v>363</v>
      </c>
      <c r="W82" s="9"/>
    </row>
    <row r="83" spans="1:23" x14ac:dyDescent="0.25">
      <c r="A83">
        <v>72</v>
      </c>
      <c r="B83" s="9">
        <v>0</v>
      </c>
      <c r="C83" s="9">
        <v>0</v>
      </c>
      <c r="D83" s="9">
        <v>0</v>
      </c>
      <c r="E83" s="9">
        <f t="shared" si="2"/>
        <v>0</v>
      </c>
      <c r="G83">
        <v>72</v>
      </c>
      <c r="H83" s="16">
        <v>221</v>
      </c>
      <c r="I83" s="16">
        <v>28</v>
      </c>
      <c r="J83" s="16">
        <v>1</v>
      </c>
      <c r="K83">
        <f t="shared" si="3"/>
        <v>250</v>
      </c>
      <c r="W83" s="9"/>
    </row>
    <row r="84" spans="1:23" x14ac:dyDescent="0.25">
      <c r="A84">
        <v>73</v>
      </c>
      <c r="B84" s="9">
        <v>0</v>
      </c>
      <c r="C84" s="9">
        <v>0</v>
      </c>
      <c r="D84" s="9">
        <v>0</v>
      </c>
      <c r="E84" s="9">
        <f t="shared" si="2"/>
        <v>0</v>
      </c>
      <c r="G84">
        <v>73</v>
      </c>
      <c r="H84" s="16">
        <v>258</v>
      </c>
      <c r="I84">
        <v>35</v>
      </c>
      <c r="J84" s="16">
        <v>3</v>
      </c>
      <c r="K84">
        <f t="shared" si="3"/>
        <v>296</v>
      </c>
      <c r="W84" s="9"/>
    </row>
    <row r="85" spans="1:23" x14ac:dyDescent="0.25">
      <c r="A85">
        <v>74</v>
      </c>
      <c r="B85" s="9">
        <v>0</v>
      </c>
      <c r="C85" s="9">
        <v>0</v>
      </c>
      <c r="D85" s="9">
        <v>0</v>
      </c>
      <c r="E85" s="9">
        <f t="shared" si="2"/>
        <v>0</v>
      </c>
      <c r="G85">
        <v>74</v>
      </c>
      <c r="H85" s="16">
        <v>140</v>
      </c>
      <c r="I85" s="16">
        <v>7</v>
      </c>
      <c r="J85" s="16">
        <v>4</v>
      </c>
      <c r="K85">
        <f t="shared" si="3"/>
        <v>151</v>
      </c>
      <c r="W85" s="9"/>
    </row>
    <row r="86" spans="1:23" x14ac:dyDescent="0.25">
      <c r="A86">
        <v>75</v>
      </c>
      <c r="B86" s="9">
        <v>0</v>
      </c>
      <c r="C86" s="9">
        <v>0</v>
      </c>
      <c r="D86" s="9">
        <v>0</v>
      </c>
      <c r="E86" s="9">
        <f t="shared" si="2"/>
        <v>0</v>
      </c>
      <c r="G86">
        <v>75</v>
      </c>
      <c r="H86" s="16">
        <v>89</v>
      </c>
      <c r="I86">
        <v>14</v>
      </c>
      <c r="J86" s="16">
        <v>2</v>
      </c>
      <c r="K86">
        <f t="shared" si="3"/>
        <v>105</v>
      </c>
      <c r="W86" s="9"/>
    </row>
    <row r="87" spans="1:23" x14ac:dyDescent="0.25">
      <c r="A87">
        <v>76</v>
      </c>
      <c r="B87" s="9">
        <v>0</v>
      </c>
      <c r="C87" s="9">
        <v>0</v>
      </c>
      <c r="D87" s="9">
        <v>0</v>
      </c>
      <c r="E87" s="9">
        <f t="shared" si="2"/>
        <v>0</v>
      </c>
      <c r="G87">
        <v>76</v>
      </c>
      <c r="H87" s="16">
        <v>295</v>
      </c>
      <c r="I87">
        <v>19</v>
      </c>
      <c r="J87" s="16">
        <v>8</v>
      </c>
      <c r="K87">
        <f t="shared" si="3"/>
        <v>322</v>
      </c>
      <c r="W87" s="9"/>
    </row>
    <row r="88" spans="1:23" x14ac:dyDescent="0.25">
      <c r="A88">
        <v>77</v>
      </c>
      <c r="B88" s="9">
        <v>409.13839999999999</v>
      </c>
      <c r="C88" s="9">
        <v>0</v>
      </c>
      <c r="D88" s="9">
        <v>0</v>
      </c>
      <c r="E88" s="9">
        <f t="shared" si="2"/>
        <v>409.13839999999999</v>
      </c>
      <c r="G88">
        <v>77</v>
      </c>
      <c r="H88" s="16">
        <v>56</v>
      </c>
      <c r="I88">
        <v>2</v>
      </c>
      <c r="J88">
        <v>3</v>
      </c>
      <c r="K88">
        <f t="shared" si="3"/>
        <v>61</v>
      </c>
      <c r="W88" s="9"/>
    </row>
    <row r="89" spans="1:23" x14ac:dyDescent="0.25">
      <c r="A89">
        <v>78</v>
      </c>
      <c r="B89" s="9">
        <v>0</v>
      </c>
      <c r="C89" s="9">
        <v>0</v>
      </c>
      <c r="D89" s="9">
        <v>0</v>
      </c>
      <c r="E89" s="9">
        <f t="shared" si="2"/>
        <v>0</v>
      </c>
      <c r="G89">
        <v>78</v>
      </c>
      <c r="H89" s="16">
        <v>135</v>
      </c>
      <c r="I89">
        <v>13</v>
      </c>
      <c r="J89">
        <v>5</v>
      </c>
      <c r="K89">
        <f t="shared" si="3"/>
        <v>153</v>
      </c>
      <c r="W89" s="9"/>
    </row>
    <row r="90" spans="1:23" x14ac:dyDescent="0.25">
      <c r="A90">
        <v>79</v>
      </c>
      <c r="B90" s="9">
        <v>0</v>
      </c>
      <c r="C90" s="9">
        <v>0</v>
      </c>
      <c r="D90" s="9">
        <v>0</v>
      </c>
      <c r="E90" s="9">
        <f t="shared" si="2"/>
        <v>0</v>
      </c>
      <c r="G90">
        <v>79</v>
      </c>
      <c r="H90" s="16">
        <v>50</v>
      </c>
      <c r="I90">
        <v>5</v>
      </c>
      <c r="J90">
        <v>2</v>
      </c>
      <c r="K90">
        <f t="shared" si="3"/>
        <v>57</v>
      </c>
      <c r="W90" s="9"/>
    </row>
    <row r="91" spans="1:23" x14ac:dyDescent="0.25">
      <c r="A91">
        <v>80</v>
      </c>
      <c r="B91" s="9">
        <v>0</v>
      </c>
      <c r="C91" s="9">
        <v>0</v>
      </c>
      <c r="D91" s="9">
        <v>0</v>
      </c>
      <c r="E91" s="9">
        <f t="shared" si="2"/>
        <v>0</v>
      </c>
      <c r="G91">
        <v>80</v>
      </c>
      <c r="H91" s="16">
        <v>106</v>
      </c>
      <c r="I91">
        <v>7</v>
      </c>
      <c r="J91">
        <v>1</v>
      </c>
      <c r="K91">
        <f t="shared" si="3"/>
        <v>114</v>
      </c>
      <c r="W91" s="9"/>
    </row>
    <row r="92" spans="1:23" x14ac:dyDescent="0.25">
      <c r="A92">
        <v>81</v>
      </c>
      <c r="B92" s="9">
        <v>0</v>
      </c>
      <c r="C92" s="9">
        <v>0</v>
      </c>
      <c r="D92" s="9">
        <v>232.55410000000001</v>
      </c>
      <c r="E92" s="9">
        <f t="shared" si="2"/>
        <v>232.55410000000001</v>
      </c>
      <c r="G92">
        <v>81</v>
      </c>
      <c r="H92" s="16">
        <v>44</v>
      </c>
      <c r="I92">
        <v>1</v>
      </c>
      <c r="J92">
        <v>1</v>
      </c>
      <c r="K92">
        <f t="shared" si="3"/>
        <v>46</v>
      </c>
      <c r="W92" s="9"/>
    </row>
    <row r="93" spans="1:23" x14ac:dyDescent="0.25">
      <c r="A93">
        <v>82</v>
      </c>
      <c r="B93" s="9">
        <v>0</v>
      </c>
      <c r="C93" s="9">
        <v>0</v>
      </c>
      <c r="D93" s="9">
        <v>0</v>
      </c>
      <c r="E93" s="9">
        <f t="shared" si="2"/>
        <v>0</v>
      </c>
      <c r="G93">
        <v>82</v>
      </c>
      <c r="H93" s="16">
        <v>25</v>
      </c>
      <c r="I93">
        <v>1</v>
      </c>
      <c r="J93">
        <v>1</v>
      </c>
      <c r="K93">
        <f t="shared" si="3"/>
        <v>27</v>
      </c>
      <c r="W93" s="9"/>
    </row>
    <row r="94" spans="1:23" x14ac:dyDescent="0.25">
      <c r="A94">
        <v>83</v>
      </c>
      <c r="B94" s="9">
        <v>0</v>
      </c>
      <c r="C94" s="9">
        <v>79.145200000000003</v>
      </c>
      <c r="D94" s="9">
        <v>0</v>
      </c>
      <c r="E94" s="9">
        <f t="shared" si="2"/>
        <v>79.145200000000003</v>
      </c>
      <c r="G94">
        <v>83</v>
      </c>
      <c r="H94" s="16">
        <v>37</v>
      </c>
      <c r="I94">
        <v>8</v>
      </c>
      <c r="J94">
        <v>0</v>
      </c>
      <c r="K94">
        <f t="shared" si="3"/>
        <v>45</v>
      </c>
      <c r="W94" s="9"/>
    </row>
    <row r="95" spans="1:23" x14ac:dyDescent="0.25">
      <c r="A95">
        <v>84</v>
      </c>
      <c r="B95" s="9">
        <v>0</v>
      </c>
      <c r="C95" s="9">
        <v>0</v>
      </c>
      <c r="D95" s="9">
        <v>0</v>
      </c>
      <c r="E95" s="9">
        <f t="shared" si="2"/>
        <v>0</v>
      </c>
      <c r="G95">
        <v>84</v>
      </c>
      <c r="H95" s="16">
        <v>43</v>
      </c>
      <c r="I95">
        <v>3</v>
      </c>
      <c r="J95">
        <v>2</v>
      </c>
      <c r="K95">
        <f t="shared" si="3"/>
        <v>48</v>
      </c>
      <c r="W95" s="9"/>
    </row>
    <row r="96" spans="1:23" x14ac:dyDescent="0.25">
      <c r="A96">
        <v>85</v>
      </c>
      <c r="B96" s="9">
        <v>0</v>
      </c>
      <c r="C96" s="9">
        <v>0</v>
      </c>
      <c r="D96" s="9">
        <v>0</v>
      </c>
      <c r="E96" s="9">
        <f t="shared" si="2"/>
        <v>0</v>
      </c>
      <c r="G96">
        <v>85</v>
      </c>
      <c r="H96" s="16">
        <v>19</v>
      </c>
      <c r="I96">
        <v>0</v>
      </c>
      <c r="J96">
        <v>0</v>
      </c>
      <c r="K96">
        <f t="shared" si="3"/>
        <v>19</v>
      </c>
      <c r="W96" s="9"/>
    </row>
    <row r="97" spans="1:23" x14ac:dyDescent="0.25">
      <c r="A97">
        <v>86</v>
      </c>
      <c r="B97" s="9">
        <v>0</v>
      </c>
      <c r="C97" s="9">
        <v>0</v>
      </c>
      <c r="D97" s="9">
        <v>0</v>
      </c>
      <c r="E97" s="9">
        <f t="shared" si="2"/>
        <v>0</v>
      </c>
      <c r="G97">
        <v>86</v>
      </c>
      <c r="H97" s="16">
        <v>49</v>
      </c>
      <c r="I97">
        <v>2</v>
      </c>
      <c r="J97">
        <v>0</v>
      </c>
      <c r="K97">
        <f t="shared" si="3"/>
        <v>51</v>
      </c>
      <c r="W97" s="9"/>
    </row>
    <row r="98" spans="1:23" x14ac:dyDescent="0.25">
      <c r="A98">
        <v>87</v>
      </c>
      <c r="B98" s="9">
        <v>0</v>
      </c>
      <c r="C98" s="9">
        <v>0</v>
      </c>
      <c r="D98" s="9">
        <v>0</v>
      </c>
      <c r="E98" s="9">
        <f t="shared" si="2"/>
        <v>0</v>
      </c>
      <c r="G98">
        <v>87</v>
      </c>
      <c r="H98" s="16">
        <v>42</v>
      </c>
      <c r="I98">
        <v>3</v>
      </c>
      <c r="J98">
        <v>0</v>
      </c>
      <c r="K98">
        <f t="shared" si="3"/>
        <v>45</v>
      </c>
      <c r="W98" s="9"/>
    </row>
    <row r="99" spans="1:23" x14ac:dyDescent="0.25">
      <c r="A99">
        <v>88</v>
      </c>
      <c r="B99" s="9">
        <v>0</v>
      </c>
      <c r="C99" s="9">
        <v>0</v>
      </c>
      <c r="D99" s="9">
        <v>0</v>
      </c>
      <c r="E99" s="9">
        <f t="shared" si="2"/>
        <v>0</v>
      </c>
      <c r="G99">
        <v>88</v>
      </c>
      <c r="H99" s="16">
        <v>12</v>
      </c>
      <c r="I99">
        <v>2</v>
      </c>
      <c r="J99">
        <v>0</v>
      </c>
      <c r="K99">
        <f t="shared" si="3"/>
        <v>14</v>
      </c>
      <c r="W99" s="9"/>
    </row>
    <row r="100" spans="1:23" x14ac:dyDescent="0.25">
      <c r="A100">
        <v>89</v>
      </c>
      <c r="B100" s="9">
        <v>0</v>
      </c>
      <c r="C100" s="9">
        <v>0</v>
      </c>
      <c r="D100" s="9">
        <v>0</v>
      </c>
      <c r="E100" s="9">
        <f t="shared" si="2"/>
        <v>0</v>
      </c>
      <c r="G100">
        <v>89</v>
      </c>
      <c r="H100" s="16">
        <v>96</v>
      </c>
      <c r="I100">
        <v>6</v>
      </c>
      <c r="J100">
        <v>1</v>
      </c>
      <c r="K100">
        <f t="shared" si="3"/>
        <v>103</v>
      </c>
      <c r="W100" s="9"/>
    </row>
    <row r="101" spans="1:23" ht="15.75" thickBot="1" x14ac:dyDescent="0.3">
      <c r="A101" s="1" t="s">
        <v>281</v>
      </c>
      <c r="B101" s="10">
        <v>104700.6578</v>
      </c>
      <c r="C101" s="10">
        <v>78770.766900000002</v>
      </c>
      <c r="D101" s="10">
        <v>9339.8181000000004</v>
      </c>
      <c r="E101" s="10">
        <f>SUM(B101:D101)</f>
        <v>192811.24280000001</v>
      </c>
      <c r="G101" s="1" t="s">
        <v>281</v>
      </c>
      <c r="H101" s="17">
        <v>0</v>
      </c>
      <c r="I101" s="1">
        <v>0</v>
      </c>
      <c r="J101" s="1">
        <v>0</v>
      </c>
      <c r="K101" s="1">
        <f t="shared" si="3"/>
        <v>0</v>
      </c>
      <c r="W101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1"/>
  <sheetViews>
    <sheetView workbookViewId="0">
      <selection activeCell="A3" sqref="A3"/>
    </sheetView>
  </sheetViews>
  <sheetFormatPr defaultRowHeight="15" x14ac:dyDescent="0.25"/>
  <sheetData>
    <row r="1" spans="1:23" x14ac:dyDescent="0.25">
      <c r="A1" t="s">
        <v>0</v>
      </c>
    </row>
    <row r="2" spans="1:23" x14ac:dyDescent="0.25">
      <c r="A2" t="s">
        <v>282</v>
      </c>
    </row>
    <row r="3" spans="1:23" x14ac:dyDescent="0.25">
      <c r="A3" t="s">
        <v>283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r="9" spans="1:23" ht="15.75" thickBot="1" x14ac:dyDescent="0.3">
      <c r="A9" s="4" t="s">
        <v>224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45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222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43</v>
      </c>
      <c r="M10" s="2"/>
      <c r="N10" s="5" t="s">
        <v>222</v>
      </c>
      <c r="O10" s="5" t="s">
        <v>43</v>
      </c>
      <c r="W10" s="9"/>
    </row>
    <row r="11" spans="1:23" x14ac:dyDescent="0.25">
      <c r="A11">
        <v>0</v>
      </c>
      <c r="B11" s="9">
        <v>11077.6944</v>
      </c>
      <c r="C11" s="9">
        <v>5261.3095000000003</v>
      </c>
      <c r="D11" s="9">
        <v>679.53390000000002</v>
      </c>
      <c r="E11" s="9">
        <f>SUM(B11:D11)</f>
        <v>17018.537799999998</v>
      </c>
      <c r="G11">
        <v>0</v>
      </c>
      <c r="H11" s="16">
        <v>24014</v>
      </c>
      <c r="I11" s="16">
        <v>9445</v>
      </c>
      <c r="J11" s="16">
        <v>2295</v>
      </c>
      <c r="K11">
        <f>SUM(H11:J11)</f>
        <v>35754</v>
      </c>
      <c r="M11" t="s">
        <v>9</v>
      </c>
      <c r="N11" s="9">
        <v>30.748397775947005</v>
      </c>
      <c r="O11" s="9">
        <v>36.279851845957623</v>
      </c>
      <c r="W11" s="9"/>
    </row>
    <row r="12" spans="1:23" x14ac:dyDescent="0.25">
      <c r="A12">
        <v>1</v>
      </c>
      <c r="B12" s="9">
        <v>3168.3199</v>
      </c>
      <c r="C12" s="9">
        <v>2421.5012999999999</v>
      </c>
      <c r="D12" s="9">
        <v>130.5369</v>
      </c>
      <c r="E12" s="9">
        <f t="shared" ref="E12:E75" si="0">SUM(B12:D12)</f>
        <v>5720.3581000000004</v>
      </c>
      <c r="G12">
        <v>1</v>
      </c>
      <c r="H12" s="16">
        <v>8996</v>
      </c>
      <c r="I12" s="16">
        <v>3740</v>
      </c>
      <c r="J12" s="16">
        <v>967</v>
      </c>
      <c r="K12">
        <f t="shared" ref="K12:K75" si="1">SUM(H12:J12)</f>
        <v>13703</v>
      </c>
      <c r="M12" t="s">
        <v>10</v>
      </c>
      <c r="N12" s="9">
        <v>22.705257869465711</v>
      </c>
      <c r="O12" s="9">
        <v>29.693247843006404</v>
      </c>
      <c r="W12" s="9"/>
    </row>
    <row r="13" spans="1:23" x14ac:dyDescent="0.25">
      <c r="A13">
        <v>2</v>
      </c>
      <c r="B13" s="9">
        <v>3825.6889000000001</v>
      </c>
      <c r="C13" s="9">
        <v>4669.6241</v>
      </c>
      <c r="D13" s="9">
        <v>486.97160000000002</v>
      </c>
      <c r="E13" s="9">
        <f t="shared" si="0"/>
        <v>8982.2846000000009</v>
      </c>
      <c r="G13">
        <v>2</v>
      </c>
      <c r="H13" s="16">
        <v>11302</v>
      </c>
      <c r="I13" s="16">
        <v>4706</v>
      </c>
      <c r="J13" s="16">
        <v>1212</v>
      </c>
      <c r="K13">
        <f t="shared" si="1"/>
        <v>17220</v>
      </c>
      <c r="M13" s="6" t="s">
        <v>11</v>
      </c>
      <c r="N13" s="14">
        <v>25.965633992568673</v>
      </c>
      <c r="O13" s="14">
        <v>28.439534240820461</v>
      </c>
      <c r="W13" s="9"/>
    </row>
    <row r="14" spans="1:23" ht="15.75" thickBot="1" x14ac:dyDescent="0.3">
      <c r="A14">
        <v>3</v>
      </c>
      <c r="B14" s="9">
        <v>7569.2484000000004</v>
      </c>
      <c r="C14" s="9">
        <v>2234.5569999999998</v>
      </c>
      <c r="D14" s="9">
        <v>454.17770000000002</v>
      </c>
      <c r="E14" s="9">
        <f t="shared" si="0"/>
        <v>10257.983100000001</v>
      </c>
      <c r="G14">
        <v>3</v>
      </c>
      <c r="H14" s="16">
        <v>11148</v>
      </c>
      <c r="I14" s="16">
        <v>5068</v>
      </c>
      <c r="J14" s="16">
        <v>1300</v>
      </c>
      <c r="K14">
        <f t="shared" si="1"/>
        <v>17516</v>
      </c>
      <c r="M14" s="1" t="s">
        <v>4</v>
      </c>
      <c r="N14" s="15">
        <v>29.290197070439028</v>
      </c>
      <c r="O14" s="15">
        <v>34.700816934322276</v>
      </c>
      <c r="W14" s="9"/>
    </row>
    <row r="15" spans="1:23" x14ac:dyDescent="0.25">
      <c r="A15">
        <v>4</v>
      </c>
      <c r="B15" s="9">
        <v>9115.2312000000002</v>
      </c>
      <c r="C15" s="9">
        <v>5415.3914999999997</v>
      </c>
      <c r="D15" s="9">
        <v>315.98250000000002</v>
      </c>
      <c r="E15" s="9">
        <f t="shared" si="0"/>
        <v>14846.6052</v>
      </c>
      <c r="G15">
        <v>4</v>
      </c>
      <c r="H15" s="16">
        <v>11185</v>
      </c>
      <c r="I15" s="16">
        <v>5136</v>
      </c>
      <c r="J15" s="16">
        <v>1349</v>
      </c>
      <c r="K15">
        <f t="shared" si="1"/>
        <v>17670</v>
      </c>
      <c r="W15" s="9"/>
    </row>
    <row r="16" spans="1:23" x14ac:dyDescent="0.25">
      <c r="A16">
        <v>5</v>
      </c>
      <c r="B16" s="9">
        <v>8988.4187000000002</v>
      </c>
      <c r="C16" s="9">
        <v>3650.1381000000001</v>
      </c>
      <c r="D16" s="9">
        <v>174.2081</v>
      </c>
      <c r="E16" s="9">
        <f t="shared" si="0"/>
        <v>12812.7649</v>
      </c>
      <c r="G16">
        <v>5</v>
      </c>
      <c r="H16" s="16">
        <v>10987</v>
      </c>
      <c r="I16" s="16">
        <v>5045</v>
      </c>
      <c r="J16" s="16">
        <v>1322</v>
      </c>
      <c r="K16">
        <f t="shared" si="1"/>
        <v>17354</v>
      </c>
      <c r="W16" s="9"/>
    </row>
    <row r="17" spans="1:23" x14ac:dyDescent="0.25">
      <c r="A17">
        <v>6</v>
      </c>
      <c r="B17" s="9">
        <v>14983.483099999999</v>
      </c>
      <c r="C17" s="9">
        <v>3617.8436000000002</v>
      </c>
      <c r="D17" s="9">
        <v>481.57139999999998</v>
      </c>
      <c r="E17" s="9">
        <f t="shared" si="0"/>
        <v>19082.898099999999</v>
      </c>
      <c r="G17">
        <v>6</v>
      </c>
      <c r="H17" s="16">
        <v>10615</v>
      </c>
      <c r="I17" s="16">
        <v>4935</v>
      </c>
      <c r="J17" s="16">
        <v>1422</v>
      </c>
      <c r="K17">
        <f t="shared" si="1"/>
        <v>16972</v>
      </c>
      <c r="W17" s="9"/>
    </row>
    <row r="18" spans="1:23" x14ac:dyDescent="0.25">
      <c r="A18">
        <v>7</v>
      </c>
      <c r="B18" s="9">
        <v>14444.3333</v>
      </c>
      <c r="C18" s="9">
        <v>7263.8769999999995</v>
      </c>
      <c r="D18" s="9">
        <v>431.51139999999998</v>
      </c>
      <c r="E18" s="9">
        <f t="shared" si="0"/>
        <v>22139.721699999998</v>
      </c>
      <c r="G18">
        <v>7</v>
      </c>
      <c r="H18" s="16">
        <v>9915</v>
      </c>
      <c r="I18" s="16">
        <v>4562</v>
      </c>
      <c r="J18" s="16">
        <v>1251</v>
      </c>
      <c r="K18">
        <f t="shared" si="1"/>
        <v>15728</v>
      </c>
      <c r="W18" s="9"/>
    </row>
    <row r="19" spans="1:23" x14ac:dyDescent="0.25">
      <c r="A19">
        <v>8</v>
      </c>
      <c r="B19" s="9">
        <v>31137.343700000001</v>
      </c>
      <c r="C19" s="9">
        <v>11220.6091</v>
      </c>
      <c r="D19" s="9">
        <v>1764.162</v>
      </c>
      <c r="E19" s="9">
        <f t="shared" si="0"/>
        <v>44122.114799999996</v>
      </c>
      <c r="G19">
        <v>8</v>
      </c>
      <c r="H19" s="16">
        <v>9218</v>
      </c>
      <c r="I19" s="16">
        <v>3968</v>
      </c>
      <c r="J19" s="16">
        <v>1068</v>
      </c>
      <c r="K19">
        <f t="shared" si="1"/>
        <v>14254</v>
      </c>
      <c r="W19" s="9"/>
    </row>
    <row r="20" spans="1:23" x14ac:dyDescent="0.25">
      <c r="A20">
        <v>9</v>
      </c>
      <c r="B20" s="9">
        <v>21162.611100000002</v>
      </c>
      <c r="C20" s="9">
        <v>8260.3891999999996</v>
      </c>
      <c r="D20" s="9">
        <v>131.08449999999999</v>
      </c>
      <c r="E20" s="9">
        <f t="shared" si="0"/>
        <v>29554.084800000001</v>
      </c>
      <c r="G20">
        <v>9</v>
      </c>
      <c r="H20" s="16">
        <v>9222</v>
      </c>
      <c r="I20" s="16">
        <v>3564</v>
      </c>
      <c r="J20" s="16">
        <v>966</v>
      </c>
      <c r="K20">
        <f t="shared" si="1"/>
        <v>13752</v>
      </c>
      <c r="W20" s="9"/>
    </row>
    <row r="21" spans="1:23" x14ac:dyDescent="0.25">
      <c r="A21">
        <v>10</v>
      </c>
      <c r="B21" s="9">
        <v>25572.987000000001</v>
      </c>
      <c r="C21" s="9">
        <v>5387.5482000000002</v>
      </c>
      <c r="D21" s="9">
        <v>2013.7620999999999</v>
      </c>
      <c r="E21" s="9">
        <f t="shared" si="0"/>
        <v>32974.297300000006</v>
      </c>
      <c r="G21">
        <v>10</v>
      </c>
      <c r="H21" s="16">
        <v>8587</v>
      </c>
      <c r="I21" s="16">
        <v>3350</v>
      </c>
      <c r="J21" s="16">
        <v>862</v>
      </c>
      <c r="K21">
        <f t="shared" si="1"/>
        <v>12799</v>
      </c>
      <c r="W21" s="9"/>
    </row>
    <row r="22" spans="1:23" x14ac:dyDescent="0.25">
      <c r="A22">
        <v>11</v>
      </c>
      <c r="B22" s="9">
        <v>28340.3158</v>
      </c>
      <c r="C22" s="9">
        <v>5521.5929999999998</v>
      </c>
      <c r="D22" s="9">
        <v>1225.3905</v>
      </c>
      <c r="E22" s="9">
        <f t="shared" si="0"/>
        <v>35087.299299999999</v>
      </c>
      <c r="G22">
        <v>11</v>
      </c>
      <c r="H22" s="16">
        <v>8136</v>
      </c>
      <c r="I22" s="16">
        <v>2959</v>
      </c>
      <c r="J22" s="16">
        <v>799</v>
      </c>
      <c r="K22">
        <f t="shared" si="1"/>
        <v>11894</v>
      </c>
      <c r="W22" s="9"/>
    </row>
    <row r="23" spans="1:23" x14ac:dyDescent="0.25">
      <c r="A23">
        <v>12</v>
      </c>
      <c r="B23" s="9">
        <v>25835.356800000001</v>
      </c>
      <c r="C23" s="9">
        <v>13708.103999999999</v>
      </c>
      <c r="D23" s="9">
        <v>1658.4395</v>
      </c>
      <c r="E23" s="9">
        <f t="shared" si="0"/>
        <v>41201.900300000001</v>
      </c>
      <c r="G23">
        <v>12</v>
      </c>
      <c r="H23" s="16">
        <v>8108</v>
      </c>
      <c r="I23" s="16">
        <v>2868</v>
      </c>
      <c r="J23" s="16">
        <v>766</v>
      </c>
      <c r="K23">
        <f t="shared" si="1"/>
        <v>11742</v>
      </c>
      <c r="W23" s="9"/>
    </row>
    <row r="24" spans="1:23" x14ac:dyDescent="0.25">
      <c r="A24">
        <v>13</v>
      </c>
      <c r="B24" s="9">
        <v>33800.785400000001</v>
      </c>
      <c r="C24" s="9">
        <v>9725.9223999999995</v>
      </c>
      <c r="D24" s="9">
        <v>1453.9186999999999</v>
      </c>
      <c r="E24" s="9">
        <f t="shared" si="0"/>
        <v>44980.626500000006</v>
      </c>
      <c r="G24">
        <v>13</v>
      </c>
      <c r="H24" s="16">
        <v>7812</v>
      </c>
      <c r="I24" s="16">
        <v>2711</v>
      </c>
      <c r="J24" s="16">
        <v>739</v>
      </c>
      <c r="K24">
        <f t="shared" si="1"/>
        <v>11262</v>
      </c>
      <c r="W24" s="9"/>
    </row>
    <row r="25" spans="1:23" x14ac:dyDescent="0.25">
      <c r="A25">
        <v>14</v>
      </c>
      <c r="B25" s="9">
        <v>33639.794300000001</v>
      </c>
      <c r="C25" s="9">
        <v>8705.4194000000007</v>
      </c>
      <c r="D25" s="9">
        <v>1084.3762999999999</v>
      </c>
      <c r="E25" s="9">
        <f t="shared" si="0"/>
        <v>43429.59</v>
      </c>
      <c r="G25">
        <v>14</v>
      </c>
      <c r="H25" s="16">
        <v>7395</v>
      </c>
      <c r="I25" s="16">
        <v>2518</v>
      </c>
      <c r="J25" s="16">
        <v>713</v>
      </c>
      <c r="K25">
        <f t="shared" si="1"/>
        <v>10626</v>
      </c>
      <c r="W25" s="9"/>
    </row>
    <row r="26" spans="1:23" x14ac:dyDescent="0.25">
      <c r="A26">
        <v>15</v>
      </c>
      <c r="B26" s="9">
        <v>38799.714899999999</v>
      </c>
      <c r="C26" s="9">
        <v>7192.4866999999995</v>
      </c>
      <c r="D26" s="9">
        <v>431.14689999999996</v>
      </c>
      <c r="E26" s="9">
        <f t="shared" si="0"/>
        <v>46423.3485</v>
      </c>
      <c r="G26">
        <v>15</v>
      </c>
      <c r="H26" s="16">
        <v>6696</v>
      </c>
      <c r="I26" s="16">
        <v>2231</v>
      </c>
      <c r="J26" s="16">
        <v>568</v>
      </c>
      <c r="K26">
        <f t="shared" si="1"/>
        <v>9495</v>
      </c>
      <c r="W26" s="9"/>
    </row>
    <row r="27" spans="1:23" x14ac:dyDescent="0.25">
      <c r="A27">
        <v>16</v>
      </c>
      <c r="B27" s="9">
        <v>33528.483800000002</v>
      </c>
      <c r="C27" s="9">
        <v>8547.5308000000005</v>
      </c>
      <c r="D27" s="9">
        <v>4570.8323</v>
      </c>
      <c r="E27" s="9">
        <f t="shared" si="0"/>
        <v>46646.846900000004</v>
      </c>
      <c r="G27">
        <v>16</v>
      </c>
      <c r="H27" s="16">
        <v>6661</v>
      </c>
      <c r="I27" s="16">
        <v>2356</v>
      </c>
      <c r="J27" s="16">
        <v>685</v>
      </c>
      <c r="K27">
        <f t="shared" si="1"/>
        <v>9702</v>
      </c>
      <c r="W27" s="9"/>
    </row>
    <row r="28" spans="1:23" x14ac:dyDescent="0.25">
      <c r="A28">
        <v>17</v>
      </c>
      <c r="B28" s="9">
        <v>36258.123800000001</v>
      </c>
      <c r="C28" s="9">
        <v>10236.3637</v>
      </c>
      <c r="D28" s="9">
        <v>760.60660000000007</v>
      </c>
      <c r="E28" s="9">
        <f t="shared" si="0"/>
        <v>47255.094100000002</v>
      </c>
      <c r="G28">
        <v>17</v>
      </c>
      <c r="H28" s="16">
        <v>6354</v>
      </c>
      <c r="I28" s="16">
        <v>1963</v>
      </c>
      <c r="J28" s="16">
        <v>573</v>
      </c>
      <c r="K28">
        <f t="shared" si="1"/>
        <v>8890</v>
      </c>
      <c r="W28" s="9"/>
    </row>
    <row r="29" spans="1:23" x14ac:dyDescent="0.25">
      <c r="A29">
        <v>18</v>
      </c>
      <c r="B29" s="9">
        <v>40942.889799999997</v>
      </c>
      <c r="C29" s="9">
        <v>6031.4426999999996</v>
      </c>
      <c r="D29" s="9">
        <v>1104.0834</v>
      </c>
      <c r="E29" s="9">
        <f t="shared" si="0"/>
        <v>48078.4159</v>
      </c>
      <c r="G29">
        <v>18</v>
      </c>
      <c r="H29" s="16">
        <v>43671</v>
      </c>
      <c r="I29" s="16">
        <v>19439</v>
      </c>
      <c r="J29" s="16">
        <v>5196</v>
      </c>
      <c r="K29">
        <f t="shared" si="1"/>
        <v>68306</v>
      </c>
      <c r="W29" s="9"/>
    </row>
    <row r="30" spans="1:23" x14ac:dyDescent="0.25">
      <c r="A30">
        <v>19</v>
      </c>
      <c r="B30" s="9">
        <v>34268.206400000003</v>
      </c>
      <c r="C30" s="9">
        <v>10254.803900000001</v>
      </c>
      <c r="D30" s="9">
        <v>4176.1630999999998</v>
      </c>
      <c r="E30" s="9">
        <f t="shared" si="0"/>
        <v>48699.1734</v>
      </c>
      <c r="G30">
        <v>19</v>
      </c>
      <c r="H30" s="16">
        <v>22327</v>
      </c>
      <c r="I30" s="16">
        <v>6930</v>
      </c>
      <c r="J30" s="16">
        <v>2345</v>
      </c>
      <c r="K30">
        <f t="shared" si="1"/>
        <v>31602</v>
      </c>
      <c r="W30" s="9"/>
    </row>
    <row r="31" spans="1:23" x14ac:dyDescent="0.25">
      <c r="A31">
        <v>20</v>
      </c>
      <c r="B31" s="9">
        <v>20292.948700000001</v>
      </c>
      <c r="C31" s="9">
        <v>6870.6193999999996</v>
      </c>
      <c r="D31" s="9">
        <v>229.50309999999999</v>
      </c>
      <c r="E31" s="9">
        <f t="shared" si="0"/>
        <v>27393.071200000002</v>
      </c>
      <c r="G31">
        <v>20</v>
      </c>
      <c r="H31" s="16">
        <v>25809</v>
      </c>
      <c r="I31" s="16">
        <v>7159</v>
      </c>
      <c r="J31" s="16">
        <v>2326</v>
      </c>
      <c r="K31">
        <f t="shared" si="1"/>
        <v>35294</v>
      </c>
      <c r="W31" s="9"/>
    </row>
    <row r="32" spans="1:23" x14ac:dyDescent="0.25">
      <c r="A32">
        <v>21</v>
      </c>
      <c r="B32" s="9">
        <v>32939.404699999999</v>
      </c>
      <c r="C32" s="9">
        <v>4933.6569</v>
      </c>
      <c r="D32" s="9">
        <v>1412.6926000000001</v>
      </c>
      <c r="E32" s="9">
        <f t="shared" si="0"/>
        <v>39285.754200000003</v>
      </c>
      <c r="G32">
        <v>21</v>
      </c>
      <c r="H32" s="16">
        <v>40357</v>
      </c>
      <c r="I32" s="16">
        <v>12259</v>
      </c>
      <c r="J32" s="16">
        <v>3841</v>
      </c>
      <c r="K32">
        <f t="shared" si="1"/>
        <v>56457</v>
      </c>
      <c r="W32" s="9"/>
    </row>
    <row r="33" spans="1:23" x14ac:dyDescent="0.25">
      <c r="A33">
        <v>22</v>
      </c>
      <c r="B33" s="9">
        <v>40570.314200000001</v>
      </c>
      <c r="C33" s="9">
        <v>6710.6504000000004</v>
      </c>
      <c r="D33" s="9">
        <v>1357.6924999999999</v>
      </c>
      <c r="E33" s="9">
        <f t="shared" si="0"/>
        <v>48638.657099999997</v>
      </c>
      <c r="G33">
        <v>22</v>
      </c>
      <c r="H33" s="16">
        <v>33168</v>
      </c>
      <c r="I33" s="16">
        <v>10186</v>
      </c>
      <c r="J33" s="16">
        <v>3123</v>
      </c>
      <c r="K33">
        <f t="shared" si="1"/>
        <v>46477</v>
      </c>
      <c r="W33" s="9"/>
    </row>
    <row r="34" spans="1:23" x14ac:dyDescent="0.25">
      <c r="A34">
        <v>23</v>
      </c>
      <c r="B34" s="9">
        <v>34762.847699999998</v>
      </c>
      <c r="C34" s="9">
        <v>5927.0690000000004</v>
      </c>
      <c r="D34" s="9">
        <v>3069.9839999999999</v>
      </c>
      <c r="E34" s="9">
        <f t="shared" si="0"/>
        <v>43759.900699999998</v>
      </c>
      <c r="G34">
        <v>23</v>
      </c>
      <c r="H34" s="16">
        <v>45653</v>
      </c>
      <c r="I34" s="16">
        <v>13163</v>
      </c>
      <c r="J34" s="16">
        <v>4131</v>
      </c>
      <c r="K34">
        <f t="shared" si="1"/>
        <v>62947</v>
      </c>
      <c r="W34" s="9"/>
    </row>
    <row r="35" spans="1:23" x14ac:dyDescent="0.25">
      <c r="A35">
        <v>24</v>
      </c>
      <c r="B35" s="9">
        <v>29530.0399</v>
      </c>
      <c r="C35" s="9">
        <v>5965.9674000000005</v>
      </c>
      <c r="D35" s="9">
        <v>75.019800000000004</v>
      </c>
      <c r="E35" s="9">
        <f t="shared" si="0"/>
        <v>35571.027099999999</v>
      </c>
      <c r="G35">
        <v>24</v>
      </c>
      <c r="H35" s="16">
        <v>27304</v>
      </c>
      <c r="I35" s="16">
        <v>7568</v>
      </c>
      <c r="J35" s="16">
        <v>2318</v>
      </c>
      <c r="K35">
        <f t="shared" si="1"/>
        <v>37190</v>
      </c>
      <c r="W35" s="9"/>
    </row>
    <row r="36" spans="1:23" x14ac:dyDescent="0.25">
      <c r="A36">
        <v>25</v>
      </c>
      <c r="B36" s="9">
        <v>33670.127500000002</v>
      </c>
      <c r="C36" s="9">
        <v>3581.3847999999998</v>
      </c>
      <c r="D36" s="9">
        <v>2079.1055999999999</v>
      </c>
      <c r="E36" s="9">
        <f t="shared" si="0"/>
        <v>39330.617900000005</v>
      </c>
      <c r="G36">
        <v>25</v>
      </c>
      <c r="H36" s="16">
        <v>37436</v>
      </c>
      <c r="I36" s="16">
        <v>9841</v>
      </c>
      <c r="J36" s="16">
        <v>3106</v>
      </c>
      <c r="K36">
        <f t="shared" si="1"/>
        <v>50383</v>
      </c>
      <c r="W36" s="9"/>
    </row>
    <row r="37" spans="1:23" x14ac:dyDescent="0.25">
      <c r="A37">
        <v>26</v>
      </c>
      <c r="B37" s="9">
        <v>27314.002199999999</v>
      </c>
      <c r="C37" s="9">
        <v>4864.4197000000004</v>
      </c>
      <c r="D37" s="9">
        <v>2898.1115</v>
      </c>
      <c r="E37" s="9">
        <f t="shared" si="0"/>
        <v>35076.5334</v>
      </c>
      <c r="G37">
        <v>26</v>
      </c>
      <c r="H37" s="16">
        <v>34996</v>
      </c>
      <c r="I37" s="16">
        <v>9603</v>
      </c>
      <c r="J37" s="16">
        <v>3083</v>
      </c>
      <c r="K37">
        <f t="shared" si="1"/>
        <v>47682</v>
      </c>
      <c r="W37" s="9"/>
    </row>
    <row r="38" spans="1:23" x14ac:dyDescent="0.25">
      <c r="A38">
        <v>27</v>
      </c>
      <c r="B38" s="9">
        <v>31375.686799999999</v>
      </c>
      <c r="C38" s="9">
        <v>5842.9939000000004</v>
      </c>
      <c r="D38" s="9">
        <v>1480.5518</v>
      </c>
      <c r="E38" s="9">
        <f t="shared" si="0"/>
        <v>38699.232499999998</v>
      </c>
      <c r="G38">
        <v>27</v>
      </c>
      <c r="H38" s="16">
        <v>31176</v>
      </c>
      <c r="I38" s="16">
        <v>8015</v>
      </c>
      <c r="J38" s="16">
        <v>2447</v>
      </c>
      <c r="K38">
        <f t="shared" si="1"/>
        <v>41638</v>
      </c>
      <c r="W38" s="9"/>
    </row>
    <row r="39" spans="1:23" x14ac:dyDescent="0.25">
      <c r="A39">
        <v>28</v>
      </c>
      <c r="B39" s="9">
        <v>24379.4866</v>
      </c>
      <c r="C39" s="9">
        <v>2872.5039000000002</v>
      </c>
      <c r="D39" s="9">
        <v>898.37099999999998</v>
      </c>
      <c r="E39" s="9">
        <f t="shared" si="0"/>
        <v>28150.361499999999</v>
      </c>
      <c r="G39">
        <v>28</v>
      </c>
      <c r="H39" s="16">
        <v>42470</v>
      </c>
      <c r="I39" s="16">
        <v>9464</v>
      </c>
      <c r="J39" s="16">
        <v>2992</v>
      </c>
      <c r="K39">
        <f t="shared" si="1"/>
        <v>54926</v>
      </c>
      <c r="W39" s="9"/>
    </row>
    <row r="40" spans="1:23" x14ac:dyDescent="0.25">
      <c r="A40">
        <v>29</v>
      </c>
      <c r="B40" s="9">
        <v>26442.926500000001</v>
      </c>
      <c r="C40" s="9">
        <v>5627.7672000000002</v>
      </c>
      <c r="D40" s="9">
        <v>1077.8307</v>
      </c>
      <c r="E40" s="9">
        <f t="shared" si="0"/>
        <v>33148.524400000002</v>
      </c>
      <c r="G40">
        <v>29</v>
      </c>
      <c r="H40" s="16">
        <v>32749</v>
      </c>
      <c r="I40" s="16">
        <v>7122</v>
      </c>
      <c r="J40" s="16">
        <v>2154</v>
      </c>
      <c r="K40">
        <f t="shared" si="1"/>
        <v>42025</v>
      </c>
      <c r="W40" s="9"/>
    </row>
    <row r="41" spans="1:23" x14ac:dyDescent="0.25">
      <c r="A41">
        <v>30</v>
      </c>
      <c r="B41" s="9">
        <v>24812.518800000002</v>
      </c>
      <c r="C41" s="9">
        <v>4533.5190000000002</v>
      </c>
      <c r="D41" s="9">
        <v>1681.4752000000001</v>
      </c>
      <c r="E41" s="9">
        <f t="shared" si="0"/>
        <v>31027.513000000003</v>
      </c>
      <c r="G41">
        <v>30</v>
      </c>
      <c r="H41" s="16">
        <v>30734</v>
      </c>
      <c r="I41" s="16">
        <v>6724</v>
      </c>
      <c r="J41" s="16">
        <v>1984</v>
      </c>
      <c r="K41">
        <f t="shared" si="1"/>
        <v>39442</v>
      </c>
      <c r="W41" s="9"/>
    </row>
    <row r="42" spans="1:23" x14ac:dyDescent="0.25">
      <c r="A42">
        <v>31</v>
      </c>
      <c r="B42" s="9">
        <v>16123.908600000001</v>
      </c>
      <c r="C42" s="9">
        <v>4714.8082999999997</v>
      </c>
      <c r="D42" s="9">
        <v>1475.1369</v>
      </c>
      <c r="E42" s="9">
        <f t="shared" si="0"/>
        <v>22313.853800000001</v>
      </c>
      <c r="G42">
        <v>31</v>
      </c>
      <c r="H42" s="16">
        <v>46712</v>
      </c>
      <c r="I42" s="16">
        <v>10576</v>
      </c>
      <c r="J42" s="16">
        <v>2862</v>
      </c>
      <c r="K42">
        <f t="shared" si="1"/>
        <v>60150</v>
      </c>
      <c r="W42" s="9"/>
    </row>
    <row r="43" spans="1:23" x14ac:dyDescent="0.25">
      <c r="A43">
        <v>32</v>
      </c>
      <c r="B43" s="9">
        <v>18832.1086</v>
      </c>
      <c r="C43" s="9">
        <v>3141.8668000000002</v>
      </c>
      <c r="D43" s="9">
        <v>617.65549999999996</v>
      </c>
      <c r="E43" s="9">
        <f t="shared" si="0"/>
        <v>22591.6309</v>
      </c>
      <c r="G43">
        <v>32</v>
      </c>
      <c r="H43" s="16">
        <v>38875</v>
      </c>
      <c r="I43" s="16">
        <v>9732</v>
      </c>
      <c r="J43" s="16">
        <v>2538</v>
      </c>
      <c r="K43">
        <f t="shared" si="1"/>
        <v>51145</v>
      </c>
      <c r="W43" s="9"/>
    </row>
    <row r="44" spans="1:23" x14ac:dyDescent="0.25">
      <c r="A44">
        <v>33</v>
      </c>
      <c r="B44" s="9">
        <v>24810.563600000001</v>
      </c>
      <c r="C44" s="9">
        <v>4869.9739</v>
      </c>
      <c r="D44" s="9">
        <v>217.1876</v>
      </c>
      <c r="E44" s="9">
        <f t="shared" si="0"/>
        <v>29897.725100000003</v>
      </c>
      <c r="G44">
        <v>33</v>
      </c>
      <c r="H44" s="16">
        <v>25180</v>
      </c>
      <c r="I44" s="16">
        <v>5277</v>
      </c>
      <c r="J44" s="16">
        <v>1643</v>
      </c>
      <c r="K44">
        <f t="shared" si="1"/>
        <v>32100</v>
      </c>
      <c r="W44" s="9"/>
    </row>
    <row r="45" spans="1:23" x14ac:dyDescent="0.25">
      <c r="A45">
        <v>34</v>
      </c>
      <c r="B45" s="9">
        <v>17940.984</v>
      </c>
      <c r="C45" s="9">
        <v>4447.7501000000002</v>
      </c>
      <c r="D45" s="9">
        <v>499.66360000000003</v>
      </c>
      <c r="E45" s="9">
        <f t="shared" si="0"/>
        <v>22888.397700000001</v>
      </c>
      <c r="G45">
        <v>34</v>
      </c>
      <c r="H45" s="16">
        <v>36465</v>
      </c>
      <c r="I45" s="16">
        <v>6723</v>
      </c>
      <c r="J45" s="16">
        <v>1924</v>
      </c>
      <c r="K45">
        <f t="shared" si="1"/>
        <v>45112</v>
      </c>
      <c r="W45" s="9"/>
    </row>
    <row r="46" spans="1:23" x14ac:dyDescent="0.25">
      <c r="A46">
        <v>35</v>
      </c>
      <c r="B46" s="9">
        <v>26637.8691</v>
      </c>
      <c r="C46" s="9">
        <v>4058.3564999999999</v>
      </c>
      <c r="D46" s="9">
        <v>1261.4491</v>
      </c>
      <c r="E46" s="9">
        <f t="shared" si="0"/>
        <v>31957.6747</v>
      </c>
      <c r="G46">
        <v>35</v>
      </c>
      <c r="H46" s="16">
        <v>25328</v>
      </c>
      <c r="I46" s="16">
        <v>4801</v>
      </c>
      <c r="J46" s="16">
        <v>1307</v>
      </c>
      <c r="K46">
        <f t="shared" si="1"/>
        <v>31436</v>
      </c>
      <c r="W46" s="9"/>
    </row>
    <row r="47" spans="1:23" x14ac:dyDescent="0.25">
      <c r="A47">
        <v>36</v>
      </c>
      <c r="B47" s="9">
        <v>21765.294000000002</v>
      </c>
      <c r="C47" s="9">
        <v>3389.3461000000002</v>
      </c>
      <c r="D47" s="9">
        <v>0</v>
      </c>
      <c r="E47" s="9">
        <f t="shared" si="0"/>
        <v>25154.640100000001</v>
      </c>
      <c r="G47">
        <v>36</v>
      </c>
      <c r="H47" s="16">
        <v>26334</v>
      </c>
      <c r="I47" s="16">
        <v>5173</v>
      </c>
      <c r="J47" s="16">
        <v>1474</v>
      </c>
      <c r="K47">
        <f t="shared" si="1"/>
        <v>32981</v>
      </c>
      <c r="W47" s="9"/>
    </row>
    <row r="48" spans="1:23" x14ac:dyDescent="0.25">
      <c r="A48">
        <v>37</v>
      </c>
      <c r="B48" s="9">
        <v>16617.618399999999</v>
      </c>
      <c r="C48" s="9">
        <v>1539.7245</v>
      </c>
      <c r="D48" s="9">
        <v>660.48289999999997</v>
      </c>
      <c r="E48" s="9">
        <f t="shared" si="0"/>
        <v>18817.825799999999</v>
      </c>
      <c r="G48">
        <v>37</v>
      </c>
      <c r="H48" s="16">
        <v>33246</v>
      </c>
      <c r="I48" s="16">
        <v>5494</v>
      </c>
      <c r="J48" s="16">
        <v>1464</v>
      </c>
      <c r="K48">
        <f t="shared" si="1"/>
        <v>40204</v>
      </c>
      <c r="W48" s="9"/>
    </row>
    <row r="49" spans="1:23" x14ac:dyDescent="0.25">
      <c r="A49">
        <v>38</v>
      </c>
      <c r="B49" s="9">
        <v>14766.2945</v>
      </c>
      <c r="C49" s="9">
        <v>2318.2768000000001</v>
      </c>
      <c r="D49" s="9">
        <v>28.9114</v>
      </c>
      <c r="E49" s="9">
        <f t="shared" si="0"/>
        <v>17113.4827</v>
      </c>
      <c r="G49">
        <v>38</v>
      </c>
      <c r="H49" s="16">
        <v>27644</v>
      </c>
      <c r="I49" s="16">
        <v>4559</v>
      </c>
      <c r="J49" s="16">
        <v>1262</v>
      </c>
      <c r="K49">
        <f t="shared" si="1"/>
        <v>33465</v>
      </c>
      <c r="W49" s="9"/>
    </row>
    <row r="50" spans="1:23" x14ac:dyDescent="0.25">
      <c r="A50">
        <v>39</v>
      </c>
      <c r="B50" s="9">
        <v>18816.994200000001</v>
      </c>
      <c r="C50" s="9">
        <v>3818.4917999999998</v>
      </c>
      <c r="D50" s="9">
        <v>2204.8955000000001</v>
      </c>
      <c r="E50" s="9">
        <f t="shared" si="0"/>
        <v>24840.3815</v>
      </c>
      <c r="G50">
        <v>39</v>
      </c>
      <c r="H50" s="16">
        <v>31174</v>
      </c>
      <c r="I50" s="16">
        <v>5674</v>
      </c>
      <c r="J50" s="16">
        <v>1610</v>
      </c>
      <c r="K50">
        <f t="shared" si="1"/>
        <v>38458</v>
      </c>
      <c r="W50" s="9"/>
    </row>
    <row r="51" spans="1:23" x14ac:dyDescent="0.25">
      <c r="A51">
        <v>40</v>
      </c>
      <c r="B51" s="9">
        <v>20251.704900000001</v>
      </c>
      <c r="C51" s="9">
        <v>2071.9405999999999</v>
      </c>
      <c r="D51" s="9">
        <v>1036.7034999999998</v>
      </c>
      <c r="E51" s="9">
        <f t="shared" si="0"/>
        <v>23360.348999999998</v>
      </c>
      <c r="G51">
        <v>40</v>
      </c>
      <c r="H51" s="16">
        <v>30043</v>
      </c>
      <c r="I51" s="16">
        <v>6310</v>
      </c>
      <c r="J51" s="16">
        <v>1461</v>
      </c>
      <c r="K51">
        <f t="shared" si="1"/>
        <v>37814</v>
      </c>
      <c r="W51" s="9"/>
    </row>
    <row r="52" spans="1:23" x14ac:dyDescent="0.25">
      <c r="A52">
        <v>41</v>
      </c>
      <c r="B52" s="9">
        <v>12186.5877</v>
      </c>
      <c r="C52" s="9">
        <v>431.82139999999998</v>
      </c>
      <c r="D52" s="9">
        <v>702.47029999999995</v>
      </c>
      <c r="E52" s="9">
        <f t="shared" si="0"/>
        <v>13320.879400000002</v>
      </c>
      <c r="G52">
        <v>41</v>
      </c>
      <c r="H52" s="16">
        <v>31937</v>
      </c>
      <c r="I52" s="16">
        <v>6058</v>
      </c>
      <c r="J52" s="16">
        <v>1380</v>
      </c>
      <c r="K52">
        <f t="shared" si="1"/>
        <v>39375</v>
      </c>
      <c r="W52" s="9"/>
    </row>
    <row r="53" spans="1:23" x14ac:dyDescent="0.25">
      <c r="A53">
        <v>42</v>
      </c>
      <c r="B53" s="9">
        <v>9138.9850000000006</v>
      </c>
      <c r="C53" s="9">
        <v>3086.6233000000002</v>
      </c>
      <c r="D53" s="9">
        <v>77.706400000000002</v>
      </c>
      <c r="E53" s="9">
        <f t="shared" si="0"/>
        <v>12303.314699999999</v>
      </c>
      <c r="G53">
        <v>42</v>
      </c>
      <c r="H53" s="16">
        <v>24277</v>
      </c>
      <c r="I53" s="16">
        <v>4381</v>
      </c>
      <c r="J53" s="16">
        <v>1176</v>
      </c>
      <c r="K53">
        <f t="shared" si="1"/>
        <v>29834</v>
      </c>
      <c r="W53" s="9"/>
    </row>
    <row r="54" spans="1:23" x14ac:dyDescent="0.25">
      <c r="A54">
        <v>43</v>
      </c>
      <c r="B54" s="9">
        <v>11241.748</v>
      </c>
      <c r="C54" s="9">
        <v>1261.8073999999999</v>
      </c>
      <c r="D54" s="9">
        <v>548.2473</v>
      </c>
      <c r="E54" s="9">
        <f t="shared" si="0"/>
        <v>13051.8027</v>
      </c>
      <c r="G54">
        <v>43</v>
      </c>
      <c r="H54" s="16">
        <v>28217</v>
      </c>
      <c r="I54" s="16">
        <v>4856</v>
      </c>
      <c r="J54" s="16">
        <v>1020</v>
      </c>
      <c r="K54">
        <f t="shared" si="1"/>
        <v>34093</v>
      </c>
      <c r="W54" s="9"/>
    </row>
    <row r="55" spans="1:23" x14ac:dyDescent="0.25">
      <c r="A55">
        <v>44</v>
      </c>
      <c r="B55" s="9">
        <v>11809.916499999999</v>
      </c>
      <c r="C55" s="9">
        <v>1093.8107</v>
      </c>
      <c r="D55" s="9">
        <v>424.62450000000001</v>
      </c>
      <c r="E55" s="9">
        <f t="shared" si="0"/>
        <v>13328.351699999999</v>
      </c>
      <c r="G55">
        <v>44</v>
      </c>
      <c r="H55" s="16">
        <v>23318</v>
      </c>
      <c r="I55" s="16">
        <v>3238</v>
      </c>
      <c r="J55" s="16">
        <v>798</v>
      </c>
      <c r="K55">
        <f t="shared" si="1"/>
        <v>27354</v>
      </c>
      <c r="W55" s="9"/>
    </row>
    <row r="56" spans="1:23" x14ac:dyDescent="0.25">
      <c r="A56">
        <v>45</v>
      </c>
      <c r="B56" s="9">
        <v>15846.2641</v>
      </c>
      <c r="C56" s="9">
        <v>1553.7955999999999</v>
      </c>
      <c r="D56" s="9">
        <v>164.9238</v>
      </c>
      <c r="E56" s="9">
        <f t="shared" si="0"/>
        <v>17564.983500000002</v>
      </c>
      <c r="G56">
        <v>45</v>
      </c>
      <c r="H56" s="16">
        <v>16911</v>
      </c>
      <c r="I56" s="16">
        <v>2521</v>
      </c>
      <c r="J56" s="16">
        <v>599</v>
      </c>
      <c r="K56">
        <f t="shared" si="1"/>
        <v>20031</v>
      </c>
      <c r="W56" s="9"/>
    </row>
    <row r="57" spans="1:23" x14ac:dyDescent="0.25">
      <c r="A57">
        <v>46</v>
      </c>
      <c r="B57" s="9">
        <v>23114.314699999999</v>
      </c>
      <c r="C57" s="9">
        <v>1985.6967999999999</v>
      </c>
      <c r="D57" s="9">
        <v>42.377499999999998</v>
      </c>
      <c r="E57" s="9">
        <f t="shared" si="0"/>
        <v>25142.388999999999</v>
      </c>
      <c r="G57">
        <v>46</v>
      </c>
      <c r="H57" s="16">
        <v>13639</v>
      </c>
      <c r="I57" s="16">
        <v>2006</v>
      </c>
      <c r="J57" s="16">
        <v>458</v>
      </c>
      <c r="K57">
        <f t="shared" si="1"/>
        <v>16103</v>
      </c>
      <c r="W57" s="9"/>
    </row>
    <row r="58" spans="1:23" x14ac:dyDescent="0.25">
      <c r="A58">
        <v>47</v>
      </c>
      <c r="B58" s="9">
        <v>16327.673000000001</v>
      </c>
      <c r="C58" s="9">
        <v>1378.7141999999999</v>
      </c>
      <c r="D58" s="9">
        <v>228.99020000000002</v>
      </c>
      <c r="E58" s="9">
        <f t="shared" si="0"/>
        <v>17935.377400000001</v>
      </c>
      <c r="G58">
        <v>47</v>
      </c>
      <c r="H58" s="16">
        <v>20290</v>
      </c>
      <c r="I58" s="16">
        <v>2734</v>
      </c>
      <c r="J58" s="16">
        <v>621</v>
      </c>
      <c r="K58">
        <f t="shared" si="1"/>
        <v>23645</v>
      </c>
      <c r="W58" s="9"/>
    </row>
    <row r="59" spans="1:23" x14ac:dyDescent="0.25">
      <c r="A59">
        <v>48</v>
      </c>
      <c r="B59" s="9">
        <v>12033.127500000001</v>
      </c>
      <c r="C59" s="9">
        <v>390.86670000000004</v>
      </c>
      <c r="D59" s="9">
        <v>109.3501</v>
      </c>
      <c r="E59" s="9">
        <f t="shared" si="0"/>
        <v>12533.344300000001</v>
      </c>
      <c r="G59">
        <v>48</v>
      </c>
      <c r="H59" s="16">
        <v>16687</v>
      </c>
      <c r="I59" s="16">
        <v>2526</v>
      </c>
      <c r="J59" s="16">
        <v>615</v>
      </c>
      <c r="K59">
        <f t="shared" si="1"/>
        <v>19828</v>
      </c>
      <c r="W59" s="9"/>
    </row>
    <row r="60" spans="1:23" x14ac:dyDescent="0.25">
      <c r="A60">
        <v>49</v>
      </c>
      <c r="B60" s="9">
        <v>10794.571599999999</v>
      </c>
      <c r="C60" s="9">
        <v>1248.4270000000001</v>
      </c>
      <c r="D60" s="9">
        <v>1066.4559999999999</v>
      </c>
      <c r="E60" s="9">
        <f t="shared" si="0"/>
        <v>13109.454599999999</v>
      </c>
      <c r="G60">
        <v>49</v>
      </c>
      <c r="H60" s="16">
        <v>12822</v>
      </c>
      <c r="I60" s="16">
        <v>1985</v>
      </c>
      <c r="J60" s="16">
        <v>502</v>
      </c>
      <c r="K60">
        <f t="shared" si="1"/>
        <v>15309</v>
      </c>
      <c r="W60" s="9"/>
    </row>
    <row r="61" spans="1:23" x14ac:dyDescent="0.25">
      <c r="A61">
        <v>50</v>
      </c>
      <c r="B61" s="9">
        <v>11572.019200000001</v>
      </c>
      <c r="C61" s="9">
        <v>882.47340000000008</v>
      </c>
      <c r="D61" s="9">
        <v>0</v>
      </c>
      <c r="E61" s="9">
        <f t="shared" si="0"/>
        <v>12454.492600000001</v>
      </c>
      <c r="G61">
        <v>50</v>
      </c>
      <c r="H61" s="16">
        <v>15569</v>
      </c>
      <c r="I61" s="16">
        <v>2065</v>
      </c>
      <c r="J61" s="16">
        <v>479</v>
      </c>
      <c r="K61">
        <f t="shared" si="1"/>
        <v>18113</v>
      </c>
      <c r="W61" s="9"/>
    </row>
    <row r="62" spans="1:23" x14ac:dyDescent="0.25">
      <c r="A62">
        <v>51</v>
      </c>
      <c r="B62" s="9">
        <v>13200.2106</v>
      </c>
      <c r="C62" s="9">
        <v>4419.3713000000007</v>
      </c>
      <c r="D62" s="9">
        <v>0</v>
      </c>
      <c r="E62" s="9">
        <f t="shared" si="0"/>
        <v>17619.581900000001</v>
      </c>
      <c r="G62">
        <v>51</v>
      </c>
      <c r="H62" s="16">
        <v>13485</v>
      </c>
      <c r="I62" s="16">
        <v>1817</v>
      </c>
      <c r="J62" s="16">
        <v>438</v>
      </c>
      <c r="K62">
        <f t="shared" si="1"/>
        <v>15740</v>
      </c>
      <c r="W62" s="9"/>
    </row>
    <row r="63" spans="1:23" x14ac:dyDescent="0.25">
      <c r="A63">
        <v>52</v>
      </c>
      <c r="B63" s="9">
        <v>7167.4580999999998</v>
      </c>
      <c r="C63" s="9">
        <v>0</v>
      </c>
      <c r="D63" s="9">
        <v>238.0368</v>
      </c>
      <c r="E63" s="9">
        <f t="shared" si="0"/>
        <v>7405.4948999999997</v>
      </c>
      <c r="G63">
        <v>52</v>
      </c>
      <c r="H63" s="16">
        <v>16583</v>
      </c>
      <c r="I63" s="16">
        <v>2395</v>
      </c>
      <c r="J63" s="16">
        <v>753</v>
      </c>
      <c r="K63">
        <f t="shared" si="1"/>
        <v>19731</v>
      </c>
      <c r="W63" s="9"/>
    </row>
    <row r="64" spans="1:23" x14ac:dyDescent="0.25">
      <c r="A64">
        <v>53</v>
      </c>
      <c r="B64" s="9">
        <v>9576.4167999999991</v>
      </c>
      <c r="C64" s="9">
        <v>655.48360000000002</v>
      </c>
      <c r="D64" s="9">
        <v>0</v>
      </c>
      <c r="E64" s="9">
        <f t="shared" si="0"/>
        <v>10231.900399999999</v>
      </c>
      <c r="G64">
        <v>53</v>
      </c>
      <c r="H64" s="16">
        <v>15169</v>
      </c>
      <c r="I64" s="16">
        <v>2205</v>
      </c>
      <c r="J64" s="16">
        <v>452</v>
      </c>
      <c r="K64">
        <f t="shared" si="1"/>
        <v>17826</v>
      </c>
      <c r="W64" s="9"/>
    </row>
    <row r="65" spans="1:23" x14ac:dyDescent="0.25">
      <c r="A65">
        <v>54</v>
      </c>
      <c r="B65" s="9">
        <v>7403.0929999999998</v>
      </c>
      <c r="C65" s="9">
        <v>1178.5498</v>
      </c>
      <c r="D65" s="9">
        <v>0</v>
      </c>
      <c r="E65" s="9">
        <f t="shared" si="0"/>
        <v>8581.6427999999996</v>
      </c>
      <c r="G65">
        <v>54</v>
      </c>
      <c r="H65" s="16">
        <v>11463</v>
      </c>
      <c r="I65" s="16">
        <v>1536</v>
      </c>
      <c r="J65" s="16">
        <v>321</v>
      </c>
      <c r="K65">
        <f t="shared" si="1"/>
        <v>13320</v>
      </c>
      <c r="W65" s="9"/>
    </row>
    <row r="66" spans="1:23" x14ac:dyDescent="0.25">
      <c r="A66">
        <v>55</v>
      </c>
      <c r="B66" s="9">
        <v>8830.1214</v>
      </c>
      <c r="C66" s="9">
        <v>1108.2941000000001</v>
      </c>
      <c r="D66" s="9">
        <v>0</v>
      </c>
      <c r="E66" s="9">
        <f t="shared" si="0"/>
        <v>9938.4154999999992</v>
      </c>
      <c r="G66">
        <v>55</v>
      </c>
      <c r="H66" s="16">
        <v>9564</v>
      </c>
      <c r="I66" s="16">
        <v>1304</v>
      </c>
      <c r="J66" s="16">
        <v>319</v>
      </c>
      <c r="K66">
        <f t="shared" si="1"/>
        <v>11187</v>
      </c>
      <c r="W66" s="9"/>
    </row>
    <row r="67" spans="1:23" x14ac:dyDescent="0.25">
      <c r="A67">
        <v>56</v>
      </c>
      <c r="B67" s="9">
        <v>11300.954600000001</v>
      </c>
      <c r="C67" s="9">
        <v>498.17020000000002</v>
      </c>
      <c r="D67" s="9">
        <v>0</v>
      </c>
      <c r="E67" s="9">
        <f t="shared" si="0"/>
        <v>11799.124800000001</v>
      </c>
      <c r="G67">
        <v>56</v>
      </c>
      <c r="H67" s="16">
        <v>13025</v>
      </c>
      <c r="I67" s="16">
        <v>1735</v>
      </c>
      <c r="J67" s="16">
        <v>382</v>
      </c>
      <c r="K67">
        <f t="shared" si="1"/>
        <v>15142</v>
      </c>
      <c r="W67" s="9"/>
    </row>
    <row r="68" spans="1:23" x14ac:dyDescent="0.25">
      <c r="A68">
        <v>57</v>
      </c>
      <c r="B68" s="9">
        <v>9408.2662</v>
      </c>
      <c r="C68" s="9">
        <v>0</v>
      </c>
      <c r="D68" s="9">
        <v>0</v>
      </c>
      <c r="E68" s="9">
        <f t="shared" si="0"/>
        <v>9408.2662</v>
      </c>
      <c r="G68">
        <v>57</v>
      </c>
      <c r="H68" s="16">
        <v>9581</v>
      </c>
      <c r="I68" s="16">
        <v>1244</v>
      </c>
      <c r="J68" s="16">
        <v>236</v>
      </c>
      <c r="K68">
        <f t="shared" si="1"/>
        <v>11061</v>
      </c>
      <c r="W68" s="9"/>
    </row>
    <row r="69" spans="1:23" x14ac:dyDescent="0.25">
      <c r="A69">
        <v>58</v>
      </c>
      <c r="B69" s="9">
        <v>5449.9474</v>
      </c>
      <c r="C69" s="9">
        <v>327.32399999999996</v>
      </c>
      <c r="D69" s="9">
        <v>0</v>
      </c>
      <c r="E69" s="9">
        <f t="shared" si="0"/>
        <v>5777.2713999999996</v>
      </c>
      <c r="G69">
        <v>58</v>
      </c>
      <c r="H69" s="16">
        <v>7222</v>
      </c>
      <c r="I69" s="16">
        <v>988</v>
      </c>
      <c r="J69" s="16">
        <v>181</v>
      </c>
      <c r="K69">
        <f t="shared" si="1"/>
        <v>8391</v>
      </c>
      <c r="W69" s="9"/>
    </row>
    <row r="70" spans="1:23" x14ac:dyDescent="0.25">
      <c r="A70">
        <v>59</v>
      </c>
      <c r="B70" s="9">
        <v>5639.4228999999996</v>
      </c>
      <c r="C70" s="9">
        <v>385.93669999999997</v>
      </c>
      <c r="D70" s="9">
        <v>0</v>
      </c>
      <c r="E70" s="9">
        <f t="shared" si="0"/>
        <v>6025.3595999999998</v>
      </c>
      <c r="G70">
        <v>59</v>
      </c>
      <c r="H70" s="16">
        <v>8312</v>
      </c>
      <c r="I70" s="16">
        <v>1088</v>
      </c>
      <c r="J70" s="16">
        <v>206</v>
      </c>
      <c r="K70">
        <f t="shared" si="1"/>
        <v>9606</v>
      </c>
      <c r="W70" s="9"/>
    </row>
    <row r="71" spans="1:23" x14ac:dyDescent="0.25">
      <c r="A71">
        <v>60</v>
      </c>
      <c r="B71" s="9">
        <v>4328.2811000000002</v>
      </c>
      <c r="C71" s="9">
        <v>1238.203</v>
      </c>
      <c r="D71" s="9">
        <v>0</v>
      </c>
      <c r="E71" s="9">
        <f t="shared" si="0"/>
        <v>5566.4840999999997</v>
      </c>
      <c r="G71">
        <v>60</v>
      </c>
      <c r="H71" s="16">
        <v>9283</v>
      </c>
      <c r="I71" s="16">
        <v>1079</v>
      </c>
      <c r="J71" s="16">
        <v>255</v>
      </c>
      <c r="K71">
        <f t="shared" si="1"/>
        <v>10617</v>
      </c>
      <c r="W71" s="9"/>
    </row>
    <row r="72" spans="1:23" x14ac:dyDescent="0.25">
      <c r="A72">
        <v>61</v>
      </c>
      <c r="B72" s="9">
        <v>8626.6399000000001</v>
      </c>
      <c r="C72" s="9">
        <v>142.41460000000001</v>
      </c>
      <c r="D72" s="9">
        <v>0</v>
      </c>
      <c r="E72" s="9">
        <f t="shared" si="0"/>
        <v>8769.0545000000002</v>
      </c>
      <c r="G72">
        <v>61</v>
      </c>
      <c r="H72" s="16">
        <v>6560</v>
      </c>
      <c r="I72" s="16">
        <v>966</v>
      </c>
      <c r="J72" s="16">
        <v>187</v>
      </c>
      <c r="K72">
        <f t="shared" si="1"/>
        <v>7713</v>
      </c>
      <c r="W72" s="9"/>
    </row>
    <row r="73" spans="1:23" x14ac:dyDescent="0.25">
      <c r="A73">
        <v>62</v>
      </c>
      <c r="B73" s="9">
        <v>5921.8810999999996</v>
      </c>
      <c r="C73" s="9">
        <v>0</v>
      </c>
      <c r="D73" s="9">
        <v>171.72149999999999</v>
      </c>
      <c r="E73" s="9">
        <f t="shared" si="0"/>
        <v>6093.6025999999993</v>
      </c>
      <c r="G73">
        <v>62</v>
      </c>
      <c r="H73" s="16">
        <v>6641</v>
      </c>
      <c r="I73" s="16">
        <v>835</v>
      </c>
      <c r="J73" s="16">
        <v>155</v>
      </c>
      <c r="K73">
        <f t="shared" si="1"/>
        <v>7631</v>
      </c>
      <c r="W73" s="9"/>
    </row>
    <row r="74" spans="1:23" x14ac:dyDescent="0.25">
      <c r="A74">
        <v>63</v>
      </c>
      <c r="B74" s="9">
        <v>6507.9362000000001</v>
      </c>
      <c r="C74" s="9">
        <v>543.93280000000004</v>
      </c>
      <c r="D74" s="9">
        <v>258.17809999999997</v>
      </c>
      <c r="E74" s="9">
        <f t="shared" si="0"/>
        <v>7310.0471000000007</v>
      </c>
      <c r="G74">
        <v>63</v>
      </c>
      <c r="H74" s="16">
        <v>8099</v>
      </c>
      <c r="I74" s="16">
        <v>895</v>
      </c>
      <c r="J74" s="16">
        <v>202</v>
      </c>
      <c r="K74">
        <f t="shared" si="1"/>
        <v>9196</v>
      </c>
      <c r="W74" s="9"/>
    </row>
    <row r="75" spans="1:23" x14ac:dyDescent="0.25">
      <c r="A75">
        <v>64</v>
      </c>
      <c r="B75" s="9">
        <v>6485.1158999999998</v>
      </c>
      <c r="C75" s="9">
        <v>56.973500000000001</v>
      </c>
      <c r="D75" s="9">
        <v>0</v>
      </c>
      <c r="E75" s="9">
        <f t="shared" si="0"/>
        <v>6542.0893999999998</v>
      </c>
      <c r="G75">
        <v>64</v>
      </c>
      <c r="H75" s="16">
        <v>6216</v>
      </c>
      <c r="I75" s="16">
        <v>753</v>
      </c>
      <c r="J75" s="16">
        <v>176</v>
      </c>
      <c r="K75">
        <f t="shared" si="1"/>
        <v>7145</v>
      </c>
      <c r="W75" s="9"/>
    </row>
    <row r="76" spans="1:23" x14ac:dyDescent="0.25">
      <c r="A76">
        <v>65</v>
      </c>
      <c r="B76" s="9">
        <v>3815.2480999999998</v>
      </c>
      <c r="C76" s="9">
        <v>182.4162</v>
      </c>
      <c r="D76" s="9">
        <v>0</v>
      </c>
      <c r="E76" s="9">
        <f t="shared" ref="E76:E101" si="2">SUM(B76:D76)</f>
        <v>3997.6642999999999</v>
      </c>
      <c r="G76">
        <v>65</v>
      </c>
      <c r="H76" s="16">
        <v>9583</v>
      </c>
      <c r="I76" s="16">
        <v>1621</v>
      </c>
      <c r="J76" s="16">
        <v>235</v>
      </c>
      <c r="K76">
        <f t="shared" ref="K76:K101" si="3">SUM(H76:J76)</f>
        <v>11439</v>
      </c>
      <c r="W76" s="9"/>
    </row>
    <row r="77" spans="1:23" x14ac:dyDescent="0.25">
      <c r="A77">
        <v>66</v>
      </c>
      <c r="B77" s="9">
        <v>3105.8949000000002</v>
      </c>
      <c r="C77" s="9">
        <v>229.66030000000001</v>
      </c>
      <c r="D77" s="9">
        <v>233.0831</v>
      </c>
      <c r="E77" s="9">
        <f t="shared" si="2"/>
        <v>3568.6383000000001</v>
      </c>
      <c r="G77">
        <v>66</v>
      </c>
      <c r="H77" s="16">
        <v>8185</v>
      </c>
      <c r="I77" s="16">
        <v>987</v>
      </c>
      <c r="J77" s="16">
        <v>219</v>
      </c>
      <c r="K77">
        <f t="shared" si="3"/>
        <v>9391</v>
      </c>
      <c r="W77" s="9"/>
    </row>
    <row r="78" spans="1:23" x14ac:dyDescent="0.25">
      <c r="A78">
        <v>67</v>
      </c>
      <c r="B78" s="9">
        <v>1672.7043000000001</v>
      </c>
      <c r="C78" s="9">
        <v>0</v>
      </c>
      <c r="D78" s="9">
        <v>0</v>
      </c>
      <c r="E78" s="9">
        <f t="shared" si="2"/>
        <v>1672.7043000000001</v>
      </c>
      <c r="G78">
        <v>67</v>
      </c>
      <c r="H78" s="16">
        <v>4943</v>
      </c>
      <c r="I78" s="16">
        <v>548</v>
      </c>
      <c r="J78" s="16">
        <v>100</v>
      </c>
      <c r="K78">
        <f t="shared" si="3"/>
        <v>5591</v>
      </c>
      <c r="W78" s="9"/>
    </row>
    <row r="79" spans="1:23" x14ac:dyDescent="0.25">
      <c r="A79">
        <v>68</v>
      </c>
      <c r="B79" s="9">
        <v>2065.2130999999999</v>
      </c>
      <c r="C79" s="9">
        <v>449.66410000000002</v>
      </c>
      <c r="D79" s="9">
        <v>123.2167</v>
      </c>
      <c r="E79" s="9">
        <f t="shared" si="2"/>
        <v>2638.0938999999998</v>
      </c>
      <c r="G79">
        <v>68</v>
      </c>
      <c r="H79" s="16">
        <v>6683</v>
      </c>
      <c r="I79" s="16">
        <v>713</v>
      </c>
      <c r="J79" s="16">
        <v>109</v>
      </c>
      <c r="K79">
        <f t="shared" si="3"/>
        <v>7505</v>
      </c>
      <c r="W79" s="9"/>
    </row>
    <row r="80" spans="1:23" x14ac:dyDescent="0.25">
      <c r="A80">
        <v>69</v>
      </c>
      <c r="B80" s="9">
        <v>3752.2802999999999</v>
      </c>
      <c r="C80" s="9">
        <v>105.4442</v>
      </c>
      <c r="D80" s="9">
        <v>165.18559999999999</v>
      </c>
      <c r="E80" s="9">
        <f t="shared" si="2"/>
        <v>4022.9100999999996</v>
      </c>
      <c r="G80">
        <v>69</v>
      </c>
      <c r="H80" s="16">
        <v>5904</v>
      </c>
      <c r="I80" s="16">
        <v>609</v>
      </c>
      <c r="J80" s="16">
        <v>154</v>
      </c>
      <c r="K80">
        <f t="shared" si="3"/>
        <v>6667</v>
      </c>
      <c r="W80" s="9"/>
    </row>
    <row r="81" spans="1:23" x14ac:dyDescent="0.25">
      <c r="A81">
        <v>70</v>
      </c>
      <c r="B81" s="9">
        <v>1923.5444</v>
      </c>
      <c r="C81" s="9">
        <v>0</v>
      </c>
      <c r="D81" s="9">
        <v>0</v>
      </c>
      <c r="E81" s="9">
        <f t="shared" si="2"/>
        <v>1923.5444</v>
      </c>
      <c r="G81">
        <v>70</v>
      </c>
      <c r="H81" s="16">
        <v>3937</v>
      </c>
      <c r="I81" s="16">
        <v>461</v>
      </c>
      <c r="J81" s="16">
        <v>77</v>
      </c>
      <c r="K81">
        <f t="shared" si="3"/>
        <v>4475</v>
      </c>
      <c r="W81" s="9"/>
    </row>
    <row r="82" spans="1:23" x14ac:dyDescent="0.25">
      <c r="A82">
        <v>71</v>
      </c>
      <c r="B82" s="9">
        <v>3589.9627</v>
      </c>
      <c r="C82" s="9">
        <v>0</v>
      </c>
      <c r="D82" s="9">
        <v>0</v>
      </c>
      <c r="E82" s="9">
        <f t="shared" si="2"/>
        <v>3589.9627</v>
      </c>
      <c r="G82">
        <v>71</v>
      </c>
      <c r="H82" s="16">
        <v>3782</v>
      </c>
      <c r="I82" s="16">
        <v>432</v>
      </c>
      <c r="J82" s="16">
        <v>68</v>
      </c>
      <c r="K82">
        <f t="shared" si="3"/>
        <v>4282</v>
      </c>
      <c r="W82" s="9"/>
    </row>
    <row r="83" spans="1:23" x14ac:dyDescent="0.25">
      <c r="A83">
        <v>72</v>
      </c>
      <c r="B83" s="9">
        <v>1265.3325</v>
      </c>
      <c r="C83" s="9">
        <v>426.04829999999998</v>
      </c>
      <c r="D83" s="9">
        <v>149.57589999999999</v>
      </c>
      <c r="E83" s="9">
        <f t="shared" si="2"/>
        <v>1840.9567</v>
      </c>
      <c r="G83">
        <v>72</v>
      </c>
      <c r="H83" s="16">
        <v>3747</v>
      </c>
      <c r="I83" s="16">
        <v>409</v>
      </c>
      <c r="J83" s="16">
        <v>55</v>
      </c>
      <c r="K83">
        <f t="shared" si="3"/>
        <v>4211</v>
      </c>
      <c r="W83" s="9"/>
    </row>
    <row r="84" spans="1:23" x14ac:dyDescent="0.25">
      <c r="A84">
        <v>73</v>
      </c>
      <c r="B84" s="9">
        <v>2016.6373000000001</v>
      </c>
      <c r="C84" s="9">
        <v>0</v>
      </c>
      <c r="D84" s="9">
        <v>321.49549999999999</v>
      </c>
      <c r="E84" s="9">
        <f t="shared" si="2"/>
        <v>2338.1328000000003</v>
      </c>
      <c r="G84">
        <v>73</v>
      </c>
      <c r="H84" s="16">
        <v>4313</v>
      </c>
      <c r="I84" s="16">
        <v>505</v>
      </c>
      <c r="J84" s="16">
        <v>72</v>
      </c>
      <c r="K84">
        <f t="shared" si="3"/>
        <v>4890</v>
      </c>
      <c r="W84" s="9"/>
    </row>
    <row r="85" spans="1:23" x14ac:dyDescent="0.25">
      <c r="A85">
        <v>74</v>
      </c>
      <c r="B85" s="9">
        <v>3721.1529</v>
      </c>
      <c r="C85" s="9">
        <v>0</v>
      </c>
      <c r="D85" s="9">
        <v>0</v>
      </c>
      <c r="E85" s="9">
        <f t="shared" si="2"/>
        <v>3721.1529</v>
      </c>
      <c r="G85">
        <v>74</v>
      </c>
      <c r="H85" s="16">
        <v>3269</v>
      </c>
      <c r="I85" s="16">
        <v>375</v>
      </c>
      <c r="J85" s="16">
        <v>63</v>
      </c>
      <c r="K85">
        <f t="shared" si="3"/>
        <v>3707</v>
      </c>
      <c r="W85" s="9"/>
    </row>
    <row r="86" spans="1:23" x14ac:dyDescent="0.25">
      <c r="A86">
        <v>75</v>
      </c>
      <c r="B86" s="9">
        <v>2737.7642000000001</v>
      </c>
      <c r="C86" s="9">
        <v>163.76150000000001</v>
      </c>
      <c r="D86" s="9">
        <v>0</v>
      </c>
      <c r="E86" s="9">
        <f t="shared" si="2"/>
        <v>2901.5257000000001</v>
      </c>
      <c r="G86">
        <v>75</v>
      </c>
      <c r="H86" s="16">
        <v>3248</v>
      </c>
      <c r="I86" s="16">
        <v>288</v>
      </c>
      <c r="J86" s="16">
        <v>56</v>
      </c>
      <c r="K86">
        <f t="shared" si="3"/>
        <v>3592</v>
      </c>
      <c r="W86" s="9"/>
    </row>
    <row r="87" spans="1:23" x14ac:dyDescent="0.25">
      <c r="A87">
        <v>76</v>
      </c>
      <c r="B87" s="9">
        <v>3337.4385000000002</v>
      </c>
      <c r="C87" s="9">
        <v>717.72460000000001</v>
      </c>
      <c r="D87" s="9">
        <v>0</v>
      </c>
      <c r="E87" s="9">
        <f t="shared" si="2"/>
        <v>4055.1631000000002</v>
      </c>
      <c r="G87">
        <v>76</v>
      </c>
      <c r="H87" s="16">
        <v>2606</v>
      </c>
      <c r="I87" s="16">
        <v>308</v>
      </c>
      <c r="J87" s="16">
        <v>66</v>
      </c>
      <c r="K87">
        <f t="shared" si="3"/>
        <v>2980</v>
      </c>
      <c r="W87" s="9"/>
    </row>
    <row r="88" spans="1:23" x14ac:dyDescent="0.25">
      <c r="A88">
        <v>77</v>
      </c>
      <c r="B88" s="9">
        <v>3319.7505000000001</v>
      </c>
      <c r="C88" s="9">
        <v>0</v>
      </c>
      <c r="D88" s="9">
        <v>218.62780000000001</v>
      </c>
      <c r="E88" s="9">
        <f t="shared" si="2"/>
        <v>3538.3783000000003</v>
      </c>
      <c r="G88">
        <v>77</v>
      </c>
      <c r="H88" s="16">
        <v>1558</v>
      </c>
      <c r="I88" s="16">
        <v>201</v>
      </c>
      <c r="J88" s="16">
        <v>33</v>
      </c>
      <c r="K88">
        <f t="shared" si="3"/>
        <v>1792</v>
      </c>
      <c r="W88" s="9"/>
    </row>
    <row r="89" spans="1:23" x14ac:dyDescent="0.25">
      <c r="A89">
        <v>78</v>
      </c>
      <c r="B89" s="9">
        <v>739.06240000000003</v>
      </c>
      <c r="C89" s="9">
        <v>585.62819999999999</v>
      </c>
      <c r="D89" s="9">
        <v>266.2527</v>
      </c>
      <c r="E89" s="9">
        <f t="shared" si="2"/>
        <v>1590.9432999999999</v>
      </c>
      <c r="G89">
        <v>78</v>
      </c>
      <c r="H89" s="16">
        <v>2098</v>
      </c>
      <c r="I89" s="16">
        <v>309</v>
      </c>
      <c r="J89" s="16">
        <v>47</v>
      </c>
      <c r="K89">
        <f t="shared" si="3"/>
        <v>2454</v>
      </c>
      <c r="W89" s="9"/>
    </row>
    <row r="90" spans="1:23" x14ac:dyDescent="0.25">
      <c r="A90">
        <v>79</v>
      </c>
      <c r="B90" s="9">
        <v>1971.6870999999999</v>
      </c>
      <c r="C90" s="9">
        <v>0</v>
      </c>
      <c r="D90" s="9">
        <v>0</v>
      </c>
      <c r="E90" s="9">
        <f t="shared" si="2"/>
        <v>1971.6870999999999</v>
      </c>
      <c r="G90">
        <v>79</v>
      </c>
      <c r="H90" s="16">
        <v>2199</v>
      </c>
      <c r="I90" s="16">
        <v>221</v>
      </c>
      <c r="J90" s="16">
        <v>42</v>
      </c>
      <c r="K90">
        <f t="shared" si="3"/>
        <v>2462</v>
      </c>
      <c r="W90" s="9"/>
    </row>
    <row r="91" spans="1:23" x14ac:dyDescent="0.25">
      <c r="A91">
        <v>80</v>
      </c>
      <c r="B91" s="9">
        <v>636.09629999999993</v>
      </c>
      <c r="C91" s="9">
        <v>191.23939999999999</v>
      </c>
      <c r="D91" s="9">
        <v>258.15309999999999</v>
      </c>
      <c r="E91" s="9">
        <f t="shared" si="2"/>
        <v>1085.4887999999999</v>
      </c>
      <c r="G91">
        <v>80</v>
      </c>
      <c r="H91" s="16">
        <v>2169</v>
      </c>
      <c r="I91" s="16">
        <v>267</v>
      </c>
      <c r="J91" s="16">
        <v>46</v>
      </c>
      <c r="K91">
        <f t="shared" si="3"/>
        <v>2482</v>
      </c>
      <c r="W91" s="9"/>
    </row>
    <row r="92" spans="1:23" x14ac:dyDescent="0.25">
      <c r="A92">
        <v>81</v>
      </c>
      <c r="B92" s="9">
        <v>5809.1764000000003</v>
      </c>
      <c r="C92" s="9">
        <v>0</v>
      </c>
      <c r="D92" s="9">
        <v>382.41930000000002</v>
      </c>
      <c r="E92" s="9">
        <f t="shared" si="2"/>
        <v>6191.5956999999999</v>
      </c>
      <c r="G92">
        <v>81</v>
      </c>
      <c r="H92" s="16">
        <v>2235</v>
      </c>
      <c r="I92" s="16">
        <v>316</v>
      </c>
      <c r="J92" s="16">
        <v>46</v>
      </c>
      <c r="K92">
        <f t="shared" si="3"/>
        <v>2597</v>
      </c>
      <c r="W92" s="9"/>
    </row>
    <row r="93" spans="1:23" x14ac:dyDescent="0.25">
      <c r="A93">
        <v>82</v>
      </c>
      <c r="B93" s="9">
        <v>666.40940000000001</v>
      </c>
      <c r="C93" s="9">
        <v>511.8021</v>
      </c>
      <c r="D93" s="9">
        <v>0</v>
      </c>
      <c r="E93" s="9">
        <f t="shared" si="2"/>
        <v>1178.2114999999999</v>
      </c>
      <c r="G93">
        <v>82</v>
      </c>
      <c r="H93" s="16">
        <v>1582</v>
      </c>
      <c r="I93" s="16">
        <v>178</v>
      </c>
      <c r="J93" s="16">
        <v>32</v>
      </c>
      <c r="K93">
        <f t="shared" si="3"/>
        <v>1792</v>
      </c>
      <c r="W93" s="9"/>
    </row>
    <row r="94" spans="1:23" x14ac:dyDescent="0.25">
      <c r="A94">
        <v>83</v>
      </c>
      <c r="B94" s="9">
        <v>693.52530000000002</v>
      </c>
      <c r="C94" s="9">
        <v>0</v>
      </c>
      <c r="D94" s="9">
        <v>0</v>
      </c>
      <c r="E94" s="9">
        <f t="shared" si="2"/>
        <v>693.52530000000002</v>
      </c>
      <c r="G94">
        <v>83</v>
      </c>
      <c r="H94" s="16">
        <v>1361</v>
      </c>
      <c r="I94" s="16">
        <v>175</v>
      </c>
      <c r="J94">
        <v>27</v>
      </c>
      <c r="K94">
        <f t="shared" si="3"/>
        <v>1563</v>
      </c>
      <c r="W94" s="9"/>
    </row>
    <row r="95" spans="1:23" ht="15.75" thickBot="1" x14ac:dyDescent="0.3">
      <c r="A95">
        <v>84</v>
      </c>
      <c r="B95" s="9">
        <v>1310.9626000000001</v>
      </c>
      <c r="C95" s="9">
        <v>0</v>
      </c>
      <c r="D95" s="9">
        <v>0</v>
      </c>
      <c r="E95" s="9">
        <f t="shared" si="2"/>
        <v>1310.9626000000001</v>
      </c>
      <c r="G95">
        <v>84</v>
      </c>
      <c r="H95" s="16">
        <v>1242</v>
      </c>
      <c r="I95" s="16">
        <v>181</v>
      </c>
      <c r="J95" s="16">
        <v>29</v>
      </c>
      <c r="K95">
        <f t="shared" si="3"/>
        <v>1452</v>
      </c>
      <c r="W95" s="10"/>
    </row>
    <row r="96" spans="1:23" x14ac:dyDescent="0.25">
      <c r="A96">
        <v>85</v>
      </c>
      <c r="B96" s="9">
        <v>2190.5170000000003</v>
      </c>
      <c r="C96" s="9">
        <v>0</v>
      </c>
      <c r="D96" s="9">
        <v>0</v>
      </c>
      <c r="E96" s="9">
        <f t="shared" si="2"/>
        <v>2190.5170000000003</v>
      </c>
      <c r="G96">
        <v>85</v>
      </c>
      <c r="H96" s="16">
        <v>1203</v>
      </c>
      <c r="I96" s="16">
        <v>196</v>
      </c>
      <c r="J96">
        <v>30</v>
      </c>
      <c r="K96">
        <f t="shared" si="3"/>
        <v>1429</v>
      </c>
    </row>
    <row r="97" spans="1:11" x14ac:dyDescent="0.25">
      <c r="A97">
        <v>86</v>
      </c>
      <c r="B97" s="9">
        <v>3106.2154</v>
      </c>
      <c r="C97" s="9">
        <v>0</v>
      </c>
      <c r="D97" s="9">
        <v>0</v>
      </c>
      <c r="E97" s="9">
        <f t="shared" si="2"/>
        <v>3106.2154</v>
      </c>
      <c r="G97">
        <v>86</v>
      </c>
      <c r="H97" s="16">
        <v>1422</v>
      </c>
      <c r="I97" s="16">
        <v>241</v>
      </c>
      <c r="J97" s="16">
        <v>26</v>
      </c>
      <c r="K97">
        <f t="shared" si="3"/>
        <v>1689</v>
      </c>
    </row>
    <row r="98" spans="1:11" x14ac:dyDescent="0.25">
      <c r="A98">
        <v>87</v>
      </c>
      <c r="B98" s="9">
        <v>5312.8410000000003</v>
      </c>
      <c r="C98" s="9">
        <v>0</v>
      </c>
      <c r="D98" s="9">
        <v>0</v>
      </c>
      <c r="E98" s="9">
        <f t="shared" si="2"/>
        <v>5312.8410000000003</v>
      </c>
      <c r="G98">
        <v>87</v>
      </c>
      <c r="H98" s="16">
        <v>1147</v>
      </c>
      <c r="I98" s="16">
        <v>221</v>
      </c>
      <c r="J98" s="16">
        <v>44</v>
      </c>
      <c r="K98">
        <f t="shared" si="3"/>
        <v>1412</v>
      </c>
    </row>
    <row r="99" spans="1:11" x14ac:dyDescent="0.25">
      <c r="A99">
        <v>88</v>
      </c>
      <c r="B99" s="9">
        <v>420.32849999999996</v>
      </c>
      <c r="C99" s="9">
        <v>268.3759</v>
      </c>
      <c r="D99" s="9">
        <v>0</v>
      </c>
      <c r="E99" s="9">
        <f t="shared" si="2"/>
        <v>688.70439999999996</v>
      </c>
      <c r="G99">
        <v>88</v>
      </c>
      <c r="H99" s="16">
        <v>1587</v>
      </c>
      <c r="I99" s="16">
        <v>277</v>
      </c>
      <c r="J99" s="16">
        <v>73</v>
      </c>
      <c r="K99">
        <f t="shared" si="3"/>
        <v>1937</v>
      </c>
    </row>
    <row r="100" spans="1:11" x14ac:dyDescent="0.25">
      <c r="A100">
        <v>89</v>
      </c>
      <c r="B100" s="9">
        <v>25685.712800000001</v>
      </c>
      <c r="C100" s="9">
        <v>3056.9180999999999</v>
      </c>
      <c r="D100" s="9">
        <v>408.94400000000002</v>
      </c>
      <c r="E100" s="9">
        <f t="shared" si="2"/>
        <v>29151.5749</v>
      </c>
      <c r="G100">
        <v>89</v>
      </c>
      <c r="H100" s="16">
        <v>40744</v>
      </c>
      <c r="I100" s="16">
        <v>7144</v>
      </c>
      <c r="J100">
        <v>1716</v>
      </c>
      <c r="K100">
        <f t="shared" si="3"/>
        <v>49604</v>
      </c>
    </row>
    <row r="101" spans="1:11" ht="15.75" thickBot="1" x14ac:dyDescent="0.3">
      <c r="A101" s="1">
        <v>90</v>
      </c>
      <c r="B101" s="10">
        <v>104700.6578</v>
      </c>
      <c r="C101" s="10">
        <v>78770.766900000002</v>
      </c>
      <c r="D101" s="10">
        <v>9339.8181000000004</v>
      </c>
      <c r="E101" s="10">
        <f t="shared" si="2"/>
        <v>192811.24280000001</v>
      </c>
      <c r="G101" s="1">
        <v>90</v>
      </c>
      <c r="H101" s="1">
        <v>0</v>
      </c>
      <c r="I101" s="1">
        <v>0</v>
      </c>
      <c r="J101" s="1">
        <v>0</v>
      </c>
      <c r="K101" s="1">
        <f t="shared" si="3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2"/>
  <sheetViews>
    <sheetView workbookViewId="0">
      <selection activeCell="A4" sqref="A4"/>
    </sheetView>
  </sheetViews>
  <sheetFormatPr defaultRowHeight="15" x14ac:dyDescent="0.25"/>
  <cols>
    <col min="1" max="1" width="12.140625" customWidth="1" collapsed="1"/>
    <col min="5" max="5" width="9.5703125" bestFit="1" customWidth="1" collapsed="1"/>
    <col min="7" max="7" width="10.85546875" customWidth="1" collapsed="1"/>
    <col min="13" max="13" width="10.85546875" customWidth="1" collapsed="1"/>
    <col min="17" max="17" width="9.5703125" bestFit="1" customWidth="1" collapsed="1"/>
  </cols>
  <sheetData>
    <row r="1" spans="1:17" x14ac:dyDescent="0.25">
      <c r="A1" t="s">
        <v>25</v>
      </c>
    </row>
    <row r="2" spans="1:17" x14ac:dyDescent="0.25">
      <c r="A2" t="s">
        <v>284</v>
      </c>
    </row>
    <row r="3" spans="1:17" x14ac:dyDescent="0.25">
      <c r="A3" t="s">
        <v>285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r="9" spans="1:17" ht="15.75" thickBot="1" x14ac:dyDescent="0.3">
      <c r="A9" s="4" t="s">
        <v>224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34756.182800000002</v>
      </c>
      <c r="C11" s="12">
        <f>SUM(TDFD!C11:C15)</f>
        <v>20002.383399999999</v>
      </c>
      <c r="D11" s="12">
        <f>SUM(TDFD!D11:D15)</f>
        <v>2067.2026000000001</v>
      </c>
      <c r="E11" s="12">
        <f>SUM(TDFD!E11:E15)</f>
        <v>56825.768799999998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66645</v>
      </c>
      <c r="O11" s="12">
        <f>SUM(TDFD!I11:I15)</f>
        <v>28095</v>
      </c>
      <c r="P11" s="12">
        <f>SUM(TDFD!J11:J15)</f>
        <v>7123</v>
      </c>
      <c r="Q11" s="12">
        <f>SUM(TDFD!K11:K15)</f>
        <v>101863</v>
      </c>
    </row>
    <row r="12" spans="1:17" x14ac:dyDescent="0.25">
      <c r="A12" t="s">
        <v>28</v>
      </c>
      <c r="B12" s="12">
        <f>SUM(TDFD!B16:B20)</f>
        <v>90716.189899999998</v>
      </c>
      <c r="C12" s="12">
        <f>SUM(TDFD!C16:C20)</f>
        <v>34012.856999999996</v>
      </c>
      <c r="D12" s="12">
        <f>SUM(TDFD!D16:D20)</f>
        <v>2982.5374000000002</v>
      </c>
      <c r="E12" s="12">
        <f>SUM(TDFD!E16:E20)</f>
        <v>127711.58429999999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49957</v>
      </c>
      <c r="O12" s="12">
        <f>SUM(TDFD!I16:I20)</f>
        <v>22074</v>
      </c>
      <c r="P12" s="12">
        <f>SUM(TDFD!J16:J20)</f>
        <v>6029</v>
      </c>
      <c r="Q12" s="12">
        <f>SUM(TDFD!K16:K20)</f>
        <v>78060</v>
      </c>
    </row>
    <row r="13" spans="1:17" x14ac:dyDescent="0.25">
      <c r="A13" t="s">
        <v>29</v>
      </c>
      <c r="B13" s="12">
        <f>SUM(TDFD!B21:B25)</f>
        <v>147189.23930000002</v>
      </c>
      <c r="C13" s="12">
        <f>SUM(TDFD!C21:C25)</f>
        <v>43048.587</v>
      </c>
      <c r="D13" s="12">
        <f>SUM(TDFD!D21:D25)</f>
        <v>7435.8870999999999</v>
      </c>
      <c r="E13" s="12">
        <f>SUM(TDFD!E21:E25)</f>
        <v>197673.71340000001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40038</v>
      </c>
      <c r="O13" s="12">
        <f>SUM(TDFD!I21:I25)</f>
        <v>14406</v>
      </c>
      <c r="P13" s="12">
        <f>SUM(TDFD!J21:J25)</f>
        <v>3879</v>
      </c>
      <c r="Q13" s="12">
        <f>SUM(TDFD!K21:K25)</f>
        <v>58323</v>
      </c>
    </row>
    <row r="14" spans="1:17" x14ac:dyDescent="0.25">
      <c r="A14" t="s">
        <v>30</v>
      </c>
      <c r="B14" s="12">
        <f>SUM(TDFD!B26:B30)</f>
        <v>183797.41870000001</v>
      </c>
      <c r="C14" s="12">
        <f>SUM(TDFD!C26:C30)</f>
        <v>42262.627800000002</v>
      </c>
      <c r="D14" s="12">
        <f>SUM(TDFD!D26:D30)</f>
        <v>11042.8323</v>
      </c>
      <c r="E14" s="12">
        <f>SUM(TDFD!E26:E30)</f>
        <v>237102.87880000001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85709</v>
      </c>
      <c r="O14" s="12">
        <f>SUM(TDFD!I26:I30)</f>
        <v>32919</v>
      </c>
      <c r="P14" s="12">
        <f>SUM(TDFD!J26:J30)</f>
        <v>9367</v>
      </c>
      <c r="Q14" s="12">
        <f>SUM(TDFD!K26:K30)</f>
        <v>127995</v>
      </c>
    </row>
    <row r="15" spans="1:17" x14ac:dyDescent="0.25">
      <c r="A15" t="s">
        <v>31</v>
      </c>
      <c r="B15" s="12">
        <f>SUM(TDFD!B31:B35)</f>
        <v>158095.5552</v>
      </c>
      <c r="C15" s="12">
        <f>SUM(TDFD!C31:C35)</f>
        <v>30407.963100000001</v>
      </c>
      <c r="D15" s="12">
        <f>SUM(TDFD!D31:D35)</f>
        <v>6144.8919999999998</v>
      </c>
      <c r="E15" s="12">
        <f>SUM(TDFD!E31:E35)</f>
        <v>194648.41029999999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172291</v>
      </c>
      <c r="O15" s="12">
        <f>SUM(TDFD!I31:I35)</f>
        <v>50335</v>
      </c>
      <c r="P15" s="12">
        <f>SUM(TDFD!J31:J35)</f>
        <v>15739</v>
      </c>
      <c r="Q15" s="12">
        <f>SUM(TDFD!K31:K35)</f>
        <v>238365</v>
      </c>
    </row>
    <row r="16" spans="1:17" x14ac:dyDescent="0.25">
      <c r="A16" t="s">
        <v>32</v>
      </c>
      <c r="B16" s="12">
        <f>SUM(TDFD!B36:B40)</f>
        <v>143182.22960000002</v>
      </c>
      <c r="C16" s="12">
        <f>SUM(TDFD!C36:C40)</f>
        <v>22789.069499999998</v>
      </c>
      <c r="D16" s="12">
        <f>SUM(TDFD!D36:D40)</f>
        <v>8433.9706000000006</v>
      </c>
      <c r="E16" s="12">
        <f>SUM(TDFD!E36:E40)</f>
        <v>174405.2697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178827</v>
      </c>
      <c r="O16" s="12">
        <f>SUM(TDFD!I36:I40)</f>
        <v>44045</v>
      </c>
      <c r="P16" s="12">
        <f>SUM(TDFD!J36:J40)</f>
        <v>13782</v>
      </c>
      <c r="Q16" s="12">
        <f>SUM(TDFD!K36:K40)</f>
        <v>236654</v>
      </c>
    </row>
    <row r="17" spans="1:17" x14ac:dyDescent="0.25">
      <c r="A17" t="s">
        <v>33</v>
      </c>
      <c r="B17" s="12">
        <f>SUM(TDFD!B41:B45)</f>
        <v>102520.0836</v>
      </c>
      <c r="C17" s="12">
        <f>SUM(TDFD!C41:C45)</f>
        <v>21707.918100000003</v>
      </c>
      <c r="D17" s="12">
        <f>SUM(TDFD!D41:D45)</f>
        <v>4491.1188000000002</v>
      </c>
      <c r="E17" s="12">
        <f>SUM(TDFD!E41:E45)</f>
        <v>128719.12050000002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177966</v>
      </c>
      <c r="O17" s="12">
        <f>SUM(TDFD!I41:I45)</f>
        <v>39032</v>
      </c>
      <c r="P17" s="12">
        <f>SUM(TDFD!J41:J45)</f>
        <v>10951</v>
      </c>
      <c r="Q17" s="12">
        <f>SUM(TDFD!K41:K45)</f>
        <v>227949</v>
      </c>
    </row>
    <row r="18" spans="1:17" x14ac:dyDescent="0.25">
      <c r="A18" t="s">
        <v>34</v>
      </c>
      <c r="B18" s="12">
        <f>SUM(TDFD!B46:B50)</f>
        <v>98604.070200000002</v>
      </c>
      <c r="C18" s="12">
        <f>SUM(TDFD!C46:C50)</f>
        <v>15124.1957</v>
      </c>
      <c r="D18" s="12">
        <f>SUM(TDFD!D46:D50)</f>
        <v>4155.7389000000003</v>
      </c>
      <c r="E18" s="12">
        <f>SUM(TDFD!E46:E50)</f>
        <v>117884.00480000001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143726</v>
      </c>
      <c r="O18" s="12">
        <f>SUM(TDFD!I46:I50)</f>
        <v>25701</v>
      </c>
      <c r="P18" s="12">
        <f>SUM(TDFD!J46:J50)</f>
        <v>7117</v>
      </c>
      <c r="Q18" s="12">
        <f>SUM(TDFD!K46:K50)</f>
        <v>176544</v>
      </c>
    </row>
    <row r="19" spans="1:17" x14ac:dyDescent="0.25">
      <c r="A19" t="s">
        <v>35</v>
      </c>
      <c r="B19" s="12">
        <f>SUM(TDFD!B51:B55)</f>
        <v>64628.9421</v>
      </c>
      <c r="C19" s="12">
        <f>SUM(TDFD!C51:C55)</f>
        <v>7946.0033999999996</v>
      </c>
      <c r="D19" s="12">
        <f>SUM(TDFD!D51:D55)</f>
        <v>2789.7519999999995</v>
      </c>
      <c r="E19" s="12">
        <f>SUM(TDFD!E51:E55)</f>
        <v>75364.697499999995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137792</v>
      </c>
      <c r="O19" s="12">
        <f>SUM(TDFD!I51:I55)</f>
        <v>24843</v>
      </c>
      <c r="P19" s="12">
        <f>SUM(TDFD!J51:J55)</f>
        <v>5835</v>
      </c>
      <c r="Q19" s="12">
        <f>SUM(TDFD!K51:K55)</f>
        <v>168470</v>
      </c>
    </row>
    <row r="20" spans="1:17" x14ac:dyDescent="0.25">
      <c r="A20" t="s">
        <v>36</v>
      </c>
      <c r="B20" s="12">
        <f>SUM(TDFD!B56:B70)</f>
        <v>167663.86110000001</v>
      </c>
      <c r="C20" s="12">
        <f>SUM(TDFD!C56:C70)</f>
        <v>16013.103400000002</v>
      </c>
      <c r="D20" s="12">
        <f>SUM(TDFD!D56:D70)</f>
        <v>1850.1344000000001</v>
      </c>
      <c r="E20" s="12">
        <f>SUM(TDFD!E56:E70)</f>
        <v>185527.09890000001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200322</v>
      </c>
      <c r="O20" s="12">
        <f>SUM(TDFD!I56:I70)</f>
        <v>28149</v>
      </c>
      <c r="P20" s="12">
        <f>SUM(TDFD!J56:J70)</f>
        <v>6562</v>
      </c>
      <c r="Q20" s="12">
        <f>SUM(TDFD!K56:K70)</f>
        <v>235033</v>
      </c>
    </row>
    <row r="21" spans="1:17" x14ac:dyDescent="0.25">
      <c r="A21" t="s">
        <v>37</v>
      </c>
      <c r="B21" s="12">
        <f>SUM(TDFD!B71:B100)</f>
        <v>116735.31209999998</v>
      </c>
      <c r="C21" s="12">
        <f>SUM(TDFD!C71:C100)</f>
        <v>8870.2067999999999</v>
      </c>
      <c r="D21" s="12">
        <f>SUM(TDFD!D71:D100)</f>
        <v>2956.8532999999998</v>
      </c>
      <c r="E21" s="12">
        <f>SUM(TDFD!E71:E100)</f>
        <v>128562.37220000001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157546</v>
      </c>
      <c r="O21" s="12">
        <f>SUM(TDFD!I71:I100)</f>
        <v>21711</v>
      </c>
      <c r="P21" s="12">
        <f>SUM(TDFD!J71:J100)</f>
        <v>4440</v>
      </c>
      <c r="Q21" s="12">
        <f>SUM(TDFD!K71:K100)</f>
        <v>183697</v>
      </c>
    </row>
    <row r="22" spans="1:17" ht="15.75" thickBot="1" x14ac:dyDescent="0.3">
      <c r="A22" s="1" t="s">
        <v>38</v>
      </c>
      <c r="B22" s="13">
        <f>TDFD!B101</f>
        <v>104700.6578</v>
      </c>
      <c r="C22" s="13">
        <f>TDFD!C101</f>
        <v>78770.766900000002</v>
      </c>
      <c r="D22" s="13">
        <f>TDFD!D101</f>
        <v>9339.8181000000004</v>
      </c>
      <c r="E22" s="13">
        <f>TDFD!E101</f>
        <v>192811.24280000001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56"/>
  <sheetViews>
    <sheetView zoomScaleNormal="100" workbookViewId="0">
      <selection activeCell="A3" sqref="A3"/>
    </sheetView>
  </sheetViews>
  <sheetFormatPr defaultRowHeight="15" x14ac:dyDescent="0.25"/>
  <cols>
    <col min="3" max="3" width="9.7109375" bestFit="1" customWidth="1" collapsed="1"/>
    <col min="4" max="4" width="8.85546875" customWidth="1" collapsed="1"/>
    <col min="15" max="15" width="10.140625" customWidth="1" collapsed="1"/>
    <col min="20" max="21" width="9.5703125" bestFit="1" customWidth="1" collapsed="1"/>
    <col min="26" max="26" width="9.140625" customWidth="1" collapsed="1"/>
  </cols>
  <sheetData>
    <row r="1" spans="1:36" x14ac:dyDescent="0.25">
      <c r="A1" t="s">
        <v>2</v>
      </c>
    </row>
    <row r="2" spans="1:36" x14ac:dyDescent="0.25">
      <c r="A2" t="s">
        <v>282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r="5" spans="1:36" ht="15.75" thickBot="1" x14ac:dyDescent="0.3">
      <c r="A5" s="4" t="s">
        <v>223</v>
      </c>
      <c r="B5" s="1"/>
      <c r="C5" s="1"/>
      <c r="D5" s="1"/>
      <c r="E5" s="1"/>
      <c r="F5" s="1"/>
      <c r="G5" s="1"/>
      <c r="H5" s="1"/>
      <c r="I5" s="1"/>
      <c r="J5" s="1"/>
      <c r="L5" s="4" t="s">
        <v>59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31"/>
      <c r="AI5" s="7"/>
      <c r="AJ5" s="7"/>
    </row>
    <row r="6" spans="1:36" x14ac:dyDescent="0.25">
      <c r="A6" s="2" t="s">
        <v>15</v>
      </c>
      <c r="B6" s="2" t="str">
        <f>$A$7</f>
        <v>Williamson</v>
      </c>
      <c r="C6" s="2" t="str">
        <f>$A$8</f>
        <v>Rutherford</v>
      </c>
      <c r="D6" s="2" t="str">
        <f>$A$9</f>
        <v>Sumner</v>
      </c>
      <c r="E6" s="2" t="str">
        <f>$A$10</f>
        <v>Roberston</v>
      </c>
      <c r="F6" s="2" t="str">
        <f>$A$11</f>
        <v>Davidson</v>
      </c>
      <c r="G6" s="2" t="str">
        <f>$A$12</f>
        <v>Maury</v>
      </c>
      <c r="H6" s="2" t="str">
        <f>$A$13</f>
        <v>Wilson</v>
      </c>
      <c r="I6" s="3" t="str">
        <f>$A$14</f>
        <v>Outside</v>
      </c>
      <c r="J6" s="3" t="s">
        <v>4</v>
      </c>
      <c r="L6" s="2" t="s">
        <v>15</v>
      </c>
      <c r="M6" s="2" t="str">
        <f>$A$7</f>
        <v>Williamson</v>
      </c>
      <c r="N6" s="2" t="str">
        <f>$A$8</f>
        <v>Rutherford</v>
      </c>
      <c r="O6" s="2" t="str">
        <f>$A$9</f>
        <v>Sumner</v>
      </c>
      <c r="P6" s="2" t="str">
        <f>$A$10</f>
        <v>Roberston</v>
      </c>
      <c r="Q6" s="2" t="str">
        <f>$A$11</f>
        <v>Davidson</v>
      </c>
      <c r="R6" s="2" t="str">
        <f>$A$12</f>
        <v>Maury</v>
      </c>
      <c r="S6" s="2" t="str">
        <f>$A$13</f>
        <v>Wilson</v>
      </c>
      <c r="T6" s="3" t="str">
        <f>$A$14</f>
        <v>Outside</v>
      </c>
      <c r="U6" s="3" t="s">
        <v>4</v>
      </c>
      <c r="W6" s="2" t="s">
        <v>15</v>
      </c>
      <c r="X6" s="2" t="str">
        <f>$A$7</f>
        <v>Williamson</v>
      </c>
      <c r="Y6" s="2" t="str">
        <f>$A$8</f>
        <v>Rutherford</v>
      </c>
      <c r="Z6" s="2" t="str">
        <f>$A$9</f>
        <v>Sumner</v>
      </c>
      <c r="AA6" s="2" t="str">
        <f>$A$10</f>
        <v>Roberston</v>
      </c>
      <c r="AB6" s="2" t="str">
        <f>$A$11</f>
        <v>Davidson</v>
      </c>
      <c r="AC6" s="2" t="str">
        <f>$A$12</f>
        <v>Maury</v>
      </c>
      <c r="AD6" s="2" t="str">
        <f>$A$13</f>
        <v>Wilson</v>
      </c>
      <c r="AE6" s="3" t="str">
        <f>$A$14</f>
        <v>Outside</v>
      </c>
      <c r="AF6" s="3" t="s">
        <v>4</v>
      </c>
      <c r="AH6" s="23"/>
      <c r="AI6" s="23"/>
      <c r="AJ6" s="7"/>
    </row>
    <row r="7" spans="1:36" x14ac:dyDescent="0.25">
      <c r="A7" s="47" t="s">
        <v>68</v>
      </c>
      <c r="B7" s="18">
        <v>60203.397799999999</v>
      </c>
      <c r="C7" s="18">
        <v>56030.829899999997</v>
      </c>
      <c r="D7" s="18">
        <v>12753.5569</v>
      </c>
      <c r="E7" s="18">
        <v>20548.9169</v>
      </c>
      <c r="F7" s="18">
        <v>6865.1363000000001</v>
      </c>
      <c r="G7" s="18">
        <v>45102.673699999999</v>
      </c>
      <c r="H7" s="18">
        <v>3885.1134999999999</v>
      </c>
      <c r="I7" s="18">
        <v>18743.569100000001</v>
      </c>
      <c r="J7" s="18">
        <f>SUM(B7:I7)</f>
        <v>224133.19410000002</v>
      </c>
      <c r="K7" s="18"/>
      <c r="L7" t="str">
        <f>$A$7</f>
        <v>Williamson</v>
      </c>
      <c r="T7" s="18"/>
      <c r="U7" s="18">
        <f>SUM(M7:T7)</f>
        <v>0</v>
      </c>
      <c r="V7" s="18"/>
      <c r="W7" t="str">
        <f>$A$7</f>
        <v>Williamson</v>
      </c>
      <c r="X7">
        <v>74911</v>
      </c>
      <c r="Y7">
        <v>52872</v>
      </c>
      <c r="Z7">
        <v>18118</v>
      </c>
      <c r="AA7">
        <v>16752</v>
      </c>
      <c r="AB7">
        <v>7796</v>
      </c>
      <c r="AC7">
        <v>44893</v>
      </c>
      <c r="AD7">
        <v>6796</v>
      </c>
      <c r="AE7" s="18">
        <v>990</v>
      </c>
      <c r="AF7" s="18">
        <f>SUM(X7:AE7)</f>
        <v>223128</v>
      </c>
      <c r="AH7" s="19"/>
      <c r="AI7" s="19"/>
      <c r="AJ7" s="7"/>
    </row>
    <row r="8" spans="1:36" x14ac:dyDescent="0.25">
      <c r="A8" t="s">
        <v>69</v>
      </c>
      <c r="B8" s="18">
        <v>9738.3567000000003</v>
      </c>
      <c r="C8" s="18">
        <v>54370.422599999998</v>
      </c>
      <c r="D8" s="18">
        <v>11063.7371</v>
      </c>
      <c r="E8" s="18">
        <v>10991.4504</v>
      </c>
      <c r="F8" s="18">
        <v>5055.4978000000001</v>
      </c>
      <c r="G8" s="18">
        <v>12971.372300000001</v>
      </c>
      <c r="H8" s="18">
        <v>1441.5221999999999</v>
      </c>
      <c r="I8" s="18">
        <v>15347.709800000001</v>
      </c>
      <c r="J8" s="18">
        <f>SUM(B8:I8)</f>
        <v>120980.0689</v>
      </c>
      <c r="K8" s="18"/>
      <c r="L8" t="str">
        <f>$A$8</f>
        <v>Rutherford</v>
      </c>
      <c r="T8" s="18"/>
      <c r="U8" s="18">
        <f t="shared" ref="U8:U14" si="0">SUM(M8:T8)</f>
        <v>0</v>
      </c>
      <c r="V8" s="18"/>
      <c r="W8" t="str">
        <f>$A$8</f>
        <v>Rutherford</v>
      </c>
      <c r="X8">
        <v>18946</v>
      </c>
      <c r="Y8">
        <v>52899</v>
      </c>
      <c r="Z8">
        <v>13695</v>
      </c>
      <c r="AA8">
        <v>11251</v>
      </c>
      <c r="AB8">
        <v>5465</v>
      </c>
      <c r="AC8">
        <v>19027</v>
      </c>
      <c r="AD8">
        <v>3876</v>
      </c>
      <c r="AE8" s="18">
        <v>425</v>
      </c>
      <c r="AF8" s="18">
        <f t="shared" ref="AF8:AF14" si="1">SUM(X8:AE8)</f>
        <v>125584</v>
      </c>
      <c r="AH8" s="19"/>
      <c r="AI8" s="19"/>
      <c r="AJ8" s="7"/>
    </row>
    <row r="9" spans="1:36" x14ac:dyDescent="0.25">
      <c r="A9" t="s">
        <v>70</v>
      </c>
      <c r="B9" s="18">
        <v>2086.7858000000001</v>
      </c>
      <c r="C9" s="18">
        <v>7846.7987000000003</v>
      </c>
      <c r="D9" s="18">
        <v>56726.112399999998</v>
      </c>
      <c r="E9" s="18">
        <v>57399.241199999997</v>
      </c>
      <c r="F9" s="18">
        <v>8486.0717999999997</v>
      </c>
      <c r="G9" s="18">
        <v>21049.7163</v>
      </c>
      <c r="H9" s="18">
        <v>7471.7051000000001</v>
      </c>
      <c r="I9" s="18">
        <v>20414.032800000001</v>
      </c>
      <c r="J9" s="18">
        <f t="shared" ref="J9:J11" si="2">SUM(B9:I9)</f>
        <v>181480.46409999998</v>
      </c>
      <c r="K9" s="18"/>
      <c r="L9" t="str">
        <f>$A$9</f>
        <v>Sumner</v>
      </c>
      <c r="T9" s="18"/>
      <c r="U9" s="18">
        <f t="shared" si="0"/>
        <v>0</v>
      </c>
      <c r="V9" s="18"/>
      <c r="W9" t="str">
        <f>$A$9</f>
        <v>Sumner</v>
      </c>
      <c r="X9">
        <v>5586</v>
      </c>
      <c r="Y9">
        <v>15226</v>
      </c>
      <c r="Z9">
        <v>49223</v>
      </c>
      <c r="AA9">
        <v>59091</v>
      </c>
      <c r="AB9">
        <v>11647</v>
      </c>
      <c r="AC9">
        <v>27781</v>
      </c>
      <c r="AD9">
        <v>8996</v>
      </c>
      <c r="AE9" s="18">
        <v>1233</v>
      </c>
      <c r="AF9" s="18">
        <f t="shared" si="1"/>
        <v>178783</v>
      </c>
      <c r="AH9" s="19"/>
      <c r="AI9" s="19"/>
      <c r="AJ9" s="7"/>
    </row>
    <row r="10" spans="1:36" x14ac:dyDescent="0.25">
      <c r="A10" t="s">
        <v>71</v>
      </c>
      <c r="B10" s="18">
        <v>1622.0951</v>
      </c>
      <c r="C10" s="18">
        <v>1756.7558999999999</v>
      </c>
      <c r="D10" s="18">
        <v>13054.219499999999</v>
      </c>
      <c r="E10" s="18">
        <v>54143.069799999997</v>
      </c>
      <c r="F10" s="18">
        <v>10210.7726</v>
      </c>
      <c r="G10" s="18">
        <v>14938.7086</v>
      </c>
      <c r="H10" s="18">
        <v>4098.8774000000003</v>
      </c>
      <c r="I10" s="18">
        <v>14776.3884</v>
      </c>
      <c r="J10" s="18">
        <f t="shared" si="2"/>
        <v>114600.88729999999</v>
      </c>
      <c r="K10" s="18"/>
      <c r="L10" t="str">
        <f>$A$10</f>
        <v>Roberston</v>
      </c>
      <c r="T10" s="18"/>
      <c r="U10" s="18">
        <f t="shared" si="0"/>
        <v>0</v>
      </c>
      <c r="V10" s="18"/>
      <c r="W10" t="str">
        <f>$A$10</f>
        <v>Roberston</v>
      </c>
      <c r="X10">
        <v>1419</v>
      </c>
      <c r="Y10">
        <v>2852</v>
      </c>
      <c r="Z10">
        <v>14061</v>
      </c>
      <c r="AA10">
        <v>60631</v>
      </c>
      <c r="AB10">
        <v>11545</v>
      </c>
      <c r="AC10">
        <v>17790</v>
      </c>
      <c r="AD10">
        <v>8449</v>
      </c>
      <c r="AE10" s="18">
        <v>892</v>
      </c>
      <c r="AF10" s="18">
        <f t="shared" si="1"/>
        <v>117639</v>
      </c>
      <c r="AH10" s="19"/>
      <c r="AI10" s="19"/>
      <c r="AJ10" s="7"/>
    </row>
    <row r="11" spans="1:36" x14ac:dyDescent="0.25">
      <c r="A11" t="s">
        <v>72</v>
      </c>
      <c r="B11" s="18">
        <v>230.85309999999998</v>
      </c>
      <c r="C11" s="18">
        <v>1183.7881</v>
      </c>
      <c r="D11" s="18">
        <v>8046.4742000000006</v>
      </c>
      <c r="E11" s="18">
        <v>49169.940199999997</v>
      </c>
      <c r="F11" s="18">
        <v>38846.260900000001</v>
      </c>
      <c r="G11" s="18">
        <v>8620.3179</v>
      </c>
      <c r="H11" s="18">
        <v>14064.5697</v>
      </c>
      <c r="I11" s="18">
        <v>11449.614599999999</v>
      </c>
      <c r="J11" s="18">
        <f t="shared" si="2"/>
        <v>131611.8187</v>
      </c>
      <c r="K11" s="18"/>
      <c r="L11" t="str">
        <f>$A$11</f>
        <v>Davidson</v>
      </c>
      <c r="T11" s="18"/>
      <c r="U11" s="18">
        <f t="shared" si="0"/>
        <v>0</v>
      </c>
      <c r="V11" s="18"/>
      <c r="W11" t="str">
        <f>$A$11</f>
        <v>Davidson</v>
      </c>
      <c r="X11">
        <v>1161</v>
      </c>
      <c r="Y11">
        <v>1980</v>
      </c>
      <c r="Z11">
        <v>8930</v>
      </c>
      <c r="AA11">
        <v>38744</v>
      </c>
      <c r="AB11">
        <v>31557</v>
      </c>
      <c r="AC11">
        <v>15697</v>
      </c>
      <c r="AD11">
        <v>23252</v>
      </c>
      <c r="AE11" s="18">
        <v>1960</v>
      </c>
      <c r="AF11" s="18">
        <f t="shared" si="1"/>
        <v>123281</v>
      </c>
      <c r="AH11" s="19"/>
      <c r="AI11" s="19"/>
      <c r="AJ11" s="7"/>
    </row>
    <row r="12" spans="1:36" x14ac:dyDescent="0.25">
      <c r="A12" t="s">
        <v>73</v>
      </c>
      <c r="B12" s="18">
        <v>11166.5625</v>
      </c>
      <c r="C12" s="18">
        <v>3890.6291999999999</v>
      </c>
      <c r="D12" s="18">
        <v>13365.662</v>
      </c>
      <c r="E12" s="18">
        <v>40150.136700000003</v>
      </c>
      <c r="F12" s="18">
        <v>17399.222099999999</v>
      </c>
      <c r="G12" s="18">
        <v>185651.1721</v>
      </c>
      <c r="H12" s="18">
        <v>25167.853500000001</v>
      </c>
      <c r="I12" s="18">
        <v>37100.974699999999</v>
      </c>
      <c r="J12" s="18">
        <f>SUM(B12:I12)</f>
        <v>333892.21280000004</v>
      </c>
      <c r="K12" s="18"/>
      <c r="L12" t="str">
        <f>$A$12</f>
        <v>Maury</v>
      </c>
      <c r="T12" s="19"/>
      <c r="U12" s="18">
        <f t="shared" si="0"/>
        <v>0</v>
      </c>
      <c r="V12" s="19"/>
      <c r="W12" t="str">
        <f>$A$12</f>
        <v>Maury</v>
      </c>
      <c r="X12">
        <v>12097</v>
      </c>
      <c r="Y12">
        <v>16458</v>
      </c>
      <c r="Z12">
        <v>21062</v>
      </c>
      <c r="AA12">
        <v>48241</v>
      </c>
      <c r="AB12">
        <v>18625</v>
      </c>
      <c r="AC12">
        <v>159492</v>
      </c>
      <c r="AD12">
        <v>33904</v>
      </c>
      <c r="AE12" s="19">
        <v>2810</v>
      </c>
      <c r="AF12" s="18">
        <f t="shared" si="1"/>
        <v>312689</v>
      </c>
      <c r="AH12" s="19"/>
      <c r="AI12" s="19"/>
      <c r="AJ12" s="7"/>
    </row>
    <row r="13" spans="1:36" x14ac:dyDescent="0.25">
      <c r="A13" t="s">
        <v>74</v>
      </c>
      <c r="B13" s="18">
        <v>480.29880000000003</v>
      </c>
      <c r="C13" s="18">
        <v>1653.9699000000001</v>
      </c>
      <c r="D13" s="18">
        <v>4543.2820000000002</v>
      </c>
      <c r="E13" s="18">
        <v>20012.3747</v>
      </c>
      <c r="F13" s="18">
        <v>22350.9548</v>
      </c>
      <c r="G13" s="18">
        <v>18689.765899999999</v>
      </c>
      <c r="H13" s="18">
        <v>132541.0117</v>
      </c>
      <c r="I13" s="18">
        <v>30471.899600000001</v>
      </c>
      <c r="J13" s="18">
        <f>SUM(B13:I13)</f>
        <v>230743.55739999999</v>
      </c>
      <c r="K13" s="18"/>
      <c r="L13" t="str">
        <f>$A$13</f>
        <v>Wilson</v>
      </c>
      <c r="T13" s="19"/>
      <c r="U13" s="18">
        <f t="shared" si="0"/>
        <v>0</v>
      </c>
      <c r="V13" s="19"/>
      <c r="W13" t="str">
        <f>$A$13</f>
        <v>Wilson</v>
      </c>
      <c r="X13">
        <v>1827</v>
      </c>
      <c r="Y13">
        <v>3856</v>
      </c>
      <c r="Z13">
        <v>10462</v>
      </c>
      <c r="AA13">
        <v>30380</v>
      </c>
      <c r="AB13">
        <v>30400</v>
      </c>
      <c r="AC13">
        <v>34902</v>
      </c>
      <c r="AD13">
        <v>115638</v>
      </c>
      <c r="AE13" s="19">
        <v>13265</v>
      </c>
      <c r="AF13" s="18">
        <f t="shared" si="1"/>
        <v>240730</v>
      </c>
      <c r="AH13" s="19"/>
      <c r="AI13" s="19"/>
      <c r="AJ13" s="7"/>
    </row>
    <row r="14" spans="1:36" x14ac:dyDescent="0.25">
      <c r="A14" s="8" t="s">
        <v>17</v>
      </c>
      <c r="B14" s="20"/>
      <c r="C14" s="20"/>
      <c r="D14" s="20"/>
      <c r="E14" s="20"/>
      <c r="F14" s="20"/>
      <c r="G14" s="20"/>
      <c r="H14" s="20"/>
      <c r="I14" s="20"/>
      <c r="J14" s="20">
        <f>SUM(B14:I14)</f>
        <v>0</v>
      </c>
      <c r="K14" s="18"/>
      <c r="L14" s="21" t="s">
        <v>17</v>
      </c>
      <c r="M14" s="20"/>
      <c r="N14" s="20"/>
      <c r="O14" s="20"/>
      <c r="P14" s="20"/>
      <c r="Q14" s="20"/>
      <c r="R14" s="20"/>
      <c r="S14" s="20"/>
      <c r="T14" s="20"/>
      <c r="U14" s="18">
        <f t="shared" si="0"/>
        <v>0</v>
      </c>
      <c r="V14" s="18"/>
      <c r="W14" s="21" t="s">
        <v>17</v>
      </c>
      <c r="X14" s="20"/>
      <c r="Y14" s="20"/>
      <c r="Z14" s="20"/>
      <c r="AA14" s="20"/>
      <c r="AB14" s="20"/>
      <c r="AC14" s="20"/>
      <c r="AD14" s="20"/>
      <c r="AE14" s="20"/>
      <c r="AF14" s="20">
        <f t="shared" si="1"/>
        <v>0</v>
      </c>
      <c r="AI14" s="19"/>
      <c r="AJ14" s="7"/>
    </row>
    <row r="15" spans="1:36" ht="15.75" thickBot="1" x14ac:dyDescent="0.3">
      <c r="A15" s="1" t="s">
        <v>4</v>
      </c>
      <c r="B15" s="22">
        <f>SUM(B7:B14)</f>
        <v>85528.349799999996</v>
      </c>
      <c r="C15" s="22">
        <f>SUM(C7:C14)</f>
        <v>126733.1943</v>
      </c>
      <c r="D15" s="22">
        <f>SUM(D7:D14)</f>
        <v>119553.04410000001</v>
      </c>
      <c r="E15" s="22">
        <f t="shared" ref="E15:H15" si="3">SUM(E7:E14)</f>
        <v>252415.1299</v>
      </c>
      <c r="F15" s="22">
        <f t="shared" si="3"/>
        <v>109213.91630000001</v>
      </c>
      <c r="G15" s="22">
        <f t="shared" si="3"/>
        <v>307023.7268</v>
      </c>
      <c r="H15" s="22">
        <f t="shared" si="3"/>
        <v>188670.6531</v>
      </c>
      <c r="I15" s="22">
        <f>SUM(I7:I14)</f>
        <v>148304.18900000001</v>
      </c>
      <c r="J15" s="22">
        <f>SUM(J7:J14)</f>
        <v>1337442.2033000002</v>
      </c>
      <c r="K15" s="18"/>
      <c r="L15" s="22" t="s">
        <v>4</v>
      </c>
      <c r="M15" s="22">
        <f>SUM(M7:M14)</f>
        <v>0</v>
      </c>
      <c r="N15" s="22">
        <f t="shared" ref="N15:U15" si="4">SUM(N7:N14)</f>
        <v>0</v>
      </c>
      <c r="O15" s="22">
        <f t="shared" si="4"/>
        <v>0</v>
      </c>
      <c r="P15" s="22">
        <f t="shared" si="4"/>
        <v>0</v>
      </c>
      <c r="Q15" s="22">
        <f t="shared" si="4"/>
        <v>0</v>
      </c>
      <c r="R15" s="22">
        <f t="shared" si="4"/>
        <v>0</v>
      </c>
      <c r="S15" s="22">
        <f t="shared" si="4"/>
        <v>0</v>
      </c>
      <c r="T15" s="22">
        <f t="shared" si="4"/>
        <v>0</v>
      </c>
      <c r="U15" s="22">
        <f t="shared" si="4"/>
        <v>0</v>
      </c>
      <c r="V15" s="18"/>
      <c r="W15" s="22" t="s">
        <v>4</v>
      </c>
      <c r="X15" s="22">
        <f>SUM(X7:X14)</f>
        <v>115947</v>
      </c>
      <c r="Y15" s="22">
        <f t="shared" ref="Y15:AF15" si="5">SUM(Y7:Y14)</f>
        <v>146143</v>
      </c>
      <c r="Z15" s="22">
        <f t="shared" si="5"/>
        <v>135551</v>
      </c>
      <c r="AA15" s="22">
        <f t="shared" si="5"/>
        <v>265090</v>
      </c>
      <c r="AB15" s="22">
        <f t="shared" si="5"/>
        <v>117035</v>
      </c>
      <c r="AC15" s="22">
        <f t="shared" si="5"/>
        <v>319582</v>
      </c>
      <c r="AD15" s="22">
        <f t="shared" si="5"/>
        <v>200911</v>
      </c>
      <c r="AE15" s="22">
        <f t="shared" si="5"/>
        <v>21575</v>
      </c>
      <c r="AF15" s="22">
        <f t="shared" si="5"/>
        <v>1321834</v>
      </c>
      <c r="AH15" s="24"/>
      <c r="AI15" s="19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r="18" spans="1:36" ht="15.75" thickBot="1" x14ac:dyDescent="0.3">
      <c r="A18" s="4" t="s">
        <v>223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60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15</v>
      </c>
      <c r="B19" s="2" t="str">
        <f>$A$7</f>
        <v>Williamson</v>
      </c>
      <c r="C19" s="2" t="str">
        <f>$A$8</f>
        <v>Rutherford</v>
      </c>
      <c r="D19" s="2" t="str">
        <f>$A$9</f>
        <v>Sumner</v>
      </c>
      <c r="E19" s="2" t="str">
        <f>$A$10</f>
        <v>Roberston</v>
      </c>
      <c r="F19" s="2" t="str">
        <f>$A$11</f>
        <v>Davidson</v>
      </c>
      <c r="G19" s="2" t="str">
        <f>$A$12</f>
        <v>Maury</v>
      </c>
      <c r="H19" s="2" t="str">
        <f>$A$13</f>
        <v>Wilson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Williamson</v>
      </c>
      <c r="N19" s="2" t="str">
        <f>$A$8</f>
        <v>Rutherford</v>
      </c>
      <c r="O19" s="2" t="str">
        <f>$A$9</f>
        <v>Sumner</v>
      </c>
      <c r="P19" s="2" t="str">
        <f>$A$10</f>
        <v>Roberston</v>
      </c>
      <c r="Q19" s="2" t="str">
        <f>$A$11</f>
        <v>Davidson</v>
      </c>
      <c r="R19" s="2" t="str">
        <f>$A$12</f>
        <v>Maury</v>
      </c>
      <c r="S19" s="2" t="str">
        <f>$A$13</f>
        <v>Wilson</v>
      </c>
      <c r="T19" s="3" t="str">
        <f>$A$14</f>
        <v>Outside</v>
      </c>
      <c r="U19" s="3" t="s">
        <v>4</v>
      </c>
    </row>
    <row r="20" spans="1:36" x14ac:dyDescent="0.25">
      <c r="A20" s="47" t="s">
        <v>68</v>
      </c>
      <c r="B20" s="18">
        <f t="shared" ref="B20:I26" si="6">(B7/$J7)*$AF7</f>
        <v>59933.397184912545</v>
      </c>
      <c r="C20" s="18">
        <f t="shared" si="6"/>
        <v>55779.542446306477</v>
      </c>
      <c r="D20" s="18">
        <f t="shared" si="6"/>
        <v>12696.359659754653</v>
      </c>
      <c r="E20" s="18">
        <f t="shared" si="6"/>
        <v>20456.758975279332</v>
      </c>
      <c r="F20" s="18">
        <f t="shared" si="6"/>
        <v>6834.3474892119957</v>
      </c>
      <c r="G20" s="18">
        <f t="shared" si="6"/>
        <v>44900.396916859885</v>
      </c>
      <c r="H20" s="18">
        <f t="shared" si="6"/>
        <v>3867.6895160885051</v>
      </c>
      <c r="I20" s="18">
        <f t="shared" si="6"/>
        <v>18659.507811586573</v>
      </c>
      <c r="J20" s="18">
        <f>SUM(B20:I20)</f>
        <v>223127.99999999997</v>
      </c>
      <c r="L20" t="str">
        <f>$A$7</f>
        <v>Williamson</v>
      </c>
      <c r="M20" s="18" t="e">
        <f t="shared" ref="M20:T26" si="7">M7*($AF7/$U7)</f>
        <v>#DIV/0!</v>
      </c>
      <c r="N20" s="18" t="e">
        <f t="shared" si="7"/>
        <v>#DIV/0!</v>
      </c>
      <c r="O20" s="18" t="e">
        <f t="shared" si="7"/>
        <v>#DIV/0!</v>
      </c>
      <c r="P20" s="18" t="e">
        <f t="shared" si="7"/>
        <v>#DIV/0!</v>
      </c>
      <c r="Q20" s="18" t="e">
        <f t="shared" si="7"/>
        <v>#DIV/0!</v>
      </c>
      <c r="R20" s="18" t="e">
        <f t="shared" si="7"/>
        <v>#DIV/0!</v>
      </c>
      <c r="S20" s="18" t="e">
        <f t="shared" si="7"/>
        <v>#DIV/0!</v>
      </c>
      <c r="T20" s="18" t="e">
        <f t="shared" ref="T20:T25" si="8">T7*($AF7/$U7)</f>
        <v>#DIV/0!</v>
      </c>
      <c r="U20" s="18" t="e">
        <f>SUM(M20:T20)</f>
        <v>#DIV/0!</v>
      </c>
    </row>
    <row r="21" spans="1:36" x14ac:dyDescent="0.25">
      <c r="A21" t="s">
        <v>69</v>
      </c>
      <c r="B21" s="18">
        <f t="shared" si="6"/>
        <v>10108.952647594335</v>
      </c>
      <c r="C21" s="18">
        <f t="shared" si="6"/>
        <v>56439.504571966732</v>
      </c>
      <c r="D21" s="18">
        <f t="shared" si="6"/>
        <v>11484.770777530943</v>
      </c>
      <c r="E21" s="18">
        <f t="shared" si="6"/>
        <v>11409.733186501764</v>
      </c>
      <c r="F21" s="18">
        <f t="shared" si="6"/>
        <v>5247.886213719953</v>
      </c>
      <c r="G21" s="18">
        <f t="shared" si="6"/>
        <v>13465.001580299151</v>
      </c>
      <c r="H21" s="18">
        <f t="shared" si="6"/>
        <v>1496.379739330765</v>
      </c>
      <c r="I21" s="18">
        <f t="shared" si="6"/>
        <v>15931.771283056363</v>
      </c>
      <c r="J21" s="18">
        <f>SUM(B21:I21)</f>
        <v>125584</v>
      </c>
      <c r="L21" t="str">
        <f>$A$8</f>
        <v>Rutherford</v>
      </c>
      <c r="M21" s="18" t="e">
        <f t="shared" si="7"/>
        <v>#DIV/0!</v>
      </c>
      <c r="N21" s="18" t="e">
        <f t="shared" si="7"/>
        <v>#DIV/0!</v>
      </c>
      <c r="O21" s="18" t="e">
        <f t="shared" si="7"/>
        <v>#DIV/0!</v>
      </c>
      <c r="P21" s="18" t="e">
        <f t="shared" si="7"/>
        <v>#DIV/0!</v>
      </c>
      <c r="Q21" s="18" t="e">
        <f t="shared" si="7"/>
        <v>#DIV/0!</v>
      </c>
      <c r="R21" s="18" t="e">
        <f t="shared" si="7"/>
        <v>#DIV/0!</v>
      </c>
      <c r="S21" s="18" t="e">
        <f t="shared" ref="S21" si="9">S8*($AF8/$U8)</f>
        <v>#DIV/0!</v>
      </c>
      <c r="T21" s="18" t="e">
        <f t="shared" si="8"/>
        <v>#DIV/0!</v>
      </c>
      <c r="U21" s="18" t="e">
        <f>SUM(M21:T21)</f>
        <v>#DIV/0!</v>
      </c>
    </row>
    <row r="22" spans="1:36" x14ac:dyDescent="0.25">
      <c r="A22" t="s">
        <v>70</v>
      </c>
      <c r="B22" s="18">
        <f t="shared" si="6"/>
        <v>2055.7685232489994</v>
      </c>
      <c r="C22" s="18">
        <f t="shared" si="6"/>
        <v>7730.1665440368479</v>
      </c>
      <c r="D22" s="18">
        <f t="shared" si="6"/>
        <v>55882.954694346081</v>
      </c>
      <c r="E22" s="18">
        <f t="shared" si="6"/>
        <v>56546.078336040584</v>
      </c>
      <c r="F22" s="18">
        <f t="shared" si="6"/>
        <v>8359.9377053797161</v>
      </c>
      <c r="G22" s="18">
        <f t="shared" si="6"/>
        <v>20736.840452365257</v>
      </c>
      <c r="H22" s="18">
        <f t="shared" si="6"/>
        <v>7360.6482081577406</v>
      </c>
      <c r="I22" s="18">
        <f t="shared" si="6"/>
        <v>20110.605536424791</v>
      </c>
      <c r="J22" s="18">
        <f t="shared" ref="J22:J24" si="10">SUM(B22:I22)</f>
        <v>178783</v>
      </c>
      <c r="L22" t="str">
        <f>$A$9</f>
        <v>Sumner</v>
      </c>
      <c r="M22" s="18" t="e">
        <f t="shared" si="7"/>
        <v>#DIV/0!</v>
      </c>
      <c r="N22" s="18" t="e">
        <f t="shared" si="7"/>
        <v>#DIV/0!</v>
      </c>
      <c r="O22" s="18" t="e">
        <f t="shared" si="7"/>
        <v>#DIV/0!</v>
      </c>
      <c r="P22" s="18" t="e">
        <f t="shared" si="7"/>
        <v>#DIV/0!</v>
      </c>
      <c r="Q22" s="18" t="e">
        <f t="shared" si="7"/>
        <v>#DIV/0!</v>
      </c>
      <c r="R22" s="18" t="e">
        <f t="shared" si="7"/>
        <v>#DIV/0!</v>
      </c>
      <c r="S22" s="18" t="e">
        <f t="shared" ref="S22" si="11">S9*($AF9/$U9)</f>
        <v>#DIV/0!</v>
      </c>
      <c r="T22" s="18" t="e">
        <f t="shared" si="8"/>
        <v>#DIV/0!</v>
      </c>
      <c r="U22" s="18" t="e">
        <f>SUM(M22:T22)</f>
        <v>#DIV/0!</v>
      </c>
    </row>
    <row r="23" spans="1:36" x14ac:dyDescent="0.25">
      <c r="A23" t="s">
        <v>71</v>
      </c>
      <c r="B23" s="18">
        <f t="shared" si="6"/>
        <v>1665.0974522507038</v>
      </c>
      <c r="C23" s="18">
        <f t="shared" si="6"/>
        <v>1803.3281607942665</v>
      </c>
      <c r="D23" s="18">
        <f t="shared" si="6"/>
        <v>13400.291777326405</v>
      </c>
      <c r="E23" s="18">
        <f t="shared" si="6"/>
        <v>55578.422979646515</v>
      </c>
      <c r="F23" s="18">
        <f t="shared" si="6"/>
        <v>10481.464028694307</v>
      </c>
      <c r="G23" s="18">
        <f t="shared" si="6"/>
        <v>15334.739393378153</v>
      </c>
      <c r="H23" s="18">
        <f t="shared" si="6"/>
        <v>4207.5401841901803</v>
      </c>
      <c r="I23" s="18">
        <f t="shared" si="6"/>
        <v>15168.116023719478</v>
      </c>
      <c r="J23" s="18">
        <f t="shared" si="10"/>
        <v>117639</v>
      </c>
      <c r="L23" t="str">
        <f>$A$10</f>
        <v>Roberston</v>
      </c>
      <c r="M23" s="18" t="e">
        <f t="shared" si="7"/>
        <v>#DIV/0!</v>
      </c>
      <c r="N23" s="18" t="e">
        <f t="shared" si="7"/>
        <v>#DIV/0!</v>
      </c>
      <c r="O23" s="18" t="e">
        <f t="shared" si="7"/>
        <v>#DIV/0!</v>
      </c>
      <c r="P23" s="18" t="e">
        <f t="shared" si="7"/>
        <v>#DIV/0!</v>
      </c>
      <c r="Q23" s="18" t="e">
        <f t="shared" si="7"/>
        <v>#DIV/0!</v>
      </c>
      <c r="R23" s="18" t="e">
        <f t="shared" si="7"/>
        <v>#DIV/0!</v>
      </c>
      <c r="S23" s="18" t="e">
        <f t="shared" ref="S23" si="12">S10*($AF10/$U10)</f>
        <v>#DIV/0!</v>
      </c>
      <c r="T23" s="18" t="e">
        <f t="shared" si="8"/>
        <v>#DIV/0!</v>
      </c>
      <c r="U23" s="18" t="e">
        <f t="shared" ref="U23:U26" si="13">SUM(M23:T23)</f>
        <v>#DIV/0!</v>
      </c>
    </row>
    <row r="24" spans="1:36" x14ac:dyDescent="0.25">
      <c r="A24" t="s">
        <v>72</v>
      </c>
      <c r="B24" s="18">
        <f t="shared" si="6"/>
        <v>216.24046610868692</v>
      </c>
      <c r="C24" s="18">
        <f t="shared" si="6"/>
        <v>1108.856196940465</v>
      </c>
      <c r="D24" s="18">
        <f t="shared" si="6"/>
        <v>7537.1451868721879</v>
      </c>
      <c r="E24" s="18">
        <f t="shared" si="6"/>
        <v>46057.561225663696</v>
      </c>
      <c r="F24" s="18">
        <f t="shared" si="6"/>
        <v>36387.354398081116</v>
      </c>
      <c r="G24" s="18">
        <f t="shared" si="6"/>
        <v>8074.6654937752937</v>
      </c>
      <c r="H24" s="18">
        <f t="shared" si="6"/>
        <v>13174.304817852197</v>
      </c>
      <c r="I24" s="18">
        <f t="shared" si="6"/>
        <v>10724.872214706351</v>
      </c>
      <c r="J24" s="18">
        <f t="shared" si="10"/>
        <v>123281</v>
      </c>
      <c r="L24" t="str">
        <f>$A$11</f>
        <v>Davidson</v>
      </c>
      <c r="M24" s="18" t="e">
        <f t="shared" si="7"/>
        <v>#DIV/0!</v>
      </c>
      <c r="N24" s="18" t="e">
        <f t="shared" si="7"/>
        <v>#DIV/0!</v>
      </c>
      <c r="O24" s="18" t="e">
        <f t="shared" si="7"/>
        <v>#DIV/0!</v>
      </c>
      <c r="P24" s="18" t="e">
        <f t="shared" si="7"/>
        <v>#DIV/0!</v>
      </c>
      <c r="Q24" s="18" t="e">
        <f t="shared" si="7"/>
        <v>#DIV/0!</v>
      </c>
      <c r="R24" s="18" t="e">
        <f t="shared" si="7"/>
        <v>#DIV/0!</v>
      </c>
      <c r="S24" s="18" t="e">
        <f t="shared" ref="S24" si="14">S11*($AF11/$U11)</f>
        <v>#DIV/0!</v>
      </c>
      <c r="T24" s="18" t="e">
        <f t="shared" si="8"/>
        <v>#DIV/0!</v>
      </c>
      <c r="U24" s="18" t="e">
        <f t="shared" si="13"/>
        <v>#DIV/0!</v>
      </c>
    </row>
    <row r="25" spans="1:36" x14ac:dyDescent="0.25">
      <c r="A25" t="s">
        <v>73</v>
      </c>
      <c r="B25" s="18">
        <f t="shared" si="6"/>
        <v>10457.450421744305</v>
      </c>
      <c r="C25" s="18">
        <f t="shared" si="6"/>
        <v>3643.561925918626</v>
      </c>
      <c r="D25" s="18">
        <f t="shared" si="6"/>
        <v>12516.900139930427</v>
      </c>
      <c r="E25" s="18">
        <f t="shared" si="6"/>
        <v>37600.475882036801</v>
      </c>
      <c r="F25" s="18">
        <f t="shared" si="6"/>
        <v>16294.316401100861</v>
      </c>
      <c r="G25" s="18">
        <f t="shared" si="6"/>
        <v>173861.7347974786</v>
      </c>
      <c r="H25" s="18">
        <f t="shared" si="6"/>
        <v>23569.615107422174</v>
      </c>
      <c r="I25" s="18">
        <f t="shared" si="6"/>
        <v>34744.945324368156</v>
      </c>
      <c r="J25" s="18">
        <f>SUM(B25:I25)</f>
        <v>312688.99999999994</v>
      </c>
      <c r="L25" t="str">
        <f>$A$12</f>
        <v>Maury</v>
      </c>
      <c r="M25" s="18" t="e">
        <f t="shared" si="7"/>
        <v>#DIV/0!</v>
      </c>
      <c r="N25" s="18" t="e">
        <f t="shared" si="7"/>
        <v>#DIV/0!</v>
      </c>
      <c r="O25" s="18" t="e">
        <f t="shared" si="7"/>
        <v>#DIV/0!</v>
      </c>
      <c r="P25" s="18" t="e">
        <f t="shared" si="7"/>
        <v>#DIV/0!</v>
      </c>
      <c r="Q25" s="18" t="e">
        <f t="shared" si="7"/>
        <v>#DIV/0!</v>
      </c>
      <c r="R25" s="18" t="e">
        <f t="shared" si="7"/>
        <v>#DIV/0!</v>
      </c>
      <c r="S25" s="18" t="e">
        <f t="shared" ref="S25" si="15">S12*($AF12/$U12)</f>
        <v>#DIV/0!</v>
      </c>
      <c r="T25" s="18" t="e">
        <f t="shared" si="8"/>
        <v>#DIV/0!</v>
      </c>
      <c r="U25" s="18" t="e">
        <f t="shared" si="13"/>
        <v>#DIV/0!</v>
      </c>
    </row>
    <row r="26" spans="1:36" x14ac:dyDescent="0.25">
      <c r="A26" t="s">
        <v>74</v>
      </c>
      <c r="B26" s="18">
        <f t="shared" si="6"/>
        <v>501.08584363881357</v>
      </c>
      <c r="C26" s="18">
        <f t="shared" si="6"/>
        <v>1725.55272404325</v>
      </c>
      <c r="D26" s="18">
        <f t="shared" si="6"/>
        <v>4739.9125166647018</v>
      </c>
      <c r="E26" s="18">
        <f t="shared" si="6"/>
        <v>20878.498259345117</v>
      </c>
      <c r="F26" s="18">
        <f t="shared" si="6"/>
        <v>23318.290701727736</v>
      </c>
      <c r="G26" s="18">
        <f t="shared" si="6"/>
        <v>19498.647744723552</v>
      </c>
      <c r="H26" s="18">
        <f t="shared" si="6"/>
        <v>138277.3070939098</v>
      </c>
      <c r="I26" s="18">
        <f t="shared" si="6"/>
        <v>31790.705115947043</v>
      </c>
      <c r="J26" s="18">
        <f>SUM(B26:I26)</f>
        <v>240730</v>
      </c>
      <c r="L26" t="str">
        <f>$A$13</f>
        <v>Wilson</v>
      </c>
      <c r="M26" s="18" t="e">
        <f t="shared" si="7"/>
        <v>#DIV/0!</v>
      </c>
      <c r="N26" s="18" t="e">
        <f t="shared" si="7"/>
        <v>#DIV/0!</v>
      </c>
      <c r="O26" s="18" t="e">
        <f t="shared" si="7"/>
        <v>#DIV/0!</v>
      </c>
      <c r="P26" s="18" t="e">
        <f t="shared" si="7"/>
        <v>#DIV/0!</v>
      </c>
      <c r="Q26" s="18" t="e">
        <f t="shared" si="7"/>
        <v>#DIV/0!</v>
      </c>
      <c r="R26" s="18" t="e">
        <f t="shared" si="7"/>
        <v>#DIV/0!</v>
      </c>
      <c r="S26" s="18" t="e">
        <f t="shared" ref="S26" si="16">S13*($AF13/$U13)</f>
        <v>#DIV/0!</v>
      </c>
      <c r="T26" s="18" t="e">
        <f t="shared" si="7"/>
        <v>#DIV/0!</v>
      </c>
      <c r="U26" s="18" t="e">
        <f t="shared" si="13"/>
        <v>#DIV/0!</v>
      </c>
    </row>
    <row r="27" spans="1:36" x14ac:dyDescent="0.25">
      <c r="A27" s="8" t="s">
        <v>17</v>
      </c>
      <c r="B27" s="20"/>
      <c r="C27" s="20"/>
      <c r="D27" s="20"/>
      <c r="E27" s="20"/>
      <c r="F27" s="20"/>
      <c r="G27" s="20"/>
      <c r="H27" s="20"/>
      <c r="I27" s="20"/>
      <c r="J27" s="20">
        <f>SUM(B27:I27)</f>
        <v>0</v>
      </c>
      <c r="L27" s="21" t="s">
        <v>17</v>
      </c>
      <c r="M27" s="20" t="e">
        <f t="shared" ref="M27:S27" si="17">M14*($AF14/$U14)</f>
        <v>#DIV/0!</v>
      </c>
      <c r="N27" s="20" t="e">
        <f t="shared" si="17"/>
        <v>#DIV/0!</v>
      </c>
      <c r="O27" s="20" t="e">
        <f t="shared" si="17"/>
        <v>#DIV/0!</v>
      </c>
      <c r="P27" s="20" t="e">
        <f t="shared" si="17"/>
        <v>#DIV/0!</v>
      </c>
      <c r="Q27" s="20" t="e">
        <f t="shared" si="17"/>
        <v>#DIV/0!</v>
      </c>
      <c r="R27" s="20" t="e">
        <f t="shared" si="17"/>
        <v>#DIV/0!</v>
      </c>
      <c r="S27" s="18" t="e">
        <f t="shared" si="17"/>
        <v>#DIV/0!</v>
      </c>
      <c r="T27" s="20" t="e">
        <f>T14*($AF14/$U14)</f>
        <v>#DIV/0!</v>
      </c>
      <c r="U27" s="20" t="e">
        <f>SUM(M27:T27)</f>
        <v>#DIV/0!</v>
      </c>
    </row>
    <row r="28" spans="1:36" ht="15.75" thickBot="1" x14ac:dyDescent="0.3">
      <c r="A28" s="1" t="s">
        <v>4</v>
      </c>
      <c r="B28" s="22">
        <f>SUM(B20:B27)</f>
        <v>84937.992539498387</v>
      </c>
      <c r="C28" s="22">
        <f>SUM(C20:C27)</f>
        <v>128230.51257000667</v>
      </c>
      <c r="D28" s="22">
        <f>SUM(D20:D27)</f>
        <v>118258.33475242539</v>
      </c>
      <c r="E28" s="22">
        <f t="shared" ref="E28:H28" si="18">SUM(E20:E27)</f>
        <v>248527.52884451381</v>
      </c>
      <c r="F28" s="22">
        <f t="shared" si="18"/>
        <v>106923.59693791569</v>
      </c>
      <c r="G28" s="22">
        <f t="shared" si="18"/>
        <v>295872.02637887985</v>
      </c>
      <c r="H28" s="22">
        <f t="shared" si="18"/>
        <v>191953.48466695135</v>
      </c>
      <c r="I28" s="22">
        <f>SUM(I20:I27)</f>
        <v>147130.52330980875</v>
      </c>
      <c r="J28" s="22">
        <f>SUM(J20:J27)</f>
        <v>1321834</v>
      </c>
      <c r="L28" s="22" t="s">
        <v>4</v>
      </c>
      <c r="M28" s="22" t="e">
        <f>SUM(M20:M27)</f>
        <v>#DIV/0!</v>
      </c>
      <c r="N28" s="22" t="e">
        <f t="shared" ref="N28:S28" si="19">SUM(N20:N27)</f>
        <v>#DIV/0!</v>
      </c>
      <c r="O28" s="22" t="e">
        <f t="shared" si="19"/>
        <v>#DIV/0!</v>
      </c>
      <c r="P28" s="22" t="e">
        <f t="shared" si="19"/>
        <v>#DIV/0!</v>
      </c>
      <c r="Q28" s="22" t="e">
        <f t="shared" si="19"/>
        <v>#DIV/0!</v>
      </c>
      <c r="R28" s="22" t="e">
        <f t="shared" si="19"/>
        <v>#DIV/0!</v>
      </c>
      <c r="S28" s="22" t="e">
        <f t="shared" si="19"/>
        <v>#DIV/0!</v>
      </c>
      <c r="T28" s="22" t="e">
        <f>SUM(T20:T27)</f>
        <v>#DIV/0!</v>
      </c>
      <c r="U28" s="22" t="e">
        <f>SUM(U20:U27)</f>
        <v>#DIV/0!</v>
      </c>
    </row>
    <row r="32" spans="1:36" ht="15.75" thickBot="1" x14ac:dyDescent="0.3">
      <c r="A32" s="4" t="s">
        <v>223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60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46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Williamson</v>
      </c>
      <c r="C33" s="2" t="str">
        <f>$A$8</f>
        <v>Rutherford</v>
      </c>
      <c r="D33" s="2" t="str">
        <f>$A$9</f>
        <v>Sumner</v>
      </c>
      <c r="E33" s="2" t="str">
        <f>$A$10</f>
        <v>Roberston</v>
      </c>
      <c r="F33" s="2" t="str">
        <f>$A$11</f>
        <v>Davidson</v>
      </c>
      <c r="G33" s="2" t="str">
        <f>$A$12</f>
        <v>Maury</v>
      </c>
      <c r="H33" s="2" t="str">
        <f>$A$13</f>
        <v>Wilson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Williamson</v>
      </c>
      <c r="N33" s="2" t="str">
        <f>$A$8</f>
        <v>Rutherford</v>
      </c>
      <c r="O33" s="2" t="str">
        <f>$A$9</f>
        <v>Sumner</v>
      </c>
      <c r="P33" s="2" t="str">
        <f>$A$10</f>
        <v>Roberston</v>
      </c>
      <c r="Q33" s="2" t="str">
        <f>$A$11</f>
        <v>Davidson</v>
      </c>
      <c r="R33" s="2" t="str">
        <f>$A$12</f>
        <v>Maury</v>
      </c>
      <c r="S33" s="2" t="str">
        <f>$A$13</f>
        <v>Wilson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Williamson</v>
      </c>
      <c r="Y33" s="2" t="str">
        <f>$A$8</f>
        <v>Rutherford</v>
      </c>
      <c r="Z33" s="2" t="str">
        <f>$A$9</f>
        <v>Sumner</v>
      </c>
      <c r="AA33" s="2" t="str">
        <f>$A$10</f>
        <v>Roberston</v>
      </c>
      <c r="AB33" s="2" t="str">
        <f>$A$11</f>
        <v>Davidson</v>
      </c>
      <c r="AC33" s="2" t="str">
        <f>$A$12</f>
        <v>Maury</v>
      </c>
      <c r="AD33" s="2" t="str">
        <f>$A$13</f>
        <v>Wilson</v>
      </c>
      <c r="AE33" s="3" t="str">
        <f>$A$14</f>
        <v>Outside</v>
      </c>
      <c r="AF33" s="3" t="s">
        <v>4</v>
      </c>
    </row>
    <row r="34" spans="1:32" x14ac:dyDescent="0.25">
      <c r="A34" s="47" t="s">
        <v>68</v>
      </c>
      <c r="B34" s="28">
        <f>B20/$J$28</f>
        <v>4.5341092137827096E-2</v>
      </c>
      <c r="C34" s="28">
        <f t="shared" ref="C34:J34" si="20">C20/$J$28</f>
        <v>4.2198598648776231E-2</v>
      </c>
      <c r="D34" s="28">
        <f t="shared" si="20"/>
        <v>9.6051090074507489E-3</v>
      </c>
      <c r="E34" s="28">
        <f t="shared" si="20"/>
        <v>1.5476042358782822E-2</v>
      </c>
      <c r="F34" s="28">
        <f t="shared" si="20"/>
        <v>5.1703523204971241E-3</v>
      </c>
      <c r="G34" s="28">
        <f t="shared" si="20"/>
        <v>3.3968256919446681E-2</v>
      </c>
      <c r="H34" s="28">
        <f t="shared" si="20"/>
        <v>2.926002445154615E-3</v>
      </c>
      <c r="I34" s="28">
        <f t="shared" si="20"/>
        <v>1.411637755692967E-2</v>
      </c>
      <c r="J34" s="28">
        <f t="shared" si="20"/>
        <v>0.16880183139486499</v>
      </c>
      <c r="L34" t="str">
        <f>$A$7</f>
        <v>Williamson</v>
      </c>
      <c r="M34" s="28" t="e">
        <f t="shared" ref="M34:T41" si="21">M20/$U$28</f>
        <v>#DIV/0!</v>
      </c>
      <c r="N34" s="28" t="e">
        <f t="shared" si="21"/>
        <v>#DIV/0!</v>
      </c>
      <c r="O34" s="28" t="e">
        <f t="shared" si="21"/>
        <v>#DIV/0!</v>
      </c>
      <c r="P34" s="28" t="e">
        <f t="shared" si="21"/>
        <v>#DIV/0!</v>
      </c>
      <c r="Q34" s="28" t="e">
        <f t="shared" si="21"/>
        <v>#DIV/0!</v>
      </c>
      <c r="R34" s="28" t="e">
        <f t="shared" si="21"/>
        <v>#DIV/0!</v>
      </c>
      <c r="S34" s="28" t="e">
        <f t="shared" si="21"/>
        <v>#DIV/0!</v>
      </c>
      <c r="T34" s="28" t="e">
        <f t="shared" ref="T34:T39" si="22">T20/$U$28</f>
        <v>#DIV/0!</v>
      </c>
      <c r="U34" s="28" t="e">
        <f>SUM(M34:T34)</f>
        <v>#DIV/0!</v>
      </c>
      <c r="W34" t="str">
        <f>$A$7</f>
        <v>Williamson</v>
      </c>
      <c r="X34" s="28">
        <f t="shared" ref="X34:AD40" si="23">X7/$AF$15</f>
        <v>5.667201781766848E-2</v>
      </c>
      <c r="Y34" s="28">
        <f t="shared" si="23"/>
        <v>3.9998971126480327E-2</v>
      </c>
      <c r="Z34" s="28">
        <f t="shared" si="23"/>
        <v>1.3706713551020778E-2</v>
      </c>
      <c r="AA34" s="28">
        <f t="shared" si="23"/>
        <v>1.2673300883469482E-2</v>
      </c>
      <c r="AB34" s="28">
        <f t="shared" si="23"/>
        <v>5.8978661465811898E-3</v>
      </c>
      <c r="AC34" s="28">
        <f t="shared" si="23"/>
        <v>3.3962660969531724E-2</v>
      </c>
      <c r="AD34" s="28">
        <f t="shared" si="23"/>
        <v>5.1413414997647207E-3</v>
      </c>
      <c r="AE34" s="28">
        <f t="shared" ref="AE34:AE40" si="24">AE7/$AF$15</f>
        <v>7.4895940034830398E-4</v>
      </c>
      <c r="AF34" s="28">
        <f>SUM(X34:AE34)</f>
        <v>0.16880183139486502</v>
      </c>
    </row>
    <row r="35" spans="1:32" x14ac:dyDescent="0.25">
      <c r="A35" t="s">
        <v>69</v>
      </c>
      <c r="B35" s="28">
        <f t="shared" ref="B35:J35" si="25">B21/$J$28</f>
        <v>7.6476718314057099E-3</v>
      </c>
      <c r="C35" s="28">
        <f t="shared" si="25"/>
        <v>4.2697876262803601E-2</v>
      </c>
      <c r="D35" s="28">
        <f t="shared" si="25"/>
        <v>8.6885121562396955E-3</v>
      </c>
      <c r="E35" s="28">
        <f t="shared" si="25"/>
        <v>8.6317443691883884E-3</v>
      </c>
      <c r="F35" s="28">
        <f t="shared" si="25"/>
        <v>3.9701552643675022E-3</v>
      </c>
      <c r="G35" s="28">
        <f t="shared" si="25"/>
        <v>1.0186605564919007E-2</v>
      </c>
      <c r="H35" s="28">
        <f t="shared" si="25"/>
        <v>1.1320481538005264E-3</v>
      </c>
      <c r="I35" s="28">
        <f t="shared" si="25"/>
        <v>1.2052777643074972E-2</v>
      </c>
      <c r="J35" s="28">
        <f t="shared" si="25"/>
        <v>9.5007391245799391E-2</v>
      </c>
      <c r="L35" t="str">
        <f>$A$8</f>
        <v>Rutherford</v>
      </c>
      <c r="M35" s="28" t="e">
        <f t="shared" si="21"/>
        <v>#DIV/0!</v>
      </c>
      <c r="N35" s="28" t="e">
        <f t="shared" si="21"/>
        <v>#DIV/0!</v>
      </c>
      <c r="O35" s="28" t="e">
        <f t="shared" si="21"/>
        <v>#DIV/0!</v>
      </c>
      <c r="P35" s="28" t="e">
        <f t="shared" si="21"/>
        <v>#DIV/0!</v>
      </c>
      <c r="Q35" s="28" t="e">
        <f t="shared" si="21"/>
        <v>#DIV/0!</v>
      </c>
      <c r="R35" s="28" t="e">
        <f t="shared" si="21"/>
        <v>#DIV/0!</v>
      </c>
      <c r="S35" s="28" t="e">
        <f t="shared" ref="S35" si="26">S21/$U$28</f>
        <v>#DIV/0!</v>
      </c>
      <c r="T35" s="28" t="e">
        <f t="shared" si="22"/>
        <v>#DIV/0!</v>
      </c>
      <c r="U35" s="28" t="e">
        <f>SUM(M35:T35)</f>
        <v>#DIV/0!</v>
      </c>
      <c r="W35" t="str">
        <f>$A$8</f>
        <v>Rutherford</v>
      </c>
      <c r="X35" s="28">
        <f t="shared" si="23"/>
        <v>1.4333115958584814E-2</v>
      </c>
      <c r="Y35" s="28">
        <f t="shared" si="23"/>
        <v>4.0019397291944377E-2</v>
      </c>
      <c r="Z35" s="28">
        <f t="shared" si="23"/>
        <v>1.0360605038151538E-2</v>
      </c>
      <c r="AA35" s="28">
        <f t="shared" si="23"/>
        <v>8.5116588013320893E-3</v>
      </c>
      <c r="AB35" s="28">
        <f t="shared" si="23"/>
        <v>4.1344071948520014E-3</v>
      </c>
      <c r="AC35" s="28">
        <f t="shared" si="23"/>
        <v>1.4394394454976948E-2</v>
      </c>
      <c r="AD35" s="28">
        <f t="shared" ref="AD35" si="27">AD8/$AF$15</f>
        <v>2.9322895310606324E-3</v>
      </c>
      <c r="AE35" s="28">
        <f t="shared" si="24"/>
        <v>3.2152297489699915E-4</v>
      </c>
      <c r="AF35" s="28">
        <f>SUM(X35:AE35)</f>
        <v>9.5007391245799405E-2</v>
      </c>
    </row>
    <row r="36" spans="1:32" x14ac:dyDescent="0.25">
      <c r="A36" t="s">
        <v>70</v>
      </c>
      <c r="B36" s="28">
        <f t="shared" ref="B36:J36" si="28">B22/$J$28</f>
        <v>1.5552395559873626E-3</v>
      </c>
      <c r="C36" s="28">
        <f t="shared" si="28"/>
        <v>5.8480615145599579E-3</v>
      </c>
      <c r="D36" s="28">
        <f t="shared" si="28"/>
        <v>4.2276832563200889E-2</v>
      </c>
      <c r="E36" s="28">
        <f t="shared" si="28"/>
        <v>4.2778501942029472E-2</v>
      </c>
      <c r="F36" s="28">
        <f t="shared" si="28"/>
        <v>6.3244989199700693E-3</v>
      </c>
      <c r="G36" s="28">
        <f t="shared" si="28"/>
        <v>1.5687930899315087E-2</v>
      </c>
      <c r="H36" s="28">
        <f t="shared" si="28"/>
        <v>5.5685117860168071E-3</v>
      </c>
      <c r="I36" s="28">
        <f t="shared" si="28"/>
        <v>1.5214168750709084E-2</v>
      </c>
      <c r="J36" s="28">
        <f t="shared" si="28"/>
        <v>0.13525374593178871</v>
      </c>
      <c r="L36" t="str">
        <f>$A$9</f>
        <v>Sumner</v>
      </c>
      <c r="M36" s="28" t="e">
        <f t="shared" si="21"/>
        <v>#DIV/0!</v>
      </c>
      <c r="N36" s="28" t="e">
        <f t="shared" si="21"/>
        <v>#DIV/0!</v>
      </c>
      <c r="O36" s="28" t="e">
        <f t="shared" si="21"/>
        <v>#DIV/0!</v>
      </c>
      <c r="P36" s="28" t="e">
        <f t="shared" si="21"/>
        <v>#DIV/0!</v>
      </c>
      <c r="Q36" s="28" t="e">
        <f t="shared" si="21"/>
        <v>#DIV/0!</v>
      </c>
      <c r="R36" s="28" t="e">
        <f t="shared" si="21"/>
        <v>#DIV/0!</v>
      </c>
      <c r="S36" s="28" t="e">
        <f t="shared" ref="S36" si="29">S22/$U$28</f>
        <v>#DIV/0!</v>
      </c>
      <c r="T36" s="28" t="e">
        <f t="shared" si="22"/>
        <v>#DIV/0!</v>
      </c>
      <c r="U36" s="28" t="e">
        <f>SUM(M36:T36)</f>
        <v>#DIV/0!</v>
      </c>
      <c r="W36" t="str">
        <f>$A$9</f>
        <v>Sumner</v>
      </c>
      <c r="X36" s="28">
        <f t="shared" si="23"/>
        <v>4.2259466771167936E-3</v>
      </c>
      <c r="Y36" s="28">
        <f t="shared" si="23"/>
        <v>1.1518844272427551E-2</v>
      </c>
      <c r="Z36" s="28">
        <f t="shared" si="23"/>
        <v>3.7238412690247039E-2</v>
      </c>
      <c r="AA36" s="28">
        <f t="shared" si="23"/>
        <v>4.4703797905031949E-2</v>
      </c>
      <c r="AB36" s="28">
        <f t="shared" si="23"/>
        <v>8.8112425614714097E-3</v>
      </c>
      <c r="AC36" s="28">
        <f t="shared" si="23"/>
        <v>2.1017011213208314E-2</v>
      </c>
      <c r="AD36" s="28">
        <f t="shared" ref="AD36" si="30">AD9/$AF$15</f>
        <v>6.8056957227609514E-3</v>
      </c>
      <c r="AE36" s="28">
        <f t="shared" si="24"/>
        <v>9.3279488952470587E-4</v>
      </c>
      <c r="AF36" s="28">
        <f>SUM(X36:AE36)</f>
        <v>0.13525374593178871</v>
      </c>
    </row>
    <row r="37" spans="1:32" x14ac:dyDescent="0.25">
      <c r="A37" t="s">
        <v>71</v>
      </c>
      <c r="B37" s="28">
        <f t="shared" ref="B37:J37" si="31">B23/$J$28</f>
        <v>1.2596872619789654E-3</v>
      </c>
      <c r="C37" s="28">
        <f t="shared" si="31"/>
        <v>1.3642621999390744E-3</v>
      </c>
      <c r="D37" s="28">
        <f t="shared" si="31"/>
        <v>1.0137651004079488E-2</v>
      </c>
      <c r="E37" s="28">
        <f t="shared" si="31"/>
        <v>4.2046446815293383E-2</v>
      </c>
      <c r="F37" s="28">
        <f t="shared" si="31"/>
        <v>7.929485872427481E-3</v>
      </c>
      <c r="G37" s="28">
        <f t="shared" si="31"/>
        <v>1.1601108303597996E-2</v>
      </c>
      <c r="H37" s="28">
        <f t="shared" si="31"/>
        <v>3.1831078518105753E-3</v>
      </c>
      <c r="I37" s="28">
        <f t="shared" si="31"/>
        <v>1.1475053617715596E-2</v>
      </c>
      <c r="J37" s="28">
        <f t="shared" si="31"/>
        <v>8.8996802926842547E-2</v>
      </c>
      <c r="L37" t="str">
        <f>$A$10</f>
        <v>Roberston</v>
      </c>
      <c r="M37" s="28" t="e">
        <f t="shared" si="21"/>
        <v>#DIV/0!</v>
      </c>
      <c r="N37" s="28" t="e">
        <f t="shared" si="21"/>
        <v>#DIV/0!</v>
      </c>
      <c r="O37" s="28" t="e">
        <f t="shared" si="21"/>
        <v>#DIV/0!</v>
      </c>
      <c r="P37" s="28" t="e">
        <f t="shared" si="21"/>
        <v>#DIV/0!</v>
      </c>
      <c r="Q37" s="28" t="e">
        <f t="shared" si="21"/>
        <v>#DIV/0!</v>
      </c>
      <c r="R37" s="28" t="e">
        <f t="shared" si="21"/>
        <v>#DIV/0!</v>
      </c>
      <c r="S37" s="28" t="e">
        <f t="shared" ref="S37" si="32">S23/$U$28</f>
        <v>#DIV/0!</v>
      </c>
      <c r="T37" s="28" t="e">
        <f t="shared" si="22"/>
        <v>#DIV/0!</v>
      </c>
      <c r="U37" s="28" t="e">
        <f t="shared" ref="U37:U40" si="33">SUM(M37:T37)</f>
        <v>#DIV/0!</v>
      </c>
      <c r="W37" t="str">
        <f>$A$10</f>
        <v>Roberston</v>
      </c>
      <c r="X37" s="28">
        <f t="shared" si="23"/>
        <v>1.073508473832569E-3</v>
      </c>
      <c r="Y37" s="28">
        <f t="shared" si="23"/>
        <v>2.1576082927205684E-3</v>
      </c>
      <c r="Z37" s="28">
        <f t="shared" si="23"/>
        <v>1.0637493058886366E-2</v>
      </c>
      <c r="AA37" s="28">
        <f t="shared" si="23"/>
        <v>4.5868845861129312E-2</v>
      </c>
      <c r="AB37" s="28">
        <f t="shared" si="23"/>
        <v>8.7340770474961301E-3</v>
      </c>
      <c r="AC37" s="28">
        <f t="shared" si="23"/>
        <v>1.3458573466864977E-2</v>
      </c>
      <c r="AD37" s="28">
        <f t="shared" ref="AD37" si="34">AD10/$AF$15</f>
        <v>6.3918767409523432E-3</v>
      </c>
      <c r="AE37" s="28">
        <f t="shared" si="24"/>
        <v>6.7481998496028998E-4</v>
      </c>
      <c r="AF37" s="28">
        <f t="shared" ref="AF37:AF40" si="35">SUM(X37:AE37)</f>
        <v>8.8996802926842561E-2</v>
      </c>
    </row>
    <row r="38" spans="1:32" x14ac:dyDescent="0.25">
      <c r="A38" t="s">
        <v>72</v>
      </c>
      <c r="B38" s="28">
        <f t="shared" ref="B38:J38" si="36">B24/$J$28</f>
        <v>1.6359124225030292E-4</v>
      </c>
      <c r="C38" s="28">
        <f t="shared" si="36"/>
        <v>8.3887704276063783E-4</v>
      </c>
      <c r="D38" s="28">
        <f t="shared" si="36"/>
        <v>5.7020361005029286E-3</v>
      </c>
      <c r="E38" s="28">
        <f t="shared" si="36"/>
        <v>3.484368023947311E-2</v>
      </c>
      <c r="F38" s="28">
        <f t="shared" si="36"/>
        <v>2.7527930434593992E-2</v>
      </c>
      <c r="G38" s="28">
        <f t="shared" si="36"/>
        <v>6.1086834608394805E-3</v>
      </c>
      <c r="H38" s="28">
        <f t="shared" si="36"/>
        <v>9.966686299378134E-3</v>
      </c>
      <c r="I38" s="28">
        <f t="shared" si="36"/>
        <v>8.11363016438248E-3</v>
      </c>
      <c r="J38" s="28">
        <f t="shared" si="36"/>
        <v>9.3265114984181066E-2</v>
      </c>
      <c r="L38" t="str">
        <f>$A$11</f>
        <v>Davidson</v>
      </c>
      <c r="M38" s="28" t="e">
        <f t="shared" si="21"/>
        <v>#DIV/0!</v>
      </c>
      <c r="N38" s="28" t="e">
        <f t="shared" si="21"/>
        <v>#DIV/0!</v>
      </c>
      <c r="O38" s="28" t="e">
        <f t="shared" si="21"/>
        <v>#DIV/0!</v>
      </c>
      <c r="P38" s="28" t="e">
        <f t="shared" si="21"/>
        <v>#DIV/0!</v>
      </c>
      <c r="Q38" s="28" t="e">
        <f t="shared" si="21"/>
        <v>#DIV/0!</v>
      </c>
      <c r="R38" s="28" t="e">
        <f t="shared" si="21"/>
        <v>#DIV/0!</v>
      </c>
      <c r="S38" s="28" t="e">
        <f t="shared" ref="S38" si="37">S24/$U$28</f>
        <v>#DIV/0!</v>
      </c>
      <c r="T38" s="28" t="e">
        <f t="shared" si="22"/>
        <v>#DIV/0!</v>
      </c>
      <c r="U38" s="28" t="e">
        <f t="shared" si="33"/>
        <v>#DIV/0!</v>
      </c>
      <c r="W38" t="str">
        <f>$A$11</f>
        <v>Davidson</v>
      </c>
      <c r="X38" s="28">
        <f t="shared" si="23"/>
        <v>8.7832511495392008E-4</v>
      </c>
      <c r="Y38" s="28">
        <f t="shared" si="23"/>
        <v>1.497918800696608E-3</v>
      </c>
      <c r="Z38" s="28">
        <f t="shared" si="23"/>
        <v>6.7557650960710647E-3</v>
      </c>
      <c r="AA38" s="28">
        <f t="shared" si="23"/>
        <v>2.9310790916257261E-2</v>
      </c>
      <c r="AB38" s="28">
        <f t="shared" si="23"/>
        <v>2.3873648279587302E-2</v>
      </c>
      <c r="AC38" s="28">
        <f t="shared" si="23"/>
        <v>1.1875167381078107E-2</v>
      </c>
      <c r="AD38" s="28">
        <f t="shared" ref="AD38" si="38">AD11/$AF$15</f>
        <v>1.7590711087776528E-2</v>
      </c>
      <c r="AE38" s="28">
        <f t="shared" si="24"/>
        <v>1.4827883077602785E-3</v>
      </c>
      <c r="AF38" s="28">
        <f t="shared" si="35"/>
        <v>9.3265114984181066E-2</v>
      </c>
    </row>
    <row r="39" spans="1:32" x14ac:dyDescent="0.25">
      <c r="A39" t="s">
        <v>73</v>
      </c>
      <c r="B39" s="28">
        <f t="shared" ref="B39:J39" si="39">B25/$J$28</f>
        <v>7.9113189869108418E-3</v>
      </c>
      <c r="C39" s="28">
        <f t="shared" si="39"/>
        <v>2.7564443991595208E-3</v>
      </c>
      <c r="D39" s="28">
        <f t="shared" si="39"/>
        <v>9.4693434575978726E-3</v>
      </c>
      <c r="E39" s="28">
        <f t="shared" si="39"/>
        <v>2.8445686736789037E-2</v>
      </c>
      <c r="F39" s="28">
        <f t="shared" si="39"/>
        <v>1.2327051960458621E-2</v>
      </c>
      <c r="G39" s="28">
        <f t="shared" si="39"/>
        <v>0.13153068751256103</v>
      </c>
      <c r="H39" s="28">
        <f t="shared" si="39"/>
        <v>1.7830994744742663E-2</v>
      </c>
      <c r="I39" s="28">
        <f t="shared" si="39"/>
        <v>2.6285407490175133E-2</v>
      </c>
      <c r="J39" s="28">
        <f t="shared" si="39"/>
        <v>0.23655693528839472</v>
      </c>
      <c r="L39" t="str">
        <f>$A$12</f>
        <v>Maury</v>
      </c>
      <c r="M39" s="28" t="e">
        <f t="shared" si="21"/>
        <v>#DIV/0!</v>
      </c>
      <c r="N39" s="28" t="e">
        <f t="shared" si="21"/>
        <v>#DIV/0!</v>
      </c>
      <c r="O39" s="28" t="e">
        <f t="shared" si="21"/>
        <v>#DIV/0!</v>
      </c>
      <c r="P39" s="28" t="e">
        <f t="shared" si="21"/>
        <v>#DIV/0!</v>
      </c>
      <c r="Q39" s="28" t="e">
        <f t="shared" si="21"/>
        <v>#DIV/0!</v>
      </c>
      <c r="R39" s="28" t="e">
        <f t="shared" si="21"/>
        <v>#DIV/0!</v>
      </c>
      <c r="S39" s="28" t="e">
        <f t="shared" ref="S39" si="40">S25/$U$28</f>
        <v>#DIV/0!</v>
      </c>
      <c r="T39" s="28" t="e">
        <f t="shared" si="22"/>
        <v>#DIV/0!</v>
      </c>
      <c r="U39" s="28" t="e">
        <f t="shared" si="33"/>
        <v>#DIV/0!</v>
      </c>
      <c r="W39" t="str">
        <f>$A$12</f>
        <v>Maury</v>
      </c>
      <c r="X39" s="28">
        <f t="shared" si="23"/>
        <v>9.1516786525388215E-3</v>
      </c>
      <c r="Y39" s="28">
        <f t="shared" si="23"/>
        <v>1.2450882637305441E-2</v>
      </c>
      <c r="Z39" s="28">
        <f t="shared" si="23"/>
        <v>1.5933922111248462E-2</v>
      </c>
      <c r="AA39" s="28">
        <f t="shared" si="23"/>
        <v>3.6495505487073261E-2</v>
      </c>
      <c r="AB39" s="28">
        <f t="shared" si="23"/>
        <v>1.4090271546956728E-2</v>
      </c>
      <c r="AC39" s="28">
        <f t="shared" si="23"/>
        <v>0.12065962897005221</v>
      </c>
      <c r="AD39" s="28">
        <f t="shared" ref="AD39" si="41">AD12/$AF$15</f>
        <v>2.5649211625665552E-2</v>
      </c>
      <c r="AE39" s="28">
        <f t="shared" si="24"/>
        <v>2.125834257554277E-3</v>
      </c>
      <c r="AF39" s="28">
        <f t="shared" si="35"/>
        <v>0.23655693528839475</v>
      </c>
    </row>
    <row r="40" spans="1:32" x14ac:dyDescent="0.25">
      <c r="A40" t="s">
        <v>74</v>
      </c>
      <c r="B40" s="28">
        <f t="shared" ref="B40:J40" si="42">B26/$J$28</f>
        <v>3.7908379088358568E-4</v>
      </c>
      <c r="C40" s="28">
        <f t="shared" si="42"/>
        <v>1.3054231651200151E-3</v>
      </c>
      <c r="D40" s="28">
        <f t="shared" si="42"/>
        <v>3.5858606426107226E-3</v>
      </c>
      <c r="E40" s="28">
        <f t="shared" si="42"/>
        <v>1.5795098521709319E-2</v>
      </c>
      <c r="F40" s="28">
        <f t="shared" si="42"/>
        <v>1.764086163748832E-2</v>
      </c>
      <c r="G40" s="28">
        <f t="shared" si="42"/>
        <v>1.4751207598475717E-2</v>
      </c>
      <c r="H40" s="28">
        <f t="shared" si="42"/>
        <v>0.10461019091195248</v>
      </c>
      <c r="I40" s="28">
        <f t="shared" si="42"/>
        <v>2.4050451959888339E-2</v>
      </c>
      <c r="J40" s="28">
        <f t="shared" si="42"/>
        <v>0.18211817822812851</v>
      </c>
      <c r="L40" t="str">
        <f>$A$13</f>
        <v>Wilson</v>
      </c>
      <c r="M40" s="28" t="e">
        <f t="shared" si="21"/>
        <v>#DIV/0!</v>
      </c>
      <c r="N40" s="28" t="e">
        <f t="shared" si="21"/>
        <v>#DIV/0!</v>
      </c>
      <c r="O40" s="28" t="e">
        <f t="shared" si="21"/>
        <v>#DIV/0!</v>
      </c>
      <c r="P40" s="28" t="e">
        <f t="shared" si="21"/>
        <v>#DIV/0!</v>
      </c>
      <c r="Q40" s="28" t="e">
        <f t="shared" si="21"/>
        <v>#DIV/0!</v>
      </c>
      <c r="R40" s="28" t="e">
        <f t="shared" si="21"/>
        <v>#DIV/0!</v>
      </c>
      <c r="S40" s="28" t="e">
        <f t="shared" ref="S40" si="43">S26/$U$28</f>
        <v>#DIV/0!</v>
      </c>
      <c r="T40" s="28" t="e">
        <f t="shared" si="21"/>
        <v>#DIV/0!</v>
      </c>
      <c r="U40" s="28" t="e">
        <f t="shared" si="33"/>
        <v>#DIV/0!</v>
      </c>
      <c r="W40" t="str">
        <f>$A$13</f>
        <v>Wilson</v>
      </c>
      <c r="X40" s="28">
        <f t="shared" si="23"/>
        <v>1.3821705297336882E-3</v>
      </c>
      <c r="Y40" s="28">
        <f t="shared" si="23"/>
        <v>2.9171590381243031E-3</v>
      </c>
      <c r="Z40" s="28">
        <f t="shared" si="23"/>
        <v>7.914760854993895E-3</v>
      </c>
      <c r="AA40" s="28">
        <f t="shared" si="23"/>
        <v>2.2983218770284319E-2</v>
      </c>
      <c r="AB40" s="28">
        <f t="shared" si="23"/>
        <v>2.2998349263220648E-2</v>
      </c>
      <c r="AC40" s="28">
        <f t="shared" si="23"/>
        <v>2.6404223223188389E-2</v>
      </c>
      <c r="AD40" s="28">
        <f t="shared" ref="AD40" si="44">AD13/$AF$15</f>
        <v>8.7482997108562804E-2</v>
      </c>
      <c r="AE40" s="28">
        <f t="shared" si="24"/>
        <v>1.0035299440020457E-2</v>
      </c>
      <c r="AF40" s="28">
        <f t="shared" si="35"/>
        <v>0.18211817822812851</v>
      </c>
    </row>
    <row r="41" spans="1:32" x14ac:dyDescent="0.25">
      <c r="A41" s="8" t="s">
        <v>17</v>
      </c>
      <c r="B41" s="29"/>
      <c r="C41" s="29"/>
      <c r="D41" s="29"/>
      <c r="E41" s="29"/>
      <c r="F41" s="29"/>
      <c r="G41" s="29"/>
      <c r="H41" s="29"/>
      <c r="I41" s="29"/>
      <c r="J41" s="29">
        <f>SUM(B41:I41)</f>
        <v>0</v>
      </c>
      <c r="L41" s="49" t="s">
        <v>17</v>
      </c>
      <c r="M41" s="28" t="e">
        <f t="shared" si="21"/>
        <v>#DIV/0!</v>
      </c>
      <c r="N41" s="28" t="e">
        <f t="shared" si="21"/>
        <v>#DIV/0!</v>
      </c>
      <c r="O41" s="28" t="e">
        <f t="shared" si="21"/>
        <v>#DIV/0!</v>
      </c>
      <c r="P41" s="28" t="e">
        <f t="shared" si="21"/>
        <v>#DIV/0!</v>
      </c>
      <c r="Q41" s="28" t="e">
        <f t="shared" si="21"/>
        <v>#DIV/0!</v>
      </c>
      <c r="R41" s="28" t="e">
        <f t="shared" si="21"/>
        <v>#DIV/0!</v>
      </c>
      <c r="S41" s="28" t="e">
        <f t="shared" si="21"/>
        <v>#DIV/0!</v>
      </c>
      <c r="T41" s="28" t="e">
        <f t="shared" si="21"/>
        <v>#DIV/0!</v>
      </c>
      <c r="U41" s="46" t="e">
        <f>SUM(M41:T41)</f>
        <v>#DIV/0!</v>
      </c>
      <c r="W41" s="8" t="s">
        <v>17</v>
      </c>
      <c r="X41" s="29">
        <f t="shared" ref="X41:AD41" si="45">X14/$AF$15</f>
        <v>0</v>
      </c>
      <c r="Y41" s="29">
        <f t="shared" si="45"/>
        <v>0</v>
      </c>
      <c r="Z41" s="29">
        <f t="shared" si="45"/>
        <v>0</v>
      </c>
      <c r="AA41" s="29">
        <f t="shared" si="45"/>
        <v>0</v>
      </c>
      <c r="AB41" s="29">
        <f t="shared" si="45"/>
        <v>0</v>
      </c>
      <c r="AC41" s="29">
        <f t="shared" si="45"/>
        <v>0</v>
      </c>
      <c r="AD41" s="29">
        <f t="shared" si="45"/>
        <v>0</v>
      </c>
      <c r="AE41" s="29">
        <f>AE14/$AF$15</f>
        <v>0</v>
      </c>
      <c r="AF41" s="29">
        <f>SUM(X41:AE41)</f>
        <v>0</v>
      </c>
    </row>
    <row r="42" spans="1:32" ht="15.75" thickBot="1" x14ac:dyDescent="0.3">
      <c r="A42" s="1" t="s">
        <v>4</v>
      </c>
      <c r="B42" s="30">
        <f>SUM(B34:B41)</f>
        <v>6.4257684807243864E-2</v>
      </c>
      <c r="C42" s="30">
        <f>SUM(C34:C41)</f>
        <v>9.7009543233119042E-2</v>
      </c>
      <c r="D42" s="30">
        <f>SUM(D34:D41)</f>
        <v>8.9465344931682345E-2</v>
      </c>
      <c r="E42" s="30">
        <f t="shared" ref="E42:H42" si="46">SUM(E34:E41)</f>
        <v>0.18801720098326555</v>
      </c>
      <c r="F42" s="30">
        <f t="shared" si="46"/>
        <v>8.0890336409803115E-2</v>
      </c>
      <c r="G42" s="30">
        <f t="shared" si="46"/>
        <v>0.22383448025915501</v>
      </c>
      <c r="H42" s="30">
        <f t="shared" si="46"/>
        <v>0.14521754219285579</v>
      </c>
      <c r="I42" s="30">
        <f>SUM(I34:I41)</f>
        <v>0.11130786718287528</v>
      </c>
      <c r="J42" s="30">
        <f>SUM(J34:J41)</f>
        <v>0.99999999999999989</v>
      </c>
      <c r="L42" s="50" t="s">
        <v>4</v>
      </c>
      <c r="M42" s="51" t="e">
        <f>SUM(M34:M41)</f>
        <v>#DIV/0!</v>
      </c>
      <c r="N42" s="51" t="e">
        <f t="shared" ref="N42:S42" si="47">SUM(N34:N41)</f>
        <v>#DIV/0!</v>
      </c>
      <c r="O42" s="51" t="e">
        <f t="shared" si="47"/>
        <v>#DIV/0!</v>
      </c>
      <c r="P42" s="51" t="e">
        <f t="shared" si="47"/>
        <v>#DIV/0!</v>
      </c>
      <c r="Q42" s="51" t="e">
        <f t="shared" si="47"/>
        <v>#DIV/0!</v>
      </c>
      <c r="R42" s="51" t="e">
        <f t="shared" si="47"/>
        <v>#DIV/0!</v>
      </c>
      <c r="S42" s="51" t="e">
        <f t="shared" si="47"/>
        <v>#DIV/0!</v>
      </c>
      <c r="T42" s="51" t="e">
        <f>SUM(T34:T41)</f>
        <v>#DIV/0!</v>
      </c>
      <c r="U42" s="51" t="e">
        <f>SUM(U34:U41)</f>
        <v>#DIV/0!</v>
      </c>
      <c r="W42" s="1" t="s">
        <v>4</v>
      </c>
      <c r="X42" s="30">
        <f>SUM(X34:X41)</f>
        <v>8.771676322442909E-2</v>
      </c>
      <c r="Y42" s="30">
        <f>SUM(Y34:Y41)</f>
        <v>0.11056078145969916</v>
      </c>
      <c r="Z42" s="30">
        <f>SUM(Z34:Z41)</f>
        <v>0.10254767240061913</v>
      </c>
      <c r="AA42" s="30">
        <f t="shared" ref="AA42:AD42" si="48">SUM(AA34:AA41)</f>
        <v>0.20054711862457766</v>
      </c>
      <c r="AB42" s="30">
        <f t="shared" si="48"/>
        <v>8.8539862040165423E-2</v>
      </c>
      <c r="AC42" s="30">
        <f t="shared" si="48"/>
        <v>0.24177165967890066</v>
      </c>
      <c r="AD42" s="30">
        <f t="shared" si="48"/>
        <v>0.15199412331654355</v>
      </c>
      <c r="AE42" s="30">
        <f>SUM(AE34:AE41)</f>
        <v>1.6322019255065309E-2</v>
      </c>
      <c r="AF42" s="30">
        <f>SUM(AF34:AF41)</f>
        <v>1</v>
      </c>
    </row>
    <row r="46" spans="1:32" ht="15.75" thickBot="1" x14ac:dyDescent="0.3">
      <c r="W46" s="32" t="s">
        <v>61</v>
      </c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x14ac:dyDescent="0.25">
      <c r="W47" s="34" t="s">
        <v>15</v>
      </c>
      <c r="X47" s="2" t="str">
        <f>$A$7</f>
        <v>Williamson</v>
      </c>
      <c r="Y47" s="2" t="str">
        <f>$A$8</f>
        <v>Rutherford</v>
      </c>
      <c r="Z47" s="2" t="str">
        <f>$A$9</f>
        <v>Sumner</v>
      </c>
      <c r="AA47" s="2" t="str">
        <f>$A$10</f>
        <v>Roberston</v>
      </c>
      <c r="AB47" s="2" t="str">
        <f>$A$11</f>
        <v>Davidson</v>
      </c>
      <c r="AC47" s="2" t="str">
        <f>$A$12</f>
        <v>Maury</v>
      </c>
      <c r="AD47" s="2" t="str">
        <f>$A$13</f>
        <v>Wilson</v>
      </c>
      <c r="AE47" s="3" t="str">
        <f>$A$14</f>
        <v>Outside</v>
      </c>
      <c r="AF47" s="44" t="s">
        <v>4</v>
      </c>
    </row>
    <row r="48" spans="1:32" x14ac:dyDescent="0.25">
      <c r="W48" t="str">
        <f>$A$7</f>
        <v>Williamson</v>
      </c>
      <c r="X48" s="36">
        <f>X34-B34</f>
        <v>1.1330925679841383E-2</v>
      </c>
      <c r="Y48" s="36">
        <f t="shared" ref="Y48:AF48" si="49">Y34-C34</f>
        <v>-2.1996275222959036E-3</v>
      </c>
      <c r="Z48" s="36">
        <f t="shared" si="49"/>
        <v>4.1016045435700293E-3</v>
      </c>
      <c r="AA48" s="36">
        <f t="shared" si="49"/>
        <v>-2.80274147531334E-3</v>
      </c>
      <c r="AB48" s="36">
        <f t="shared" si="49"/>
        <v>7.2751382608406568E-4</v>
      </c>
      <c r="AC48" s="36">
        <f t="shared" si="49"/>
        <v>-5.5959499149563219E-6</v>
      </c>
      <c r="AD48" s="36">
        <f t="shared" si="49"/>
        <v>2.2153390546101057E-3</v>
      </c>
      <c r="AE48" s="36">
        <f t="shared" si="49"/>
        <v>-1.3367418156581367E-2</v>
      </c>
      <c r="AF48" s="36">
        <f t="shared" si="49"/>
        <v>0</v>
      </c>
    </row>
    <row r="49" spans="23:32" x14ac:dyDescent="0.25">
      <c r="W49" t="str">
        <f>$A$8</f>
        <v>Rutherford</v>
      </c>
      <c r="X49" s="36">
        <f t="shared" ref="X49:AF49" si="50">X35-B35</f>
        <v>6.6854441271791045E-3</v>
      </c>
      <c r="Y49" s="36">
        <f t="shared" si="50"/>
        <v>-2.6784789708592244E-3</v>
      </c>
      <c r="Z49" s="36">
        <f t="shared" si="50"/>
        <v>1.6720928819118422E-3</v>
      </c>
      <c r="AA49" s="36">
        <f t="shared" si="50"/>
        <v>-1.2008556785629912E-4</v>
      </c>
      <c r="AB49" s="36">
        <f t="shared" si="50"/>
        <v>1.6425193048449915E-4</v>
      </c>
      <c r="AC49" s="36">
        <f t="shared" si="50"/>
        <v>4.207788890057941E-3</v>
      </c>
      <c r="AD49" s="36">
        <f t="shared" si="50"/>
        <v>1.8002413772601059E-3</v>
      </c>
      <c r="AE49" s="36">
        <f t="shared" si="50"/>
        <v>-1.1731254668177973E-2</v>
      </c>
      <c r="AF49" s="36">
        <f t="shared" si="50"/>
        <v>0</v>
      </c>
    </row>
    <row r="50" spans="23:32" x14ac:dyDescent="0.25">
      <c r="W50" t="str">
        <f>$A$9</f>
        <v>Sumner</v>
      </c>
      <c r="X50" s="36">
        <f t="shared" ref="X50:AF50" si="51">X36-B36</f>
        <v>2.6707071211294307E-3</v>
      </c>
      <c r="Y50" s="36">
        <f t="shared" si="51"/>
        <v>5.6707827578675934E-3</v>
      </c>
      <c r="Z50" s="36">
        <f t="shared" si="51"/>
        <v>-5.0384198729538504E-3</v>
      </c>
      <c r="AA50" s="36">
        <f t="shared" si="51"/>
        <v>1.9252959630024769E-3</v>
      </c>
      <c r="AB50" s="36">
        <f t="shared" si="51"/>
        <v>2.4867436415013404E-3</v>
      </c>
      <c r="AC50" s="36">
        <f t="shared" si="51"/>
        <v>5.3290803138932273E-3</v>
      </c>
      <c r="AD50" s="36">
        <f t="shared" si="51"/>
        <v>1.2371839367441443E-3</v>
      </c>
      <c r="AE50" s="36">
        <f t="shared" si="51"/>
        <v>-1.4281373861184377E-2</v>
      </c>
      <c r="AF50" s="36">
        <f t="shared" si="51"/>
        <v>0</v>
      </c>
    </row>
    <row r="51" spans="23:32" x14ac:dyDescent="0.25">
      <c r="W51" t="str">
        <f>$A$10</f>
        <v>Roberston</v>
      </c>
      <c r="X51" s="36">
        <f t="shared" ref="X51:AF51" si="52">X37-B37</f>
        <v>-1.861787881463964E-4</v>
      </c>
      <c r="Y51" s="36">
        <f t="shared" si="52"/>
        <v>7.9334609278149397E-4</v>
      </c>
      <c r="Z51" s="36">
        <f t="shared" si="52"/>
        <v>4.9984205480687813E-4</v>
      </c>
      <c r="AA51" s="36">
        <f t="shared" si="52"/>
        <v>3.8223990458359294E-3</v>
      </c>
      <c r="AB51" s="36">
        <f t="shared" si="52"/>
        <v>8.0459117506864915E-4</v>
      </c>
      <c r="AC51" s="36">
        <f t="shared" si="52"/>
        <v>1.8574651632669806E-3</v>
      </c>
      <c r="AD51" s="36">
        <f t="shared" si="52"/>
        <v>3.2087688891417679E-3</v>
      </c>
      <c r="AE51" s="36">
        <f t="shared" si="52"/>
        <v>-1.0800233632755306E-2</v>
      </c>
      <c r="AF51" s="36">
        <f t="shared" si="52"/>
        <v>0</v>
      </c>
    </row>
    <row r="52" spans="23:32" x14ac:dyDescent="0.25">
      <c r="W52" t="str">
        <f>$A$11</f>
        <v>Davidson</v>
      </c>
      <c r="X52" s="36">
        <f t="shared" ref="X52:AF52" si="53">X38-B38</f>
        <v>7.1473387270361722E-4</v>
      </c>
      <c r="Y52" s="36">
        <f t="shared" si="53"/>
        <v>6.5904175793597014E-4</v>
      </c>
      <c r="Z52" s="36">
        <f t="shared" si="53"/>
        <v>1.053728995568136E-3</v>
      </c>
      <c r="AA52" s="36">
        <f t="shared" si="53"/>
        <v>-5.5328893232158491E-3</v>
      </c>
      <c r="AB52" s="36">
        <f t="shared" si="53"/>
        <v>-3.6542821550066898E-3</v>
      </c>
      <c r="AC52" s="36">
        <f t="shared" si="53"/>
        <v>5.7664839202386268E-3</v>
      </c>
      <c r="AD52" s="36">
        <f t="shared" si="53"/>
        <v>7.6240247883983935E-3</v>
      </c>
      <c r="AE52" s="36">
        <f t="shared" si="53"/>
        <v>-6.6308418566222013E-3</v>
      </c>
      <c r="AF52" s="36">
        <f t="shared" si="53"/>
        <v>0</v>
      </c>
    </row>
    <row r="53" spans="23:32" x14ac:dyDescent="0.25">
      <c r="W53" t="str">
        <f>$A$12</f>
        <v>Maury</v>
      </c>
      <c r="X53" s="36">
        <f t="shared" ref="X53:AF53" si="54">X39-B39</f>
        <v>1.2403596656279797E-3</v>
      </c>
      <c r="Y53" s="36">
        <f t="shared" si="54"/>
        <v>9.6944382381459193E-3</v>
      </c>
      <c r="Z53" s="36">
        <f t="shared" si="54"/>
        <v>6.4645786536505889E-3</v>
      </c>
      <c r="AA53" s="36">
        <f t="shared" si="54"/>
        <v>8.0498187502842239E-3</v>
      </c>
      <c r="AB53" s="36">
        <f t="shared" si="54"/>
        <v>1.7632195864981069E-3</v>
      </c>
      <c r="AC53" s="36">
        <f t="shared" si="54"/>
        <v>-1.0871058542508819E-2</v>
      </c>
      <c r="AD53" s="36">
        <f t="shared" si="54"/>
        <v>7.8182168809228896E-3</v>
      </c>
      <c r="AE53" s="36">
        <f t="shared" si="54"/>
        <v>-2.4159573232620857E-2</v>
      </c>
      <c r="AF53" s="36">
        <f t="shared" si="54"/>
        <v>0</v>
      </c>
    </row>
    <row r="54" spans="23:32" x14ac:dyDescent="0.25">
      <c r="W54" t="str">
        <f>$A$13</f>
        <v>Wilson</v>
      </c>
      <c r="X54" s="36">
        <f t="shared" ref="X54:AF54" si="55">X40-B40</f>
        <v>1.0030867388501024E-3</v>
      </c>
      <c r="Y54" s="36">
        <f t="shared" si="55"/>
        <v>1.611735873004288E-3</v>
      </c>
      <c r="Z54" s="36">
        <f t="shared" si="55"/>
        <v>4.3289002123831719E-3</v>
      </c>
      <c r="AA54" s="36">
        <f t="shared" si="55"/>
        <v>7.1881202485750001E-3</v>
      </c>
      <c r="AB54" s="36">
        <f t="shared" si="55"/>
        <v>5.3574876257323281E-3</v>
      </c>
      <c r="AC54" s="36">
        <f t="shared" si="55"/>
        <v>1.1653015624712671E-2</v>
      </c>
      <c r="AD54" s="36">
        <f t="shared" si="55"/>
        <v>-1.7127193803389673E-2</v>
      </c>
      <c r="AE54" s="36">
        <f t="shared" si="55"/>
        <v>-1.4015152519867883E-2</v>
      </c>
      <c r="AF54" s="36">
        <f t="shared" si="55"/>
        <v>0</v>
      </c>
    </row>
    <row r="55" spans="23:32" x14ac:dyDescent="0.25">
      <c r="W55" s="37" t="s">
        <v>17</v>
      </c>
      <c r="X55" s="45">
        <f t="shared" ref="X55:AF55" si="56">X41-B41</f>
        <v>0</v>
      </c>
      <c r="Y55" s="45">
        <f t="shared" si="56"/>
        <v>0</v>
      </c>
      <c r="Z55" s="45">
        <f t="shared" si="56"/>
        <v>0</v>
      </c>
      <c r="AA55" s="45">
        <f t="shared" si="56"/>
        <v>0</v>
      </c>
      <c r="AB55" s="45">
        <f t="shared" si="56"/>
        <v>0</v>
      </c>
      <c r="AC55" s="45">
        <f t="shared" si="56"/>
        <v>0</v>
      </c>
      <c r="AD55" s="45">
        <f t="shared" si="56"/>
        <v>0</v>
      </c>
      <c r="AE55" s="45">
        <f t="shared" si="56"/>
        <v>0</v>
      </c>
      <c r="AF55" s="36">
        <f t="shared" si="56"/>
        <v>0</v>
      </c>
    </row>
    <row r="56" spans="23:32" ht="15.75" thickBot="1" x14ac:dyDescent="0.3">
      <c r="W56" s="33" t="s">
        <v>4</v>
      </c>
      <c r="X56" s="38">
        <f t="shared" ref="X56:AF56" si="57">X42-B42</f>
        <v>2.3459078417185225E-2</v>
      </c>
      <c r="Y56" s="38">
        <f t="shared" si="57"/>
        <v>1.3551238226580123E-2</v>
      </c>
      <c r="Z56" s="38">
        <f t="shared" si="57"/>
        <v>1.3082327468936783E-2</v>
      </c>
      <c r="AA56" s="38">
        <f t="shared" si="57"/>
        <v>1.2529917641312116E-2</v>
      </c>
      <c r="AB56" s="38">
        <f t="shared" si="57"/>
        <v>7.6495256303623083E-3</v>
      </c>
      <c r="AC56" s="38">
        <f t="shared" si="57"/>
        <v>1.7937179419745652E-2</v>
      </c>
      <c r="AD56" s="38">
        <f t="shared" si="57"/>
        <v>6.7765811236877582E-3</v>
      </c>
      <c r="AE56" s="38">
        <f t="shared" si="57"/>
        <v>-9.4985847927809966E-2</v>
      </c>
      <c r="AF56" s="48">
        <f t="shared" si="57"/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36"/>
  <sheetViews>
    <sheetView zoomScaleNormal="100" workbookViewId="0">
      <selection activeCell="A3" sqref="A3"/>
    </sheetView>
  </sheetViews>
  <sheetFormatPr defaultRowHeight="15" x14ac:dyDescent="0.25"/>
  <cols>
    <col min="2" max="2" width="9.5703125" bestFit="1" customWidth="1" collapsed="1"/>
    <col min="3" max="4" width="9.28515625" bestFit="1" customWidth="1" collapsed="1"/>
    <col min="5" max="5" width="9.5703125" bestFit="1" customWidth="1" collapsed="1"/>
    <col min="14" max="15" width="9.5703125" bestFit="1" customWidth="1" collapsed="1"/>
  </cols>
  <sheetData>
    <row r="1" spans="1:26" x14ac:dyDescent="0.25">
      <c r="A1" t="s">
        <v>24</v>
      </c>
    </row>
    <row r="2" spans="1:26" x14ac:dyDescent="0.25">
      <c r="A2" t="s">
        <v>282</v>
      </c>
    </row>
    <row r="3" spans="1:26" x14ac:dyDescent="0.25">
      <c r="A3" t="s">
        <v>39</v>
      </c>
    </row>
    <row r="5" spans="1:26" ht="15.75" thickBot="1" x14ac:dyDescent="0.3">
      <c r="A5" s="4" t="s">
        <v>225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62</v>
      </c>
      <c r="P5" s="1"/>
      <c r="Q5" s="1"/>
      <c r="R5" s="1"/>
      <c r="S5" s="1"/>
      <c r="V5" s="4" t="s">
        <v>65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7" t="s">
        <v>68</v>
      </c>
      <c r="B7" s="18">
        <v>668.39599999999996</v>
      </c>
      <c r="C7" s="18">
        <v>32.121699999999997</v>
      </c>
      <c r="D7" s="18">
        <v>0</v>
      </c>
      <c r="E7" s="18">
        <f>SUM(B7:D7)</f>
        <v>700.51769999999999</v>
      </c>
      <c r="F7" s="18"/>
      <c r="G7" s="18"/>
      <c r="H7" t="str">
        <f>$A$7</f>
        <v>Williamson</v>
      </c>
      <c r="I7" s="18">
        <v>956</v>
      </c>
      <c r="J7" s="18">
        <v>934</v>
      </c>
      <c r="K7" s="18">
        <v>353</v>
      </c>
      <c r="L7" s="18">
        <f>SUM(I7:K7)</f>
        <v>2243</v>
      </c>
      <c r="O7" t="str">
        <f>$A$7</f>
        <v>Williamson</v>
      </c>
      <c r="P7" s="18">
        <f>I7-B7</f>
        <v>287.60400000000004</v>
      </c>
      <c r="Q7" s="18">
        <f t="shared" ref="Q7:Q14" si="0">J7-C7</f>
        <v>901.87829999999997</v>
      </c>
      <c r="R7" s="18">
        <f t="shared" ref="R7:R14" si="1">K7-D7</f>
        <v>353</v>
      </c>
      <c r="S7" s="18">
        <f t="shared" ref="S7:S14" si="2">L7-E7</f>
        <v>1542.4823000000001</v>
      </c>
      <c r="V7" t="str">
        <f>$A$7</f>
        <v>Williamson</v>
      </c>
      <c r="W7" s="18"/>
      <c r="X7" s="18"/>
      <c r="Y7" s="18"/>
      <c r="Z7" s="18"/>
    </row>
    <row r="8" spans="1:26" x14ac:dyDescent="0.25">
      <c r="A8" t="s">
        <v>69</v>
      </c>
      <c r="B8" s="18">
        <v>119.0352</v>
      </c>
      <c r="C8" s="18">
        <v>640.28009999999995</v>
      </c>
      <c r="D8" s="18">
        <v>266.2527</v>
      </c>
      <c r="E8" s="18">
        <f t="shared" ref="E8:E11" si="3">SUM(B8:D8)</f>
        <v>1025.568</v>
      </c>
      <c r="F8" s="18"/>
      <c r="G8" s="18"/>
      <c r="H8" t="str">
        <f>$A$8</f>
        <v>Rutherford</v>
      </c>
      <c r="I8" s="18">
        <v>433</v>
      </c>
      <c r="J8" s="18">
        <v>453</v>
      </c>
      <c r="K8" s="18">
        <v>175</v>
      </c>
      <c r="L8" s="18">
        <f t="shared" ref="L8:L13" si="4">SUM(I8:K8)</f>
        <v>1061</v>
      </c>
      <c r="O8" t="str">
        <f>$A$8</f>
        <v>Rutherford</v>
      </c>
      <c r="P8" s="18">
        <f t="shared" ref="P8:P14" si="5">I8-B8</f>
        <v>313.96479999999997</v>
      </c>
      <c r="Q8" s="18">
        <f t="shared" si="0"/>
        <v>-187.28009999999995</v>
      </c>
      <c r="R8" s="18">
        <f t="shared" si="1"/>
        <v>-91.252700000000004</v>
      </c>
      <c r="S8" s="18">
        <f t="shared" si="2"/>
        <v>35.432000000000016</v>
      </c>
      <c r="V8" t="str">
        <f>$A$8</f>
        <v>Rutherford</v>
      </c>
      <c r="W8" s="18"/>
      <c r="X8" s="18"/>
      <c r="Y8" s="18"/>
      <c r="Z8" s="18"/>
    </row>
    <row r="9" spans="1:26" x14ac:dyDescent="0.25">
      <c r="A9" t="s">
        <v>70</v>
      </c>
      <c r="B9" s="18">
        <v>271.61489999999998</v>
      </c>
      <c r="C9" s="18">
        <v>271.09469999999999</v>
      </c>
      <c r="D9" s="18">
        <v>171.72149999999999</v>
      </c>
      <c r="E9" s="18">
        <f t="shared" si="3"/>
        <v>714.4310999999999</v>
      </c>
      <c r="F9" s="18"/>
      <c r="G9" s="18"/>
      <c r="H9" t="str">
        <f>$A$9</f>
        <v>Sumner</v>
      </c>
      <c r="I9" s="18">
        <v>472</v>
      </c>
      <c r="J9" s="18">
        <v>521</v>
      </c>
      <c r="K9" s="18">
        <v>366</v>
      </c>
      <c r="L9" s="18">
        <f t="shared" si="4"/>
        <v>1359</v>
      </c>
      <c r="O9" t="str">
        <f>$A$9</f>
        <v>Sumner</v>
      </c>
      <c r="P9" s="18">
        <f t="shared" ref="P9:P11" si="6">I9-B9</f>
        <v>200.38510000000002</v>
      </c>
      <c r="Q9" s="18">
        <f t="shared" ref="Q9:Q11" si="7">J9-C9</f>
        <v>249.90530000000001</v>
      </c>
      <c r="R9" s="18">
        <f t="shared" ref="R9:R11" si="8">K9-D9</f>
        <v>194.27850000000001</v>
      </c>
      <c r="S9" s="18">
        <f t="shared" ref="S9:S11" si="9">L9-E9</f>
        <v>644.5689000000001</v>
      </c>
      <c r="V9" t="str">
        <f>$A$9</f>
        <v>Sumner</v>
      </c>
      <c r="W9" s="18"/>
      <c r="X9" s="18"/>
      <c r="Y9" s="18"/>
      <c r="Z9" s="18"/>
    </row>
    <row r="10" spans="1:26" x14ac:dyDescent="0.25">
      <c r="A10" t="s">
        <v>71</v>
      </c>
      <c r="B10" s="18">
        <v>340.07100000000003</v>
      </c>
      <c r="C10" s="18">
        <v>108.4825</v>
      </c>
      <c r="D10" s="18">
        <v>42.377499999999998</v>
      </c>
      <c r="E10" s="18">
        <f t="shared" si="3"/>
        <v>490.93100000000004</v>
      </c>
      <c r="F10" s="18"/>
      <c r="G10" s="18"/>
      <c r="H10" t="str">
        <f>$A$10</f>
        <v>Roberston</v>
      </c>
      <c r="I10" s="18">
        <v>342</v>
      </c>
      <c r="J10" s="18">
        <v>251</v>
      </c>
      <c r="K10" s="18">
        <v>161</v>
      </c>
      <c r="L10" s="18">
        <f t="shared" si="4"/>
        <v>754</v>
      </c>
      <c r="O10" t="str">
        <f>$A$10</f>
        <v>Roberston</v>
      </c>
      <c r="P10" s="18">
        <f t="shared" si="6"/>
        <v>1.9289999999999736</v>
      </c>
      <c r="Q10" s="18">
        <f t="shared" si="7"/>
        <v>142.51749999999998</v>
      </c>
      <c r="R10" s="18">
        <f t="shared" si="8"/>
        <v>118.6225</v>
      </c>
      <c r="S10" s="18">
        <f t="shared" si="9"/>
        <v>263.06899999999996</v>
      </c>
      <c r="V10" t="str">
        <f>$A$10</f>
        <v>Roberston</v>
      </c>
      <c r="W10" s="18"/>
      <c r="X10" s="18"/>
      <c r="Y10" s="18"/>
      <c r="Z10" s="18"/>
    </row>
    <row r="11" spans="1:26" x14ac:dyDescent="0.25">
      <c r="A11" t="s">
        <v>72</v>
      </c>
      <c r="B11" s="18">
        <v>807.41449999999998</v>
      </c>
      <c r="C11" s="18">
        <v>514.35270000000003</v>
      </c>
      <c r="D11" s="18">
        <v>0</v>
      </c>
      <c r="E11" s="18">
        <f t="shared" si="3"/>
        <v>1321.7672</v>
      </c>
      <c r="F11" s="18"/>
      <c r="G11" s="18"/>
      <c r="H11" t="str">
        <f>$A$11</f>
        <v>Davidson</v>
      </c>
      <c r="I11" s="18">
        <v>416</v>
      </c>
      <c r="J11" s="18">
        <v>483</v>
      </c>
      <c r="K11" s="18">
        <v>176</v>
      </c>
      <c r="L11" s="18">
        <f t="shared" si="4"/>
        <v>1075</v>
      </c>
      <c r="O11" t="str">
        <f>$A$11</f>
        <v>Davidson</v>
      </c>
      <c r="P11" s="18">
        <f t="shared" si="6"/>
        <v>-391.41449999999998</v>
      </c>
      <c r="Q11" s="18">
        <f t="shared" si="7"/>
        <v>-31.352700000000027</v>
      </c>
      <c r="R11" s="18">
        <f t="shared" si="8"/>
        <v>176</v>
      </c>
      <c r="S11" s="18">
        <f t="shared" si="9"/>
        <v>-246.7672</v>
      </c>
      <c r="V11" t="str">
        <f>$A$11</f>
        <v>Davidson</v>
      </c>
      <c r="W11" s="18"/>
      <c r="X11" s="18"/>
      <c r="Y11" s="18"/>
      <c r="Z11" s="18"/>
    </row>
    <row r="12" spans="1:26" x14ac:dyDescent="0.25">
      <c r="A12" t="s">
        <v>73</v>
      </c>
      <c r="B12" s="19">
        <v>1326.6875</v>
      </c>
      <c r="C12" s="19">
        <v>1120.346</v>
      </c>
      <c r="D12" s="19">
        <v>0</v>
      </c>
      <c r="E12" s="19">
        <f t="shared" ref="E12:E13" si="10">SUM(B12:D12)</f>
        <v>2447.0335</v>
      </c>
      <c r="F12" s="18"/>
      <c r="G12" s="18"/>
      <c r="H12" t="str">
        <f>$A$12</f>
        <v>Maury</v>
      </c>
      <c r="I12" s="19">
        <v>1042</v>
      </c>
      <c r="J12" s="19">
        <v>996</v>
      </c>
      <c r="K12" s="19">
        <v>394</v>
      </c>
      <c r="L12" s="19">
        <f t="shared" si="4"/>
        <v>2432</v>
      </c>
      <c r="O12" t="str">
        <f>$A$12</f>
        <v>Maury</v>
      </c>
      <c r="P12" s="19">
        <f t="shared" si="5"/>
        <v>-284.6875</v>
      </c>
      <c r="Q12" s="19">
        <f t="shared" si="0"/>
        <v>-124.346</v>
      </c>
      <c r="R12" s="19">
        <f t="shared" si="1"/>
        <v>394</v>
      </c>
      <c r="S12" s="19">
        <f t="shared" si="2"/>
        <v>-15.033500000000004</v>
      </c>
      <c r="V12" t="str">
        <f>$A$12</f>
        <v>Maury</v>
      </c>
      <c r="W12" s="19"/>
      <c r="X12" s="19"/>
      <c r="Y12" s="19"/>
      <c r="Z12" s="19"/>
    </row>
    <row r="13" spans="1:26" x14ac:dyDescent="0.25">
      <c r="A13" t="s">
        <v>74</v>
      </c>
      <c r="B13" s="20">
        <v>549.1925</v>
      </c>
      <c r="C13" s="20">
        <v>93.978200000000001</v>
      </c>
      <c r="D13" s="20">
        <v>0</v>
      </c>
      <c r="E13" s="19">
        <f t="shared" si="10"/>
        <v>643.17070000000001</v>
      </c>
      <c r="F13" s="18"/>
      <c r="G13" s="18"/>
      <c r="H13" s="18" t="str">
        <f>$A$13</f>
        <v>Wilson</v>
      </c>
      <c r="I13" s="20">
        <v>961</v>
      </c>
      <c r="J13" s="20">
        <v>979</v>
      </c>
      <c r="K13" s="20">
        <v>388</v>
      </c>
      <c r="L13" s="19">
        <f t="shared" si="4"/>
        <v>2328</v>
      </c>
      <c r="O13" s="18" t="str">
        <f>$A$13</f>
        <v>Wilson</v>
      </c>
      <c r="P13" s="20">
        <f t="shared" si="5"/>
        <v>411.8075</v>
      </c>
      <c r="Q13" s="20">
        <f t="shared" si="0"/>
        <v>885.02179999999998</v>
      </c>
      <c r="R13" s="20">
        <f t="shared" si="1"/>
        <v>388</v>
      </c>
      <c r="S13" s="19">
        <f t="shared" si="2"/>
        <v>1684.8292999999999</v>
      </c>
      <c r="V13" s="18" t="str">
        <f>$A$13</f>
        <v>Wilson</v>
      </c>
      <c r="W13" s="20"/>
      <c r="X13" s="20"/>
      <c r="Y13" s="20"/>
      <c r="Z13" s="20"/>
    </row>
    <row r="14" spans="1:26" ht="15.75" thickBot="1" x14ac:dyDescent="0.3">
      <c r="A14" s="22" t="s">
        <v>4</v>
      </c>
      <c r="B14" s="22">
        <f>SUM(B7:B13)</f>
        <v>4082.4115999999999</v>
      </c>
      <c r="C14" s="22">
        <f t="shared" ref="C14:E14" si="11">SUM(C7:C13)</f>
        <v>2780.6559000000002</v>
      </c>
      <c r="D14" s="22">
        <f t="shared" si="11"/>
        <v>480.35169999999999</v>
      </c>
      <c r="E14" s="22">
        <f t="shared" si="11"/>
        <v>7343.4191999999994</v>
      </c>
      <c r="F14" s="18"/>
      <c r="G14" s="18"/>
      <c r="H14" s="22" t="s">
        <v>4</v>
      </c>
      <c r="I14" s="22">
        <f>SUM(I7:I13)</f>
        <v>4622</v>
      </c>
      <c r="J14" s="22">
        <f t="shared" ref="J14:L14" si="12">SUM(J7:J13)</f>
        <v>4617</v>
      </c>
      <c r="K14" s="22">
        <f t="shared" si="12"/>
        <v>2013</v>
      </c>
      <c r="L14" s="22">
        <f t="shared" si="12"/>
        <v>11252</v>
      </c>
      <c r="O14" s="22" t="s">
        <v>4</v>
      </c>
      <c r="P14" s="22">
        <f t="shared" si="5"/>
        <v>539.58840000000009</v>
      </c>
      <c r="Q14" s="22">
        <f t="shared" si="0"/>
        <v>1836.3440999999998</v>
      </c>
      <c r="R14" s="22">
        <f t="shared" si="1"/>
        <v>1532.6483000000001</v>
      </c>
      <c r="S14" s="22">
        <f t="shared" si="2"/>
        <v>3908.5808000000006</v>
      </c>
      <c r="V14" s="22" t="s">
        <v>4</v>
      </c>
      <c r="W14" s="22">
        <f>SUM(W7:W13)</f>
        <v>0</v>
      </c>
      <c r="X14" s="22">
        <f t="shared" ref="X14:Z14" si="13">SUM(X7:X13)</f>
        <v>0</v>
      </c>
      <c r="Y14" s="22">
        <f t="shared" si="13"/>
        <v>0</v>
      </c>
      <c r="Z14" s="22">
        <f t="shared" si="13"/>
        <v>0</v>
      </c>
    </row>
    <row r="15" spans="1:26" x14ac:dyDescent="0.25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O15" s="18"/>
      <c r="P15" s="18"/>
      <c r="Q15" s="18"/>
      <c r="R15" s="18"/>
      <c r="S15" s="18"/>
      <c r="W15" s="18"/>
      <c r="X15" s="18"/>
      <c r="Y15" s="18"/>
      <c r="Z15" s="18"/>
    </row>
    <row r="16" spans="1:26" ht="15.75" thickBot="1" x14ac:dyDescent="0.3">
      <c r="A16" s="4" t="s">
        <v>226</v>
      </c>
      <c r="B16" s="22"/>
      <c r="C16" s="22"/>
      <c r="D16" s="22"/>
      <c r="E16" s="22"/>
      <c r="F16" s="18"/>
      <c r="G16" s="18"/>
      <c r="H16" s="25" t="s">
        <v>41</v>
      </c>
      <c r="I16" s="22"/>
      <c r="J16" s="22"/>
      <c r="K16" s="22"/>
      <c r="L16" s="22"/>
      <c r="O16" s="25" t="s">
        <v>63</v>
      </c>
      <c r="P16" s="22"/>
      <c r="Q16" s="22"/>
      <c r="R16" s="22"/>
      <c r="S16" s="22"/>
      <c r="V16" s="4" t="s">
        <v>66</v>
      </c>
      <c r="W16" s="22"/>
      <c r="X16" s="22"/>
      <c r="Y16" s="22"/>
      <c r="Z16" s="22"/>
    </row>
    <row r="17" spans="1:26" x14ac:dyDescent="0.25">
      <c r="A17" s="2"/>
      <c r="B17" s="26" t="s">
        <v>9</v>
      </c>
      <c r="C17" s="26" t="s">
        <v>10</v>
      </c>
      <c r="D17" s="26" t="s">
        <v>11</v>
      </c>
      <c r="E17" s="26" t="s">
        <v>4</v>
      </c>
      <c r="F17" s="18"/>
      <c r="G17" s="18"/>
      <c r="H17" s="27"/>
      <c r="I17" s="26" t="s">
        <v>9</v>
      </c>
      <c r="J17" s="26" t="s">
        <v>10</v>
      </c>
      <c r="K17" s="26" t="s">
        <v>11</v>
      </c>
      <c r="L17" s="26" t="s">
        <v>4</v>
      </c>
      <c r="O17" s="27"/>
      <c r="P17" s="26" t="s">
        <v>9</v>
      </c>
      <c r="Q17" s="26" t="s">
        <v>10</v>
      </c>
      <c r="R17" s="26" t="s">
        <v>11</v>
      </c>
      <c r="S17" s="26" t="s">
        <v>4</v>
      </c>
      <c r="V17" s="2"/>
      <c r="W17" s="26" t="s">
        <v>9</v>
      </c>
      <c r="X17" s="26" t="s">
        <v>10</v>
      </c>
      <c r="Y17" s="26" t="s">
        <v>11</v>
      </c>
      <c r="Z17" s="26" t="s">
        <v>4</v>
      </c>
    </row>
    <row r="18" spans="1:26" x14ac:dyDescent="0.25">
      <c r="A18" t="str">
        <f>$A$7</f>
        <v>Williamson</v>
      </c>
      <c r="B18" s="18">
        <v>175388.8597</v>
      </c>
      <c r="C18" s="18">
        <v>37274.787499999999</v>
      </c>
      <c r="D18" s="18">
        <v>11719.087</v>
      </c>
      <c r="E18" s="18">
        <f>SUM(B18:D18)</f>
        <v>224382.73420000001</v>
      </c>
      <c r="F18" s="18"/>
      <c r="G18" s="18"/>
      <c r="H18" t="str">
        <f>$A$7</f>
        <v>Williamson</v>
      </c>
      <c r="I18" s="18">
        <v>173199</v>
      </c>
      <c r="J18" s="18">
        <v>41441</v>
      </c>
      <c r="K18" s="18">
        <v>9966</v>
      </c>
      <c r="L18" s="18">
        <f>SUM(I18:K18)</f>
        <v>224606</v>
      </c>
      <c r="O18" t="str">
        <f>$A$7</f>
        <v>Williamson</v>
      </c>
      <c r="P18" s="18">
        <f t="shared" ref="P18:P25" si="14">I18-B18</f>
        <v>-2189.8597000000009</v>
      </c>
      <c r="Q18" s="18">
        <f t="shared" ref="Q18:Q25" si="15">J18-C18</f>
        <v>4166.2125000000015</v>
      </c>
      <c r="R18" s="18">
        <f t="shared" ref="R18:R25" si="16">K18-D18</f>
        <v>-1753.0869999999995</v>
      </c>
      <c r="S18" s="18">
        <f t="shared" ref="S18:S25" si="17">L18-E18</f>
        <v>223.26579999999376</v>
      </c>
      <c r="V18" t="str">
        <f>$A$7</f>
        <v>Williamson</v>
      </c>
      <c r="W18" s="18"/>
      <c r="X18" s="18"/>
      <c r="Y18" s="18"/>
      <c r="Z18" s="18"/>
    </row>
    <row r="19" spans="1:26" x14ac:dyDescent="0.25">
      <c r="A19" t="str">
        <f>$A$8</f>
        <v>Rutherford</v>
      </c>
      <c r="B19" s="18">
        <v>98371.195600000006</v>
      </c>
      <c r="C19" s="18">
        <v>19791.9391</v>
      </c>
      <c r="D19" s="18">
        <v>3137.5911999999998</v>
      </c>
      <c r="E19" s="18">
        <f t="shared" ref="E19:E24" si="18">SUM(B19:D19)</f>
        <v>121300.7259</v>
      </c>
      <c r="F19" s="18"/>
      <c r="G19" s="18"/>
      <c r="H19" t="str">
        <f>$A$8</f>
        <v>Rutherford</v>
      </c>
      <c r="I19" s="18">
        <v>96980</v>
      </c>
      <c r="J19" s="18">
        <v>23702</v>
      </c>
      <c r="K19" s="18">
        <v>5944</v>
      </c>
      <c r="L19" s="18">
        <f>SUM(I19:K19)</f>
        <v>126626</v>
      </c>
      <c r="O19" t="str">
        <f>$A$8</f>
        <v>Rutherford</v>
      </c>
      <c r="P19" s="18">
        <f t="shared" si="14"/>
        <v>-1391.1956000000064</v>
      </c>
      <c r="Q19" s="18">
        <f t="shared" si="15"/>
        <v>3910.0609000000004</v>
      </c>
      <c r="R19" s="18">
        <f t="shared" si="16"/>
        <v>2806.4088000000002</v>
      </c>
      <c r="S19" s="18">
        <f t="shared" si="17"/>
        <v>5325.2740999999951</v>
      </c>
      <c r="V19" t="str">
        <f>$A$8</f>
        <v>Rutherford</v>
      </c>
      <c r="W19" s="18"/>
      <c r="X19" s="18"/>
      <c r="Y19" s="18"/>
      <c r="Z19" s="18"/>
    </row>
    <row r="20" spans="1:26" x14ac:dyDescent="0.25">
      <c r="A20" t="str">
        <f>$A$9</f>
        <v>Sumner</v>
      </c>
      <c r="B20" s="18">
        <v>140078.5698</v>
      </c>
      <c r="C20" s="18">
        <v>35794.387799999997</v>
      </c>
      <c r="D20" s="18">
        <v>5875.8823999999995</v>
      </c>
      <c r="E20" s="18">
        <f t="shared" si="18"/>
        <v>181748.84</v>
      </c>
      <c r="F20" s="18"/>
      <c r="G20" s="18"/>
      <c r="H20" t="str">
        <f>$A$9</f>
        <v>Sumner</v>
      </c>
      <c r="I20" s="18">
        <v>135325</v>
      </c>
      <c r="J20" s="18">
        <v>31455</v>
      </c>
      <c r="K20" s="18">
        <v>13569</v>
      </c>
      <c r="L20" s="18">
        <f t="shared" ref="L20:L22" si="19">SUM(I20:K20)</f>
        <v>180349</v>
      </c>
      <c r="O20" t="str">
        <f>$A$9</f>
        <v>Sumner</v>
      </c>
      <c r="P20" s="18">
        <f t="shared" ref="P20:P22" si="20">I20-B20</f>
        <v>-4753.5697999999975</v>
      </c>
      <c r="Q20" s="18">
        <f t="shared" ref="Q20:Q22" si="21">J20-C20</f>
        <v>-4339.3877999999968</v>
      </c>
      <c r="R20" s="18">
        <f t="shared" ref="R20:R22" si="22">K20-D20</f>
        <v>7693.1176000000005</v>
      </c>
      <c r="S20" s="18">
        <f t="shared" ref="S20:S22" si="23">L20-E20</f>
        <v>-1399.8399999999965</v>
      </c>
      <c r="V20" t="str">
        <f>$A$9</f>
        <v>Sumner</v>
      </c>
      <c r="W20" s="18"/>
      <c r="X20" s="18"/>
      <c r="Y20" s="18"/>
      <c r="Z20" s="18"/>
    </row>
    <row r="21" spans="1:26" x14ac:dyDescent="0.25">
      <c r="A21" t="str">
        <f>$A$10</f>
        <v>Roberston</v>
      </c>
      <c r="B21" s="18">
        <v>92737.172999999995</v>
      </c>
      <c r="C21" s="18">
        <v>18784.2683</v>
      </c>
      <c r="D21" s="18">
        <v>3813.6455000000001</v>
      </c>
      <c r="E21" s="18">
        <f t="shared" si="18"/>
        <v>115335.08679999999</v>
      </c>
      <c r="F21" s="18"/>
      <c r="G21" s="18"/>
      <c r="H21" t="str">
        <f>$A$10</f>
        <v>Roberston</v>
      </c>
      <c r="I21" s="18">
        <v>95397</v>
      </c>
      <c r="J21" s="18">
        <v>16964</v>
      </c>
      <c r="K21" s="18">
        <v>6465</v>
      </c>
      <c r="L21" s="18">
        <f t="shared" si="19"/>
        <v>118826</v>
      </c>
      <c r="O21" t="str">
        <f>$A$10</f>
        <v>Roberston</v>
      </c>
      <c r="P21" s="18">
        <f t="shared" si="20"/>
        <v>2659.8270000000048</v>
      </c>
      <c r="Q21" s="18">
        <f t="shared" si="21"/>
        <v>-1820.2682999999997</v>
      </c>
      <c r="R21" s="18">
        <f t="shared" si="22"/>
        <v>2651.3544999999999</v>
      </c>
      <c r="S21" s="18">
        <f t="shared" si="23"/>
        <v>3490.91320000001</v>
      </c>
      <c r="V21" t="str">
        <f>$A$10</f>
        <v>Roberston</v>
      </c>
      <c r="W21" s="18"/>
      <c r="X21" s="18"/>
      <c r="Y21" s="18"/>
      <c r="Z21" s="18"/>
    </row>
    <row r="22" spans="1:26" x14ac:dyDescent="0.25">
      <c r="A22" t="str">
        <f>$A$11</f>
        <v>Davidson</v>
      </c>
      <c r="B22" s="18">
        <v>100188.2836</v>
      </c>
      <c r="C22" s="18">
        <v>27547.935700000002</v>
      </c>
      <c r="D22" s="18">
        <v>5430.4227000000001</v>
      </c>
      <c r="E22" s="18">
        <f t="shared" si="18"/>
        <v>133166.64199999999</v>
      </c>
      <c r="F22" s="18"/>
      <c r="G22" s="18"/>
      <c r="H22" t="str">
        <f>$A$11</f>
        <v>Davidson</v>
      </c>
      <c r="I22" s="18">
        <v>96620</v>
      </c>
      <c r="J22" s="18">
        <v>25716</v>
      </c>
      <c r="K22" s="18">
        <v>5966</v>
      </c>
      <c r="L22" s="18">
        <f t="shared" si="19"/>
        <v>128302</v>
      </c>
      <c r="O22" t="str">
        <f>$A$11</f>
        <v>Davidson</v>
      </c>
      <c r="P22" s="18">
        <f t="shared" si="20"/>
        <v>-3568.2835999999952</v>
      </c>
      <c r="Q22" s="18">
        <f t="shared" si="21"/>
        <v>-1831.9357000000018</v>
      </c>
      <c r="R22" s="18">
        <f t="shared" si="22"/>
        <v>535.57729999999992</v>
      </c>
      <c r="S22" s="18">
        <f t="shared" si="23"/>
        <v>-4864.6419999999925</v>
      </c>
      <c r="V22" t="str">
        <f>$A$11</f>
        <v>Davidson</v>
      </c>
      <c r="W22" s="18"/>
      <c r="X22" s="18"/>
      <c r="Y22" s="18"/>
      <c r="Z22" s="18"/>
    </row>
    <row r="23" spans="1:26" x14ac:dyDescent="0.25">
      <c r="A23" t="str">
        <f>$A$12</f>
        <v>Maury</v>
      </c>
      <c r="B23" s="19">
        <v>266686.4645</v>
      </c>
      <c r="C23" s="19">
        <v>62101.461800000005</v>
      </c>
      <c r="D23" s="19">
        <v>6023.1343999999999</v>
      </c>
      <c r="E23" s="19">
        <f t="shared" si="18"/>
        <v>334811.06069999997</v>
      </c>
      <c r="F23" s="18"/>
      <c r="G23" s="18"/>
      <c r="H23" t="str">
        <f>$A$12</f>
        <v>Maury</v>
      </c>
      <c r="I23" s="19">
        <v>253754</v>
      </c>
      <c r="J23" s="19">
        <v>51756</v>
      </c>
      <c r="K23" s="19">
        <v>14455</v>
      </c>
      <c r="L23" s="19">
        <f>SUM(I23:K23)</f>
        <v>319965</v>
      </c>
      <c r="O23" t="str">
        <f>$A$12</f>
        <v>Maury</v>
      </c>
      <c r="P23" s="19">
        <f t="shared" si="14"/>
        <v>-12932.464500000002</v>
      </c>
      <c r="Q23" s="19">
        <f t="shared" si="15"/>
        <v>-10345.461800000005</v>
      </c>
      <c r="R23" s="19">
        <f t="shared" si="16"/>
        <v>8431.865600000001</v>
      </c>
      <c r="S23" s="19">
        <f t="shared" si="17"/>
        <v>-14846.060699999973</v>
      </c>
      <c r="V23" t="str">
        <f>$A$12</f>
        <v>Maury</v>
      </c>
      <c r="W23" s="19"/>
      <c r="X23" s="19"/>
      <c r="Y23" s="19"/>
      <c r="Z23" s="19"/>
    </row>
    <row r="24" spans="1:26" x14ac:dyDescent="0.25">
      <c r="A24" s="18" t="str">
        <f>$A$13</f>
        <v>Wilson</v>
      </c>
      <c r="B24" s="20">
        <v>192316.04440000001</v>
      </c>
      <c r="C24" s="20">
        <v>43840.7</v>
      </c>
      <c r="D24" s="20">
        <v>8188.5099</v>
      </c>
      <c r="E24" s="19">
        <f t="shared" si="18"/>
        <v>244345.25430000003</v>
      </c>
      <c r="F24" s="18"/>
      <c r="G24" s="18"/>
      <c r="H24" s="18" t="str">
        <f>$A$13</f>
        <v>Wilson</v>
      </c>
      <c r="I24" s="20">
        <v>206801</v>
      </c>
      <c r="J24" s="20">
        <v>50253</v>
      </c>
      <c r="K24" s="20">
        <v>12753</v>
      </c>
      <c r="L24" s="19">
        <f>SUM(I24:K24)</f>
        <v>269807</v>
      </c>
      <c r="O24" s="18" t="str">
        <f>$A$13</f>
        <v>Wilson</v>
      </c>
      <c r="P24" s="20">
        <f t="shared" si="14"/>
        <v>14484.955599999987</v>
      </c>
      <c r="Q24" s="20">
        <f t="shared" si="15"/>
        <v>6412.3000000000029</v>
      </c>
      <c r="R24" s="20">
        <f t="shared" si="16"/>
        <v>4564.4901</v>
      </c>
      <c r="S24" s="20">
        <f t="shared" si="17"/>
        <v>25461.74569999997</v>
      </c>
      <c r="V24" s="18" t="str">
        <f>$A$13</f>
        <v>Wilson</v>
      </c>
      <c r="W24" s="20"/>
      <c r="X24" s="20"/>
      <c r="Y24" s="20"/>
      <c r="Z24" s="20"/>
    </row>
    <row r="25" spans="1:26" ht="15.75" thickBot="1" x14ac:dyDescent="0.3">
      <c r="A25" s="22" t="s">
        <v>4</v>
      </c>
      <c r="B25" s="22">
        <f>SUM(B18:B24)</f>
        <v>1065766.5906</v>
      </c>
      <c r="C25" s="22">
        <f t="shared" ref="C25:E25" si="24">SUM(C18:C24)</f>
        <v>245135.48019999999</v>
      </c>
      <c r="D25" s="22">
        <f t="shared" si="24"/>
        <v>44188.273099999991</v>
      </c>
      <c r="E25" s="22">
        <f t="shared" si="24"/>
        <v>1355090.3439000002</v>
      </c>
      <c r="F25" s="18"/>
      <c r="G25" s="18"/>
      <c r="H25" s="22" t="s">
        <v>4</v>
      </c>
      <c r="I25" s="22">
        <f>SUM(I18:I24)</f>
        <v>1058076</v>
      </c>
      <c r="J25" s="22">
        <f t="shared" ref="J25:L25" si="25">SUM(J18:J24)</f>
        <v>241287</v>
      </c>
      <c r="K25" s="22">
        <f t="shared" si="25"/>
        <v>69118</v>
      </c>
      <c r="L25" s="22">
        <f t="shared" si="25"/>
        <v>1368481</v>
      </c>
      <c r="O25" s="22" t="s">
        <v>4</v>
      </c>
      <c r="P25" s="22">
        <f t="shared" si="14"/>
        <v>-7690.5905999999959</v>
      </c>
      <c r="Q25" s="22">
        <f t="shared" si="15"/>
        <v>-3848.4801999999909</v>
      </c>
      <c r="R25" s="22">
        <f t="shared" si="16"/>
        <v>24929.726900000009</v>
      </c>
      <c r="S25" s="22">
        <f t="shared" si="17"/>
        <v>13390.656099999789</v>
      </c>
      <c r="V25" s="22" t="s">
        <v>4</v>
      </c>
      <c r="W25" s="22">
        <f>SUM(W18:W24)</f>
        <v>0</v>
      </c>
      <c r="X25" s="22">
        <f t="shared" ref="X25:Z25" si="26">SUM(X18:X24)</f>
        <v>0</v>
      </c>
      <c r="Y25" s="22">
        <f t="shared" si="26"/>
        <v>0</v>
      </c>
      <c r="Z25" s="22">
        <f t="shared" si="26"/>
        <v>0</v>
      </c>
    </row>
    <row r="27" spans="1:26" ht="15.75" thickBot="1" x14ac:dyDescent="0.3">
      <c r="A27" s="4" t="s">
        <v>227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64</v>
      </c>
      <c r="P27" s="1"/>
      <c r="Q27" s="1"/>
      <c r="R27" s="1"/>
      <c r="S27" s="1"/>
      <c r="V27" s="4" t="s">
        <v>67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Williamson</v>
      </c>
      <c r="B29" s="28">
        <f>B7/B18</f>
        <v>3.8109375997043438E-3</v>
      </c>
      <c r="C29" s="28">
        <f t="shared" ref="B29:E36" si="27">C7/C18</f>
        <v>8.6175407438607125E-4</v>
      </c>
      <c r="D29" s="28">
        <f t="shared" si="27"/>
        <v>0</v>
      </c>
      <c r="E29" s="28">
        <f t="shared" si="27"/>
        <v>3.1219768423697189E-3</v>
      </c>
      <c r="F29" s="28"/>
      <c r="G29" s="28"/>
      <c r="H29" t="str">
        <f>$A$7</f>
        <v>Williamson</v>
      </c>
      <c r="I29" s="28">
        <f t="shared" ref="I29:L36" si="28">I7/I18</f>
        <v>5.5196623537087401E-3</v>
      </c>
      <c r="J29" s="28">
        <f t="shared" si="28"/>
        <v>2.253806616635699E-2</v>
      </c>
      <c r="K29" s="28">
        <f t="shared" si="28"/>
        <v>3.5420429460164563E-2</v>
      </c>
      <c r="L29" s="28">
        <f t="shared" si="28"/>
        <v>9.9863761431128288E-3</v>
      </c>
      <c r="O29" t="str">
        <f>$A$7</f>
        <v>Williamson</v>
      </c>
      <c r="P29" s="28">
        <f>I29-B29</f>
        <v>1.7087247540043963E-3</v>
      </c>
      <c r="Q29" s="28">
        <f t="shared" ref="Q29:Q36" si="29">J29-C29</f>
        <v>2.167631209197092E-2</v>
      </c>
      <c r="R29" s="28">
        <f t="shared" ref="R29:R36" si="30">K29-D29</f>
        <v>3.5420429460164563E-2</v>
      </c>
      <c r="S29" s="28">
        <f t="shared" ref="S29:S36" si="31">L29-E29</f>
        <v>6.8643993007431094E-3</v>
      </c>
      <c r="V29" t="str">
        <f>$A$7</f>
        <v>Williamson</v>
      </c>
      <c r="W29" s="28" t="e">
        <f t="shared" ref="W29:Z35" si="32">W7/W18</f>
        <v>#DIV/0!</v>
      </c>
      <c r="X29" s="28" t="e">
        <f t="shared" si="32"/>
        <v>#DIV/0!</v>
      </c>
      <c r="Y29" s="28" t="e">
        <f t="shared" si="32"/>
        <v>#DIV/0!</v>
      </c>
      <c r="Z29" s="28" t="e">
        <f t="shared" si="32"/>
        <v>#DIV/0!</v>
      </c>
    </row>
    <row r="30" spans="1:26" x14ac:dyDescent="0.25">
      <c r="A30" t="str">
        <f>$A$8</f>
        <v>Rutherford</v>
      </c>
      <c r="B30" s="28">
        <f t="shared" si="27"/>
        <v>1.2100615355334768E-3</v>
      </c>
      <c r="C30" s="28">
        <f t="shared" si="27"/>
        <v>3.2350549219303124E-2</v>
      </c>
      <c r="D30" s="28">
        <f t="shared" si="27"/>
        <v>8.4858951669675775E-2</v>
      </c>
      <c r="E30" s="28">
        <f t="shared" si="27"/>
        <v>8.4547556693558082E-3</v>
      </c>
      <c r="F30" s="28"/>
      <c r="G30" s="28"/>
      <c r="H30" t="str">
        <f>$A$8</f>
        <v>Rutherford</v>
      </c>
      <c r="I30" s="28">
        <f t="shared" si="28"/>
        <v>4.4648381109507118E-3</v>
      </c>
      <c r="J30" s="28">
        <f t="shared" si="28"/>
        <v>1.911231119736731E-2</v>
      </c>
      <c r="K30" s="28">
        <f t="shared" si="28"/>
        <v>2.9441453566621804E-2</v>
      </c>
      <c r="L30" s="28">
        <f t="shared" si="28"/>
        <v>8.3790058913651225E-3</v>
      </c>
      <c r="O30" t="str">
        <f>$A$8</f>
        <v>Rutherford</v>
      </c>
      <c r="P30" s="28">
        <f t="shared" ref="P30:P36" si="33">I30-B30</f>
        <v>3.2547765754172347E-3</v>
      </c>
      <c r="Q30" s="28">
        <f t="shared" si="29"/>
        <v>-1.3238238021935814E-2</v>
      </c>
      <c r="R30" s="28">
        <f t="shared" si="30"/>
        <v>-5.5417498103053971E-2</v>
      </c>
      <c r="S30" s="28">
        <f t="shared" si="31"/>
        <v>-7.5749777990685718E-5</v>
      </c>
      <c r="V30" t="str">
        <f>$A$8</f>
        <v>Rutherford</v>
      </c>
      <c r="W30" s="28" t="e">
        <f t="shared" si="32"/>
        <v>#DIV/0!</v>
      </c>
      <c r="X30" s="28" t="e">
        <f t="shared" si="32"/>
        <v>#DIV/0!</v>
      </c>
      <c r="Y30" s="28" t="e">
        <f t="shared" si="32"/>
        <v>#DIV/0!</v>
      </c>
      <c r="Z30" s="28" t="e">
        <f t="shared" si="32"/>
        <v>#DIV/0!</v>
      </c>
    </row>
    <row r="31" spans="1:26" x14ac:dyDescent="0.25">
      <c r="A31" t="str">
        <f>$A$9</f>
        <v>Sumner</v>
      </c>
      <c r="B31" s="28">
        <f t="shared" si="27"/>
        <v>1.9390182266124192E-3</v>
      </c>
      <c r="C31" s="28">
        <f t="shared" si="27"/>
        <v>7.5736649419661265E-3</v>
      </c>
      <c r="D31" s="28">
        <f t="shared" si="27"/>
        <v>2.9224802048454884E-2</v>
      </c>
      <c r="E31" s="28">
        <f t="shared" si="27"/>
        <v>3.9308702052788889E-3</v>
      </c>
      <c r="F31" s="28"/>
      <c r="G31" s="28"/>
      <c r="H31" t="str">
        <f>$A$9</f>
        <v>Sumner</v>
      </c>
      <c r="I31" s="28">
        <f t="shared" si="28"/>
        <v>3.4878995012008127E-3</v>
      </c>
      <c r="J31" s="28">
        <f t="shared" si="28"/>
        <v>1.6563344460340169E-2</v>
      </c>
      <c r="K31" s="28">
        <f t="shared" si="28"/>
        <v>2.6973247844351095E-2</v>
      </c>
      <c r="L31" s="28">
        <f t="shared" si="28"/>
        <v>7.535389716605027E-3</v>
      </c>
      <c r="O31" t="str">
        <f>$A$9</f>
        <v>Sumner</v>
      </c>
      <c r="P31" s="28">
        <f t="shared" ref="P31:P33" si="34">I31-B31</f>
        <v>1.5488812745883935E-3</v>
      </c>
      <c r="Q31" s="28">
        <f t="shared" ref="Q31:Q33" si="35">J31-C31</f>
        <v>8.989679518374042E-3</v>
      </c>
      <c r="R31" s="28">
        <f t="shared" ref="R31:R33" si="36">K31-D31</f>
        <v>-2.2515542041037888E-3</v>
      </c>
      <c r="S31" s="28">
        <f t="shared" ref="S31:S33" si="37">L31-E31</f>
        <v>3.6045195113261382E-3</v>
      </c>
      <c r="V31" t="str">
        <f>$A$9</f>
        <v>Sumner</v>
      </c>
      <c r="W31" s="28" t="e">
        <f t="shared" si="32"/>
        <v>#DIV/0!</v>
      </c>
      <c r="X31" s="28" t="e">
        <f t="shared" si="32"/>
        <v>#DIV/0!</v>
      </c>
      <c r="Y31" s="28" t="e">
        <f t="shared" si="32"/>
        <v>#DIV/0!</v>
      </c>
      <c r="Z31" s="28" t="e">
        <f t="shared" si="32"/>
        <v>#DIV/0!</v>
      </c>
    </row>
    <row r="32" spans="1:26" x14ac:dyDescent="0.25">
      <c r="A32" t="str">
        <f>$A$10</f>
        <v>Roberston</v>
      </c>
      <c r="B32" s="28">
        <f t="shared" si="27"/>
        <v>3.667040831619916E-3</v>
      </c>
      <c r="C32" s="28">
        <f t="shared" si="27"/>
        <v>5.7751783709350021E-3</v>
      </c>
      <c r="D32" s="28">
        <f t="shared" si="27"/>
        <v>1.1112071114108535E-2</v>
      </c>
      <c r="E32" s="28">
        <f t="shared" si="27"/>
        <v>4.2565624531181265E-3</v>
      </c>
      <c r="F32" s="28"/>
      <c r="G32" s="28"/>
      <c r="H32" t="str">
        <f>$A$10</f>
        <v>Roberston</v>
      </c>
      <c r="I32" s="28">
        <f t="shared" si="28"/>
        <v>3.5850183968049311E-3</v>
      </c>
      <c r="J32" s="28">
        <f t="shared" si="28"/>
        <v>1.479603867012497E-2</v>
      </c>
      <c r="K32" s="28">
        <f t="shared" si="28"/>
        <v>2.4903325599381285E-2</v>
      </c>
      <c r="L32" s="28">
        <f t="shared" si="28"/>
        <v>6.3454126201336405E-3</v>
      </c>
      <c r="O32" t="str">
        <f>$A$10</f>
        <v>Roberston</v>
      </c>
      <c r="P32" s="28">
        <f t="shared" si="34"/>
        <v>-8.202243481498497E-5</v>
      </c>
      <c r="Q32" s="28">
        <f t="shared" si="35"/>
        <v>9.0208602991899683E-3</v>
      </c>
      <c r="R32" s="28">
        <f t="shared" si="36"/>
        <v>1.379125448527275E-2</v>
      </c>
      <c r="S32" s="28">
        <f t="shared" si="37"/>
        <v>2.088850167015514E-3</v>
      </c>
      <c r="V32" t="str">
        <f>$A$10</f>
        <v>Roberston</v>
      </c>
      <c r="W32" s="28" t="e">
        <f t="shared" si="32"/>
        <v>#DIV/0!</v>
      </c>
      <c r="X32" s="28" t="e">
        <f t="shared" si="32"/>
        <v>#DIV/0!</v>
      </c>
      <c r="Y32" s="28" t="e">
        <f t="shared" si="32"/>
        <v>#DIV/0!</v>
      </c>
      <c r="Z32" s="28" t="e">
        <f t="shared" si="32"/>
        <v>#DIV/0!</v>
      </c>
    </row>
    <row r="33" spans="1:26" x14ac:dyDescent="0.25">
      <c r="A33" t="str">
        <f>$A$11</f>
        <v>Davidson</v>
      </c>
      <c r="B33" s="28">
        <f t="shared" si="27"/>
        <v>8.0589712787533969E-3</v>
      </c>
      <c r="C33" s="28">
        <f t="shared" si="27"/>
        <v>1.867118849126688E-2</v>
      </c>
      <c r="D33" s="28">
        <f t="shared" si="27"/>
        <v>0</v>
      </c>
      <c r="E33" s="28">
        <f t="shared" si="27"/>
        <v>9.9256629148912531E-3</v>
      </c>
      <c r="F33" s="28"/>
      <c r="G33" s="28"/>
      <c r="H33" t="str">
        <f>$A$11</f>
        <v>Davidson</v>
      </c>
      <c r="I33" s="28">
        <f t="shared" si="28"/>
        <v>4.3055268060442969E-3</v>
      </c>
      <c r="J33" s="28">
        <f t="shared" si="28"/>
        <v>1.8782081194587026E-2</v>
      </c>
      <c r="K33" s="28">
        <f t="shared" si="28"/>
        <v>2.950050284948039E-2</v>
      </c>
      <c r="L33" s="28">
        <f t="shared" si="28"/>
        <v>8.3786690776449322E-3</v>
      </c>
      <c r="O33" t="str">
        <f>$A$11</f>
        <v>Davidson</v>
      </c>
      <c r="P33" s="28">
        <f t="shared" si="34"/>
        <v>-3.7534444727091E-3</v>
      </c>
      <c r="Q33" s="28">
        <f t="shared" si="35"/>
        <v>1.108927033201465E-4</v>
      </c>
      <c r="R33" s="28">
        <f t="shared" si="36"/>
        <v>2.950050284948039E-2</v>
      </c>
      <c r="S33" s="28">
        <f t="shared" si="37"/>
        <v>-1.5469938372463209E-3</v>
      </c>
      <c r="V33" t="str">
        <f>$A$11</f>
        <v>Davidson</v>
      </c>
      <c r="W33" s="28" t="e">
        <f t="shared" si="32"/>
        <v>#DIV/0!</v>
      </c>
      <c r="X33" s="28" t="e">
        <f t="shared" si="32"/>
        <v>#DIV/0!</v>
      </c>
      <c r="Y33" s="28" t="e">
        <f t="shared" si="32"/>
        <v>#DIV/0!</v>
      </c>
      <c r="Z33" s="28" t="e">
        <f t="shared" si="32"/>
        <v>#DIV/0!</v>
      </c>
    </row>
    <row r="34" spans="1:26" x14ac:dyDescent="0.25">
      <c r="A34" t="str">
        <f>$A$12</f>
        <v>Maury</v>
      </c>
      <c r="B34" s="46">
        <f t="shared" si="27"/>
        <v>4.9747087932916073E-3</v>
      </c>
      <c r="C34" s="46">
        <f t="shared" si="27"/>
        <v>1.8040573724465853E-2</v>
      </c>
      <c r="D34" s="46">
        <f t="shared" si="27"/>
        <v>0</v>
      </c>
      <c r="E34" s="46">
        <f t="shared" si="27"/>
        <v>7.3086997033010512E-3</v>
      </c>
      <c r="F34" s="28"/>
      <c r="G34" s="28"/>
      <c r="H34" t="str">
        <f>$A$12</f>
        <v>Maury</v>
      </c>
      <c r="I34" s="46">
        <f t="shared" si="28"/>
        <v>4.106339210416388E-3</v>
      </c>
      <c r="J34" s="46">
        <f t="shared" si="28"/>
        <v>1.9244145606306516E-2</v>
      </c>
      <c r="K34" s="46">
        <f t="shared" si="28"/>
        <v>2.7257004496713939E-2</v>
      </c>
      <c r="L34" s="46">
        <f t="shared" si="28"/>
        <v>7.6008313409279141E-3</v>
      </c>
      <c r="O34" t="str">
        <f>$A$12</f>
        <v>Maury</v>
      </c>
      <c r="P34" s="46">
        <f t="shared" si="33"/>
        <v>-8.6836958287521936E-4</v>
      </c>
      <c r="Q34" s="46">
        <f t="shared" si="29"/>
        <v>1.2035718818406635E-3</v>
      </c>
      <c r="R34" s="46">
        <f t="shared" si="30"/>
        <v>2.7257004496713939E-2</v>
      </c>
      <c r="S34" s="46">
        <f t="shared" si="31"/>
        <v>2.9213163762686293E-4</v>
      </c>
      <c r="V34" t="str">
        <f>$A$12</f>
        <v>Maury</v>
      </c>
      <c r="W34" s="46" t="e">
        <f t="shared" si="32"/>
        <v>#DIV/0!</v>
      </c>
      <c r="X34" s="46" t="e">
        <f t="shared" si="32"/>
        <v>#DIV/0!</v>
      </c>
      <c r="Y34" s="46" t="e">
        <f t="shared" si="32"/>
        <v>#DIV/0!</v>
      </c>
      <c r="Z34" s="46" t="e">
        <f t="shared" si="32"/>
        <v>#DIV/0!</v>
      </c>
    </row>
    <row r="35" spans="1:26" x14ac:dyDescent="0.25">
      <c r="A35" s="18" t="str">
        <f>$A$13</f>
        <v>Wilson</v>
      </c>
      <c r="B35" s="46">
        <f t="shared" si="27"/>
        <v>2.8556769754359609E-3</v>
      </c>
      <c r="C35" s="46">
        <f t="shared" si="27"/>
        <v>2.1436290935135617E-3</v>
      </c>
      <c r="D35" s="46">
        <f t="shared" si="27"/>
        <v>0</v>
      </c>
      <c r="E35" s="46">
        <f t="shared" si="27"/>
        <v>2.6322209606343882E-3</v>
      </c>
      <c r="F35" s="28"/>
      <c r="G35" s="28"/>
      <c r="H35" s="18" t="str">
        <f>$A$13</f>
        <v>Wilson</v>
      </c>
      <c r="I35" s="46">
        <f t="shared" si="28"/>
        <v>4.6469794633488236E-3</v>
      </c>
      <c r="J35" s="46">
        <f t="shared" si="28"/>
        <v>1.9481423994587389E-2</v>
      </c>
      <c r="K35" s="46">
        <f t="shared" si="28"/>
        <v>3.0424213910452441E-2</v>
      </c>
      <c r="L35" s="46">
        <f t="shared" si="28"/>
        <v>8.6283899231673015E-3</v>
      </c>
      <c r="O35" s="20" t="str">
        <f>$A$13</f>
        <v>Wilson</v>
      </c>
      <c r="P35" s="29">
        <f t="shared" si="33"/>
        <v>1.7913024879128627E-3</v>
      </c>
      <c r="Q35" s="29">
        <f t="shared" si="29"/>
        <v>1.7337794901073827E-2</v>
      </c>
      <c r="R35" s="29">
        <f t="shared" si="30"/>
        <v>3.0424213910452441E-2</v>
      </c>
      <c r="S35" s="29">
        <f t="shared" si="31"/>
        <v>5.9961689625329133E-3</v>
      </c>
      <c r="V35" s="18" t="str">
        <f>$A$13</f>
        <v>Wilson</v>
      </c>
      <c r="W35" s="20" t="e">
        <f t="shared" si="32"/>
        <v>#DIV/0!</v>
      </c>
      <c r="X35" s="20" t="e">
        <f t="shared" si="32"/>
        <v>#DIV/0!</v>
      </c>
      <c r="Y35" s="20" t="e">
        <f t="shared" si="32"/>
        <v>#DIV/0!</v>
      </c>
      <c r="Z35" s="20" t="e">
        <f t="shared" si="32"/>
        <v>#DIV/0!</v>
      </c>
    </row>
    <row r="36" spans="1:26" ht="15.75" thickBot="1" x14ac:dyDescent="0.3">
      <c r="A36" s="22" t="s">
        <v>4</v>
      </c>
      <c r="B36" s="30">
        <f t="shared" si="27"/>
        <v>3.8304931267377261E-3</v>
      </c>
      <c r="C36" s="30">
        <f t="shared" si="27"/>
        <v>1.1343343271774987E-2</v>
      </c>
      <c r="D36" s="30">
        <f t="shared" si="27"/>
        <v>1.0870569639889369E-2</v>
      </c>
      <c r="E36" s="30">
        <f t="shared" si="27"/>
        <v>5.4191362465659428E-3</v>
      </c>
      <c r="F36" s="7"/>
      <c r="H36" s="22" t="s">
        <v>4</v>
      </c>
      <c r="I36" s="30">
        <f t="shared" si="28"/>
        <v>4.3683062464322034E-3</v>
      </c>
      <c r="J36" s="30">
        <f t="shared" si="28"/>
        <v>1.9134889156896144E-2</v>
      </c>
      <c r="K36" s="30">
        <f t="shared" si="28"/>
        <v>2.9124106600306721E-2</v>
      </c>
      <c r="L36" s="30">
        <f t="shared" si="28"/>
        <v>8.2222551865900953E-3</v>
      </c>
      <c r="O36" s="22" t="s">
        <v>4</v>
      </c>
      <c r="P36" s="30">
        <f t="shared" si="33"/>
        <v>5.3781311969447725E-4</v>
      </c>
      <c r="Q36" s="30">
        <f t="shared" si="29"/>
        <v>7.7915458851211573E-3</v>
      </c>
      <c r="R36" s="30">
        <f t="shared" si="30"/>
        <v>1.8253536960417351E-2</v>
      </c>
      <c r="S36" s="30">
        <f t="shared" si="31"/>
        <v>2.8031189400241525E-3</v>
      </c>
      <c r="V36" s="22" t="s">
        <v>4</v>
      </c>
      <c r="W36" s="22" t="e">
        <f>W14/W25</f>
        <v>#DIV/0!</v>
      </c>
      <c r="X36" s="22" t="e">
        <f t="shared" ref="X36:Z36" si="38">X14/X25</f>
        <v>#DIV/0!</v>
      </c>
      <c r="Y36" s="22" t="e">
        <f t="shared" si="38"/>
        <v>#DIV/0!</v>
      </c>
      <c r="Z36" s="22" t="e">
        <f t="shared" si="38"/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3"/>
  <sheetViews>
    <sheetView tabSelected="1" workbookViewId="0">
      <selection activeCell="B17" sqref="B17"/>
    </sheetView>
  </sheetViews>
  <sheetFormatPr defaultRowHeight="15" x14ac:dyDescent="0.25"/>
  <sheetData>
    <row r="1" spans="1:2" x14ac:dyDescent="0.25">
      <c r="A1" s="11" t="s">
        <v>229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47</v>
      </c>
    </row>
    <row r="14" spans="1:2" x14ac:dyDescent="0.25">
      <c r="A14">
        <v>2</v>
      </c>
      <c r="B14" t="s">
        <v>230</v>
      </c>
    </row>
    <row r="15" spans="1:2" x14ac:dyDescent="0.25">
      <c r="B15" t="s">
        <v>48</v>
      </c>
    </row>
    <row r="17" spans="1:4" x14ac:dyDescent="0.25">
      <c r="A17">
        <v>3</v>
      </c>
      <c r="B17" t="s">
        <v>49</v>
      </c>
    </row>
    <row r="18" spans="1:4" x14ac:dyDescent="0.25">
      <c r="B18" t="s">
        <v>231</v>
      </c>
    </row>
    <row r="19" spans="1:4" x14ac:dyDescent="0.25">
      <c r="B19" t="s">
        <v>9</v>
      </c>
      <c r="C19" t="s">
        <v>55</v>
      </c>
      <c r="D19" t="s">
        <v>20</v>
      </c>
    </row>
    <row r="20" spans="1:4" x14ac:dyDescent="0.25">
      <c r="B20" t="s">
        <v>10</v>
      </c>
      <c r="C20" t="s">
        <v>56</v>
      </c>
      <c r="D20" t="s">
        <v>21</v>
      </c>
    </row>
    <row r="21" spans="1:4" x14ac:dyDescent="0.25">
      <c r="B21" t="s">
        <v>11</v>
      </c>
      <c r="C21" t="s">
        <v>57</v>
      </c>
      <c r="D21" t="s">
        <v>22</v>
      </c>
    </row>
    <row r="23" spans="1:4" x14ac:dyDescent="0.25">
      <c r="A23" s="11" t="s">
        <v>50</v>
      </c>
    </row>
    <row r="24" spans="1:4" x14ac:dyDescent="0.25">
      <c r="A24">
        <v>1</v>
      </c>
      <c r="B24" t="s">
        <v>51</v>
      </c>
    </row>
    <row r="26" spans="1:4" x14ac:dyDescent="0.25">
      <c r="A26">
        <v>2</v>
      </c>
      <c r="B26" t="s">
        <v>52</v>
      </c>
    </row>
    <row r="28" spans="1:4" x14ac:dyDescent="0.25">
      <c r="A28" s="11" t="s">
        <v>53</v>
      </c>
    </row>
    <row r="29" spans="1:4" x14ac:dyDescent="0.25">
      <c r="A29">
        <v>1</v>
      </c>
      <c r="B29" t="s">
        <v>54</v>
      </c>
    </row>
    <row r="31" spans="1:4" x14ac:dyDescent="0.25">
      <c r="A31" s="11">
        <v>2</v>
      </c>
      <c r="B31" t="s">
        <v>232</v>
      </c>
    </row>
    <row r="33" spans="1:2" x14ac:dyDescent="0.25">
      <c r="A33">
        <v>3</v>
      </c>
      <c r="B33" t="s">
        <v>58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workbookViewId="0">
      <selection activeCell="E9" sqref="E9"/>
    </sheetView>
  </sheetViews>
  <sheetFormatPr defaultRowHeight="15" x14ac:dyDescent="0.25"/>
  <cols>
    <col min="4" max="4" width="12.7109375" bestFit="1" customWidth="1" collapsed="1"/>
    <col min="5" max="5" width="94.7109375" style="53" bestFit="1" customWidth="1" collapsed="1"/>
  </cols>
  <sheetData>
    <row r="1" spans="1:5" x14ac:dyDescent="0.25">
      <c r="A1" t="s">
        <v>150</v>
      </c>
      <c r="B1" t="s">
        <v>151</v>
      </c>
      <c r="E1" s="53" t="s">
        <v>152</v>
      </c>
    </row>
    <row r="2" spans="1:5" x14ac:dyDescent="0.25">
      <c r="A2">
        <v>1</v>
      </c>
      <c r="B2" t="s">
        <v>75</v>
      </c>
      <c r="C2" t="s">
        <v>76</v>
      </c>
      <c r="D2">
        <v>1</v>
      </c>
      <c r="E2" s="53" t="s">
        <v>158</v>
      </c>
    </row>
    <row r="3" spans="1:5" x14ac:dyDescent="0.25">
      <c r="A3">
        <v>2</v>
      </c>
      <c r="B3" t="s">
        <v>77</v>
      </c>
      <c r="C3" t="s">
        <v>76</v>
      </c>
      <c r="D3">
        <v>0.7</v>
      </c>
      <c r="E3" s="53" t="s">
        <v>154</v>
      </c>
    </row>
    <row r="4" spans="1:5" x14ac:dyDescent="0.25">
      <c r="A4">
        <v>3</v>
      </c>
      <c r="B4" t="s">
        <v>78</v>
      </c>
      <c r="C4" t="s">
        <v>76</v>
      </c>
      <c r="D4">
        <v>1</v>
      </c>
      <c r="E4" s="53" t="s">
        <v>153</v>
      </c>
    </row>
    <row r="5" spans="1:5" x14ac:dyDescent="0.25">
      <c r="A5">
        <v>4</v>
      </c>
      <c r="B5" t="s">
        <v>79</v>
      </c>
      <c r="C5" t="s">
        <v>76</v>
      </c>
      <c r="D5">
        <v>0.5</v>
      </c>
      <c r="E5" s="53" t="s">
        <v>159</v>
      </c>
    </row>
    <row r="6" spans="1:5" x14ac:dyDescent="0.25">
      <c r="A6">
        <v>5</v>
      </c>
      <c r="B6" t="s">
        <v>80</v>
      </c>
      <c r="C6" t="s">
        <v>76</v>
      </c>
      <c r="D6">
        <v>0</v>
      </c>
      <c r="E6" s="53" t="s">
        <v>155</v>
      </c>
    </row>
    <row r="7" spans="1:5" x14ac:dyDescent="0.25">
      <c r="A7">
        <v>6</v>
      </c>
      <c r="B7" t="s">
        <v>81</v>
      </c>
      <c r="C7" t="s">
        <v>76</v>
      </c>
      <c r="D7">
        <v>-4.1530549264700003</v>
      </c>
      <c r="E7" s="53" t="s">
        <v>160</v>
      </c>
    </row>
    <row r="8" spans="1:5" x14ac:dyDescent="0.25">
      <c r="A8">
        <v>7</v>
      </c>
      <c r="B8" t="s">
        <v>82</v>
      </c>
      <c r="C8" t="s">
        <v>76</v>
      </c>
      <c r="D8">
        <v>-0.64354735537100005</v>
      </c>
      <c r="E8" s="53" t="s">
        <v>161</v>
      </c>
    </row>
    <row r="9" spans="1:5" x14ac:dyDescent="0.25">
      <c r="A9">
        <v>8</v>
      </c>
      <c r="B9" t="s">
        <v>83</v>
      </c>
      <c r="C9" t="s">
        <v>76</v>
      </c>
      <c r="D9">
        <v>-0.732358148145</v>
      </c>
      <c r="E9" s="53" t="s">
        <v>162</v>
      </c>
    </row>
    <row r="10" spans="1:5" x14ac:dyDescent="0.25">
      <c r="A10">
        <v>9</v>
      </c>
      <c r="B10" t="s">
        <v>84</v>
      </c>
      <c r="C10" t="s">
        <v>76</v>
      </c>
      <c r="D10">
        <v>-2.6263992007099999</v>
      </c>
      <c r="E10" s="53" t="s">
        <v>163</v>
      </c>
    </row>
    <row r="11" spans="1:5" x14ac:dyDescent="0.25">
      <c r="A11">
        <v>10</v>
      </c>
      <c r="B11" t="s">
        <v>85</v>
      </c>
      <c r="C11" t="s">
        <v>76</v>
      </c>
      <c r="D11">
        <v>-3.4653118418800002</v>
      </c>
      <c r="E11" s="53" t="s">
        <v>164</v>
      </c>
    </row>
    <row r="12" spans="1:5" x14ac:dyDescent="0.25">
      <c r="A12">
        <v>11</v>
      </c>
      <c r="B12" t="s">
        <v>86</v>
      </c>
      <c r="C12" t="s">
        <v>76</v>
      </c>
      <c r="D12">
        <v>0.125312575308</v>
      </c>
      <c r="E12" s="53" t="s">
        <v>165</v>
      </c>
    </row>
    <row r="13" spans="1:5" x14ac:dyDescent="0.25">
      <c r="A13">
        <v>12</v>
      </c>
      <c r="B13" t="s">
        <v>87</v>
      </c>
      <c r="C13" t="s">
        <v>76</v>
      </c>
      <c r="D13">
        <v>0.24676672684299999</v>
      </c>
      <c r="E13" s="53" t="s">
        <v>166</v>
      </c>
    </row>
    <row r="14" spans="1:5" x14ac:dyDescent="0.25">
      <c r="A14">
        <v>13</v>
      </c>
      <c r="B14" t="s">
        <v>88</v>
      </c>
      <c r="C14" t="s">
        <v>76</v>
      </c>
      <c r="D14">
        <v>0.40796503771199999</v>
      </c>
      <c r="E14" s="53" t="s">
        <v>167</v>
      </c>
    </row>
    <row r="15" spans="1:5" x14ac:dyDescent="0.25">
      <c r="A15">
        <v>14</v>
      </c>
      <c r="B15" t="s">
        <v>89</v>
      </c>
      <c r="C15" t="s">
        <v>76</v>
      </c>
      <c r="D15">
        <v>-0.50293651045300003</v>
      </c>
      <c r="E15" s="53" t="s">
        <v>168</v>
      </c>
    </row>
    <row r="16" spans="1:5" x14ac:dyDescent="0.25">
      <c r="A16">
        <v>15</v>
      </c>
      <c r="B16" t="s">
        <v>90</v>
      </c>
      <c r="C16" t="s">
        <v>76</v>
      </c>
      <c r="D16">
        <v>-1.61322160644</v>
      </c>
      <c r="E16" s="53" t="s">
        <v>169</v>
      </c>
    </row>
    <row r="17" spans="1:5" x14ac:dyDescent="0.25">
      <c r="A17">
        <v>16</v>
      </c>
      <c r="B17" t="s">
        <v>91</v>
      </c>
      <c r="C17" t="s">
        <v>76</v>
      </c>
      <c r="D17">
        <v>0.130749629122</v>
      </c>
      <c r="E17" s="53" t="s">
        <v>170</v>
      </c>
    </row>
    <row r="18" spans="1:5" x14ac:dyDescent="0.25">
      <c r="A18">
        <v>17</v>
      </c>
      <c r="B18" t="s">
        <v>92</v>
      </c>
      <c r="C18" t="s">
        <v>76</v>
      </c>
      <c r="D18" s="52">
        <v>8.4077289836199998E-2</v>
      </c>
      <c r="E18" s="53" t="s">
        <v>171</v>
      </c>
    </row>
    <row r="19" spans="1:5" x14ac:dyDescent="0.25">
      <c r="A19">
        <v>18</v>
      </c>
      <c r="B19" t="s">
        <v>93</v>
      </c>
      <c r="C19" t="s">
        <v>76</v>
      </c>
      <c r="D19">
        <v>0</v>
      </c>
      <c r="E19" s="53" t="s">
        <v>172</v>
      </c>
    </row>
    <row r="20" spans="1:5" x14ac:dyDescent="0.25">
      <c r="A20">
        <v>19</v>
      </c>
      <c r="B20" t="s">
        <v>94</v>
      </c>
      <c r="C20" t="s">
        <v>76</v>
      </c>
      <c r="D20">
        <v>0.106386053639</v>
      </c>
      <c r="E20" s="53" t="s">
        <v>156</v>
      </c>
    </row>
    <row r="21" spans="1:5" x14ac:dyDescent="0.25">
      <c r="A21">
        <v>20</v>
      </c>
      <c r="B21" t="s">
        <v>95</v>
      </c>
      <c r="C21" t="s">
        <v>76</v>
      </c>
      <c r="D21">
        <v>0.88087687792799996</v>
      </c>
      <c r="E21" s="53" t="s">
        <v>157</v>
      </c>
    </row>
    <row r="22" spans="1:5" x14ac:dyDescent="0.25">
      <c r="A22">
        <v>21</v>
      </c>
      <c r="B22" t="s">
        <v>96</v>
      </c>
      <c r="C22" t="s">
        <v>76</v>
      </c>
      <c r="D22">
        <v>-0.16458061134300001</v>
      </c>
      <c r="E22" s="53" t="s">
        <v>209</v>
      </c>
    </row>
    <row r="23" spans="1:5" x14ac:dyDescent="0.25">
      <c r="A23">
        <v>22</v>
      </c>
      <c r="B23" t="s">
        <v>97</v>
      </c>
      <c r="C23" t="s">
        <v>76</v>
      </c>
      <c r="D23">
        <v>0.154182014038</v>
      </c>
      <c r="E23" s="53" t="s">
        <v>210</v>
      </c>
    </row>
    <row r="24" spans="1:5" x14ac:dyDescent="0.25">
      <c r="A24">
        <v>23</v>
      </c>
      <c r="B24" t="s">
        <v>98</v>
      </c>
      <c r="C24" t="s">
        <v>76</v>
      </c>
      <c r="D24" s="52">
        <v>4.79448884421E-2</v>
      </c>
      <c r="E24" s="53" t="s">
        <v>211</v>
      </c>
    </row>
    <row r="25" spans="1:5" x14ac:dyDescent="0.25">
      <c r="A25">
        <v>24</v>
      </c>
      <c r="B25" t="s">
        <v>99</v>
      </c>
      <c r="C25" t="s">
        <v>76</v>
      </c>
      <c r="D25" s="52">
        <v>6.4843520043099998E-2</v>
      </c>
      <c r="E25" s="53" t="s">
        <v>212</v>
      </c>
    </row>
    <row r="26" spans="1:5" x14ac:dyDescent="0.25">
      <c r="A26">
        <v>25</v>
      </c>
      <c r="B26" t="s">
        <v>100</v>
      </c>
      <c r="C26" t="s">
        <v>76</v>
      </c>
      <c r="D26">
        <v>0.15272053169499999</v>
      </c>
      <c r="E26" s="53" t="s">
        <v>213</v>
      </c>
    </row>
    <row r="27" spans="1:5" x14ac:dyDescent="0.25">
      <c r="A27">
        <v>26</v>
      </c>
      <c r="B27" t="s">
        <v>101</v>
      </c>
      <c r="C27" t="s">
        <v>76</v>
      </c>
      <c r="D27" s="52">
        <v>7.2028590735099998E-2</v>
      </c>
      <c r="E27" s="53" t="s">
        <v>214</v>
      </c>
    </row>
    <row r="28" spans="1:5" x14ac:dyDescent="0.25">
      <c r="A28">
        <v>27</v>
      </c>
      <c r="B28" t="s">
        <v>102</v>
      </c>
      <c r="C28" t="s">
        <v>76</v>
      </c>
      <c r="D28">
        <v>-0.27934224041799999</v>
      </c>
      <c r="E28" s="53" t="s">
        <v>218</v>
      </c>
    </row>
    <row r="29" spans="1:5" x14ac:dyDescent="0.25">
      <c r="A29">
        <v>28</v>
      </c>
      <c r="B29" t="s">
        <v>103</v>
      </c>
      <c r="C29" t="s">
        <v>76</v>
      </c>
      <c r="D29" s="52">
        <v>4.3626229225700003E-2</v>
      </c>
      <c r="E29" s="53" t="s">
        <v>173</v>
      </c>
    </row>
    <row r="30" spans="1:5" x14ac:dyDescent="0.25">
      <c r="A30">
        <v>29</v>
      </c>
      <c r="B30" t="s">
        <v>104</v>
      </c>
      <c r="C30" t="s">
        <v>76</v>
      </c>
      <c r="D30" s="52">
        <v>-8.7886819411100006E-2</v>
      </c>
      <c r="E30" s="53" t="s">
        <v>193</v>
      </c>
    </row>
    <row r="31" spans="1:5" x14ac:dyDescent="0.25">
      <c r="A31">
        <v>30</v>
      </c>
      <c r="B31" t="s">
        <v>105</v>
      </c>
      <c r="C31" t="s">
        <v>76</v>
      </c>
      <c r="D31" s="52">
        <v>-4.2894941477000001E-2</v>
      </c>
      <c r="E31" s="53" t="s">
        <v>194</v>
      </c>
    </row>
    <row r="32" spans="1:5" x14ac:dyDescent="0.25">
      <c r="A32">
        <v>31</v>
      </c>
      <c r="B32" t="s">
        <v>106</v>
      </c>
      <c r="C32" t="s">
        <v>76</v>
      </c>
      <c r="D32">
        <v>-0.13045579928000001</v>
      </c>
      <c r="E32" s="53" t="s">
        <v>195</v>
      </c>
    </row>
    <row r="33" spans="1:5" x14ac:dyDescent="0.25">
      <c r="A33">
        <v>32</v>
      </c>
      <c r="B33" t="s">
        <v>107</v>
      </c>
      <c r="C33" t="s">
        <v>76</v>
      </c>
      <c r="D33">
        <v>0.18945088644899999</v>
      </c>
      <c r="E33" s="53" t="s">
        <v>196</v>
      </c>
    </row>
    <row r="34" spans="1:5" x14ac:dyDescent="0.25">
      <c r="A34">
        <v>33</v>
      </c>
      <c r="B34" t="s">
        <v>108</v>
      </c>
      <c r="C34" t="s">
        <v>76</v>
      </c>
      <c r="D34">
        <v>-0.179523169776</v>
      </c>
      <c r="E34" s="53" t="s">
        <v>197</v>
      </c>
    </row>
    <row r="35" spans="1:5" x14ac:dyDescent="0.25">
      <c r="A35">
        <v>34</v>
      </c>
      <c r="B35" t="s">
        <v>109</v>
      </c>
      <c r="C35" t="s">
        <v>76</v>
      </c>
      <c r="D35">
        <v>0.17233347539499999</v>
      </c>
      <c r="E35" s="53" t="s">
        <v>198</v>
      </c>
    </row>
    <row r="36" spans="1:5" x14ac:dyDescent="0.25">
      <c r="A36">
        <v>35</v>
      </c>
      <c r="B36" t="s">
        <v>110</v>
      </c>
      <c r="C36" t="s">
        <v>76</v>
      </c>
      <c r="D36">
        <v>-0.194698386872</v>
      </c>
      <c r="E36" s="53" t="s">
        <v>199</v>
      </c>
    </row>
    <row r="37" spans="1:5" x14ac:dyDescent="0.25">
      <c r="A37">
        <v>36</v>
      </c>
      <c r="B37" t="s">
        <v>111</v>
      </c>
      <c r="C37" t="s">
        <v>76</v>
      </c>
      <c r="D37">
        <v>0.38785322122799998</v>
      </c>
      <c r="E37" s="53" t="s">
        <v>200</v>
      </c>
    </row>
    <row r="38" spans="1:5" x14ac:dyDescent="0.25">
      <c r="A38">
        <v>41</v>
      </c>
      <c r="B38" t="s">
        <v>112</v>
      </c>
      <c r="C38" t="s">
        <v>113</v>
      </c>
      <c r="D38">
        <v>-2.9745332256100001</v>
      </c>
      <c r="E38" s="53" t="s">
        <v>233</v>
      </c>
    </row>
    <row r="39" spans="1:5" x14ac:dyDescent="0.25">
      <c r="A39">
        <v>42</v>
      </c>
      <c r="B39" t="s">
        <v>114</v>
      </c>
      <c r="C39" t="s">
        <v>113</v>
      </c>
      <c r="D39">
        <v>5.0782043482699999</v>
      </c>
      <c r="E39" s="53" t="s">
        <v>219</v>
      </c>
    </row>
    <row r="40" spans="1:5" x14ac:dyDescent="0.25">
      <c r="A40">
        <v>43</v>
      </c>
      <c r="B40" t="s">
        <v>115</v>
      </c>
      <c r="C40" t="s">
        <v>113</v>
      </c>
      <c r="D40">
        <v>-3.0391245094800001</v>
      </c>
      <c r="E40" s="53" t="s">
        <v>220</v>
      </c>
    </row>
    <row r="41" spans="1:5" x14ac:dyDescent="0.25">
      <c r="A41">
        <v>44</v>
      </c>
      <c r="B41" t="s">
        <v>116</v>
      </c>
      <c r="C41" t="s">
        <v>113</v>
      </c>
      <c r="D41">
        <v>-2.3320263859599999</v>
      </c>
      <c r="E41" s="53" t="s">
        <v>221</v>
      </c>
    </row>
    <row r="42" spans="1:5" x14ac:dyDescent="0.25">
      <c r="A42">
        <v>50</v>
      </c>
      <c r="B42" t="s">
        <v>117</v>
      </c>
      <c r="C42" t="s">
        <v>76</v>
      </c>
      <c r="D42">
        <v>0.33566647407</v>
      </c>
    </row>
    <row r="43" spans="1:5" x14ac:dyDescent="0.25">
      <c r="A43">
        <v>51</v>
      </c>
      <c r="B43" t="s">
        <v>118</v>
      </c>
      <c r="C43" t="s">
        <v>76</v>
      </c>
      <c r="D43">
        <v>-0.78911507665199998</v>
      </c>
      <c r="E43" s="53" t="s">
        <v>174</v>
      </c>
    </row>
    <row r="44" spans="1:5" x14ac:dyDescent="0.25">
      <c r="A44">
        <v>52</v>
      </c>
      <c r="B44" t="s">
        <v>119</v>
      </c>
      <c r="C44" t="s">
        <v>76</v>
      </c>
      <c r="D44">
        <v>0.56564055394500001</v>
      </c>
      <c r="E44" s="53" t="s">
        <v>175</v>
      </c>
    </row>
    <row r="45" spans="1:5" x14ac:dyDescent="0.25">
      <c r="A45">
        <v>53</v>
      </c>
      <c r="B45" t="s">
        <v>120</v>
      </c>
      <c r="C45" t="s">
        <v>76</v>
      </c>
      <c r="D45">
        <v>-1.85416848242</v>
      </c>
      <c r="E45" s="53" t="s">
        <v>176</v>
      </c>
    </row>
    <row r="46" spans="1:5" x14ac:dyDescent="0.25">
      <c r="A46">
        <v>54</v>
      </c>
      <c r="B46" t="s">
        <v>121</v>
      </c>
      <c r="C46" t="s">
        <v>76</v>
      </c>
      <c r="D46">
        <v>0</v>
      </c>
      <c r="E46" s="53" t="s">
        <v>177</v>
      </c>
    </row>
    <row r="47" spans="1:5" x14ac:dyDescent="0.25">
      <c r="A47">
        <v>55</v>
      </c>
      <c r="B47" t="s">
        <v>122</v>
      </c>
      <c r="C47" t="s">
        <v>76</v>
      </c>
      <c r="D47">
        <v>-1.1156286956100001</v>
      </c>
      <c r="E47" s="53" t="s">
        <v>178</v>
      </c>
    </row>
    <row r="48" spans="1:5" x14ac:dyDescent="0.25">
      <c r="A48">
        <v>56</v>
      </c>
      <c r="B48" t="s">
        <v>123</v>
      </c>
      <c r="C48" t="s">
        <v>76</v>
      </c>
      <c r="D48">
        <v>-0.81792869186600003</v>
      </c>
      <c r="E48" s="53" t="s">
        <v>179</v>
      </c>
    </row>
    <row r="49" spans="1:5" x14ac:dyDescent="0.25">
      <c r="A49">
        <v>57</v>
      </c>
      <c r="B49" t="s">
        <v>124</v>
      </c>
      <c r="C49" t="s">
        <v>76</v>
      </c>
      <c r="D49">
        <v>-1.04729487823</v>
      </c>
      <c r="E49" s="53" t="s">
        <v>180</v>
      </c>
    </row>
    <row r="50" spans="1:5" x14ac:dyDescent="0.25">
      <c r="A50">
        <v>58</v>
      </c>
      <c r="B50" t="s">
        <v>125</v>
      </c>
      <c r="C50" t="s">
        <v>76</v>
      </c>
      <c r="D50">
        <v>-2.0228517391</v>
      </c>
      <c r="E50" s="53" t="s">
        <v>181</v>
      </c>
    </row>
    <row r="51" spans="1:5" x14ac:dyDescent="0.25">
      <c r="A51">
        <v>59</v>
      </c>
      <c r="B51" t="s">
        <v>126</v>
      </c>
      <c r="C51" t="s">
        <v>76</v>
      </c>
      <c r="D51">
        <v>-1.2945321250099999</v>
      </c>
      <c r="E51" s="53" t="s">
        <v>182</v>
      </c>
    </row>
    <row r="52" spans="1:5" x14ac:dyDescent="0.25">
      <c r="A52">
        <v>60</v>
      </c>
      <c r="B52" t="s">
        <v>127</v>
      </c>
      <c r="C52" t="s">
        <v>76</v>
      </c>
      <c r="D52">
        <v>-0.66178028021599999</v>
      </c>
      <c r="E52" s="53" t="s">
        <v>201</v>
      </c>
    </row>
    <row r="53" spans="1:5" x14ac:dyDescent="0.25">
      <c r="A53">
        <v>61</v>
      </c>
      <c r="B53" t="s">
        <v>128</v>
      </c>
      <c r="C53" t="s">
        <v>76</v>
      </c>
      <c r="D53">
        <v>-0.55504741134900004</v>
      </c>
      <c r="E53" s="53" t="s">
        <v>202</v>
      </c>
    </row>
    <row r="54" spans="1:5" x14ac:dyDescent="0.25">
      <c r="A54">
        <v>62</v>
      </c>
      <c r="B54" t="s">
        <v>129</v>
      </c>
      <c r="C54" t="s">
        <v>76</v>
      </c>
      <c r="D54">
        <v>-1.7449233454799999</v>
      </c>
      <c r="E54" s="53" t="s">
        <v>203</v>
      </c>
    </row>
    <row r="55" spans="1:5" x14ac:dyDescent="0.25">
      <c r="A55">
        <v>63</v>
      </c>
      <c r="B55" t="s">
        <v>130</v>
      </c>
      <c r="C55" t="s">
        <v>76</v>
      </c>
      <c r="D55">
        <v>1.1995398853399999</v>
      </c>
      <c r="E55" s="53" t="s">
        <v>204</v>
      </c>
    </row>
    <row r="56" spans="1:5" x14ac:dyDescent="0.25">
      <c r="A56">
        <v>64</v>
      </c>
      <c r="B56" t="s">
        <v>131</v>
      </c>
      <c r="C56" t="s">
        <v>76</v>
      </c>
      <c r="D56">
        <v>0.19542046398099999</v>
      </c>
      <c r="E56" s="53" t="s">
        <v>205</v>
      </c>
    </row>
    <row r="57" spans="1:5" x14ac:dyDescent="0.25">
      <c r="A57">
        <v>65</v>
      </c>
      <c r="B57" t="s">
        <v>132</v>
      </c>
      <c r="C57" t="s">
        <v>76</v>
      </c>
      <c r="D57">
        <v>-0.90594458676599998</v>
      </c>
      <c r="E57" s="53" t="s">
        <v>206</v>
      </c>
    </row>
    <row r="58" spans="1:5" x14ac:dyDescent="0.25">
      <c r="A58">
        <v>66</v>
      </c>
      <c r="B58" t="s">
        <v>133</v>
      </c>
      <c r="C58" t="s">
        <v>76</v>
      </c>
      <c r="D58">
        <v>-2.05104130438</v>
      </c>
      <c r="E58" s="53" t="s">
        <v>183</v>
      </c>
    </row>
    <row r="59" spans="1:5" x14ac:dyDescent="0.25">
      <c r="A59">
        <v>67</v>
      </c>
      <c r="B59" t="s">
        <v>134</v>
      </c>
      <c r="C59" t="s">
        <v>76</v>
      </c>
      <c r="D59">
        <v>-2.2381608455899999</v>
      </c>
      <c r="E59" s="53" t="s">
        <v>184</v>
      </c>
    </row>
    <row r="60" spans="1:5" x14ac:dyDescent="0.25">
      <c r="A60">
        <v>68</v>
      </c>
      <c r="B60" t="s">
        <v>135</v>
      </c>
      <c r="C60" t="s">
        <v>76</v>
      </c>
      <c r="D60">
        <v>-0.40946320528300001</v>
      </c>
      <c r="E60" s="53" t="s">
        <v>185</v>
      </c>
    </row>
    <row r="61" spans="1:5" x14ac:dyDescent="0.25">
      <c r="A61">
        <v>69</v>
      </c>
      <c r="B61" t="s">
        <v>136</v>
      </c>
      <c r="C61" t="s">
        <v>76</v>
      </c>
      <c r="D61">
        <v>-1.1700902309500001</v>
      </c>
      <c r="E61" s="53" t="s">
        <v>186</v>
      </c>
    </row>
    <row r="62" spans="1:5" x14ac:dyDescent="0.25">
      <c r="A62">
        <v>70</v>
      </c>
      <c r="B62" t="s">
        <v>137</v>
      </c>
      <c r="C62" t="s">
        <v>76</v>
      </c>
      <c r="D62">
        <v>1.8412445021999999</v>
      </c>
      <c r="E62" s="53" t="s">
        <v>187</v>
      </c>
    </row>
    <row r="63" spans="1:5" x14ac:dyDescent="0.25">
      <c r="A63">
        <v>71</v>
      </c>
      <c r="B63" t="s">
        <v>138</v>
      </c>
      <c r="C63" t="s">
        <v>76</v>
      </c>
      <c r="D63">
        <v>0.71619685052500004</v>
      </c>
      <c r="E63" s="53" t="s">
        <v>188</v>
      </c>
    </row>
    <row r="64" spans="1:5" x14ac:dyDescent="0.25">
      <c r="A64">
        <v>72</v>
      </c>
      <c r="B64" t="s">
        <v>139</v>
      </c>
      <c r="C64" t="s">
        <v>76</v>
      </c>
      <c r="D64">
        <v>-0.101060642888</v>
      </c>
      <c r="E64" s="53" t="s">
        <v>189</v>
      </c>
    </row>
    <row r="65" spans="1:5" x14ac:dyDescent="0.25">
      <c r="A65">
        <v>73</v>
      </c>
      <c r="B65" t="s">
        <v>140</v>
      </c>
      <c r="C65" t="s">
        <v>76</v>
      </c>
      <c r="D65">
        <v>-0.34132571646100002</v>
      </c>
      <c r="E65" s="53" t="s">
        <v>190</v>
      </c>
    </row>
    <row r="66" spans="1:5" x14ac:dyDescent="0.25">
      <c r="A66">
        <v>74</v>
      </c>
      <c r="B66" t="s">
        <v>141</v>
      </c>
      <c r="C66" t="s">
        <v>76</v>
      </c>
      <c r="D66">
        <v>1.0486549950899999</v>
      </c>
      <c r="E66" s="53" t="s">
        <v>207</v>
      </c>
    </row>
    <row r="67" spans="1:5" x14ac:dyDescent="0.25">
      <c r="A67">
        <v>75</v>
      </c>
      <c r="B67" t="s">
        <v>142</v>
      </c>
      <c r="C67" t="s">
        <v>76</v>
      </c>
      <c r="D67">
        <v>-30</v>
      </c>
      <c r="E67" s="53" t="s">
        <v>215</v>
      </c>
    </row>
    <row r="68" spans="1:5" x14ac:dyDescent="0.25">
      <c r="A68">
        <v>76</v>
      </c>
      <c r="B68" t="s">
        <v>143</v>
      </c>
      <c r="C68" t="s">
        <v>76</v>
      </c>
      <c r="D68">
        <v>0.91468797064200003</v>
      </c>
      <c r="E68" s="53" t="s">
        <v>216</v>
      </c>
    </row>
    <row r="69" spans="1:5" x14ac:dyDescent="0.25">
      <c r="A69">
        <v>77</v>
      </c>
      <c r="B69" t="s">
        <v>144</v>
      </c>
      <c r="C69" t="s">
        <v>76</v>
      </c>
      <c r="D69">
        <v>-1.1830909132</v>
      </c>
      <c r="E69" s="53" t="s">
        <v>208</v>
      </c>
    </row>
    <row r="70" spans="1:5" x14ac:dyDescent="0.25">
      <c r="A70">
        <v>78</v>
      </c>
      <c r="B70" t="s">
        <v>145</v>
      </c>
      <c r="C70" t="s">
        <v>76</v>
      </c>
      <c r="D70">
        <v>1.4576625009499999</v>
      </c>
      <c r="E70" s="53" t="s">
        <v>217</v>
      </c>
    </row>
    <row r="71" spans="1:5" x14ac:dyDescent="0.25">
      <c r="A71">
        <v>79</v>
      </c>
      <c r="B71" t="s">
        <v>146</v>
      </c>
      <c r="C71" t="s">
        <v>76</v>
      </c>
      <c r="D71">
        <v>-1.62636517084</v>
      </c>
      <c r="E71" s="53" t="s">
        <v>191</v>
      </c>
    </row>
    <row r="72" spans="1:5" x14ac:dyDescent="0.25">
      <c r="A72">
        <v>80</v>
      </c>
      <c r="B72" t="s">
        <v>147</v>
      </c>
      <c r="C72" t="s">
        <v>76</v>
      </c>
      <c r="D72">
        <v>0</v>
      </c>
      <c r="E72" s="53" t="s">
        <v>192</v>
      </c>
    </row>
    <row r="73" spans="1:5" x14ac:dyDescent="0.25">
      <c r="A73">
        <v>90</v>
      </c>
      <c r="B73" t="s">
        <v>148</v>
      </c>
      <c r="C73" t="s">
        <v>76</v>
      </c>
      <c r="D73">
        <v>0</v>
      </c>
      <c r="E73" s="53">
        <v>100</v>
      </c>
    </row>
    <row r="74" spans="1:5" x14ac:dyDescent="0.25">
      <c r="A74">
        <v>98</v>
      </c>
      <c r="B74" t="s">
        <v>149</v>
      </c>
      <c r="C74" t="s">
        <v>113</v>
      </c>
      <c r="D74">
        <v>0.196146395147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349"/>
  <sheetViews>
    <sheetView workbookViewId="0">
      <selection activeCell="A8" sqref="A8:K348"/>
    </sheetView>
  </sheetViews>
  <sheetFormatPr defaultRowHeight="15" x14ac:dyDescent="0.25"/>
  <sheetData>
    <row r="1" spans="1:10" x14ac:dyDescent="0.25">
      <c r="A1" s="55" t="s">
        <v>256</v>
      </c>
      <c r="H1" t="s">
        <v>263</v>
      </c>
    </row>
    <row r="2" spans="1:10" x14ac:dyDescent="0.25">
      <c r="A2">
        <v>1</v>
      </c>
      <c r="B2" t="s">
        <v>257</v>
      </c>
    </row>
    <row r="3" spans="1:10" x14ac:dyDescent="0.25">
      <c r="A3">
        <v>2</v>
      </c>
      <c r="B3" t="s">
        <v>258</v>
      </c>
    </row>
    <row r="4" spans="1:10" x14ac:dyDescent="0.25">
      <c r="A4">
        <v>3</v>
      </c>
      <c r="B4" t="s">
        <v>260</v>
      </c>
    </row>
    <row r="5" spans="1:10" x14ac:dyDescent="0.25">
      <c r="A5">
        <v>4</v>
      </c>
      <c r="B5" t="s">
        <v>259</v>
      </c>
    </row>
    <row r="8" spans="1:10" x14ac:dyDescent="0.25">
      <c r="A8" t="s">
        <v>248</v>
      </c>
      <c r="B8" t="s">
        <v>249</v>
      </c>
      <c r="C8" t="s">
        <v>268</v>
      </c>
      <c r="D8" t="s">
        <v>269</v>
      </c>
      <c r="E8" t="s">
        <v>270</v>
      </c>
      <c r="F8" t="s">
        <v>271</v>
      </c>
      <c r="G8" t="s">
        <v>272</v>
      </c>
      <c r="H8" t="s">
        <v>273</v>
      </c>
    </row>
    <row r="9" spans="1:10" x14ac:dyDescent="0.25">
      <c r="A9" t="s">
        <v>250</v>
      </c>
      <c r="B9" t="s">
        <v>251</v>
      </c>
      <c r="C9" t="s">
        <v>252</v>
      </c>
      <c r="D9" t="s">
        <v>253</v>
      </c>
      <c r="E9">
        <v>4</v>
      </c>
      <c r="F9" s="58">
        <v>0.67841435185185184</v>
      </c>
      <c r="G9" t="s">
        <v>254</v>
      </c>
      <c r="H9">
        <v>5</v>
      </c>
      <c r="I9" t="s">
        <v>274</v>
      </c>
      <c r="J9">
        <v>12</v>
      </c>
    </row>
    <row r="10" spans="1:10" x14ac:dyDescent="0.25">
      <c r="A10" t="s">
        <v>255</v>
      </c>
    </row>
    <row r="11" spans="1:10" x14ac:dyDescent="0.25">
      <c r="B11">
        <v>1</v>
      </c>
      <c r="C11" t="s">
        <v>75</v>
      </c>
      <c r="D11" t="s">
        <v>76</v>
      </c>
      <c r="E11">
        <v>1</v>
      </c>
      <c r="F11">
        <v>0</v>
      </c>
    </row>
    <row r="12" spans="1:10" x14ac:dyDescent="0.25">
      <c r="B12">
        <v>2</v>
      </c>
      <c r="C12" t="s">
        <v>77</v>
      </c>
      <c r="D12" t="s">
        <v>76</v>
      </c>
      <c r="E12">
        <v>0.7</v>
      </c>
      <c r="F12">
        <v>0</v>
      </c>
    </row>
    <row r="13" spans="1:10" x14ac:dyDescent="0.25">
      <c r="B13">
        <v>3</v>
      </c>
      <c r="C13" t="s">
        <v>78</v>
      </c>
      <c r="D13" t="s">
        <v>76</v>
      </c>
      <c r="E13">
        <v>1</v>
      </c>
      <c r="F13">
        <v>0</v>
      </c>
    </row>
    <row r="14" spans="1:10" x14ac:dyDescent="0.25">
      <c r="B14">
        <v>4</v>
      </c>
      <c r="C14" t="s">
        <v>79</v>
      </c>
      <c r="D14" t="s">
        <v>76</v>
      </c>
      <c r="E14">
        <v>0.5</v>
      </c>
      <c r="F14">
        <v>0</v>
      </c>
    </row>
    <row r="15" spans="1:10" x14ac:dyDescent="0.25">
      <c r="B15">
        <v>5</v>
      </c>
      <c r="C15" t="s">
        <v>80</v>
      </c>
      <c r="D15" t="s">
        <v>76</v>
      </c>
      <c r="E15">
        <v>0</v>
      </c>
      <c r="F15">
        <v>0</v>
      </c>
    </row>
    <row r="16" spans="1:10" x14ac:dyDescent="0.25">
      <c r="B16">
        <v>6</v>
      </c>
      <c r="C16" t="s">
        <v>81</v>
      </c>
      <c r="D16" t="s">
        <v>76</v>
      </c>
      <c r="E16">
        <v>-4.1530549264700003</v>
      </c>
      <c r="F16">
        <v>0</v>
      </c>
    </row>
    <row r="17" spans="2:6" x14ac:dyDescent="0.25">
      <c r="B17">
        <v>7</v>
      </c>
      <c r="C17" t="s">
        <v>82</v>
      </c>
      <c r="D17" t="s">
        <v>76</v>
      </c>
      <c r="E17">
        <v>-1.68452606998</v>
      </c>
      <c r="F17">
        <v>0</v>
      </c>
    </row>
    <row r="18" spans="2:6" x14ac:dyDescent="0.25">
      <c r="B18">
        <v>8</v>
      </c>
      <c r="C18" t="s">
        <v>83</v>
      </c>
      <c r="D18" t="s">
        <v>76</v>
      </c>
      <c r="E18">
        <v>0.13162300973999999</v>
      </c>
      <c r="F18">
        <v>0</v>
      </c>
    </row>
    <row r="19" spans="2:6" x14ac:dyDescent="0.25">
      <c r="B19">
        <v>9</v>
      </c>
      <c r="C19" t="s">
        <v>84</v>
      </c>
      <c r="D19" t="s">
        <v>76</v>
      </c>
      <c r="E19">
        <v>-3.1050660724200001</v>
      </c>
      <c r="F19">
        <v>0</v>
      </c>
    </row>
    <row r="20" spans="2:6" x14ac:dyDescent="0.25">
      <c r="B20">
        <v>10</v>
      </c>
      <c r="C20" t="s">
        <v>85</v>
      </c>
      <c r="D20" t="s">
        <v>76</v>
      </c>
      <c r="E20">
        <v>-3.4653118418800002</v>
      </c>
      <c r="F20">
        <v>0</v>
      </c>
    </row>
    <row r="21" spans="2:6" x14ac:dyDescent="0.25">
      <c r="B21">
        <v>11</v>
      </c>
      <c r="C21" t="s">
        <v>86</v>
      </c>
      <c r="D21" t="s">
        <v>76</v>
      </c>
      <c r="E21">
        <v>-0.22974879339000001</v>
      </c>
      <c r="F21">
        <v>0</v>
      </c>
    </row>
    <row r="22" spans="2:6" x14ac:dyDescent="0.25">
      <c r="B22">
        <v>12</v>
      </c>
      <c r="C22" t="s">
        <v>87</v>
      </c>
      <c r="D22" t="s">
        <v>76</v>
      </c>
      <c r="E22">
        <v>-0.93478838755000004</v>
      </c>
      <c r="F22">
        <v>0</v>
      </c>
    </row>
    <row r="23" spans="2:6" x14ac:dyDescent="0.25">
      <c r="B23">
        <v>13</v>
      </c>
      <c r="C23" t="s">
        <v>88</v>
      </c>
      <c r="D23" t="s">
        <v>76</v>
      </c>
      <c r="E23">
        <v>0.40796503771199999</v>
      </c>
      <c r="F23">
        <v>0</v>
      </c>
    </row>
    <row r="24" spans="2:6" x14ac:dyDescent="0.25">
      <c r="B24">
        <v>14</v>
      </c>
      <c r="C24" t="s">
        <v>89</v>
      </c>
      <c r="D24" t="s">
        <v>76</v>
      </c>
      <c r="E24">
        <v>-0.50293651045300003</v>
      </c>
      <c r="F24">
        <v>0</v>
      </c>
    </row>
    <row r="25" spans="2:6" x14ac:dyDescent="0.25">
      <c r="B25">
        <v>15</v>
      </c>
      <c r="C25" t="s">
        <v>90</v>
      </c>
      <c r="D25" t="s">
        <v>76</v>
      </c>
      <c r="E25">
        <v>-1.61322160644</v>
      </c>
      <c r="F25">
        <v>0</v>
      </c>
    </row>
    <row r="26" spans="2:6" x14ac:dyDescent="0.25">
      <c r="B26">
        <v>16</v>
      </c>
      <c r="C26" t="s">
        <v>91</v>
      </c>
      <c r="D26" t="s">
        <v>76</v>
      </c>
      <c r="E26">
        <v>0.130749629122</v>
      </c>
      <c r="F26">
        <v>0</v>
      </c>
    </row>
    <row r="27" spans="2:6" x14ac:dyDescent="0.25">
      <c r="B27">
        <v>17</v>
      </c>
      <c r="C27" t="s">
        <v>92</v>
      </c>
      <c r="D27" t="s">
        <v>76</v>
      </c>
      <c r="E27" s="52">
        <v>8.4077289836199998E-2</v>
      </c>
      <c r="F27">
        <v>0</v>
      </c>
    </row>
    <row r="28" spans="2:6" x14ac:dyDescent="0.25">
      <c r="B28">
        <v>18</v>
      </c>
      <c r="C28" t="s">
        <v>93</v>
      </c>
      <c r="D28" t="s">
        <v>76</v>
      </c>
      <c r="E28">
        <v>0</v>
      </c>
      <c r="F28">
        <v>0</v>
      </c>
    </row>
    <row r="29" spans="2:6" x14ac:dyDescent="0.25">
      <c r="B29">
        <v>19</v>
      </c>
      <c r="C29" t="s">
        <v>94</v>
      </c>
      <c r="D29" t="s">
        <v>76</v>
      </c>
      <c r="E29">
        <v>0.106386053639</v>
      </c>
      <c r="F29">
        <v>0</v>
      </c>
    </row>
    <row r="30" spans="2:6" x14ac:dyDescent="0.25">
      <c r="B30">
        <v>20</v>
      </c>
      <c r="C30" t="s">
        <v>95</v>
      </c>
      <c r="D30" t="s">
        <v>76</v>
      </c>
      <c r="E30">
        <v>0.88087687792799996</v>
      </c>
      <c r="F30">
        <v>0</v>
      </c>
    </row>
    <row r="31" spans="2:6" x14ac:dyDescent="0.25">
      <c r="B31">
        <v>21</v>
      </c>
      <c r="C31" t="s">
        <v>96</v>
      </c>
      <c r="D31" t="s">
        <v>76</v>
      </c>
      <c r="E31">
        <v>-0.16458061134300001</v>
      </c>
      <c r="F31">
        <v>0</v>
      </c>
    </row>
    <row r="32" spans="2:6" x14ac:dyDescent="0.25">
      <c r="B32">
        <v>22</v>
      </c>
      <c r="C32" t="s">
        <v>97</v>
      </c>
      <c r="D32" t="s">
        <v>76</v>
      </c>
      <c r="E32">
        <v>0.154182014038</v>
      </c>
      <c r="F32">
        <v>0</v>
      </c>
    </row>
    <row r="33" spans="2:6" x14ac:dyDescent="0.25">
      <c r="B33">
        <v>23</v>
      </c>
      <c r="C33" t="s">
        <v>98</v>
      </c>
      <c r="D33" t="s">
        <v>76</v>
      </c>
      <c r="E33" s="52">
        <v>4.79448884421E-2</v>
      </c>
      <c r="F33">
        <v>0</v>
      </c>
    </row>
    <row r="34" spans="2:6" x14ac:dyDescent="0.25">
      <c r="B34">
        <v>24</v>
      </c>
      <c r="C34" t="s">
        <v>99</v>
      </c>
      <c r="D34" t="s">
        <v>76</v>
      </c>
      <c r="E34" s="52">
        <v>6.4843520043099998E-2</v>
      </c>
      <c r="F34">
        <v>0</v>
      </c>
    </row>
    <row r="35" spans="2:6" x14ac:dyDescent="0.25">
      <c r="B35">
        <v>25</v>
      </c>
      <c r="C35" t="s">
        <v>100</v>
      </c>
      <c r="D35" t="s">
        <v>76</v>
      </c>
      <c r="E35">
        <v>0.15272053169499999</v>
      </c>
      <c r="F35">
        <v>0</v>
      </c>
    </row>
    <row r="36" spans="2:6" x14ac:dyDescent="0.25">
      <c r="B36">
        <v>26</v>
      </c>
      <c r="C36" t="s">
        <v>101</v>
      </c>
      <c r="D36" t="s">
        <v>76</v>
      </c>
      <c r="E36" s="52">
        <v>7.2028590735099998E-2</v>
      </c>
      <c r="F36">
        <v>0</v>
      </c>
    </row>
    <row r="37" spans="2:6" x14ac:dyDescent="0.25">
      <c r="B37">
        <v>27</v>
      </c>
      <c r="C37" t="s">
        <v>102</v>
      </c>
      <c r="D37" t="s">
        <v>76</v>
      </c>
      <c r="E37">
        <v>-0.27934224041799999</v>
      </c>
      <c r="F37">
        <v>0</v>
      </c>
    </row>
    <row r="38" spans="2:6" x14ac:dyDescent="0.25">
      <c r="B38">
        <v>28</v>
      </c>
      <c r="C38" t="s">
        <v>103</v>
      </c>
      <c r="D38" t="s">
        <v>76</v>
      </c>
      <c r="E38" s="52">
        <v>4.3626229225700003E-2</v>
      </c>
      <c r="F38">
        <v>0</v>
      </c>
    </row>
    <row r="39" spans="2:6" x14ac:dyDescent="0.25">
      <c r="B39">
        <v>29</v>
      </c>
      <c r="C39" t="s">
        <v>104</v>
      </c>
      <c r="D39" t="s">
        <v>76</v>
      </c>
      <c r="E39" s="52">
        <v>-8.7886819411100006E-2</v>
      </c>
      <c r="F39">
        <v>0</v>
      </c>
    </row>
    <row r="40" spans="2:6" x14ac:dyDescent="0.25">
      <c r="B40">
        <v>30</v>
      </c>
      <c r="C40" t="s">
        <v>105</v>
      </c>
      <c r="D40" t="s">
        <v>76</v>
      </c>
      <c r="E40" s="52">
        <v>-4.2894941477000001E-2</v>
      </c>
      <c r="F40">
        <v>0</v>
      </c>
    </row>
    <row r="41" spans="2:6" x14ac:dyDescent="0.25">
      <c r="B41">
        <v>31</v>
      </c>
      <c r="C41" t="s">
        <v>106</v>
      </c>
      <c r="D41" t="s">
        <v>76</v>
      </c>
      <c r="E41">
        <v>-0.13045579928000001</v>
      </c>
      <c r="F41">
        <v>0</v>
      </c>
    </row>
    <row r="42" spans="2:6" x14ac:dyDescent="0.25">
      <c r="B42">
        <v>32</v>
      </c>
      <c r="C42" t="s">
        <v>107</v>
      </c>
      <c r="D42" t="s">
        <v>76</v>
      </c>
      <c r="E42">
        <v>0.18945088644899999</v>
      </c>
      <c r="F42">
        <v>0</v>
      </c>
    </row>
    <row r="43" spans="2:6" x14ac:dyDescent="0.25">
      <c r="B43">
        <v>33</v>
      </c>
      <c r="C43" t="s">
        <v>108</v>
      </c>
      <c r="D43" t="s">
        <v>76</v>
      </c>
      <c r="E43">
        <v>-0.179523169776</v>
      </c>
      <c r="F43">
        <v>0</v>
      </c>
    </row>
    <row r="44" spans="2:6" x14ac:dyDescent="0.25">
      <c r="B44">
        <v>34</v>
      </c>
      <c r="C44" t="s">
        <v>109</v>
      </c>
      <c r="D44" t="s">
        <v>76</v>
      </c>
      <c r="E44">
        <v>0.17233347539499999</v>
      </c>
      <c r="F44">
        <v>0</v>
      </c>
    </row>
    <row r="45" spans="2:6" x14ac:dyDescent="0.25">
      <c r="B45">
        <v>35</v>
      </c>
      <c r="C45" t="s">
        <v>110</v>
      </c>
      <c r="D45" t="s">
        <v>76</v>
      </c>
      <c r="E45">
        <v>-0.194698386872</v>
      </c>
      <c r="F45">
        <v>0</v>
      </c>
    </row>
    <row r="46" spans="2:6" x14ac:dyDescent="0.25">
      <c r="B46">
        <v>36</v>
      </c>
      <c r="C46" t="s">
        <v>111</v>
      </c>
      <c r="D46" t="s">
        <v>76</v>
      </c>
      <c r="E46">
        <v>0.38785322122799998</v>
      </c>
      <c r="F46">
        <v>0</v>
      </c>
    </row>
    <row r="47" spans="2:6" x14ac:dyDescent="0.25">
      <c r="B47">
        <v>41</v>
      </c>
      <c r="C47" t="s">
        <v>112</v>
      </c>
      <c r="D47" t="s">
        <v>113</v>
      </c>
      <c r="E47">
        <v>-3.8051604915000001</v>
      </c>
      <c r="F47">
        <v>0</v>
      </c>
    </row>
    <row r="48" spans="2:6" x14ac:dyDescent="0.25">
      <c r="B48">
        <v>42</v>
      </c>
      <c r="C48" t="s">
        <v>114</v>
      </c>
      <c r="D48" t="s">
        <v>113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115</v>
      </c>
      <c r="D49" t="s">
        <v>113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116</v>
      </c>
      <c r="D50" t="s">
        <v>113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117</v>
      </c>
      <c r="D51" t="s">
        <v>76</v>
      </c>
      <c r="E51">
        <v>0.33566647407</v>
      </c>
      <c r="F51">
        <v>0</v>
      </c>
    </row>
    <row r="52" spans="2:6" x14ac:dyDescent="0.25">
      <c r="B52">
        <v>51</v>
      </c>
      <c r="C52" t="s">
        <v>118</v>
      </c>
      <c r="D52" t="s">
        <v>76</v>
      </c>
      <c r="E52">
        <v>-0.78911507665199998</v>
      </c>
      <c r="F52">
        <v>0</v>
      </c>
    </row>
    <row r="53" spans="2:6" x14ac:dyDescent="0.25">
      <c r="B53">
        <v>52</v>
      </c>
      <c r="C53" t="s">
        <v>119</v>
      </c>
      <c r="D53" t="s">
        <v>76</v>
      </c>
      <c r="E53">
        <v>0.56564055394500001</v>
      </c>
      <c r="F53">
        <v>0</v>
      </c>
    </row>
    <row r="54" spans="2:6" x14ac:dyDescent="0.25">
      <c r="B54">
        <v>53</v>
      </c>
      <c r="C54" t="s">
        <v>120</v>
      </c>
      <c r="D54" t="s">
        <v>76</v>
      </c>
      <c r="E54">
        <v>-1.85416848242</v>
      </c>
      <c r="F54">
        <v>0</v>
      </c>
    </row>
    <row r="55" spans="2:6" x14ac:dyDescent="0.25">
      <c r="B55">
        <v>54</v>
      </c>
      <c r="C55" t="s">
        <v>121</v>
      </c>
      <c r="D55" t="s">
        <v>76</v>
      </c>
      <c r="E55">
        <v>0</v>
      </c>
      <c r="F55">
        <v>0</v>
      </c>
    </row>
    <row r="56" spans="2:6" x14ac:dyDescent="0.25">
      <c r="B56">
        <v>55</v>
      </c>
      <c r="C56" t="s">
        <v>122</v>
      </c>
      <c r="D56" t="s">
        <v>76</v>
      </c>
      <c r="E56">
        <v>-1.1156286956100001</v>
      </c>
      <c r="F56">
        <v>0</v>
      </c>
    </row>
    <row r="57" spans="2:6" x14ac:dyDescent="0.25">
      <c r="B57">
        <v>56</v>
      </c>
      <c r="C57" t="s">
        <v>123</v>
      </c>
      <c r="D57" t="s">
        <v>76</v>
      </c>
      <c r="E57">
        <v>-0.81792869186600003</v>
      </c>
      <c r="F57">
        <v>0</v>
      </c>
    </row>
    <row r="58" spans="2:6" x14ac:dyDescent="0.25">
      <c r="B58">
        <v>57</v>
      </c>
      <c r="C58" t="s">
        <v>124</v>
      </c>
      <c r="D58" t="s">
        <v>76</v>
      </c>
      <c r="E58">
        <v>-1.04729487823</v>
      </c>
      <c r="F58">
        <v>0</v>
      </c>
    </row>
    <row r="59" spans="2:6" x14ac:dyDescent="0.25">
      <c r="B59">
        <v>58</v>
      </c>
      <c r="C59" t="s">
        <v>125</v>
      </c>
      <c r="D59" t="s">
        <v>76</v>
      </c>
      <c r="E59">
        <v>-2.0228517391</v>
      </c>
      <c r="F59">
        <v>0</v>
      </c>
    </row>
    <row r="60" spans="2:6" x14ac:dyDescent="0.25">
      <c r="B60">
        <v>59</v>
      </c>
      <c r="C60" t="s">
        <v>126</v>
      </c>
      <c r="D60" t="s">
        <v>76</v>
      </c>
      <c r="E60">
        <v>-1.2945321250099999</v>
      </c>
      <c r="F60">
        <v>0</v>
      </c>
    </row>
    <row r="61" spans="2:6" x14ac:dyDescent="0.25">
      <c r="B61">
        <v>60</v>
      </c>
      <c r="C61" t="s">
        <v>127</v>
      </c>
      <c r="D61" t="s">
        <v>76</v>
      </c>
      <c r="E61">
        <v>-0.66178028021599999</v>
      </c>
      <c r="F61">
        <v>0</v>
      </c>
    </row>
    <row r="62" spans="2:6" x14ac:dyDescent="0.25">
      <c r="B62">
        <v>61</v>
      </c>
      <c r="C62" t="s">
        <v>128</v>
      </c>
      <c r="D62" t="s">
        <v>76</v>
      </c>
      <c r="E62">
        <v>-0.55504741134900004</v>
      </c>
      <c r="F62">
        <v>0</v>
      </c>
    </row>
    <row r="63" spans="2:6" x14ac:dyDescent="0.25">
      <c r="B63">
        <v>62</v>
      </c>
      <c r="C63" t="s">
        <v>129</v>
      </c>
      <c r="D63" t="s">
        <v>76</v>
      </c>
      <c r="E63">
        <v>-1.7449233454799999</v>
      </c>
      <c r="F63">
        <v>0</v>
      </c>
    </row>
    <row r="64" spans="2:6" x14ac:dyDescent="0.25">
      <c r="B64">
        <v>63</v>
      </c>
      <c r="C64" t="s">
        <v>130</v>
      </c>
      <c r="D64" t="s">
        <v>76</v>
      </c>
      <c r="E64">
        <v>1.1995398853399999</v>
      </c>
      <c r="F64">
        <v>0</v>
      </c>
    </row>
    <row r="65" spans="2:6" x14ac:dyDescent="0.25">
      <c r="B65">
        <v>64</v>
      </c>
      <c r="C65" t="s">
        <v>131</v>
      </c>
      <c r="D65" t="s">
        <v>76</v>
      </c>
      <c r="E65">
        <v>0.19542046398099999</v>
      </c>
      <c r="F65">
        <v>0</v>
      </c>
    </row>
    <row r="66" spans="2:6" x14ac:dyDescent="0.25">
      <c r="B66">
        <v>65</v>
      </c>
      <c r="C66" t="s">
        <v>132</v>
      </c>
      <c r="D66" t="s">
        <v>76</v>
      </c>
      <c r="E66">
        <v>-0.90594458676599998</v>
      </c>
      <c r="F66">
        <v>0</v>
      </c>
    </row>
    <row r="67" spans="2:6" x14ac:dyDescent="0.25">
      <c r="B67">
        <v>66</v>
      </c>
      <c r="C67" t="s">
        <v>133</v>
      </c>
      <c r="D67" t="s">
        <v>76</v>
      </c>
      <c r="E67">
        <v>-2.05104130438</v>
      </c>
      <c r="F67">
        <v>0</v>
      </c>
    </row>
    <row r="68" spans="2:6" x14ac:dyDescent="0.25">
      <c r="B68">
        <v>67</v>
      </c>
      <c r="C68" t="s">
        <v>134</v>
      </c>
      <c r="D68" t="s">
        <v>76</v>
      </c>
      <c r="E68">
        <v>-2.2381608455899999</v>
      </c>
      <c r="F68">
        <v>0</v>
      </c>
    </row>
    <row r="69" spans="2:6" x14ac:dyDescent="0.25">
      <c r="B69">
        <v>68</v>
      </c>
      <c r="C69" t="s">
        <v>135</v>
      </c>
      <c r="D69" t="s">
        <v>76</v>
      </c>
      <c r="E69">
        <v>-0.40946320528300001</v>
      </c>
      <c r="F69">
        <v>0</v>
      </c>
    </row>
    <row r="70" spans="2:6" x14ac:dyDescent="0.25">
      <c r="B70">
        <v>69</v>
      </c>
      <c r="C70" t="s">
        <v>136</v>
      </c>
      <c r="D70" t="s">
        <v>76</v>
      </c>
      <c r="E70">
        <v>-1.1700902309500001</v>
      </c>
      <c r="F70">
        <v>0</v>
      </c>
    </row>
    <row r="71" spans="2:6" x14ac:dyDescent="0.25">
      <c r="B71">
        <v>70</v>
      </c>
      <c r="C71" t="s">
        <v>137</v>
      </c>
      <c r="D71" t="s">
        <v>76</v>
      </c>
      <c r="E71">
        <v>1.8412445021999999</v>
      </c>
      <c r="F71">
        <v>0</v>
      </c>
    </row>
    <row r="72" spans="2:6" x14ac:dyDescent="0.25">
      <c r="B72">
        <v>71</v>
      </c>
      <c r="C72" t="s">
        <v>138</v>
      </c>
      <c r="D72" t="s">
        <v>76</v>
      </c>
      <c r="E72">
        <v>0.71619685052500004</v>
      </c>
      <c r="F72">
        <v>0</v>
      </c>
    </row>
    <row r="73" spans="2:6" x14ac:dyDescent="0.25">
      <c r="B73">
        <v>72</v>
      </c>
      <c r="C73" t="s">
        <v>139</v>
      </c>
      <c r="D73" t="s">
        <v>76</v>
      </c>
      <c r="E73">
        <v>-0.101060642888</v>
      </c>
      <c r="F73">
        <v>0</v>
      </c>
    </row>
    <row r="74" spans="2:6" x14ac:dyDescent="0.25">
      <c r="B74">
        <v>73</v>
      </c>
      <c r="C74" t="s">
        <v>140</v>
      </c>
      <c r="D74" t="s">
        <v>76</v>
      </c>
      <c r="E74">
        <v>-0.34132571646100002</v>
      </c>
      <c r="F74">
        <v>0</v>
      </c>
    </row>
    <row r="75" spans="2:6" x14ac:dyDescent="0.25">
      <c r="B75">
        <v>74</v>
      </c>
      <c r="C75" t="s">
        <v>141</v>
      </c>
      <c r="D75" t="s">
        <v>76</v>
      </c>
      <c r="E75">
        <v>1.0486549950899999</v>
      </c>
      <c r="F75">
        <v>0</v>
      </c>
    </row>
    <row r="76" spans="2:6" x14ac:dyDescent="0.25">
      <c r="B76">
        <v>75</v>
      </c>
      <c r="C76" t="s">
        <v>142</v>
      </c>
      <c r="D76" t="s">
        <v>76</v>
      </c>
      <c r="E76">
        <v>-30</v>
      </c>
      <c r="F76">
        <v>0</v>
      </c>
    </row>
    <row r="77" spans="2:6" x14ac:dyDescent="0.25">
      <c r="B77">
        <v>76</v>
      </c>
      <c r="C77" t="s">
        <v>143</v>
      </c>
      <c r="D77" t="s">
        <v>76</v>
      </c>
      <c r="E77">
        <v>0.91468797064200003</v>
      </c>
      <c r="F77">
        <v>0</v>
      </c>
    </row>
    <row r="78" spans="2:6" x14ac:dyDescent="0.25">
      <c r="B78">
        <v>77</v>
      </c>
      <c r="C78" t="s">
        <v>144</v>
      </c>
      <c r="D78" t="s">
        <v>76</v>
      </c>
      <c r="E78">
        <v>-1.1830909132</v>
      </c>
      <c r="F78">
        <v>0</v>
      </c>
    </row>
    <row r="79" spans="2:6" x14ac:dyDescent="0.25">
      <c r="B79">
        <v>78</v>
      </c>
      <c r="C79" t="s">
        <v>145</v>
      </c>
      <c r="D79" t="s">
        <v>76</v>
      </c>
      <c r="E79">
        <v>1.4576625009499999</v>
      </c>
      <c r="F79">
        <v>0</v>
      </c>
    </row>
    <row r="80" spans="2:6" x14ac:dyDescent="0.25">
      <c r="B80">
        <v>79</v>
      </c>
      <c r="C80" t="s">
        <v>146</v>
      </c>
      <c r="D80" t="s">
        <v>76</v>
      </c>
      <c r="E80">
        <v>-1.62636517084</v>
      </c>
      <c r="F80">
        <v>0</v>
      </c>
    </row>
    <row r="81" spans="2:11" x14ac:dyDescent="0.25">
      <c r="B81">
        <v>80</v>
      </c>
      <c r="C81" t="s">
        <v>147</v>
      </c>
      <c r="D81" t="s">
        <v>76</v>
      </c>
      <c r="E81">
        <v>0</v>
      </c>
      <c r="F81">
        <v>0</v>
      </c>
    </row>
    <row r="82" spans="2:11" x14ac:dyDescent="0.25">
      <c r="B82">
        <v>98</v>
      </c>
      <c r="C82" t="s">
        <v>149</v>
      </c>
      <c r="D82" t="s">
        <v>113</v>
      </c>
      <c r="E82">
        <v>0.196143079927</v>
      </c>
      <c r="F82" s="52">
        <v>5.2787786365599998E-2</v>
      </c>
    </row>
    <row r="83" spans="2:11" x14ac:dyDescent="0.25">
      <c r="B83">
        <v>-1</v>
      </c>
      <c r="F83" s="52"/>
    </row>
    <row r="84" spans="2:11" x14ac:dyDescent="0.25">
      <c r="B84">
        <v>4094</v>
      </c>
      <c r="C84" s="52">
        <v>-7858.2822859199996</v>
      </c>
      <c r="D84" s="52">
        <v>-18684.837435699999</v>
      </c>
      <c r="E84" s="52">
        <v>-15176.5511826</v>
      </c>
    </row>
    <row r="85" spans="2:11" x14ac:dyDescent="0.25">
      <c r="B85">
        <v>4</v>
      </c>
      <c r="C85" s="52" t="s">
        <v>275</v>
      </c>
      <c r="D85" s="52" t="s">
        <v>254</v>
      </c>
      <c r="E85" s="52">
        <v>5</v>
      </c>
      <c r="F85" t="s">
        <v>274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W75"/>
  <sheetViews>
    <sheetView workbookViewId="0">
      <selection activeCell="P8" sqref="P8"/>
    </sheetView>
  </sheetViews>
  <sheetFormatPr defaultRowHeight="15" x14ac:dyDescent="0.25"/>
  <cols>
    <col min="1" max="1" width="12.7109375" bestFit="1" customWidth="1" collapsed="1"/>
    <col min="2" max="2" width="9.5703125" bestFit="1" customWidth="1" collapsed="1"/>
    <col min="7" max="7" width="12.7109375" bestFit="1" customWidth="1" collapsed="1"/>
    <col min="13" max="13" width="10.85546875" bestFit="1" customWidth="1" collapsed="1"/>
    <col min="14" max="14" width="16.42578125" bestFit="1" customWidth="1" collapsed="1"/>
    <col min="15" max="15" width="9.42578125" bestFit="1" customWidth="1" collapsed="1"/>
    <col min="16" max="16" width="5.5703125" customWidth="1" collapsed="1"/>
    <col min="17" max="17" width="16.42578125" bestFit="1" customWidth="1" collapsed="1"/>
    <col min="21" max="21" width="10" bestFit="1" customWidth="1" collapsed="1"/>
    <col min="22" max="23" width="17.5703125" bestFit="1" customWidth="1" collapsed="1"/>
  </cols>
  <sheetData>
    <row r="1" spans="1:23" x14ac:dyDescent="0.25">
      <c r="M1" s="55" t="s">
        <v>256</v>
      </c>
      <c r="T1" s="55" t="s">
        <v>246</v>
      </c>
    </row>
    <row r="2" spans="1:23" x14ac:dyDescent="0.25">
      <c r="M2">
        <v>1</v>
      </c>
      <c r="N2" t="s">
        <v>264</v>
      </c>
      <c r="V2" s="66" t="s">
        <v>261</v>
      </c>
      <c r="W2" s="66" t="s">
        <v>262</v>
      </c>
    </row>
    <row r="3" spans="1:23" x14ac:dyDescent="0.25">
      <c r="M3">
        <v>2</v>
      </c>
      <c r="N3" t="s">
        <v>265</v>
      </c>
      <c r="T3">
        <v>1</v>
      </c>
      <c r="U3" t="s">
        <v>75</v>
      </c>
      <c r="V3" s="60">
        <f>WorkLocationCoefficients!E11</f>
        <v>1</v>
      </c>
      <c r="W3" s="65">
        <f>V3</f>
        <v>1</v>
      </c>
    </row>
    <row r="4" spans="1:23" x14ac:dyDescent="0.25">
      <c r="C4" s="11" t="s">
        <v>222</v>
      </c>
      <c r="I4" s="11" t="s">
        <v>239</v>
      </c>
      <c r="T4">
        <v>2</v>
      </c>
      <c r="U4" t="s">
        <v>77</v>
      </c>
      <c r="V4" s="60">
        <f>WorkLocationCoefficients!E12</f>
        <v>0.7</v>
      </c>
      <c r="W4" s="65">
        <f t="shared" ref="W4:W67" si="0">V4</f>
        <v>0.7</v>
      </c>
    </row>
    <row r="5" spans="1:23" ht="15.75" thickBot="1" x14ac:dyDescent="0.3">
      <c r="A5" s="55" t="s">
        <v>240</v>
      </c>
      <c r="M5" s="81"/>
      <c r="N5" s="49"/>
      <c r="O5" s="49"/>
      <c r="P5" s="49"/>
      <c r="Q5" s="49"/>
      <c r="T5">
        <v>3</v>
      </c>
      <c r="U5" t="s">
        <v>78</v>
      </c>
      <c r="V5" s="60">
        <f>WorkLocationCoefficients!E13</f>
        <v>1</v>
      </c>
      <c r="W5" s="65">
        <f t="shared" si="0"/>
        <v>1</v>
      </c>
    </row>
    <row r="6" spans="1:23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238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238</v>
      </c>
      <c r="M6" s="82"/>
      <c r="N6" s="82"/>
      <c r="O6" s="82"/>
      <c r="P6" s="82"/>
      <c r="Q6" s="82"/>
      <c r="T6">
        <v>4</v>
      </c>
      <c r="U6" t="s">
        <v>79</v>
      </c>
      <c r="V6" s="60">
        <f>WorkLocationCoefficients!E14</f>
        <v>0.5</v>
      </c>
      <c r="W6" s="65">
        <f t="shared" si="0"/>
        <v>0.5</v>
      </c>
    </row>
    <row r="7" spans="1:23" x14ac:dyDescent="0.25">
      <c r="A7" s="54" t="s">
        <v>234</v>
      </c>
      <c r="B7" s="12">
        <f>SUM(TLFD!B11:B13)+0.5*(TLFD!B14)</f>
        <v>235436.83290000001</v>
      </c>
      <c r="C7" s="12">
        <f>SUM(TLFD!C11:C13)+0.5*(TLFD!C14)</f>
        <v>77051.142000000007</v>
      </c>
      <c r="D7" s="12">
        <f>SUM(TLFD!D11:D13)+0.5*(TLFD!D14)</f>
        <v>10108.551449999999</v>
      </c>
      <c r="E7" s="12">
        <f>SUM(B7:D7)</f>
        <v>322596.52635000006</v>
      </c>
      <c r="G7" s="54" t="s">
        <v>234</v>
      </c>
      <c r="H7" s="12">
        <f>SUM(TLFD!H11:H13)+0.5*(TLFD!H14)</f>
        <v>143962</v>
      </c>
      <c r="I7" s="12">
        <f>SUM(TLFD!I11:I13)+0.5*(TLFD!I14)</f>
        <v>61310.5</v>
      </c>
      <c r="J7" s="12">
        <f>SUM(TLFD!J11:J13)+0.5*(TLFD!J14)</f>
        <v>15933</v>
      </c>
      <c r="K7" s="12">
        <f>SUM(H7:J7)</f>
        <v>221205.5</v>
      </c>
      <c r="M7" s="49"/>
      <c r="N7" s="70"/>
      <c r="O7" s="71"/>
      <c r="P7" s="71"/>
      <c r="Q7" s="70"/>
      <c r="T7">
        <v>5</v>
      </c>
      <c r="U7" t="s">
        <v>80</v>
      </c>
      <c r="V7" s="60">
        <f>WorkLocationCoefficients!E15</f>
        <v>0</v>
      </c>
      <c r="W7" s="65">
        <f t="shared" si="0"/>
        <v>0</v>
      </c>
    </row>
    <row r="8" spans="1:23" x14ac:dyDescent="0.25">
      <c r="A8" s="54" t="s">
        <v>235</v>
      </c>
      <c r="B8" s="12">
        <f>0.5*(TLFD!B14)+SUM(TLFD!B15:B20)</f>
        <v>412254.97279999999</v>
      </c>
      <c r="C8" s="12">
        <f>0.5*(TLFD!C14)+SUM(TLFD!C15:C20)</f>
        <v>91661.670700000017</v>
      </c>
      <c r="D8" s="12">
        <f>0.5*(TLFD!D14)+SUM(TLFD!D15:D20)</f>
        <v>23556.01485</v>
      </c>
      <c r="E8" s="12">
        <f>SUM(B8:D8)</f>
        <v>527472.65835000004</v>
      </c>
      <c r="G8" s="54" t="s">
        <v>235</v>
      </c>
      <c r="H8" s="12">
        <f>0.5*(TLFD!H14)+SUM(TLFD!H15:H20)</f>
        <v>453563</v>
      </c>
      <c r="I8" s="12">
        <f>0.5*(TLFD!I14)+SUM(TLFD!I15:I20)</f>
        <v>133501.5</v>
      </c>
      <c r="J8" s="12">
        <f>0.5*(TLFD!J14)+SUM(TLFD!J15:J20)</f>
        <v>40220</v>
      </c>
      <c r="K8" s="12">
        <f>SUM(H8:J8)</f>
        <v>627284.5</v>
      </c>
      <c r="M8" s="49" t="s">
        <v>278</v>
      </c>
      <c r="N8" s="70"/>
      <c r="O8" s="71"/>
      <c r="P8" s="71"/>
      <c r="Q8" s="70"/>
      <c r="T8" s="59">
        <v>6</v>
      </c>
      <c r="U8" s="59" t="s">
        <v>81</v>
      </c>
      <c r="V8" s="61">
        <f>WorkLocationCoefficients!E16</f>
        <v>-4.1530549264700003</v>
      </c>
      <c r="W8" s="65">
        <f>Q14</f>
        <v>-4.1530549264700003</v>
      </c>
    </row>
    <row r="9" spans="1:23" x14ac:dyDescent="0.25">
      <c r="A9" s="72" t="s">
        <v>236</v>
      </c>
      <c r="B9" s="73">
        <f>SUM(TLFD!B21:B101)</f>
        <v>764897.93670000008</v>
      </c>
      <c r="C9" s="73">
        <f>SUM(TLFD!C21:C101)</f>
        <v>172242.86939999997</v>
      </c>
      <c r="D9" s="73">
        <f>SUM(TLFD!D21:D101)</f>
        <v>30026.171200000004</v>
      </c>
      <c r="E9" s="73">
        <f>SUM(B9:D9)</f>
        <v>967166.97730000003</v>
      </c>
      <c r="G9" s="72" t="s">
        <v>236</v>
      </c>
      <c r="H9" s="73">
        <f>SUM(TLFD!H21:H101)</f>
        <v>813294</v>
      </c>
      <c r="I9" s="73">
        <f>SUM(TLFD!I21:I101)</f>
        <v>136498</v>
      </c>
      <c r="J9" s="73">
        <f>SUM(TLFD!J21:J101)</f>
        <v>34671</v>
      </c>
      <c r="K9" s="73">
        <f>SUM(H9:J9)</f>
        <v>984463</v>
      </c>
      <c r="M9" s="49" t="s">
        <v>279</v>
      </c>
      <c r="N9" s="70"/>
      <c r="O9" s="71"/>
      <c r="P9" s="71"/>
      <c r="Q9" s="70"/>
      <c r="T9" s="59">
        <v>7</v>
      </c>
      <c r="U9" s="59" t="s">
        <v>82</v>
      </c>
      <c r="V9" s="61">
        <f>WorkLocationCoefficients!E17</f>
        <v>-1.68452606998</v>
      </c>
      <c r="W9" s="65">
        <f t="shared" ref="W9:W10" si="1">Q15</f>
        <v>-2.2719115015888796</v>
      </c>
    </row>
    <row r="10" spans="1:23" ht="15.75" thickBot="1" x14ac:dyDescent="0.3">
      <c r="A10" s="76" t="s">
        <v>4</v>
      </c>
      <c r="B10" s="77">
        <f>SUM(B7:B9)</f>
        <v>1412589.7424000001</v>
      </c>
      <c r="C10" s="77">
        <f t="shared" ref="C10:E10" si="2">SUM(C7:C9)</f>
        <v>340955.68209999998</v>
      </c>
      <c r="D10" s="77">
        <f t="shared" si="2"/>
        <v>63690.737500000003</v>
      </c>
      <c r="E10" s="77">
        <f t="shared" si="2"/>
        <v>1817236.162</v>
      </c>
      <c r="F10" s="49"/>
      <c r="G10" s="76" t="s">
        <v>4</v>
      </c>
      <c r="H10" s="77">
        <f>SUM(H7:H9)</f>
        <v>1410819</v>
      </c>
      <c r="I10" s="77">
        <f t="shared" ref="I10:K10" si="3">SUM(I7:I9)</f>
        <v>331310</v>
      </c>
      <c r="J10" s="77">
        <f t="shared" si="3"/>
        <v>90824</v>
      </c>
      <c r="K10" s="77">
        <f t="shared" si="3"/>
        <v>1832953</v>
      </c>
      <c r="L10" s="49"/>
      <c r="M10" s="49" t="s">
        <v>280</v>
      </c>
      <c r="N10" s="49"/>
      <c r="O10" s="49"/>
      <c r="P10" s="49"/>
      <c r="Q10" s="49"/>
      <c r="T10" s="59">
        <v>8</v>
      </c>
      <c r="U10" s="59" t="s">
        <v>83</v>
      </c>
      <c r="V10" s="61">
        <f>WorkLocationCoefficients!E18</f>
        <v>0.13162300973999999</v>
      </c>
      <c r="W10" s="65">
        <f t="shared" si="1"/>
        <v>-0.32487404023536381</v>
      </c>
    </row>
    <row r="11" spans="1:23" x14ac:dyDescent="0.25">
      <c r="T11">
        <v>9</v>
      </c>
      <c r="U11" t="s">
        <v>84</v>
      </c>
      <c r="V11" s="60">
        <f>WorkLocationCoefficients!E19</f>
        <v>-3.1050660724200001</v>
      </c>
      <c r="W11" s="65">
        <f t="shared" si="0"/>
        <v>-3.1050660724200001</v>
      </c>
    </row>
    <row r="12" spans="1:23" ht="15.75" thickBot="1" x14ac:dyDescent="0.3">
      <c r="A12" s="67" t="s">
        <v>276</v>
      </c>
      <c r="M12" s="11" t="s">
        <v>245</v>
      </c>
      <c r="T12">
        <v>10</v>
      </c>
      <c r="U12" t="s">
        <v>85</v>
      </c>
      <c r="V12" s="60">
        <f>WorkLocationCoefficients!E20</f>
        <v>-3.4653118418800002</v>
      </c>
      <c r="W12" s="65">
        <f t="shared" si="0"/>
        <v>-3.4653118418800002</v>
      </c>
    </row>
    <row r="13" spans="1:23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238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238</v>
      </c>
      <c r="M13" s="5" t="s">
        <v>247</v>
      </c>
      <c r="N13" s="5" t="s">
        <v>243</v>
      </c>
      <c r="O13" s="5" t="s">
        <v>241</v>
      </c>
      <c r="P13" s="5" t="s">
        <v>242</v>
      </c>
      <c r="Q13" s="5" t="s">
        <v>244</v>
      </c>
      <c r="T13">
        <v>11</v>
      </c>
      <c r="U13" t="s">
        <v>86</v>
      </c>
      <c r="V13" s="60">
        <f>WorkLocationCoefficients!E21</f>
        <v>-0.22974879339000001</v>
      </c>
      <c r="W13" s="65">
        <f t="shared" si="0"/>
        <v>-0.22974879339000001</v>
      </c>
    </row>
    <row r="14" spans="1:23" x14ac:dyDescent="0.25">
      <c r="A14" s="54" t="s">
        <v>234</v>
      </c>
      <c r="B14" s="86">
        <f>B7/B$10</f>
        <v>0.16667035433797725</v>
      </c>
      <c r="C14" s="78">
        <f t="shared" ref="C14:E14" si="4">C7/C$10</f>
        <v>0.22598579828741916</v>
      </c>
      <c r="D14" s="78">
        <f t="shared" si="4"/>
        <v>0.15871305384083514</v>
      </c>
      <c r="E14" s="78">
        <f t="shared" si="4"/>
        <v>0.17752041979780944</v>
      </c>
      <c r="G14" s="54" t="s">
        <v>234</v>
      </c>
      <c r="H14" s="86">
        <f>H7/H$10</f>
        <v>0.10204143834184258</v>
      </c>
      <c r="I14" s="78">
        <f t="shared" ref="I14:K14" si="5">I7/I$10</f>
        <v>0.18505478252995683</v>
      </c>
      <c r="J14" s="78">
        <f t="shared" si="5"/>
        <v>0.1754271998590681</v>
      </c>
      <c r="K14" s="78">
        <f t="shared" si="5"/>
        <v>0.12068258160465653</v>
      </c>
      <c r="M14">
        <v>6</v>
      </c>
      <c r="N14" s="62">
        <f>V8</f>
        <v>-4.1530549264700003</v>
      </c>
      <c r="O14" s="9">
        <f>B14/H14</f>
        <v>1.6333595159608141</v>
      </c>
      <c r="P14" s="9">
        <f>LN(O14)-LN(O$14)</f>
        <v>0</v>
      </c>
      <c r="Q14" s="61">
        <f>N14+P14</f>
        <v>-4.1530549264700003</v>
      </c>
      <c r="T14">
        <v>12</v>
      </c>
      <c r="U14" t="s">
        <v>87</v>
      </c>
      <c r="V14" s="60">
        <f>WorkLocationCoefficients!E22</f>
        <v>-0.93478838755000004</v>
      </c>
      <c r="W14" s="65">
        <f t="shared" si="0"/>
        <v>-0.93478838755000004</v>
      </c>
    </row>
    <row r="15" spans="1:23" x14ac:dyDescent="0.25">
      <c r="A15" s="54" t="s">
        <v>235</v>
      </c>
      <c r="B15" s="86">
        <f t="shared" ref="B15:E15" si="6">B8/B$10</f>
        <v>0.29184338553922656</v>
      </c>
      <c r="C15" s="78">
        <f t="shared" si="6"/>
        <v>0.26883749270709112</v>
      </c>
      <c r="D15" s="78">
        <f t="shared" si="6"/>
        <v>0.36984993069047123</v>
      </c>
      <c r="E15" s="78">
        <f t="shared" si="6"/>
        <v>0.29026092996601949</v>
      </c>
      <c r="G15" s="54" t="s">
        <v>235</v>
      </c>
      <c r="H15" s="86">
        <f t="shared" ref="H15:K15" si="7">H8/H$10</f>
        <v>0.32148914921049404</v>
      </c>
      <c r="I15" s="78">
        <f t="shared" si="7"/>
        <v>0.40295040898252393</v>
      </c>
      <c r="J15" s="78">
        <f t="shared" si="7"/>
        <v>0.44283449308552808</v>
      </c>
      <c r="K15" s="78">
        <f t="shared" si="7"/>
        <v>0.3422261781944218</v>
      </c>
      <c r="M15">
        <v>7</v>
      </c>
      <c r="N15" s="62">
        <f t="shared" ref="N15:N16" si="8">V9</f>
        <v>-1.68452606998</v>
      </c>
      <c r="O15" s="9">
        <f>B15/H15</f>
        <v>0.90778611426211153</v>
      </c>
      <c r="P15" s="9">
        <f t="shared" ref="P15" si="9">LN(O15)-LN(O$14)</f>
        <v>-0.58738543160887957</v>
      </c>
      <c r="Q15" s="61">
        <f>N15+P15</f>
        <v>-2.2719115015888796</v>
      </c>
      <c r="T15">
        <v>13</v>
      </c>
      <c r="U15" t="s">
        <v>88</v>
      </c>
      <c r="V15" s="60">
        <f>WorkLocationCoefficients!E23</f>
        <v>0.40796503771199999</v>
      </c>
      <c r="W15" s="65">
        <f t="shared" si="0"/>
        <v>0.40796503771199999</v>
      </c>
    </row>
    <row r="16" spans="1:23" x14ac:dyDescent="0.25">
      <c r="A16" s="72" t="s">
        <v>236</v>
      </c>
      <c r="B16" s="86">
        <f t="shared" ref="B16:E16" si="10">B9/B$10</f>
        <v>0.54148626012279621</v>
      </c>
      <c r="C16" s="78">
        <f t="shared" si="10"/>
        <v>0.50517670900548972</v>
      </c>
      <c r="D16" s="78">
        <f t="shared" si="10"/>
        <v>0.4714370154686936</v>
      </c>
      <c r="E16" s="78">
        <f t="shared" si="10"/>
        <v>0.5322186502361711</v>
      </c>
      <c r="G16" s="72" t="s">
        <v>236</v>
      </c>
      <c r="H16" s="86">
        <f t="shared" ref="H16:K16" si="11">H9/H$10</f>
        <v>0.57646941244766337</v>
      </c>
      <c r="I16" s="78">
        <f t="shared" si="11"/>
        <v>0.41199480848751924</v>
      </c>
      <c r="J16" s="78">
        <f t="shared" si="11"/>
        <v>0.38173830705540385</v>
      </c>
      <c r="K16" s="78">
        <f t="shared" si="11"/>
        <v>0.53709124020092169</v>
      </c>
      <c r="L16" s="49"/>
      <c r="M16" s="6">
        <v>8</v>
      </c>
      <c r="N16" s="63">
        <f t="shared" si="8"/>
        <v>0.13162300973999999</v>
      </c>
      <c r="O16" s="14">
        <f>B16/H16</f>
        <v>0.9393148160691992</v>
      </c>
      <c r="P16" s="14">
        <f>LN(O16)-LN(O15)-LN(O$14)</f>
        <v>-0.45649704997536378</v>
      </c>
      <c r="Q16" s="64">
        <f>N16+P16</f>
        <v>-0.32487404023536381</v>
      </c>
      <c r="T16">
        <v>14</v>
      </c>
      <c r="U16" t="s">
        <v>89</v>
      </c>
      <c r="V16" s="60">
        <f>WorkLocationCoefficients!E24</f>
        <v>-0.50293651045300003</v>
      </c>
      <c r="W16" s="65">
        <f t="shared" si="0"/>
        <v>-0.50293651045300003</v>
      </c>
    </row>
    <row r="17" spans="1:23" ht="15.75" thickBot="1" x14ac:dyDescent="0.3">
      <c r="A17" s="76" t="s">
        <v>4</v>
      </c>
      <c r="B17" s="79">
        <f t="shared" ref="B17" si="12">B10/B$10</f>
        <v>1</v>
      </c>
      <c r="C17" s="79">
        <f t="shared" ref="C17" si="13">SUM(C14:C16)</f>
        <v>1</v>
      </c>
      <c r="D17" s="79">
        <f t="shared" ref="D17" si="14">SUM(D14:D16)</f>
        <v>1</v>
      </c>
      <c r="E17" s="79">
        <f t="shared" ref="E17" si="15">SUM(E14:E16)</f>
        <v>1</v>
      </c>
      <c r="F17" s="49"/>
      <c r="G17" s="76" t="s">
        <v>4</v>
      </c>
      <c r="H17" s="79">
        <f>SUM(H14:H16)</f>
        <v>1</v>
      </c>
      <c r="I17" s="79">
        <f t="shared" ref="I17" si="16">SUM(I14:I16)</f>
        <v>1</v>
      </c>
      <c r="J17" s="79">
        <f t="shared" ref="J17" si="17">SUM(J14:J16)</f>
        <v>1</v>
      </c>
      <c r="K17" s="79">
        <f t="shared" ref="K17" si="18">SUM(K14:K16)</f>
        <v>1</v>
      </c>
      <c r="L17" s="49"/>
      <c r="M17" s="49"/>
      <c r="N17" s="70"/>
      <c r="O17" s="71"/>
      <c r="P17" s="71"/>
      <c r="Q17" s="70"/>
      <c r="T17">
        <v>15</v>
      </c>
      <c r="U17" t="s">
        <v>90</v>
      </c>
      <c r="V17" s="60">
        <f>WorkLocationCoefficients!E25</f>
        <v>-1.61322160644</v>
      </c>
      <c r="W17" s="65">
        <f t="shared" si="0"/>
        <v>-1.61322160644</v>
      </c>
    </row>
    <row r="18" spans="1:23" x14ac:dyDescent="0.25">
      <c r="A18" s="68"/>
      <c r="B18" s="69"/>
      <c r="C18" s="69"/>
      <c r="D18" s="69"/>
      <c r="E18" s="69"/>
      <c r="F18" s="49"/>
      <c r="G18" s="68"/>
      <c r="H18" s="69"/>
      <c r="I18" s="69"/>
      <c r="J18" s="69"/>
      <c r="K18" s="69"/>
      <c r="L18" s="49"/>
      <c r="M18" s="49"/>
      <c r="N18" s="70"/>
      <c r="O18" s="71"/>
      <c r="P18" s="71"/>
      <c r="Q18" s="70"/>
      <c r="T18">
        <v>16</v>
      </c>
      <c r="U18" t="s">
        <v>91</v>
      </c>
      <c r="V18" s="60">
        <f>WorkLocationCoefficients!E26</f>
        <v>0.130749629122</v>
      </c>
      <c r="W18" s="65">
        <f t="shared" si="0"/>
        <v>0.130749629122</v>
      </c>
    </row>
    <row r="19" spans="1:23" x14ac:dyDescent="0.25">
      <c r="A19" s="68"/>
      <c r="B19" s="69"/>
      <c r="C19" s="69"/>
      <c r="D19" s="69"/>
      <c r="E19" s="69"/>
      <c r="F19" s="49"/>
      <c r="G19" s="68"/>
      <c r="H19" s="69"/>
      <c r="I19" s="69"/>
      <c r="J19" s="69"/>
      <c r="K19" s="69"/>
      <c r="L19" s="49"/>
      <c r="M19" s="49"/>
      <c r="N19" s="70"/>
      <c r="O19" s="71"/>
      <c r="P19" s="71"/>
      <c r="Q19" s="70"/>
      <c r="R19" s="7"/>
      <c r="T19">
        <v>17</v>
      </c>
      <c r="U19" t="s">
        <v>92</v>
      </c>
      <c r="V19" s="60">
        <f>WorkLocationCoefficients!E27</f>
        <v>8.4077289836199998E-2</v>
      </c>
      <c r="W19" s="65">
        <f t="shared" si="0"/>
        <v>8.4077289836199998E-2</v>
      </c>
    </row>
    <row r="20" spans="1:23" x14ac:dyDescent="0.25">
      <c r="A20" s="49"/>
      <c r="B20" s="69"/>
      <c r="C20" s="69"/>
      <c r="D20" s="69"/>
      <c r="E20" s="69"/>
      <c r="F20" s="49"/>
      <c r="G20" s="49"/>
      <c r="H20" s="69"/>
      <c r="I20" s="69"/>
      <c r="J20" s="69"/>
      <c r="K20" s="69"/>
      <c r="L20" s="49"/>
      <c r="M20" s="49"/>
      <c r="N20" s="49"/>
      <c r="O20" s="49"/>
      <c r="P20" s="49"/>
      <c r="Q20" s="49"/>
      <c r="T20">
        <v>18</v>
      </c>
      <c r="U20" t="s">
        <v>93</v>
      </c>
      <c r="V20" s="60">
        <f>WorkLocationCoefficients!E28</f>
        <v>0</v>
      </c>
      <c r="W20" s="65">
        <f t="shared" si="0"/>
        <v>0</v>
      </c>
    </row>
    <row r="21" spans="1:23" x14ac:dyDescent="0.25">
      <c r="T21">
        <v>19</v>
      </c>
      <c r="U21" t="s">
        <v>94</v>
      </c>
      <c r="V21" s="60">
        <f>WorkLocationCoefficients!E29</f>
        <v>0.106386053639</v>
      </c>
      <c r="W21" s="65">
        <f t="shared" si="0"/>
        <v>0.106386053639</v>
      </c>
    </row>
    <row r="22" spans="1:23" x14ac:dyDescent="0.25">
      <c r="N22" s="56"/>
      <c r="Q22" s="57"/>
      <c r="T22">
        <v>20</v>
      </c>
      <c r="U22" t="s">
        <v>95</v>
      </c>
      <c r="V22" s="60">
        <f>WorkLocationCoefficients!E30</f>
        <v>0.88087687792799996</v>
      </c>
      <c r="W22" s="65">
        <f t="shared" si="0"/>
        <v>0.88087687792799996</v>
      </c>
    </row>
    <row r="23" spans="1:23" x14ac:dyDescent="0.25">
      <c r="A23" s="67" t="s">
        <v>267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T23">
        <v>21</v>
      </c>
      <c r="U23" t="s">
        <v>96</v>
      </c>
      <c r="V23" s="60">
        <f>WorkLocationCoefficients!E31</f>
        <v>-0.16458061134300001</v>
      </c>
      <c r="W23" s="65">
        <f t="shared" si="0"/>
        <v>-0.16458061134300001</v>
      </c>
    </row>
    <row r="24" spans="1:23" ht="15.75" thickBot="1" x14ac:dyDescent="0.3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T24">
        <v>22</v>
      </c>
      <c r="U24" t="s">
        <v>97</v>
      </c>
      <c r="V24" s="60">
        <f>WorkLocationCoefficients!E32</f>
        <v>0.154182014038</v>
      </c>
      <c r="W24" s="65">
        <f t="shared" si="0"/>
        <v>0.154182014038</v>
      </c>
    </row>
    <row r="25" spans="1:23" x14ac:dyDescent="0.25">
      <c r="A25" s="5"/>
      <c r="B25" s="5" t="s">
        <v>277</v>
      </c>
      <c r="C25" s="80"/>
      <c r="D25" s="80"/>
      <c r="E25" s="80"/>
      <c r="G25" s="5"/>
      <c r="H25" s="5" t="s">
        <v>277</v>
      </c>
      <c r="I25" s="80"/>
      <c r="J25" s="80"/>
      <c r="K25" s="80"/>
      <c r="M25" s="82"/>
      <c r="N25" s="82"/>
      <c r="O25" s="82"/>
      <c r="P25" s="82"/>
      <c r="Q25" s="82"/>
      <c r="T25">
        <v>23</v>
      </c>
      <c r="U25" t="s">
        <v>98</v>
      </c>
      <c r="V25" s="60">
        <f>WorkLocationCoefficients!E33</f>
        <v>4.79448884421E-2</v>
      </c>
      <c r="W25" s="65">
        <f t="shared" si="0"/>
        <v>4.79448884421E-2</v>
      </c>
    </row>
    <row r="26" spans="1:23" x14ac:dyDescent="0.25">
      <c r="A26" s="74" t="s">
        <v>237</v>
      </c>
      <c r="B26" s="75">
        <f>WorkAtHome!E14</f>
        <v>7343.4191999999994</v>
      </c>
      <c r="C26" s="83"/>
      <c r="D26" s="83"/>
      <c r="E26" s="83"/>
      <c r="G26" s="74" t="s">
        <v>237</v>
      </c>
      <c r="H26" s="75">
        <f>WorkAtHome!L14</f>
        <v>11252</v>
      </c>
      <c r="I26" s="83"/>
      <c r="J26" s="83"/>
      <c r="K26" s="83"/>
      <c r="L26" s="49"/>
      <c r="M26" s="49"/>
      <c r="N26" s="70"/>
      <c r="O26" s="71"/>
      <c r="P26" s="71"/>
      <c r="Q26" s="70"/>
      <c r="T26">
        <v>24</v>
      </c>
      <c r="U26" t="s">
        <v>99</v>
      </c>
      <c r="V26" s="60">
        <f>WorkLocationCoefficients!E34</f>
        <v>6.4843520043099998E-2</v>
      </c>
      <c r="W26" s="65">
        <f t="shared" si="0"/>
        <v>6.4843520043099998E-2</v>
      </c>
    </row>
    <row r="27" spans="1:23" ht="15.75" thickBot="1" x14ac:dyDescent="0.3">
      <c r="A27" s="76" t="s">
        <v>4</v>
      </c>
      <c r="B27" s="77">
        <f>WorkAtHome!E25</f>
        <v>1355090.3439000002</v>
      </c>
      <c r="G27" s="76" t="s">
        <v>4</v>
      </c>
      <c r="H27" s="77">
        <f>WorkAtHome!L25</f>
        <v>1368481</v>
      </c>
      <c r="I27" s="7"/>
      <c r="J27" s="7"/>
      <c r="K27" s="7"/>
      <c r="M27" s="49"/>
      <c r="N27" s="49"/>
      <c r="O27" s="49"/>
      <c r="P27" s="49"/>
      <c r="Q27" s="49"/>
      <c r="T27">
        <v>25</v>
      </c>
      <c r="U27" t="s">
        <v>100</v>
      </c>
      <c r="V27" s="60">
        <f>WorkLocationCoefficients!E35</f>
        <v>0.15272053169499999</v>
      </c>
      <c r="W27" s="65">
        <f t="shared" si="0"/>
        <v>0.15272053169499999</v>
      </c>
    </row>
    <row r="28" spans="1:23" x14ac:dyDescent="0.25">
      <c r="T28">
        <v>26</v>
      </c>
      <c r="U28" t="s">
        <v>101</v>
      </c>
      <c r="V28" s="60">
        <f>WorkLocationCoefficients!E36</f>
        <v>7.2028590735099998E-2</v>
      </c>
      <c r="W28" s="65">
        <f t="shared" si="0"/>
        <v>7.2028590735099998E-2</v>
      </c>
    </row>
    <row r="29" spans="1:23" ht="15.75" thickBot="1" x14ac:dyDescent="0.3">
      <c r="A29" t="s">
        <v>276</v>
      </c>
      <c r="T29">
        <v>27</v>
      </c>
      <c r="U29" t="s">
        <v>102</v>
      </c>
      <c r="V29" s="60">
        <f>WorkLocationCoefficients!E37</f>
        <v>-0.27934224041799999</v>
      </c>
      <c r="W29" s="65">
        <f t="shared" si="0"/>
        <v>-0.27934224041799999</v>
      </c>
    </row>
    <row r="30" spans="1:23" x14ac:dyDescent="0.25">
      <c r="A30" s="5"/>
      <c r="B30" s="5" t="s">
        <v>277</v>
      </c>
      <c r="C30" s="80"/>
      <c r="D30" s="80"/>
      <c r="E30" s="80"/>
      <c r="G30" s="5"/>
      <c r="H30" s="5" t="s">
        <v>277</v>
      </c>
      <c r="I30" s="80"/>
      <c r="J30" s="80"/>
      <c r="K30" s="80"/>
      <c r="M30" s="5" t="s">
        <v>247</v>
      </c>
      <c r="N30" s="5" t="s">
        <v>243</v>
      </c>
      <c r="O30" s="5" t="s">
        <v>241</v>
      </c>
      <c r="P30" s="5" t="s">
        <v>242</v>
      </c>
      <c r="Q30" s="5" t="s">
        <v>244</v>
      </c>
      <c r="T30">
        <v>28</v>
      </c>
      <c r="U30" t="s">
        <v>103</v>
      </c>
      <c r="V30" s="60">
        <f>WorkLocationCoefficients!E38</f>
        <v>4.3626229225700003E-2</v>
      </c>
      <c r="W30" s="65">
        <f t="shared" si="0"/>
        <v>4.3626229225700003E-2</v>
      </c>
    </row>
    <row r="31" spans="1:23" x14ac:dyDescent="0.25">
      <c r="A31" s="74" t="s">
        <v>237</v>
      </c>
      <c r="B31" s="85">
        <f>B26/B27</f>
        <v>5.4191362465659428E-3</v>
      </c>
      <c r="C31" s="83"/>
      <c r="D31" s="83"/>
      <c r="E31" s="83"/>
      <c r="G31" s="74" t="s">
        <v>237</v>
      </c>
      <c r="H31" s="85">
        <f>H26/H27</f>
        <v>8.2222551865900953E-3</v>
      </c>
      <c r="I31" s="83"/>
      <c r="J31" s="83"/>
      <c r="K31" s="83"/>
      <c r="M31" s="6">
        <v>41</v>
      </c>
      <c r="N31" s="63">
        <f>V39</f>
        <v>-3.8051604915000001</v>
      </c>
      <c r="O31" s="14">
        <f>B31/H31</f>
        <v>0.6590814957195883</v>
      </c>
      <c r="P31" s="14">
        <f>LN(O31)</f>
        <v>-0.41690808639026766</v>
      </c>
      <c r="Q31" s="64">
        <f t="shared" ref="Q31" si="19">N31+P31</f>
        <v>-4.2220685778902673</v>
      </c>
      <c r="T31">
        <v>29</v>
      </c>
      <c r="U31" t="s">
        <v>104</v>
      </c>
      <c r="V31" s="60">
        <f>WorkLocationCoefficients!E39</f>
        <v>-8.7886819411100006E-2</v>
      </c>
      <c r="W31" s="65">
        <f t="shared" si="0"/>
        <v>-8.7886819411100006E-2</v>
      </c>
    </row>
    <row r="32" spans="1:23" ht="15.75" thickBot="1" x14ac:dyDescent="0.3">
      <c r="A32" s="76" t="s">
        <v>4</v>
      </c>
      <c r="B32" s="84">
        <f>B27/B27</f>
        <v>1</v>
      </c>
      <c r="G32" s="76" t="s">
        <v>4</v>
      </c>
      <c r="H32" s="84">
        <f>H27/H27</f>
        <v>1</v>
      </c>
      <c r="T32">
        <v>30</v>
      </c>
      <c r="U32" t="s">
        <v>105</v>
      </c>
      <c r="V32" s="60">
        <f>WorkLocationCoefficients!E40</f>
        <v>-4.2894941477000001E-2</v>
      </c>
      <c r="W32" s="65">
        <f t="shared" si="0"/>
        <v>-4.2894941477000001E-2</v>
      </c>
    </row>
    <row r="33" spans="20:23" x14ac:dyDescent="0.25">
      <c r="T33">
        <v>31</v>
      </c>
      <c r="U33" t="s">
        <v>106</v>
      </c>
      <c r="V33" s="60">
        <f>WorkLocationCoefficients!E41</f>
        <v>-0.13045579928000001</v>
      </c>
      <c r="W33" s="65">
        <f t="shared" si="0"/>
        <v>-0.13045579928000001</v>
      </c>
    </row>
    <row r="34" spans="20:23" x14ac:dyDescent="0.25">
      <c r="T34">
        <v>32</v>
      </c>
      <c r="U34" t="s">
        <v>107</v>
      </c>
      <c r="V34" s="60">
        <f>WorkLocationCoefficients!E42</f>
        <v>0.18945088644899999</v>
      </c>
      <c r="W34" s="65">
        <f t="shared" si="0"/>
        <v>0.18945088644899999</v>
      </c>
    </row>
    <row r="35" spans="20:23" x14ac:dyDescent="0.25">
      <c r="T35">
        <v>33</v>
      </c>
      <c r="U35" t="s">
        <v>108</v>
      </c>
      <c r="V35" s="60">
        <f>WorkLocationCoefficients!E43</f>
        <v>-0.179523169776</v>
      </c>
      <c r="W35" s="65">
        <f t="shared" si="0"/>
        <v>-0.179523169776</v>
      </c>
    </row>
    <row r="36" spans="20:23" x14ac:dyDescent="0.25">
      <c r="T36">
        <v>34</v>
      </c>
      <c r="U36" t="s">
        <v>109</v>
      </c>
      <c r="V36" s="60">
        <f>WorkLocationCoefficients!E44</f>
        <v>0.17233347539499999</v>
      </c>
      <c r="W36" s="65">
        <f t="shared" si="0"/>
        <v>0.17233347539499999</v>
      </c>
    </row>
    <row r="37" spans="20:23" x14ac:dyDescent="0.25">
      <c r="T37">
        <v>35</v>
      </c>
      <c r="U37" t="s">
        <v>110</v>
      </c>
      <c r="V37" s="60">
        <f>WorkLocationCoefficients!E45</f>
        <v>-0.194698386872</v>
      </c>
      <c r="W37" s="65">
        <f t="shared" si="0"/>
        <v>-0.194698386872</v>
      </c>
    </row>
    <row r="38" spans="20:23" x14ac:dyDescent="0.25">
      <c r="T38">
        <v>36</v>
      </c>
      <c r="U38" t="s">
        <v>111</v>
      </c>
      <c r="V38" s="60">
        <f>WorkLocationCoefficients!E46</f>
        <v>0.38785322122799998</v>
      </c>
      <c r="W38" s="65">
        <f t="shared" si="0"/>
        <v>0.38785322122799998</v>
      </c>
    </row>
    <row r="39" spans="20:23" x14ac:dyDescent="0.25">
      <c r="T39" s="59">
        <v>41</v>
      </c>
      <c r="U39" s="59" t="s">
        <v>112</v>
      </c>
      <c r="V39" s="61">
        <f>WorkLocationCoefficients!E47</f>
        <v>-3.8051604915000001</v>
      </c>
      <c r="W39" s="65">
        <f>Q31</f>
        <v>-4.2220685778902673</v>
      </c>
    </row>
    <row r="40" spans="20:23" x14ac:dyDescent="0.25">
      <c r="T40">
        <v>42</v>
      </c>
      <c r="U40" t="s">
        <v>114</v>
      </c>
      <c r="V40" s="60">
        <f>WorkLocationCoefficients!E48</f>
        <v>5.07828619993</v>
      </c>
      <c r="W40" s="65">
        <f t="shared" si="0"/>
        <v>5.07828619993</v>
      </c>
    </row>
    <row r="41" spans="20:23" x14ac:dyDescent="0.25">
      <c r="T41">
        <v>43</v>
      </c>
      <c r="U41" t="s">
        <v>115</v>
      </c>
      <c r="V41" s="60">
        <f>WorkLocationCoefficients!E49</f>
        <v>-3.0390882271000002</v>
      </c>
      <c r="W41" s="65">
        <f t="shared" si="0"/>
        <v>-3.0390882271000002</v>
      </c>
    </row>
    <row r="42" spans="20:23" x14ac:dyDescent="0.25">
      <c r="T42">
        <v>44</v>
      </c>
      <c r="U42" t="s">
        <v>116</v>
      </c>
      <c r="V42" s="60">
        <f>WorkLocationCoefficients!E50</f>
        <v>-2.3320026601800001</v>
      </c>
      <c r="W42" s="65">
        <f t="shared" si="0"/>
        <v>-2.3320026601800001</v>
      </c>
    </row>
    <row r="43" spans="20:23" x14ac:dyDescent="0.25">
      <c r="T43">
        <v>50</v>
      </c>
      <c r="U43" t="s">
        <v>117</v>
      </c>
      <c r="V43" s="60">
        <f>WorkLocationCoefficients!E51</f>
        <v>0.33566647407</v>
      </c>
      <c r="W43" s="65">
        <f t="shared" si="0"/>
        <v>0.33566647407</v>
      </c>
    </row>
    <row r="44" spans="20:23" x14ac:dyDescent="0.25">
      <c r="T44">
        <v>51</v>
      </c>
      <c r="U44" t="s">
        <v>118</v>
      </c>
      <c r="V44" s="60">
        <f>WorkLocationCoefficients!E52</f>
        <v>-0.78911507665199998</v>
      </c>
      <c r="W44" s="65">
        <f t="shared" si="0"/>
        <v>-0.78911507665199998</v>
      </c>
    </row>
    <row r="45" spans="20:23" x14ac:dyDescent="0.25">
      <c r="T45">
        <v>52</v>
      </c>
      <c r="U45" t="s">
        <v>119</v>
      </c>
      <c r="V45" s="60">
        <f>WorkLocationCoefficients!E53</f>
        <v>0.56564055394500001</v>
      </c>
      <c r="W45" s="65">
        <f t="shared" si="0"/>
        <v>0.56564055394500001</v>
      </c>
    </row>
    <row r="46" spans="20:23" x14ac:dyDescent="0.25">
      <c r="T46">
        <v>53</v>
      </c>
      <c r="U46" t="s">
        <v>120</v>
      </c>
      <c r="V46" s="60">
        <f>WorkLocationCoefficients!E54</f>
        <v>-1.85416848242</v>
      </c>
      <c r="W46" s="65">
        <f t="shared" si="0"/>
        <v>-1.85416848242</v>
      </c>
    </row>
    <row r="47" spans="20:23" x14ac:dyDescent="0.25">
      <c r="T47">
        <v>54</v>
      </c>
      <c r="U47" t="s">
        <v>121</v>
      </c>
      <c r="V47" s="60">
        <f>WorkLocationCoefficients!E55</f>
        <v>0</v>
      </c>
      <c r="W47" s="65">
        <f t="shared" si="0"/>
        <v>0</v>
      </c>
    </row>
    <row r="48" spans="20:23" x14ac:dyDescent="0.25">
      <c r="T48">
        <v>55</v>
      </c>
      <c r="U48" t="s">
        <v>122</v>
      </c>
      <c r="V48" s="60">
        <f>WorkLocationCoefficients!E56</f>
        <v>-1.1156286956100001</v>
      </c>
      <c r="W48" s="65">
        <f t="shared" si="0"/>
        <v>-1.1156286956100001</v>
      </c>
    </row>
    <row r="49" spans="20:23" x14ac:dyDescent="0.25">
      <c r="T49">
        <v>56</v>
      </c>
      <c r="U49" t="s">
        <v>123</v>
      </c>
      <c r="V49" s="60">
        <f>WorkLocationCoefficients!E57</f>
        <v>-0.81792869186600003</v>
      </c>
      <c r="W49" s="65">
        <f t="shared" si="0"/>
        <v>-0.81792869186600003</v>
      </c>
    </row>
    <row r="50" spans="20:23" x14ac:dyDescent="0.25">
      <c r="T50">
        <v>57</v>
      </c>
      <c r="U50" t="s">
        <v>124</v>
      </c>
      <c r="V50" s="60">
        <f>WorkLocationCoefficients!E58</f>
        <v>-1.04729487823</v>
      </c>
      <c r="W50" s="65">
        <f t="shared" si="0"/>
        <v>-1.04729487823</v>
      </c>
    </row>
    <row r="51" spans="20:23" x14ac:dyDescent="0.25">
      <c r="T51">
        <v>58</v>
      </c>
      <c r="U51" t="s">
        <v>125</v>
      </c>
      <c r="V51" s="60">
        <f>WorkLocationCoefficients!E59</f>
        <v>-2.0228517391</v>
      </c>
      <c r="W51" s="65">
        <f t="shared" si="0"/>
        <v>-2.0228517391</v>
      </c>
    </row>
    <row r="52" spans="20:23" x14ac:dyDescent="0.25">
      <c r="T52">
        <v>59</v>
      </c>
      <c r="U52" t="s">
        <v>126</v>
      </c>
      <c r="V52" s="60">
        <f>WorkLocationCoefficients!E60</f>
        <v>-1.2945321250099999</v>
      </c>
      <c r="W52" s="65">
        <f t="shared" si="0"/>
        <v>-1.2945321250099999</v>
      </c>
    </row>
    <row r="53" spans="20:23" x14ac:dyDescent="0.25">
      <c r="T53">
        <v>60</v>
      </c>
      <c r="U53" t="s">
        <v>127</v>
      </c>
      <c r="V53" s="60">
        <f>WorkLocationCoefficients!E61</f>
        <v>-0.66178028021599999</v>
      </c>
      <c r="W53" s="65">
        <f t="shared" si="0"/>
        <v>-0.66178028021599999</v>
      </c>
    </row>
    <row r="54" spans="20:23" x14ac:dyDescent="0.25">
      <c r="T54">
        <v>61</v>
      </c>
      <c r="U54" t="s">
        <v>128</v>
      </c>
      <c r="V54" s="60">
        <f>WorkLocationCoefficients!E62</f>
        <v>-0.55504741134900004</v>
      </c>
      <c r="W54" s="65">
        <f t="shared" si="0"/>
        <v>-0.55504741134900004</v>
      </c>
    </row>
    <row r="55" spans="20:23" x14ac:dyDescent="0.25">
      <c r="T55">
        <v>62</v>
      </c>
      <c r="U55" t="s">
        <v>129</v>
      </c>
      <c r="V55" s="60">
        <f>WorkLocationCoefficients!E63</f>
        <v>-1.7449233454799999</v>
      </c>
      <c r="W55" s="65">
        <f t="shared" si="0"/>
        <v>-1.7449233454799999</v>
      </c>
    </row>
    <row r="56" spans="20:23" x14ac:dyDescent="0.25">
      <c r="T56">
        <v>63</v>
      </c>
      <c r="U56" t="s">
        <v>130</v>
      </c>
      <c r="V56" s="60">
        <f>WorkLocationCoefficients!E64</f>
        <v>1.1995398853399999</v>
      </c>
      <c r="W56" s="65">
        <f t="shared" si="0"/>
        <v>1.1995398853399999</v>
      </c>
    </row>
    <row r="57" spans="20:23" x14ac:dyDescent="0.25">
      <c r="T57">
        <v>64</v>
      </c>
      <c r="U57" t="s">
        <v>131</v>
      </c>
      <c r="V57" s="60">
        <f>WorkLocationCoefficients!E65</f>
        <v>0.19542046398099999</v>
      </c>
      <c r="W57" s="65">
        <f t="shared" si="0"/>
        <v>0.19542046398099999</v>
      </c>
    </row>
    <row r="58" spans="20:23" x14ac:dyDescent="0.25">
      <c r="T58">
        <v>65</v>
      </c>
      <c r="U58" t="s">
        <v>132</v>
      </c>
      <c r="V58" s="60">
        <f>WorkLocationCoefficients!E66</f>
        <v>-0.90594458676599998</v>
      </c>
      <c r="W58" s="65">
        <f t="shared" si="0"/>
        <v>-0.90594458676599998</v>
      </c>
    </row>
    <row r="59" spans="20:23" x14ac:dyDescent="0.25">
      <c r="T59">
        <v>66</v>
      </c>
      <c r="U59" t="s">
        <v>133</v>
      </c>
      <c r="V59" s="60">
        <f>WorkLocationCoefficients!E67</f>
        <v>-2.05104130438</v>
      </c>
      <c r="W59" s="65">
        <f t="shared" si="0"/>
        <v>-2.05104130438</v>
      </c>
    </row>
    <row r="60" spans="20:23" x14ac:dyDescent="0.25">
      <c r="T60">
        <v>67</v>
      </c>
      <c r="U60" t="s">
        <v>134</v>
      </c>
      <c r="V60" s="60">
        <f>WorkLocationCoefficients!E68</f>
        <v>-2.2381608455899999</v>
      </c>
      <c r="W60" s="65">
        <f t="shared" si="0"/>
        <v>-2.2381608455899999</v>
      </c>
    </row>
    <row r="61" spans="20:23" x14ac:dyDescent="0.25">
      <c r="T61">
        <v>68</v>
      </c>
      <c r="U61" t="s">
        <v>135</v>
      </c>
      <c r="V61" s="60">
        <f>WorkLocationCoefficients!E69</f>
        <v>-0.40946320528300001</v>
      </c>
      <c r="W61" s="65">
        <f t="shared" si="0"/>
        <v>-0.40946320528300001</v>
      </c>
    </row>
    <row r="62" spans="20:23" x14ac:dyDescent="0.25">
      <c r="T62">
        <v>69</v>
      </c>
      <c r="U62" t="s">
        <v>136</v>
      </c>
      <c r="V62" s="60">
        <f>WorkLocationCoefficients!E70</f>
        <v>-1.1700902309500001</v>
      </c>
      <c r="W62" s="65">
        <f t="shared" si="0"/>
        <v>-1.1700902309500001</v>
      </c>
    </row>
    <row r="63" spans="20:23" x14ac:dyDescent="0.25">
      <c r="T63">
        <v>70</v>
      </c>
      <c r="U63" t="s">
        <v>137</v>
      </c>
      <c r="V63" s="60">
        <f>WorkLocationCoefficients!E71</f>
        <v>1.8412445021999999</v>
      </c>
      <c r="W63" s="65">
        <f t="shared" si="0"/>
        <v>1.8412445021999999</v>
      </c>
    </row>
    <row r="64" spans="20:23" x14ac:dyDescent="0.25">
      <c r="T64">
        <v>71</v>
      </c>
      <c r="U64" t="s">
        <v>138</v>
      </c>
      <c r="V64" s="60">
        <f>WorkLocationCoefficients!E72</f>
        <v>0.71619685052500004</v>
      </c>
      <c r="W64" s="65">
        <f t="shared" si="0"/>
        <v>0.71619685052500004</v>
      </c>
    </row>
    <row r="65" spans="20:23" x14ac:dyDescent="0.25">
      <c r="T65">
        <v>72</v>
      </c>
      <c r="U65" t="s">
        <v>139</v>
      </c>
      <c r="V65" s="60">
        <f>WorkLocationCoefficients!E73</f>
        <v>-0.101060642888</v>
      </c>
      <c r="W65" s="65">
        <f t="shared" si="0"/>
        <v>-0.101060642888</v>
      </c>
    </row>
    <row r="66" spans="20:23" x14ac:dyDescent="0.25">
      <c r="T66">
        <v>73</v>
      </c>
      <c r="U66" t="s">
        <v>140</v>
      </c>
      <c r="V66" s="60">
        <f>WorkLocationCoefficients!E74</f>
        <v>-0.34132571646100002</v>
      </c>
      <c r="W66" s="65">
        <f t="shared" si="0"/>
        <v>-0.34132571646100002</v>
      </c>
    </row>
    <row r="67" spans="20:23" x14ac:dyDescent="0.25">
      <c r="T67">
        <v>74</v>
      </c>
      <c r="U67" t="s">
        <v>141</v>
      </c>
      <c r="V67" s="60">
        <f>WorkLocationCoefficients!E75</f>
        <v>1.0486549950899999</v>
      </c>
      <c r="W67" s="65">
        <f t="shared" si="0"/>
        <v>1.0486549950899999</v>
      </c>
    </row>
    <row r="68" spans="20:23" x14ac:dyDescent="0.25">
      <c r="T68">
        <v>75</v>
      </c>
      <c r="U68" t="s">
        <v>142</v>
      </c>
      <c r="V68" s="60">
        <f>WorkLocationCoefficients!E76</f>
        <v>-30</v>
      </c>
      <c r="W68" s="65">
        <f t="shared" ref="W68:W75" si="20">V68</f>
        <v>-30</v>
      </c>
    </row>
    <row r="69" spans="20:23" x14ac:dyDescent="0.25">
      <c r="T69">
        <v>76</v>
      </c>
      <c r="U69" t="s">
        <v>143</v>
      </c>
      <c r="V69" s="60">
        <f>WorkLocationCoefficients!E77</f>
        <v>0.91468797064200003</v>
      </c>
      <c r="W69" s="65">
        <f t="shared" si="20"/>
        <v>0.91468797064200003</v>
      </c>
    </row>
    <row r="70" spans="20:23" x14ac:dyDescent="0.25">
      <c r="T70">
        <v>77</v>
      </c>
      <c r="U70" t="s">
        <v>144</v>
      </c>
      <c r="V70" s="60">
        <f>WorkLocationCoefficients!E78</f>
        <v>-1.1830909132</v>
      </c>
      <c r="W70" s="65">
        <f t="shared" si="20"/>
        <v>-1.1830909132</v>
      </c>
    </row>
    <row r="71" spans="20:23" x14ac:dyDescent="0.25">
      <c r="T71">
        <v>78</v>
      </c>
      <c r="U71" t="s">
        <v>145</v>
      </c>
      <c r="V71" s="60">
        <f>WorkLocationCoefficients!E79</f>
        <v>1.4576625009499999</v>
      </c>
      <c r="W71" s="65">
        <f t="shared" si="20"/>
        <v>1.4576625009499999</v>
      </c>
    </row>
    <row r="72" spans="20:23" x14ac:dyDescent="0.25">
      <c r="T72">
        <v>79</v>
      </c>
      <c r="U72" t="s">
        <v>146</v>
      </c>
      <c r="V72" s="60">
        <f>WorkLocationCoefficients!E80</f>
        <v>-1.62636517084</v>
      </c>
      <c r="W72" s="65">
        <f t="shared" si="20"/>
        <v>-1.62636517084</v>
      </c>
    </row>
    <row r="73" spans="20:23" x14ac:dyDescent="0.25">
      <c r="T73">
        <v>80</v>
      </c>
      <c r="U73" t="s">
        <v>147</v>
      </c>
      <c r="V73" s="60">
        <f>WorkLocationCoefficients!E81</f>
        <v>0</v>
      </c>
      <c r="W73" s="65">
        <f t="shared" si="20"/>
        <v>0</v>
      </c>
    </row>
    <row r="74" spans="20:23" x14ac:dyDescent="0.25">
      <c r="T74">
        <v>90</v>
      </c>
      <c r="U74" t="s">
        <v>148</v>
      </c>
      <c r="V74" s="60">
        <f>WorkLocationCoefficients!E82</f>
        <v>0.196143079927</v>
      </c>
      <c r="W74" s="65">
        <f t="shared" si="20"/>
        <v>0.196143079927</v>
      </c>
    </row>
    <row r="75" spans="20:23" x14ac:dyDescent="0.25">
      <c r="T75">
        <v>98</v>
      </c>
      <c r="U75" t="s">
        <v>149</v>
      </c>
      <c r="V75" s="60">
        <f>WorkLocationCoefficients!E83</f>
        <v>0</v>
      </c>
      <c r="W75" s="65">
        <f t="shared" si="20"/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2017-04-27T23:07:12Z</dcterms:modified>
</cp:coreProperties>
</file>