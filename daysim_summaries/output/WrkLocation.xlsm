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codeName="{8C4F1C90-05EB-6A55-5F09-09C24B55AC0B}" lastEdited="5" lowestEdited="4" rupBuild="9303"/>
  <workbookPr codeName="ThisWorkbook" defaultThemeVersion="124226"/>
  <bookViews>
    <workbookView activeTab="3" windowHeight="11790" windowWidth="27060" xWindow="-15" yWindow="-15"/>
  </bookViews>
  <sheets>
    <sheet name="TLFD" r:id="rId1" sheetId="3"/>
    <sheet name="TDFD" r:id="rId2" sheetId="4"/>
    <sheet name="TDFD_Agg" r:id="rId3" sheetId="10"/>
    <sheet name="County_Flow" r:id="rId4" sheetId="1"/>
    <sheet name="WorkAtHome" r:id="rId5" sheetId="8"/>
    <sheet name="Documentation" r:id="rId6" sheetId="7"/>
    <sheet name="CoeffDef" r:id="rId7" sheetId="11"/>
    <sheet name="WorkLocationCoefficients" r:id="rId8" sheetId="13"/>
    <sheet name="calibration" r:id="rId9" sheetId="12"/>
  </sheets>
  <definedNames>
    <definedName name="athm">WorkAtHome!$I$7:$K$12</definedName>
    <definedName name="avgdist">TLFD!$O$11:$O$14</definedName>
    <definedName name="avgtime">TDFD!$O$11:$O$14</definedName>
    <definedName name="flows">County_Flow!$X$7:$Z$12</definedName>
    <definedName name="tot">WorkAtHome!$I$18:$K$23</definedName>
    <definedName name="Wrk_dist">TLFD!$H$11:$J$101</definedName>
    <definedName name="Wrk_time">TDFD!$H$11:$J$101</definedName>
    <definedName name="out1">TLFD!$B$11:$D$101</definedName>
    <definedName name="out3">TDFD!$B$11:$D$101</definedName>
    <definedName name="out5">TLFD!$N$11:$N$14</definedName>
    <definedName name="out7">TDFD!$N$11:$N$14</definedName>
    <definedName name="out9">County_Flow!$B$7:$I$13</definedName>
    <definedName name="out11">WorkAtHome!$B$18:$D$24</definedName>
    <definedName name="out13">WorkAtHome!$B$7:$D$13</definedName>
    <definedName name="out2">TLFD!$H$11:$J$101</definedName>
    <definedName name="out4">TDFD!$H$11:$J$101</definedName>
    <definedName name="out6">TLFD!$O$11:$O$14</definedName>
    <definedName name="out8">TDFD!$O$11:$O$14</definedName>
    <definedName name="out10">County_Flow!$X$7:$AE$13</definedName>
    <definedName name="out12">WorkAtHome!$I$18:$K$24</definedName>
    <definedName name="out14">WorkAtHome!$I$7:$K$13</definedName>
  </definedNames>
  <calcPr calcId="145621"/>
</workbook>
</file>

<file path=xl/calcChain.xml><?xml version="1.0" encoding="utf-8"?>
<calcChain xmlns="http://schemas.openxmlformats.org/spreadsheetml/2006/main">
  <c i="1" l="1" r="AF56"/>
  <c i="1" r="AE56"/>
  <c i="1" r="AD56"/>
  <c i="1" r="AC56"/>
  <c i="1" r="AB56"/>
  <c i="1" r="AA56"/>
  <c i="1" r="Z56"/>
  <c i="1" r="Y56"/>
  <c i="1" r="X56"/>
  <c i="1" r="AF55"/>
  <c i="1" r="AE55"/>
  <c i="1" r="AD55"/>
  <c i="1" r="AC55"/>
  <c i="1" r="AB55"/>
  <c i="1" r="AA55"/>
  <c i="1" r="Z55"/>
  <c i="1" r="Y55"/>
  <c i="1" r="X55"/>
  <c i="1" r="AF54"/>
  <c i="1" r="AE54"/>
  <c i="1" r="AD54"/>
  <c i="1" r="AC54"/>
  <c i="1" r="AB54"/>
  <c i="1" r="AA54"/>
  <c i="1" r="Z54"/>
  <c i="1" r="Y54"/>
  <c i="1" r="X54"/>
  <c i="1" r="AF53"/>
  <c i="1" r="AE53"/>
  <c i="1" r="AD53"/>
  <c i="1" r="AC53"/>
  <c i="1" r="AB53"/>
  <c i="1" r="AA53"/>
  <c i="1" r="Z53"/>
  <c i="1" r="Y53"/>
  <c i="1" r="X53"/>
  <c i="1" r="AF52"/>
  <c i="1" r="AE52"/>
  <c i="1" r="AD52"/>
  <c i="1" r="AC52"/>
  <c i="1" r="AB52"/>
  <c i="1" r="AA52"/>
  <c i="1" r="Z52"/>
  <c i="1" r="Y52"/>
  <c i="1" r="X52"/>
  <c i="1" r="AF51"/>
  <c i="1" r="AE51"/>
  <c i="1" r="AD51"/>
  <c i="1" r="AC51"/>
  <c i="1" r="AB51"/>
  <c i="1" r="AA51"/>
  <c i="1" r="Z51"/>
  <c i="1" r="Y51"/>
  <c i="1" r="X51"/>
  <c i="1" r="AF50"/>
  <c i="1" r="AE50"/>
  <c i="1" r="AD50"/>
  <c i="1" r="AC50"/>
  <c i="1" r="AB50"/>
  <c i="1" r="AA50"/>
  <c i="1" r="Z50"/>
  <c i="1" r="Y50"/>
  <c i="1" r="X50"/>
  <c i="1" r="AF49"/>
  <c i="1" r="AE49"/>
  <c i="1" r="AD49"/>
  <c i="1" r="AC49"/>
  <c i="1" r="AB49"/>
  <c i="1" r="AA49"/>
  <c i="1" r="Z49"/>
  <c i="1" r="Y49"/>
  <c i="1" r="X49"/>
  <c i="1" r="AF48"/>
  <c i="1" r="AE48"/>
  <c i="1" r="AD48"/>
  <c i="1" r="AC48"/>
  <c i="1" r="AB48"/>
  <c i="1" r="AA48"/>
  <c i="1" r="Z48"/>
  <c i="1" r="Y48"/>
  <c i="1" r="X48"/>
  <c i="1" r="J40"/>
  <c i="1" r="I40"/>
  <c i="1" r="H40"/>
  <c i="1" r="G40"/>
  <c i="1" r="F40"/>
  <c i="1" r="E40"/>
  <c i="1" r="D40"/>
  <c i="1" r="C40"/>
  <c i="1" r="B40"/>
  <c i="1" r="J39"/>
  <c i="1" r="I39"/>
  <c i="1" r="H39"/>
  <c i="1" r="G39"/>
  <c i="1" r="F39"/>
  <c i="1" r="E39"/>
  <c i="1" r="D39"/>
  <c i="1" r="C39"/>
  <c i="1" r="B39"/>
  <c i="1" r="J38"/>
  <c i="1" r="I38"/>
  <c i="1" r="H38"/>
  <c i="1" r="G38"/>
  <c i="1" r="F38"/>
  <c i="1" r="E38"/>
  <c i="1" r="D38"/>
  <c i="1" r="C38"/>
  <c i="1" r="B38"/>
  <c i="1" r="J37"/>
  <c i="1" r="I37"/>
  <c i="1" r="H37"/>
  <c i="1" r="G37"/>
  <c i="1" r="F37"/>
  <c i="1" r="E37"/>
  <c i="1" r="D37"/>
  <c i="1" r="C37"/>
  <c i="1" r="B37"/>
  <c i="1" r="J36"/>
  <c i="1" r="I36"/>
  <c i="1" r="H36"/>
  <c i="1" r="G36"/>
  <c i="1" r="F36"/>
  <c i="1" r="E36"/>
  <c i="1" r="D36"/>
  <c i="1" r="C36"/>
  <c i="1" r="B36"/>
  <c i="1" r="J35"/>
  <c i="1" r="I35"/>
  <c i="1" r="H35"/>
  <c i="1" r="G35"/>
  <c i="1" r="F35"/>
  <c i="1" r="E35"/>
  <c i="1" r="D35"/>
  <c i="1" r="C35"/>
  <c i="1" r="B35"/>
  <c i="1" r="J34"/>
  <c i="1" r="J42" s="1"/>
  <c i="1" r="I34"/>
  <c i="1" r="I42" s="1"/>
  <c i="1" r="H34"/>
  <c i="1" r="H42" s="1"/>
  <c i="1" r="G34"/>
  <c i="1" r="G42" s="1"/>
  <c i="1" r="F34"/>
  <c i="1" r="F42" s="1"/>
  <c i="1" r="E34"/>
  <c i="1" r="E42" s="1"/>
  <c i="1" r="D34"/>
  <c i="1" r="D42" s="1"/>
  <c i="1" r="C34"/>
  <c i="1" r="C42" s="1"/>
  <c i="1" r="B34"/>
  <c i="1" r="J41"/>
  <c i="1" r="I33"/>
  <c i="1" r="H33"/>
  <c i="1" r="G33"/>
  <c i="1" r="F33"/>
  <c i="1" r="E33"/>
  <c i="1" r="D33"/>
  <c i="1" r="C33"/>
  <c i="1" r="B33"/>
  <c i="1" r="I26"/>
  <c i="1" r="H26"/>
  <c i="1" r="G26"/>
  <c i="1" r="F26"/>
  <c i="1" r="E26"/>
  <c i="1" r="D26"/>
  <c i="1" r="C26"/>
  <c i="1" r="B26"/>
  <c i="1" r="I25"/>
  <c i="1" r="H25"/>
  <c i="1" r="G25"/>
  <c i="1" r="F25"/>
  <c i="1" r="E25"/>
  <c i="1" r="D25"/>
  <c i="1" r="C25"/>
  <c i="1" r="B25"/>
  <c i="1" r="I24"/>
  <c i="1" r="H24"/>
  <c i="1" r="G24"/>
  <c i="1" r="F24"/>
  <c i="1" r="E24"/>
  <c i="1" r="D24"/>
  <c i="1" r="C24"/>
  <c i="1" r="B24"/>
  <c i="1" r="I23"/>
  <c i="1" r="H23"/>
  <c i="1" r="G23"/>
  <c i="1" r="G28" s="1"/>
  <c i="1" r="F23"/>
  <c i="1" r="F28" s="1"/>
  <c i="1" r="E23"/>
  <c i="1" r="D23"/>
  <c i="1" r="C23"/>
  <c i="1" r="B23"/>
  <c i="1" r="J23" s="1"/>
  <c i="1" r="I22"/>
  <c i="1" r="H22"/>
  <c i="1" r="G22"/>
  <c i="1" r="F22"/>
  <c i="1" r="E22"/>
  <c i="1" r="D22"/>
  <c i="1" r="C22"/>
  <c i="1" r="B22"/>
  <c i="1" r="I21"/>
  <c i="1" r="H21"/>
  <c i="1" r="G21"/>
  <c i="1" r="F21"/>
  <c i="1" r="E21"/>
  <c i="1" r="D21"/>
  <c i="1" r="C21"/>
  <c i="1" r="B21"/>
  <c i="1" r="I20"/>
  <c i="1" r="I28" s="1"/>
  <c i="1" r="H20"/>
  <c i="1" r="H28" s="1"/>
  <c i="1" r="G20"/>
  <c i="1" r="F20"/>
  <c i="1" r="E20"/>
  <c i="1" r="E28" s="1"/>
  <c i="1" r="D20"/>
  <c i="1" r="D28" s="1"/>
  <c i="1" r="C20"/>
  <c i="1" r="J20" s="1"/>
  <c i="1" r="B20"/>
  <c i="1" r="J25"/>
  <c i="1" r="J24"/>
  <c i="1" r="C28"/>
  <c i="1" r="J22"/>
  <c i="1" r="J21"/>
  <c i="1" r="J27"/>
  <c i="1" r="J26"/>
  <c i="1" r="I19"/>
  <c i="1" r="H19"/>
  <c i="1" r="G19"/>
  <c i="1" r="F19"/>
  <c i="1" r="E19"/>
  <c i="1" r="D19"/>
  <c i="1" r="C19"/>
  <c i="1" r="B19"/>
  <c i="1" l="1" r="B42"/>
  <c i="1" r="J28"/>
  <c i="1" r="B28"/>
  <c i="8" l="1" r="B29"/>
  <c i="12" l="1" r="B7"/>
  <c i="12" l="1" r="V4"/>
  <c i="12" r="W4" s="1"/>
  <c i="12" r="V5"/>
  <c i="12" r="W5" s="1"/>
  <c i="12" r="V6"/>
  <c i="12" r="W6" s="1"/>
  <c i="12" r="V7"/>
  <c i="12" r="W7" s="1"/>
  <c i="12" r="V8"/>
  <c i="12" r="N14" s="1"/>
  <c i="12" r="V9"/>
  <c i="12" r="N15" s="1"/>
  <c i="12" r="V10"/>
  <c i="12" r="N16" s="1"/>
  <c i="12" r="V11"/>
  <c i="12" r="W11" s="1"/>
  <c i="12" r="V12"/>
  <c i="12" r="W12" s="1"/>
  <c i="12" r="V13"/>
  <c i="12" r="W13" s="1"/>
  <c i="12" r="V14"/>
  <c i="12" r="W14" s="1"/>
  <c i="12" r="V15"/>
  <c i="12" r="W15" s="1"/>
  <c i="12" r="V16"/>
  <c i="12" r="W16" s="1"/>
  <c i="12" r="V17"/>
  <c i="12" r="W17" s="1"/>
  <c i="12" r="V18"/>
  <c i="12" r="W18" s="1"/>
  <c i="12" r="V19"/>
  <c i="12" r="W19" s="1"/>
  <c i="12" r="V20"/>
  <c i="12" r="W20" s="1"/>
  <c i="12" r="V21"/>
  <c i="12" r="W21" s="1"/>
  <c i="12" r="V22"/>
  <c i="12" r="W22" s="1"/>
  <c i="12" r="V23"/>
  <c i="12" r="W23" s="1"/>
  <c i="12" r="V24"/>
  <c i="12" r="W24" s="1"/>
  <c i="12" r="V25"/>
  <c i="12" r="W25" s="1"/>
  <c i="12" r="V26"/>
  <c i="12" r="W26" s="1"/>
  <c i="12" r="V27"/>
  <c i="12" r="W27" s="1"/>
  <c i="12" r="V28"/>
  <c i="12" r="W28" s="1"/>
  <c i="12" r="V29"/>
  <c i="12" r="W29" s="1"/>
  <c i="12" r="V30"/>
  <c i="12" r="W30" s="1"/>
  <c i="12" r="V31"/>
  <c i="12" r="W31" s="1"/>
  <c i="12" r="V32"/>
  <c i="12" r="W32" s="1"/>
  <c i="12" r="V33"/>
  <c i="12" r="W33" s="1"/>
  <c i="12" r="V34"/>
  <c i="12" r="W34" s="1"/>
  <c i="12" r="V35"/>
  <c i="12" r="W35" s="1"/>
  <c i="12" r="V36"/>
  <c i="12" r="W36" s="1"/>
  <c i="12" r="V37"/>
  <c i="12" r="W37" s="1"/>
  <c i="12" r="V38"/>
  <c i="12" r="W38" s="1"/>
  <c i="12" r="V39"/>
  <c i="12" r="N31" s="1"/>
  <c i="12" r="V40"/>
  <c i="12" r="W40" s="1"/>
  <c i="12" r="V41"/>
  <c i="12" r="W41" s="1"/>
  <c i="12" r="V42"/>
  <c i="12" r="W42" s="1"/>
  <c i="12" r="V43"/>
  <c i="12" r="W43" s="1"/>
  <c i="12" r="V44"/>
  <c i="12" r="W44" s="1"/>
  <c i="12" r="V45"/>
  <c i="12" r="W45" s="1"/>
  <c i="12" r="V46"/>
  <c i="12" r="W46" s="1"/>
  <c i="12" r="V47"/>
  <c i="12" r="W47" s="1"/>
  <c i="12" r="V48"/>
  <c i="12" r="W48" s="1"/>
  <c i="12" r="V49"/>
  <c i="12" r="W49" s="1"/>
  <c i="12" r="V50"/>
  <c i="12" r="W50" s="1"/>
  <c i="12" r="V51"/>
  <c i="12" r="W51" s="1"/>
  <c i="12" r="V52"/>
  <c i="12" r="W52" s="1"/>
  <c i="12" r="V53"/>
  <c i="12" r="W53" s="1"/>
  <c i="12" r="V54"/>
  <c i="12" r="W54" s="1"/>
  <c i="12" r="V55"/>
  <c i="12" r="W55" s="1"/>
  <c i="12" r="V56"/>
  <c i="12" r="W56" s="1"/>
  <c i="12" r="V57"/>
  <c i="12" r="W57" s="1"/>
  <c i="12" r="V58"/>
  <c i="12" r="W58" s="1"/>
  <c i="12" r="V59"/>
  <c i="12" r="W59" s="1"/>
  <c i="12" r="V60"/>
  <c i="12" r="W60" s="1"/>
  <c i="12" r="V61"/>
  <c i="12" r="W61" s="1"/>
  <c i="12" r="V62"/>
  <c i="12" r="W62" s="1"/>
  <c i="12" r="V63"/>
  <c i="12" r="W63" s="1"/>
  <c i="12" r="V64"/>
  <c i="12" r="W64" s="1"/>
  <c i="12" r="V65"/>
  <c i="12" r="W65" s="1"/>
  <c i="12" r="V66"/>
  <c i="12" r="W66" s="1"/>
  <c i="12" r="V67"/>
  <c i="12" r="W67" s="1"/>
  <c i="12" r="V68"/>
  <c i="12" r="W68" s="1"/>
  <c i="12" r="V69"/>
  <c i="12" r="W69" s="1"/>
  <c i="12" r="V70"/>
  <c i="12" r="W70" s="1"/>
  <c i="12" r="V71"/>
  <c i="12" r="W71" s="1"/>
  <c i="12" r="V72"/>
  <c i="12" r="W72" s="1"/>
  <c i="12" r="V73"/>
  <c i="12" r="W73" s="1"/>
  <c i="12" r="V74"/>
  <c i="12" r="W74" s="1"/>
  <c i="12" r="V75"/>
  <c i="12" r="W75" s="1"/>
  <c i="12" r="V3"/>
  <c i="12" r="W3" s="1"/>
  <c i="12" r="I7"/>
  <c i="12" r="J7"/>
  <c i="12" r="I8"/>
  <c i="12" r="J8"/>
  <c i="12" r="I9"/>
  <c i="12" r="J9"/>
  <c i="12" r="H9"/>
  <c i="12" r="H8"/>
  <c i="12" r="H7"/>
  <c i="12" r="C9"/>
  <c i="12" r="D9"/>
  <c i="12" r="B9"/>
  <c i="12" r="C8"/>
  <c i="12" r="D8"/>
  <c i="12" r="B8"/>
  <c i="12" r="D7"/>
  <c i="12" r="C7"/>
  <c i="12" l="1" r="J10"/>
  <c i="12" r="J14" s="1"/>
  <c i="12" r="I10"/>
  <c i="12" r="I14" s="1"/>
  <c i="12" r="C10"/>
  <c i="12" r="C14" s="1"/>
  <c i="12" r="B10"/>
  <c i="12" r="B15" s="1"/>
  <c i="12" r="H10"/>
  <c i="12" r="H16" s="1"/>
  <c i="12" r="J16"/>
  <c i="12" r="D10"/>
  <c i="12" r="D15" s="1"/>
  <c i="12" r="E8"/>
  <c i="12" r="E7"/>
  <c i="12" r="K7"/>
  <c i="12" r="K8"/>
  <c i="12" r="K9"/>
  <c i="12" r="E9"/>
  <c i="1" r="Y15"/>
  <c i="1" r="Z15"/>
  <c i="1" r="AA15"/>
  <c i="1" r="AB15"/>
  <c i="1" r="AC15"/>
  <c i="1" r="AD15"/>
  <c i="1" r="AE15"/>
  <c i="1" r="X15"/>
  <c i="1" r="AF8"/>
  <c i="1" r="AF9"/>
  <c i="1" r="AF10"/>
  <c i="1" r="AF11"/>
  <c i="1" r="AF12"/>
  <c i="1" r="AF13"/>
  <c i="1" r="AF14"/>
  <c i="1" r="AF7"/>
  <c i="1" r="J13"/>
  <c i="1" r="H15"/>
  <c i="1" r="N15"/>
  <c i="1" r="O15"/>
  <c i="1" r="P15"/>
  <c i="1" r="Q15"/>
  <c i="1" r="R15"/>
  <c i="1" r="S15"/>
  <c i="1" r="T15"/>
  <c i="1" r="M15"/>
  <c i="1" r="U8"/>
  <c i="1" r="U9"/>
  <c i="1" r="U10"/>
  <c i="1" r="U11"/>
  <c i="1" r="U12"/>
  <c i="1" r="U13"/>
  <c i="1" r="U14"/>
  <c i="1" r="U7"/>
  <c i="12" l="1" r="J15"/>
  <c i="12" r="J17" s="1"/>
  <c i="12" r="D14"/>
  <c i="12" r="E10"/>
  <c i="12" r="E14" s="1"/>
  <c i="12" r="I16"/>
  <c i="12" r="H15"/>
  <c i="12" r="O15" s="1"/>
  <c i="12" r="D16"/>
  <c i="12" r="C15"/>
  <c i="12" r="B16"/>
  <c i="12" r="O16" s="1"/>
  <c i="12" r="H14"/>
  <c i="12" r="H17" s="1"/>
  <c i="12" r="K10"/>
  <c i="12" r="K15" s="1"/>
  <c i="12" r="C16"/>
  <c i="12" r="B17"/>
  <c i="12" r="B14"/>
  <c i="12" r="O14" s="1"/>
  <c i="12" r="P14" s="1"/>
  <c i="12" r="Q14" s="1"/>
  <c i="12" r="W8" s="1"/>
  <c i="12" r="I15"/>
  <c i="12" r="I17" s="1"/>
  <c i="12" r="E16"/>
  <c i="12" r="K16"/>
  <c i="1" r="AF15"/>
  <c i="1" r="U15"/>
  <c i="1" r="S21"/>
  <c i="1" r="S22"/>
  <c i="1" r="S23"/>
  <c i="1" r="S24"/>
  <c i="1" r="S25"/>
  <c i="1" r="S26"/>
  <c i="1" r="S20"/>
  <c i="1" r="N26"/>
  <c i="1" r="O26"/>
  <c i="1" r="P26"/>
  <c i="1" r="Q26"/>
  <c i="1" r="R26"/>
  <c i="1" r="T26"/>
  <c i="1" r="M26"/>
  <c i="1" r="U26" s="1"/>
  <c i="8" r="L24"/>
  <c i="8" r="E24"/>
  <c i="8" r="L13"/>
  <c i="8" r="E13"/>
  <c i="12" l="1" r="P15"/>
  <c i="12" r="Q15" s="1"/>
  <c i="12" r="W9" s="1"/>
  <c i="12" r="C17"/>
  <c i="12" r="K14"/>
  <c i="12" r="K17" s="1"/>
  <c i="12" r="E15"/>
  <c i="12" r="E17" s="1"/>
  <c i="12" r="D17"/>
  <c i="12" r="P16"/>
  <c i="12" r="Q16" s="1"/>
  <c i="12" r="W10" s="1"/>
  <c i="8" r="S13"/>
  <c i="1" r="S28"/>
  <c i="1" r="W54"/>
  <c i="1" r="W40"/>
  <c i="1" r="L40"/>
  <c i="1" r="L26"/>
  <c i="1" r="W13"/>
  <c i="1" r="AD47"/>
  <c i="1" r="AD33"/>
  <c i="1" r="AD6"/>
  <c i="1" r="S33"/>
  <c i="1" r="S19"/>
  <c i="1" r="S6"/>
  <c i="1" r="H6"/>
  <c i="1" r="L13"/>
  <c i="8" r="V35"/>
  <c i="8" r="O35"/>
  <c i="8" r="H35"/>
  <c i="8" r="A35"/>
  <c i="8" r="A24"/>
  <c i="8" r="H24"/>
  <c i="8" r="O24"/>
  <c i="8" r="V24"/>
  <c i="8" r="V13"/>
  <c i="8" r="O13"/>
  <c i="8" r="H13"/>
  <c i="8" l="1" r="X25"/>
  <c i="8" r="Y25"/>
  <c i="8" r="Z25"/>
  <c i="8" r="W25"/>
  <c i="8" r="X14"/>
  <c i="8" r="X36" s="1"/>
  <c i="8" r="Y14"/>
  <c i="8" r="Y36" s="1"/>
  <c i="8" r="Z14"/>
  <c i="8" r="Z36" s="1"/>
  <c i="8" r="W14"/>
  <c i="8" r="W36" s="1"/>
  <c i="8" r="J25"/>
  <c i="8" r="K25"/>
  <c i="8" r="I25"/>
  <c i="8" r="C25"/>
  <c i="8" r="D25"/>
  <c i="8" r="B25"/>
  <c i="8" r="C14"/>
  <c i="8" r="C36" s="1"/>
  <c i="8" r="D14"/>
  <c i="8" r="D36" s="1"/>
  <c i="8" r="B14"/>
  <c i="8" r="J14"/>
  <c i="8" r="J36" s="1"/>
  <c i="8" r="K14"/>
  <c i="8" r="K36" s="1"/>
  <c i="8" r="R36" s="1"/>
  <c i="8" r="I14"/>
  <c i="8" r="I36" s="1"/>
  <c i="8" l="1" r="Q36"/>
  <c i="8" r="B36"/>
  <c i="8" r="P36" s="1"/>
  <c i="8" r="R25"/>
  <c i="8" r="P25"/>
  <c i="8" r="Q25"/>
  <c i="8" r="P14"/>
  <c i="8" r="R14"/>
  <c i="8" r="Q14"/>
  <c i="1" r="M19"/>
  <c i="1" r="N19"/>
  <c i="1" r="O19"/>
  <c i="1" r="P19"/>
  <c i="1" r="Q19"/>
  <c i="1" r="R19"/>
  <c i="1" r="T19"/>
  <c i="1" r="L20"/>
  <c i="1" r="M20"/>
  <c i="1" r="N20"/>
  <c i="1" r="O20"/>
  <c i="1" r="P20"/>
  <c i="1" r="Q20"/>
  <c i="1" r="R20"/>
  <c i="1" r="T20"/>
  <c i="1" r="L21"/>
  <c i="1" r="M21"/>
  <c i="1" r="N21"/>
  <c i="1" r="O21"/>
  <c i="1" r="P21"/>
  <c i="1" r="Q21"/>
  <c i="1" r="R21"/>
  <c i="1" r="T21"/>
  <c i="1" r="L22"/>
  <c i="1" r="M22"/>
  <c i="1" r="N22"/>
  <c i="1" r="O22"/>
  <c i="1" r="P22"/>
  <c i="1" r="Q22"/>
  <c i="1" r="R22"/>
  <c i="1" r="T22"/>
  <c i="1" r="L23"/>
  <c i="1" r="M23"/>
  <c i="1" r="N23"/>
  <c i="1" r="O23"/>
  <c i="1" r="P23"/>
  <c i="1" r="Q23"/>
  <c i="1" r="R23"/>
  <c i="1" r="T23"/>
  <c i="1" r="L24"/>
  <c i="1" r="M24"/>
  <c i="1" r="N24"/>
  <c i="1" r="O24"/>
  <c i="1" r="P24"/>
  <c i="1" r="Q24"/>
  <c i="1" r="R24"/>
  <c i="1" r="T24"/>
  <c i="1" r="L25"/>
  <c i="1" r="M25"/>
  <c i="1" r="N25"/>
  <c i="1" r="O25"/>
  <c i="1" r="P25"/>
  <c i="1" r="Q25"/>
  <c i="1" r="R25"/>
  <c i="1" r="T25"/>
  <c i="1" l="1" r="U23"/>
  <c i="1" r="U21"/>
  <c i="1" r="U25"/>
  <c i="1" r="U24"/>
  <c i="1" r="U22"/>
  <c i="1" r="U20"/>
  <c i="8" l="1" r="V34"/>
  <c i="8" r="V33"/>
  <c i="8" r="V32"/>
  <c i="8" r="V31"/>
  <c i="8" r="V30"/>
  <c i="8" r="V29"/>
  <c i="8" r="O34"/>
  <c i="8" r="O33"/>
  <c i="8" r="O32"/>
  <c i="8" r="O31"/>
  <c i="8" r="O30"/>
  <c i="8" r="O29"/>
  <c i="8" r="H34"/>
  <c i="8" r="H33"/>
  <c i="8" r="H32"/>
  <c i="8" r="H31"/>
  <c i="8" r="H30"/>
  <c i="8" r="H29"/>
  <c i="8" r="A34"/>
  <c i="8" r="A33"/>
  <c i="8" r="A32"/>
  <c i="8" r="A31"/>
  <c i="8" r="A30"/>
  <c i="8" r="A29"/>
  <c i="8" r="V23"/>
  <c i="8" r="V22"/>
  <c i="8" r="V21"/>
  <c i="8" r="V20"/>
  <c i="8" r="V19"/>
  <c i="8" r="V18"/>
  <c i="8" r="O23"/>
  <c i="8" r="O22"/>
  <c i="8" r="O21"/>
  <c i="8" r="O20"/>
  <c i="8" r="O19"/>
  <c i="8" r="O18"/>
  <c i="8" r="H23"/>
  <c i="8" r="H22"/>
  <c i="8" r="H21"/>
  <c i="8" r="H20"/>
  <c i="8" r="H19"/>
  <c i="8" r="H18"/>
  <c i="8" r="A23"/>
  <c i="8" r="A22"/>
  <c i="8" r="A21"/>
  <c i="8" r="A20"/>
  <c i="8" r="A19"/>
  <c i="8" r="A18"/>
  <c i="8" r="V12"/>
  <c i="8" r="V11"/>
  <c i="8" r="V10"/>
  <c i="8" r="V9"/>
  <c i="8" r="V8"/>
  <c i="8" r="V7"/>
  <c i="8" r="O12"/>
  <c i="8" r="O11"/>
  <c i="8" r="O10"/>
  <c i="8" r="O9"/>
  <c i="8" r="O8"/>
  <c i="8" r="O7"/>
  <c i="8" r="H12"/>
  <c i="8" r="H11"/>
  <c i="8" r="H10"/>
  <c i="8" r="H9"/>
  <c i="8" r="H8"/>
  <c i="8" r="H7"/>
  <c i="1" r="AE47"/>
  <c i="1" r="AC47"/>
  <c i="1" r="AB47"/>
  <c i="1" r="AA47"/>
  <c i="1" r="Z47"/>
  <c i="1" r="Y47"/>
  <c i="1" r="X47"/>
  <c i="1" r="AE33"/>
  <c i="1" r="AC33"/>
  <c i="1" r="AB33"/>
  <c i="1" r="AA33"/>
  <c i="1" r="Z33"/>
  <c i="1" r="Y33"/>
  <c i="1" r="X33"/>
  <c i="1" r="T33"/>
  <c i="1" r="R33"/>
  <c i="1" r="Q33"/>
  <c i="1" r="P33"/>
  <c i="1" r="O33"/>
  <c i="1" r="N33"/>
  <c i="1" r="M33"/>
  <c i="1" r="AE6"/>
  <c i="1" r="AC6"/>
  <c i="1" r="AB6"/>
  <c i="1" r="AA6"/>
  <c i="1" r="Z6"/>
  <c i="1" r="Y6"/>
  <c i="1" r="X6"/>
  <c i="1" r="T6"/>
  <c i="1" r="R6"/>
  <c i="1" r="Q6"/>
  <c i="1" r="P6"/>
  <c i="1" r="O6"/>
  <c i="1" r="N6"/>
  <c i="1" r="M6"/>
  <c i="1" r="I6"/>
  <c i="1" r="G6"/>
  <c i="1" r="F6"/>
  <c i="1" r="E6"/>
  <c i="1" r="D6"/>
  <c i="1" r="C6"/>
  <c i="1" r="B6"/>
  <c i="1" r="W53"/>
  <c i="1" r="W52"/>
  <c i="1" r="W51"/>
  <c i="1" r="W50"/>
  <c i="1" r="W49"/>
  <c i="1" r="W48"/>
  <c i="1" r="W39"/>
  <c i="1" r="W38"/>
  <c i="1" r="W37"/>
  <c i="1" r="W36"/>
  <c i="1" r="W35"/>
  <c i="1" r="W34"/>
  <c i="1" r="L39"/>
  <c i="1" r="L38"/>
  <c i="1" r="L37"/>
  <c i="1" r="L36"/>
  <c i="1" r="L35"/>
  <c i="1" r="L34"/>
  <c i="1" r="W12"/>
  <c i="1" r="W11"/>
  <c i="1" r="W10"/>
  <c i="1" r="W9"/>
  <c i="1" r="W8"/>
  <c i="1" r="W7"/>
  <c i="1" r="L12"/>
  <c i="1" r="L11"/>
  <c i="1" r="L10"/>
  <c i="1" r="L9"/>
  <c i="1" r="L8"/>
  <c i="1" r="L7"/>
  <c i="8" l="1" r="E19"/>
  <c i="8" r="E20"/>
  <c i="8" r="E21"/>
  <c i="8" r="E22"/>
  <c i="8" r="E23"/>
  <c i="8" r="L20"/>
  <c i="8" r="L21"/>
  <c i="8" r="L22"/>
  <c i="8" r="L9"/>
  <c i="8" r="L10"/>
  <c i="8" r="L11"/>
  <c i="8" r="E8"/>
  <c i="8" r="E9"/>
  <c i="8" r="E10"/>
  <c i="8" r="E11"/>
  <c i="1" r="J9"/>
  <c i="1" r="J10"/>
  <c i="1" r="J11"/>
  <c i="3" r="E101"/>
  <c i="8" l="1" r="W31"/>
  <c i="8" r="X31"/>
  <c i="8" r="Y31"/>
  <c i="8" r="Z31"/>
  <c i="8" r="W32"/>
  <c i="8" r="X32"/>
  <c i="8" r="Y32"/>
  <c i="8" r="Z32"/>
  <c i="8" r="W33"/>
  <c i="8" r="X33"/>
  <c i="8" r="Y33"/>
  <c i="8" r="Z33"/>
  <c i="8" r="B31"/>
  <c i="8" r="C31"/>
  <c i="8" r="D31"/>
  <c i="8" r="E31"/>
  <c i="8" r="B32"/>
  <c i="8" r="C32"/>
  <c i="8" r="D32"/>
  <c i="8" r="E32"/>
  <c i="8" r="B33"/>
  <c i="8" r="C33"/>
  <c i="8" r="D33"/>
  <c i="8" r="E33"/>
  <c i="8" r="I31"/>
  <c i="8" r="J31"/>
  <c i="8" r="Q31" s="1"/>
  <c i="8" r="K31"/>
  <c i="8" r="R31" s="1"/>
  <c i="8" r="L31"/>
  <c i="8" r="S31" s="1"/>
  <c i="8" r="I32"/>
  <c i="8" r="J32"/>
  <c i="8" r="K32"/>
  <c i="8" r="L32"/>
  <c i="8" r="I33"/>
  <c i="8" r="J33"/>
  <c i="8" r="K33"/>
  <c i="8" r="L33"/>
  <c i="8" r="P20"/>
  <c i="8" r="Q20"/>
  <c i="8" r="R20"/>
  <c i="8" r="S20"/>
  <c i="8" r="P21"/>
  <c i="8" r="Q21"/>
  <c i="8" r="R21"/>
  <c i="8" r="S21"/>
  <c i="8" r="P22"/>
  <c i="8" r="Q22"/>
  <c i="8" r="R22"/>
  <c i="8" r="S22"/>
  <c i="8" r="P9"/>
  <c i="8" r="Q9"/>
  <c i="8" r="R9"/>
  <c i="8" r="S9"/>
  <c i="8" r="P10"/>
  <c i="8" r="Q10"/>
  <c i="8" r="R10"/>
  <c i="8" r="S10"/>
  <c i="8" r="P11"/>
  <c i="8" r="Q11"/>
  <c i="8" r="R11"/>
  <c i="8" r="S11"/>
  <c i="1" r="G15"/>
  <c i="1" r="F15"/>
  <c i="1" r="E15"/>
  <c i="8" l="1" r="S32"/>
  <c i="8" r="R32"/>
  <c i="8" r="Q32"/>
  <c i="8" r="R33"/>
  <c i="8" r="P33"/>
  <c i="8" r="S33"/>
  <c i="8" r="P32"/>
  <c i="8" r="Q33"/>
  <c i="8" r="P31"/>
  <c i="8" r="P7"/>
  <c i="8" r="Q7"/>
  <c i="8" r="R7"/>
  <c i="8" r="P8"/>
  <c i="8" r="Q8"/>
  <c i="8" r="R8"/>
  <c i="8" r="P12"/>
  <c i="8" r="Q12"/>
  <c i="8" r="R12"/>
  <c i="4" l="1" r="E101"/>
  <c i="4" r="E100"/>
  <c i="4" r="E99"/>
  <c i="4" r="E98"/>
  <c i="4" r="E97"/>
  <c i="4" r="E96"/>
  <c i="4" r="E95"/>
  <c i="4" r="E94"/>
  <c i="4" r="E93"/>
  <c i="4" r="E92"/>
  <c i="4" r="E91"/>
  <c i="4" r="E90"/>
  <c i="4" r="E89"/>
  <c i="4" r="E88"/>
  <c i="4" r="E87"/>
  <c i="4" r="E86"/>
  <c i="4" r="E85"/>
  <c i="4" r="E84"/>
  <c i="4" r="E83"/>
  <c i="4" r="E82"/>
  <c i="4" r="E81"/>
  <c i="4" r="E80"/>
  <c i="4" r="E79"/>
  <c i="4" r="E78"/>
  <c i="4" r="E77"/>
  <c i="4" r="E76"/>
  <c i="4" r="E75"/>
  <c i="4" r="E74"/>
  <c i="4" r="E73"/>
  <c i="4" r="E72"/>
  <c i="4" r="E71"/>
  <c i="4" r="E70"/>
  <c i="4" r="E69"/>
  <c i="4" r="E68"/>
  <c i="4" r="E67"/>
  <c i="4" r="E66"/>
  <c i="4" r="E65"/>
  <c i="4" r="E64"/>
  <c i="4" r="E63"/>
  <c i="4" r="E62"/>
  <c i="4" r="E61"/>
  <c i="4" r="E60"/>
  <c i="4" r="E59"/>
  <c i="4" r="E58"/>
  <c i="4" r="E57"/>
  <c i="4" r="E56"/>
  <c i="4" r="E55"/>
  <c i="4" r="E54"/>
  <c i="4" r="E53"/>
  <c i="4" r="E52"/>
  <c i="4" r="E51"/>
  <c i="4" r="E50"/>
  <c i="4" r="E49"/>
  <c i="4" r="E48"/>
  <c i="4" r="E47"/>
  <c i="4" r="E46"/>
  <c i="4" r="E45"/>
  <c i="4" r="E44"/>
  <c i="4" r="E43"/>
  <c i="4" r="E42"/>
  <c i="4" r="E41"/>
  <c i="4" r="E40"/>
  <c i="4" r="E39"/>
  <c i="4" r="E38"/>
  <c i="4" r="E37"/>
  <c i="4" r="E36"/>
  <c i="4" r="E35"/>
  <c i="4" r="E34"/>
  <c i="4" r="E33"/>
  <c i="4" r="E32"/>
  <c i="4" r="E31"/>
  <c i="4" r="E30"/>
  <c i="4" r="E29"/>
  <c i="4" r="E28"/>
  <c i="4" r="E27"/>
  <c i="4" r="E26"/>
  <c i="4" r="E25"/>
  <c i="4" r="E24"/>
  <c i="4" r="E23"/>
  <c i="4" r="E22"/>
  <c i="4" r="E21"/>
  <c i="4" r="E20"/>
  <c i="4" r="E19"/>
  <c i="4" r="E18"/>
  <c i="4" r="E17"/>
  <c i="4" r="E16"/>
  <c i="4" r="E15"/>
  <c i="4" r="E14"/>
  <c i="4" r="E13"/>
  <c i="4" r="E12"/>
  <c i="4" r="E1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8" r="E18"/>
  <c i="8" r="E12"/>
  <c i="8" r="E7"/>
  <c i="8" r="Z34"/>
  <c i="8" r="Y34"/>
  <c i="8" r="X34"/>
  <c i="8" r="W34"/>
  <c i="8" r="Z30"/>
  <c i="8" r="Y30"/>
  <c i="8" r="X30"/>
  <c i="8" r="W30"/>
  <c i="8" r="Z29"/>
  <c i="8" r="Y29"/>
  <c i="8" r="X29"/>
  <c i="8" r="W29"/>
  <c i="8" l="1" r="Y35"/>
  <c i="1" r="S27"/>
  <c i="8" r="X35"/>
  <c i="8" r="Z35"/>
  <c i="8" r="W35"/>
  <c i="8" r="E14"/>
  <c i="8" r="E25"/>
  <c i="12" r="B27" s="1"/>
  <c i="12" r="B32" s="1"/>
  <c i="8" r="P18"/>
  <c i="8" r="Q18"/>
  <c i="8" r="R18"/>
  <c i="8" r="P19"/>
  <c i="8" r="Q19"/>
  <c i="8" r="R19"/>
  <c i="8" r="P23"/>
  <c i="8" r="Q23"/>
  <c i="8" r="R23"/>
  <c i="1" r="J14"/>
  <c i="12" l="1" r="B26"/>
  <c i="8" r="E36"/>
  <c i="12" r="B31"/>
  <c i="1" r="P27"/>
  <c i="1" r="P28" s="1"/>
  <c i="1" r="R27"/>
  <c i="1" r="R28" s="1"/>
  <c i="1" r="M27"/>
  <c i="1" r="Q27"/>
  <c i="1" r="Q28" s="1"/>
  <c i="1" r="N27"/>
  <c i="1" r="N28" s="1"/>
  <c i="1" r="T27"/>
  <c i="1" r="T28" s="1"/>
  <c i="1" r="O27"/>
  <c i="1" r="O28" s="1"/>
  <c i="1" r="I15"/>
  <c i="1" r="D15"/>
  <c i="1" r="C15"/>
  <c i="1" r="B15"/>
  <c i="1" r="J12"/>
  <c i="1" r="J8"/>
  <c i="1" r="J7"/>
  <c i="1" l="1" r="U27"/>
  <c i="1" r="U28" s="1"/>
  <c i="1" r="M28"/>
  <c i="8" r="P24"/>
  <c i="1" r="J15"/>
  <c i="1" l="1" r="S37"/>
  <c i="1" r="O40"/>
  <c i="1" r="Q40"/>
  <c i="1" r="Q41"/>
  <c i="1" r="M41"/>
  <c i="1" r="S38"/>
  <c i="1" r="P40"/>
  <c i="1" r="R40"/>
  <c i="1" r="T40"/>
  <c i="1" r="S39"/>
  <c i="1" r="S34"/>
  <c i="1" r="P41"/>
  <c i="1" r="T41"/>
  <c i="1" r="S40"/>
  <c i="1" r="O41"/>
  <c i="1" r="S41"/>
  <c i="1" r="N40"/>
  <c i="1" r="N41"/>
  <c i="1" r="R41"/>
  <c i="1" r="S36"/>
  <c i="1" r="S35"/>
  <c i="1" r="M40"/>
  <c i="8" r="L23"/>
  <c i="8" r="S23" s="1"/>
  <c i="8" r="L19"/>
  <c i="8" r="S19" s="1"/>
  <c i="8" r="L18"/>
  <c i="8" r="L8"/>
  <c i="8" r="S8" s="1"/>
  <c i="8" r="L12"/>
  <c i="8" r="S12" s="1"/>
  <c i="8" r="L7"/>
  <c i="8" r="K34"/>
  <c i="8" r="J34"/>
  <c i="8" r="I34"/>
  <c i="8" r="K30"/>
  <c i="8" r="J30"/>
  <c i="8" r="I30"/>
  <c i="8" r="K29"/>
  <c i="8" r="J29"/>
  <c i="8" r="I29"/>
  <c i="1" l="1" r="S42"/>
  <c i="1" r="U40"/>
  <c i="8" r="S7"/>
  <c i="8" r="L14"/>
  <c i="8" r="S18"/>
  <c i="8" r="L25"/>
  <c i="8" r="S24"/>
  <c i="8" r="L29"/>
  <c i="8" r="J35"/>
  <c i="8" r="L30"/>
  <c i="8" r="K35"/>
  <c i="8" r="L34"/>
  <c i="8" r="I35"/>
  <c i="12" l="1" r="H26"/>
  <c i="8" r="L36"/>
  <c i="8" r="S36" s="1"/>
  <c i="8" r="S25"/>
  <c i="12" r="H27"/>
  <c i="12" r="H32" s="1"/>
  <c i="8" r="S14"/>
  <c i="8" r="L35"/>
  <c i="12" l="1" r="H31"/>
  <c i="12" r="O31" s="1"/>
  <c i="12" r="P31" s="1"/>
  <c i="12" r="Q31" s="1"/>
  <c i="12" r="W39" s="1"/>
  <c i="10" r="B11"/>
  <c i="10" r="O22"/>
  <c i="10" r="P22"/>
  <c i="10" r="N22"/>
  <c i="10" r="C22"/>
  <c i="10" r="D22"/>
  <c i="10" r="B22"/>
  <c i="10" r="O21"/>
  <c i="10" r="P21"/>
  <c i="10" r="N21"/>
  <c i="10" r="C21"/>
  <c i="10" r="D21"/>
  <c i="10" r="B21"/>
  <c i="10" r="O20"/>
  <c i="10" r="P20"/>
  <c i="10" r="N20"/>
  <c i="10" r="C20"/>
  <c i="10" r="D20"/>
  <c i="10" r="B20"/>
  <c i="10" r="O19"/>
  <c i="10" r="P19"/>
  <c i="10" r="N19"/>
  <c i="10" r="C19"/>
  <c i="10" r="D19"/>
  <c i="10" r="B19"/>
  <c i="10" r="O18"/>
  <c i="10" r="P18"/>
  <c i="10" r="N18"/>
  <c i="10" r="C18"/>
  <c i="10" r="D18"/>
  <c i="10" r="B18"/>
  <c i="10" r="O17"/>
  <c i="10" r="P17"/>
  <c i="10" r="N17"/>
  <c i="10" r="C17"/>
  <c i="10" r="D17"/>
  <c i="10" r="B17"/>
  <c i="10" r="O16"/>
  <c i="10" r="P16"/>
  <c i="10" r="N16"/>
  <c i="10" r="C16"/>
  <c i="10" r="D16"/>
  <c i="10" r="B16"/>
  <c i="10" r="O15"/>
  <c i="10" r="P15"/>
  <c i="10" r="N15"/>
  <c i="10" r="C15"/>
  <c i="10" r="D15"/>
  <c i="10" r="B15"/>
  <c i="10" r="O14"/>
  <c i="10" r="P14"/>
  <c i="10" r="N14"/>
  <c i="10" r="C14"/>
  <c i="10" r="D14"/>
  <c i="10" r="B14"/>
  <c i="10" r="O13"/>
  <c i="10" r="P13"/>
  <c i="10" r="N13"/>
  <c i="10" r="C13"/>
  <c i="10" r="D13"/>
  <c i="10" r="B13"/>
  <c i="10" r="O12"/>
  <c i="10" r="P12"/>
  <c i="10" r="N12"/>
  <c i="10" r="C12"/>
  <c i="10" r="D12"/>
  <c i="10" r="B12"/>
  <c i="10" r="O11"/>
  <c i="10" r="P11"/>
  <c i="10" r="N11"/>
  <c i="10" r="D11"/>
  <c i="10" r="C11"/>
  <c i="8" r="B30"/>
  <c i="8" r="P30" s="1"/>
  <c i="8" r="C30"/>
  <c i="8" r="Q30" s="1"/>
  <c i="8" r="D30"/>
  <c i="8" r="R30" s="1"/>
  <c i="8" r="B34"/>
  <c i="8" r="P34" s="1"/>
  <c i="8" r="C34"/>
  <c i="8" r="Q34" s="1"/>
  <c i="8" r="D34"/>
  <c i="8" r="R34" s="1"/>
  <c i="8" r="C29"/>
  <c i="8" r="Q29" s="1"/>
  <c i="8" r="D29"/>
  <c i="8" r="R29" s="1"/>
  <c i="8" r="P29"/>
  <c i="8" r="R24"/>
  <c i="8" r="Q24"/>
  <c i="8" r="R13"/>
  <c i="8" r="Q13"/>
  <c i="8" r="P13"/>
  <c i="4" r="K101"/>
  <c i="10" r="Q22" s="1"/>
  <c i="4" r="K95"/>
  <c i="4" r="K96"/>
  <c i="4" r="K97"/>
  <c i="4" r="K98"/>
  <c i="4" r="K99"/>
  <c i="4" r="K100"/>
  <c i="4" r="K12"/>
  <c i="4" r="K13"/>
  <c i="4" r="K14"/>
  <c i="4" r="K15"/>
  <c i="4" r="K16"/>
  <c i="4" r="K17"/>
  <c i="4" r="K18"/>
  <c i="4" r="K19"/>
  <c i="4" r="K20"/>
  <c i="4" r="K21"/>
  <c i="4" r="K22"/>
  <c i="4" r="K23"/>
  <c i="4" r="K24"/>
  <c i="4" r="K25"/>
  <c i="4" r="K26"/>
  <c i="4" r="K27"/>
  <c i="4" r="K28"/>
  <c i="4" r="K29"/>
  <c i="4" r="K30"/>
  <c i="4" r="K31"/>
  <c i="4" r="K32"/>
  <c i="4" r="K33"/>
  <c i="4" r="K34"/>
  <c i="4" r="K35"/>
  <c i="4" r="K36"/>
  <c i="4" r="K37"/>
  <c i="4" r="K38"/>
  <c i="4" r="K39"/>
  <c i="4" r="K40"/>
  <c i="4" r="K41"/>
  <c i="4" r="K42"/>
  <c i="4" r="K43"/>
  <c i="4" r="K44"/>
  <c i="4" r="K45"/>
  <c i="4" r="K46"/>
  <c i="4" r="K47"/>
  <c i="4" r="K48"/>
  <c i="4" r="K49"/>
  <c i="4" r="K50"/>
  <c i="4" r="K51"/>
  <c i="4" r="K52"/>
  <c i="4" r="K53"/>
  <c i="4" r="K54"/>
  <c i="4" r="K55"/>
  <c i="4" r="K56"/>
  <c i="4" r="K57"/>
  <c i="4" r="K58"/>
  <c i="4" r="K59"/>
  <c i="4" r="K60"/>
  <c i="4" r="K61"/>
  <c i="4" r="K62"/>
  <c i="4" r="K63"/>
  <c i="4" r="K64"/>
  <c i="4" r="K65"/>
  <c i="4" r="K66"/>
  <c i="4" r="K67"/>
  <c i="4" r="K68"/>
  <c i="4" r="K69"/>
  <c i="4" r="K70"/>
  <c i="4" r="K71"/>
  <c i="4" r="K72"/>
  <c i="4" r="K73"/>
  <c i="4" r="K74"/>
  <c i="4" r="K75"/>
  <c i="4" r="K76"/>
  <c i="4" r="K77"/>
  <c i="4" r="K78"/>
  <c i="4" r="K79"/>
  <c i="4" r="K80"/>
  <c i="4" r="K81"/>
  <c i="4" r="K82"/>
  <c i="4" r="K83"/>
  <c i="4" r="K84"/>
  <c i="4" r="K85"/>
  <c i="4" r="K86"/>
  <c i="4" r="K87"/>
  <c i="4" r="K88"/>
  <c i="4" r="K89"/>
  <c i="4" r="K90"/>
  <c i="4" r="K91"/>
  <c i="4" r="K92"/>
  <c i="4" r="K93"/>
  <c i="4" r="K94"/>
  <c i="4" r="K1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01"/>
  <c i="3" r="K11"/>
  <c i="8" l="1" r="E29"/>
  <c i="8" r="S29" s="1"/>
  <c i="8" r="E30"/>
  <c i="8" r="S30" s="1"/>
  <c i="8" r="B35"/>
  <c i="8" r="P35" s="1"/>
  <c i="10" r="Q11"/>
  <c i="10" r="Q15"/>
  <c i="10" r="Q21"/>
  <c i="10" r="Q19"/>
  <c i="10" r="Q20"/>
  <c i="10" r="Q17"/>
  <c i="10" r="Q16"/>
  <c i="10" r="Q13"/>
  <c i="10" r="Q12"/>
  <c i="10" r="Q18"/>
  <c i="10" r="Q14"/>
  <c i="8" r="D35"/>
  <c i="8" r="R35" s="1"/>
  <c i="8" r="C35"/>
  <c i="8" r="Q35" s="1"/>
  <c i="8" r="E34"/>
  <c i="8" r="S34" s="1"/>
  <c i="10" r="E22"/>
  <c i="10" l="1" r="E21"/>
  <c i="10" r="E19"/>
  <c i="10" r="E15"/>
  <c i="10" r="E20"/>
  <c i="10" r="E16"/>
  <c i="10" r="E12"/>
  <c i="10" r="E11"/>
  <c i="10" r="E17"/>
  <c i="10" r="E13"/>
  <c i="10" r="E18"/>
  <c i="10" r="E14"/>
  <c i="8" r="E35"/>
  <c i="8" r="S35" s="1"/>
  <c i="1" l="1" r="AD40"/>
  <c i="1" r="AD39"/>
  <c i="1" r="AC40"/>
  <c i="1" r="AD41"/>
  <c i="1" r="AB40"/>
  <c i="1" r="AA40"/>
  <c i="1" r="AD36"/>
  <c i="1" r="Z40"/>
  <c i="1" r="AD34"/>
  <c i="1" r="AE40"/>
  <c i="1" r="AD38"/>
  <c i="1" r="AD37"/>
  <c i="1" r="AD35"/>
  <c i="1" r="X40"/>
  <c i="1" r="Y40"/>
  <c i="1" r="Y37"/>
  <c i="1" r="Z34"/>
  <c i="1" r="AA34"/>
  <c i="1" r="Z37"/>
  <c i="1" r="X34"/>
  <c i="1" r="AC38"/>
  <c i="1" r="X39"/>
  <c i="1" r="AA37"/>
  <c i="1" r="AB37"/>
  <c i="1" r="AC37"/>
  <c i="1" r="Y38"/>
  <c i="1" r="AB38"/>
  <c i="1" r="Y39"/>
  <c i="1" r="AB34"/>
  <c i="1" r="X38"/>
  <c i="1" r="Z38"/>
  <c i="1" r="AA38"/>
  <c i="1" r="X41"/>
  <c i="1" r="AC35"/>
  <c i="1" r="AB36"/>
  <c i="1" r="AC34"/>
  <c i="1" r="AB35"/>
  <c i="1" r="X37"/>
  <c i="1" r="Y35"/>
  <c i="1" r="Z39"/>
  <c i="1" r="AC39"/>
  <c i="1" r="Z35"/>
  <c i="1" r="AA35"/>
  <c i="1" r="AA39"/>
  <c i="1" r="X35"/>
  <c i="1" r="AB39"/>
  <c i="1" r="X36"/>
  <c i="1" r="Y36"/>
  <c i="1" r="Z36"/>
  <c i="1" r="AE41"/>
  <c i="1" r="AA36"/>
  <c i="1" r="Y34"/>
  <c i="1" r="AC36"/>
  <c i="1" r="AE37"/>
  <c i="1" r="AE35"/>
  <c i="1" r="AE38"/>
  <c i="1" r="AE36"/>
  <c i="1" r="AE34"/>
  <c i="1" r="AE39"/>
  <c i="1" r="AB41"/>
  <c i="1" r="AC41"/>
  <c i="1" r="AA41"/>
  <c i="1" r="Y41"/>
  <c i="1" r="Z41"/>
  <c i="1" l="1" r="AF40"/>
  <c i="1" r="AD42"/>
  <c i="1" r="AF34"/>
  <c i="1" r="AA42"/>
  <c i="1" r="AE42"/>
  <c i="1" r="X42"/>
  <c i="1" r="AF37"/>
  <c i="1" r="AF35"/>
  <c i="1" r="AF38"/>
  <c i="1" r="AF36"/>
  <c i="1" r="AB42"/>
  <c i="1" r="Y42"/>
  <c i="1" r="AF39"/>
  <c i="1" r="Z42"/>
  <c i="1" r="AF41"/>
  <c i="1" r="AC42"/>
  <c i="1" l="1" r="O37"/>
  <c i="1" r="R38"/>
  <c i="1" r="M34"/>
  <c i="1" r="P35"/>
  <c i="1" r="T34"/>
  <c i="1" r="N35"/>
  <c i="1" r="T38"/>
  <c i="1" r="Q37"/>
  <c i="1" r="T36"/>
  <c i="1" r="T37"/>
  <c i="1" r="R35"/>
  <c i="1" r="M36"/>
  <c i="1" r="O36"/>
  <c i="1" r="Q36"/>
  <c i="1" r="O39"/>
  <c i="1" r="M35"/>
  <c i="1" r="M37"/>
  <c i="1" r="R36"/>
  <c i="1" r="O35"/>
  <c i="1" r="R34"/>
  <c i="1" r="N37"/>
  <c i="1" r="R39"/>
  <c i="1" r="M38"/>
  <c i="1" r="Q34"/>
  <c i="1" r="O34"/>
  <c i="1" r="P34"/>
  <c i="1" r="T39"/>
  <c i="1" r="P39"/>
  <c i="1" r="N38"/>
  <c i="1" r="M39"/>
  <c i="1" r="R37"/>
  <c i="1" r="N36"/>
  <c i="1" r="P37"/>
  <c i="1" r="T35"/>
  <c i="1" r="N39"/>
  <c i="1" r="P36"/>
  <c i="1" r="N34"/>
  <c i="1" r="O38"/>
  <c i="1" r="Q35"/>
  <c i="1" r="P38"/>
  <c i="1" r="Q39"/>
  <c i="1" r="Q38"/>
  <c i="1" r="AF42"/>
  <c i="1" l="1" r="P42"/>
  <c i="1" r="U38"/>
  <c i="1" r="U35"/>
  <c i="1" r="U37"/>
  <c i="1" r="U41"/>
  <c i="1" r="U34"/>
  <c i="1" r="N42"/>
  <c i="1" r="U39"/>
  <c i="1" r="R42"/>
  <c i="1" r="T42"/>
  <c i="1" r="M42"/>
  <c i="1" r="Q42"/>
  <c i="1" r="U36"/>
  <c i="1" r="O42"/>
  <c i="1" l="1" r="U42"/>
</calcChain>
</file>

<file path=xl/sharedStrings.xml><?xml version="1.0" encoding="utf-8"?>
<sst xmlns="http://schemas.openxmlformats.org/spreadsheetml/2006/main" count="827" uniqueCount="292">
  <si>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</si>
  <si>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</si>
  <si>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</si>
  <si>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</si>
  <si>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</si>
  <si>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</si>
  <si>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</si>
  <si>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</si>
  <si>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</si>
  <si>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</si>
  <si>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</si>
  <si>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</si>
  <si>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</si>
  <si>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</si>
  <si>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</si>
  <si>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</si>
  <si>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</si>
  <si>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</si>
  <si>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</si>
  <si>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Table X. Estimated Worker Flows by County</t>
  </si>
  <si>
    <t>Outside</t>
  </si>
  <si>
    <t>We may want to scale the observed distribution(s), Depending on how well matches (or doesn't match) synthetic population</t>
  </si>
  <si>
    <t>NERPM TAZs were renumbered to the DaySim format</t>
  </si>
  <si>
    <t>Steps for generating distributions of commute time and distance</t>
  </si>
  <si>
    <t>Both HH and usual workplace TAZs were merged into the person file</t>
  </si>
  <si>
    <t>Persons living in these households were isolated and their usual workplace locations were geocoded to TAZs using the x-y coordinates</t>
  </si>
  <si>
    <t>PPTYP = 1</t>
  </si>
  <si>
    <t>PPTYP = 2</t>
  </si>
  <si>
    <t>PPTYP != 1 and PPTYP != 2</t>
  </si>
  <si>
    <t>Time (min)</t>
  </si>
  <si>
    <t>County-level Work at Home Shares</t>
  </si>
  <si>
    <t>Aggregate Trip Duration Frequency Distribution</t>
  </si>
  <si>
    <t>Table X. Observed Trip Durations: Census (ACS/2006-08)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</si>
  <si>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</si>
  <si>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</si>
  <si>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</si>
  <si>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</si>
  <si>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</si>
  <si>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</si>
  <si>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</si>
  <si>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</si>
  <si>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</si>
  <si>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</si>
  <si>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</si>
  <si>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</si>
  <si>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</si>
  <si>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Work at Home Counts by County</t>
  </si>
  <si>
    <t>Table X. Estimated Counts by County</t>
  </si>
  <si>
    <t>Table X. Estimated Work at Home Shares by County</t>
  </si>
  <si>
    <t>DaySim</t>
  </si>
  <si>
    <t>Table X. Average Trip Length</t>
  </si>
  <si>
    <t>Table X. Average Trip Duration</t>
  </si>
  <si>
    <t>Table X. Estimated Worker Flows by County: DaySim</t>
  </si>
  <si>
    <t>AM Auto skims (time and distance) were merged into person file using origin (HH) and destination (workplace) TAZ ids</t>
  </si>
  <si>
    <t>In case of DaySim, home and workplace parcel IDs were matched to filter out work at home cases</t>
  </si>
  <si>
    <t>Distributions of HH TAZ -to- Work TAZ distance and time were then derived from the population</t>
  </si>
  <si>
    <t>Steps for generating county worker flows</t>
  </si>
  <si>
    <t>Home and work county codes were merged using a correspondence between TAZs and counties</t>
  </si>
  <si>
    <t>A crosstabulation of home and work counties created the worker flow table</t>
  </si>
  <si>
    <t>Steps for generating work at home shares</t>
  </si>
  <si>
    <t>All persons for whom a non-zero usual workplace location was identified were designated as the pool of workers</t>
  </si>
  <si>
    <t>Full-time</t>
  </si>
  <si>
    <t>Part-time</t>
  </si>
  <si>
    <t>Not FT or PT, student workers</t>
  </si>
  <si>
    <t>The shares were calculated as the ratio of the values in steps 2 and 1 and were segmented by county and the three worker types</t>
  </si>
  <si>
    <t>Table X. Observed Worker Flows by County: Census (ACS/2006-08)</t>
  </si>
  <si>
    <t>Table X. Adjusted Worker Flows by County: Census (ACS/2006-08)</t>
  </si>
  <si>
    <t>WORKER FLOWS BY COUNTY: EST-OBS</t>
  </si>
  <si>
    <t>Table X. Difference Work at Home Counts by County</t>
  </si>
  <si>
    <t>Table X. Difference Counts by County</t>
  </si>
  <si>
    <t>Table X. Difference Work at Home Shares by County</t>
  </si>
  <si>
    <t>Table X. Weighted Work at Home Counts by County: CTPP</t>
  </si>
  <si>
    <t>Table X. Weighted Counts by County: CTPP</t>
  </si>
  <si>
    <t>Table X. Weighted Work at Home Shares by County: CTPP</t>
  </si>
  <si>
    <t>Williamson</t>
  </si>
  <si>
    <t>Rutherford</t>
  </si>
  <si>
    <t>Sumner</t>
  </si>
  <si>
    <t>Roberston</t>
  </si>
  <si>
    <t>Davidson</t>
  </si>
  <si>
    <t>Maury</t>
  </si>
  <si>
    <t>Wilson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</si>
  <si>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</si>
  <si>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</si>
  <si>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</si>
  <si>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</si>
  <si>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</si>
  <si>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</si>
  <si>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</si>
  <si>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</si>
  <si>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</si>
  <si>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</si>
  <si>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</si>
  <si>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</si>
  <si>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</si>
  <si>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</si>
  <si>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</si>
  <si>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</si>
  <si>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</si>
  <si>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</si>
  <si>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</si>
  <si>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</si>
  <si>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</si>
  <si>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</si>
  <si>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</si>
  <si>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</si>
  <si>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</si>
  <si>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</si>
  <si>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</si>
  <si>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</si>
  <si>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</si>
  <si>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</si>
  <si>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</si>
  <si>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</si>
  <si>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</si>
  <si>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</si>
  <si>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</si>
  <si>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</si>
  <si>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</si>
  <si>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Beta00041</t>
  </si>
  <si>
    <t>F</t>
  </si>
  <si>
    <t>Beta00042</t>
  </si>
  <si>
    <t>Beta00043</t>
  </si>
  <si>
    <t>Beta00044</t>
  </si>
  <si>
    <t>LSM_050</t>
  </si>
  <si>
    <t>Gamma51</t>
  </si>
  <si>
    <t>Gamma52</t>
  </si>
  <si>
    <t>Gamma53</t>
  </si>
  <si>
    <t>Gamma54</t>
  </si>
  <si>
    <t>Gamma55</t>
  </si>
  <si>
    <t>Gamma56</t>
  </si>
  <si>
    <t>Gamma57</t>
  </si>
  <si>
    <t>Gamma58</t>
  </si>
  <si>
    <t>Gamma59</t>
  </si>
  <si>
    <t>Gamma60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</si>
  <si>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</si>
  <si>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</si>
  <si>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</si>
  <si>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</si>
  <si>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</si>
  <si>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</si>
  <si>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</si>
  <si>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</si>
  <si>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</si>
  <si>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</si>
  <si>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</si>
  <si>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</si>
  <si>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</si>
  <si>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</si>
  <si>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</si>
  <si>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</si>
  <si>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</si>
  <si>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</si>
  <si>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</si>
  <si>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</si>
  <si>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Gamma90</t>
  </si>
  <si>
    <t>Nest</t>
  </si>
  <si>
    <t>Index</t>
  </si>
  <si>
    <t>Name</t>
  </si>
  <si>
    <t>Descr</t>
  </si>
  <si>
    <t>IsPartTimeWorker* workTourLogsum</t>
  </si>
  <si>
    <t>IsFullTimeWorker*workTourLogsum</t>
  </si>
  <si>
    <t>distanceLog</t>
  </si>
  <si>
    <t>parcelParkingDensity</t>
  </si>
  <si>
    <t>c34Ratio</t>
  </si>
  <si>
    <t>destinationParcel.ShadowPriceForEmployment</t>
  </si>
  <si>
    <t>IsNotFullOrPartTimeWorker * workTourLogsum</t>
  </si>
  <si>
    <t>IsFulltimeWorker * distance1</t>
  </si>
  <si>
    <t>IsFulltimeWorker * distance2</t>
  </si>
  <si>
    <t>IsFulltimeWorker * distance3</t>
  </si>
  <si>
    <t>IsPartTimeWorker * distanceLog</t>
  </si>
  <si>
    <t>IsNotFullOrPartTimeWorker * distanceLog</t>
  </si>
  <si>
    <t>Household.Has0To15KIncome * distanceLog</t>
  </si>
  <si>
    <t>Household.Has50To75KIncome * distanceLog</t>
  </si>
  <si>
    <t>Household.Has75To100KIncome * distanceLog</t>
  </si>
  <si>
    <t>IsFemale * distanceLog</t>
  </si>
  <si>
    <t>IsStudentAge * distanceFromSchool</t>
  </si>
  <si>
    <t>IsFulltimeWorker * aggregateLogsum</t>
  </si>
  <si>
    <t>IsPartTimeWorker * aggregateLogsum</t>
  </si>
  <si>
    <t>IsNotFullOrPartTimeWorker * aggregateLogsum</t>
  </si>
  <si>
    <t>Household.HasValidIncome * studentsUniversityBuffer</t>
  </si>
  <si>
    <t>Household.HasValidIncome * destinationParcel.EmploymentService</t>
  </si>
  <si>
    <t>Household.HasValidIncome * destinationParcel.EmploymentEducation</t>
  </si>
  <si>
    <t>Household.HasValidIncome * destinationParcel.EmploymentFood</t>
  </si>
  <si>
    <t>Household.HasValidIncome * destinationParcel.EmploymentGovernment</t>
  </si>
  <si>
    <t>Household.HasValidIncome * destinationParcel.EmploymentOffice</t>
  </si>
  <si>
    <t>Household.HasValidIncome * destinationParcel.EmploymentRetail</t>
  </si>
  <si>
    <t>Household.HasValidIncome * destinationParcel.EmploymentMedical</t>
  </si>
  <si>
    <t>Household.HasValidIncome * employmentIndustrialAgricultureConstruction</t>
  </si>
  <si>
    <t>Household.HasValidIncome * destinationParcel.StudentsUniversity</t>
  </si>
  <si>
    <t>Household.HasIncomeUnder50K * destinationParcel.EmploymentRetail</t>
  </si>
  <si>
    <t>Household.HasIncomeUnder50K * destinationParcel.EmploymentService</t>
  </si>
  <si>
    <t>Household.Has50To75KIncome * destinationParcel.EmploymentMedical</t>
  </si>
  <si>
    <t>Household.Has50To75KIncome * destinationParcel.EmploymentOffice</t>
  </si>
  <si>
    <t>Household.Has75KPlusIncome * destinationParcel.EmploymentEducation</t>
  </si>
  <si>
    <t>Household.Has75KPlusIncome * destinationParcel.EmploymentGovernment</t>
  </si>
  <si>
    <t>Household.Has75KPlusIncome * destinationParcel.EmploymentMedical</t>
  </si>
  <si>
    <t>Household.Has75KPlusIncome * destinationParcel.EmploymentOffice</t>
  </si>
  <si>
    <t>Household.HasMissingIncome * destinationParcel.EmploymentTotal</t>
  </si>
  <si>
    <t>Household.HasMissingIncome * destinationParcel.StudentsUniversity</t>
  </si>
  <si>
    <t>Household.HasValidIncome *IsFulltimeWorker * studentsK12Buffer</t>
  </si>
  <si>
    <t>Household.HasValidIncome *IsFulltimeWorker * studentsUniversityBuffer</t>
  </si>
  <si>
    <t>Household.HasValidIncome *IsPartTimeWorker * industrialAgricultureConstructionBuffer</t>
  </si>
  <si>
    <t>Household.HasValidIncome *IsNotFullOrPartTimeWorker * foodBuffer</t>
  </si>
  <si>
    <t>Household.HasValidIncome *IsNotFullOrPartTimeWorker * medicalBuffer</t>
  </si>
  <si>
    <t>IsFulltimeWorker *Household.Has75KPlusIncome * employmentTotalBuffer</t>
  </si>
  <si>
    <t>IsNotFullOrPartTimeWorker *Household.HasIncomeUnder50K * governmentBuffer</t>
  </si>
  <si>
    <t>IsNotFullOrPartTimeWorker *Household.HasIncomeUnder50K * employmentTotalBuffer</t>
  </si>
  <si>
    <t>Household.HasValidIncome *IsFulltimeWorker * destinationParcel.EmploymentGovernment</t>
  </si>
  <si>
    <t>Household.HasValidIncome *IsFulltimeWorker * employmentIndustrialAgricultureConstruction</t>
  </si>
  <si>
    <t>Household.HasValidIncome *IsPartTimeWorker * employmentIndustrialAgricultureConstruction</t>
  </si>
  <si>
    <t>Household.HasValidIncome *IsNotFullOrPartTimeWorker * destinationParcel.EmploymentEducation</t>
  </si>
  <si>
    <t>Household.HasValidIncome *IsNotFullOrPartTimeWorker * destinationParcel.EmploymentFood</t>
  </si>
  <si>
    <t>Household.HasValidIncome *IsNotFullOrPartTimeWorker * destinationParcel.EmploymentRetail</t>
  </si>
  <si>
    <t>IsFulltimeWorker *Household.Has75KPlusIncome * destinationParcel.EmploymentGovernment</t>
  </si>
  <si>
    <t>IsFulltimeWorker) *Household.Has75KPlusIncome * destinationParcel.EmploymentOffice</t>
  </si>
  <si>
    <t>Household.HasValidIncome * serviceBuffer</t>
  </si>
  <si>
    <t>Household.HasValidIncome * educationBuffer</t>
  </si>
  <si>
    <t>Household.HasValidIncome * foodBuffer</t>
  </si>
  <si>
    <t>Household.HasValidIncome * governmentBuffer</t>
  </si>
  <si>
    <t>Household.HasValidIncome * officeBuffer</t>
  </si>
  <si>
    <t>Household.HasValidIncome * medicalBuffer</t>
  </si>
  <si>
    <t>IsFulltimeWorker * (Household.Has75KPlusIncome) * employmentIndustrialAgricultureConstruction</t>
  </si>
  <si>
    <t>IsPartTimeWorker * (Household.HasIncomeUnder50K) * destinationParcel.EmploymentMedical</t>
  </si>
  <si>
    <t>IsNotFullOrPartTimeWorker * (Household.HasIncomeUnder50K) * destinationParcel.EmploymentRetail</t>
  </si>
  <si>
    <t>Household.HasValidIncome * householdsBuffer</t>
  </si>
  <si>
    <t>IsPartTimeWorker</t>
  </si>
  <si>
    <t>IsStudentAge</t>
  </si>
  <si>
    <t>IsFemale</t>
  </si>
  <si>
    <t>Survey</t>
  </si>
  <si>
    <t>Table X. Observed Worker Flows by County: Survey</t>
  </si>
  <si>
    <t>Table X. Observed Trip Durations: Survey</t>
  </si>
  <si>
    <t>Table X. Weighted Work at Home Counts by County: Survey</t>
  </si>
  <si>
    <t>Table X. Weighted Counts by County: Survey</t>
  </si>
  <si>
    <t>Table X. Weighted Work at Home Shares by County: Survey</t>
  </si>
  <si>
    <t>Table X. Observed Trip Lengths: Survey</t>
  </si>
  <si>
    <t>Observed Sources: Survey (2009) &amp; CTPP (2000 and/or ACS?), 4-county Jacksonville Region only</t>
  </si>
  <si>
    <t>Observed Sources: Survey &amp; CTPP</t>
  </si>
  <si>
    <t>Observed Sources: Survey, 4-county Jacksonville Region only</t>
  </si>
  <si>
    <t>Survey Preparation</t>
  </si>
  <si>
    <t>Households in the JAX (4-county) region were isolated from Survey data and geocoded to TAZs using x-y coordinates with the spatial join feature in ArcGIS</t>
  </si>
  <si>
    <t>In Survey data, persons whose home coordinates matched their usual workplace coordinates were filtered out since this would mean they usually work at home</t>
  </si>
  <si>
    <t>In Survey, PPTYP was used to determine the class of worker whereas in DaySim, PERSTYPE was used</t>
  </si>
  <si>
    <t>Within those, persons with same home and workplace coordinates/parcels (for Survey and DaySim respectively) were assumed to be working at home</t>
  </si>
  <si>
    <t>1 (work from home)</t>
  </si>
  <si>
    <t>0-3.5</t>
  </si>
  <si>
    <t>3.5-10</t>
  </si>
  <si>
    <t>&gt;= 10</t>
  </si>
  <si>
    <t>WFH</t>
  </si>
  <si>
    <t>TOTAL</t>
  </si>
  <si>
    <t>Model</t>
  </si>
  <si>
    <t>Count</t>
  </si>
  <si>
    <t>Ratio (FT)</t>
  </si>
  <si>
    <t>Adj.</t>
  </si>
  <si>
    <t>Old Coeff.</t>
  </si>
  <si>
    <t>New Coeff.</t>
  </si>
  <si>
    <t>Adjustments</t>
  </si>
  <si>
    <t>WorkLocationCoefficients_SACOG-v1.5.F12</t>
  </si>
  <si>
    <t>CoeffIndex</t>
  </si>
  <si>
    <t>Tour</t>
  </si>
  <si>
    <t>Destination</t>
  </si>
  <si>
    <t>Created</t>
  </si>
  <si>
    <t>by</t>
  </si>
  <si>
    <t>ALOGIT</t>
  </si>
  <si>
    <t>version</t>
  </si>
  <si>
    <t>on</t>
  </si>
  <si>
    <t>END</t>
  </si>
  <si>
    <t>Instructions:</t>
  </si>
  <si>
    <t>Open "WorkLocationCoefficients_SACOG-v1.5.F12" ini Notepad+</t>
  </si>
  <si>
    <t>Select all(ctrl+A)</t>
  </si>
  <si>
    <t>Go to "Data" --&gt;Text to Columns - Select "Delimited" ---&gt; "Space" ---&gt; Finish</t>
  </si>
  <si>
    <t>Paste in cell A8</t>
  </si>
  <si>
    <t>Old</t>
  </si>
  <si>
    <t>New</t>
  </si>
  <si>
    <t>By: nagendra.dhakar@rsginc.com</t>
  </si>
  <si>
    <t>Copy cells W3:W100</t>
  </si>
  <si>
    <t>Paste in the "WorkLocationCoefficients_SACOG-v1.5.F12"</t>
  </si>
  <si>
    <t>Observed distance (in miles) based on joining AM peak SOV skim values to HH survey</t>
  </si>
  <si>
    <t>Work From Home</t>
  </si>
  <si>
    <t>(SACOG2000</t>
  </si>
  <si>
    <t>MNL</t>
  </si>
  <si>
    <t>v2203</t>
  </si>
  <si>
    <t>and</t>
  </si>
  <si>
    <t>NL</t>
  </si>
  <si>
    <t>v2301)</t>
  </si>
  <si>
    <t>Apr</t>
  </si>
  <si>
    <t>016:16:55</t>
  </si>
  <si>
    <t>Share</t>
  </si>
  <si>
    <t>All Workers</t>
  </si>
  <si>
    <t>Calibration:</t>
  </si>
  <si>
    <t>Calibrate work at home shares first</t>
  </si>
  <si>
    <t>Then distance segmented coefficients</t>
  </si>
  <si>
    <t>out-of-region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</si>
</sst>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mm/dd/yyyy\ hh:mm:ss"/>
    <numFmt numFmtId="166" formatCode="0.0000000000000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3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</cellStyleXfs>
  <cellXfs count="87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" xfId="0"/>
    <xf applyBorder="1" applyNumberFormat="1" borderId="1" fillId="0" fontId="0" numFmtId="1" xfId="0"/>
    <xf applyBorder="1" applyNumberFormat="1" borderId="3" fillId="0" fontId="0" numFmtId="2" xfId="0"/>
    <xf applyBorder="1" applyNumberFormat="1" borderId="4" fillId="0" fontId="0" numFmtId="2" xfId="0"/>
    <xf applyAlignment="1" borderId="0" fillId="0" fontId="2" numFmtId="0" xfId="1"/>
    <xf applyAlignment="1" applyBorder="1" borderId="1" fillId="0" fontId="2" numFmtId="0" xfId="1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Alignment="1" applyBorder="1" applyFill="1" borderId="0" fillId="0" fontId="0" numFmtId="0" xfId="0">
      <alignment horizontal="center"/>
    </xf>
    <xf applyBorder="1" applyFill="1" applyNumberFormat="1" borderId="0" fillId="0" fontId="0" numFmtId="3" xfId="0"/>
    <xf applyBorder="1" applyFont="1" applyNumberFormat="1" borderId="1" fillId="0" fontId="1" numFmtId="3" xfId="0"/>
    <xf applyAlignment="1" applyBorder="1" applyNumberFormat="1" borderId="2" fillId="0" fontId="0" numFmtId="3" xfId="0">
      <alignment horizontal="center"/>
    </xf>
    <xf applyBorder="1" applyNumberFormat="1" borderId="2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Border="1" applyFont="1" borderId="0" fillId="0" fontId="1" numFmtId="0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Fill="1" applyNumberFormat="1" borderId="0" fillId="2" fontId="0" numFmtId="164" xfId="0"/>
    <xf applyBorder="1" applyFill="1" borderId="3" fillId="2" fontId="0" numFmtId="0" xfId="0"/>
    <xf applyBorder="1" applyFill="1" applyNumberFormat="1" borderId="1" fillId="2" fontId="0" numFmtId="164" xfId="0"/>
    <xf applyFill="1" applyFont="1" borderId="0" fillId="2" fontId="1" numFmtId="0" xfId="0"/>
    <xf applyAlignment="1" applyBorder="1" applyFill="1" borderId="2" fillId="2" fontId="0" numFmtId="0" xfId="0">
      <alignment horizontal="center" vertical="top"/>
    </xf>
    <xf applyFill="1" applyNumberFormat="1" borderId="0" fillId="2" fontId="0" numFmtId="2" xfId="0"/>
    <xf applyBorder="1" applyFill="1" applyNumberFormat="1" borderId="3" fillId="2" fontId="0" numFmtId="2" xfId="0"/>
    <xf applyBorder="1" applyFill="1" applyNumberFormat="1" borderId="1" fillId="2" fontId="0" numFmtId="2" xfId="0"/>
    <xf applyAlignment="1" applyBorder="1" applyFill="1" borderId="2" fillId="2" fontId="0" numFmtId="0" xfId="0">
      <alignment horizontal="center"/>
    </xf>
    <xf applyBorder="1" applyFill="1" applyNumberFormat="1" borderId="3" fillId="2" fontId="0" numFmtId="164" xfId="0"/>
    <xf applyBorder="1" applyNumberFormat="1" borderId="0" fillId="0" fontId="0" numFmtId="164" xfId="0"/>
    <xf applyFont="1" borderId="0" fillId="0" fontId="4" numFmtId="0" xfId="0"/>
    <xf applyBorder="1" applyFill="1" applyNumberFormat="1" borderId="4" fillId="2" fontId="0" numFmtId="164" xfId="0"/>
    <xf applyBorder="1" applyFill="1" borderId="0" fillId="0" fontId="0" numFmtId="0" xfId="0"/>
    <xf applyBorder="1" borderId="4" fillId="0" fontId="0" numFmtId="0" xfId="0"/>
    <xf applyBorder="1" applyNumberFormat="1" borderId="4" fillId="0" fontId="0" numFmtId="164" xfId="0"/>
    <xf applyNumberFormat="1" borderId="0" fillId="0" fontId="0" numFmtId="11" xfId="0"/>
    <xf applyAlignment="1" borderId="0" fillId="0" fontId="0" numFmtId="0" xfId="0">
      <alignment horizontal="left"/>
    </xf>
    <xf applyFont="1" applyNumberFormat="1" borderId="0" fillId="0" fontId="0" numFmtId="3" xfId="0"/>
    <xf applyFont="1" borderId="0" fillId="0" fontId="5" numFmtId="0" xfId="0"/>
    <xf applyAlignment="1" applyFont="1" borderId="0" fillId="0" fontId="1" numFmtId="0" xfId="0">
      <alignment horizontal="center" vertical="center"/>
    </xf>
    <xf applyAlignment="1" applyFont="1" borderId="0" fillId="0" fontId="1" numFmtId="0" xfId="0">
      <alignment horizontal="center"/>
    </xf>
    <xf applyNumberFormat="1" borderId="0" fillId="0" fontId="0" numFmtId="21" xfId="0"/>
    <xf applyFill="1" borderId="0" fillId="5" fontId="0" numFmtId="0" xfId="0"/>
    <xf applyNumberFormat="1" borderId="0" fillId="0" fontId="0" numFmtId="166" xfId="0"/>
    <xf applyFill="1" applyNumberFormat="1" borderId="0" fillId="5" fontId="0" numFmtId="166" xfId="0"/>
    <xf applyFill="1" applyNumberFormat="1" borderId="0" fillId="4" fontId="0" numFmtId="166" xfId="0"/>
    <xf applyBorder="1" applyFill="1" applyNumberFormat="1" borderId="3" fillId="4" fontId="0" numFmtId="166" xfId="0"/>
    <xf applyBorder="1" applyFill="1" applyNumberFormat="1" borderId="3" fillId="5" fontId="0" numFmtId="166" xfId="0"/>
    <xf applyFill="1" applyNumberFormat="1" borderId="0" fillId="6" fontId="0" numFmtId="166" xfId="0"/>
    <xf applyAlignment="1" applyFont="1" borderId="0" fillId="0" fontId="1" numFmtId="0" xfId="0">
      <alignment horizontal="right"/>
    </xf>
    <xf applyBorder="1" applyFill="1" applyFont="1" applyNumberFormat="1" borderId="0" fillId="0" fontId="5" numFmtId="3" xfId="0"/>
    <xf applyBorder="1" applyFill="1" applyFont="1" applyNumberFormat="1" borderId="0" fillId="0" fontId="0" numFmtId="3" xfId="0"/>
    <xf applyBorder="1" applyFill="1" applyNumberFormat="1" borderId="0" fillId="0" fontId="0" numFmtId="9" xfId="0"/>
    <xf applyBorder="1" applyFill="1" applyNumberFormat="1" borderId="0" fillId="0" fontId="0" numFmtId="166" xfId="0"/>
    <xf applyBorder="1" applyFill="1" applyNumberFormat="1" borderId="0" fillId="0" fontId="0" numFmtId="2" xfId="0"/>
    <xf applyBorder="1" applyFont="1" applyNumberFormat="1" borderId="3" fillId="0" fontId="0" numFmtId="3" xfId="0"/>
    <xf applyBorder="1" applyNumberFormat="1" borderId="3" fillId="0" fontId="0" numFmtId="1" xfId="0"/>
    <xf applyBorder="1" applyFont="1" applyNumberFormat="1" borderId="5" fillId="0" fontId="0" numFmtId="3" xfId="0"/>
    <xf applyBorder="1" applyNumberFormat="1" borderId="5" fillId="0" fontId="0" numFmtId="1" xfId="0"/>
    <xf applyBorder="1" applyFill="1" applyFont="1" applyNumberFormat="1" borderId="4" fillId="0" fontId="0" numFmtId="3" xfId="0"/>
    <xf applyBorder="1" applyFill="1" applyNumberFormat="1" borderId="4" fillId="0" fontId="0" numFmtId="1" xfId="0"/>
    <xf applyNumberFormat="1" borderId="0" fillId="0" fontId="0" numFmtId="9" xfId="0"/>
    <xf applyBorder="1" applyNumberFormat="1" borderId="4" fillId="0" fontId="0" numFmtId="9" xfId="0"/>
    <xf applyAlignment="1" applyBorder="1" borderId="0" fillId="0" fontId="0" numFmtId="0" xfId="0">
      <alignment horizontal="center" vertical="top"/>
    </xf>
    <xf applyBorder="1" applyFill="1" applyFont="1" borderId="0" fillId="0" fontId="1" numFmtId="0" xfId="0"/>
    <xf applyAlignment="1" applyBorder="1" applyFill="1" borderId="0" fillId="0" fontId="0" numFmtId="0" xfId="0">
      <alignment horizontal="center" vertical="top"/>
    </xf>
    <xf applyBorder="1" applyNumberFormat="1" borderId="0" fillId="0" fontId="0" numFmtId="1" xfId="0"/>
    <xf applyBorder="1" applyFill="1" applyNumberFormat="1" borderId="4" fillId="0" fontId="0" numFmtId="9" xfId="0"/>
    <xf applyBorder="1" applyNumberFormat="1" borderId="5" fillId="0" fontId="0" numFmtId="10" xfId="0"/>
    <xf applyNumberFormat="1" borderId="0" fillId="0" fontId="0" numFmtId="10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theme/theme1.xml" Type="http://schemas.openxmlformats.org/officeDocument/2006/relationships/theme"/>
<Relationship Id="rId11" Target="styles.xml" Type="http://schemas.openxmlformats.org/officeDocument/2006/relationships/styles"/>
<Relationship Id="rId12" Target="sharedStrings.xml" Type="http://schemas.openxmlformats.org/officeDocument/2006/relationships/sharedStrings"/>
<Relationship Id="rId13" Target="calcChain.xml" Type="http://schemas.openxmlformats.org/officeDocument/2006/relationships/calcChain"/>
<Relationship Id="rId14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TLFD!$E$11:$E$100</c:f>
              <c:numCache>
                <c:formatCode>0.00</c:formatCode>
                <c:ptCount val="90"/>
                <c:pt idx="0">
                  <c:v>21130.072016114598</c:v>
                </c:pt>
                <c:pt idx="1">
                  <c:v>33352.631653172983</c:v>
                </c:pt>
                <c:pt idx="2">
                  <c:v>32953.260840872324</c:v>
                </c:pt>
                <c:pt idx="3">
                  <c:v>36470.16264643451</c:v>
                </c:pt>
                <c:pt idx="4">
                  <c:v>32167.733349542952</c:v>
                </c:pt>
                <c:pt idx="5">
                  <c:v>24939.18138736748</c:v>
                </c:pt>
                <c:pt idx="6">
                  <c:v>31531.25786439838</c:v>
                </c:pt>
                <c:pt idx="7">
                  <c:v>27621.096480937566</c:v>
                </c:pt>
                <c:pt idx="8">
                  <c:v>26122.261702024884</c:v>
                </c:pt>
                <c:pt idx="9">
                  <c:v>24764.093556944536</c:v>
                </c:pt>
                <c:pt idx="10">
                  <c:v>25179.842603427027</c:v>
                </c:pt>
                <c:pt idx="11">
                  <c:v>29476.973955305908</c:v>
                </c:pt>
                <c:pt idx="12">
                  <c:v>21369.868222040976</c:v>
                </c:pt>
                <c:pt idx="13">
                  <c:v>17743.716559489614</c:v>
                </c:pt>
                <c:pt idx="14">
                  <c:v>20078.198342361917</c:v>
                </c:pt>
                <c:pt idx="15">
                  <c:v>18921.308430087942</c:v>
                </c:pt>
                <c:pt idx="16">
                  <c:v>12174.838821111689</c:v>
                </c:pt>
                <c:pt idx="17">
                  <c:v>10633.227674401083</c:v>
                </c:pt>
                <c:pt idx="18">
                  <c:v>17394.179174521181</c:v>
                </c:pt>
                <c:pt idx="19">
                  <c:v>10972.177072501898</c:v>
                </c:pt>
                <c:pt idx="20">
                  <c:v>8971.2912183154931</c:v>
                </c:pt>
                <c:pt idx="21">
                  <c:v>9494.5843517725207</c:v>
                </c:pt>
                <c:pt idx="22">
                  <c:v>6620.7831996747927</c:v>
                </c:pt>
                <c:pt idx="23">
                  <c:v>8492.5941566371966</c:v>
                </c:pt>
                <c:pt idx="24">
                  <c:v>6727.9745588165315</c:v>
                </c:pt>
                <c:pt idx="25">
                  <c:v>7331.3030004261464</c:v>
                </c:pt>
                <c:pt idx="26">
                  <c:v>6324.8232621839652</c:v>
                </c:pt>
                <c:pt idx="27">
                  <c:v>4310.239995990768</c:v>
                </c:pt>
                <c:pt idx="28">
                  <c:v>5735.8713680786304</c:v>
                </c:pt>
                <c:pt idx="29">
                  <c:v>4585.6952034340411</c:v>
                </c:pt>
                <c:pt idx="30">
                  <c:v>5407.5843831894381</c:v>
                </c:pt>
                <c:pt idx="31">
                  <c:v>4553.7396171618884</c:v>
                </c:pt>
                <c:pt idx="32">
                  <c:v>2519.8240439125484</c:v>
                </c:pt>
                <c:pt idx="33">
                  <c:v>2855.5773799448489</c:v>
                </c:pt>
                <c:pt idx="34">
                  <c:v>2036.1506309837523</c:v>
                </c:pt>
                <c:pt idx="35">
                  <c:v>968.65177709410887</c:v>
                </c:pt>
                <c:pt idx="36">
                  <c:v>3235.7427529489469</c:v>
                </c:pt>
                <c:pt idx="37">
                  <c:v>1344.0487706900119</c:v>
                </c:pt>
                <c:pt idx="38">
                  <c:v>1287.9581088146756</c:v>
                </c:pt>
                <c:pt idx="39">
                  <c:v>1405.2748592747009</c:v>
                </c:pt>
                <c:pt idx="40">
                  <c:v>1353.3065641935718</c:v>
                </c:pt>
                <c:pt idx="41">
                  <c:v>732.13622054173857</c:v>
                </c:pt>
                <c:pt idx="42">
                  <c:v>614.31533349363963</c:v>
                </c:pt>
                <c:pt idx="43">
                  <c:v>1437.6866107348349</c:v>
                </c:pt>
                <c:pt idx="44">
                  <c:v>403.07279525384553</c:v>
                </c:pt>
                <c:pt idx="45">
                  <c:v>753.63901697739698</c:v>
                </c:pt>
                <c:pt idx="46">
                  <c:v>1358.7422422958373</c:v>
                </c:pt>
                <c:pt idx="47">
                  <c:v>194.40680958972999</c:v>
                </c:pt>
                <c:pt idx="48">
                  <c:v>471.48381575593561</c:v>
                </c:pt>
                <c:pt idx="49">
                  <c:v>239.00005480584281</c:v>
                </c:pt>
                <c:pt idx="50">
                  <c:v>328.51396765630869</c:v>
                </c:pt>
                <c:pt idx="51">
                  <c:v>790.19924379343081</c:v>
                </c:pt>
                <c:pt idx="52">
                  <c:v>788.2869326627972</c:v>
                </c:pt>
                <c:pt idx="53">
                  <c:v>128.88635392033061</c:v>
                </c:pt>
                <c:pt idx="54">
                  <c:v>0</c:v>
                </c:pt>
                <c:pt idx="55">
                  <c:v>0</c:v>
                </c:pt>
                <c:pt idx="56">
                  <c:v>544.71263350495099</c:v>
                </c:pt>
                <c:pt idx="57">
                  <c:v>0</c:v>
                </c:pt>
                <c:pt idx="58">
                  <c:v>0</c:v>
                </c:pt>
                <c:pt idx="59">
                  <c:v>34.345523713204201</c:v>
                </c:pt>
                <c:pt idx="60">
                  <c:v>80.678761386961398</c:v>
                </c:pt>
                <c:pt idx="61">
                  <c:v>0</c:v>
                </c:pt>
                <c:pt idx="62">
                  <c:v>0</c:v>
                </c:pt>
                <c:pt idx="63">
                  <c:v>74.386604170177904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TLFD!$K$11:$K$100</c:f>
              <c:numCache>
                <c:formatCode>General</c:formatCode>
                <c:ptCount val="90"/>
                <c:pt idx="0">
                  <c:v>28302</c:v>
                </c:pt>
                <c:pt idx="1">
                  <c:v>42408</c:v>
                </c:pt>
                <c:pt idx="2">
                  <c:v>38897</c:v>
                </c:pt>
                <c:pt idx="3">
                  <c:v>34254</c:v>
                </c:pt>
                <c:pt idx="4">
                  <c:v>34413</c:v>
                </c:pt>
                <c:pt idx="5">
                  <c:v>34987</c:v>
                </c:pt>
                <c:pt idx="6">
                  <c:v>34125</c:v>
                </c:pt>
                <c:pt idx="7">
                  <c:v>33281</c:v>
                </c:pt>
                <c:pt idx="8">
                  <c:v>32383</c:v>
                </c:pt>
                <c:pt idx="9">
                  <c:v>34378</c:v>
                </c:pt>
                <c:pt idx="10">
                  <c:v>33864</c:v>
                </c:pt>
                <c:pt idx="11">
                  <c:v>30839</c:v>
                </c:pt>
                <c:pt idx="12">
                  <c:v>29628</c:v>
                </c:pt>
                <c:pt idx="13">
                  <c:v>25798</c:v>
                </c:pt>
                <c:pt idx="14">
                  <c:v>23496</c:v>
                </c:pt>
                <c:pt idx="15">
                  <c:v>21201</c:v>
                </c:pt>
                <c:pt idx="16">
                  <c:v>18612</c:v>
                </c:pt>
                <c:pt idx="17">
                  <c:v>16624</c:v>
                </c:pt>
                <c:pt idx="18">
                  <c:v>15331</c:v>
                </c:pt>
                <c:pt idx="19">
                  <c:v>13343</c:v>
                </c:pt>
                <c:pt idx="20">
                  <c:v>11645</c:v>
                </c:pt>
                <c:pt idx="21">
                  <c:v>10450</c:v>
                </c:pt>
                <c:pt idx="22">
                  <c:v>9262</c:v>
                </c:pt>
                <c:pt idx="23">
                  <c:v>7991</c:v>
                </c:pt>
                <c:pt idx="24">
                  <c:v>7136</c:v>
                </c:pt>
                <c:pt idx="25">
                  <c:v>6947</c:v>
                </c:pt>
                <c:pt idx="26">
                  <c:v>6471</c:v>
                </c:pt>
                <c:pt idx="27">
                  <c:v>6025</c:v>
                </c:pt>
                <c:pt idx="28">
                  <c:v>5574</c:v>
                </c:pt>
                <c:pt idx="29">
                  <c:v>5058</c:v>
                </c:pt>
                <c:pt idx="30">
                  <c:v>4795</c:v>
                </c:pt>
                <c:pt idx="31">
                  <c:v>4343</c:v>
                </c:pt>
                <c:pt idx="32">
                  <c:v>3695</c:v>
                </c:pt>
                <c:pt idx="33">
                  <c:v>3149</c:v>
                </c:pt>
                <c:pt idx="34">
                  <c:v>2706</c:v>
                </c:pt>
                <c:pt idx="35">
                  <c:v>2275</c:v>
                </c:pt>
                <c:pt idx="36">
                  <c:v>1869</c:v>
                </c:pt>
                <c:pt idx="37">
                  <c:v>1560</c:v>
                </c:pt>
                <c:pt idx="38">
                  <c:v>1309</c:v>
                </c:pt>
                <c:pt idx="39">
                  <c:v>1158</c:v>
                </c:pt>
                <c:pt idx="40">
                  <c:v>935</c:v>
                </c:pt>
                <c:pt idx="41">
                  <c:v>770</c:v>
                </c:pt>
                <c:pt idx="42">
                  <c:v>707</c:v>
                </c:pt>
                <c:pt idx="43">
                  <c:v>616</c:v>
                </c:pt>
                <c:pt idx="44">
                  <c:v>472</c:v>
                </c:pt>
                <c:pt idx="45">
                  <c:v>402</c:v>
                </c:pt>
                <c:pt idx="46">
                  <c:v>347</c:v>
                </c:pt>
                <c:pt idx="47">
                  <c:v>293</c:v>
                </c:pt>
                <c:pt idx="48">
                  <c:v>223</c:v>
                </c:pt>
                <c:pt idx="49">
                  <c:v>182</c:v>
                </c:pt>
                <c:pt idx="50">
                  <c:v>177</c:v>
                </c:pt>
                <c:pt idx="51">
                  <c:v>122</c:v>
                </c:pt>
                <c:pt idx="52">
                  <c:v>102</c:v>
                </c:pt>
                <c:pt idx="53">
                  <c:v>99</c:v>
                </c:pt>
                <c:pt idx="54">
                  <c:v>73</c:v>
                </c:pt>
                <c:pt idx="55">
                  <c:v>64</c:v>
                </c:pt>
                <c:pt idx="56">
                  <c:v>60</c:v>
                </c:pt>
                <c:pt idx="57">
                  <c:v>48</c:v>
                </c:pt>
                <c:pt idx="58">
                  <c:v>29</c:v>
                </c:pt>
                <c:pt idx="59">
                  <c:v>31</c:v>
                </c:pt>
                <c:pt idx="60">
                  <c:v>28</c:v>
                </c:pt>
                <c:pt idx="61">
                  <c:v>9</c:v>
                </c:pt>
                <c:pt idx="62">
                  <c:v>16</c:v>
                </c:pt>
                <c:pt idx="63">
                  <c:v>11</c:v>
                </c:pt>
                <c:pt idx="64">
                  <c:v>3</c:v>
                </c:pt>
                <c:pt idx="65">
                  <c:v>2</c:v>
                </c:pt>
                <c:pt idx="66">
                  <c:v>6</c:v>
                </c:pt>
                <c:pt idx="67">
                  <c:v>3</c:v>
                </c:pt>
                <c:pt idx="68">
                  <c:v>5</c:v>
                </c:pt>
                <c:pt idx="69">
                  <c:v>5</c:v>
                </c:pt>
                <c:pt idx="70">
                  <c:v>4</c:v>
                </c:pt>
                <c:pt idx="71">
                  <c:v>3</c:v>
                </c:pt>
                <c:pt idx="72">
                  <c:v>0</c:v>
                </c:pt>
                <c:pt idx="73">
                  <c:v>1</c:v>
                </c:pt>
                <c:pt idx="74">
                  <c:v>3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  <c:pt idx="78">
                  <c:v>1</c:v>
                </c:pt>
                <c:pt idx="79">
                  <c:v>0</c:v>
                </c:pt>
                <c:pt idx="80">
                  <c:v>0</c:v>
                </c:pt>
                <c:pt idx="81">
                  <c:v>1</c:v>
                </c:pt>
                <c:pt idx="82">
                  <c:v>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</c:v>
                </c:pt>
                <c:pt idx="87">
                  <c:v>0</c:v>
                </c:pt>
                <c:pt idx="88">
                  <c:v>1</c:v>
                </c:pt>
                <c:pt idx="8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679872"/>
        <c:axId val="143800512"/>
      </c:lineChart>
      <c:catAx>
        <c:axId val="177679872"/>
        <c:scaling>
          <c:orientation val="minMax"/>
        </c:scaling>
        <c:delete val="0"/>
        <c:axPos val="b"/>
        <c:majorTickMark val="out"/>
        <c:minorTickMark val="none"/>
        <c:tickLblPos val="nextTo"/>
        <c:crossAx val="143800512"/>
        <c:crosses val="autoZero"/>
        <c:auto val="1"/>
        <c:lblAlgn val="ctr"/>
        <c:lblOffset val="100"/>
        <c:tickLblSkip val="10"/>
        <c:noMultiLvlLbl val="0"/>
      </c:catAx>
      <c:valAx>
        <c:axId val="1438005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" sourceLinked="0"/>
        <c:majorTickMark val="out"/>
        <c:minorTickMark val="none"/>
        <c:tickLblPos val="nextTo"/>
        <c:crossAx val="177679872"/>
        <c:crosses val="autoZero"/>
        <c:crossBetween val="between"/>
        <c:majorUnit val="10000"/>
      </c:valAx>
    </c:plotArea>
    <c:legend>
      <c:legendPos val="r"/>
      <c:layout>
        <c:manualLayout>
          <c:xMode val="edge"/>
          <c:yMode val="edge"/>
          <c:x val="0.77126377952755898"/>
          <c:y val="7.8319845435987162E-2"/>
          <c:w val="0.13920424306823273"/>
          <c:h val="0.2511515748031495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488" footer="0.30000000000000032" header="0.30000000000000032" l="0.70000000000000062" r="0.70000000000000062" t="0.7500000000000048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TDFD!$E$11:$E$101</c:f>
              <c:numCache>
                <c:formatCode>0.00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2670.4741331928349</c:v>
                </c:pt>
                <c:pt idx="3">
                  <c:v>19476.096166177602</c:v>
                </c:pt>
                <c:pt idx="4">
                  <c:v>11531.064396713182</c:v>
                </c:pt>
                <c:pt idx="5">
                  <c:v>13900.821935193137</c:v>
                </c:pt>
                <c:pt idx="6">
                  <c:v>17394.900617736745</c:v>
                </c:pt>
                <c:pt idx="7">
                  <c:v>16690.955792727716</c:v>
                </c:pt>
                <c:pt idx="8">
                  <c:v>21786.148052593107</c:v>
                </c:pt>
                <c:pt idx="9">
                  <c:v>19969.720955593504</c:v>
                </c:pt>
                <c:pt idx="10">
                  <c:v>17919.264974498241</c:v>
                </c:pt>
                <c:pt idx="11">
                  <c:v>20987.877444376267</c:v>
                </c:pt>
                <c:pt idx="12">
                  <c:v>16592.118739556336</c:v>
                </c:pt>
                <c:pt idx="13">
                  <c:v>15163.21864623932</c:v>
                </c:pt>
                <c:pt idx="14">
                  <c:v>20124.692611483031</c:v>
                </c:pt>
                <c:pt idx="15">
                  <c:v>16474.6839244697</c:v>
                </c:pt>
                <c:pt idx="16">
                  <c:v>23116.391082712133</c:v>
                </c:pt>
                <c:pt idx="17">
                  <c:v>13668.133536047744</c:v>
                </c:pt>
                <c:pt idx="18">
                  <c:v>16978.586459698097</c:v>
                </c:pt>
                <c:pt idx="19">
                  <c:v>14186.611073669188</c:v>
                </c:pt>
                <c:pt idx="20">
                  <c:v>17088.63728476172</c:v>
                </c:pt>
                <c:pt idx="21">
                  <c:v>14244.091381537753</c:v>
                </c:pt>
                <c:pt idx="22">
                  <c:v>15630.961311038527</c:v>
                </c:pt>
                <c:pt idx="23">
                  <c:v>16786.364217686114</c:v>
                </c:pt>
                <c:pt idx="24">
                  <c:v>13677.879575058936</c:v>
                </c:pt>
                <c:pt idx="25">
                  <c:v>10778.402858343188</c:v>
                </c:pt>
                <c:pt idx="26">
                  <c:v>10175.087036452011</c:v>
                </c:pt>
                <c:pt idx="27">
                  <c:v>10058.214025483347</c:v>
                </c:pt>
                <c:pt idx="28">
                  <c:v>11392.643196837251</c:v>
                </c:pt>
                <c:pt idx="29">
                  <c:v>11775.079894101216</c:v>
                </c:pt>
                <c:pt idx="30">
                  <c:v>8222.3634397177448</c:v>
                </c:pt>
                <c:pt idx="31">
                  <c:v>8083.1304784493814</c:v>
                </c:pt>
                <c:pt idx="32">
                  <c:v>7407.1482319740799</c:v>
                </c:pt>
                <c:pt idx="33">
                  <c:v>9810.9792958425587</c:v>
                </c:pt>
                <c:pt idx="34">
                  <c:v>6322.2442911552416</c:v>
                </c:pt>
                <c:pt idx="35">
                  <c:v>7538.8227284960885</c:v>
                </c:pt>
                <c:pt idx="36">
                  <c:v>9525.4530406957474</c:v>
                </c:pt>
                <c:pt idx="37">
                  <c:v>4992.509727185371</c:v>
                </c:pt>
                <c:pt idx="38">
                  <c:v>7767.1938821066733</c:v>
                </c:pt>
                <c:pt idx="39">
                  <c:v>8556.7825882831439</c:v>
                </c:pt>
                <c:pt idx="40">
                  <c:v>5532.1246960097724</c:v>
                </c:pt>
                <c:pt idx="41">
                  <c:v>4791.0462470993134</c:v>
                </c:pt>
                <c:pt idx="42">
                  <c:v>4113.7883736871599</c:v>
                </c:pt>
                <c:pt idx="43">
                  <c:v>4547.3088561954273</c:v>
                </c:pt>
                <c:pt idx="44">
                  <c:v>3498.9124714277614</c:v>
                </c:pt>
                <c:pt idx="45">
                  <c:v>5765.7749086670256</c:v>
                </c:pt>
                <c:pt idx="46">
                  <c:v>3377.0135202736292</c:v>
                </c:pt>
                <c:pt idx="47">
                  <c:v>3936.4490862318244</c:v>
                </c:pt>
                <c:pt idx="48">
                  <c:v>3583.9251506478854</c:v>
                </c:pt>
                <c:pt idx="49">
                  <c:v>2703.5178420776242</c:v>
                </c:pt>
                <c:pt idx="50">
                  <c:v>1567.9259460076521</c:v>
                </c:pt>
                <c:pt idx="51">
                  <c:v>2645.9864081502574</c:v>
                </c:pt>
                <c:pt idx="52">
                  <c:v>756.28485044400873</c:v>
                </c:pt>
                <c:pt idx="53">
                  <c:v>1312.2354398045284</c:v>
                </c:pt>
                <c:pt idx="54">
                  <c:v>1824.1653157435253</c:v>
                </c:pt>
                <c:pt idx="55">
                  <c:v>1930.5199281283908</c:v>
                </c:pt>
                <c:pt idx="56">
                  <c:v>2343.8939020294611</c:v>
                </c:pt>
                <c:pt idx="57">
                  <c:v>927.72385604626686</c:v>
                </c:pt>
                <c:pt idx="58">
                  <c:v>2142.2964232317272</c:v>
                </c:pt>
                <c:pt idx="59">
                  <c:v>2445.4964401775778</c:v>
                </c:pt>
                <c:pt idx="60">
                  <c:v>854.66761156566406</c:v>
                </c:pt>
                <c:pt idx="61">
                  <c:v>1040.1903438150639</c:v>
                </c:pt>
                <c:pt idx="62">
                  <c:v>548.01874330409009</c:v>
                </c:pt>
                <c:pt idx="63">
                  <c:v>842.7730588935018</c:v>
                </c:pt>
                <c:pt idx="64">
                  <c:v>268.91221840699154</c:v>
                </c:pt>
                <c:pt idx="65">
                  <c:v>1509.8745445421812</c:v>
                </c:pt>
                <c:pt idx="66">
                  <c:v>102.32341836258951</c:v>
                </c:pt>
                <c:pt idx="67">
                  <c:v>471.35618337383107</c:v>
                </c:pt>
                <c:pt idx="68">
                  <c:v>463.84000942268574</c:v>
                </c:pt>
                <c:pt idx="69">
                  <c:v>1046.2207175497442</c:v>
                </c:pt>
                <c:pt idx="70">
                  <c:v>813.399223155497</c:v>
                </c:pt>
                <c:pt idx="71">
                  <c:v>444.23868331097941</c:v>
                </c:pt>
                <c:pt idx="72">
                  <c:v>0</c:v>
                </c:pt>
                <c:pt idx="73">
                  <c:v>390.88234144234679</c:v>
                </c:pt>
                <c:pt idx="74">
                  <c:v>342.402299725126</c:v>
                </c:pt>
                <c:pt idx="75">
                  <c:v>45.083639494010903</c:v>
                </c:pt>
                <c:pt idx="76">
                  <c:v>194.40680958972999</c:v>
                </c:pt>
                <c:pt idx="77">
                  <c:v>738.68957647838101</c:v>
                </c:pt>
                <c:pt idx="78">
                  <c:v>282.0351524424255</c:v>
                </c:pt>
                <c:pt idx="79">
                  <c:v>312.579832725274</c:v>
                </c:pt>
                <c:pt idx="80">
                  <c:v>256.352368238167</c:v>
                </c:pt>
                <c:pt idx="81">
                  <c:v>114.340931068469</c:v>
                </c:pt>
                <c:pt idx="82">
                  <c:v>83.802714426319696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155.0653655571393</c:v>
                </c:pt>
                <c:pt idx="90">
                  <c:v>20130.330472795464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TDFD!$K$11:$K$101</c:f>
              <c:numCache>
                <c:formatCode>General</c:formatCode>
                <c:ptCount val="91"/>
                <c:pt idx="0">
                  <c:v>584</c:v>
                </c:pt>
                <c:pt idx="1">
                  <c:v>1655</c:v>
                </c:pt>
                <c:pt idx="2">
                  <c:v>4958</c:v>
                </c:pt>
                <c:pt idx="3">
                  <c:v>22427</c:v>
                </c:pt>
                <c:pt idx="4">
                  <c:v>14272</c:v>
                </c:pt>
                <c:pt idx="5">
                  <c:v>17028</c:v>
                </c:pt>
                <c:pt idx="6">
                  <c:v>19787</c:v>
                </c:pt>
                <c:pt idx="7">
                  <c:v>19571</c:v>
                </c:pt>
                <c:pt idx="8">
                  <c:v>19445</c:v>
                </c:pt>
                <c:pt idx="9">
                  <c:v>18759</c:v>
                </c:pt>
                <c:pt idx="10">
                  <c:v>19739</c:v>
                </c:pt>
                <c:pt idx="11">
                  <c:v>19321</c:v>
                </c:pt>
                <c:pt idx="12">
                  <c:v>19726</c:v>
                </c:pt>
                <c:pt idx="13">
                  <c:v>19620</c:v>
                </c:pt>
                <c:pt idx="14">
                  <c:v>19792</c:v>
                </c:pt>
                <c:pt idx="15">
                  <c:v>19889</c:v>
                </c:pt>
                <c:pt idx="16">
                  <c:v>19928</c:v>
                </c:pt>
                <c:pt idx="17">
                  <c:v>20081</c:v>
                </c:pt>
                <c:pt idx="18">
                  <c:v>19337</c:v>
                </c:pt>
                <c:pt idx="19">
                  <c:v>19360</c:v>
                </c:pt>
                <c:pt idx="20">
                  <c:v>18128</c:v>
                </c:pt>
                <c:pt idx="21">
                  <c:v>18783</c:v>
                </c:pt>
                <c:pt idx="22">
                  <c:v>17935</c:v>
                </c:pt>
                <c:pt idx="23">
                  <c:v>17530</c:v>
                </c:pt>
                <c:pt idx="24">
                  <c:v>16952</c:v>
                </c:pt>
                <c:pt idx="25">
                  <c:v>15995</c:v>
                </c:pt>
                <c:pt idx="26">
                  <c:v>15510</c:v>
                </c:pt>
                <c:pt idx="27">
                  <c:v>14464</c:v>
                </c:pt>
                <c:pt idx="28">
                  <c:v>13319</c:v>
                </c:pt>
                <c:pt idx="29">
                  <c:v>12824</c:v>
                </c:pt>
                <c:pt idx="30">
                  <c:v>12286</c:v>
                </c:pt>
                <c:pt idx="31">
                  <c:v>11863</c:v>
                </c:pt>
                <c:pt idx="32">
                  <c:v>11276</c:v>
                </c:pt>
                <c:pt idx="33">
                  <c:v>10290</c:v>
                </c:pt>
                <c:pt idx="34">
                  <c:v>9743</c:v>
                </c:pt>
                <c:pt idx="35">
                  <c:v>9471</c:v>
                </c:pt>
                <c:pt idx="36">
                  <c:v>8854</c:v>
                </c:pt>
                <c:pt idx="37">
                  <c:v>7888</c:v>
                </c:pt>
                <c:pt idx="38">
                  <c:v>7545</c:v>
                </c:pt>
                <c:pt idx="39">
                  <c:v>6969</c:v>
                </c:pt>
                <c:pt idx="40">
                  <c:v>6641</c:v>
                </c:pt>
                <c:pt idx="41">
                  <c:v>6605</c:v>
                </c:pt>
                <c:pt idx="42">
                  <c:v>6210</c:v>
                </c:pt>
                <c:pt idx="43">
                  <c:v>5998</c:v>
                </c:pt>
                <c:pt idx="44">
                  <c:v>5670</c:v>
                </c:pt>
                <c:pt idx="45">
                  <c:v>5185</c:v>
                </c:pt>
                <c:pt idx="46">
                  <c:v>4972</c:v>
                </c:pt>
                <c:pt idx="47">
                  <c:v>4652</c:v>
                </c:pt>
                <c:pt idx="48">
                  <c:v>4293</c:v>
                </c:pt>
                <c:pt idx="49">
                  <c:v>3909</c:v>
                </c:pt>
                <c:pt idx="50">
                  <c:v>3614</c:v>
                </c:pt>
                <c:pt idx="51">
                  <c:v>3314</c:v>
                </c:pt>
                <c:pt idx="52">
                  <c:v>2979</c:v>
                </c:pt>
                <c:pt idx="53">
                  <c:v>2805</c:v>
                </c:pt>
                <c:pt idx="54">
                  <c:v>2549</c:v>
                </c:pt>
                <c:pt idx="55">
                  <c:v>2262</c:v>
                </c:pt>
                <c:pt idx="56">
                  <c:v>2274</c:v>
                </c:pt>
                <c:pt idx="57">
                  <c:v>2125</c:v>
                </c:pt>
                <c:pt idx="58">
                  <c:v>1996</c:v>
                </c:pt>
                <c:pt idx="59">
                  <c:v>1803</c:v>
                </c:pt>
                <c:pt idx="60">
                  <c:v>1662</c:v>
                </c:pt>
                <c:pt idx="61">
                  <c:v>1425</c:v>
                </c:pt>
                <c:pt idx="62">
                  <c:v>1371</c:v>
                </c:pt>
                <c:pt idx="63">
                  <c:v>1179</c:v>
                </c:pt>
                <c:pt idx="64">
                  <c:v>1054</c:v>
                </c:pt>
                <c:pt idx="65">
                  <c:v>822</c:v>
                </c:pt>
                <c:pt idx="66">
                  <c:v>696</c:v>
                </c:pt>
                <c:pt idx="67">
                  <c:v>598</c:v>
                </c:pt>
                <c:pt idx="68">
                  <c:v>530</c:v>
                </c:pt>
                <c:pt idx="69">
                  <c:v>450</c:v>
                </c:pt>
                <c:pt idx="70">
                  <c:v>404</c:v>
                </c:pt>
                <c:pt idx="71">
                  <c:v>360</c:v>
                </c:pt>
                <c:pt idx="72">
                  <c:v>284</c:v>
                </c:pt>
                <c:pt idx="73">
                  <c:v>236</c:v>
                </c:pt>
                <c:pt idx="74">
                  <c:v>219</c:v>
                </c:pt>
                <c:pt idx="75">
                  <c:v>215</c:v>
                </c:pt>
                <c:pt idx="76">
                  <c:v>163</c:v>
                </c:pt>
                <c:pt idx="77">
                  <c:v>144</c:v>
                </c:pt>
                <c:pt idx="78">
                  <c:v>147</c:v>
                </c:pt>
                <c:pt idx="79">
                  <c:v>110</c:v>
                </c:pt>
                <c:pt idx="80">
                  <c:v>122</c:v>
                </c:pt>
                <c:pt idx="81">
                  <c:v>83</c:v>
                </c:pt>
                <c:pt idx="82">
                  <c:v>68</c:v>
                </c:pt>
                <c:pt idx="83">
                  <c:v>52</c:v>
                </c:pt>
                <c:pt idx="84">
                  <c:v>51</c:v>
                </c:pt>
                <c:pt idx="85">
                  <c:v>38</c:v>
                </c:pt>
                <c:pt idx="86">
                  <c:v>36</c:v>
                </c:pt>
                <c:pt idx="87">
                  <c:v>24</c:v>
                </c:pt>
                <c:pt idx="88">
                  <c:v>18</c:v>
                </c:pt>
                <c:pt idx="89">
                  <c:v>118</c:v>
                </c:pt>
                <c:pt idx="90">
                  <c:v>20543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627968"/>
        <c:axId val="192520192"/>
      </c:lineChart>
      <c:catAx>
        <c:axId val="156627968"/>
        <c:scaling>
          <c:orientation val="minMax"/>
        </c:scaling>
        <c:delete val="0"/>
        <c:axPos val="b"/>
        <c:majorTickMark val="out"/>
        <c:minorTickMark val="none"/>
        <c:tickLblPos val="nextTo"/>
        <c:crossAx val="192520192"/>
        <c:crosses val="autoZero"/>
        <c:auto val="1"/>
        <c:lblAlgn val="ctr"/>
        <c:lblOffset val="100"/>
        <c:tickLblSkip val="10"/>
        <c:noMultiLvlLbl val="0"/>
      </c:catAx>
      <c:valAx>
        <c:axId val="19252019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662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73"/>
          <c:h val="0.2511515748031495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511" footer="0.30000000000000032" header="0.30000000000000032" l="0.70000000000000062" r="0.70000000000000062" t="0.75000000000000511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11</xdr:col>
      <xdr:colOff>600075</xdr:colOff>
      <xdr:row>16</xdr:row>
      <xdr:rowOff>95250</xdr:rowOff>
    </xdr:from>
    <xdr:to>
      <xdr:col>21</xdr:col>
      <xdr:colOff>9525</xdr:colOff>
      <xdr:row>30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11</xdr:col>
      <xdr:colOff>581025</xdr:colOff>
      <xdr:row>16</xdr:row>
      <xdr:rowOff>38100</xdr:rowOff>
    </xdr:from>
    <xdr:to>
      <xdr:col>20</xdr:col>
      <xdr:colOff>600075</xdr:colOff>
      <xdr:row>30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W101"/>
  <sheetViews>
    <sheetView workbookViewId="0">
      <selection activeCell="M9" sqref="M9:O14"/>
    </sheetView>
  </sheetViews>
  <sheetFormatPr defaultRowHeight="15" x14ac:dyDescent="0.25"/>
  <cols>
    <col min="1" max="1" customWidth="true" width="13.5703125" collapsed="true"/>
    <col min="5" max="5" bestFit="true" customWidth="true" width="9.5703125" collapsed="true"/>
  </cols>
  <sheetData>
    <row r="1" spans="1:23" x14ac:dyDescent="0.25">
      <c r="A1" t="s">
        <v>1</v>
      </c>
    </row>
    <row r="2" spans="1:23" x14ac:dyDescent="0.25">
      <c r="A2" t="s">
        <v>235</v>
      </c>
    </row>
    <row r="3" spans="1:23" x14ac:dyDescent="0.25">
      <c r="A3" t="s">
        <v>276</v>
      </c>
    </row>
    <row r="4" spans="1:23" x14ac:dyDescent="0.25">
      <c r="A4" t="s">
        <v>5</v>
      </c>
    </row>
    <row r="5" spans="1:23" x14ac:dyDescent="0.25">
      <c r="A5" t="s">
        <v>6</v>
      </c>
    </row>
    <row r="6" spans="1:23" x14ac:dyDescent="0.25">
      <c r="A6" t="s">
        <v>7</v>
      </c>
    </row>
    <row r="7" spans="1:23" x14ac:dyDescent="0.25">
      <c r="A7" t="s">
        <v>15</v>
      </c>
    </row>
    <row ht="15.75" r="9" spans="1:23" thickBot="1" x14ac:dyDescent="0.3">
      <c r="A9" s="4" t="s">
        <v>234</v>
      </c>
      <c r="B9" s="1"/>
      <c r="C9" s="1"/>
      <c r="D9" s="1"/>
      <c r="E9" s="1"/>
      <c r="G9" s="4" t="s">
        <v>16</v>
      </c>
      <c r="H9" s="1"/>
      <c r="I9" s="1"/>
      <c r="J9" s="1"/>
      <c r="K9" s="1"/>
      <c r="M9" s="39" t="s">
        <v>50</v>
      </c>
      <c r="N9" s="35"/>
      <c r="O9" s="35"/>
    </row>
    <row r="10" spans="1:23" x14ac:dyDescent="0.25">
      <c r="A10" s="2" t="s">
        <v>3</v>
      </c>
      <c r="B10" s="5" t="s">
        <v>12</v>
      </c>
      <c r="C10" s="5" t="s">
        <v>13</v>
      </c>
      <c r="D10" s="5" t="s">
        <v>14</v>
      </c>
      <c r="E10" s="5" t="s">
        <v>228</v>
      </c>
      <c r="G10" s="2" t="s">
        <v>3</v>
      </c>
      <c r="H10" s="5" t="s">
        <v>12</v>
      </c>
      <c r="I10" s="5" t="s">
        <v>13</v>
      </c>
      <c r="J10" s="5" t="s">
        <v>14</v>
      </c>
      <c r="K10" s="5" t="s">
        <v>49</v>
      </c>
      <c r="M10" s="34"/>
      <c r="N10" s="40" t="s">
        <v>228</v>
      </c>
      <c r="O10" s="40" t="s">
        <v>49</v>
      </c>
    </row>
    <row r="11" spans="1:23" x14ac:dyDescent="0.25">
      <c r="A11">
        <v>0</v>
      </c>
      <c r="B11" s="9" t="n">
        <v>58998.2166</v>
      </c>
      <c r="C11" s="9" t="n">
        <v>23376.9027</v>
      </c>
      <c r="D11" s="9" t="n">
        <v>2664.5972</v>
      </c>
      <c r="E11" s="9">
        <f>SUM(B11:D11)</f>
        <v>21130.072016114598</v>
      </c>
      <c r="G11">
        <v>0</v>
      </c>
      <c r="H11" s="16" t="n">
        <v>66091.0</v>
      </c>
      <c r="I11" s="16" t="n">
        <v>26895.0</v>
      </c>
      <c r="J11" s="16" t="n">
        <v>7087.0</v>
      </c>
      <c r="K11">
        <f>SUM(H11:J11)</f>
        <v>28302</v>
      </c>
      <c r="M11" s="35" t="s">
        <v>12</v>
      </c>
      <c r="N11" s="41" t="n">
        <v>12.83799788467272</v>
      </c>
      <c r="O11" s="41" t="n">
        <v>14.893586345174482</v>
      </c>
    </row>
    <row r="12" spans="1:23" x14ac:dyDescent="0.25">
      <c r="A12">
        <v>1</v>
      </c>
      <c r="B12" s="9" t="n">
        <v>58371.9661</v>
      </c>
      <c r="C12" s="9" t="n">
        <v>22824.3115</v>
      </c>
      <c r="D12" s="9" t="n">
        <v>4646.5492</v>
      </c>
      <c r="E12" s="9">
        <f ref="E12:E75" si="0" t="shared">SUM(B12:D12)</f>
        <v>33352.631653172983</v>
      </c>
      <c r="G12">
        <v>1</v>
      </c>
      <c r="H12" s="16" t="n">
        <v>36995.0</v>
      </c>
      <c r="I12" s="16" t="n">
        <v>18424.0</v>
      </c>
      <c r="J12" s="16" t="n">
        <v>4679.0</v>
      </c>
      <c r="K12">
        <f ref="K12:K75" si="1" t="shared">SUM(H12:J12)</f>
        <v>42408</v>
      </c>
      <c r="M12" s="35" t="s">
        <v>13</v>
      </c>
      <c r="N12" s="41" t="n">
        <v>8.916695002021942</v>
      </c>
      <c r="O12" s="41" t="n">
        <v>11.03544336083754</v>
      </c>
    </row>
    <row r="13" spans="1:23" x14ac:dyDescent="0.25">
      <c r="A13">
        <v>2</v>
      </c>
      <c r="B13" s="9" t="n">
        <v>84270.3695</v>
      </c>
      <c r="C13" s="9" t="n">
        <v>20187.856</v>
      </c>
      <c r="D13" s="9" t="n">
        <v>1160.2978</v>
      </c>
      <c r="E13" s="9">
        <f si="0" t="shared"/>
        <v>32953.260840872324</v>
      </c>
      <c r="G13">
        <v>2</v>
      </c>
      <c r="H13" s="16" t="n">
        <v>28490.0</v>
      </c>
      <c r="I13" s="16" t="n">
        <v>11634.0</v>
      </c>
      <c r="J13" s="16" t="n">
        <v>3002.0</v>
      </c>
      <c r="K13">
        <f si="1" t="shared"/>
        <v>38897</v>
      </c>
      <c r="M13" s="37" t="s">
        <v>14</v>
      </c>
      <c r="N13" s="42" t="n">
        <v>9.899742159610314</v>
      </c>
      <c r="O13" s="42" t="n">
        <v>10.283776365354013</v>
      </c>
    </row>
    <row ht="15.75" r="14" spans="1:23" thickBot="1" x14ac:dyDescent="0.3">
      <c r="A14">
        <v>3</v>
      </c>
      <c r="B14" s="9" t="n">
        <v>67592.5614</v>
      </c>
      <c r="C14" s="9" t="n">
        <v>21324.1436</v>
      </c>
      <c r="D14" s="9" t="n">
        <v>3274.2145</v>
      </c>
      <c r="E14" s="9">
        <f si="0" t="shared"/>
        <v>36470.16264643451</v>
      </c>
      <c r="G14">
        <v>3</v>
      </c>
      <c r="H14" s="16" t="n">
        <v>24772.0</v>
      </c>
      <c r="I14" s="16" t="n">
        <v>8715.0</v>
      </c>
      <c r="J14" s="16" t="n">
        <v>2330.0</v>
      </c>
      <c r="K14">
        <f si="1" t="shared"/>
        <v>34254</v>
      </c>
      <c r="M14" s="33" t="s">
        <v>4</v>
      </c>
      <c r="N14" s="43" t="n">
        <v>12.1067831945929</v>
      </c>
      <c r="O14" s="43" t="n">
        <v>13.967800068195258</v>
      </c>
      <c r="S14" s="9"/>
    </row>
    <row r="15" spans="1:23" x14ac:dyDescent="0.25">
      <c r="A15">
        <v>4</v>
      </c>
      <c r="B15" s="9" t="n">
        <v>76193.045</v>
      </c>
      <c r="C15" s="9" t="n">
        <v>21665.1402</v>
      </c>
      <c r="D15" s="9" t="n">
        <v>5268.178</v>
      </c>
      <c r="E15" s="9">
        <f si="0" t="shared"/>
        <v>32167.733349542952</v>
      </c>
      <c r="G15">
        <v>4</v>
      </c>
      <c r="H15" s="16" t="n">
        <v>79636.0</v>
      </c>
      <c r="I15" s="16" t="n">
        <v>31161.0</v>
      </c>
      <c r="J15" s="16" t="n">
        <v>8960.0</v>
      </c>
      <c r="K15">
        <f si="1" t="shared"/>
        <v>34413</v>
      </c>
      <c r="W15" s="9"/>
    </row>
    <row r="16" spans="1:23" x14ac:dyDescent="0.25">
      <c r="A16">
        <v>5</v>
      </c>
      <c r="B16" s="9" t="n">
        <v>67956.6989</v>
      </c>
      <c r="C16" s="9" t="n">
        <v>17781.5399</v>
      </c>
      <c r="D16" s="9" t="n">
        <v>3119.4508</v>
      </c>
      <c r="E16" s="9">
        <f si="0" t="shared"/>
        <v>24939.18138736748</v>
      </c>
      <c r="G16">
        <v>5</v>
      </c>
      <c r="H16" s="16" t="n">
        <v>84497.0</v>
      </c>
      <c r="I16" s="16" t="n">
        <v>25155.0</v>
      </c>
      <c r="J16" s="16" t="n">
        <v>7574.0</v>
      </c>
      <c r="K16">
        <f si="1" t="shared"/>
        <v>34987</v>
      </c>
      <c r="W16" s="9"/>
    </row>
    <row r="17" spans="1:23" x14ac:dyDescent="0.25">
      <c r="A17">
        <v>6</v>
      </c>
      <c r="B17" s="9" t="n">
        <v>58799.381</v>
      </c>
      <c r="C17" s="9" t="n">
        <v>10361.3815</v>
      </c>
      <c r="D17" s="9" t="n">
        <v>3775.3968</v>
      </c>
      <c r="E17" s="9">
        <f si="0" t="shared"/>
        <v>31531.25786439838</v>
      </c>
      <c r="G17">
        <v>6</v>
      </c>
      <c r="H17" s="16" t="n">
        <v>77783.0</v>
      </c>
      <c r="I17" s="16" t="n">
        <v>22606.0</v>
      </c>
      <c r="J17" s="16" t="n">
        <v>7100.0</v>
      </c>
      <c r="K17">
        <f si="1" t="shared"/>
        <v>34125</v>
      </c>
      <c r="W17" s="9"/>
    </row>
    <row r="18" spans="1:23" x14ac:dyDescent="0.25">
      <c r="A18">
        <v>7</v>
      </c>
      <c r="B18" s="9" t="n">
        <v>68081.0403</v>
      </c>
      <c r="C18" s="9" t="n">
        <v>11136.3627</v>
      </c>
      <c r="D18" s="9" t="n">
        <v>1617.566</v>
      </c>
      <c r="E18" s="9">
        <f si="0" t="shared"/>
        <v>27621.096480937566</v>
      </c>
      <c r="G18">
        <v>7</v>
      </c>
      <c r="H18" s="16" t="n">
        <v>60095.0</v>
      </c>
      <c r="I18" s="16" t="n">
        <v>17263.0</v>
      </c>
      <c r="J18" s="16" t="n">
        <v>5313.0</v>
      </c>
      <c r="K18">
        <f si="1" t="shared"/>
        <v>33281</v>
      </c>
      <c r="W18" s="9"/>
    </row>
    <row r="19" spans="1:23" x14ac:dyDescent="0.25">
      <c r="A19">
        <v>8</v>
      </c>
      <c r="B19" s="9" t="n">
        <v>48441.7818</v>
      </c>
      <c r="C19" s="9" t="n">
        <v>10951.5066</v>
      </c>
      <c r="D19" s="9" t="n">
        <v>4283.6253</v>
      </c>
      <c r="E19" s="9">
        <f si="0" t="shared"/>
        <v>26122.261702024884</v>
      </c>
      <c r="G19">
        <v>8</v>
      </c>
      <c r="H19" s="16" t="n">
        <v>65674.0</v>
      </c>
      <c r="I19" s="16" t="n">
        <v>15867.0</v>
      </c>
      <c r="J19" s="16" t="n">
        <v>4867.0</v>
      </c>
      <c r="K19">
        <f si="1" t="shared"/>
        <v>32383</v>
      </c>
      <c r="W19" s="9"/>
    </row>
    <row r="20" spans="1:23" x14ac:dyDescent="0.25">
      <c r="A20">
        <v>9</v>
      </c>
      <c r="B20" s="9" t="n">
        <v>58986.7451</v>
      </c>
      <c r="C20" s="9" t="n">
        <v>9103.668</v>
      </c>
      <c r="D20" s="9" t="n">
        <v>3854.6907</v>
      </c>
      <c r="E20" s="9">
        <f si="0" t="shared"/>
        <v>24764.093556944536</v>
      </c>
      <c r="G20">
        <v>9</v>
      </c>
      <c r="H20" s="16" t="n">
        <v>73492.0</v>
      </c>
      <c r="I20" s="16" t="n">
        <v>17092.0</v>
      </c>
      <c r="J20" s="16" t="n">
        <v>5241.0</v>
      </c>
      <c r="K20">
        <f si="1" t="shared"/>
        <v>34378</v>
      </c>
      <c r="W20" s="9"/>
    </row>
    <row r="21" spans="1:23" x14ac:dyDescent="0.25">
      <c r="A21">
        <v>10</v>
      </c>
      <c r="B21" s="9" t="n">
        <v>49905.674100000004</v>
      </c>
      <c r="C21" s="9" t="n">
        <v>14233.76</v>
      </c>
      <c r="D21" s="9" t="n">
        <v>2075.6533999999997</v>
      </c>
      <c r="E21" s="9">
        <f si="0" t="shared"/>
        <v>25179.842603427027</v>
      </c>
      <c r="G21">
        <v>10</v>
      </c>
      <c r="H21" s="16" t="n">
        <v>40471.0</v>
      </c>
      <c r="I21" s="16" t="n">
        <v>9479.0</v>
      </c>
      <c r="J21" s="16" t="n">
        <v>2876.0</v>
      </c>
      <c r="K21">
        <f si="1" t="shared"/>
        <v>33864</v>
      </c>
      <c r="W21" s="9"/>
    </row>
    <row r="22" spans="1:23" x14ac:dyDescent="0.25">
      <c r="A22">
        <v>11</v>
      </c>
      <c r="B22" s="9" t="n">
        <v>47184.4018</v>
      </c>
      <c r="C22" s="9" t="n">
        <v>8639.49</v>
      </c>
      <c r="D22" s="9" t="n">
        <v>3552.8968999999997</v>
      </c>
      <c r="E22" s="9">
        <f si="0" t="shared"/>
        <v>29476.973955305908</v>
      </c>
      <c r="G22">
        <v>11</v>
      </c>
      <c r="H22" s="16" t="n">
        <v>59571.0</v>
      </c>
      <c r="I22" s="16" t="n">
        <v>12204.0</v>
      </c>
      <c r="J22" s="16" t="n">
        <v>3388.0</v>
      </c>
      <c r="K22">
        <f si="1" t="shared"/>
        <v>30839</v>
      </c>
      <c r="W22" s="9"/>
    </row>
    <row r="23" spans="1:23" x14ac:dyDescent="0.25">
      <c r="A23">
        <v>12</v>
      </c>
      <c r="B23" s="9" t="n">
        <v>44097.3262</v>
      </c>
      <c r="C23" s="9" t="n">
        <v>12351.7456</v>
      </c>
      <c r="D23" s="9" t="n">
        <v>3546.238</v>
      </c>
      <c r="E23" s="9">
        <f si="0" t="shared"/>
        <v>21369.868222040976</v>
      </c>
      <c r="G23">
        <v>12</v>
      </c>
      <c r="H23" s="16" t="n">
        <v>41510.0</v>
      </c>
      <c r="I23" s="16" t="n">
        <v>8839.0</v>
      </c>
      <c r="J23" s="16" t="n">
        <v>2591.0</v>
      </c>
      <c r="K23">
        <f si="1" t="shared"/>
        <v>29628</v>
      </c>
      <c r="W23" s="9"/>
    </row>
    <row r="24" spans="1:23" x14ac:dyDescent="0.25">
      <c r="A24">
        <v>13</v>
      </c>
      <c r="B24" s="9" t="n">
        <v>37474.7293</v>
      </c>
      <c r="C24" s="9" t="n">
        <v>3932.5895</v>
      </c>
      <c r="D24" s="9" t="n">
        <v>2694.2655</v>
      </c>
      <c r="E24" s="9">
        <f si="0" t="shared"/>
        <v>17743.716559489614</v>
      </c>
      <c r="G24">
        <v>13</v>
      </c>
      <c r="H24" s="16" t="n">
        <v>58360.0</v>
      </c>
      <c r="I24" s="16" t="n">
        <v>12399.0</v>
      </c>
      <c r="J24" s="16" t="n">
        <v>3019.0</v>
      </c>
      <c r="K24">
        <f si="1" t="shared"/>
        <v>25798</v>
      </c>
      <c r="W24" s="9"/>
    </row>
    <row r="25" spans="1:23" x14ac:dyDescent="0.25">
      <c r="A25">
        <v>14</v>
      </c>
      <c r="B25" s="9" t="n">
        <v>36980.6485</v>
      </c>
      <c r="C25" s="9" t="n">
        <v>7168.4448999999995</v>
      </c>
      <c r="D25" s="9" t="n">
        <v>1212.2448</v>
      </c>
      <c r="E25" s="9">
        <f si="0" t="shared"/>
        <v>20078.198342361917</v>
      </c>
      <c r="G25">
        <v>14</v>
      </c>
      <c r="H25" s="16" t="n">
        <v>37625.0</v>
      </c>
      <c r="I25" s="16" t="n">
        <v>7773.0</v>
      </c>
      <c r="J25" s="16" t="n">
        <v>2224.0</v>
      </c>
      <c r="K25">
        <f si="1" t="shared"/>
        <v>23496</v>
      </c>
      <c r="W25" s="9"/>
    </row>
    <row r="26" spans="1:23" x14ac:dyDescent="0.25">
      <c r="A26">
        <v>15</v>
      </c>
      <c r="B26" s="9" t="n">
        <v>47334.2431</v>
      </c>
      <c r="C26" s="9" t="n">
        <v>6097.9681</v>
      </c>
      <c r="D26" s="9" t="n">
        <v>1916.9122</v>
      </c>
      <c r="E26" s="9">
        <f si="0" t="shared"/>
        <v>18921.308430087942</v>
      </c>
      <c r="G26">
        <v>15</v>
      </c>
      <c r="H26" s="16" t="n">
        <v>46514.0</v>
      </c>
      <c r="I26" s="16" t="n">
        <v>8787.0</v>
      </c>
      <c r="J26" s="16" t="n">
        <v>2472.0</v>
      </c>
      <c r="K26">
        <f si="1" t="shared"/>
        <v>21201</v>
      </c>
      <c r="W26" s="9"/>
    </row>
    <row r="27" spans="1:23" x14ac:dyDescent="0.25">
      <c r="A27">
        <v>16</v>
      </c>
      <c r="B27" s="9" t="n">
        <v>39952.9076</v>
      </c>
      <c r="C27" s="9" t="n">
        <v>7390.7619</v>
      </c>
      <c r="D27" s="9" t="n">
        <v>387.1396</v>
      </c>
      <c r="E27" s="9">
        <f si="0" t="shared"/>
        <v>12174.838821111689</v>
      </c>
      <c r="G27">
        <v>16</v>
      </c>
      <c r="H27" s="16" t="n">
        <v>50712.0</v>
      </c>
      <c r="I27" s="16" t="n">
        <v>9224.0</v>
      </c>
      <c r="J27" s="16" t="n">
        <v>2534.0</v>
      </c>
      <c r="K27">
        <f si="1" t="shared"/>
        <v>18612</v>
      </c>
      <c r="W27" s="9"/>
    </row>
    <row r="28" spans="1:23" x14ac:dyDescent="0.25">
      <c r="A28">
        <v>17</v>
      </c>
      <c r="B28" s="9" t="n">
        <v>27396.1427</v>
      </c>
      <c r="C28" s="9" t="n">
        <v>7939.9491</v>
      </c>
      <c r="D28" s="9" t="n">
        <v>76.6883</v>
      </c>
      <c r="E28" s="9">
        <f si="0" t="shared"/>
        <v>10633.227674401083</v>
      </c>
      <c r="G28">
        <v>17</v>
      </c>
      <c r="H28" s="16" t="n">
        <v>38864.0</v>
      </c>
      <c r="I28" s="16" t="n">
        <v>6677.0</v>
      </c>
      <c r="J28" s="16" t="n">
        <v>1678.0</v>
      </c>
      <c r="K28">
        <f si="1" t="shared"/>
        <v>16624</v>
      </c>
      <c r="W28" s="9"/>
    </row>
    <row r="29" spans="1:23" x14ac:dyDescent="0.25">
      <c r="A29">
        <v>18</v>
      </c>
      <c r="B29" s="9" t="n">
        <v>30478.0509</v>
      </c>
      <c r="C29" s="9" t="n">
        <v>2439.087</v>
      </c>
      <c r="D29" s="9" t="n">
        <v>288.2677</v>
      </c>
      <c r="E29" s="9">
        <f si="0" t="shared"/>
        <v>17394.179174521181</v>
      </c>
      <c r="G29">
        <v>18</v>
      </c>
      <c r="H29" s="16" t="n">
        <v>39546.0</v>
      </c>
      <c r="I29" s="16" t="n">
        <v>6236.0</v>
      </c>
      <c r="J29" s="16" t="n">
        <v>1668.0</v>
      </c>
      <c r="K29">
        <f si="1" t="shared"/>
        <v>15331</v>
      </c>
      <c r="W29" s="9"/>
    </row>
    <row r="30" spans="1:23" x14ac:dyDescent="0.25">
      <c r="A30">
        <v>19</v>
      </c>
      <c r="B30" s="9" t="n">
        <v>38006.1699</v>
      </c>
      <c r="C30" s="9" t="n">
        <v>4820.3725</v>
      </c>
      <c r="D30" s="9" t="n">
        <v>661.0427999999999</v>
      </c>
      <c r="E30" s="9">
        <f si="0" t="shared"/>
        <v>10972.177072501898</v>
      </c>
      <c r="G30">
        <v>19</v>
      </c>
      <c r="H30" s="16" t="n">
        <v>33818.0</v>
      </c>
      <c r="I30" s="16" t="n">
        <v>5311.0</v>
      </c>
      <c r="J30" s="16" t="n">
        <v>1416.0</v>
      </c>
      <c r="K30">
        <f si="1" t="shared"/>
        <v>13343</v>
      </c>
      <c r="W30" s="9"/>
    </row>
    <row r="31" spans="1:23" x14ac:dyDescent="0.25">
      <c r="A31">
        <v>20</v>
      </c>
      <c r="B31" s="9" t="n">
        <v>31572.4268</v>
      </c>
      <c r="C31" s="9" t="n">
        <v>1902.6272</v>
      </c>
      <c r="D31" s="9" t="n">
        <v>678.8433</v>
      </c>
      <c r="E31" s="9">
        <f si="0" t="shared"/>
        <v>8971.2912183154931</v>
      </c>
      <c r="G31">
        <v>20</v>
      </c>
      <c r="H31" s="16" t="n">
        <v>31610.0</v>
      </c>
      <c r="I31" s="16" t="n">
        <v>4724.0</v>
      </c>
      <c r="J31" s="16" t="n">
        <v>1260.0</v>
      </c>
      <c r="K31">
        <f si="1" t="shared"/>
        <v>11645</v>
      </c>
      <c r="W31" s="9"/>
    </row>
    <row r="32" spans="1:23" x14ac:dyDescent="0.25">
      <c r="A32">
        <v>21</v>
      </c>
      <c r="B32" s="9" t="n">
        <v>25949.667</v>
      </c>
      <c r="C32" s="9" t="n">
        <v>1316.4322</v>
      </c>
      <c r="D32" s="9" t="n">
        <v>149.5759</v>
      </c>
      <c r="E32" s="9">
        <f si="0" t="shared"/>
        <v>9494.5843517725207</v>
      </c>
      <c r="G32">
        <v>21</v>
      </c>
      <c r="H32" s="16" t="n">
        <v>30390.0</v>
      </c>
      <c r="I32" s="16" t="n">
        <v>4868.0</v>
      </c>
      <c r="J32" s="16" t="n">
        <v>1005.0</v>
      </c>
      <c r="K32">
        <f si="1" t="shared"/>
        <v>10450</v>
      </c>
      <c r="W32" s="9"/>
    </row>
    <row r="33" spans="1:23" x14ac:dyDescent="0.25">
      <c r="A33">
        <v>22</v>
      </c>
      <c r="B33" s="9" t="n">
        <v>18693.5089</v>
      </c>
      <c r="C33" s="9" t="n">
        <v>629.7024</v>
      </c>
      <c r="D33" s="9" t="n">
        <v>142.9049</v>
      </c>
      <c r="E33" s="9">
        <f si="0" t="shared"/>
        <v>6620.7831996747927</v>
      </c>
      <c r="G33">
        <v>22</v>
      </c>
      <c r="H33" s="16" t="n">
        <v>23805.0</v>
      </c>
      <c r="I33" s="16" t="n">
        <v>3417.0</v>
      </c>
      <c r="J33" s="16" t="n">
        <v>827.0</v>
      </c>
      <c r="K33">
        <f si="1" t="shared"/>
        <v>9262</v>
      </c>
      <c r="W33" s="9"/>
    </row>
    <row r="34" spans="1:23" x14ac:dyDescent="0.25">
      <c r="A34">
        <v>23</v>
      </c>
      <c r="B34" s="9" t="n">
        <v>17674.8631</v>
      </c>
      <c r="C34" s="9" t="n">
        <v>1443.5875</v>
      </c>
      <c r="D34" s="9" t="n">
        <v>0.0</v>
      </c>
      <c r="E34" s="9">
        <f si="0" t="shared"/>
        <v>8492.5941566371966</v>
      </c>
      <c r="G34">
        <v>23</v>
      </c>
      <c r="H34" s="16" t="n">
        <v>29984.0</v>
      </c>
      <c r="I34" s="16" t="n">
        <v>3852.0</v>
      </c>
      <c r="J34" s="16" t="n">
        <v>898.0</v>
      </c>
      <c r="K34">
        <f si="1" t="shared"/>
        <v>7991</v>
      </c>
      <c r="W34" s="9"/>
    </row>
    <row r="35" spans="1:23" x14ac:dyDescent="0.25">
      <c r="A35">
        <v>24</v>
      </c>
      <c r="B35" s="9" t="n">
        <v>15164.2969</v>
      </c>
      <c r="C35" s="9" t="n">
        <v>955.5241</v>
      </c>
      <c r="D35" s="9" t="n">
        <v>164.9238</v>
      </c>
      <c r="E35" s="9">
        <f si="0" t="shared"/>
        <v>6727.9745588165315</v>
      </c>
      <c r="G35">
        <v>24</v>
      </c>
      <c r="H35" s="16" t="n">
        <v>20870.0</v>
      </c>
      <c r="I35" s="16" t="n">
        <v>2989.0</v>
      </c>
      <c r="J35" s="16" t="n">
        <v>612.0</v>
      </c>
      <c r="K35">
        <f si="1" t="shared"/>
        <v>7136</v>
      </c>
      <c r="W35" s="9"/>
    </row>
    <row r="36" spans="1:23" x14ac:dyDescent="0.25">
      <c r="A36">
        <v>25</v>
      </c>
      <c r="B36" s="9" t="n">
        <v>11132.2038</v>
      </c>
      <c r="C36" s="9" t="n">
        <v>2786.1114</v>
      </c>
      <c r="D36" s="9" t="n">
        <v>258.1781</v>
      </c>
      <c r="E36" s="9">
        <f si="0" t="shared"/>
        <v>7331.3030004261464</v>
      </c>
      <c r="G36">
        <v>25</v>
      </c>
      <c r="H36" s="16" t="n">
        <v>20735.0</v>
      </c>
      <c r="I36" s="16" t="n">
        <v>2959.0</v>
      </c>
      <c r="J36" s="16" t="n">
        <v>731.0</v>
      </c>
      <c r="K36">
        <f si="1" t="shared"/>
        <v>6947</v>
      </c>
      <c r="W36" s="9"/>
    </row>
    <row r="37" spans="1:23" x14ac:dyDescent="0.25">
      <c r="A37">
        <v>26</v>
      </c>
      <c r="B37" s="9" t="n">
        <v>14916.535100000001</v>
      </c>
      <c r="C37" s="9" t="n">
        <v>0.0</v>
      </c>
      <c r="D37" s="9" t="n">
        <v>0.0</v>
      </c>
      <c r="E37" s="9">
        <f si="0" t="shared"/>
        <v>6324.8232621839652</v>
      </c>
      <c r="G37">
        <v>26</v>
      </c>
      <c r="H37" s="16" t="n">
        <v>18378.0</v>
      </c>
      <c r="I37" s="16" t="n">
        <v>2401.0</v>
      </c>
      <c r="J37" s="16" t="n">
        <v>506.0</v>
      </c>
      <c r="K37">
        <f si="1" t="shared"/>
        <v>6471</v>
      </c>
      <c r="W37" s="9"/>
    </row>
    <row r="38" spans="1:23" x14ac:dyDescent="0.25">
      <c r="A38">
        <v>27</v>
      </c>
      <c r="B38" s="9" t="n">
        <v>10846.57</v>
      </c>
      <c r="C38" s="9" t="n">
        <v>781.2678</v>
      </c>
      <c r="D38" s="9" t="n">
        <v>210.8431</v>
      </c>
      <c r="E38" s="9">
        <f si="0" t="shared"/>
        <v>4310.239995990768</v>
      </c>
      <c r="G38">
        <v>27</v>
      </c>
      <c r="H38" s="16" t="n">
        <v>19328.0</v>
      </c>
      <c r="I38" s="16" t="n">
        <v>3223.0</v>
      </c>
      <c r="J38" s="16" t="n">
        <v>932.0</v>
      </c>
      <c r="K38">
        <f si="1" t="shared"/>
        <v>6025</v>
      </c>
      <c r="W38" s="9"/>
    </row>
    <row r="39" spans="1:23" x14ac:dyDescent="0.25">
      <c r="A39">
        <v>28</v>
      </c>
      <c r="B39" s="9" t="n">
        <v>10341.7716</v>
      </c>
      <c r="C39" s="9" t="n">
        <v>1442.5253</v>
      </c>
      <c r="D39" s="9" t="n">
        <v>109.3501</v>
      </c>
      <c r="E39" s="9">
        <f si="0" t="shared"/>
        <v>5735.8713680786304</v>
      </c>
      <c r="G39">
        <v>28</v>
      </c>
      <c r="H39" s="16" t="n">
        <v>13528.0</v>
      </c>
      <c r="I39" s="16" t="n">
        <v>1756.0</v>
      </c>
      <c r="J39" s="16" t="n">
        <v>386.0</v>
      </c>
      <c r="K39">
        <f si="1" t="shared"/>
        <v>5574</v>
      </c>
      <c r="W39" s="9"/>
    </row>
    <row r="40" spans="1:23" x14ac:dyDescent="0.25">
      <c r="A40">
        <v>29</v>
      </c>
      <c r="B40" s="9" t="n">
        <v>9767.0323</v>
      </c>
      <c r="C40" s="9" t="n">
        <v>585.7487</v>
      </c>
      <c r="D40" s="9" t="n">
        <v>233.0831</v>
      </c>
      <c r="E40" s="9">
        <f si="0" t="shared"/>
        <v>4585.6952034340411</v>
      </c>
      <c r="G40">
        <v>29</v>
      </c>
      <c r="H40" s="16" t="n">
        <v>13941.0</v>
      </c>
      <c r="I40" s="16" t="n">
        <v>1898.0</v>
      </c>
      <c r="J40" s="16" t="n">
        <v>386.0</v>
      </c>
      <c r="K40">
        <f si="1" t="shared"/>
        <v>5058</v>
      </c>
      <c r="W40" s="9"/>
    </row>
    <row r="41" spans="1:23" x14ac:dyDescent="0.25">
      <c r="A41">
        <v>30</v>
      </c>
      <c r="B41" s="9" t="n">
        <v>9387.665</v>
      </c>
      <c r="C41" s="9" t="n">
        <v>0.0</v>
      </c>
      <c r="D41" s="9" t="n">
        <v>0.0</v>
      </c>
      <c r="E41" s="9">
        <f si="0" t="shared"/>
        <v>5407.5843831894381</v>
      </c>
      <c r="G41">
        <v>30</v>
      </c>
      <c r="H41" s="16" t="n">
        <v>14777.0</v>
      </c>
      <c r="I41" s="16" t="n">
        <v>2038.0</v>
      </c>
      <c r="J41" s="16" t="n">
        <v>401.0</v>
      </c>
      <c r="K41">
        <f si="1" t="shared"/>
        <v>4795</v>
      </c>
      <c r="W41" s="9"/>
    </row>
    <row r="42" spans="1:23" x14ac:dyDescent="0.25">
      <c r="A42">
        <v>31</v>
      </c>
      <c r="B42" s="9" t="n">
        <v>3068.7134</v>
      </c>
      <c r="C42" s="9" t="n">
        <v>0.0</v>
      </c>
      <c r="D42" s="9" t="n">
        <v>0.0</v>
      </c>
      <c r="E42" s="9">
        <f si="0" t="shared"/>
        <v>4553.7396171618884</v>
      </c>
      <c r="G42">
        <v>31</v>
      </c>
      <c r="H42" s="16" t="n">
        <v>10568.0</v>
      </c>
      <c r="I42" s="16" t="n">
        <v>1503.0</v>
      </c>
      <c r="J42" s="16" t="n">
        <v>292.0</v>
      </c>
      <c r="K42">
        <f si="1" t="shared"/>
        <v>4343</v>
      </c>
      <c r="W42" s="9"/>
    </row>
    <row r="43" spans="1:23" x14ac:dyDescent="0.25">
      <c r="A43">
        <v>32</v>
      </c>
      <c r="B43" s="9" t="n">
        <v>6988.1571</v>
      </c>
      <c r="C43" s="9" t="n">
        <v>0.0</v>
      </c>
      <c r="D43" s="9" t="n">
        <v>0.0</v>
      </c>
      <c r="E43" s="9">
        <f si="0" t="shared"/>
        <v>2519.8240439125484</v>
      </c>
      <c r="G43">
        <v>32</v>
      </c>
      <c r="H43" s="16" t="n">
        <v>9189.0</v>
      </c>
      <c r="I43" s="16" t="n">
        <v>1329.0</v>
      </c>
      <c r="J43" s="16" t="n">
        <v>249.0</v>
      </c>
      <c r="K43">
        <f si="1" t="shared"/>
        <v>3695</v>
      </c>
      <c r="W43" s="9"/>
    </row>
    <row r="44" spans="1:23" x14ac:dyDescent="0.25">
      <c r="A44">
        <v>33</v>
      </c>
      <c r="B44" s="9" t="n">
        <v>5310.817</v>
      </c>
      <c r="C44" s="9" t="n">
        <v>221.9759</v>
      </c>
      <c r="D44" s="9" t="n">
        <v>149.5759</v>
      </c>
      <c r="E44" s="9">
        <f si="0" t="shared"/>
        <v>2855.5773799448489</v>
      </c>
      <c r="G44">
        <v>33</v>
      </c>
      <c r="H44" s="16" t="n">
        <v>8626.0</v>
      </c>
      <c r="I44" s="16" t="n">
        <v>1150.0</v>
      </c>
      <c r="J44" s="16" t="n">
        <v>254.0</v>
      </c>
      <c r="K44">
        <f si="1" t="shared"/>
        <v>3149</v>
      </c>
      <c r="W44" s="9"/>
    </row>
    <row r="45" spans="1:23" x14ac:dyDescent="0.25">
      <c r="A45">
        <v>34</v>
      </c>
      <c r="B45" s="9" t="n">
        <v>8363.0007</v>
      </c>
      <c r="C45" s="9" t="n">
        <v>511.8021</v>
      </c>
      <c r="D45" s="9" t="n">
        <v>0.0</v>
      </c>
      <c r="E45" s="9">
        <f si="0" t="shared"/>
        <v>2036.1506309837523</v>
      </c>
      <c r="G45">
        <v>34</v>
      </c>
      <c r="H45" s="16" t="n">
        <v>8067.0</v>
      </c>
      <c r="I45" s="16" t="n">
        <v>1107.0</v>
      </c>
      <c r="J45" s="16" t="n">
        <v>264.0</v>
      </c>
      <c r="K45">
        <f si="1" t="shared"/>
        <v>2706</v>
      </c>
      <c r="W45" s="9"/>
    </row>
    <row r="46" spans="1:23" x14ac:dyDescent="0.25">
      <c r="A46">
        <v>35</v>
      </c>
      <c r="B46" s="9" t="n">
        <v>4107.8891</v>
      </c>
      <c r="C46" s="9" t="n">
        <v>355.0009</v>
      </c>
      <c r="D46" s="9" t="n">
        <v>238.0368</v>
      </c>
      <c r="E46" s="9">
        <f si="0" t="shared"/>
        <v>968.65177709410887</v>
      </c>
      <c r="G46">
        <v>35</v>
      </c>
      <c r="H46" s="16" t="n">
        <v>7097.0</v>
      </c>
      <c r="I46" s="16" t="n">
        <v>889.0</v>
      </c>
      <c r="J46" s="16" t="n">
        <v>172.0</v>
      </c>
      <c r="K46">
        <f si="1" t="shared"/>
        <v>2275</v>
      </c>
      <c r="W46" s="9"/>
    </row>
    <row r="47" spans="1:23" x14ac:dyDescent="0.25">
      <c r="A47">
        <v>36</v>
      </c>
      <c r="B47" s="9" t="n">
        <v>2188.5616</v>
      </c>
      <c r="C47" s="9" t="n">
        <v>726.287</v>
      </c>
      <c r="D47" s="9" t="n">
        <v>238.0368</v>
      </c>
      <c r="E47" s="9">
        <f si="0" t="shared"/>
        <v>3235.7427529489469</v>
      </c>
      <c r="G47">
        <v>36</v>
      </c>
      <c r="H47" s="16" t="n">
        <v>8618.0</v>
      </c>
      <c r="I47" s="16" t="n">
        <v>1018.0</v>
      </c>
      <c r="J47" s="16" t="n">
        <v>172.0</v>
      </c>
      <c r="K47">
        <f si="1" t="shared"/>
        <v>1869</v>
      </c>
      <c r="W47" s="9"/>
    </row>
    <row r="48" spans="1:23" x14ac:dyDescent="0.25">
      <c r="A48">
        <v>37</v>
      </c>
      <c r="B48" s="9" t="n">
        <v>8063.3669</v>
      </c>
      <c r="C48" s="9" t="n">
        <v>0.0</v>
      </c>
      <c r="D48" s="9" t="n">
        <v>218.6278</v>
      </c>
      <c r="E48" s="9">
        <f si="0" t="shared"/>
        <v>1344.0487706900119</v>
      </c>
      <c r="G48">
        <v>37</v>
      </c>
      <c r="H48" s="16" t="n">
        <v>8120.0</v>
      </c>
      <c r="I48" s="16" t="n">
        <v>997.0</v>
      </c>
      <c r="J48" s="16" t="n">
        <v>163.0</v>
      </c>
      <c r="K48">
        <f si="1" t="shared"/>
        <v>1560</v>
      </c>
      <c r="W48" s="9"/>
    </row>
    <row r="49" spans="1:23" x14ac:dyDescent="0.25">
      <c r="A49">
        <v>38</v>
      </c>
      <c r="B49" s="9" t="n">
        <v>3432.1527</v>
      </c>
      <c r="C49" s="9" t="n">
        <v>717.7246</v>
      </c>
      <c r="D49" s="9" t="n">
        <v>505.636</v>
      </c>
      <c r="E49" s="9">
        <f si="0" t="shared"/>
        <v>1287.9581088146756</v>
      </c>
      <c r="G49">
        <v>38</v>
      </c>
      <c r="H49" s="16" t="n">
        <v>6982.0</v>
      </c>
      <c r="I49" s="16" t="n">
        <v>707.0</v>
      </c>
      <c r="J49" s="16" t="n">
        <v>122.0</v>
      </c>
      <c r="K49">
        <f si="1" t="shared"/>
        <v>1309</v>
      </c>
      <c r="W49" s="9"/>
    </row>
    <row r="50" spans="1:23" x14ac:dyDescent="0.25">
      <c r="A50">
        <v>39</v>
      </c>
      <c r="B50" s="9" t="n">
        <v>6392.9868</v>
      </c>
      <c r="C50" s="9" t="n">
        <v>56.9735</v>
      </c>
      <c r="D50" s="9" t="n">
        <v>258.1531</v>
      </c>
      <c r="E50" s="9">
        <f si="0" t="shared"/>
        <v>1405.2748592747009</v>
      </c>
      <c r="G50">
        <v>39</v>
      </c>
      <c r="H50" s="16" t="n">
        <v>6287.0</v>
      </c>
      <c r="I50" s="16" t="n">
        <v>706.0</v>
      </c>
      <c r="J50" s="16" t="n">
        <v>102.0</v>
      </c>
      <c r="K50">
        <f si="1" t="shared"/>
        <v>1158</v>
      </c>
      <c r="W50" s="9"/>
    </row>
    <row r="51" spans="1:23" x14ac:dyDescent="0.25">
      <c r="A51">
        <v>40</v>
      </c>
      <c r="B51" s="9" t="n">
        <v>3627.6376999999998</v>
      </c>
      <c r="C51" s="9" t="n">
        <v>0.0</v>
      </c>
      <c r="D51" s="9" t="n">
        <v>0.0</v>
      </c>
      <c r="E51" s="9">
        <f si="0" t="shared"/>
        <v>1353.3065641935718</v>
      </c>
      <c r="G51">
        <v>40</v>
      </c>
      <c r="H51" s="16" t="n">
        <v>5214.0</v>
      </c>
      <c r="I51" s="16" t="n">
        <v>697.0</v>
      </c>
      <c r="J51" s="16" t="n">
        <v>111.0</v>
      </c>
      <c r="K51">
        <f si="1" t="shared"/>
        <v>935</v>
      </c>
      <c r="W51" s="9"/>
    </row>
    <row r="52" spans="1:23" x14ac:dyDescent="0.25">
      <c r="A52">
        <v>41</v>
      </c>
      <c r="B52" s="9" t="n">
        <v>1776.905</v>
      </c>
      <c r="C52" s="9" t="n">
        <v>585.6282</v>
      </c>
      <c r="D52" s="9" t="n">
        <v>0.0</v>
      </c>
      <c r="E52" s="9">
        <f si="0" t="shared"/>
        <v>732.13622054173857</v>
      </c>
      <c r="G52">
        <v>41</v>
      </c>
      <c r="H52" s="16" t="n">
        <v>5004.0</v>
      </c>
      <c r="I52" s="16" t="n">
        <v>539.0</v>
      </c>
      <c r="J52" s="16" t="n">
        <v>83.0</v>
      </c>
      <c r="K52">
        <f si="1" t="shared"/>
        <v>770</v>
      </c>
      <c r="W52" s="9"/>
    </row>
    <row r="53" spans="1:23" x14ac:dyDescent="0.25">
      <c r="A53">
        <v>42</v>
      </c>
      <c r="B53" s="9" t="n">
        <v>4517.5738</v>
      </c>
      <c r="C53" s="9" t="n">
        <v>87.5526</v>
      </c>
      <c r="D53" s="9" t="n">
        <v>0.0</v>
      </c>
      <c r="E53" s="9">
        <f si="0" t="shared"/>
        <v>614.31533349363963</v>
      </c>
      <c r="G53">
        <v>42</v>
      </c>
      <c r="H53" s="16" t="n">
        <v>4894.0</v>
      </c>
      <c r="I53" s="16" t="n">
        <v>538.0</v>
      </c>
      <c r="J53" s="16" t="n">
        <v>120.0</v>
      </c>
      <c r="K53">
        <f si="1" t="shared"/>
        <v>707</v>
      </c>
      <c r="W53" s="9"/>
    </row>
    <row r="54" spans="1:23" x14ac:dyDescent="0.25">
      <c r="A54">
        <v>43</v>
      </c>
      <c r="B54" s="9" t="n">
        <v>2574.2504</v>
      </c>
      <c r="C54" s="9" t="n">
        <v>0.0</v>
      </c>
      <c r="D54" s="9" t="n">
        <v>0.0</v>
      </c>
      <c r="E54" s="9">
        <f si="0" t="shared"/>
        <v>1437.6866107348349</v>
      </c>
      <c r="G54">
        <v>43</v>
      </c>
      <c r="H54" s="16" t="n">
        <v>3013.0</v>
      </c>
      <c r="I54" s="16" t="n">
        <v>375.0</v>
      </c>
      <c r="J54" s="16" t="n">
        <v>40.0</v>
      </c>
      <c r="K54">
        <f si="1" t="shared"/>
        <v>616</v>
      </c>
      <c r="W54" s="9"/>
    </row>
    <row r="55" spans="1:23" x14ac:dyDescent="0.25">
      <c r="A55">
        <v>44</v>
      </c>
      <c r="B55" s="9" t="n">
        <v>2273.8327</v>
      </c>
      <c r="C55" s="9" t="n">
        <v>648.1959</v>
      </c>
      <c r="D55" s="9" t="n">
        <v>0.0</v>
      </c>
      <c r="E55" s="9">
        <f si="0" t="shared"/>
        <v>403.07279525384553</v>
      </c>
      <c r="G55">
        <v>44</v>
      </c>
      <c r="H55" s="16" t="n">
        <v>2741.0</v>
      </c>
      <c r="I55" s="16" t="n">
        <v>332.0</v>
      </c>
      <c r="J55" s="16" t="n">
        <v>48.0</v>
      </c>
      <c r="K55">
        <f si="1" t="shared"/>
        <v>472</v>
      </c>
      <c r="W55" s="9"/>
    </row>
    <row r="56" spans="1:23" x14ac:dyDescent="0.25">
      <c r="A56">
        <v>45</v>
      </c>
      <c r="B56" s="9" t="n">
        <v>548.2259</v>
      </c>
      <c r="C56" s="9" t="n">
        <v>286.2433</v>
      </c>
      <c r="D56" s="9" t="n">
        <v>0.0</v>
      </c>
      <c r="E56" s="9">
        <f si="0" t="shared"/>
        <v>753.63901697739698</v>
      </c>
      <c r="G56">
        <v>45</v>
      </c>
      <c r="H56" s="16" t="n">
        <v>5108.0</v>
      </c>
      <c r="I56" s="16" t="n">
        <v>522.0</v>
      </c>
      <c r="J56" s="16" t="n">
        <v>103.0</v>
      </c>
      <c r="K56">
        <f si="1" t="shared"/>
        <v>402</v>
      </c>
      <c r="W56" s="9"/>
    </row>
    <row r="57" spans="1:23" x14ac:dyDescent="0.25">
      <c r="A57">
        <v>46</v>
      </c>
      <c r="B57" s="9" t="n">
        <v>1691.2033999999999</v>
      </c>
      <c r="C57" s="9" t="n">
        <v>0.0</v>
      </c>
      <c r="D57" s="9" t="n">
        <v>321.4955</v>
      </c>
      <c r="E57" s="9">
        <f si="0" t="shared"/>
        <v>1358.7422422958373</v>
      </c>
      <c r="G57">
        <v>46</v>
      </c>
      <c r="H57" s="16" t="n">
        <v>3409.0</v>
      </c>
      <c r="I57" s="16" t="n">
        <v>394.0</v>
      </c>
      <c r="J57" s="16" t="n">
        <v>66.0</v>
      </c>
      <c r="K57">
        <f si="1" t="shared"/>
        <v>347</v>
      </c>
      <c r="W57" s="9"/>
    </row>
    <row r="58" spans="1:23" x14ac:dyDescent="0.25">
      <c r="A58">
        <v>47</v>
      </c>
      <c r="B58" s="9" t="n">
        <v>3453.3629</v>
      </c>
      <c r="C58" s="9" t="n">
        <v>0.0</v>
      </c>
      <c r="D58" s="9" t="n">
        <v>0.0</v>
      </c>
      <c r="E58" s="9">
        <f si="0" t="shared"/>
        <v>194.40680958972999</v>
      </c>
      <c r="G58">
        <v>47</v>
      </c>
      <c r="H58" s="16" t="n">
        <v>3000.0</v>
      </c>
      <c r="I58" s="16" t="n">
        <v>350.0</v>
      </c>
      <c r="J58" s="16" t="n">
        <v>70.0</v>
      </c>
      <c r="K58">
        <f si="1" t="shared"/>
        <v>293</v>
      </c>
      <c r="W58" s="9"/>
    </row>
    <row r="59" spans="1:23" x14ac:dyDescent="0.25">
      <c r="A59">
        <v>48</v>
      </c>
      <c r="B59" s="9" t="n">
        <v>4284.2076</v>
      </c>
      <c r="C59" s="9" t="n">
        <v>0.0</v>
      </c>
      <c r="D59" s="9" t="n">
        <v>0.0</v>
      </c>
      <c r="E59" s="9">
        <f si="0" t="shared"/>
        <v>471.48381575593561</v>
      </c>
      <c r="G59">
        <v>48</v>
      </c>
      <c r="H59" s="16" t="n">
        <v>1778.0</v>
      </c>
      <c r="I59" s="16" t="n">
        <v>245.0</v>
      </c>
      <c r="J59" s="16" t="n">
        <v>30.0</v>
      </c>
      <c r="K59">
        <f si="1" t="shared"/>
        <v>223</v>
      </c>
      <c r="W59" s="9"/>
    </row>
    <row r="60" spans="1:23" x14ac:dyDescent="0.25">
      <c r="A60">
        <v>49</v>
      </c>
      <c r="B60" s="9" t="n">
        <v>852.6476</v>
      </c>
      <c r="C60" s="9" t="n">
        <v>0.0</v>
      </c>
      <c r="D60" s="9" t="n">
        <v>0.0</v>
      </c>
      <c r="E60" s="9">
        <f si="0" t="shared"/>
        <v>239.00005480584281</v>
      </c>
      <c r="G60">
        <v>49</v>
      </c>
      <c r="H60" s="16" t="n">
        <v>2049.0</v>
      </c>
      <c r="I60" s="16" t="n">
        <v>219.0</v>
      </c>
      <c r="J60" s="16" t="n">
        <v>32.0</v>
      </c>
      <c r="K60">
        <f si="1" t="shared"/>
        <v>182</v>
      </c>
      <c r="W60" s="9"/>
    </row>
    <row r="61" spans="1:23" x14ac:dyDescent="0.25">
      <c r="A61">
        <v>50</v>
      </c>
      <c r="B61" s="9" t="n">
        <v>327.8311</v>
      </c>
      <c r="C61" s="9" t="n">
        <v>105.4442</v>
      </c>
      <c r="D61" s="9" t="n">
        <v>0.0</v>
      </c>
      <c r="E61" s="9">
        <f si="0" t="shared"/>
        <v>328.51396765630869</v>
      </c>
      <c r="G61">
        <v>50</v>
      </c>
      <c r="H61" s="16" t="n">
        <v>2065.0</v>
      </c>
      <c r="I61" s="16" t="n">
        <v>182.0</v>
      </c>
      <c r="J61" s="16" t="n">
        <v>61.0</v>
      </c>
      <c r="K61">
        <f si="1" t="shared"/>
        <v>177</v>
      </c>
      <c r="W61" s="9"/>
    </row>
    <row r="62" spans="1:23" x14ac:dyDescent="0.25">
      <c r="A62">
        <v>51</v>
      </c>
      <c r="B62" s="9" t="n">
        <v>650.3255</v>
      </c>
      <c r="C62" s="9" t="n">
        <v>0.0</v>
      </c>
      <c r="D62" s="9" t="n">
        <v>0.0</v>
      </c>
      <c r="E62" s="9">
        <f si="0" t="shared"/>
        <v>790.19924379343081</v>
      </c>
      <c r="G62">
        <v>51</v>
      </c>
      <c r="H62" s="16" t="n">
        <v>1938.0</v>
      </c>
      <c r="I62" s="16" t="n">
        <v>191.0</v>
      </c>
      <c r="J62" s="16" t="n">
        <v>38.0</v>
      </c>
      <c r="K62">
        <f si="1" t="shared"/>
        <v>122</v>
      </c>
      <c r="W62" s="9"/>
    </row>
    <row r="63" spans="1:23" x14ac:dyDescent="0.25">
      <c r="A63">
        <v>52</v>
      </c>
      <c r="B63" s="9" t="n">
        <v>1111.4619</v>
      </c>
      <c r="C63" s="9" t="n">
        <v>268.3759</v>
      </c>
      <c r="D63" s="9" t="n">
        <v>0.0</v>
      </c>
      <c r="E63" s="9">
        <f si="0" t="shared"/>
        <v>788.2869326627972</v>
      </c>
      <c r="G63">
        <v>52</v>
      </c>
      <c r="H63" s="16" t="n">
        <v>1576.0</v>
      </c>
      <c r="I63" s="16" t="n">
        <v>150.0</v>
      </c>
      <c r="J63" s="16" t="n">
        <v>22.0</v>
      </c>
      <c r="K63">
        <f si="1" t="shared"/>
        <v>102</v>
      </c>
      <c r="W63" s="9"/>
    </row>
    <row r="64" spans="1:23" x14ac:dyDescent="0.25">
      <c r="A64">
        <v>53</v>
      </c>
      <c r="B64" s="9" t="n">
        <v>798.6107000000001</v>
      </c>
      <c r="C64" s="9" t="n">
        <v>0.0</v>
      </c>
      <c r="D64" s="9" t="n">
        <v>165.1856</v>
      </c>
      <c r="E64" s="9">
        <f si="0" t="shared"/>
        <v>128.88635392033061</v>
      </c>
      <c r="G64">
        <v>53</v>
      </c>
      <c r="H64" s="16" t="n">
        <v>1329.0</v>
      </c>
      <c r="I64" s="16" t="n">
        <v>121.0</v>
      </c>
      <c r="J64" s="16" t="n">
        <v>12.0</v>
      </c>
      <c r="K64">
        <f si="1" t="shared"/>
        <v>99</v>
      </c>
      <c r="W64" s="9"/>
    </row>
    <row r="65" spans="1:23" x14ac:dyDescent="0.25">
      <c r="A65">
        <v>54</v>
      </c>
      <c r="B65" s="9" t="n">
        <v>2329.39</v>
      </c>
      <c r="C65" s="9" t="n">
        <v>1521.7979</v>
      </c>
      <c r="D65" s="9" t="n">
        <v>0.0</v>
      </c>
      <c r="E65" s="9">
        <f si="0" t="shared"/>
        <v>0</v>
      </c>
      <c r="G65">
        <v>54</v>
      </c>
      <c r="H65" s="16" t="n">
        <v>1047.0</v>
      </c>
      <c r="I65" s="16" t="n">
        <v>105.0</v>
      </c>
      <c r="J65" s="16" t="n">
        <v>19.0</v>
      </c>
      <c r="K65">
        <f si="1" t="shared"/>
        <v>73</v>
      </c>
      <c r="W65" s="9"/>
    </row>
    <row r="66" spans="1:23" x14ac:dyDescent="0.25">
      <c r="A66">
        <v>55</v>
      </c>
      <c r="B66" s="9" t="n">
        <v>1788.5024</v>
      </c>
      <c r="C66" s="9" t="n">
        <v>71.8542</v>
      </c>
      <c r="D66" s="9" t="n">
        <v>0.0</v>
      </c>
      <c r="E66" s="9">
        <f si="0" t="shared"/>
        <v>0</v>
      </c>
      <c r="G66">
        <v>55</v>
      </c>
      <c r="H66" s="16" t="n">
        <v>1235.0</v>
      </c>
      <c r="I66" s="16" t="n">
        <v>136.0</v>
      </c>
      <c r="J66" s="16" t="n">
        <v>14.0</v>
      </c>
      <c r="K66">
        <f si="1" t="shared"/>
        <v>64</v>
      </c>
      <c r="W66" s="9"/>
    </row>
    <row r="67" spans="1:23" x14ac:dyDescent="0.25">
      <c r="A67">
        <v>56</v>
      </c>
      <c r="B67" s="9" t="n">
        <v>602.6278</v>
      </c>
      <c r="C67" s="9" t="n">
        <v>0.0</v>
      </c>
      <c r="D67" s="9" t="n">
        <v>0.0</v>
      </c>
      <c r="E67" s="9">
        <f si="0" t="shared"/>
        <v>544.71263350495099</v>
      </c>
      <c r="G67">
        <v>56</v>
      </c>
      <c r="H67" s="16" t="n">
        <v>1190.0</v>
      </c>
      <c r="I67" s="16" t="n">
        <v>151.0</v>
      </c>
      <c r="J67" s="16" t="n">
        <v>35.0</v>
      </c>
      <c r="K67">
        <f si="1" t="shared"/>
        <v>60</v>
      </c>
      <c r="W67" s="9"/>
    </row>
    <row r="68" spans="1:23" x14ac:dyDescent="0.25">
      <c r="A68">
        <v>57</v>
      </c>
      <c r="B68" s="9" t="n">
        <v>821.6305</v>
      </c>
      <c r="C68" s="9" t="n">
        <v>0.0</v>
      </c>
      <c r="D68" s="9" t="n">
        <v>0.0</v>
      </c>
      <c r="E68" s="9">
        <f si="0" t="shared"/>
        <v>0</v>
      </c>
      <c r="G68">
        <v>57</v>
      </c>
      <c r="H68" s="16" t="n">
        <v>767.0</v>
      </c>
      <c r="I68" s="16" t="n">
        <v>59.0</v>
      </c>
      <c r="J68" s="16" t="n">
        <v>14.0</v>
      </c>
      <c r="K68">
        <f si="1" t="shared"/>
        <v>48</v>
      </c>
      <c r="W68" s="9"/>
    </row>
    <row r="69" spans="1:23" x14ac:dyDescent="0.25">
      <c r="A69">
        <v>58</v>
      </c>
      <c r="B69" s="9" t="n">
        <v>1419.4823</v>
      </c>
      <c r="C69" s="9" t="n">
        <v>0.0</v>
      </c>
      <c r="D69" s="9" t="n">
        <v>0.0</v>
      </c>
      <c r="E69" s="9">
        <f si="0" t="shared"/>
        <v>0</v>
      </c>
      <c r="G69">
        <v>58</v>
      </c>
      <c r="H69" s="16" t="n">
        <v>982.0</v>
      </c>
      <c r="I69" s="16" t="n">
        <v>83.0</v>
      </c>
      <c r="J69" s="16" t="n">
        <v>24.0</v>
      </c>
      <c r="K69">
        <f si="1" t="shared"/>
        <v>29</v>
      </c>
      <c r="W69" s="9"/>
    </row>
    <row r="70" spans="1:23" x14ac:dyDescent="0.25">
      <c r="A70">
        <v>59</v>
      </c>
      <c r="B70" s="9" t="n">
        <v>322.3185</v>
      </c>
      <c r="C70" s="9" t="n">
        <v>203.3384</v>
      </c>
      <c r="D70" s="9" t="n">
        <v>0.0</v>
      </c>
      <c r="E70" s="9">
        <f si="0" t="shared"/>
        <v>34.345523713204201</v>
      </c>
      <c r="G70">
        <v>59</v>
      </c>
      <c r="H70" s="16" t="n">
        <v>787.0</v>
      </c>
      <c r="I70" s="16" t="n">
        <v>73.0</v>
      </c>
      <c r="J70" s="16" t="n">
        <v>14.0</v>
      </c>
      <c r="K70">
        <f si="1" t="shared"/>
        <v>31</v>
      </c>
      <c r="W70" s="9"/>
    </row>
    <row r="71" spans="1:23" x14ac:dyDescent="0.25">
      <c r="A71">
        <v>60</v>
      </c>
      <c r="B71" s="9" t="n">
        <v>0.0</v>
      </c>
      <c r="C71" s="9" t="n">
        <v>0.0</v>
      </c>
      <c r="D71" s="9" t="n">
        <v>0.0</v>
      </c>
      <c r="E71" s="9">
        <f si="0" t="shared"/>
        <v>80.678761386961398</v>
      </c>
      <c r="G71">
        <v>60</v>
      </c>
      <c r="H71" s="16" t="n">
        <v>847.0</v>
      </c>
      <c r="I71" s="16" t="n">
        <v>95.0</v>
      </c>
      <c r="J71" s="16" t="n">
        <v>16.0</v>
      </c>
      <c r="K71">
        <f si="1" t="shared"/>
        <v>28</v>
      </c>
      <c r="W71" s="9"/>
    </row>
    <row r="72" spans="1:23" x14ac:dyDescent="0.25">
      <c r="A72">
        <v>61</v>
      </c>
      <c r="B72" s="9" t="n">
        <v>86.0936</v>
      </c>
      <c r="C72" s="9" t="n">
        <v>0.0</v>
      </c>
      <c r="D72" s="9" t="n">
        <v>0.0</v>
      </c>
      <c r="E72" s="9">
        <f si="0" t="shared"/>
        <v>0</v>
      </c>
      <c r="G72">
        <v>61</v>
      </c>
      <c r="H72" s="16" t="n">
        <v>286.0</v>
      </c>
      <c r="I72" s="16" t="n">
        <v>30.0</v>
      </c>
      <c r="J72" s="16" t="n">
        <v>8.0</v>
      </c>
      <c r="K72">
        <f si="1" t="shared"/>
        <v>9</v>
      </c>
      <c r="W72" s="9"/>
    </row>
    <row r="73" spans="1:23" x14ac:dyDescent="0.25">
      <c r="A73">
        <v>62</v>
      </c>
      <c r="B73" s="9" t="n">
        <v>0.0</v>
      </c>
      <c r="C73" s="9" t="n">
        <v>0.0</v>
      </c>
      <c r="D73" s="9" t="n">
        <v>0.0</v>
      </c>
      <c r="E73" s="9">
        <f si="0" t="shared"/>
        <v>0</v>
      </c>
      <c r="G73">
        <v>62</v>
      </c>
      <c r="H73" s="16" t="n">
        <v>712.0</v>
      </c>
      <c r="I73" s="16" t="n">
        <v>70.0</v>
      </c>
      <c r="J73" s="16" t="n">
        <v>7.0</v>
      </c>
      <c r="K73">
        <f si="1" t="shared"/>
        <v>16</v>
      </c>
      <c r="W73" s="9"/>
    </row>
    <row r="74" spans="1:23" x14ac:dyDescent="0.25">
      <c r="A74">
        <v>63</v>
      </c>
      <c r="B74" s="9" t="n">
        <v>368.6672</v>
      </c>
      <c r="C74" s="9" t="n">
        <v>167.0675</v>
      </c>
      <c r="D74" s="9" t="n">
        <v>0.0</v>
      </c>
      <c r="E74" s="9">
        <f si="0" t="shared"/>
        <v>74.386604170177904</v>
      </c>
      <c r="G74">
        <v>63</v>
      </c>
      <c r="H74" s="16" t="n">
        <v>468.0</v>
      </c>
      <c r="I74" s="16" t="n">
        <v>29.0</v>
      </c>
      <c r="J74" s="16" t="n">
        <v>10.0</v>
      </c>
      <c r="K74">
        <f si="1" t="shared"/>
        <v>11</v>
      </c>
      <c r="W74" s="9"/>
    </row>
    <row r="75" spans="1:23" x14ac:dyDescent="0.25">
      <c r="A75">
        <v>64</v>
      </c>
      <c r="B75" s="9" t="n">
        <v>471.4812</v>
      </c>
      <c r="C75" s="9" t="n">
        <v>0.0</v>
      </c>
      <c r="D75" s="9" t="n">
        <v>0.0</v>
      </c>
      <c r="E75" s="9">
        <f si="0" t="shared"/>
        <v>0</v>
      </c>
      <c r="G75">
        <v>64</v>
      </c>
      <c r="H75" s="16" t="n">
        <v>173.0</v>
      </c>
      <c r="I75" s="16" t="n">
        <v>20.0</v>
      </c>
      <c r="J75" s="16" t="n">
        <v>5.0</v>
      </c>
      <c r="K75">
        <f si="1" t="shared"/>
        <v>3</v>
      </c>
      <c r="W75" s="9"/>
    </row>
    <row r="76" spans="1:23" x14ac:dyDescent="0.25">
      <c r="A76">
        <v>65</v>
      </c>
      <c r="B76" s="9" t="n">
        <v>315.6103</v>
      </c>
      <c r="C76" s="9" t="n">
        <v>0.0</v>
      </c>
      <c r="D76" s="9" t="n">
        <v>0.0</v>
      </c>
      <c r="E76" s="9">
        <f ref="E76:E100" si="2" t="shared">SUM(B76:D76)</f>
        <v>0</v>
      </c>
      <c r="G76">
        <v>65</v>
      </c>
      <c r="H76" s="16" t="n">
        <v>344.0</v>
      </c>
      <c r="I76" s="16" t="n">
        <v>31.0</v>
      </c>
      <c r="J76" s="16" t="n">
        <v>5.0</v>
      </c>
      <c r="K76">
        <f ref="K76:K101" si="3" t="shared">SUM(H76:J76)</f>
        <v>2</v>
      </c>
      <c r="W76" s="9"/>
    </row>
    <row r="77" spans="1:23" x14ac:dyDescent="0.25">
      <c r="A77">
        <v>66</v>
      </c>
      <c r="B77" s="9" t="n">
        <v>0.0</v>
      </c>
      <c r="C77" s="9" t="n">
        <v>0.0</v>
      </c>
      <c r="D77" s="9" t="n">
        <v>0.0</v>
      </c>
      <c r="E77" s="9">
        <f si="2" t="shared"/>
        <v>0</v>
      </c>
      <c r="G77">
        <v>66</v>
      </c>
      <c r="H77" s="16" t="n">
        <v>328.0</v>
      </c>
      <c r="I77" s="16" t="n">
        <v>33.0</v>
      </c>
      <c r="J77" s="16" t="n">
        <v>4.0</v>
      </c>
      <c r="K77">
        <f si="3" t="shared"/>
        <v>6</v>
      </c>
      <c r="W77" s="9"/>
    </row>
    <row r="78" spans="1:23" x14ac:dyDescent="0.25">
      <c r="A78">
        <v>67</v>
      </c>
      <c r="B78" s="9" t="n">
        <v>0.0</v>
      </c>
      <c r="C78" s="9" t="n">
        <v>0.0</v>
      </c>
      <c r="D78" s="9" t="n">
        <v>0.0</v>
      </c>
      <c r="E78" s="9">
        <f si="2" t="shared"/>
        <v>0</v>
      </c>
      <c r="G78">
        <v>67</v>
      </c>
      <c r="H78" s="16" t="n">
        <v>106.0</v>
      </c>
      <c r="I78" s="16" t="n">
        <v>5.0</v>
      </c>
      <c r="J78" s="16" t="n">
        <v>2.0</v>
      </c>
      <c r="K78">
        <f si="3" t="shared"/>
        <v>3</v>
      </c>
      <c r="W78" s="9"/>
    </row>
    <row r="79" spans="1:23" x14ac:dyDescent="0.25">
      <c r="A79">
        <v>68</v>
      </c>
      <c r="B79" s="9" t="n">
        <v>0.0</v>
      </c>
      <c r="C79" s="9" t="n">
        <v>0.0</v>
      </c>
      <c r="D79" s="9" t="n">
        <v>0.0</v>
      </c>
      <c r="E79" s="9">
        <f si="2" t="shared"/>
        <v>0</v>
      </c>
      <c r="G79">
        <v>68</v>
      </c>
      <c r="H79" s="16" t="n">
        <v>300.0</v>
      </c>
      <c r="I79" s="16" t="n">
        <v>24.0</v>
      </c>
      <c r="J79" s="16" t="n">
        <v>1.0</v>
      </c>
      <c r="K79">
        <f si="3" t="shared"/>
        <v>5</v>
      </c>
      <c r="W79" s="9"/>
    </row>
    <row r="80" spans="1:23" x14ac:dyDescent="0.25">
      <c r="A80">
        <v>69</v>
      </c>
      <c r="B80" s="9" t="n">
        <v>147.1373</v>
      </c>
      <c r="C80" s="9" t="n">
        <v>0.0</v>
      </c>
      <c r="D80" s="9" t="n">
        <v>0.0</v>
      </c>
      <c r="E80" s="9">
        <f si="2" t="shared"/>
        <v>0</v>
      </c>
      <c r="G80">
        <v>69</v>
      </c>
      <c r="H80" s="16" t="n">
        <v>252.0</v>
      </c>
      <c r="I80" s="16" t="n">
        <v>22.0</v>
      </c>
      <c r="J80" s="16" t="n">
        <v>4.0</v>
      </c>
      <c r="K80">
        <f si="3" t="shared"/>
        <v>5</v>
      </c>
      <c r="W80" s="9"/>
    </row>
    <row r="81" spans="1:23" x14ac:dyDescent="0.25">
      <c r="A81">
        <v>70</v>
      </c>
      <c r="B81" s="9" t="n">
        <v>315.6895</v>
      </c>
      <c r="C81" s="9" t="n">
        <v>0.0</v>
      </c>
      <c r="D81" s="9" t="n">
        <v>0.0</v>
      </c>
      <c r="E81" s="9">
        <f si="2" t="shared"/>
        <v>0</v>
      </c>
      <c r="G81">
        <v>70</v>
      </c>
      <c r="H81" s="16" t="n">
        <v>427.0</v>
      </c>
      <c r="I81" s="16" t="n">
        <v>25.0</v>
      </c>
      <c r="J81" s="16" t="n">
        <v>9.0</v>
      </c>
      <c r="K81">
        <f si="3" t="shared"/>
        <v>4</v>
      </c>
      <c r="W81" s="9"/>
    </row>
    <row r="82" spans="1:23" x14ac:dyDescent="0.25">
      <c r="A82">
        <v>71</v>
      </c>
      <c r="B82" s="9" t="n">
        <v>138.9538</v>
      </c>
      <c r="C82" s="9" t="n">
        <v>0.0</v>
      </c>
      <c r="D82" s="9" t="n">
        <v>0.0</v>
      </c>
      <c r="E82" s="9">
        <f si="2" t="shared"/>
        <v>0</v>
      </c>
      <c r="G82">
        <v>71</v>
      </c>
      <c r="H82" s="16" t="n">
        <v>317.0</v>
      </c>
      <c r="I82" s="16" t="n">
        <v>36.0</v>
      </c>
      <c r="J82" s="16" t="n">
        <v>10.0</v>
      </c>
      <c r="K82">
        <f si="3" t="shared"/>
        <v>3</v>
      </c>
      <c r="W82" s="9"/>
    </row>
    <row r="83" spans="1:23" x14ac:dyDescent="0.25">
      <c r="A83">
        <v>72</v>
      </c>
      <c r="B83" s="9" t="n">
        <v>0.0</v>
      </c>
      <c r="C83" s="9" t="n">
        <v>0.0</v>
      </c>
      <c r="D83" s="9" t="n">
        <v>0.0</v>
      </c>
      <c r="E83" s="9">
        <f si="2" t="shared"/>
        <v>0</v>
      </c>
      <c r="G83">
        <v>72</v>
      </c>
      <c r="H83" s="16" t="n">
        <v>221.0</v>
      </c>
      <c r="I83" s="16" t="n">
        <v>28.0</v>
      </c>
      <c r="J83" s="16" t="n">
        <v>1.0</v>
      </c>
      <c r="K83">
        <f si="3" t="shared"/>
        <v>0</v>
      </c>
      <c r="W83" s="9"/>
    </row>
    <row r="84" spans="1:23" x14ac:dyDescent="0.25">
      <c r="A84">
        <v>73</v>
      </c>
      <c r="B84" s="9" t="n">
        <v>0.0</v>
      </c>
      <c r="C84" s="9" t="n">
        <v>0.0</v>
      </c>
      <c r="D84" s="9" t="n">
        <v>0.0</v>
      </c>
      <c r="E84" s="9">
        <f si="2" t="shared"/>
        <v>0</v>
      </c>
      <c r="G84">
        <v>73</v>
      </c>
      <c r="H84" s="16" t="n">
        <v>258.0</v>
      </c>
      <c r="I84" t="n">
        <v>35.0</v>
      </c>
      <c r="J84" s="16" t="n">
        <v>3.0</v>
      </c>
      <c r="K84">
        <f si="3" t="shared"/>
        <v>1</v>
      </c>
      <c r="W84" s="9"/>
    </row>
    <row r="85" spans="1:23" x14ac:dyDescent="0.25">
      <c r="A85">
        <v>74</v>
      </c>
      <c r="B85" s="9" t="n">
        <v>0.0</v>
      </c>
      <c r="C85" s="9" t="n">
        <v>0.0</v>
      </c>
      <c r="D85" s="9" t="n">
        <v>0.0</v>
      </c>
      <c r="E85" s="9">
        <f si="2" t="shared"/>
        <v>0</v>
      </c>
      <c r="G85">
        <v>74</v>
      </c>
      <c r="H85" s="16" t="n">
        <v>140.0</v>
      </c>
      <c r="I85" s="16" t="n">
        <v>7.0</v>
      </c>
      <c r="J85" s="16" t="n">
        <v>4.0</v>
      </c>
      <c r="K85">
        <f si="3" t="shared"/>
        <v>3</v>
      </c>
      <c r="W85" s="9"/>
    </row>
    <row r="86" spans="1:23" x14ac:dyDescent="0.25">
      <c r="A86">
        <v>75</v>
      </c>
      <c r="B86" s="9" t="n">
        <v>0.0</v>
      </c>
      <c r="C86" s="9" t="n">
        <v>0.0</v>
      </c>
      <c r="D86" s="9" t="n">
        <v>0.0</v>
      </c>
      <c r="E86" s="9">
        <f si="2" t="shared"/>
        <v>0</v>
      </c>
      <c r="G86">
        <v>75</v>
      </c>
      <c r="H86" s="16" t="n">
        <v>89.0</v>
      </c>
      <c r="I86" t="n">
        <v>14.0</v>
      </c>
      <c r="J86" s="16" t="n">
        <v>2.0</v>
      </c>
      <c r="K86">
        <f si="3" t="shared"/>
        <v>1</v>
      </c>
      <c r="W86" s="9"/>
    </row>
    <row r="87" spans="1:23" x14ac:dyDescent="0.25">
      <c r="A87">
        <v>76</v>
      </c>
      <c r="B87" s="9" t="n">
        <v>0.0</v>
      </c>
      <c r="C87" s="9" t="n">
        <v>0.0</v>
      </c>
      <c r="D87" s="9" t="n">
        <v>0.0</v>
      </c>
      <c r="E87" s="9">
        <f si="2" t="shared"/>
        <v>0</v>
      </c>
      <c r="G87">
        <v>76</v>
      </c>
      <c r="H87" s="16" t="n">
        <v>295.0</v>
      </c>
      <c r="I87" t="n">
        <v>19.0</v>
      </c>
      <c r="J87" s="16" t="n">
        <v>8.0</v>
      </c>
      <c r="K87">
        <f si="3" t="shared"/>
        <v>0</v>
      </c>
      <c r="W87" s="9"/>
    </row>
    <row r="88" spans="1:23" x14ac:dyDescent="0.25">
      <c r="A88">
        <v>77</v>
      </c>
      <c r="B88" s="9" t="n">
        <v>409.1384</v>
      </c>
      <c r="C88" s="9" t="n">
        <v>0.0</v>
      </c>
      <c r="D88" s="9" t="n">
        <v>0.0</v>
      </c>
      <c r="E88" s="9">
        <f si="2" t="shared"/>
        <v>0</v>
      </c>
      <c r="G88">
        <v>77</v>
      </c>
      <c r="H88" s="16" t="n">
        <v>56.0</v>
      </c>
      <c r="I88" t="n">
        <v>2.0</v>
      </c>
      <c r="J88" t="n">
        <v>3.0</v>
      </c>
      <c r="K88">
        <f si="3" t="shared"/>
        <v>0</v>
      </c>
      <c r="W88" s="9"/>
    </row>
    <row r="89" spans="1:23" x14ac:dyDescent="0.25">
      <c r="A89">
        <v>78</v>
      </c>
      <c r="B89" s="9" t="n">
        <v>0.0</v>
      </c>
      <c r="C89" s="9" t="n">
        <v>0.0</v>
      </c>
      <c r="D89" s="9" t="n">
        <v>0.0</v>
      </c>
      <c r="E89" s="9">
        <f si="2" t="shared"/>
        <v>0</v>
      </c>
      <c r="G89">
        <v>78</v>
      </c>
      <c r="H89" s="16" t="n">
        <v>135.0</v>
      </c>
      <c r="I89" t="n">
        <v>13.0</v>
      </c>
      <c r="J89" t="n">
        <v>5.0</v>
      </c>
      <c r="K89">
        <f si="3" t="shared"/>
        <v>1</v>
      </c>
      <c r="W89" s="9"/>
    </row>
    <row r="90" spans="1:23" x14ac:dyDescent="0.25">
      <c r="A90">
        <v>79</v>
      </c>
      <c r="B90" s="9" t="n">
        <v>0.0</v>
      </c>
      <c r="C90" s="9" t="n">
        <v>0.0</v>
      </c>
      <c r="D90" s="9" t="n">
        <v>0.0</v>
      </c>
      <c r="E90" s="9">
        <f si="2" t="shared"/>
        <v>0</v>
      </c>
      <c r="G90">
        <v>79</v>
      </c>
      <c r="H90" s="16" t="n">
        <v>50.0</v>
      </c>
      <c r="I90" t="n">
        <v>5.0</v>
      </c>
      <c r="J90" t="n">
        <v>2.0</v>
      </c>
      <c r="K90">
        <f si="3" t="shared"/>
        <v>0</v>
      </c>
      <c r="W90" s="9"/>
    </row>
    <row r="91" spans="1:23" x14ac:dyDescent="0.25">
      <c r="A91">
        <v>80</v>
      </c>
      <c r="B91" s="9" t="n">
        <v>0.0</v>
      </c>
      <c r="C91" s="9" t="n">
        <v>0.0</v>
      </c>
      <c r="D91" s="9" t="n">
        <v>0.0</v>
      </c>
      <c r="E91" s="9">
        <f si="2" t="shared"/>
        <v>0</v>
      </c>
      <c r="G91">
        <v>80</v>
      </c>
      <c r="H91" s="16" t="n">
        <v>106.0</v>
      </c>
      <c r="I91" t="n">
        <v>7.0</v>
      </c>
      <c r="J91" t="n">
        <v>1.0</v>
      </c>
      <c r="K91">
        <f si="3" t="shared"/>
        <v>0</v>
      </c>
      <c r="W91" s="9"/>
    </row>
    <row r="92" spans="1:23" x14ac:dyDescent="0.25">
      <c r="A92">
        <v>81</v>
      </c>
      <c r="B92" s="9" t="n">
        <v>0.0</v>
      </c>
      <c r="C92" s="9" t="n">
        <v>0.0</v>
      </c>
      <c r="D92" s="9" t="n">
        <v>232.5541</v>
      </c>
      <c r="E92" s="9">
        <f si="2" t="shared"/>
        <v>0</v>
      </c>
      <c r="G92">
        <v>81</v>
      </c>
      <c r="H92" s="16" t="n">
        <v>44.0</v>
      </c>
      <c r="I92" t="n">
        <v>1.0</v>
      </c>
      <c r="J92" t="n">
        <v>1.0</v>
      </c>
      <c r="K92">
        <f si="3" t="shared"/>
        <v>1</v>
      </c>
      <c r="W92" s="9"/>
    </row>
    <row r="93" spans="1:23" x14ac:dyDescent="0.25">
      <c r="A93">
        <v>82</v>
      </c>
      <c r="B93" s="9" t="n">
        <v>0.0</v>
      </c>
      <c r="C93" s="9" t="n">
        <v>0.0</v>
      </c>
      <c r="D93" s="9" t="n">
        <v>0.0</v>
      </c>
      <c r="E93" s="9">
        <f si="2" t="shared"/>
        <v>0</v>
      </c>
      <c r="G93">
        <v>82</v>
      </c>
      <c r="H93" s="16" t="n">
        <v>25.0</v>
      </c>
      <c r="I93" t="n">
        <v>1.0</v>
      </c>
      <c r="J93" t="n">
        <v>1.0</v>
      </c>
      <c r="K93">
        <f si="3" t="shared"/>
        <v>1</v>
      </c>
      <c r="W93" s="9"/>
    </row>
    <row r="94" spans="1:23" x14ac:dyDescent="0.25">
      <c r="A94">
        <v>83</v>
      </c>
      <c r="B94" s="9" t="n">
        <v>0.0</v>
      </c>
      <c r="C94" s="9" t="n">
        <v>79.1452</v>
      </c>
      <c r="D94" s="9" t="n">
        <v>0.0</v>
      </c>
      <c r="E94" s="9">
        <f si="2" t="shared"/>
        <v>0</v>
      </c>
      <c r="G94">
        <v>83</v>
      </c>
      <c r="H94" s="16" t="n">
        <v>37.0</v>
      </c>
      <c r="I94" t="n">
        <v>8.0</v>
      </c>
      <c r="J94" t="n">
        <v>0.0</v>
      </c>
      <c r="K94">
        <f si="3" t="shared"/>
        <v>0</v>
      </c>
      <c r="W94" s="9"/>
    </row>
    <row r="95" spans="1:23" x14ac:dyDescent="0.25">
      <c r="A95">
        <v>84</v>
      </c>
      <c r="B95" s="9" t="n">
        <v>0.0</v>
      </c>
      <c r="C95" s="9" t="n">
        <v>0.0</v>
      </c>
      <c r="D95" s="9" t="n">
        <v>0.0</v>
      </c>
      <c r="E95" s="9">
        <f si="2" t="shared"/>
        <v>0</v>
      </c>
      <c r="G95">
        <v>84</v>
      </c>
      <c r="H95" s="16" t="n">
        <v>43.0</v>
      </c>
      <c r="I95" t="n">
        <v>3.0</v>
      </c>
      <c r="J95" t="n">
        <v>2.0</v>
      </c>
      <c r="K95">
        <f si="3" t="shared"/>
        <v>0</v>
      </c>
      <c r="W95" s="9"/>
    </row>
    <row r="96" spans="1:23" x14ac:dyDescent="0.25">
      <c r="A96">
        <v>85</v>
      </c>
      <c r="B96" s="9" t="n">
        <v>0.0</v>
      </c>
      <c r="C96" s="9" t="n">
        <v>0.0</v>
      </c>
      <c r="D96" s="9" t="n">
        <v>0.0</v>
      </c>
      <c r="E96" s="9">
        <f si="2" t="shared"/>
        <v>0</v>
      </c>
      <c r="G96">
        <v>85</v>
      </c>
      <c r="H96" s="16" t="n">
        <v>19.0</v>
      </c>
      <c r="I96" t="n">
        <v>0.0</v>
      </c>
      <c r="J96" t="n">
        <v>0.0</v>
      </c>
      <c r="K96">
        <f si="3" t="shared"/>
        <v>0</v>
      </c>
      <c r="W96" s="9"/>
    </row>
    <row r="97" spans="1:23" x14ac:dyDescent="0.25">
      <c r="A97">
        <v>86</v>
      </c>
      <c r="B97" s="9" t="n">
        <v>0.0</v>
      </c>
      <c r="C97" s="9" t="n">
        <v>0.0</v>
      </c>
      <c r="D97" s="9" t="n">
        <v>0.0</v>
      </c>
      <c r="E97" s="9">
        <f si="2" t="shared"/>
        <v>0</v>
      </c>
      <c r="G97">
        <v>86</v>
      </c>
      <c r="H97" s="16" t="n">
        <v>49.0</v>
      </c>
      <c r="I97" t="n">
        <v>2.0</v>
      </c>
      <c r="J97" t="n">
        <v>0.0</v>
      </c>
      <c r="K97">
        <f si="3" t="shared"/>
        <v>1</v>
      </c>
      <c r="W97" s="9"/>
    </row>
    <row r="98" spans="1:23" x14ac:dyDescent="0.25">
      <c r="A98">
        <v>87</v>
      </c>
      <c r="B98" s="9" t="n">
        <v>0.0</v>
      </c>
      <c r="C98" s="9" t="n">
        <v>0.0</v>
      </c>
      <c r="D98" s="9" t="n">
        <v>0.0</v>
      </c>
      <c r="E98" s="9">
        <f si="2" t="shared"/>
        <v>0</v>
      </c>
      <c r="G98">
        <v>87</v>
      </c>
      <c r="H98" s="16" t="n">
        <v>42.0</v>
      </c>
      <c r="I98" t="n">
        <v>3.0</v>
      </c>
      <c r="J98" t="n">
        <v>0.0</v>
      </c>
      <c r="K98">
        <f si="3" t="shared"/>
        <v>0</v>
      </c>
      <c r="W98" s="9"/>
    </row>
    <row r="99" spans="1:23" x14ac:dyDescent="0.25">
      <c r="A99">
        <v>88</v>
      </c>
      <c r="B99" s="9" t="n">
        <v>0.0</v>
      </c>
      <c r="C99" s="9" t="n">
        <v>0.0</v>
      </c>
      <c r="D99" s="9" t="n">
        <v>0.0</v>
      </c>
      <c r="E99" s="9">
        <f si="2" t="shared"/>
        <v>0</v>
      </c>
      <c r="G99">
        <v>88</v>
      </c>
      <c r="H99" s="16" t="n">
        <v>12.0</v>
      </c>
      <c r="I99" t="n">
        <v>2.0</v>
      </c>
      <c r="J99" t="n">
        <v>0.0</v>
      </c>
      <c r="K99">
        <f si="3" t="shared"/>
        <v>1</v>
      </c>
      <c r="W99" s="9"/>
    </row>
    <row r="100" spans="1:23" x14ac:dyDescent="0.25">
      <c r="A100">
        <v>89</v>
      </c>
      <c r="B100" s="9" t="n">
        <v>0.0</v>
      </c>
      <c r="C100" s="9" t="n">
        <v>0.0</v>
      </c>
      <c r="D100" s="9" t="n">
        <v>0.0</v>
      </c>
      <c r="E100" s="9">
        <f si="2" t="shared"/>
        <v>0</v>
      </c>
      <c r="G100">
        <v>89</v>
      </c>
      <c r="H100" s="16" t="n">
        <v>96.0</v>
      </c>
      <c r="I100" t="n">
        <v>6.0</v>
      </c>
      <c r="J100" t="n">
        <v>1.0</v>
      </c>
      <c r="K100">
        <f si="3" t="shared"/>
        <v>0</v>
      </c>
      <c r="W100" s="9"/>
    </row>
    <row ht="15.75" r="101" spans="1:23" thickBot="1" x14ac:dyDescent="0.3">
      <c r="A101" s="1" t="s">
        <v>291</v>
      </c>
      <c r="B101" s="10" t="n">
        <v>104700.6578</v>
      </c>
      <c r="C101" s="10" t="n">
        <v>78770.7669</v>
      </c>
      <c r="D101" s="10" t="n">
        <v>9339.8181</v>
      </c>
      <c r="E101" s="10">
        <f>SUM(B101:D101)</f>
        <v>20130.330472795464</v>
      </c>
      <c r="G101" s="1" t="s">
        <v>291</v>
      </c>
      <c r="H101" s="17" t="n">
        <v>0.0</v>
      </c>
      <c r="I101" s="1" t="n">
        <v>0.0</v>
      </c>
      <c r="J101" s="1" t="n">
        <v>0.0</v>
      </c>
      <c r="K101" s="1">
        <f si="3" t="shared"/>
        <v>20543</v>
      </c>
      <c r="W101" s="10"/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W101"/>
  <sheetViews>
    <sheetView workbookViewId="0">
      <selection activeCell="W14" sqref="W14"/>
    </sheetView>
  </sheetViews>
  <sheetFormatPr defaultRowHeight="15" x14ac:dyDescent="0.25"/>
  <sheetData>
    <row r="1" spans="1:23" x14ac:dyDescent="0.25">
      <c r="A1" t="s">
        <v>0</v>
      </c>
    </row>
    <row r="2" spans="1:23" x14ac:dyDescent="0.25">
      <c r="A2" t="s">
        <v>235</v>
      </c>
    </row>
    <row r="3" spans="1:23" x14ac:dyDescent="0.25">
      <c r="A3" t="s">
        <v>9</v>
      </c>
    </row>
    <row r="4" spans="1:23" x14ac:dyDescent="0.25">
      <c r="A4" t="s">
        <v>8</v>
      </c>
    </row>
    <row r="5" spans="1:23" x14ac:dyDescent="0.25">
      <c r="A5" t="s">
        <v>10</v>
      </c>
    </row>
    <row r="6" spans="1:23" x14ac:dyDescent="0.25">
      <c r="A6" t="s">
        <v>11</v>
      </c>
    </row>
    <row r="7" spans="1:23" x14ac:dyDescent="0.25">
      <c r="A7" t="s">
        <v>15</v>
      </c>
    </row>
    <row ht="15.75" r="9" spans="1:23" thickBot="1" x14ac:dyDescent="0.3">
      <c r="A9" s="4" t="s">
        <v>230</v>
      </c>
      <c r="B9" s="1"/>
      <c r="C9" s="1"/>
      <c r="D9" s="1"/>
      <c r="E9" s="1"/>
      <c r="G9" s="4" t="s">
        <v>17</v>
      </c>
      <c r="H9" s="1"/>
      <c r="I9" s="1"/>
      <c r="J9" s="1"/>
      <c r="K9" s="1"/>
      <c r="M9" s="11" t="s">
        <v>51</v>
      </c>
      <c r="W9" s="9"/>
    </row>
    <row r="10" spans="1:23" x14ac:dyDescent="0.25">
      <c r="A10" s="2" t="s">
        <v>29</v>
      </c>
      <c r="B10" s="5" t="s">
        <v>12</v>
      </c>
      <c r="C10" s="5" t="s">
        <v>13</v>
      </c>
      <c r="D10" s="5" t="s">
        <v>14</v>
      </c>
      <c r="E10" s="5" t="s">
        <v>228</v>
      </c>
      <c r="G10" s="2" t="s">
        <v>29</v>
      </c>
      <c r="H10" s="5" t="s">
        <v>12</v>
      </c>
      <c r="I10" s="5" t="s">
        <v>13</v>
      </c>
      <c r="J10" s="5" t="s">
        <v>14</v>
      </c>
      <c r="K10" s="5" t="s">
        <v>49</v>
      </c>
      <c r="M10" s="2"/>
      <c r="N10" s="5" t="s">
        <v>228</v>
      </c>
      <c r="O10" s="5" t="s">
        <v>49</v>
      </c>
      <c r="W10" s="9"/>
    </row>
    <row r="11" spans="1:23" x14ac:dyDescent="0.25">
      <c r="A11">
        <v>0</v>
      </c>
      <c r="B11" s="9" t="n">
        <v>11077.6944</v>
      </c>
      <c r="C11" s="9" t="n">
        <v>5261.3095</v>
      </c>
      <c r="D11" s="9" t="n">
        <v>679.5339</v>
      </c>
      <c r="E11" s="9">
        <f>SUM(B11:D11)</f>
        <v>0</v>
      </c>
      <c r="G11">
        <v>0</v>
      </c>
      <c r="H11" s="16" t="n">
        <v>24014.0</v>
      </c>
      <c r="I11" s="16" t="n">
        <v>9445.0</v>
      </c>
      <c r="J11" s="16" t="n">
        <v>2295.0</v>
      </c>
      <c r="K11">
        <f>SUM(H11:J11)</f>
        <v>584</v>
      </c>
      <c r="M11" t="s">
        <v>12</v>
      </c>
      <c r="N11" s="9" t="n">
        <v>30.748397775947005</v>
      </c>
      <c r="O11" s="9" t="n">
        <v>36.27985184595762</v>
      </c>
      <c r="W11" s="9"/>
    </row>
    <row r="12" spans="1:23" x14ac:dyDescent="0.25">
      <c r="A12">
        <v>1</v>
      </c>
      <c r="B12" s="9" t="n">
        <v>3168.3199</v>
      </c>
      <c r="C12" s="9" t="n">
        <v>2421.5013</v>
      </c>
      <c r="D12" s="9" t="n">
        <v>130.5369</v>
      </c>
      <c r="E12" s="9">
        <f ref="E12:E75" si="0" t="shared">SUM(B12:D12)</f>
        <v>0</v>
      </c>
      <c r="G12">
        <v>1</v>
      </c>
      <c r="H12" s="16" t="n">
        <v>8996.0</v>
      </c>
      <c r="I12" s="16" t="n">
        <v>3740.0</v>
      </c>
      <c r="J12" s="16" t="n">
        <v>967.0</v>
      </c>
      <c r="K12">
        <f ref="K12:K75" si="1" t="shared">SUM(H12:J12)</f>
        <v>1655</v>
      </c>
      <c r="M12" t="s">
        <v>13</v>
      </c>
      <c r="N12" s="9" t="n">
        <v>22.70525786946571</v>
      </c>
      <c r="O12" s="9" t="n">
        <v>29.693247843006404</v>
      </c>
      <c r="W12" s="9"/>
    </row>
    <row r="13" spans="1:23" x14ac:dyDescent="0.25">
      <c r="A13">
        <v>2</v>
      </c>
      <c r="B13" s="9" t="n">
        <v>3825.6889</v>
      </c>
      <c r="C13" s="9" t="n">
        <v>4669.6241</v>
      </c>
      <c r="D13" s="9" t="n">
        <v>486.9716</v>
      </c>
      <c r="E13" s="9">
        <f si="0" t="shared"/>
        <v>2670.4741331928349</v>
      </c>
      <c r="G13">
        <v>2</v>
      </c>
      <c r="H13" s="16" t="n">
        <v>11302.0</v>
      </c>
      <c r="I13" s="16" t="n">
        <v>4706.0</v>
      </c>
      <c r="J13" s="16" t="n">
        <v>1212.0</v>
      </c>
      <c r="K13">
        <f si="1" t="shared"/>
        <v>4958</v>
      </c>
      <c r="M13" s="6" t="s">
        <v>14</v>
      </c>
      <c r="N13" s="14" t="n">
        <v>25.965633992568673</v>
      </c>
      <c r="O13" s="14" t="n">
        <v>28.43953424082046</v>
      </c>
      <c r="W13" s="9"/>
    </row>
    <row ht="15.75" r="14" spans="1:23" thickBot="1" x14ac:dyDescent="0.3">
      <c r="A14">
        <v>3</v>
      </c>
      <c r="B14" s="9" t="n">
        <v>7569.2484</v>
      </c>
      <c r="C14" s="9" t="n">
        <v>2234.557</v>
      </c>
      <c r="D14" s="9" t="n">
        <v>454.1777</v>
      </c>
      <c r="E14" s="9">
        <f si="0" t="shared"/>
        <v>19476.096166177602</v>
      </c>
      <c r="G14">
        <v>3</v>
      </c>
      <c r="H14" s="16" t="n">
        <v>11148.0</v>
      </c>
      <c r="I14" s="16" t="n">
        <v>5068.0</v>
      </c>
      <c r="J14" s="16" t="n">
        <v>1300.0</v>
      </c>
      <c r="K14">
        <f si="1" t="shared"/>
        <v>22427</v>
      </c>
      <c r="M14" s="1" t="s">
        <v>4</v>
      </c>
      <c r="N14" s="15" t="n">
        <v>29.290197070439028</v>
      </c>
      <c r="O14" s="15" t="n">
        <v>34.700816934322276</v>
      </c>
      <c r="W14" s="9"/>
    </row>
    <row r="15" spans="1:23" x14ac:dyDescent="0.25">
      <c r="A15">
        <v>4</v>
      </c>
      <c r="B15" s="9" t="n">
        <v>9115.2312</v>
      </c>
      <c r="C15" s="9" t="n">
        <v>5415.3915</v>
      </c>
      <c r="D15" s="9" t="n">
        <v>315.9825</v>
      </c>
      <c r="E15" s="9">
        <f si="0" t="shared"/>
        <v>11531.064396713182</v>
      </c>
      <c r="G15">
        <v>4</v>
      </c>
      <c r="H15" s="16" t="n">
        <v>11185.0</v>
      </c>
      <c r="I15" s="16" t="n">
        <v>5136.0</v>
      </c>
      <c r="J15" s="16" t="n">
        <v>1349.0</v>
      </c>
      <c r="K15">
        <f si="1" t="shared"/>
        <v>14272</v>
      </c>
      <c r="W15" s="9"/>
    </row>
    <row r="16" spans="1:23" x14ac:dyDescent="0.25">
      <c r="A16">
        <v>5</v>
      </c>
      <c r="B16" s="9" t="n">
        <v>8988.4187</v>
      </c>
      <c r="C16" s="9" t="n">
        <v>3650.1381</v>
      </c>
      <c r="D16" s="9" t="n">
        <v>174.2081</v>
      </c>
      <c r="E16" s="9">
        <f si="0" t="shared"/>
        <v>13900.821935193137</v>
      </c>
      <c r="G16">
        <v>5</v>
      </c>
      <c r="H16" s="16" t="n">
        <v>10987.0</v>
      </c>
      <c r="I16" s="16" t="n">
        <v>5045.0</v>
      </c>
      <c r="J16" s="16" t="n">
        <v>1322.0</v>
      </c>
      <c r="K16">
        <f si="1" t="shared"/>
        <v>17028</v>
      </c>
      <c r="W16" s="9"/>
    </row>
    <row r="17" spans="1:23" x14ac:dyDescent="0.25">
      <c r="A17">
        <v>6</v>
      </c>
      <c r="B17" s="9" t="n">
        <v>14983.4831</v>
      </c>
      <c r="C17" s="9" t="n">
        <v>3617.8436</v>
      </c>
      <c r="D17" s="9" t="n">
        <v>481.5714</v>
      </c>
      <c r="E17" s="9">
        <f si="0" t="shared"/>
        <v>17394.900617736745</v>
      </c>
      <c r="G17">
        <v>6</v>
      </c>
      <c r="H17" s="16" t="n">
        <v>10615.0</v>
      </c>
      <c r="I17" s="16" t="n">
        <v>4935.0</v>
      </c>
      <c r="J17" s="16" t="n">
        <v>1422.0</v>
      </c>
      <c r="K17">
        <f si="1" t="shared"/>
        <v>19787</v>
      </c>
      <c r="W17" s="9"/>
    </row>
    <row r="18" spans="1:23" x14ac:dyDescent="0.25">
      <c r="A18">
        <v>7</v>
      </c>
      <c r="B18" s="9" t="n">
        <v>14444.3333</v>
      </c>
      <c r="C18" s="9" t="n">
        <v>7263.8769999999995</v>
      </c>
      <c r="D18" s="9" t="n">
        <v>431.5114</v>
      </c>
      <c r="E18" s="9">
        <f si="0" t="shared"/>
        <v>16690.955792727716</v>
      </c>
      <c r="G18">
        <v>7</v>
      </c>
      <c r="H18" s="16" t="n">
        <v>9915.0</v>
      </c>
      <c r="I18" s="16" t="n">
        <v>4562.0</v>
      </c>
      <c r="J18" s="16" t="n">
        <v>1251.0</v>
      </c>
      <c r="K18">
        <f si="1" t="shared"/>
        <v>19571</v>
      </c>
      <c r="W18" s="9"/>
    </row>
    <row r="19" spans="1:23" x14ac:dyDescent="0.25">
      <c r="A19">
        <v>8</v>
      </c>
      <c r="B19" s="9" t="n">
        <v>31137.3437</v>
      </c>
      <c r="C19" s="9" t="n">
        <v>11220.6091</v>
      </c>
      <c r="D19" s="9" t="n">
        <v>1764.162</v>
      </c>
      <c r="E19" s="9">
        <f si="0" t="shared"/>
        <v>21786.148052593107</v>
      </c>
      <c r="G19">
        <v>8</v>
      </c>
      <c r="H19" s="16" t="n">
        <v>9218.0</v>
      </c>
      <c r="I19" s="16" t="n">
        <v>3968.0</v>
      </c>
      <c r="J19" s="16" t="n">
        <v>1068.0</v>
      </c>
      <c r="K19">
        <f si="1" t="shared"/>
        <v>19445</v>
      </c>
      <c r="W19" s="9"/>
    </row>
    <row r="20" spans="1:23" x14ac:dyDescent="0.25">
      <c r="A20">
        <v>9</v>
      </c>
      <c r="B20" s="9" t="n">
        <v>21162.611100000002</v>
      </c>
      <c r="C20" s="9" t="n">
        <v>8260.3892</v>
      </c>
      <c r="D20" s="9" t="n">
        <v>131.0845</v>
      </c>
      <c r="E20" s="9">
        <f si="0" t="shared"/>
        <v>19969.720955593504</v>
      </c>
      <c r="G20">
        <v>9</v>
      </c>
      <c r="H20" s="16" t="n">
        <v>9222.0</v>
      </c>
      <c r="I20" s="16" t="n">
        <v>3564.0</v>
      </c>
      <c r="J20" s="16" t="n">
        <v>966.0</v>
      </c>
      <c r="K20">
        <f si="1" t="shared"/>
        <v>18759</v>
      </c>
      <c r="W20" s="9"/>
    </row>
    <row r="21" spans="1:23" x14ac:dyDescent="0.25">
      <c r="A21">
        <v>10</v>
      </c>
      <c r="B21" s="9" t="n">
        <v>25572.987</v>
      </c>
      <c r="C21" s="9" t="n">
        <v>5387.5482</v>
      </c>
      <c r="D21" s="9" t="n">
        <v>2013.7621</v>
      </c>
      <c r="E21" s="9">
        <f si="0" t="shared"/>
        <v>17919.264974498241</v>
      </c>
      <c r="G21">
        <v>10</v>
      </c>
      <c r="H21" s="16" t="n">
        <v>8587.0</v>
      </c>
      <c r="I21" s="16" t="n">
        <v>3350.0</v>
      </c>
      <c r="J21" s="16" t="n">
        <v>862.0</v>
      </c>
      <c r="K21">
        <f si="1" t="shared"/>
        <v>19739</v>
      </c>
      <c r="W21" s="9"/>
    </row>
    <row r="22" spans="1:23" x14ac:dyDescent="0.25">
      <c r="A22">
        <v>11</v>
      </c>
      <c r="B22" s="9" t="n">
        <v>28340.3158</v>
      </c>
      <c r="C22" s="9" t="n">
        <v>5521.593</v>
      </c>
      <c r="D22" s="9" t="n">
        <v>1225.3905</v>
      </c>
      <c r="E22" s="9">
        <f si="0" t="shared"/>
        <v>20987.877444376267</v>
      </c>
      <c r="G22">
        <v>11</v>
      </c>
      <c r="H22" s="16" t="n">
        <v>8136.0</v>
      </c>
      <c r="I22" s="16" t="n">
        <v>2959.0</v>
      </c>
      <c r="J22" s="16" t="n">
        <v>799.0</v>
      </c>
      <c r="K22">
        <f si="1" t="shared"/>
        <v>19321</v>
      </c>
      <c r="W22" s="9"/>
    </row>
    <row r="23" spans="1:23" x14ac:dyDescent="0.25">
      <c r="A23">
        <v>12</v>
      </c>
      <c r="B23" s="9" t="n">
        <v>25835.3568</v>
      </c>
      <c r="C23" s="9" t="n">
        <v>13708.104</v>
      </c>
      <c r="D23" s="9" t="n">
        <v>1658.4395</v>
      </c>
      <c r="E23" s="9">
        <f si="0" t="shared"/>
        <v>16592.118739556336</v>
      </c>
      <c r="G23">
        <v>12</v>
      </c>
      <c r="H23" s="16" t="n">
        <v>8108.0</v>
      </c>
      <c r="I23" s="16" t="n">
        <v>2868.0</v>
      </c>
      <c r="J23" s="16" t="n">
        <v>766.0</v>
      </c>
      <c r="K23">
        <f si="1" t="shared"/>
        <v>19726</v>
      </c>
      <c r="W23" s="9"/>
    </row>
    <row r="24" spans="1:23" x14ac:dyDescent="0.25">
      <c r="A24">
        <v>13</v>
      </c>
      <c r="B24" s="9" t="n">
        <v>33800.7854</v>
      </c>
      <c r="C24" s="9" t="n">
        <v>9725.9224</v>
      </c>
      <c r="D24" s="9" t="n">
        <v>1453.9187</v>
      </c>
      <c r="E24" s="9">
        <f si="0" t="shared"/>
        <v>15163.21864623932</v>
      </c>
      <c r="G24">
        <v>13</v>
      </c>
      <c r="H24" s="16" t="n">
        <v>7812.0</v>
      </c>
      <c r="I24" s="16" t="n">
        <v>2711.0</v>
      </c>
      <c r="J24" s="16" t="n">
        <v>739.0</v>
      </c>
      <c r="K24">
        <f si="1" t="shared"/>
        <v>19620</v>
      </c>
      <c r="W24" s="9"/>
    </row>
    <row r="25" spans="1:23" x14ac:dyDescent="0.25">
      <c r="A25">
        <v>14</v>
      </c>
      <c r="B25" s="9" t="n">
        <v>33639.7943</v>
      </c>
      <c r="C25" s="9" t="n">
        <v>8705.4194</v>
      </c>
      <c r="D25" s="9" t="n">
        <v>1084.3763</v>
      </c>
      <c r="E25" s="9">
        <f si="0" t="shared"/>
        <v>20124.692611483031</v>
      </c>
      <c r="G25">
        <v>14</v>
      </c>
      <c r="H25" s="16" t="n">
        <v>7395.0</v>
      </c>
      <c r="I25" s="16" t="n">
        <v>2518.0</v>
      </c>
      <c r="J25" s="16" t="n">
        <v>713.0</v>
      </c>
      <c r="K25">
        <f si="1" t="shared"/>
        <v>19792</v>
      </c>
      <c r="W25" s="9"/>
    </row>
    <row r="26" spans="1:23" x14ac:dyDescent="0.25">
      <c r="A26">
        <v>15</v>
      </c>
      <c r="B26" s="9" t="n">
        <v>38799.7149</v>
      </c>
      <c r="C26" s="9" t="n">
        <v>7192.4866999999995</v>
      </c>
      <c r="D26" s="9" t="n">
        <v>431.14689999999996</v>
      </c>
      <c r="E26" s="9">
        <f si="0" t="shared"/>
        <v>16474.6839244697</v>
      </c>
      <c r="G26">
        <v>15</v>
      </c>
      <c r="H26" s="16" t="n">
        <v>6696.0</v>
      </c>
      <c r="I26" s="16" t="n">
        <v>2231.0</v>
      </c>
      <c r="J26" s="16" t="n">
        <v>568.0</v>
      </c>
      <c r="K26">
        <f si="1" t="shared"/>
        <v>19889</v>
      </c>
      <c r="W26" s="9"/>
    </row>
    <row r="27" spans="1:23" x14ac:dyDescent="0.25">
      <c r="A27">
        <v>16</v>
      </c>
      <c r="B27" s="9" t="n">
        <v>33528.4838</v>
      </c>
      <c r="C27" s="9" t="n">
        <v>8547.5308</v>
      </c>
      <c r="D27" s="9" t="n">
        <v>4570.8323</v>
      </c>
      <c r="E27" s="9">
        <f si="0" t="shared"/>
        <v>23116.391082712133</v>
      </c>
      <c r="G27">
        <v>16</v>
      </c>
      <c r="H27" s="16" t="n">
        <v>6661.0</v>
      </c>
      <c r="I27" s="16" t="n">
        <v>2356.0</v>
      </c>
      <c r="J27" s="16" t="n">
        <v>685.0</v>
      </c>
      <c r="K27">
        <f si="1" t="shared"/>
        <v>19928</v>
      </c>
      <c r="W27" s="9"/>
    </row>
    <row r="28" spans="1:23" x14ac:dyDescent="0.25">
      <c r="A28">
        <v>17</v>
      </c>
      <c r="B28" s="9" t="n">
        <v>36258.1238</v>
      </c>
      <c r="C28" s="9" t="n">
        <v>10236.3637</v>
      </c>
      <c r="D28" s="9" t="n">
        <v>760.6066000000001</v>
      </c>
      <c r="E28" s="9">
        <f si="0" t="shared"/>
        <v>13668.133536047744</v>
      </c>
      <c r="G28">
        <v>17</v>
      </c>
      <c r="H28" s="16" t="n">
        <v>6354.0</v>
      </c>
      <c r="I28" s="16" t="n">
        <v>1963.0</v>
      </c>
      <c r="J28" s="16" t="n">
        <v>573.0</v>
      </c>
      <c r="K28">
        <f si="1" t="shared"/>
        <v>20081</v>
      </c>
      <c r="W28" s="9"/>
    </row>
    <row r="29" spans="1:23" x14ac:dyDescent="0.25">
      <c r="A29">
        <v>18</v>
      </c>
      <c r="B29" s="9" t="n">
        <v>40942.8898</v>
      </c>
      <c r="C29" s="9" t="n">
        <v>6031.4427</v>
      </c>
      <c r="D29" s="9" t="n">
        <v>1104.0834</v>
      </c>
      <c r="E29" s="9">
        <f si="0" t="shared"/>
        <v>16978.586459698097</v>
      </c>
      <c r="G29">
        <v>18</v>
      </c>
      <c r="H29" s="16" t="n">
        <v>43671.0</v>
      </c>
      <c r="I29" s="16" t="n">
        <v>19439.0</v>
      </c>
      <c r="J29" s="16" t="n">
        <v>5196.0</v>
      </c>
      <c r="K29">
        <f si="1" t="shared"/>
        <v>19337</v>
      </c>
      <c r="W29" s="9"/>
    </row>
    <row r="30" spans="1:23" x14ac:dyDescent="0.25">
      <c r="A30">
        <v>19</v>
      </c>
      <c r="B30" s="9" t="n">
        <v>34268.2064</v>
      </c>
      <c r="C30" s="9" t="n">
        <v>10254.8039</v>
      </c>
      <c r="D30" s="9" t="n">
        <v>4176.1631</v>
      </c>
      <c r="E30" s="9">
        <f si="0" t="shared"/>
        <v>14186.611073669188</v>
      </c>
      <c r="G30">
        <v>19</v>
      </c>
      <c r="H30" s="16" t="n">
        <v>22327.0</v>
      </c>
      <c r="I30" s="16" t="n">
        <v>6930.0</v>
      </c>
      <c r="J30" s="16" t="n">
        <v>2345.0</v>
      </c>
      <c r="K30">
        <f si="1" t="shared"/>
        <v>19360</v>
      </c>
      <c r="W30" s="9"/>
    </row>
    <row r="31" spans="1:23" x14ac:dyDescent="0.25">
      <c r="A31">
        <v>20</v>
      </c>
      <c r="B31" s="9" t="n">
        <v>20292.9487</v>
      </c>
      <c r="C31" s="9" t="n">
        <v>6870.6194</v>
      </c>
      <c r="D31" s="9" t="n">
        <v>229.5031</v>
      </c>
      <c r="E31" s="9">
        <f si="0" t="shared"/>
        <v>17088.63728476172</v>
      </c>
      <c r="G31">
        <v>20</v>
      </c>
      <c r="H31" s="16" t="n">
        <v>25809.0</v>
      </c>
      <c r="I31" s="16" t="n">
        <v>7159.0</v>
      </c>
      <c r="J31" s="16" t="n">
        <v>2326.0</v>
      </c>
      <c r="K31">
        <f si="1" t="shared"/>
        <v>18128</v>
      </c>
      <c r="W31" s="9"/>
    </row>
    <row r="32" spans="1:23" x14ac:dyDescent="0.25">
      <c r="A32">
        <v>21</v>
      </c>
      <c r="B32" s="9" t="n">
        <v>32939.4047</v>
      </c>
      <c r="C32" s="9" t="n">
        <v>4933.6569</v>
      </c>
      <c r="D32" s="9" t="n">
        <v>1412.6926</v>
      </c>
      <c r="E32" s="9">
        <f si="0" t="shared"/>
        <v>14244.091381537753</v>
      </c>
      <c r="G32">
        <v>21</v>
      </c>
      <c r="H32" s="16" t="n">
        <v>40357.0</v>
      </c>
      <c r="I32" s="16" t="n">
        <v>12259.0</v>
      </c>
      <c r="J32" s="16" t="n">
        <v>3841.0</v>
      </c>
      <c r="K32">
        <f si="1" t="shared"/>
        <v>18783</v>
      </c>
      <c r="W32" s="9"/>
    </row>
    <row r="33" spans="1:23" x14ac:dyDescent="0.25">
      <c r="A33">
        <v>22</v>
      </c>
      <c r="B33" s="9" t="n">
        <v>40570.3142</v>
      </c>
      <c r="C33" s="9" t="n">
        <v>6710.6504</v>
      </c>
      <c r="D33" s="9" t="n">
        <v>1357.6924999999999</v>
      </c>
      <c r="E33" s="9">
        <f si="0" t="shared"/>
        <v>15630.961311038527</v>
      </c>
      <c r="G33">
        <v>22</v>
      </c>
      <c r="H33" s="16" t="n">
        <v>33168.0</v>
      </c>
      <c r="I33" s="16" t="n">
        <v>10186.0</v>
      </c>
      <c r="J33" s="16" t="n">
        <v>3123.0</v>
      </c>
      <c r="K33">
        <f si="1" t="shared"/>
        <v>17935</v>
      </c>
      <c r="W33" s="9"/>
    </row>
    <row r="34" spans="1:23" x14ac:dyDescent="0.25">
      <c r="A34">
        <v>23</v>
      </c>
      <c r="B34" s="9" t="n">
        <v>34762.8477</v>
      </c>
      <c r="C34" s="9" t="n">
        <v>5927.069</v>
      </c>
      <c r="D34" s="9" t="n">
        <v>3069.984</v>
      </c>
      <c r="E34" s="9">
        <f si="0" t="shared"/>
        <v>16786.364217686114</v>
      </c>
      <c r="G34">
        <v>23</v>
      </c>
      <c r="H34" s="16" t="n">
        <v>45653.0</v>
      </c>
      <c r="I34" s="16" t="n">
        <v>13163.0</v>
      </c>
      <c r="J34" s="16" t="n">
        <v>4131.0</v>
      </c>
      <c r="K34">
        <f si="1" t="shared"/>
        <v>17530</v>
      </c>
      <c r="W34" s="9"/>
    </row>
    <row r="35" spans="1:23" x14ac:dyDescent="0.25">
      <c r="A35">
        <v>24</v>
      </c>
      <c r="B35" s="9" t="n">
        <v>29530.0399</v>
      </c>
      <c r="C35" s="9" t="n">
        <v>5965.9674</v>
      </c>
      <c r="D35" s="9" t="n">
        <v>75.0198</v>
      </c>
      <c r="E35" s="9">
        <f si="0" t="shared"/>
        <v>13677.879575058936</v>
      </c>
      <c r="G35">
        <v>24</v>
      </c>
      <c r="H35" s="16" t="n">
        <v>27304.0</v>
      </c>
      <c r="I35" s="16" t="n">
        <v>7568.0</v>
      </c>
      <c r="J35" s="16" t="n">
        <v>2318.0</v>
      </c>
      <c r="K35">
        <f si="1" t="shared"/>
        <v>16952</v>
      </c>
      <c r="W35" s="9"/>
    </row>
    <row r="36" spans="1:23" x14ac:dyDescent="0.25">
      <c r="A36">
        <v>25</v>
      </c>
      <c r="B36" s="9" t="n">
        <v>33670.1275</v>
      </c>
      <c r="C36" s="9" t="n">
        <v>3581.3848</v>
      </c>
      <c r="D36" s="9" t="n">
        <v>2079.1056</v>
      </c>
      <c r="E36" s="9">
        <f si="0" t="shared"/>
        <v>10778.402858343188</v>
      </c>
      <c r="G36">
        <v>25</v>
      </c>
      <c r="H36" s="16" t="n">
        <v>37436.0</v>
      </c>
      <c r="I36" s="16" t="n">
        <v>9841.0</v>
      </c>
      <c r="J36" s="16" t="n">
        <v>3106.0</v>
      </c>
      <c r="K36">
        <f si="1" t="shared"/>
        <v>15995</v>
      </c>
      <c r="W36" s="9"/>
    </row>
    <row r="37" spans="1:23" x14ac:dyDescent="0.25">
      <c r="A37">
        <v>26</v>
      </c>
      <c r="B37" s="9" t="n">
        <v>27314.0022</v>
      </c>
      <c r="C37" s="9" t="n">
        <v>4864.4197</v>
      </c>
      <c r="D37" s="9" t="n">
        <v>2898.1115</v>
      </c>
      <c r="E37" s="9">
        <f si="0" t="shared"/>
        <v>10175.087036452011</v>
      </c>
      <c r="G37">
        <v>26</v>
      </c>
      <c r="H37" s="16" t="n">
        <v>34996.0</v>
      </c>
      <c r="I37" s="16" t="n">
        <v>9603.0</v>
      </c>
      <c r="J37" s="16" t="n">
        <v>3083.0</v>
      </c>
      <c r="K37">
        <f si="1" t="shared"/>
        <v>15510</v>
      </c>
      <c r="W37" s="9"/>
    </row>
    <row r="38" spans="1:23" x14ac:dyDescent="0.25">
      <c r="A38">
        <v>27</v>
      </c>
      <c r="B38" s="9" t="n">
        <v>31375.6868</v>
      </c>
      <c r="C38" s="9" t="n">
        <v>5842.9939</v>
      </c>
      <c r="D38" s="9" t="n">
        <v>1480.5518</v>
      </c>
      <c r="E38" s="9">
        <f si="0" t="shared"/>
        <v>10058.214025483347</v>
      </c>
      <c r="G38">
        <v>27</v>
      </c>
      <c r="H38" s="16" t="n">
        <v>31176.0</v>
      </c>
      <c r="I38" s="16" t="n">
        <v>8015.0</v>
      </c>
      <c r="J38" s="16" t="n">
        <v>2447.0</v>
      </c>
      <c r="K38">
        <f si="1" t="shared"/>
        <v>14464</v>
      </c>
      <c r="W38" s="9"/>
    </row>
    <row r="39" spans="1:23" x14ac:dyDescent="0.25">
      <c r="A39">
        <v>28</v>
      </c>
      <c r="B39" s="9" t="n">
        <v>24379.4866</v>
      </c>
      <c r="C39" s="9" t="n">
        <v>2872.5039</v>
      </c>
      <c r="D39" s="9" t="n">
        <v>898.371</v>
      </c>
      <c r="E39" s="9">
        <f si="0" t="shared"/>
        <v>11392.643196837251</v>
      </c>
      <c r="G39">
        <v>28</v>
      </c>
      <c r="H39" s="16" t="n">
        <v>42470.0</v>
      </c>
      <c r="I39" s="16" t="n">
        <v>9464.0</v>
      </c>
      <c r="J39" s="16" t="n">
        <v>2992.0</v>
      </c>
      <c r="K39">
        <f si="1" t="shared"/>
        <v>13319</v>
      </c>
      <c r="W39" s="9"/>
    </row>
    <row r="40" spans="1:23" x14ac:dyDescent="0.25">
      <c r="A40">
        <v>29</v>
      </c>
      <c r="B40" s="9" t="n">
        <v>26442.9265</v>
      </c>
      <c r="C40" s="9" t="n">
        <v>5627.7672</v>
      </c>
      <c r="D40" s="9" t="n">
        <v>1077.8307</v>
      </c>
      <c r="E40" s="9">
        <f si="0" t="shared"/>
        <v>11775.079894101216</v>
      </c>
      <c r="G40">
        <v>29</v>
      </c>
      <c r="H40" s="16" t="n">
        <v>32749.0</v>
      </c>
      <c r="I40" s="16" t="n">
        <v>7122.0</v>
      </c>
      <c r="J40" s="16" t="n">
        <v>2154.0</v>
      </c>
      <c r="K40">
        <f si="1" t="shared"/>
        <v>12824</v>
      </c>
      <c r="W40" s="9"/>
    </row>
    <row r="41" spans="1:23" x14ac:dyDescent="0.25">
      <c r="A41">
        <v>30</v>
      </c>
      <c r="B41" s="9" t="n">
        <v>24812.5188</v>
      </c>
      <c r="C41" s="9" t="n">
        <v>4533.519</v>
      </c>
      <c r="D41" s="9" t="n">
        <v>1681.4752</v>
      </c>
      <c r="E41" s="9">
        <f si="0" t="shared"/>
        <v>8222.3634397177448</v>
      </c>
      <c r="G41">
        <v>30</v>
      </c>
      <c r="H41" s="16" t="n">
        <v>30734.0</v>
      </c>
      <c r="I41" s="16" t="n">
        <v>6724.0</v>
      </c>
      <c r="J41" s="16" t="n">
        <v>1984.0</v>
      </c>
      <c r="K41">
        <f si="1" t="shared"/>
        <v>12286</v>
      </c>
      <c r="W41" s="9"/>
    </row>
    <row r="42" spans="1:23" x14ac:dyDescent="0.25">
      <c r="A42">
        <v>31</v>
      </c>
      <c r="B42" s="9" t="n">
        <v>16123.9086</v>
      </c>
      <c r="C42" s="9" t="n">
        <v>4714.8083</v>
      </c>
      <c r="D42" s="9" t="n">
        <v>1475.1369</v>
      </c>
      <c r="E42" s="9">
        <f si="0" t="shared"/>
        <v>8083.1304784493814</v>
      </c>
      <c r="G42">
        <v>31</v>
      </c>
      <c r="H42" s="16" t="n">
        <v>46712.0</v>
      </c>
      <c r="I42" s="16" t="n">
        <v>10576.0</v>
      </c>
      <c r="J42" s="16" t="n">
        <v>2862.0</v>
      </c>
      <c r="K42">
        <f si="1" t="shared"/>
        <v>11863</v>
      </c>
      <c r="W42" s="9"/>
    </row>
    <row r="43" spans="1:23" x14ac:dyDescent="0.25">
      <c r="A43">
        <v>32</v>
      </c>
      <c r="B43" s="9" t="n">
        <v>18832.1086</v>
      </c>
      <c r="C43" s="9" t="n">
        <v>3141.8668000000002</v>
      </c>
      <c r="D43" s="9" t="n">
        <v>617.6555</v>
      </c>
      <c r="E43" s="9">
        <f si="0" t="shared"/>
        <v>7407.1482319740799</v>
      </c>
      <c r="G43">
        <v>32</v>
      </c>
      <c r="H43" s="16" t="n">
        <v>38875.0</v>
      </c>
      <c r="I43" s="16" t="n">
        <v>9732.0</v>
      </c>
      <c r="J43" s="16" t="n">
        <v>2538.0</v>
      </c>
      <c r="K43">
        <f si="1" t="shared"/>
        <v>11276</v>
      </c>
      <c r="W43" s="9"/>
    </row>
    <row r="44" spans="1:23" x14ac:dyDescent="0.25">
      <c r="A44">
        <v>33</v>
      </c>
      <c r="B44" s="9" t="n">
        <v>24810.5636</v>
      </c>
      <c r="C44" s="9" t="n">
        <v>4869.9739</v>
      </c>
      <c r="D44" s="9" t="n">
        <v>217.1876</v>
      </c>
      <c r="E44" s="9">
        <f si="0" t="shared"/>
        <v>9810.9792958425587</v>
      </c>
      <c r="G44">
        <v>33</v>
      </c>
      <c r="H44" s="16" t="n">
        <v>25180.0</v>
      </c>
      <c r="I44" s="16" t="n">
        <v>5277.0</v>
      </c>
      <c r="J44" s="16" t="n">
        <v>1643.0</v>
      </c>
      <c r="K44">
        <f si="1" t="shared"/>
        <v>10290</v>
      </c>
      <c r="W44" s="9"/>
    </row>
    <row r="45" spans="1:23" x14ac:dyDescent="0.25">
      <c r="A45">
        <v>34</v>
      </c>
      <c r="B45" s="9" t="n">
        <v>17940.984</v>
      </c>
      <c r="C45" s="9" t="n">
        <v>4447.7501</v>
      </c>
      <c r="D45" s="9" t="n">
        <v>499.66360000000003</v>
      </c>
      <c r="E45" s="9">
        <f si="0" t="shared"/>
        <v>6322.2442911552416</v>
      </c>
      <c r="G45">
        <v>34</v>
      </c>
      <c r="H45" s="16" t="n">
        <v>36465.0</v>
      </c>
      <c r="I45" s="16" t="n">
        <v>6723.0</v>
      </c>
      <c r="J45" s="16" t="n">
        <v>1924.0</v>
      </c>
      <c r="K45">
        <f si="1" t="shared"/>
        <v>9743</v>
      </c>
      <c r="W45" s="9"/>
    </row>
    <row r="46" spans="1:23" x14ac:dyDescent="0.25">
      <c r="A46">
        <v>35</v>
      </c>
      <c r="B46" s="9" t="n">
        <v>26637.8691</v>
      </c>
      <c r="C46" s="9" t="n">
        <v>4058.3565</v>
      </c>
      <c r="D46" s="9" t="n">
        <v>1261.4491</v>
      </c>
      <c r="E46" s="9">
        <f si="0" t="shared"/>
        <v>7538.8227284960885</v>
      </c>
      <c r="G46">
        <v>35</v>
      </c>
      <c r="H46" s="16" t="n">
        <v>25328.0</v>
      </c>
      <c r="I46" s="16" t="n">
        <v>4801.0</v>
      </c>
      <c r="J46" s="16" t="n">
        <v>1307.0</v>
      </c>
      <c r="K46">
        <f si="1" t="shared"/>
        <v>9471</v>
      </c>
      <c r="W46" s="9"/>
    </row>
    <row r="47" spans="1:23" x14ac:dyDescent="0.25">
      <c r="A47">
        <v>36</v>
      </c>
      <c r="B47" s="9" t="n">
        <v>21765.294</v>
      </c>
      <c r="C47" s="9" t="n">
        <v>3389.3461</v>
      </c>
      <c r="D47" s="9" t="n">
        <v>0.0</v>
      </c>
      <c r="E47" s="9">
        <f si="0" t="shared"/>
        <v>9525.4530406957474</v>
      </c>
      <c r="G47">
        <v>36</v>
      </c>
      <c r="H47" s="16" t="n">
        <v>26334.0</v>
      </c>
      <c r="I47" s="16" t="n">
        <v>5173.0</v>
      </c>
      <c r="J47" s="16" t="n">
        <v>1474.0</v>
      </c>
      <c r="K47">
        <f si="1" t="shared"/>
        <v>8854</v>
      </c>
      <c r="W47" s="9"/>
    </row>
    <row r="48" spans="1:23" x14ac:dyDescent="0.25">
      <c r="A48">
        <v>37</v>
      </c>
      <c r="B48" s="9" t="n">
        <v>16617.6184</v>
      </c>
      <c r="C48" s="9" t="n">
        <v>1539.7245</v>
      </c>
      <c r="D48" s="9" t="n">
        <v>660.4829</v>
      </c>
      <c r="E48" s="9">
        <f si="0" t="shared"/>
        <v>4992.509727185371</v>
      </c>
      <c r="G48">
        <v>37</v>
      </c>
      <c r="H48" s="16" t="n">
        <v>33246.0</v>
      </c>
      <c r="I48" s="16" t="n">
        <v>5494.0</v>
      </c>
      <c r="J48" s="16" t="n">
        <v>1464.0</v>
      </c>
      <c r="K48">
        <f si="1" t="shared"/>
        <v>7888</v>
      </c>
      <c r="W48" s="9"/>
    </row>
    <row r="49" spans="1:23" x14ac:dyDescent="0.25">
      <c r="A49">
        <v>38</v>
      </c>
      <c r="B49" s="9" t="n">
        <v>14766.2945</v>
      </c>
      <c r="C49" s="9" t="n">
        <v>2318.2768</v>
      </c>
      <c r="D49" s="9" t="n">
        <v>28.9114</v>
      </c>
      <c r="E49" s="9">
        <f si="0" t="shared"/>
        <v>7767.1938821066733</v>
      </c>
      <c r="G49">
        <v>38</v>
      </c>
      <c r="H49" s="16" t="n">
        <v>27644.0</v>
      </c>
      <c r="I49" s="16" t="n">
        <v>4559.0</v>
      </c>
      <c r="J49" s="16" t="n">
        <v>1262.0</v>
      </c>
      <c r="K49">
        <f si="1" t="shared"/>
        <v>7545</v>
      </c>
      <c r="W49" s="9"/>
    </row>
    <row r="50" spans="1:23" x14ac:dyDescent="0.25">
      <c r="A50">
        <v>39</v>
      </c>
      <c r="B50" s="9" t="n">
        <v>18816.9942</v>
      </c>
      <c r="C50" s="9" t="n">
        <v>3818.4918</v>
      </c>
      <c r="D50" s="9" t="n">
        <v>2204.8955</v>
      </c>
      <c r="E50" s="9">
        <f si="0" t="shared"/>
        <v>8556.7825882831439</v>
      </c>
      <c r="G50">
        <v>39</v>
      </c>
      <c r="H50" s="16" t="n">
        <v>31174.0</v>
      </c>
      <c r="I50" s="16" t="n">
        <v>5674.0</v>
      </c>
      <c r="J50" s="16" t="n">
        <v>1610.0</v>
      </c>
      <c r="K50">
        <f si="1" t="shared"/>
        <v>6969</v>
      </c>
      <c r="W50" s="9"/>
    </row>
    <row r="51" spans="1:23" x14ac:dyDescent="0.25">
      <c r="A51">
        <v>40</v>
      </c>
      <c r="B51" s="9" t="n">
        <v>20251.7049</v>
      </c>
      <c r="C51" s="9" t="n">
        <v>2071.9406</v>
      </c>
      <c r="D51" s="9" t="n">
        <v>1036.7034999999998</v>
      </c>
      <c r="E51" s="9">
        <f si="0" t="shared"/>
        <v>5532.1246960097724</v>
      </c>
      <c r="G51">
        <v>40</v>
      </c>
      <c r="H51" s="16" t="n">
        <v>30043.0</v>
      </c>
      <c r="I51" s="16" t="n">
        <v>6310.0</v>
      </c>
      <c r="J51" s="16" t="n">
        <v>1461.0</v>
      </c>
      <c r="K51">
        <f si="1" t="shared"/>
        <v>6641</v>
      </c>
      <c r="W51" s="9"/>
    </row>
    <row r="52" spans="1:23" x14ac:dyDescent="0.25">
      <c r="A52">
        <v>41</v>
      </c>
      <c r="B52" s="9" t="n">
        <v>12186.5877</v>
      </c>
      <c r="C52" s="9" t="n">
        <v>431.8214</v>
      </c>
      <c r="D52" s="9" t="n">
        <v>702.4703</v>
      </c>
      <c r="E52" s="9">
        <f si="0" t="shared"/>
        <v>4791.0462470993134</v>
      </c>
      <c r="G52">
        <v>41</v>
      </c>
      <c r="H52" s="16" t="n">
        <v>31937.0</v>
      </c>
      <c r="I52" s="16" t="n">
        <v>6058.0</v>
      </c>
      <c r="J52" s="16" t="n">
        <v>1380.0</v>
      </c>
      <c r="K52">
        <f si="1" t="shared"/>
        <v>6605</v>
      </c>
      <c r="W52" s="9"/>
    </row>
    <row r="53" spans="1:23" x14ac:dyDescent="0.25">
      <c r="A53">
        <v>42</v>
      </c>
      <c r="B53" s="9" t="n">
        <v>9138.985</v>
      </c>
      <c r="C53" s="9" t="n">
        <v>3086.6233</v>
      </c>
      <c r="D53" s="9" t="n">
        <v>77.7064</v>
      </c>
      <c r="E53" s="9">
        <f si="0" t="shared"/>
        <v>4113.7883736871599</v>
      </c>
      <c r="G53">
        <v>42</v>
      </c>
      <c r="H53" s="16" t="n">
        <v>24277.0</v>
      </c>
      <c r="I53" s="16" t="n">
        <v>4381.0</v>
      </c>
      <c r="J53" s="16" t="n">
        <v>1176.0</v>
      </c>
      <c r="K53">
        <f si="1" t="shared"/>
        <v>6210</v>
      </c>
      <c r="W53" s="9"/>
    </row>
    <row r="54" spans="1:23" x14ac:dyDescent="0.25">
      <c r="A54">
        <v>43</v>
      </c>
      <c r="B54" s="9" t="n">
        <v>11241.748</v>
      </c>
      <c r="C54" s="9" t="n">
        <v>1261.8074</v>
      </c>
      <c r="D54" s="9" t="n">
        <v>548.2473</v>
      </c>
      <c r="E54" s="9">
        <f si="0" t="shared"/>
        <v>4547.3088561954273</v>
      </c>
      <c r="G54">
        <v>43</v>
      </c>
      <c r="H54" s="16" t="n">
        <v>28217.0</v>
      </c>
      <c r="I54" s="16" t="n">
        <v>4856.0</v>
      </c>
      <c r="J54" s="16" t="n">
        <v>1020.0</v>
      </c>
      <c r="K54">
        <f si="1" t="shared"/>
        <v>5998</v>
      </c>
      <c r="W54" s="9"/>
    </row>
    <row r="55" spans="1:23" x14ac:dyDescent="0.25">
      <c r="A55">
        <v>44</v>
      </c>
      <c r="B55" s="9" t="n">
        <v>11809.9165</v>
      </c>
      <c r="C55" s="9" t="n">
        <v>1093.8107</v>
      </c>
      <c r="D55" s="9" t="n">
        <v>424.6245</v>
      </c>
      <c r="E55" s="9">
        <f si="0" t="shared"/>
        <v>3498.9124714277614</v>
      </c>
      <c r="G55">
        <v>44</v>
      </c>
      <c r="H55" s="16" t="n">
        <v>23318.0</v>
      </c>
      <c r="I55" s="16" t="n">
        <v>3238.0</v>
      </c>
      <c r="J55" s="16" t="n">
        <v>798.0</v>
      </c>
      <c r="K55">
        <f si="1" t="shared"/>
        <v>5670</v>
      </c>
      <c r="W55" s="9"/>
    </row>
    <row r="56" spans="1:23" x14ac:dyDescent="0.25">
      <c r="A56">
        <v>45</v>
      </c>
      <c r="B56" s="9" t="n">
        <v>15846.2641</v>
      </c>
      <c r="C56" s="9" t="n">
        <v>1553.7956</v>
      </c>
      <c r="D56" s="9" t="n">
        <v>164.9238</v>
      </c>
      <c r="E56" s="9">
        <f si="0" t="shared"/>
        <v>5765.7749086670256</v>
      </c>
      <c r="G56">
        <v>45</v>
      </c>
      <c r="H56" s="16" t="n">
        <v>16911.0</v>
      </c>
      <c r="I56" s="16" t="n">
        <v>2521.0</v>
      </c>
      <c r="J56" s="16" t="n">
        <v>599.0</v>
      </c>
      <c r="K56">
        <f si="1" t="shared"/>
        <v>5185</v>
      </c>
      <c r="W56" s="9"/>
    </row>
    <row r="57" spans="1:23" x14ac:dyDescent="0.25">
      <c r="A57">
        <v>46</v>
      </c>
      <c r="B57" s="9" t="n">
        <v>23114.3147</v>
      </c>
      <c r="C57" s="9" t="n">
        <v>1985.6968</v>
      </c>
      <c r="D57" s="9" t="n">
        <v>42.3775</v>
      </c>
      <c r="E57" s="9">
        <f si="0" t="shared"/>
        <v>3377.0135202736292</v>
      </c>
      <c r="G57">
        <v>46</v>
      </c>
      <c r="H57" s="16" t="n">
        <v>13639.0</v>
      </c>
      <c r="I57" s="16" t="n">
        <v>2006.0</v>
      </c>
      <c r="J57" s="16" t="n">
        <v>458.0</v>
      </c>
      <c r="K57">
        <f si="1" t="shared"/>
        <v>4972</v>
      </c>
      <c r="W57" s="9"/>
    </row>
    <row r="58" spans="1:23" x14ac:dyDescent="0.25">
      <c r="A58">
        <v>47</v>
      </c>
      <c r="B58" s="9" t="n">
        <v>16327.673</v>
      </c>
      <c r="C58" s="9" t="n">
        <v>1378.7142</v>
      </c>
      <c r="D58" s="9" t="n">
        <v>228.99020000000002</v>
      </c>
      <c r="E58" s="9">
        <f si="0" t="shared"/>
        <v>3936.4490862318244</v>
      </c>
      <c r="G58">
        <v>47</v>
      </c>
      <c r="H58" s="16" t="n">
        <v>20290.0</v>
      </c>
      <c r="I58" s="16" t="n">
        <v>2734.0</v>
      </c>
      <c r="J58" s="16" t="n">
        <v>621.0</v>
      </c>
      <c r="K58">
        <f si="1" t="shared"/>
        <v>4652</v>
      </c>
      <c r="W58" s="9"/>
    </row>
    <row r="59" spans="1:23" x14ac:dyDescent="0.25">
      <c r="A59">
        <v>48</v>
      </c>
      <c r="B59" s="9" t="n">
        <v>12033.1275</v>
      </c>
      <c r="C59" s="9" t="n">
        <v>390.86670000000004</v>
      </c>
      <c r="D59" s="9" t="n">
        <v>109.3501</v>
      </c>
      <c r="E59" s="9">
        <f si="0" t="shared"/>
        <v>3583.9251506478854</v>
      </c>
      <c r="G59">
        <v>48</v>
      </c>
      <c r="H59" s="16" t="n">
        <v>16687.0</v>
      </c>
      <c r="I59" s="16" t="n">
        <v>2526.0</v>
      </c>
      <c r="J59" s="16" t="n">
        <v>615.0</v>
      </c>
      <c r="K59">
        <f si="1" t="shared"/>
        <v>4293</v>
      </c>
      <c r="W59" s="9"/>
    </row>
    <row r="60" spans="1:23" x14ac:dyDescent="0.25">
      <c r="A60">
        <v>49</v>
      </c>
      <c r="B60" s="9" t="n">
        <v>10794.5716</v>
      </c>
      <c r="C60" s="9" t="n">
        <v>1248.4270000000001</v>
      </c>
      <c r="D60" s="9" t="n">
        <v>1066.456</v>
      </c>
      <c r="E60" s="9">
        <f si="0" t="shared"/>
        <v>2703.5178420776242</v>
      </c>
      <c r="G60">
        <v>49</v>
      </c>
      <c r="H60" s="16" t="n">
        <v>12822.0</v>
      </c>
      <c r="I60" s="16" t="n">
        <v>1985.0</v>
      </c>
      <c r="J60" s="16" t="n">
        <v>502.0</v>
      </c>
      <c r="K60">
        <f si="1" t="shared"/>
        <v>3909</v>
      </c>
      <c r="W60" s="9"/>
    </row>
    <row r="61" spans="1:23" x14ac:dyDescent="0.25">
      <c r="A61">
        <v>50</v>
      </c>
      <c r="B61" s="9" t="n">
        <v>11572.0192</v>
      </c>
      <c r="C61" s="9" t="n">
        <v>882.4734000000001</v>
      </c>
      <c r="D61" s="9" t="n">
        <v>0.0</v>
      </c>
      <c r="E61" s="9">
        <f si="0" t="shared"/>
        <v>1567.9259460076521</v>
      </c>
      <c r="G61">
        <v>50</v>
      </c>
      <c r="H61" s="16" t="n">
        <v>15569.0</v>
      </c>
      <c r="I61" s="16" t="n">
        <v>2065.0</v>
      </c>
      <c r="J61" s="16" t="n">
        <v>479.0</v>
      </c>
      <c r="K61">
        <f si="1" t="shared"/>
        <v>3614</v>
      </c>
      <c r="W61" s="9"/>
    </row>
    <row r="62" spans="1:23" x14ac:dyDescent="0.25">
      <c r="A62">
        <v>51</v>
      </c>
      <c r="B62" s="9" t="n">
        <v>13200.2106</v>
      </c>
      <c r="C62" s="9" t="n">
        <v>4419.371300000001</v>
      </c>
      <c r="D62" s="9" t="n">
        <v>0.0</v>
      </c>
      <c r="E62" s="9">
        <f si="0" t="shared"/>
        <v>2645.9864081502574</v>
      </c>
      <c r="G62">
        <v>51</v>
      </c>
      <c r="H62" s="16" t="n">
        <v>13485.0</v>
      </c>
      <c r="I62" s="16" t="n">
        <v>1817.0</v>
      </c>
      <c r="J62" s="16" t="n">
        <v>438.0</v>
      </c>
      <c r="K62">
        <f si="1" t="shared"/>
        <v>3314</v>
      </c>
      <c r="W62" s="9"/>
    </row>
    <row r="63" spans="1:23" x14ac:dyDescent="0.25">
      <c r="A63">
        <v>52</v>
      </c>
      <c r="B63" s="9" t="n">
        <v>7167.4581</v>
      </c>
      <c r="C63" s="9" t="n">
        <v>0.0</v>
      </c>
      <c r="D63" s="9" t="n">
        <v>238.0368</v>
      </c>
      <c r="E63" s="9">
        <f si="0" t="shared"/>
        <v>756.28485044400873</v>
      </c>
      <c r="G63">
        <v>52</v>
      </c>
      <c r="H63" s="16" t="n">
        <v>16583.0</v>
      </c>
      <c r="I63" s="16" t="n">
        <v>2395.0</v>
      </c>
      <c r="J63" s="16" t="n">
        <v>753.0</v>
      </c>
      <c r="K63">
        <f si="1" t="shared"/>
        <v>2979</v>
      </c>
      <c r="W63" s="9"/>
    </row>
    <row r="64" spans="1:23" x14ac:dyDescent="0.25">
      <c r="A64">
        <v>53</v>
      </c>
      <c r="B64" s="9" t="n">
        <v>9576.416799999999</v>
      </c>
      <c r="C64" s="9" t="n">
        <v>655.4836</v>
      </c>
      <c r="D64" s="9" t="n">
        <v>0.0</v>
      </c>
      <c r="E64" s="9">
        <f si="0" t="shared"/>
        <v>1312.2354398045284</v>
      </c>
      <c r="G64">
        <v>53</v>
      </c>
      <c r="H64" s="16" t="n">
        <v>15169.0</v>
      </c>
      <c r="I64" s="16" t="n">
        <v>2205.0</v>
      </c>
      <c r="J64" s="16" t="n">
        <v>452.0</v>
      </c>
      <c r="K64">
        <f si="1" t="shared"/>
        <v>2805</v>
      </c>
      <c r="W64" s="9"/>
    </row>
    <row r="65" spans="1:23" x14ac:dyDescent="0.25">
      <c r="A65">
        <v>54</v>
      </c>
      <c r="B65" s="9" t="n">
        <v>7403.093</v>
      </c>
      <c r="C65" s="9" t="n">
        <v>1178.5498</v>
      </c>
      <c r="D65" s="9" t="n">
        <v>0.0</v>
      </c>
      <c r="E65" s="9">
        <f si="0" t="shared"/>
        <v>1824.1653157435253</v>
      </c>
      <c r="G65">
        <v>54</v>
      </c>
      <c r="H65" s="16" t="n">
        <v>11463.0</v>
      </c>
      <c r="I65" s="16" t="n">
        <v>1536.0</v>
      </c>
      <c r="J65" s="16" t="n">
        <v>321.0</v>
      </c>
      <c r="K65">
        <f si="1" t="shared"/>
        <v>2549</v>
      </c>
      <c r="W65" s="9"/>
    </row>
    <row r="66" spans="1:23" x14ac:dyDescent="0.25">
      <c r="A66">
        <v>55</v>
      </c>
      <c r="B66" s="9" t="n">
        <v>8830.1214</v>
      </c>
      <c r="C66" s="9" t="n">
        <v>1108.2941</v>
      </c>
      <c r="D66" s="9" t="n">
        <v>0.0</v>
      </c>
      <c r="E66" s="9">
        <f si="0" t="shared"/>
        <v>1930.5199281283908</v>
      </c>
      <c r="G66">
        <v>55</v>
      </c>
      <c r="H66" s="16" t="n">
        <v>9564.0</v>
      </c>
      <c r="I66" s="16" t="n">
        <v>1304.0</v>
      </c>
      <c r="J66" s="16" t="n">
        <v>319.0</v>
      </c>
      <c r="K66">
        <f si="1" t="shared"/>
        <v>2262</v>
      </c>
      <c r="W66" s="9"/>
    </row>
    <row r="67" spans="1:23" x14ac:dyDescent="0.25">
      <c r="A67">
        <v>56</v>
      </c>
      <c r="B67" s="9" t="n">
        <v>11300.954600000001</v>
      </c>
      <c r="C67" s="9" t="n">
        <v>498.1702</v>
      </c>
      <c r="D67" s="9" t="n">
        <v>0.0</v>
      </c>
      <c r="E67" s="9">
        <f si="0" t="shared"/>
        <v>2343.8939020294611</v>
      </c>
      <c r="G67">
        <v>56</v>
      </c>
      <c r="H67" s="16" t="n">
        <v>13025.0</v>
      </c>
      <c r="I67" s="16" t="n">
        <v>1735.0</v>
      </c>
      <c r="J67" s="16" t="n">
        <v>382.0</v>
      </c>
      <c r="K67">
        <f si="1" t="shared"/>
        <v>2274</v>
      </c>
      <c r="W67" s="9"/>
    </row>
    <row r="68" spans="1:23" x14ac:dyDescent="0.25">
      <c r="A68">
        <v>57</v>
      </c>
      <c r="B68" s="9" t="n">
        <v>9408.2662</v>
      </c>
      <c r="C68" s="9" t="n">
        <v>0.0</v>
      </c>
      <c r="D68" s="9" t="n">
        <v>0.0</v>
      </c>
      <c r="E68" s="9">
        <f si="0" t="shared"/>
        <v>927.72385604626686</v>
      </c>
      <c r="G68">
        <v>57</v>
      </c>
      <c r="H68" s="16" t="n">
        <v>9581.0</v>
      </c>
      <c r="I68" s="16" t="n">
        <v>1244.0</v>
      </c>
      <c r="J68" s="16" t="n">
        <v>236.0</v>
      </c>
      <c r="K68">
        <f si="1" t="shared"/>
        <v>2125</v>
      </c>
      <c r="W68" s="9"/>
    </row>
    <row r="69" spans="1:23" x14ac:dyDescent="0.25">
      <c r="A69">
        <v>58</v>
      </c>
      <c r="B69" s="9" t="n">
        <v>5449.9474</v>
      </c>
      <c r="C69" s="9" t="n">
        <v>327.32399999999996</v>
      </c>
      <c r="D69" s="9" t="n">
        <v>0.0</v>
      </c>
      <c r="E69" s="9">
        <f si="0" t="shared"/>
        <v>2142.2964232317272</v>
      </c>
      <c r="G69">
        <v>58</v>
      </c>
      <c r="H69" s="16" t="n">
        <v>7222.0</v>
      </c>
      <c r="I69" s="16" t="n">
        <v>988.0</v>
      </c>
      <c r="J69" s="16" t="n">
        <v>181.0</v>
      </c>
      <c r="K69">
        <f si="1" t="shared"/>
        <v>1996</v>
      </c>
      <c r="W69" s="9"/>
    </row>
    <row r="70" spans="1:23" x14ac:dyDescent="0.25">
      <c r="A70">
        <v>59</v>
      </c>
      <c r="B70" s="9" t="n">
        <v>5639.4229</v>
      </c>
      <c r="C70" s="9" t="n">
        <v>385.9367</v>
      </c>
      <c r="D70" s="9" t="n">
        <v>0.0</v>
      </c>
      <c r="E70" s="9">
        <f si="0" t="shared"/>
        <v>2445.4964401775778</v>
      </c>
      <c r="G70">
        <v>59</v>
      </c>
      <c r="H70" s="16" t="n">
        <v>8312.0</v>
      </c>
      <c r="I70" s="16" t="n">
        <v>1088.0</v>
      </c>
      <c r="J70" s="16" t="n">
        <v>206.0</v>
      </c>
      <c r="K70">
        <f si="1" t="shared"/>
        <v>1803</v>
      </c>
      <c r="W70" s="9"/>
    </row>
    <row r="71" spans="1:23" x14ac:dyDescent="0.25">
      <c r="A71">
        <v>60</v>
      </c>
      <c r="B71" s="9" t="n">
        <v>4328.2811</v>
      </c>
      <c r="C71" s="9" t="n">
        <v>1238.203</v>
      </c>
      <c r="D71" s="9" t="n">
        <v>0.0</v>
      </c>
      <c r="E71" s="9">
        <f si="0" t="shared"/>
        <v>854.66761156566406</v>
      </c>
      <c r="G71">
        <v>60</v>
      </c>
      <c r="H71" s="16" t="n">
        <v>9283.0</v>
      </c>
      <c r="I71" s="16" t="n">
        <v>1079.0</v>
      </c>
      <c r="J71" s="16" t="n">
        <v>255.0</v>
      </c>
      <c r="K71">
        <f si="1" t="shared"/>
        <v>1662</v>
      </c>
      <c r="W71" s="9"/>
    </row>
    <row r="72" spans="1:23" x14ac:dyDescent="0.25">
      <c r="A72">
        <v>61</v>
      </c>
      <c r="B72" s="9" t="n">
        <v>8626.6399</v>
      </c>
      <c r="C72" s="9" t="n">
        <v>142.4146</v>
      </c>
      <c r="D72" s="9" t="n">
        <v>0.0</v>
      </c>
      <c r="E72" s="9">
        <f si="0" t="shared"/>
        <v>1040.1903438150639</v>
      </c>
      <c r="G72">
        <v>61</v>
      </c>
      <c r="H72" s="16" t="n">
        <v>6560.0</v>
      </c>
      <c r="I72" s="16" t="n">
        <v>966.0</v>
      </c>
      <c r="J72" s="16" t="n">
        <v>187.0</v>
      </c>
      <c r="K72">
        <f si="1" t="shared"/>
        <v>1425</v>
      </c>
      <c r="W72" s="9"/>
    </row>
    <row r="73" spans="1:23" x14ac:dyDescent="0.25">
      <c r="A73">
        <v>62</v>
      </c>
      <c r="B73" s="9" t="n">
        <v>5921.8811</v>
      </c>
      <c r="C73" s="9" t="n">
        <v>0.0</v>
      </c>
      <c r="D73" s="9" t="n">
        <v>171.7215</v>
      </c>
      <c r="E73" s="9">
        <f si="0" t="shared"/>
        <v>548.01874330409009</v>
      </c>
      <c r="G73">
        <v>62</v>
      </c>
      <c r="H73" s="16" t="n">
        <v>6641.0</v>
      </c>
      <c r="I73" s="16" t="n">
        <v>835.0</v>
      </c>
      <c r="J73" s="16" t="n">
        <v>155.0</v>
      </c>
      <c r="K73">
        <f si="1" t="shared"/>
        <v>1371</v>
      </c>
      <c r="W73" s="9"/>
    </row>
    <row r="74" spans="1:23" x14ac:dyDescent="0.25">
      <c r="A74">
        <v>63</v>
      </c>
      <c r="B74" s="9" t="n">
        <v>6507.9362</v>
      </c>
      <c r="C74" s="9" t="n">
        <v>543.9328</v>
      </c>
      <c r="D74" s="9" t="n">
        <v>258.1781</v>
      </c>
      <c r="E74" s="9">
        <f si="0" t="shared"/>
        <v>842.7730588935018</v>
      </c>
      <c r="G74">
        <v>63</v>
      </c>
      <c r="H74" s="16" t="n">
        <v>8099.0</v>
      </c>
      <c r="I74" s="16" t="n">
        <v>895.0</v>
      </c>
      <c r="J74" s="16" t="n">
        <v>202.0</v>
      </c>
      <c r="K74">
        <f si="1" t="shared"/>
        <v>1179</v>
      </c>
      <c r="W74" s="9"/>
    </row>
    <row r="75" spans="1:23" x14ac:dyDescent="0.25">
      <c r="A75">
        <v>64</v>
      </c>
      <c r="B75" s="9" t="n">
        <v>6485.1159</v>
      </c>
      <c r="C75" s="9" t="n">
        <v>56.9735</v>
      </c>
      <c r="D75" s="9" t="n">
        <v>0.0</v>
      </c>
      <c r="E75" s="9">
        <f si="0" t="shared"/>
        <v>268.91221840699154</v>
      </c>
      <c r="G75">
        <v>64</v>
      </c>
      <c r="H75" s="16" t="n">
        <v>6216.0</v>
      </c>
      <c r="I75" s="16" t="n">
        <v>753.0</v>
      </c>
      <c r="J75" s="16" t="n">
        <v>176.0</v>
      </c>
      <c r="K75">
        <f si="1" t="shared"/>
        <v>1054</v>
      </c>
      <c r="W75" s="9"/>
    </row>
    <row r="76" spans="1:23" x14ac:dyDescent="0.25">
      <c r="A76">
        <v>65</v>
      </c>
      <c r="B76" s="9" t="n">
        <v>3815.2481</v>
      </c>
      <c r="C76" s="9" t="n">
        <v>182.4162</v>
      </c>
      <c r="D76" s="9" t="n">
        <v>0.0</v>
      </c>
      <c r="E76" s="9">
        <f ref="E76:E101" si="2" t="shared">SUM(B76:D76)</f>
        <v>1509.8745445421812</v>
      </c>
      <c r="G76">
        <v>65</v>
      </c>
      <c r="H76" s="16" t="n">
        <v>9583.0</v>
      </c>
      <c r="I76" s="16" t="n">
        <v>1621.0</v>
      </c>
      <c r="J76" s="16" t="n">
        <v>235.0</v>
      </c>
      <c r="K76">
        <f ref="K76:K101" si="3" t="shared">SUM(H76:J76)</f>
        <v>822</v>
      </c>
      <c r="W76" s="9"/>
    </row>
    <row r="77" spans="1:23" x14ac:dyDescent="0.25">
      <c r="A77">
        <v>66</v>
      </c>
      <c r="B77" s="9" t="n">
        <v>3105.8949000000002</v>
      </c>
      <c r="C77" s="9" t="n">
        <v>229.6603</v>
      </c>
      <c r="D77" s="9" t="n">
        <v>233.0831</v>
      </c>
      <c r="E77" s="9">
        <f si="2" t="shared"/>
        <v>102.32341836258951</v>
      </c>
      <c r="G77">
        <v>66</v>
      </c>
      <c r="H77" s="16" t="n">
        <v>8185.0</v>
      </c>
      <c r="I77" s="16" t="n">
        <v>987.0</v>
      </c>
      <c r="J77" s="16" t="n">
        <v>219.0</v>
      </c>
      <c r="K77">
        <f si="3" t="shared"/>
        <v>696</v>
      </c>
      <c r="W77" s="9"/>
    </row>
    <row r="78" spans="1:23" x14ac:dyDescent="0.25">
      <c r="A78">
        <v>67</v>
      </c>
      <c r="B78" s="9" t="n">
        <v>1672.7043</v>
      </c>
      <c r="C78" s="9" t="n">
        <v>0.0</v>
      </c>
      <c r="D78" s="9" t="n">
        <v>0.0</v>
      </c>
      <c r="E78" s="9">
        <f si="2" t="shared"/>
        <v>471.35618337383107</v>
      </c>
      <c r="G78">
        <v>67</v>
      </c>
      <c r="H78" s="16" t="n">
        <v>4943.0</v>
      </c>
      <c r="I78" s="16" t="n">
        <v>548.0</v>
      </c>
      <c r="J78" s="16" t="n">
        <v>100.0</v>
      </c>
      <c r="K78">
        <f si="3" t="shared"/>
        <v>598</v>
      </c>
      <c r="W78" s="9"/>
    </row>
    <row r="79" spans="1:23" x14ac:dyDescent="0.25">
      <c r="A79">
        <v>68</v>
      </c>
      <c r="B79" s="9" t="n">
        <v>2065.2131</v>
      </c>
      <c r="C79" s="9" t="n">
        <v>449.6641</v>
      </c>
      <c r="D79" s="9" t="n">
        <v>123.2167</v>
      </c>
      <c r="E79" s="9">
        <f si="2" t="shared"/>
        <v>463.84000942268574</v>
      </c>
      <c r="G79">
        <v>68</v>
      </c>
      <c r="H79" s="16" t="n">
        <v>6683.0</v>
      </c>
      <c r="I79" s="16" t="n">
        <v>713.0</v>
      </c>
      <c r="J79" s="16" t="n">
        <v>109.0</v>
      </c>
      <c r="K79">
        <f si="3" t="shared"/>
        <v>530</v>
      </c>
      <c r="W79" s="9"/>
    </row>
    <row r="80" spans="1:23" x14ac:dyDescent="0.25">
      <c r="A80">
        <v>69</v>
      </c>
      <c r="B80" s="9" t="n">
        <v>3752.2803</v>
      </c>
      <c r="C80" s="9" t="n">
        <v>105.4442</v>
      </c>
      <c r="D80" s="9" t="n">
        <v>165.1856</v>
      </c>
      <c r="E80" s="9">
        <f si="2" t="shared"/>
        <v>1046.2207175497442</v>
      </c>
      <c r="G80">
        <v>69</v>
      </c>
      <c r="H80" s="16" t="n">
        <v>5904.0</v>
      </c>
      <c r="I80" s="16" t="n">
        <v>609.0</v>
      </c>
      <c r="J80" s="16" t="n">
        <v>154.0</v>
      </c>
      <c r="K80">
        <f si="3" t="shared"/>
        <v>450</v>
      </c>
      <c r="W80" s="9"/>
    </row>
    <row r="81" spans="1:23" x14ac:dyDescent="0.25">
      <c r="A81">
        <v>70</v>
      </c>
      <c r="B81" s="9" t="n">
        <v>1923.5444</v>
      </c>
      <c r="C81" s="9" t="n">
        <v>0.0</v>
      </c>
      <c r="D81" s="9" t="n">
        <v>0.0</v>
      </c>
      <c r="E81" s="9">
        <f si="2" t="shared"/>
        <v>813.399223155497</v>
      </c>
      <c r="G81">
        <v>70</v>
      </c>
      <c r="H81" s="16" t="n">
        <v>3937.0</v>
      </c>
      <c r="I81" s="16" t="n">
        <v>461.0</v>
      </c>
      <c r="J81" s="16" t="n">
        <v>77.0</v>
      </c>
      <c r="K81">
        <f si="3" t="shared"/>
        <v>404</v>
      </c>
      <c r="W81" s="9"/>
    </row>
    <row r="82" spans="1:23" x14ac:dyDescent="0.25">
      <c r="A82">
        <v>71</v>
      </c>
      <c r="B82" s="9" t="n">
        <v>3589.9627</v>
      </c>
      <c r="C82" s="9" t="n">
        <v>0.0</v>
      </c>
      <c r="D82" s="9" t="n">
        <v>0.0</v>
      </c>
      <c r="E82" s="9">
        <f si="2" t="shared"/>
        <v>444.23868331097941</v>
      </c>
      <c r="G82">
        <v>71</v>
      </c>
      <c r="H82" s="16" t="n">
        <v>3782.0</v>
      </c>
      <c r="I82" s="16" t="n">
        <v>432.0</v>
      </c>
      <c r="J82" s="16" t="n">
        <v>68.0</v>
      </c>
      <c r="K82">
        <f si="3" t="shared"/>
        <v>360</v>
      </c>
      <c r="W82" s="9"/>
    </row>
    <row r="83" spans="1:23" x14ac:dyDescent="0.25">
      <c r="A83">
        <v>72</v>
      </c>
      <c r="B83" s="9" t="n">
        <v>1265.3325</v>
      </c>
      <c r="C83" s="9" t="n">
        <v>426.0483</v>
      </c>
      <c r="D83" s="9" t="n">
        <v>149.5759</v>
      </c>
      <c r="E83" s="9">
        <f si="2" t="shared"/>
        <v>0</v>
      </c>
      <c r="G83">
        <v>72</v>
      </c>
      <c r="H83" s="16" t="n">
        <v>3747.0</v>
      </c>
      <c r="I83" s="16" t="n">
        <v>409.0</v>
      </c>
      <c r="J83" s="16" t="n">
        <v>55.0</v>
      </c>
      <c r="K83">
        <f si="3" t="shared"/>
        <v>284</v>
      </c>
      <c r="W83" s="9"/>
    </row>
    <row r="84" spans="1:23" x14ac:dyDescent="0.25">
      <c r="A84">
        <v>73</v>
      </c>
      <c r="B84" s="9" t="n">
        <v>2016.6373</v>
      </c>
      <c r="C84" s="9" t="n">
        <v>0.0</v>
      </c>
      <c r="D84" s="9" t="n">
        <v>321.4955</v>
      </c>
      <c r="E84" s="9">
        <f si="2" t="shared"/>
        <v>390.88234144234679</v>
      </c>
      <c r="G84">
        <v>73</v>
      </c>
      <c r="H84" s="16" t="n">
        <v>4313.0</v>
      </c>
      <c r="I84" s="16" t="n">
        <v>505.0</v>
      </c>
      <c r="J84" s="16" t="n">
        <v>72.0</v>
      </c>
      <c r="K84">
        <f si="3" t="shared"/>
        <v>236</v>
      </c>
      <c r="W84" s="9"/>
    </row>
    <row r="85" spans="1:23" x14ac:dyDescent="0.25">
      <c r="A85">
        <v>74</v>
      </c>
      <c r="B85" s="9" t="n">
        <v>3721.1529</v>
      </c>
      <c r="C85" s="9" t="n">
        <v>0.0</v>
      </c>
      <c r="D85" s="9" t="n">
        <v>0.0</v>
      </c>
      <c r="E85" s="9">
        <f si="2" t="shared"/>
        <v>342.402299725126</v>
      </c>
      <c r="G85">
        <v>74</v>
      </c>
      <c r="H85" s="16" t="n">
        <v>3269.0</v>
      </c>
      <c r="I85" s="16" t="n">
        <v>375.0</v>
      </c>
      <c r="J85" s="16" t="n">
        <v>63.0</v>
      </c>
      <c r="K85">
        <f si="3" t="shared"/>
        <v>219</v>
      </c>
      <c r="W85" s="9"/>
    </row>
    <row r="86" spans="1:23" x14ac:dyDescent="0.25">
      <c r="A86">
        <v>75</v>
      </c>
      <c r="B86" s="9" t="n">
        <v>2737.7642</v>
      </c>
      <c r="C86" s="9" t="n">
        <v>163.7615</v>
      </c>
      <c r="D86" s="9" t="n">
        <v>0.0</v>
      </c>
      <c r="E86" s="9">
        <f si="2" t="shared"/>
        <v>45.083639494010903</v>
      </c>
      <c r="G86">
        <v>75</v>
      </c>
      <c r="H86" s="16" t="n">
        <v>3248.0</v>
      </c>
      <c r="I86" s="16" t="n">
        <v>288.0</v>
      </c>
      <c r="J86" s="16" t="n">
        <v>56.0</v>
      </c>
      <c r="K86">
        <f si="3" t="shared"/>
        <v>215</v>
      </c>
      <c r="W86" s="9"/>
    </row>
    <row r="87" spans="1:23" x14ac:dyDescent="0.25">
      <c r="A87">
        <v>76</v>
      </c>
      <c r="B87" s="9" t="n">
        <v>3337.4385</v>
      </c>
      <c r="C87" s="9" t="n">
        <v>717.7246</v>
      </c>
      <c r="D87" s="9" t="n">
        <v>0.0</v>
      </c>
      <c r="E87" s="9">
        <f si="2" t="shared"/>
        <v>194.40680958972999</v>
      </c>
      <c r="G87">
        <v>76</v>
      </c>
      <c r="H87" s="16" t="n">
        <v>2606.0</v>
      </c>
      <c r="I87" s="16" t="n">
        <v>308.0</v>
      </c>
      <c r="J87" s="16" t="n">
        <v>66.0</v>
      </c>
      <c r="K87">
        <f si="3" t="shared"/>
        <v>163</v>
      </c>
      <c r="W87" s="9"/>
    </row>
    <row r="88" spans="1:23" x14ac:dyDescent="0.25">
      <c r="A88">
        <v>77</v>
      </c>
      <c r="B88" s="9" t="n">
        <v>3319.7505</v>
      </c>
      <c r="C88" s="9" t="n">
        <v>0.0</v>
      </c>
      <c r="D88" s="9" t="n">
        <v>218.6278</v>
      </c>
      <c r="E88" s="9">
        <f si="2" t="shared"/>
        <v>738.68957647838101</v>
      </c>
      <c r="G88">
        <v>77</v>
      </c>
      <c r="H88" s="16" t="n">
        <v>1558.0</v>
      </c>
      <c r="I88" s="16" t="n">
        <v>201.0</v>
      </c>
      <c r="J88" s="16" t="n">
        <v>33.0</v>
      </c>
      <c r="K88">
        <f si="3" t="shared"/>
        <v>144</v>
      </c>
      <c r="W88" s="9"/>
    </row>
    <row r="89" spans="1:23" x14ac:dyDescent="0.25">
      <c r="A89">
        <v>78</v>
      </c>
      <c r="B89" s="9" t="n">
        <v>739.0624</v>
      </c>
      <c r="C89" s="9" t="n">
        <v>585.6282</v>
      </c>
      <c r="D89" s="9" t="n">
        <v>266.2527</v>
      </c>
      <c r="E89" s="9">
        <f si="2" t="shared"/>
        <v>282.0351524424255</v>
      </c>
      <c r="G89">
        <v>78</v>
      </c>
      <c r="H89" s="16" t="n">
        <v>2098.0</v>
      </c>
      <c r="I89" s="16" t="n">
        <v>309.0</v>
      </c>
      <c r="J89" s="16" t="n">
        <v>47.0</v>
      </c>
      <c r="K89">
        <f si="3" t="shared"/>
        <v>147</v>
      </c>
      <c r="W89" s="9"/>
    </row>
    <row r="90" spans="1:23" x14ac:dyDescent="0.25">
      <c r="A90">
        <v>79</v>
      </c>
      <c r="B90" s="9" t="n">
        <v>1971.6870999999999</v>
      </c>
      <c r="C90" s="9" t="n">
        <v>0.0</v>
      </c>
      <c r="D90" s="9" t="n">
        <v>0.0</v>
      </c>
      <c r="E90" s="9">
        <f si="2" t="shared"/>
        <v>312.579832725274</v>
      </c>
      <c r="G90">
        <v>79</v>
      </c>
      <c r="H90" s="16" t="n">
        <v>2199.0</v>
      </c>
      <c r="I90" s="16" t="n">
        <v>221.0</v>
      </c>
      <c r="J90" s="16" t="n">
        <v>42.0</v>
      </c>
      <c r="K90">
        <f si="3" t="shared"/>
        <v>110</v>
      </c>
      <c r="W90" s="9"/>
    </row>
    <row r="91" spans="1:23" x14ac:dyDescent="0.25">
      <c r="A91">
        <v>80</v>
      </c>
      <c r="B91" s="9" t="n">
        <v>636.0962999999999</v>
      </c>
      <c r="C91" s="9" t="n">
        <v>191.2394</v>
      </c>
      <c r="D91" s="9" t="n">
        <v>258.1531</v>
      </c>
      <c r="E91" s="9">
        <f si="2" t="shared"/>
        <v>256.352368238167</v>
      </c>
      <c r="G91">
        <v>80</v>
      </c>
      <c r="H91" s="16" t="n">
        <v>2169.0</v>
      </c>
      <c r="I91" s="16" t="n">
        <v>267.0</v>
      </c>
      <c r="J91" s="16" t="n">
        <v>46.0</v>
      </c>
      <c r="K91">
        <f si="3" t="shared"/>
        <v>122</v>
      </c>
      <c r="W91" s="9"/>
    </row>
    <row r="92" spans="1:23" x14ac:dyDescent="0.25">
      <c r="A92">
        <v>81</v>
      </c>
      <c r="B92" s="9" t="n">
        <v>5809.1764</v>
      </c>
      <c r="C92" s="9" t="n">
        <v>0.0</v>
      </c>
      <c r="D92" s="9" t="n">
        <v>382.4193</v>
      </c>
      <c r="E92" s="9">
        <f si="2" t="shared"/>
        <v>114.340931068469</v>
      </c>
      <c r="G92">
        <v>81</v>
      </c>
      <c r="H92" s="16" t="n">
        <v>2235.0</v>
      </c>
      <c r="I92" s="16" t="n">
        <v>316.0</v>
      </c>
      <c r="J92" s="16" t="n">
        <v>46.0</v>
      </c>
      <c r="K92">
        <f si="3" t="shared"/>
        <v>83</v>
      </c>
      <c r="W92" s="9"/>
    </row>
    <row r="93" spans="1:23" x14ac:dyDescent="0.25">
      <c r="A93">
        <v>82</v>
      </c>
      <c r="B93" s="9" t="n">
        <v>666.4094</v>
      </c>
      <c r="C93" s="9" t="n">
        <v>511.8021</v>
      </c>
      <c r="D93" s="9" t="n">
        <v>0.0</v>
      </c>
      <c r="E93" s="9">
        <f si="2" t="shared"/>
        <v>83.802714426319696</v>
      </c>
      <c r="G93">
        <v>82</v>
      </c>
      <c r="H93" s="16" t="n">
        <v>1582.0</v>
      </c>
      <c r="I93" s="16" t="n">
        <v>178.0</v>
      </c>
      <c r="J93" s="16" t="n">
        <v>32.0</v>
      </c>
      <c r="K93">
        <f si="3" t="shared"/>
        <v>68</v>
      </c>
      <c r="W93" s="9"/>
    </row>
    <row r="94" spans="1:23" x14ac:dyDescent="0.25">
      <c r="A94">
        <v>83</v>
      </c>
      <c r="B94" s="9" t="n">
        <v>693.5253</v>
      </c>
      <c r="C94" s="9" t="n">
        <v>0.0</v>
      </c>
      <c r="D94" s="9" t="n">
        <v>0.0</v>
      </c>
      <c r="E94" s="9">
        <f si="2" t="shared"/>
        <v>0</v>
      </c>
      <c r="G94">
        <v>83</v>
      </c>
      <c r="H94" s="16" t="n">
        <v>1361.0</v>
      </c>
      <c r="I94" s="16" t="n">
        <v>175.0</v>
      </c>
      <c r="J94" t="n">
        <v>27.0</v>
      </c>
      <c r="K94">
        <f si="3" t="shared"/>
        <v>52</v>
      </c>
      <c r="W94" s="9"/>
    </row>
    <row ht="15.75" r="95" spans="1:23" thickBot="1" x14ac:dyDescent="0.3">
      <c r="A95">
        <v>84</v>
      </c>
      <c r="B95" s="9" t="n">
        <v>1310.9626</v>
      </c>
      <c r="C95" s="9" t="n">
        <v>0.0</v>
      </c>
      <c r="D95" s="9" t="n">
        <v>0.0</v>
      </c>
      <c r="E95" s="9">
        <f si="2" t="shared"/>
        <v>0</v>
      </c>
      <c r="G95">
        <v>84</v>
      </c>
      <c r="H95" s="16" t="n">
        <v>1242.0</v>
      </c>
      <c r="I95" s="16" t="n">
        <v>181.0</v>
      </c>
      <c r="J95" s="16" t="n">
        <v>29.0</v>
      </c>
      <c r="K95">
        <f si="3" t="shared"/>
        <v>51</v>
      </c>
      <c r="W95" s="10"/>
    </row>
    <row r="96" spans="1:23" x14ac:dyDescent="0.25">
      <c r="A96">
        <v>85</v>
      </c>
      <c r="B96" s="9" t="n">
        <v>2190.5170000000003</v>
      </c>
      <c r="C96" s="9" t="n">
        <v>0.0</v>
      </c>
      <c r="D96" s="9" t="n">
        <v>0.0</v>
      </c>
      <c r="E96" s="9">
        <f si="2" t="shared"/>
        <v>0</v>
      </c>
      <c r="G96">
        <v>85</v>
      </c>
      <c r="H96" s="16" t="n">
        <v>1203.0</v>
      </c>
      <c r="I96" s="16" t="n">
        <v>196.0</v>
      </c>
      <c r="J96" t="n">
        <v>30.0</v>
      </c>
      <c r="K96">
        <f si="3" t="shared"/>
        <v>38</v>
      </c>
    </row>
    <row r="97" spans="1:11" x14ac:dyDescent="0.25">
      <c r="A97">
        <v>86</v>
      </c>
      <c r="B97" s="9" t="n">
        <v>3106.2154</v>
      </c>
      <c r="C97" s="9" t="n">
        <v>0.0</v>
      </c>
      <c r="D97" s="9" t="n">
        <v>0.0</v>
      </c>
      <c r="E97" s="9">
        <f si="2" t="shared"/>
        <v>0</v>
      </c>
      <c r="G97">
        <v>86</v>
      </c>
      <c r="H97" s="16" t="n">
        <v>1422.0</v>
      </c>
      <c r="I97" s="16" t="n">
        <v>241.0</v>
      </c>
      <c r="J97" s="16" t="n">
        <v>26.0</v>
      </c>
      <c r="K97">
        <f si="3" t="shared"/>
        <v>36</v>
      </c>
    </row>
    <row r="98" spans="1:11" x14ac:dyDescent="0.25">
      <c r="A98">
        <v>87</v>
      </c>
      <c r="B98" s="9" t="n">
        <v>5312.841</v>
      </c>
      <c r="C98" s="9" t="n">
        <v>0.0</v>
      </c>
      <c r="D98" s="9" t="n">
        <v>0.0</v>
      </c>
      <c r="E98" s="9">
        <f si="2" t="shared"/>
        <v>0</v>
      </c>
      <c r="G98">
        <v>87</v>
      </c>
      <c r="H98" s="16" t="n">
        <v>1147.0</v>
      </c>
      <c r="I98" s="16" t="n">
        <v>221.0</v>
      </c>
      <c r="J98" s="16" t="n">
        <v>44.0</v>
      </c>
      <c r="K98">
        <f si="3" t="shared"/>
        <v>24</v>
      </c>
    </row>
    <row r="99" spans="1:11" x14ac:dyDescent="0.25">
      <c r="A99">
        <v>88</v>
      </c>
      <c r="B99" s="9" t="n">
        <v>420.32849999999996</v>
      </c>
      <c r="C99" s="9" t="n">
        <v>268.3759</v>
      </c>
      <c r="D99" s="9" t="n">
        <v>0.0</v>
      </c>
      <c r="E99" s="9">
        <f si="2" t="shared"/>
        <v>0</v>
      </c>
      <c r="G99">
        <v>88</v>
      </c>
      <c r="H99" s="16" t="n">
        <v>1587.0</v>
      </c>
      <c r="I99" s="16" t="n">
        <v>277.0</v>
      </c>
      <c r="J99" s="16" t="n">
        <v>73.0</v>
      </c>
      <c r="K99">
        <f si="3" t="shared"/>
        <v>18</v>
      </c>
    </row>
    <row r="100" spans="1:11" x14ac:dyDescent="0.25">
      <c r="A100">
        <v>89</v>
      </c>
      <c r="B100" s="9" t="n">
        <v>25685.7128</v>
      </c>
      <c r="C100" s="9" t="n">
        <v>3056.9181</v>
      </c>
      <c r="D100" s="9" t="n">
        <v>408.944</v>
      </c>
      <c r="E100" s="9">
        <f si="2" t="shared"/>
        <v>155.0653655571393</v>
      </c>
      <c r="G100">
        <v>89</v>
      </c>
      <c r="H100" s="16" t="n">
        <v>40744.0</v>
      </c>
      <c r="I100" s="16" t="n">
        <v>7144.0</v>
      </c>
      <c r="J100" t="n">
        <v>1716.0</v>
      </c>
      <c r="K100">
        <f si="3" t="shared"/>
        <v>118</v>
      </c>
    </row>
    <row ht="15.75" r="101" spans="1:11" thickBot="1" x14ac:dyDescent="0.3">
      <c r="A101" s="1">
        <v>90</v>
      </c>
      <c r="B101" s="10" t="n">
        <v>104700.6578</v>
      </c>
      <c r="C101" s="10" t="n">
        <v>78770.7669</v>
      </c>
      <c r="D101" s="10" t="n">
        <v>9339.8181</v>
      </c>
      <c r="E101" s="10">
        <f si="2" t="shared"/>
        <v>20130.330472795464</v>
      </c>
      <c r="G101" s="1">
        <v>90</v>
      </c>
      <c r="H101" s="1" t="n">
        <v>0.0</v>
      </c>
      <c r="I101" s="1" t="n">
        <v>0.0</v>
      </c>
      <c r="J101" s="1" t="n">
        <v>0.0</v>
      </c>
      <c r="K101" s="1">
        <f si="3" t="shared"/>
        <v>20543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Q22"/>
  <sheetViews>
    <sheetView workbookViewId="0">
      <selection activeCell="R35" sqref="R35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7" max="7" customWidth="true" width="10.85546875" collapsed="true"/>
    <col min="13" max="13" customWidth="true" width="10.85546875" collapsed="true"/>
    <col min="17" max="17" bestFit="true" customWidth="true" width="9.5703125" collapsed="true"/>
  </cols>
  <sheetData>
    <row r="1" spans="1:17" x14ac:dyDescent="0.25">
      <c r="A1" t="s">
        <v>31</v>
      </c>
    </row>
    <row r="2" spans="1:17" x14ac:dyDescent="0.25">
      <c r="A2" t="s">
        <v>235</v>
      </c>
    </row>
    <row r="3" spans="1:17" x14ac:dyDescent="0.25">
      <c r="A3" t="s">
        <v>9</v>
      </c>
    </row>
    <row r="4" spans="1:17" x14ac:dyDescent="0.25">
      <c r="A4" t="s">
        <v>8</v>
      </c>
    </row>
    <row r="5" spans="1:17" x14ac:dyDescent="0.25">
      <c r="A5" t="s">
        <v>10</v>
      </c>
    </row>
    <row r="6" spans="1:17" x14ac:dyDescent="0.25">
      <c r="A6" t="s">
        <v>11</v>
      </c>
    </row>
    <row r="7" spans="1:17" x14ac:dyDescent="0.25">
      <c r="A7" t="s">
        <v>15</v>
      </c>
    </row>
    <row ht="15.75" r="9" spans="1:17" thickBot="1" x14ac:dyDescent="0.3">
      <c r="A9" s="4" t="s">
        <v>230</v>
      </c>
      <c r="B9" s="1"/>
      <c r="C9" s="1"/>
      <c r="D9" s="1"/>
      <c r="E9" s="1"/>
      <c r="G9" s="4" t="s">
        <v>32</v>
      </c>
      <c r="H9" s="1"/>
      <c r="I9" s="1"/>
      <c r="J9" s="1"/>
      <c r="K9" s="1"/>
      <c r="M9" s="4" t="s">
        <v>17</v>
      </c>
      <c r="N9" s="1"/>
      <c r="O9" s="1"/>
      <c r="P9" s="1"/>
      <c r="Q9" s="1"/>
    </row>
    <row r="10" spans="1:17" x14ac:dyDescent="0.25">
      <c r="A10" s="2" t="s">
        <v>29</v>
      </c>
      <c r="B10" s="5" t="s">
        <v>12</v>
      </c>
      <c r="C10" s="5" t="s">
        <v>13</v>
      </c>
      <c r="D10" s="5" t="s">
        <v>14</v>
      </c>
      <c r="E10" s="5" t="s">
        <v>4</v>
      </c>
      <c r="G10" s="2" t="s">
        <v>29</v>
      </c>
      <c r="H10" s="5" t="s">
        <v>12</v>
      </c>
      <c r="I10" s="5" t="s">
        <v>13</v>
      </c>
      <c r="J10" s="5" t="s">
        <v>14</v>
      </c>
      <c r="K10" s="5" t="s">
        <v>4</v>
      </c>
      <c r="M10" s="2" t="s">
        <v>29</v>
      </c>
      <c r="N10" s="5" t="s">
        <v>12</v>
      </c>
      <c r="O10" s="5" t="s">
        <v>13</v>
      </c>
      <c r="P10" s="5" t="s">
        <v>14</v>
      </c>
      <c r="Q10" s="5" t="s">
        <v>4</v>
      </c>
    </row>
    <row r="11" spans="1:17" x14ac:dyDescent="0.25">
      <c r="A11" t="s">
        <v>33</v>
      </c>
      <c r="B11" s="12">
        <f>SUM(TDFD!B11:B15)</f>
        <v>21685.785364786272</v>
      </c>
      <c r="C11" s="12">
        <f>SUM(TDFD!C11:C15)</f>
        <v>10389.812688035467</v>
      </c>
      <c r="D11" s="12">
        <f>SUM(TDFD!D11:D15)</f>
        <v>1602.0366432618787</v>
      </c>
      <c r="E11" s="12">
        <f>SUM(TDFD!E11:E15)</f>
        <v>33677.634696083616</v>
      </c>
      <c r="G11" t="s">
        <v>33</v>
      </c>
      <c r="H11" s="12"/>
      <c r="I11" s="12"/>
      <c r="J11" s="12"/>
      <c r="K11" s="12">
        <v>13509</v>
      </c>
      <c r="M11" t="s">
        <v>33</v>
      </c>
      <c r="N11" s="12">
        <f>SUM(TDFD!H11:H15)</f>
        <v>30651</v>
      </c>
      <c r="O11" s="12">
        <f>SUM(TDFD!I11:I15)</f>
        <v>10832</v>
      </c>
      <c r="P11" s="12">
        <f>SUM(TDFD!J11:J15)</f>
        <v>2413</v>
      </c>
      <c r="Q11" s="12">
        <f>SUM(TDFD!K11:K15)</f>
        <v>43896</v>
      </c>
    </row>
    <row r="12" spans="1:17" x14ac:dyDescent="0.25">
      <c r="A12" t="s">
        <v>34</v>
      </c>
      <c r="B12" s="12">
        <f>SUM(TDFD!B16:B20)</f>
        <v>68267.94122182914</v>
      </c>
      <c r="C12" s="12">
        <f>SUM(TDFD!C16:C20)</f>
        <v>13112.024044872853</v>
      </c>
      <c r="D12" s="12">
        <f>SUM(TDFD!D16:D20)</f>
        <v>8362.5820871422129</v>
      </c>
      <c r="E12" s="12">
        <f>SUM(TDFD!E16:E20)</f>
        <v>89742.547353844217</v>
      </c>
      <c r="G12" t="s">
        <v>34</v>
      </c>
      <c r="H12" s="12"/>
      <c r="I12" s="12"/>
      <c r="J12" s="12"/>
      <c r="K12" s="12">
        <v>48039</v>
      </c>
      <c r="M12" t="s">
        <v>34</v>
      </c>
      <c r="N12" s="12">
        <f>SUM(TDFD!H16:H20)</f>
        <v>66359</v>
      </c>
      <c r="O12" s="12">
        <f>SUM(TDFD!I16:I20)</f>
        <v>18720</v>
      </c>
      <c r="P12" s="12">
        <f>SUM(TDFD!J16:J20)</f>
        <v>9511</v>
      </c>
      <c r="Q12" s="12">
        <f>SUM(TDFD!K16:K20)</f>
        <v>94590</v>
      </c>
    </row>
    <row r="13" spans="1:17" x14ac:dyDescent="0.25">
      <c r="A13" t="s">
        <v>35</v>
      </c>
      <c r="B13" s="12">
        <f>SUM(TDFD!B21:B25)</f>
        <v>71339.074308694457</v>
      </c>
      <c r="C13" s="12">
        <f>SUM(TDFD!C21:C25)</f>
        <v>11141.004860804002</v>
      </c>
      <c r="D13" s="12">
        <f>SUM(TDFD!D21:D25)</f>
        <v>8307.0932466547256</v>
      </c>
      <c r="E13" s="12">
        <f>SUM(TDFD!E21:E25)</f>
        <v>90787.172416153189</v>
      </c>
      <c r="G13" t="s">
        <v>35</v>
      </c>
      <c r="H13" s="12"/>
      <c r="I13" s="12"/>
      <c r="J13" s="12"/>
      <c r="K13" s="12">
        <v>73140</v>
      </c>
      <c r="M13" t="s">
        <v>35</v>
      </c>
      <c r="N13" s="12">
        <f>SUM(TDFD!H21:H25)</f>
        <v>74258</v>
      </c>
      <c r="O13" s="12">
        <f>SUM(TDFD!I21:I25)</f>
        <v>15831</v>
      </c>
      <c r="P13" s="12">
        <f>SUM(TDFD!J21:J25)</f>
        <v>8109</v>
      </c>
      <c r="Q13" s="12">
        <f>SUM(TDFD!K21:K25)</f>
        <v>98198</v>
      </c>
    </row>
    <row r="14" spans="1:17" x14ac:dyDescent="0.25">
      <c r="A14" t="s">
        <v>36</v>
      </c>
      <c r="B14" s="12">
        <f>SUM(TDFD!B26:B30)</f>
        <v>72526.667478163421</v>
      </c>
      <c r="C14" s="12">
        <f>SUM(TDFD!C26:C30)</f>
        <v>7864.6836508666893</v>
      </c>
      <c r="D14" s="12">
        <f>SUM(TDFD!D26:D30)</f>
        <v>4033.0549475667567</v>
      </c>
      <c r="E14" s="12">
        <f>SUM(TDFD!E26:E30)</f>
        <v>84424.406076596875</v>
      </c>
      <c r="G14" t="s">
        <v>36</v>
      </c>
      <c r="H14" s="12"/>
      <c r="I14" s="12"/>
      <c r="J14" s="12"/>
      <c r="K14" s="12">
        <v>91600</v>
      </c>
      <c r="M14" t="s">
        <v>36</v>
      </c>
      <c r="N14" s="12">
        <f>SUM(TDFD!H26:H30)</f>
        <v>83253</v>
      </c>
      <c r="O14" s="12">
        <f>SUM(TDFD!I26:I30)</f>
        <v>11047</v>
      </c>
      <c r="P14" s="12">
        <f>SUM(TDFD!J26:J30)</f>
        <v>4295</v>
      </c>
      <c r="Q14" s="12">
        <f>SUM(TDFD!K26:K30)</f>
        <v>98595</v>
      </c>
    </row>
    <row r="15" spans="1:17" x14ac:dyDescent="0.25">
      <c r="A15" t="s">
        <v>37</v>
      </c>
      <c r="B15" s="12">
        <f>SUM(TDFD!B31:B35)</f>
        <v>68261.735791507366</v>
      </c>
      <c r="C15" s="12">
        <f>SUM(TDFD!C31:C35)</f>
        <v>7281.4172427011035</v>
      </c>
      <c r="D15" s="12">
        <f>SUM(TDFD!D31:D35)</f>
        <v>1884.7807358745799</v>
      </c>
      <c r="E15" s="12">
        <f>SUM(TDFD!E31:E35)</f>
        <v>77427.933770083051</v>
      </c>
      <c r="G15" t="s">
        <v>37</v>
      </c>
      <c r="H15" s="12"/>
      <c r="I15" s="12"/>
      <c r="J15" s="12"/>
      <c r="K15" s="12">
        <v>100858</v>
      </c>
      <c r="M15" t="s">
        <v>37</v>
      </c>
      <c r="N15" s="12">
        <f>SUM(TDFD!H31:H35)</f>
        <v>78971</v>
      </c>
      <c r="O15" s="12">
        <f>SUM(TDFD!I31:I35)</f>
        <v>7379</v>
      </c>
      <c r="P15" s="12">
        <f>SUM(TDFD!J31:J35)</f>
        <v>2978</v>
      </c>
      <c r="Q15" s="12">
        <f>SUM(TDFD!K31:K35)</f>
        <v>89328</v>
      </c>
    </row>
    <row r="16" spans="1:17" x14ac:dyDescent="0.25">
      <c r="A16" t="s">
        <v>38</v>
      </c>
      <c r="B16" s="12">
        <f>SUM(TDFD!B36:B40)</f>
        <v>48069.812715267777</v>
      </c>
      <c r="C16" s="12">
        <f>SUM(TDFD!C36:C40)</f>
        <v>3440.2263914089081</v>
      </c>
      <c r="D16" s="12">
        <f>SUM(TDFD!D36:D40)</f>
        <v>2669.3879045403237</v>
      </c>
      <c r="E16" s="12">
        <f>SUM(TDFD!E36:E40)</f>
        <v>54179.427011217012</v>
      </c>
      <c r="G16" t="s">
        <v>38</v>
      </c>
      <c r="H16" s="12"/>
      <c r="I16" s="12"/>
      <c r="J16" s="12"/>
      <c r="K16" s="12">
        <v>40453</v>
      </c>
      <c r="M16" t="s">
        <v>38</v>
      </c>
      <c r="N16" s="12">
        <f>SUM(TDFD!H36:H40)</f>
        <v>64749</v>
      </c>
      <c r="O16" s="12">
        <f>SUM(TDFD!I36:I40)</f>
        <v>5194</v>
      </c>
      <c r="P16" s="12">
        <f>SUM(TDFD!J36:J40)</f>
        <v>2169</v>
      </c>
      <c r="Q16" s="12">
        <f>SUM(TDFD!K36:K40)</f>
        <v>72112</v>
      </c>
    </row>
    <row r="17" spans="1:17" x14ac:dyDescent="0.25">
      <c r="A17" t="s">
        <v>39</v>
      </c>
      <c r="B17" s="12">
        <f>SUM(TDFD!B41:B45)</f>
        <v>36552.941575379686</v>
      </c>
      <c r="C17" s="12">
        <f>SUM(TDFD!C41:C45)</f>
        <v>2531.3113964412642</v>
      </c>
      <c r="D17" s="12">
        <f>SUM(TDFD!D41:D45)</f>
        <v>761.61276531805947</v>
      </c>
      <c r="E17" s="12">
        <f>SUM(TDFD!E41:E45)</f>
        <v>39845.865737139007</v>
      </c>
      <c r="G17" t="s">
        <v>39</v>
      </c>
      <c r="H17" s="12"/>
      <c r="I17" s="12"/>
      <c r="J17" s="12"/>
      <c r="K17" s="12">
        <v>102299</v>
      </c>
      <c r="M17" t="s">
        <v>39</v>
      </c>
      <c r="N17" s="12">
        <f>SUM(TDFD!H41:H45)</f>
        <v>50397</v>
      </c>
      <c r="O17" s="12">
        <f>SUM(TDFD!I41:I45)</f>
        <v>3523</v>
      </c>
      <c r="P17" s="12">
        <f>SUM(TDFD!J41:J45)</f>
        <v>1538</v>
      </c>
      <c r="Q17" s="12">
        <f>SUM(TDFD!K41:K45)</f>
        <v>55458</v>
      </c>
    </row>
    <row r="18" spans="1:17" x14ac:dyDescent="0.25">
      <c r="A18" t="s">
        <v>40</v>
      </c>
      <c r="B18" s="12">
        <f>SUM(TDFD!B46:B50)</f>
        <v>35132.820097411037</v>
      </c>
      <c r="C18" s="12">
        <f>SUM(TDFD!C46:C50)</f>
        <v>2324.271530089165</v>
      </c>
      <c r="D18" s="12">
        <f>SUM(TDFD!D46:D50)</f>
        <v>923.67033926681484</v>
      </c>
      <c r="E18" s="12">
        <f>SUM(TDFD!E46:E50)</f>
        <v>38380.761966767022</v>
      </c>
      <c r="G18" t="s">
        <v>40</v>
      </c>
      <c r="H18" s="12"/>
      <c r="I18" s="12"/>
      <c r="J18" s="12"/>
      <c r="K18" s="12">
        <v>17547</v>
      </c>
      <c r="M18" t="s">
        <v>40</v>
      </c>
      <c r="N18" s="12">
        <f>SUM(TDFD!H46:H50)</f>
        <v>37345</v>
      </c>
      <c r="O18" s="12">
        <f>SUM(TDFD!I46:I50)</f>
        <v>2308</v>
      </c>
      <c r="P18" s="12">
        <f>SUM(TDFD!J46:J50)</f>
        <v>1074</v>
      </c>
      <c r="Q18" s="12">
        <f>SUM(TDFD!K46:K50)</f>
        <v>40727</v>
      </c>
    </row>
    <row r="19" spans="1:17" x14ac:dyDescent="0.25">
      <c r="A19" t="s">
        <v>41</v>
      </c>
      <c r="B19" s="12">
        <f>SUM(TDFD!B51:B55)</f>
        <v>20112.736195901492</v>
      </c>
      <c r="C19" s="12">
        <f>SUM(TDFD!C51:C55)</f>
        <v>1572.8351908632933</v>
      </c>
      <c r="D19" s="12">
        <f>SUM(TDFD!D51:D55)</f>
        <v>797.60925765464719</v>
      </c>
      <c r="E19" s="12">
        <f>SUM(TDFD!E51:E55)</f>
        <v>22483.180644419434</v>
      </c>
      <c r="G19" t="s">
        <v>41</v>
      </c>
      <c r="H19" s="12"/>
      <c r="I19" s="12"/>
      <c r="J19" s="12"/>
      <c r="K19" s="12">
        <v>20353</v>
      </c>
      <c r="M19" t="s">
        <v>41</v>
      </c>
      <c r="N19" s="12">
        <f>SUM(TDFD!H51:H55)</f>
        <v>28644</v>
      </c>
      <c r="O19" s="12">
        <f>SUM(TDFD!I51:I55)</f>
        <v>1661</v>
      </c>
      <c r="P19" s="12">
        <f>SUM(TDFD!J51:J55)</f>
        <v>819</v>
      </c>
      <c r="Q19" s="12">
        <f>SUM(TDFD!K51:K55)</f>
        <v>31124</v>
      </c>
    </row>
    <row r="20" spans="1:17" x14ac:dyDescent="0.25">
      <c r="A20" t="s">
        <v>42</v>
      </c>
      <c r="B20" s="12">
        <f>SUM(TDFD!B56:B70)</f>
        <v>34056.170209395699</v>
      </c>
      <c r="C20" s="12">
        <f>SUM(TDFD!C56:C70)</f>
        <v>2422.2863240120141</v>
      </c>
      <c r="D20" s="12">
        <f>SUM(TDFD!D56:D70)</f>
        <v>784.75248425367636</v>
      </c>
      <c r="E20" s="12">
        <f>SUM(TDFD!E56:E70)</f>
        <v>37263.209017661386</v>
      </c>
      <c r="G20" t="s">
        <v>42</v>
      </c>
      <c r="H20" s="12"/>
      <c r="I20" s="12"/>
      <c r="J20" s="12"/>
      <c r="K20" s="12">
        <v>49147</v>
      </c>
      <c r="M20" t="s">
        <v>42</v>
      </c>
      <c r="N20" s="12">
        <f>SUM(TDFD!H56:H70)</f>
        <v>45244</v>
      </c>
      <c r="O20" s="12">
        <f>SUM(TDFD!I56:I70)</f>
        <v>2175</v>
      </c>
      <c r="P20" s="12">
        <f>SUM(TDFD!J56:J70)</f>
        <v>1313</v>
      </c>
      <c r="Q20" s="12">
        <f>SUM(TDFD!K56:K70)</f>
        <v>48732</v>
      </c>
    </row>
    <row r="21" spans="1:17" x14ac:dyDescent="0.25">
      <c r="A21" t="s">
        <v>43</v>
      </c>
      <c r="B21" s="12">
        <f>SUM(TDFD!B71:B100)</f>
        <v>11051.643313871102</v>
      </c>
      <c r="C21" s="12">
        <f>SUM(TDFD!C71:C100)</f>
        <v>269.81247301910628</v>
      </c>
      <c r="D21" s="12">
        <f>SUM(TDFD!D71:D100)</f>
        <v>0</v>
      </c>
      <c r="E21" s="12">
        <f>SUM(TDFD!E71:E100)</f>
        <v>11321.455786890207</v>
      </c>
      <c r="G21" t="s">
        <v>43</v>
      </c>
      <c r="H21" s="12"/>
      <c r="I21" s="12"/>
      <c r="J21" s="12"/>
      <c r="K21" s="12">
        <v>24219</v>
      </c>
      <c r="M21" t="s">
        <v>43</v>
      </c>
      <c r="N21" s="12">
        <f>SUM(TDFD!H71:H100)</f>
        <v>11790</v>
      </c>
      <c r="O21" s="12">
        <f>SUM(TDFD!I71:I100)</f>
        <v>472</v>
      </c>
      <c r="P21" s="12">
        <f>SUM(TDFD!J71:J100)</f>
        <v>417</v>
      </c>
      <c r="Q21" s="12">
        <f>SUM(TDFD!K71:K100)</f>
        <v>12679</v>
      </c>
    </row>
    <row ht="15.75" r="22" spans="1:17" thickBot="1" x14ac:dyDescent="0.3">
      <c r="A22" s="1" t="s">
        <v>44</v>
      </c>
      <c r="B22" s="13">
        <f>TDFD!B101</f>
        <v>17805.298624083374</v>
      </c>
      <c r="C22" s="13">
        <f>TDFD!C101</f>
        <v>1927.7764160161569</v>
      </c>
      <c r="D22" s="13">
        <f>TDFD!D101</f>
        <v>397.2554326959326</v>
      </c>
      <c r="E22" s="13">
        <f>TDFD!E101</f>
        <v>20130.330472795464</v>
      </c>
      <c r="G22" s="1" t="s">
        <v>44</v>
      </c>
      <c r="H22" s="13"/>
      <c r="I22" s="13"/>
      <c r="J22" s="13"/>
      <c r="K22" s="13">
        <v>9010</v>
      </c>
      <c r="M22" s="1" t="s">
        <v>44</v>
      </c>
      <c r="N22" s="13">
        <f>TDFD!H101</f>
        <v>17088</v>
      </c>
      <c r="O22" s="13">
        <f>TDFD!I101</f>
        <v>2476</v>
      </c>
      <c r="P22" s="13">
        <f>TDFD!J101</f>
        <v>979</v>
      </c>
      <c r="Q22" s="13">
        <f>TDFD!K101</f>
        <v>20543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J56"/>
  <sheetViews>
    <sheetView tabSelected="1" topLeftCell="A19" workbookViewId="0" zoomScale="85" zoomScaleNormal="85">
      <selection activeCell="Y20" sqref="Y20"/>
    </sheetView>
  </sheetViews>
  <sheetFormatPr defaultRowHeight="15" x14ac:dyDescent="0.25"/>
  <cols>
    <col min="3" max="3" bestFit="true" customWidth="true" width="9.7109375" collapsed="true"/>
    <col min="4" max="4" customWidth="true" width="8.85546875" collapsed="true"/>
    <col min="15" max="15" customWidth="true" width="10.140625" collapsed="true"/>
    <col min="20" max="21" bestFit="true" customWidth="true" width="9.5703125" collapsed="true"/>
    <col min="26" max="26" customWidth="true" width="9.140625" collapsed="true"/>
  </cols>
  <sheetData>
    <row r="1" spans="1:36" x14ac:dyDescent="0.25">
      <c r="A1" t="s">
        <v>2</v>
      </c>
    </row>
    <row r="2" spans="1:36" x14ac:dyDescent="0.25">
      <c r="A2" t="s">
        <v>236</v>
      </c>
    </row>
    <row r="3" spans="1:36" x14ac:dyDescent="0.25">
      <c r="A3" t="s">
        <v>21</v>
      </c>
    </row>
    <row r="4" spans="1:36" x14ac:dyDescent="0.25">
      <c r="AH4" s="7"/>
      <c r="AI4" s="7"/>
      <c r="AJ4" s="7"/>
    </row>
    <row ht="15.75" r="5" spans="1:36" thickBot="1" x14ac:dyDescent="0.3">
      <c r="A5" s="4" t="s">
        <v>229</v>
      </c>
      <c r="B5" s="1"/>
      <c r="C5" s="1"/>
      <c r="D5" s="1"/>
      <c r="E5" s="1"/>
      <c r="F5" s="1"/>
      <c r="G5" s="1"/>
      <c r="H5" s="1"/>
      <c r="I5" s="1"/>
      <c r="J5" s="1"/>
      <c r="L5" s="4" t="s">
        <v>65</v>
      </c>
      <c r="M5" s="1"/>
      <c r="N5" s="1"/>
      <c r="O5" s="1"/>
      <c r="P5" s="1"/>
      <c r="Q5" s="1"/>
      <c r="R5" s="1"/>
      <c r="S5" s="1"/>
      <c r="T5" s="1"/>
      <c r="U5" s="1"/>
      <c r="W5" s="4" t="s">
        <v>19</v>
      </c>
      <c r="X5" s="1"/>
      <c r="Y5" s="1"/>
      <c r="Z5" s="1"/>
      <c r="AA5" s="1"/>
      <c r="AB5" s="1"/>
      <c r="AC5" s="1"/>
      <c r="AD5" s="1"/>
      <c r="AE5" s="1"/>
      <c r="AF5" s="1"/>
      <c r="AH5" s="31"/>
      <c r="AI5" s="7"/>
      <c r="AJ5" s="7"/>
    </row>
    <row r="6" spans="1:36" x14ac:dyDescent="0.25">
      <c r="A6" s="2" t="s">
        <v>18</v>
      </c>
      <c r="B6" s="2" t="str">
        <f>$A$7</f>
        <v>Williamson</v>
      </c>
      <c r="C6" s="2" t="str">
        <f>$A$8</f>
        <v>Rutherford</v>
      </c>
      <c r="D6" s="2" t="str">
        <f>$A$9</f>
        <v>Sumner</v>
      </c>
      <c r="E6" s="2" t="str">
        <f>$A$10</f>
        <v>Roberston</v>
      </c>
      <c r="F6" s="2" t="str">
        <f>$A$11</f>
        <v>Davidson</v>
      </c>
      <c r="G6" s="2" t="str">
        <f>$A$12</f>
        <v>Maury</v>
      </c>
      <c r="H6" s="2" t="str">
        <f>$A$13</f>
        <v>Wilson</v>
      </c>
      <c r="I6" s="3" t="str">
        <f>$A$14</f>
        <v>Outside</v>
      </c>
      <c r="J6" s="3" t="s">
        <v>4</v>
      </c>
      <c r="L6" s="2" t="s">
        <v>18</v>
      </c>
      <c r="M6" s="2" t="str">
        <f>$A$7</f>
        <v>Williamson</v>
      </c>
      <c r="N6" s="2" t="str">
        <f>$A$8</f>
        <v>Rutherford</v>
      </c>
      <c r="O6" s="2" t="str">
        <f>$A$9</f>
        <v>Sumner</v>
      </c>
      <c r="P6" s="2" t="str">
        <f>$A$10</f>
        <v>Roberston</v>
      </c>
      <c r="Q6" s="2" t="str">
        <f>$A$11</f>
        <v>Davidson</v>
      </c>
      <c r="R6" s="2" t="str">
        <f>$A$12</f>
        <v>Maury</v>
      </c>
      <c r="S6" s="2" t="str">
        <f>$A$13</f>
        <v>Wilson</v>
      </c>
      <c r="T6" s="3" t="str">
        <f>$A$14</f>
        <v>Outside</v>
      </c>
      <c r="U6" s="3" t="s">
        <v>4</v>
      </c>
      <c r="W6" s="2" t="s">
        <v>18</v>
      </c>
      <c r="X6" s="2" t="str">
        <f>$A$7</f>
        <v>Williamson</v>
      </c>
      <c r="Y6" s="2" t="str">
        <f>$A$8</f>
        <v>Rutherford</v>
      </c>
      <c r="Z6" s="2" t="str">
        <f>$A$9</f>
        <v>Sumner</v>
      </c>
      <c r="AA6" s="2" t="str">
        <f>$A$10</f>
        <v>Roberston</v>
      </c>
      <c r="AB6" s="2" t="str">
        <f>$A$11</f>
        <v>Davidson</v>
      </c>
      <c r="AC6" s="2" t="str">
        <f>$A$12</f>
        <v>Maury</v>
      </c>
      <c r="AD6" s="2" t="str">
        <f>$A$13</f>
        <v>Wilson</v>
      </c>
      <c r="AE6" s="3" t="str">
        <f>$A$14</f>
        <v>Outside</v>
      </c>
      <c r="AF6" s="3" t="s">
        <v>4</v>
      </c>
      <c r="AH6" s="23"/>
      <c r="AI6" s="23"/>
      <c r="AJ6" s="7"/>
    </row>
    <row r="7" spans="1:36" x14ac:dyDescent="0.25">
      <c r="A7" s="47" t="s">
        <v>74</v>
      </c>
      <c r="B7" s="18" t="n">
        <v>60203.3978</v>
      </c>
      <c r="C7" s="18" t="n">
        <v>56030.8299</v>
      </c>
      <c r="D7" s="18" t="n">
        <v>12753.5569</v>
      </c>
      <c r="E7" s="18" t="n">
        <v>20548.9169</v>
      </c>
      <c r="F7" s="18" t="n">
        <v>6865.1363</v>
      </c>
      <c r="G7" s="18" t="n">
        <v>45102.6737</v>
      </c>
      <c r="H7" s="18" t="n">
        <v>3885.1135</v>
      </c>
      <c r="I7" s="18" t="n">
        <v>18743.5691</v>
      </c>
      <c r="J7" s="18">
        <f>SUM(B7:I7)</f>
        <v>70308.39148095077</v>
      </c>
      <c r="K7" s="18"/>
      <c r="L7" t="str">
        <f>$A$7</f>
        <v>Williamson</v>
      </c>
      <c r="T7" s="18"/>
      <c r="U7" s="18">
        <f>SUM(M7:T7)</f>
        <v>0</v>
      </c>
      <c r="V7" s="18"/>
      <c r="W7" t="str">
        <f>$A$7</f>
        <v>Williamson</v>
      </c>
      <c r="X7" t="n">
        <v>74911.0</v>
      </c>
      <c r="Y7" t="n">
        <v>52872.0</v>
      </c>
      <c r="Z7" t="n">
        <v>18118.0</v>
      </c>
      <c r="AA7" t="n">
        <v>16752.0</v>
      </c>
      <c r="AB7" t="n">
        <v>7796.0</v>
      </c>
      <c r="AC7" t="n">
        <v>44893.0</v>
      </c>
      <c r="AD7" t="n">
        <v>6796.0</v>
      </c>
      <c r="AE7" s="18" t="n">
        <v>990.0</v>
      </c>
      <c r="AF7" s="18">
        <f>SUM(X7:AE7)</f>
        <v>86242</v>
      </c>
      <c r="AH7" s="19"/>
      <c r="AI7" s="19"/>
      <c r="AJ7" s="7"/>
    </row>
    <row r="8" spans="1:36" x14ac:dyDescent="0.25">
      <c r="A8" t="s">
        <v>75</v>
      </c>
      <c r="B8" s="18" t="n">
        <v>9738.3567</v>
      </c>
      <c r="C8" s="18" t="n">
        <v>54370.4226</v>
      </c>
      <c r="D8" s="18" t="n">
        <v>11063.7371</v>
      </c>
      <c r="E8" s="18" t="n">
        <v>10991.4504</v>
      </c>
      <c r="F8" s="18" t="n">
        <v>5055.4978</v>
      </c>
      <c r="G8" s="18" t="n">
        <v>12971.3723</v>
      </c>
      <c r="H8" s="18" t="n">
        <v>1441.5221999999999</v>
      </c>
      <c r="I8" s="18" t="n">
        <v>15347.7098</v>
      </c>
      <c r="J8" s="18">
        <f>SUM(B8:I8)</f>
        <v>104873.54202884293</v>
      </c>
      <c r="K8" s="18"/>
      <c r="L8" t="str">
        <f>$A$8</f>
        <v>Rutherford</v>
      </c>
      <c r="T8" s="18"/>
      <c r="U8" s="18">
        <f ref="U8:U14" si="0" t="shared">SUM(M8:T8)</f>
        <v>0</v>
      </c>
      <c r="V8" s="18"/>
      <c r="W8" t="str">
        <f>$A$8</f>
        <v>Rutherford</v>
      </c>
      <c r="X8" t="n">
        <v>18946.0</v>
      </c>
      <c r="Y8" t="n">
        <v>52899.0</v>
      </c>
      <c r="Z8" t="n">
        <v>13695.0</v>
      </c>
      <c r="AA8" t="n">
        <v>11251.0</v>
      </c>
      <c r="AB8" t="n">
        <v>5465.0</v>
      </c>
      <c r="AC8" t="n">
        <v>19027.0</v>
      </c>
      <c r="AD8" t="n">
        <v>3876.0</v>
      </c>
      <c r="AE8" s="18" t="n">
        <v>425.0</v>
      </c>
      <c r="AF8" s="18">
        <f ref="AF8:AF14" si="1" t="shared">SUM(X8:AE8)</f>
        <v>124671</v>
      </c>
      <c r="AH8" s="19"/>
      <c r="AI8" s="19"/>
      <c r="AJ8" s="7"/>
    </row>
    <row r="9" spans="1:36" x14ac:dyDescent="0.25">
      <c r="A9" t="s">
        <v>76</v>
      </c>
      <c r="B9" s="18" t="n">
        <v>2086.7858</v>
      </c>
      <c r="C9" s="18" t="n">
        <v>7846.7987</v>
      </c>
      <c r="D9" s="18" t="n">
        <v>56726.1124</v>
      </c>
      <c r="E9" s="18" t="n">
        <v>57399.2412</v>
      </c>
      <c r="F9" s="18" t="n">
        <v>8486.0718</v>
      </c>
      <c r="G9" s="18" t="n">
        <v>21049.7163</v>
      </c>
      <c r="H9" s="18" t="n">
        <v>7471.7051</v>
      </c>
      <c r="I9" s="18" t="n">
        <v>20414.0328</v>
      </c>
      <c r="J9" s="18">
        <f ref="J9:J11" si="2" t="shared">SUM(B9:I9)</f>
        <v>61647.879405658823</v>
      </c>
      <c r="K9" s="18"/>
      <c r="L9" t="str">
        <f>$A$9</f>
        <v>Sumner</v>
      </c>
      <c r="T9" s="18"/>
      <c r="U9" s="18">
        <f si="0" t="shared"/>
        <v>0</v>
      </c>
      <c r="V9" s="18"/>
      <c r="W9" t="str">
        <f>$A$9</f>
        <v>Sumner</v>
      </c>
      <c r="X9" t="n">
        <v>5586.0</v>
      </c>
      <c r="Y9" t="n">
        <v>15226.0</v>
      </c>
      <c r="Z9" t="n">
        <v>49223.0</v>
      </c>
      <c r="AA9" t="n">
        <v>59091.0</v>
      </c>
      <c r="AB9" t="n">
        <v>11647.0</v>
      </c>
      <c r="AC9" t="n">
        <v>27781.0</v>
      </c>
      <c r="AD9" t="n">
        <v>8996.0</v>
      </c>
      <c r="AE9" s="18" t="n">
        <v>1233.0</v>
      </c>
      <c r="AF9" s="18">
        <f si="1" t="shared"/>
        <v>73740</v>
      </c>
      <c r="AH9" s="19"/>
      <c r="AI9" s="19"/>
      <c r="AJ9" s="7"/>
    </row>
    <row r="10" spans="1:36" x14ac:dyDescent="0.25">
      <c r="A10" t="s">
        <v>77</v>
      </c>
      <c r="B10" s="18" t="n">
        <v>1622.0951</v>
      </c>
      <c r="C10" s="18" t="n">
        <v>1756.7558999999999</v>
      </c>
      <c r="D10" s="18" t="n">
        <v>13054.2195</v>
      </c>
      <c r="E10" s="18" t="n">
        <v>54143.0698</v>
      </c>
      <c r="F10" s="18" t="n">
        <v>10210.7726</v>
      </c>
      <c r="G10" s="18" t="n">
        <v>14938.7086</v>
      </c>
      <c r="H10" s="18" t="n">
        <v>4098.8774</v>
      </c>
      <c r="I10" s="18" t="n">
        <v>14776.3884</v>
      </c>
      <c r="J10" s="18">
        <f si="2" t="shared"/>
        <v>25955.405200004781</v>
      </c>
      <c r="K10" s="18"/>
      <c r="L10" t="str">
        <f>$A$10</f>
        <v>Roberston</v>
      </c>
      <c r="T10" s="18"/>
      <c r="U10" s="18">
        <f si="0" t="shared"/>
        <v>0</v>
      </c>
      <c r="V10" s="18"/>
      <c r="W10" t="str">
        <f>$A$10</f>
        <v>Roberston</v>
      </c>
      <c r="X10" t="n">
        <v>1419.0</v>
      </c>
      <c r="Y10" t="n">
        <v>2852.0</v>
      </c>
      <c r="Z10" t="n">
        <v>14061.0</v>
      </c>
      <c r="AA10" t="n">
        <v>60631.0</v>
      </c>
      <c r="AB10" t="n">
        <v>11545.0</v>
      </c>
      <c r="AC10" t="n">
        <v>17790.0</v>
      </c>
      <c r="AD10" t="n">
        <v>8449.0</v>
      </c>
      <c r="AE10" s="18" t="n">
        <v>892.0</v>
      </c>
      <c r="AF10" s="18">
        <f si="1" t="shared"/>
        <v>29980</v>
      </c>
      <c r="AH10" s="19"/>
      <c r="AI10" s="19"/>
      <c r="AJ10" s="7"/>
    </row>
    <row r="11" spans="1:36" x14ac:dyDescent="0.25">
      <c r="A11" t="s">
        <v>78</v>
      </c>
      <c r="B11" s="18" t="n">
        <v>230.85309999999998</v>
      </c>
      <c r="C11" s="18" t="n">
        <v>1183.7881</v>
      </c>
      <c r="D11" s="18" t="n">
        <v>8046.474200000001</v>
      </c>
      <c r="E11" s="18" t="n">
        <v>49169.9402</v>
      </c>
      <c r="F11" s="18" t="n">
        <v>38846.2609</v>
      </c>
      <c r="G11" s="18" t="n">
        <v>8620.3179</v>
      </c>
      <c r="H11" s="18" t="n">
        <v>14064.5697</v>
      </c>
      <c r="I11" s="18" t="n">
        <v>11449.614599999999</v>
      </c>
      <c r="J11" s="18">
        <f si="2" t="shared"/>
        <v>260144.37771167519</v>
      </c>
      <c r="K11" s="18"/>
      <c r="L11" t="str">
        <f>$A$11</f>
        <v>Davidson</v>
      </c>
      <c r="T11" s="18"/>
      <c r="U11" s="18">
        <f si="0" t="shared"/>
        <v>0</v>
      </c>
      <c r="V11" s="18"/>
      <c r="W11" t="str">
        <f>$A$11</f>
        <v>Davidson</v>
      </c>
      <c r="X11" t="n">
        <v>1161.0</v>
      </c>
      <c r="Y11" t="n">
        <v>1980.0</v>
      </c>
      <c r="Z11" t="n">
        <v>8930.0</v>
      </c>
      <c r="AA11" t="n">
        <v>38744.0</v>
      </c>
      <c r="AB11" t="n">
        <v>31557.0</v>
      </c>
      <c r="AC11" t="n">
        <v>15697.0</v>
      </c>
      <c r="AD11" t="n">
        <v>23252.0</v>
      </c>
      <c r="AE11" s="18" t="n">
        <v>1960.0</v>
      </c>
      <c r="AF11" s="18">
        <f si="1" t="shared"/>
        <v>301422</v>
      </c>
      <c r="AH11" s="19"/>
      <c r="AI11" s="19"/>
      <c r="AJ11" s="7"/>
    </row>
    <row r="12" spans="1:36" x14ac:dyDescent="0.25">
      <c r="A12" t="s">
        <v>79</v>
      </c>
      <c r="B12" s="18" t="n">
        <v>11166.5625</v>
      </c>
      <c r="C12" s="18" t="n">
        <v>3890.6292</v>
      </c>
      <c r="D12" s="18" t="n">
        <v>13365.662</v>
      </c>
      <c r="E12" s="18" t="n">
        <v>40150.1367</v>
      </c>
      <c r="F12" s="18" t="n">
        <v>17399.2221</v>
      </c>
      <c r="G12" s="18" t="n">
        <v>185651.1721</v>
      </c>
      <c r="H12" s="18" t="n">
        <v>25167.8535</v>
      </c>
      <c r="I12" s="18" t="n">
        <v>37100.9747</v>
      </c>
      <c r="J12" s="18">
        <f>SUM(B12:I12)</f>
        <v>30422.943172880459</v>
      </c>
      <c r="K12" s="18"/>
      <c r="L12" t="str">
        <f>$A$12</f>
        <v>Maury</v>
      </c>
      <c r="T12" s="19"/>
      <c r="U12" s="18">
        <f si="0" t="shared"/>
        <v>0</v>
      </c>
      <c r="V12" s="19"/>
      <c r="W12" t="str">
        <f>$A$12</f>
        <v>Maury</v>
      </c>
      <c r="X12" t="n">
        <v>12097.0</v>
      </c>
      <c r="Y12" t="n">
        <v>16458.0</v>
      </c>
      <c r="Z12" t="n">
        <v>21062.0</v>
      </c>
      <c r="AA12" t="n">
        <v>48241.0</v>
      </c>
      <c r="AB12" t="n">
        <v>18625.0</v>
      </c>
      <c r="AC12" t="n">
        <v>159492.0</v>
      </c>
      <c r="AD12" t="n">
        <v>33904.0</v>
      </c>
      <c r="AE12" s="19" t="n">
        <v>2810.0</v>
      </c>
      <c r="AF12" s="18">
        <f si="1" t="shared"/>
        <v>36063</v>
      </c>
      <c r="AH12" s="19"/>
      <c r="AI12" s="19"/>
      <c r="AJ12" s="7"/>
    </row>
    <row r="13" spans="1:36" x14ac:dyDescent="0.25">
      <c r="A13" t="s">
        <v>80</v>
      </c>
      <c r="B13" s="18" t="n">
        <v>480.2988</v>
      </c>
      <c r="C13" s="18" t="n">
        <v>1653.9699</v>
      </c>
      <c r="D13" s="18" t="n">
        <v>4543.282</v>
      </c>
      <c r="E13" s="18" t="n">
        <v>20012.3747</v>
      </c>
      <c r="F13" s="18" t="n">
        <v>22350.9548</v>
      </c>
      <c r="G13" s="18" t="n">
        <v>18689.7659</v>
      </c>
      <c r="H13" s="18" t="n">
        <v>132541.0117</v>
      </c>
      <c r="I13" s="18" t="n">
        <v>30471.8996</v>
      </c>
      <c r="J13" s="18">
        <f>SUM(B13:I13)</f>
        <v>46311.385949637486</v>
      </c>
      <c r="K13" s="18"/>
      <c r="L13" t="str">
        <f>$A$13</f>
        <v>Wilson</v>
      </c>
      <c r="T13" s="19"/>
      <c r="U13" s="18">
        <f si="0" t="shared"/>
        <v>0</v>
      </c>
      <c r="V13" s="19"/>
      <c r="W13" t="str">
        <f>$A$13</f>
        <v>Wilson</v>
      </c>
      <c r="X13" t="n">
        <v>1827.0</v>
      </c>
      <c r="Y13" t="n">
        <v>3856.0</v>
      </c>
      <c r="Z13" t="n">
        <v>10462.0</v>
      </c>
      <c r="AA13" t="n">
        <v>30380.0</v>
      </c>
      <c r="AB13" t="n">
        <v>30400.0</v>
      </c>
      <c r="AC13" t="n">
        <v>34902.0</v>
      </c>
      <c r="AD13" t="n">
        <v>115638.0</v>
      </c>
      <c r="AE13" s="19" t="n">
        <v>13265.0</v>
      </c>
      <c r="AF13" s="18">
        <f si="1" t="shared"/>
        <v>53864</v>
      </c>
      <c r="AH13" s="19"/>
      <c r="AI13" s="19"/>
      <c r="AJ13" s="7"/>
    </row>
    <row r="14" spans="1:36" x14ac:dyDescent="0.25">
      <c r="A14" s="8" t="s">
        <v>20</v>
      </c>
      <c r="B14" s="20"/>
      <c r="C14" s="20"/>
      <c r="D14" s="20"/>
      <c r="E14" s="20"/>
      <c r="F14" s="20"/>
      <c r="G14" s="20"/>
      <c r="H14" s="20"/>
      <c r="I14" s="20"/>
      <c r="J14" s="20">
        <f>SUM(B14:I14)</f>
        <v>0</v>
      </c>
      <c r="K14" s="18"/>
      <c r="L14" s="21" t="s">
        <v>20</v>
      </c>
      <c r="M14" s="20"/>
      <c r="N14" s="20"/>
      <c r="O14" s="20"/>
      <c r="P14" s="20"/>
      <c r="Q14" s="20"/>
      <c r="R14" s="20"/>
      <c r="S14" s="20"/>
      <c r="T14" s="20"/>
      <c r="U14" s="18">
        <f si="0" t="shared"/>
        <v>0</v>
      </c>
      <c r="V14" s="18"/>
      <c r="W14" s="21" t="s">
        <v>20</v>
      </c>
      <c r="X14" s="20"/>
      <c r="Y14" s="20"/>
      <c r="Z14" s="20"/>
      <c r="AA14" s="20"/>
      <c r="AB14" s="20"/>
      <c r="AC14" s="20"/>
      <c r="AD14" s="20"/>
      <c r="AE14" s="20"/>
      <c r="AF14" s="20">
        <f si="1" t="shared"/>
        <v>0</v>
      </c>
      <c r="AI14" s="19"/>
      <c r="AJ14" s="7"/>
    </row>
    <row ht="15.75" r="15" spans="1:36" thickBot="1" x14ac:dyDescent="0.3">
      <c r="A15" s="1" t="s">
        <v>4</v>
      </c>
      <c r="B15" s="22">
        <f>SUM(B7:B14)</f>
        <v>72521.148807989739</v>
      </c>
      <c r="C15" s="22">
        <f>SUM(C7:C14)</f>
        <v>75296.315437110476</v>
      </c>
      <c r="D15" s="22">
        <f>SUM(D7:D14)</f>
        <v>32971.726735591452</v>
      </c>
      <c r="E15" s="22">
        <f ref="E15:H15" si="3" t="shared">SUM(E7:E14)</f>
        <v>13990.230521909491</v>
      </c>
      <c r="F15" s="22">
        <f si="3" t="shared"/>
        <v>345888.23219969036</v>
      </c>
      <c r="G15" s="22">
        <f si="3" t="shared"/>
        <v>16481.054319139897</v>
      </c>
      <c r="H15" s="22">
        <f si="3" t="shared"/>
        <v>22384.886455423562</v>
      </c>
      <c r="I15" s="22">
        <f>SUM(I7:I14)</f>
        <v>20130.330472795464</v>
      </c>
      <c r="J15" s="22">
        <f>SUM(J7:J14)</f>
        <v>599663.92494965054</v>
      </c>
      <c r="K15" s="18"/>
      <c r="L15" s="22" t="s">
        <v>4</v>
      </c>
      <c r="M15" s="22">
        <f>SUM(M7:M14)</f>
        <v>0</v>
      </c>
      <c r="N15" s="22">
        <f ref="N15:U15" si="4" t="shared">SUM(N7:N14)</f>
        <v>0</v>
      </c>
      <c r="O15" s="22">
        <f si="4" t="shared"/>
        <v>0</v>
      </c>
      <c r="P15" s="22">
        <f si="4" t="shared"/>
        <v>0</v>
      </c>
      <c r="Q15" s="22">
        <f si="4" t="shared"/>
        <v>0</v>
      </c>
      <c r="R15" s="22">
        <f si="4" t="shared"/>
        <v>0</v>
      </c>
      <c r="S15" s="22">
        <f si="4" t="shared"/>
        <v>0</v>
      </c>
      <c r="T15" s="22">
        <f si="4" t="shared"/>
        <v>0</v>
      </c>
      <c r="U15" s="22">
        <f si="4" t="shared"/>
        <v>0</v>
      </c>
      <c r="V15" s="18"/>
      <c r="W15" s="22" t="s">
        <v>4</v>
      </c>
      <c r="X15" s="22">
        <f>SUM(X7:X14)</f>
        <v>83143</v>
      </c>
      <c r="Y15" s="22">
        <f ref="Y15:AF15" si="5" t="shared">SUM(Y7:Y14)</f>
        <v>99554</v>
      </c>
      <c r="Z15" s="22">
        <f si="5" t="shared"/>
        <v>40556</v>
      </c>
      <c r="AA15" s="22">
        <f si="5" t="shared"/>
        <v>18819</v>
      </c>
      <c r="AB15" s="22">
        <f si="5" t="shared"/>
        <v>377582</v>
      </c>
      <c r="AC15" s="22">
        <f si="5" t="shared"/>
        <v>31558</v>
      </c>
      <c r="AD15" s="22">
        <f si="5" t="shared"/>
        <v>34227</v>
      </c>
      <c r="AE15" s="22">
        <f si="5" t="shared"/>
        <v>20543</v>
      </c>
      <c r="AF15" s="22">
        <f si="5" t="shared"/>
        <v>705982</v>
      </c>
      <c r="AH15" s="24"/>
      <c r="AI15" s="19"/>
      <c r="AJ15" s="7"/>
    </row>
    <row r="16" spans="1:36" x14ac:dyDescent="0.25">
      <c r="AH16" s="7"/>
      <c r="AI16" s="7"/>
      <c r="AJ16" s="7"/>
    </row>
    <row r="17" spans="1:36" x14ac:dyDescent="0.25">
      <c r="AH17" s="7"/>
      <c r="AI17" s="7"/>
      <c r="AJ17" s="7"/>
    </row>
    <row ht="15.75" r="18" spans="1:36" thickBot="1" x14ac:dyDescent="0.3">
      <c r="A18" s="4" t="s">
        <v>229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66</v>
      </c>
      <c r="M18" s="1"/>
      <c r="N18" s="1"/>
      <c r="O18" s="1"/>
      <c r="P18" s="1"/>
      <c r="Q18" s="1"/>
      <c r="R18" s="1"/>
      <c r="S18" s="1"/>
      <c r="T18" s="1"/>
      <c r="U18" s="1"/>
    </row>
    <row r="19" spans="1:36" x14ac:dyDescent="0.25">
      <c r="A19" s="2" t="s">
        <v>18</v>
      </c>
      <c r="B19" s="2" t="str">
        <f>$A$7</f>
        <v>Williamson</v>
      </c>
      <c r="C19" s="2" t="str">
        <f>$A$8</f>
        <v>Rutherford</v>
      </c>
      <c r="D19" s="2" t="str">
        <f>$A$9</f>
        <v>Sumner</v>
      </c>
      <c r="E19" s="2" t="str">
        <f>$A$10</f>
        <v>Roberston</v>
      </c>
      <c r="F19" s="2" t="str">
        <f>$A$11</f>
        <v>Davidson</v>
      </c>
      <c r="G19" s="2" t="str">
        <f>$A$12</f>
        <v>Maury</v>
      </c>
      <c r="H19" s="2" t="str">
        <f>$A$13</f>
        <v>Wilson</v>
      </c>
      <c r="I19" s="3" t="str">
        <f>$A$14</f>
        <v>Outside</v>
      </c>
      <c r="J19" s="3" t="s">
        <v>4</v>
      </c>
      <c r="L19" s="2" t="s">
        <v>18</v>
      </c>
      <c r="M19" s="2" t="str">
        <f>$A$7</f>
        <v>Williamson</v>
      </c>
      <c r="N19" s="2" t="str">
        <f>$A$8</f>
        <v>Rutherford</v>
      </c>
      <c r="O19" s="2" t="str">
        <f>$A$9</f>
        <v>Sumner</v>
      </c>
      <c r="P19" s="2" t="str">
        <f>$A$10</f>
        <v>Roberston</v>
      </c>
      <c r="Q19" s="2" t="str">
        <f>$A$11</f>
        <v>Davidson</v>
      </c>
      <c r="R19" s="2" t="str">
        <f>$A$12</f>
        <v>Maury</v>
      </c>
      <c r="S19" s="2" t="str">
        <f>$A$13</f>
        <v>Wilson</v>
      </c>
      <c r="T19" s="3" t="str">
        <f>$A$14</f>
        <v>Outside</v>
      </c>
      <c r="U19" s="3" t="s">
        <v>4</v>
      </c>
    </row>
    <row r="20" spans="1:36" x14ac:dyDescent="0.25">
      <c r="A20" s="47" t="s">
        <v>74</v>
      </c>
      <c r="B20" s="18">
        <f>(B7/$J7)*$AF7</f>
        <v>40445.595935566933</v>
      </c>
      <c r="C20" s="18">
        <f>(C7/$J7)*$AF7</f>
        <v>2822.2463594889227</v>
      </c>
      <c r="D20" s="18">
        <f>(D7/$J7)*$AF7</f>
        <v>221.91451468216101</v>
      </c>
      <c r="E20" s="18">
        <f>(E7/$J7)*$AF7</f>
        <v>0</v>
      </c>
      <c r="F20" s="18">
        <f>(F7/$J7)*$AF7</f>
        <v>38696.109515282456</v>
      </c>
      <c r="G20" s="18">
        <f>(G7/$J7)*$AF7</f>
        <v>712.24879958704275</v>
      </c>
      <c r="H20" s="18">
        <f>(H7/$J7)*$AF7</f>
        <v>101.99273095394116</v>
      </c>
      <c r="I20" s="18">
        <f>(I7/$J7)*$AF7</f>
        <v>3241.8921444385483</v>
      </c>
      <c r="J20" s="18">
        <f>SUM(B20:I20)</f>
        <v>86242</v>
      </c>
      <c r="L20" t="str">
        <f>$A$7</f>
        <v>Williamson</v>
      </c>
      <c r="M20" s="18" t="e">
        <f ref="M20:T26" si="6" t="shared">M7*($AF7/$U7)</f>
        <v>#DIV/0!</v>
      </c>
      <c r="N20" s="18" t="e">
        <f si="6" t="shared"/>
        <v>#DIV/0!</v>
      </c>
      <c r="O20" s="18" t="e">
        <f si="6" t="shared"/>
        <v>#DIV/0!</v>
      </c>
      <c r="P20" s="18" t="e">
        <f si="6" t="shared"/>
        <v>#DIV/0!</v>
      </c>
      <c r="Q20" s="18" t="e">
        <f si="6" t="shared"/>
        <v>#DIV/0!</v>
      </c>
      <c r="R20" s="18" t="e">
        <f si="6" t="shared"/>
        <v>#DIV/0!</v>
      </c>
      <c r="S20" s="18" t="e">
        <f si="6" t="shared"/>
        <v>#DIV/0!</v>
      </c>
      <c r="T20" s="18" t="e">
        <f ref="T20:T25" si="7" t="shared">T7*($AF7/$U7)</f>
        <v>#DIV/0!</v>
      </c>
      <c r="U20" s="18" t="e">
        <f>SUM(M20:T20)</f>
        <v>#DIV/0!</v>
      </c>
    </row>
    <row r="21" spans="1:36" x14ac:dyDescent="0.25">
      <c r="A21" t="s">
        <v>75</v>
      </c>
      <c r="B21" s="18">
        <f>(B8/$J8)*$AF8</f>
        <v>7511.9987627083374</v>
      </c>
      <c r="C21" s="18">
        <f>(C8/$J8)*$AF8</f>
        <v>73041.557449587825</v>
      </c>
      <c r="D21" s="18">
        <f>(D8/$J8)*$AF8</f>
        <v>66.954268911495902</v>
      </c>
      <c r="E21" s="18">
        <f>(E8/$J8)*$AF8</f>
        <v>95.908860006917408</v>
      </c>
      <c r="F21" s="18">
        <f>(F8/$J8)*$AF8</f>
        <v>35627.005276812371</v>
      </c>
      <c r="G21" s="18">
        <f>(G8/$J8)*$AF8</f>
        <v>0</v>
      </c>
      <c r="H21" s="18">
        <f>(H8/$J8)*$AF8</f>
        <v>1873.1158975182234</v>
      </c>
      <c r="I21" s="18">
        <f>(I8/$J8)*$AF8</f>
        <v>6454.4594844547992</v>
      </c>
      <c r="J21" s="18">
        <f>SUM(B21:I21)</f>
        <v>124670.99999999996</v>
      </c>
      <c r="L21" t="str">
        <f>$A$8</f>
        <v>Rutherford</v>
      </c>
      <c r="M21" s="18" t="e">
        <f si="6" t="shared"/>
        <v>#DIV/0!</v>
      </c>
      <c r="N21" s="18" t="e">
        <f si="6" t="shared"/>
        <v>#DIV/0!</v>
      </c>
      <c r="O21" s="18" t="e">
        <f si="6" t="shared"/>
        <v>#DIV/0!</v>
      </c>
      <c r="P21" s="18" t="e">
        <f si="6" t="shared"/>
        <v>#DIV/0!</v>
      </c>
      <c r="Q21" s="18" t="e">
        <f si="6" t="shared"/>
        <v>#DIV/0!</v>
      </c>
      <c r="R21" s="18" t="e">
        <f si="6" t="shared"/>
        <v>#DIV/0!</v>
      </c>
      <c r="S21" s="18" t="e">
        <f ref="S21" si="8" t="shared">S8*($AF8/$U8)</f>
        <v>#DIV/0!</v>
      </c>
      <c r="T21" s="18" t="e">
        <f si="7" t="shared"/>
        <v>#DIV/0!</v>
      </c>
      <c r="U21" s="18" t="e">
        <f>SUM(M21:T21)</f>
        <v>#DIV/0!</v>
      </c>
    </row>
    <row r="22" spans="1:36" x14ac:dyDescent="0.25">
      <c r="A22" t="s">
        <v>76</v>
      </c>
      <c r="B22" s="18">
        <f>(B9/$J9)*$AF9</f>
        <v>1511.1772120082944</v>
      </c>
      <c r="C22" s="18">
        <f>(C9/$J9)*$AF9</f>
        <v>1750.3252062986514</v>
      </c>
      <c r="D22" s="18">
        <f>(D9/$J9)*$AF9</f>
        <v>32341.164458239473</v>
      </c>
      <c r="E22" s="18">
        <f>(E9/$J9)*$AF9</f>
        <v>3313.3115982130562</v>
      </c>
      <c r="F22" s="18">
        <f>(F9/$J9)*$AF9</f>
        <v>32169.804605293852</v>
      </c>
      <c r="G22" s="18">
        <f>(G9/$J9)*$AF9</f>
        <v>103.10451991075621</v>
      </c>
      <c r="H22" s="18">
        <f>(H9/$J9)*$AF9</f>
        <v>1065.4462513489843</v>
      </c>
      <c r="I22" s="18">
        <f>(I9/$J9)*$AF9</f>
        <v>1485.6661486869368</v>
      </c>
      <c r="J22" s="18">
        <f ref="J22:J24" si="9" t="shared">SUM(B22:I22)</f>
        <v>73740.000000000015</v>
      </c>
      <c r="L22" t="str">
        <f>$A$9</f>
        <v>Sumner</v>
      </c>
      <c r="M22" s="18" t="e">
        <f si="6" t="shared"/>
        <v>#DIV/0!</v>
      </c>
      <c r="N22" s="18" t="e">
        <f si="6" t="shared"/>
        <v>#DIV/0!</v>
      </c>
      <c r="O22" s="18" t="e">
        <f si="6" t="shared"/>
        <v>#DIV/0!</v>
      </c>
      <c r="P22" s="18" t="e">
        <f si="6" t="shared"/>
        <v>#DIV/0!</v>
      </c>
      <c r="Q22" s="18" t="e">
        <f si="6" t="shared"/>
        <v>#DIV/0!</v>
      </c>
      <c r="R22" s="18" t="e">
        <f si="6" t="shared"/>
        <v>#DIV/0!</v>
      </c>
      <c r="S22" s="18" t="e">
        <f ref="S22" si="10" t="shared">S9*($AF9/$U9)</f>
        <v>#DIV/0!</v>
      </c>
      <c r="T22" s="18" t="e">
        <f si="7" t="shared"/>
        <v>#DIV/0!</v>
      </c>
      <c r="U22" s="18" t="e">
        <f>SUM(M22:T22)</f>
        <v>#DIV/0!</v>
      </c>
    </row>
    <row r="23" spans="1:36" x14ac:dyDescent="0.25">
      <c r="A23" t="s">
        <v>77</v>
      </c>
      <c r="B23" s="18">
        <f>(B10/$J10)*$AF10</f>
        <v>694.44871259765387</v>
      </c>
      <c r="C23" s="18">
        <f>(C10/$J10)*$AF10</f>
        <v>55.641315783457273</v>
      </c>
      <c r="D23" s="18">
        <f>(D10/$J10)*$AF10</f>
        <v>2185.9362091744142</v>
      </c>
      <c r="E23" s="18">
        <f>(E10/$J10)*$AF10</f>
        <v>12746.001673924831</v>
      </c>
      <c r="F23" s="18">
        <f>(F10/$J10)*$AF10</f>
        <v>12393.94795479037</v>
      </c>
      <c r="G23" s="18">
        <f>(G10/$J10)*$AF10</f>
        <v>0</v>
      </c>
      <c r="H23" s="18">
        <f>(H10/$J10)*$AF10</f>
        <v>0</v>
      </c>
      <c r="I23" s="18">
        <f>(I10/$J10)*$AF10</f>
        <v>1904.0241337292748</v>
      </c>
      <c r="J23" s="18">
        <f si="9" t="shared"/>
        <v>29980</v>
      </c>
      <c r="L23" t="str">
        <f>$A$10</f>
        <v>Roberston</v>
      </c>
      <c r="M23" s="18" t="e">
        <f si="6" t="shared"/>
        <v>#DIV/0!</v>
      </c>
      <c r="N23" s="18" t="e">
        <f si="6" t="shared"/>
        <v>#DIV/0!</v>
      </c>
      <c r="O23" s="18" t="e">
        <f si="6" t="shared"/>
        <v>#DIV/0!</v>
      </c>
      <c r="P23" s="18" t="e">
        <f si="6" t="shared"/>
        <v>#DIV/0!</v>
      </c>
      <c r="Q23" s="18" t="e">
        <f si="6" t="shared"/>
        <v>#DIV/0!</v>
      </c>
      <c r="R23" s="18" t="e">
        <f si="6" t="shared"/>
        <v>#DIV/0!</v>
      </c>
      <c r="S23" s="18" t="e">
        <f ref="S23" si="11" t="shared">S10*($AF10/$U10)</f>
        <v>#DIV/0!</v>
      </c>
      <c r="T23" s="18" t="e">
        <f si="7" t="shared"/>
        <v>#DIV/0!</v>
      </c>
      <c r="U23" s="18" t="e">
        <f ref="U23:U26" si="12" t="shared">SUM(M23:T23)</f>
        <v>#DIV/0!</v>
      </c>
    </row>
    <row r="24" spans="1:36" x14ac:dyDescent="0.25">
      <c r="A24" t="s">
        <v>78</v>
      </c>
      <c r="B24" s="18">
        <f>(B11/$J11)*$AF11</f>
        <v>23285.649508381382</v>
      </c>
      <c r="C24" s="18">
        <f>(C11/$J11)*$AF11</f>
        <v>7213.8624230211035</v>
      </c>
      <c r="D24" s="18">
        <f>(D11/$J11)*$AF11</f>
        <v>4027.978740647015</v>
      </c>
      <c r="E24" s="18">
        <f>(E11/$J11)*$AF11</f>
        <v>121.22374704418053</v>
      </c>
      <c r="F24" s="18">
        <f>(F11/$J11)*$AF11</f>
        <v>255020.8503081628</v>
      </c>
      <c r="G24" s="18">
        <f>(G11/$J11)*$AF11</f>
        <v>1717.975488495066</v>
      </c>
      <c r="H24" s="18">
        <f>(H11/$J11)*$AF11</f>
        <v>4168.5969414677656</v>
      </c>
      <c r="I24" s="18">
        <f>(I11/$J11)*$AF11</f>
        <v>5865.8628427807071</v>
      </c>
      <c r="J24" s="18">
        <f si="9" t="shared"/>
        <v>301422.00000000006</v>
      </c>
      <c r="L24" t="str">
        <f>$A$11</f>
        <v>Davidson</v>
      </c>
      <c r="M24" s="18" t="e">
        <f si="6" t="shared"/>
        <v>#DIV/0!</v>
      </c>
      <c r="N24" s="18" t="e">
        <f si="6" t="shared"/>
        <v>#DIV/0!</v>
      </c>
      <c r="O24" s="18" t="e">
        <f si="6" t="shared"/>
        <v>#DIV/0!</v>
      </c>
      <c r="P24" s="18" t="e">
        <f si="6" t="shared"/>
        <v>#DIV/0!</v>
      </c>
      <c r="Q24" s="18" t="e">
        <f si="6" t="shared"/>
        <v>#DIV/0!</v>
      </c>
      <c r="R24" s="18" t="e">
        <f si="6" t="shared"/>
        <v>#DIV/0!</v>
      </c>
      <c r="S24" s="18" t="e">
        <f ref="S24" si="13" t="shared">S11*($AF11/$U11)</f>
        <v>#DIV/0!</v>
      </c>
      <c r="T24" s="18" t="e">
        <f si="7" t="shared"/>
        <v>#DIV/0!</v>
      </c>
      <c r="U24" s="18" t="e">
        <f si="12" t="shared"/>
        <v>#DIV/0!</v>
      </c>
    </row>
    <row r="25" spans="1:36" x14ac:dyDescent="0.25">
      <c r="A25" t="s">
        <v>79</v>
      </c>
      <c r="B25" s="18">
        <f>(B12/$J12)*$AF12</f>
        <v>9622.4815742680657</v>
      </c>
      <c r="C25" s="18">
        <f>(C12/$J12)*$AF12</f>
        <v>1434.1958065653539</v>
      </c>
      <c r="D25" s="18">
        <f>(D12/$J12)*$AF12</f>
        <v>0</v>
      </c>
      <c r="E25" s="18">
        <f>(E12/$J12)*$AF12</f>
        <v>0</v>
      </c>
      <c r="F25" s="18">
        <f>(F12/$J12)*$AF12</f>
        <v>5812.2614331684317</v>
      </c>
      <c r="G25" s="18">
        <f>(G12/$J12)*$AF12</f>
        <v>16897.793900235702</v>
      </c>
      <c r="H25" s="18">
        <f>(H12/$J12)*$AF12</f>
        <v>0</v>
      </c>
      <c r="I25" s="18">
        <f>(I12/$J12)*$AF12</f>
        <v>2296.2672857624457</v>
      </c>
      <c r="J25" s="18">
        <f>SUM(B25:I25)</f>
        <v>36063</v>
      </c>
      <c r="L25" t="str">
        <f>$A$12</f>
        <v>Maury</v>
      </c>
      <c r="M25" s="18" t="e">
        <f si="6" t="shared"/>
        <v>#DIV/0!</v>
      </c>
      <c r="N25" s="18" t="e">
        <f si="6" t="shared"/>
        <v>#DIV/0!</v>
      </c>
      <c r="O25" s="18" t="e">
        <f si="6" t="shared"/>
        <v>#DIV/0!</v>
      </c>
      <c r="P25" s="18" t="e">
        <f si="6" t="shared"/>
        <v>#DIV/0!</v>
      </c>
      <c r="Q25" s="18" t="e">
        <f si="6" t="shared"/>
        <v>#DIV/0!</v>
      </c>
      <c r="R25" s="18" t="e">
        <f si="6" t="shared"/>
        <v>#DIV/0!</v>
      </c>
      <c r="S25" s="18" t="e">
        <f ref="S25" si="14" t="shared">S12*($AF12/$U12)</f>
        <v>#DIV/0!</v>
      </c>
      <c r="T25" s="18" t="e">
        <f si="7" t="shared"/>
        <v>#DIV/0!</v>
      </c>
      <c r="U25" s="18" t="e">
        <f si="12" t="shared"/>
        <v>#DIV/0!</v>
      </c>
    </row>
    <row r="26" spans="1:36" x14ac:dyDescent="0.25">
      <c r="A26" t="s">
        <v>80</v>
      </c>
      <c r="B26" s="18">
        <f>(B13/$J13)*$AF13</f>
        <v>3663.6397315366335</v>
      </c>
      <c r="C26" s="18">
        <f>(C13/$J13)*$AF13</f>
        <v>3030.3168406577329</v>
      </c>
      <c r="D26" s="18">
        <f>(D13/$J13)*$AF13</f>
        <v>381.33672194848043</v>
      </c>
      <c r="E26" s="18">
        <f>(E13/$J13)*$AF13</f>
        <v>0</v>
      </c>
      <c r="F26" s="18">
        <f>(F13/$J13)*$AF13</f>
        <v>25292.924932401053</v>
      </c>
      <c r="G26" s="18">
        <f>(G13/$J13)*$AF13</f>
        <v>88.880372114526025</v>
      </c>
      <c r="H26" s="18">
        <f>(H13/$J13)*$AF13</f>
        <v>18885.68142711325</v>
      </c>
      <c r="I26" s="18">
        <f>(I13/$J13)*$AF13</f>
        <v>2521.2199742283315</v>
      </c>
      <c r="J26" s="18">
        <f>SUM(B26:I26)</f>
        <v>53864.000000000007</v>
      </c>
      <c r="L26" t="str">
        <f>$A$13</f>
        <v>Wilson</v>
      </c>
      <c r="M26" s="18" t="e">
        <f si="6" t="shared"/>
        <v>#DIV/0!</v>
      </c>
      <c r="N26" s="18" t="e">
        <f si="6" t="shared"/>
        <v>#DIV/0!</v>
      </c>
      <c r="O26" s="18" t="e">
        <f si="6" t="shared"/>
        <v>#DIV/0!</v>
      </c>
      <c r="P26" s="18" t="e">
        <f si="6" t="shared"/>
        <v>#DIV/0!</v>
      </c>
      <c r="Q26" s="18" t="e">
        <f si="6" t="shared"/>
        <v>#DIV/0!</v>
      </c>
      <c r="R26" s="18" t="e">
        <f si="6" t="shared"/>
        <v>#DIV/0!</v>
      </c>
      <c r="S26" s="18" t="e">
        <f ref="S26" si="15" t="shared">S13*($AF13/$U13)</f>
        <v>#DIV/0!</v>
      </c>
      <c r="T26" s="18" t="e">
        <f si="6" t="shared"/>
        <v>#DIV/0!</v>
      </c>
      <c r="U26" s="18" t="e">
        <f si="12" t="shared"/>
        <v>#DIV/0!</v>
      </c>
    </row>
    <row r="27" spans="1:36" x14ac:dyDescent="0.25">
      <c r="A27" s="8" t="s">
        <v>20</v>
      </c>
      <c r="B27" s="20"/>
      <c r="C27" s="20"/>
      <c r="D27" s="20"/>
      <c r="E27" s="20"/>
      <c r="F27" s="20"/>
      <c r="G27" s="20"/>
      <c r="H27" s="20"/>
      <c r="I27" s="20"/>
      <c r="J27" s="20">
        <f>SUM(B27:I27)</f>
        <v>0</v>
      </c>
      <c r="L27" s="21" t="s">
        <v>20</v>
      </c>
      <c r="M27" s="20" t="e">
        <f ref="M27:S27" si="16" t="shared">M14*($AF14/$U14)</f>
        <v>#DIV/0!</v>
      </c>
      <c r="N27" s="20" t="e">
        <f si="16" t="shared"/>
        <v>#DIV/0!</v>
      </c>
      <c r="O27" s="20" t="e">
        <f si="16" t="shared"/>
        <v>#DIV/0!</v>
      </c>
      <c r="P27" s="20" t="e">
        <f si="16" t="shared"/>
        <v>#DIV/0!</v>
      </c>
      <c r="Q27" s="20" t="e">
        <f si="16" t="shared"/>
        <v>#DIV/0!</v>
      </c>
      <c r="R27" s="20" t="e">
        <f si="16" t="shared"/>
        <v>#DIV/0!</v>
      </c>
      <c r="S27" s="18" t="e">
        <f si="16" t="shared"/>
        <v>#DIV/0!</v>
      </c>
      <c r="T27" s="20" t="e">
        <f>T14*($AF14/$U14)</f>
        <v>#DIV/0!</v>
      </c>
      <c r="U27" s="20" t="e">
        <f>SUM(M27:T27)</f>
        <v>#DIV/0!</v>
      </c>
    </row>
    <row ht="15.75" r="28" spans="1:36" thickBot="1" x14ac:dyDescent="0.3">
      <c r="A28" s="1" t="s">
        <v>4</v>
      </c>
      <c r="B28" s="22">
        <f>SUM(B20:B27)</f>
        <v>86734.991437067307</v>
      </c>
      <c r="C28" s="22">
        <f>SUM(C20:C27)</f>
        <v>89348.145401403061</v>
      </c>
      <c r="D28" s="22">
        <f>SUM(D20:D27)</f>
        <v>39225.284913603035</v>
      </c>
      <c r="E28" s="22">
        <f ref="E28:H28" si="17" t="shared">SUM(E20:E27)</f>
        <v>16276.445879188985</v>
      </c>
      <c r="F28" s="22">
        <f si="17" t="shared"/>
        <v>405012.90402591135</v>
      </c>
      <c r="G28" s="22">
        <f si="17" t="shared"/>
        <v>19520.003080343093</v>
      </c>
      <c r="H28" s="22">
        <f si="17" t="shared"/>
        <v>26094.833248402167</v>
      </c>
      <c r="I28" s="22">
        <f>SUM(I20:I27)</f>
        <v>23769.392014081044</v>
      </c>
      <c r="J28" s="22">
        <f>SUM(J20:J27)</f>
        <v>705982</v>
      </c>
      <c r="L28" s="22" t="s">
        <v>4</v>
      </c>
      <c r="M28" s="22" t="e">
        <f>SUM(M20:M27)</f>
        <v>#DIV/0!</v>
      </c>
      <c r="N28" s="22" t="e">
        <f ref="N28:S28" si="18" t="shared">SUM(N20:N27)</f>
        <v>#DIV/0!</v>
      </c>
      <c r="O28" s="22" t="e">
        <f si="18" t="shared"/>
        <v>#DIV/0!</v>
      </c>
      <c r="P28" s="22" t="e">
        <f si="18" t="shared"/>
        <v>#DIV/0!</v>
      </c>
      <c r="Q28" s="22" t="e">
        <f si="18" t="shared"/>
        <v>#DIV/0!</v>
      </c>
      <c r="R28" s="22" t="e">
        <f si="18" t="shared"/>
        <v>#DIV/0!</v>
      </c>
      <c r="S28" s="22" t="e">
        <f si="18" t="shared"/>
        <v>#DIV/0!</v>
      </c>
      <c r="T28" s="22" t="e">
        <f>SUM(T20:T27)</f>
        <v>#DIV/0!</v>
      </c>
      <c r="U28" s="22" t="e">
        <f>SUM(U20:U27)</f>
        <v>#DIV/0!</v>
      </c>
    </row>
    <row ht="15.75" r="32" spans="1:36" thickBot="1" x14ac:dyDescent="0.3">
      <c r="A32" s="4" t="s">
        <v>229</v>
      </c>
      <c r="B32" s="1"/>
      <c r="C32" s="1"/>
      <c r="D32" s="1"/>
      <c r="E32" s="1"/>
      <c r="F32" s="1"/>
      <c r="G32" s="1"/>
      <c r="H32" s="1"/>
      <c r="I32" s="1"/>
      <c r="J32" s="1"/>
      <c r="L32" s="4" t="s">
        <v>66</v>
      </c>
      <c r="M32" s="1"/>
      <c r="N32" s="1"/>
      <c r="O32" s="1"/>
      <c r="P32" s="1"/>
      <c r="Q32" s="1"/>
      <c r="R32" s="1"/>
      <c r="S32" s="1"/>
      <c r="T32" s="1"/>
      <c r="U32" s="1"/>
      <c r="W32" s="4" t="s">
        <v>52</v>
      </c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2" t="s">
        <v>18</v>
      </c>
      <c r="B33" s="2" t="str">
        <f>$A$7</f>
        <v>Williamson</v>
      </c>
      <c r="C33" s="2" t="str">
        <f>$A$8</f>
        <v>Rutherford</v>
      </c>
      <c r="D33" s="2" t="str">
        <f>$A$9</f>
        <v>Sumner</v>
      </c>
      <c r="E33" s="2" t="str">
        <f>$A$10</f>
        <v>Roberston</v>
      </c>
      <c r="F33" s="2" t="str">
        <f>$A$11</f>
        <v>Davidson</v>
      </c>
      <c r="G33" s="2" t="str">
        <f>$A$12</f>
        <v>Maury</v>
      </c>
      <c r="H33" s="2" t="str">
        <f>$A$13</f>
        <v>Wilson</v>
      </c>
      <c r="I33" s="3" t="str">
        <f>$A$14</f>
        <v>Outside</v>
      </c>
      <c r="J33" s="3" t="s">
        <v>4</v>
      </c>
      <c r="L33" s="2" t="s">
        <v>18</v>
      </c>
      <c r="M33" s="2" t="str">
        <f>$A$7</f>
        <v>Williamson</v>
      </c>
      <c r="N33" s="2" t="str">
        <f>$A$8</f>
        <v>Rutherford</v>
      </c>
      <c r="O33" s="2" t="str">
        <f>$A$9</f>
        <v>Sumner</v>
      </c>
      <c r="P33" s="2" t="str">
        <f>$A$10</f>
        <v>Roberston</v>
      </c>
      <c r="Q33" s="2" t="str">
        <f>$A$11</f>
        <v>Davidson</v>
      </c>
      <c r="R33" s="2" t="str">
        <f>$A$12</f>
        <v>Maury</v>
      </c>
      <c r="S33" s="2" t="str">
        <f>$A$13</f>
        <v>Wilson</v>
      </c>
      <c r="T33" s="3" t="str">
        <f>$A$14</f>
        <v>Outside</v>
      </c>
      <c r="U33" s="3" t="s">
        <v>4</v>
      </c>
      <c r="W33" s="2" t="s">
        <v>18</v>
      </c>
      <c r="X33" s="2" t="str">
        <f>$A$7</f>
        <v>Williamson</v>
      </c>
      <c r="Y33" s="2" t="str">
        <f>$A$8</f>
        <v>Rutherford</v>
      </c>
      <c r="Z33" s="2" t="str">
        <f>$A$9</f>
        <v>Sumner</v>
      </c>
      <c r="AA33" s="2" t="str">
        <f>$A$10</f>
        <v>Roberston</v>
      </c>
      <c r="AB33" s="2" t="str">
        <f>$A$11</f>
        <v>Davidson</v>
      </c>
      <c r="AC33" s="2" t="str">
        <f>$A$12</f>
        <v>Maury</v>
      </c>
      <c r="AD33" s="2" t="str">
        <f>$A$13</f>
        <v>Wilson</v>
      </c>
      <c r="AE33" s="3" t="str">
        <f>$A$14</f>
        <v>Outside</v>
      </c>
      <c r="AF33" s="3" t="s">
        <v>4</v>
      </c>
    </row>
    <row r="34" spans="1:32" x14ac:dyDescent="0.25">
      <c r="A34" s="47" t="s">
        <v>74</v>
      </c>
      <c r="B34" s="28">
        <f>B20/$J$28</f>
        <v>5.7289840159617286E-2</v>
      </c>
      <c r="C34" s="28">
        <f ref="C34:J34" si="19" t="shared">C20/$J$28</f>
        <v>3.9976180121999187E-3</v>
      </c>
      <c r="D34" s="28">
        <f si="19" t="shared"/>
        <v>3.143345222430048E-4</v>
      </c>
      <c r="E34" s="28">
        <f si="19" t="shared"/>
        <v>0</v>
      </c>
      <c r="F34" s="28">
        <f si="19" t="shared"/>
        <v>5.4811750887816486E-2</v>
      </c>
      <c r="G34" s="28">
        <f si="19" t="shared"/>
        <v>1.0088767129856607E-3</v>
      </c>
      <c r="H34" s="28">
        <f si="19" t="shared"/>
        <v>1.4446930793411328E-4</v>
      </c>
      <c r="I34" s="28">
        <f si="19" t="shared"/>
        <v>4.592032296062149E-3</v>
      </c>
      <c r="J34" s="28">
        <f si="19" t="shared"/>
        <v>0.12215892189885862</v>
      </c>
      <c r="L34" t="str">
        <f>$A$7</f>
        <v>Williamson</v>
      </c>
      <c r="M34" s="28" t="e">
        <f ref="M34:T41" si="20" t="shared">M20/$U$28</f>
        <v>#DIV/0!</v>
      </c>
      <c r="N34" s="28" t="e">
        <f si="20" t="shared"/>
        <v>#DIV/0!</v>
      </c>
      <c r="O34" s="28" t="e">
        <f si="20" t="shared"/>
        <v>#DIV/0!</v>
      </c>
      <c r="P34" s="28" t="e">
        <f si="20" t="shared"/>
        <v>#DIV/0!</v>
      </c>
      <c r="Q34" s="28" t="e">
        <f si="20" t="shared"/>
        <v>#DIV/0!</v>
      </c>
      <c r="R34" s="28" t="e">
        <f si="20" t="shared"/>
        <v>#DIV/0!</v>
      </c>
      <c r="S34" s="28" t="e">
        <f si="20" t="shared"/>
        <v>#DIV/0!</v>
      </c>
      <c r="T34" s="28" t="e">
        <f ref="T34:T39" si="21" t="shared">T20/$U$28</f>
        <v>#DIV/0!</v>
      </c>
      <c r="U34" s="28" t="e">
        <f>SUM(M34:T34)</f>
        <v>#DIV/0!</v>
      </c>
      <c r="W34" t="str">
        <f>$A$7</f>
        <v>Williamson</v>
      </c>
      <c r="X34" s="28">
        <f ref="X34:AD40" si="22" t="shared">X7/$AF$15</f>
        <v>5.7677107914932677E-2</v>
      </c>
      <c r="Y34" s="28">
        <f si="22" t="shared"/>
        <v>5.304667824392123E-3</v>
      </c>
      <c r="Z34" s="28">
        <f si="22" t="shared"/>
        <v>3.0454034238833286E-4</v>
      </c>
      <c r="AA34" s="28">
        <f si="22" t="shared"/>
        <v>1.1048440328506959E-4</v>
      </c>
      <c r="AB34" s="28">
        <f si="22" t="shared"/>
        <v>4.9380862401590973E-2</v>
      </c>
      <c r="AC34" s="28">
        <f si="22" t="shared"/>
        <v>5.5893776328574951E-3</v>
      </c>
      <c r="AD34" s="28">
        <f si="22" t="shared"/>
        <v>5.2267621554090611E-4</v>
      </c>
      <c r="AE34" s="28">
        <f ref="AE34:AE40" si="23" t="shared">AE7/$AF$15</f>
        <v>3.2692051638710334E-3</v>
      </c>
      <c r="AF34" s="28">
        <f>SUM(X34:AE34)</f>
        <v>0.1221589218988586</v>
      </c>
    </row>
    <row r="35" spans="1:32" x14ac:dyDescent="0.25">
      <c r="A35" t="s">
        <v>75</v>
      </c>
      <c r="B35" s="28">
        <f ref="B35:J35" si="24" t="shared">B21/$J$28</f>
        <v>1.0640496163795022E-2</v>
      </c>
      <c r="C35" s="28">
        <f si="24" t="shared"/>
        <v>0.10346093448499795</v>
      </c>
      <c r="D35" s="28">
        <f si="24" t="shared"/>
        <v>9.4838492924034749E-5</v>
      </c>
      <c r="E35" s="28">
        <f si="24" t="shared"/>
        <v>1.3585170727712238E-4</v>
      </c>
      <c r="F35" s="28">
        <f si="24" t="shared"/>
        <v>5.0464466908238977E-2</v>
      </c>
      <c r="G35" s="28">
        <f si="24" t="shared"/>
        <v>0</v>
      </c>
      <c r="H35" s="28">
        <f si="24" t="shared"/>
        <v>2.6532063105266473E-3</v>
      </c>
      <c r="I35" s="28">
        <f si="24" t="shared"/>
        <v>9.1425269829185432E-3</v>
      </c>
      <c r="J35" s="28">
        <f si="24" t="shared"/>
        <v>0.17659232105067829</v>
      </c>
      <c r="L35" t="str">
        <f>$A$8</f>
        <v>Rutherford</v>
      </c>
      <c r="M35" s="28" t="e">
        <f si="20" t="shared"/>
        <v>#DIV/0!</v>
      </c>
      <c r="N35" s="28" t="e">
        <f si="20" t="shared"/>
        <v>#DIV/0!</v>
      </c>
      <c r="O35" s="28" t="e">
        <f si="20" t="shared"/>
        <v>#DIV/0!</v>
      </c>
      <c r="P35" s="28" t="e">
        <f si="20" t="shared"/>
        <v>#DIV/0!</v>
      </c>
      <c r="Q35" s="28" t="e">
        <f si="20" t="shared"/>
        <v>#DIV/0!</v>
      </c>
      <c r="R35" s="28" t="e">
        <f si="20" t="shared"/>
        <v>#DIV/0!</v>
      </c>
      <c r="S35" s="28" t="e">
        <f ref="S35" si="25" t="shared">S21/$U$28</f>
        <v>#DIV/0!</v>
      </c>
      <c r="T35" s="28" t="e">
        <f si="21" t="shared"/>
        <v>#DIV/0!</v>
      </c>
      <c r="U35" s="28" t="e">
        <f>SUM(M35:T35)</f>
        <v>#DIV/0!</v>
      </c>
      <c r="W35" t="str">
        <f>$A$8</f>
        <v>Rutherford</v>
      </c>
      <c r="X35" s="28">
        <f si="22" t="shared"/>
        <v>1.201163769047936E-2</v>
      </c>
      <c r="Y35" s="28">
        <f si="22" t="shared"/>
        <v>0.11320826876605919</v>
      </c>
      <c r="Z35" s="28">
        <f si="22" t="shared"/>
        <v>5.9491601768883631E-4</v>
      </c>
      <c r="AA35" s="28">
        <f si="22" t="shared"/>
        <v>7.7905668983061893E-5</v>
      </c>
      <c r="AB35" s="28">
        <f si="22" t="shared"/>
        <v>3.969647951364199E-2</v>
      </c>
      <c r="AC35" s="28">
        <f si="22" t="shared"/>
        <v>5.7791841718344097E-4</v>
      </c>
      <c r="AD35" s="28">
        <f ref="AD35" si="26" t="shared">AD8/$AF$15</f>
        <v>5.3684088262873561E-3</v>
      </c>
      <c r="AE35" s="28">
        <f si="23" t="shared"/>
        <v>5.0567861503551083E-3</v>
      </c>
      <c r="AF35" s="28">
        <f>SUM(X35:AE35)</f>
        <v>0.17659232105067832</v>
      </c>
    </row>
    <row r="36" spans="1:32" x14ac:dyDescent="0.25">
      <c r="A36" t="s">
        <v>76</v>
      </c>
      <c r="B36" s="28">
        <f ref="B36:J36" si="27" t="shared">B22/$J$28</f>
        <v>2.1405322118811733E-3</v>
      </c>
      <c r="C36" s="28">
        <f si="27" t="shared"/>
        <v>2.4792773842656772E-3</v>
      </c>
      <c r="D36" s="28">
        <f si="27" t="shared"/>
        <v>4.5810182778370373E-2</v>
      </c>
      <c r="E36" s="28">
        <f si="27" t="shared"/>
        <v>4.6931955746932017E-3</v>
      </c>
      <c r="F36" s="28">
        <f si="27" t="shared"/>
        <v>4.5567457251450963E-2</v>
      </c>
      <c r="G36" s="28">
        <f si="27" t="shared"/>
        <v>1.460441199786343E-4</v>
      </c>
      <c r="H36" s="28">
        <f si="27" t="shared"/>
        <v>1.5091691450334207E-3</v>
      </c>
      <c r="I36" s="28">
        <f si="27" t="shared"/>
        <v>2.1043966399808167E-3</v>
      </c>
      <c r="J36" s="28">
        <f si="27" t="shared"/>
        <v>0.10445025510565427</v>
      </c>
      <c r="L36" t="str">
        <f>$A$9</f>
        <v>Sumner</v>
      </c>
      <c r="M36" s="28" t="e">
        <f si="20" t="shared"/>
        <v>#DIV/0!</v>
      </c>
      <c r="N36" s="28" t="e">
        <f si="20" t="shared"/>
        <v>#DIV/0!</v>
      </c>
      <c r="O36" s="28" t="e">
        <f si="20" t="shared"/>
        <v>#DIV/0!</v>
      </c>
      <c r="P36" s="28" t="e">
        <f si="20" t="shared"/>
        <v>#DIV/0!</v>
      </c>
      <c r="Q36" s="28" t="e">
        <f si="20" t="shared"/>
        <v>#DIV/0!</v>
      </c>
      <c r="R36" s="28" t="e">
        <f si="20" t="shared"/>
        <v>#DIV/0!</v>
      </c>
      <c r="S36" s="28" t="e">
        <f ref="S36" si="28" t="shared">S22/$U$28</f>
        <v>#DIV/0!</v>
      </c>
      <c r="T36" s="28" t="e">
        <f si="21" t="shared"/>
        <v>#DIV/0!</v>
      </c>
      <c r="U36" s="28" t="e">
        <f>SUM(M36:T36)</f>
        <v>#DIV/0!</v>
      </c>
      <c r="W36" t="str">
        <f>$A$9</f>
        <v>Sumner</v>
      </c>
      <c r="X36" s="28">
        <f si="22" t="shared"/>
        <v>1.5453651792821912E-3</v>
      </c>
      <c r="Y36" s="28">
        <f si="22" t="shared"/>
        <v>9.1928689400013028E-4</v>
      </c>
      <c r="Z36" s="28">
        <f si="22" t="shared"/>
        <v>4.2581822199432844E-2</v>
      </c>
      <c r="AA36" s="28">
        <f si="22" t="shared"/>
        <v>5.7296078370270061E-3</v>
      </c>
      <c r="AB36" s="28">
        <f si="22" t="shared"/>
        <v>4.2882113141694829E-2</v>
      </c>
      <c r="AC36" s="28">
        <f si="22" t="shared"/>
        <v>3.25787343020077E-5</v>
      </c>
      <c r="AD36" s="28">
        <f ref="AD36" si="29" t="shared">AD9/$AF$15</f>
        <v>4.988795748333527E-3</v>
      </c>
      <c r="AE36" s="28">
        <f si="23" t="shared"/>
        <v>5.7706853715817118E-3</v>
      </c>
      <c r="AF36" s="28">
        <f>SUM(X36:AE36)</f>
        <v>0.10445025510565425</v>
      </c>
    </row>
    <row r="37" spans="1:32" x14ac:dyDescent="0.25">
      <c r="A37" t="s">
        <v>77</v>
      </c>
      <c r="B37" s="28">
        <f ref="B37:J37" si="30" t="shared">B23/$J$28</f>
        <v>9.8366348235175106E-4</v>
      </c>
      <c r="C37" s="28">
        <f si="30" t="shared"/>
        <v>7.8814071440146165E-5</v>
      </c>
      <c r="D37" s="28">
        <f si="30" t="shared"/>
        <v>3.0963058678187463E-3</v>
      </c>
      <c r="E37" s="28">
        <f si="30" t="shared"/>
        <v>1.8054287041206193E-2</v>
      </c>
      <c r="F37" s="28">
        <f si="30" t="shared"/>
        <v>1.7555614668349009E-2</v>
      </c>
      <c r="G37" s="28">
        <f si="30" t="shared"/>
        <v>0</v>
      </c>
      <c r="H37" s="28">
        <f si="30" t="shared"/>
        <v>0</v>
      </c>
      <c r="I37" s="28">
        <f si="30" t="shared"/>
        <v>2.696986798146801E-3</v>
      </c>
      <c r="J37" s="28">
        <f si="30" t="shared"/>
        <v>4.2465671929312644E-2</v>
      </c>
      <c r="L37" t="str">
        <f>$A$10</f>
        <v>Roberston</v>
      </c>
      <c r="M37" s="28" t="e">
        <f si="20" t="shared"/>
        <v>#DIV/0!</v>
      </c>
      <c r="N37" s="28" t="e">
        <f si="20" t="shared"/>
        <v>#DIV/0!</v>
      </c>
      <c r="O37" s="28" t="e">
        <f si="20" t="shared"/>
        <v>#DIV/0!</v>
      </c>
      <c r="P37" s="28" t="e">
        <f si="20" t="shared"/>
        <v>#DIV/0!</v>
      </c>
      <c r="Q37" s="28" t="e">
        <f si="20" t="shared"/>
        <v>#DIV/0!</v>
      </c>
      <c r="R37" s="28" t="e">
        <f si="20" t="shared"/>
        <v>#DIV/0!</v>
      </c>
      <c r="S37" s="28" t="e">
        <f ref="S37" si="31" t="shared">S23/$U$28</f>
        <v>#DIV/0!</v>
      </c>
      <c r="T37" s="28" t="e">
        <f si="21" t="shared"/>
        <v>#DIV/0!</v>
      </c>
      <c r="U37" s="28" t="e">
        <f ref="U37:U40" si="32" t="shared">SUM(M37:T37)</f>
        <v>#DIV/0!</v>
      </c>
      <c r="W37" t="str">
        <f>$A$10</f>
        <v>Roberston</v>
      </c>
      <c r="X37" s="28">
        <f si="22" t="shared"/>
        <v>6.3882648566110747E-4</v>
      </c>
      <c r="Y37" s="28">
        <f si="22" t="shared"/>
        <v>1.4447960429586024E-4</v>
      </c>
      <c r="Z37" s="28">
        <f si="22" t="shared"/>
        <v>4.0865064548387918E-3</v>
      </c>
      <c r="AA37" s="28">
        <f si="22" t="shared"/>
        <v>1.796363080078529E-2</v>
      </c>
      <c r="AB37" s="28">
        <f si="22" t="shared"/>
        <v>1.5870093005204099E-2</v>
      </c>
      <c r="AC37" s="28">
        <f si="22" t="shared"/>
        <v>7.082333543914717E-6</v>
      </c>
      <c r="AD37" s="28">
        <f ref="AD37" si="33" t="shared">AD10/$AF$15</f>
        <v>3.8952834491530946E-4</v>
      </c>
      <c r="AE37" s="28">
        <f si="23" t="shared"/>
        <v>3.3655249000682738E-3</v>
      </c>
      <c r="AF37" s="28">
        <f ref="AF37:AF40" si="34" t="shared">SUM(X37:AE37)</f>
        <v>4.2465671929312644E-2</v>
      </c>
    </row>
    <row r="38" spans="1:32" x14ac:dyDescent="0.25">
      <c r="A38" t="s">
        <v>78</v>
      </c>
      <c r="B38" s="28">
        <f ref="B38:J38" si="35" t="shared">B24/$J$28</f>
        <v>3.2983347321010145E-2</v>
      </c>
      <c r="C38" s="28">
        <f si="35" t="shared"/>
        <v>1.0218195963949652E-2</v>
      </c>
      <c r="D38" s="28">
        <f si="35" t="shared"/>
        <v>5.7054977898119428E-3</v>
      </c>
      <c r="E38" s="28">
        <f si="35" t="shared"/>
        <v>1.7170940200200645E-4</v>
      </c>
      <c r="F38" s="28">
        <f si="35" t="shared"/>
        <v>0.36122854450703107</v>
      </c>
      <c r="G38" s="28">
        <f si="35" t="shared"/>
        <v>2.4334550859583756E-3</v>
      </c>
      <c r="H38" s="28">
        <f si="35" t="shared"/>
        <v>5.9046787899234903E-3</v>
      </c>
      <c r="I38" s="28">
        <f si="35" t="shared"/>
        <v>8.3087994350857491E-3</v>
      </c>
      <c r="J38" s="28">
        <f si="35" t="shared"/>
        <v>0.42695422829477248</v>
      </c>
      <c r="L38" t="str">
        <f>$A$11</f>
        <v>Davidson</v>
      </c>
      <c r="M38" s="28" t="e">
        <f si="20" t="shared"/>
        <v>#DIV/0!</v>
      </c>
      <c r="N38" s="28" t="e">
        <f si="20" t="shared"/>
        <v>#DIV/0!</v>
      </c>
      <c r="O38" s="28" t="e">
        <f si="20" t="shared"/>
        <v>#DIV/0!</v>
      </c>
      <c r="P38" s="28" t="e">
        <f si="20" t="shared"/>
        <v>#DIV/0!</v>
      </c>
      <c r="Q38" s="28" t="e">
        <f si="20" t="shared"/>
        <v>#DIV/0!</v>
      </c>
      <c r="R38" s="28" t="e">
        <f si="20" t="shared"/>
        <v>#DIV/0!</v>
      </c>
      <c r="S38" s="28" t="e">
        <f ref="S38" si="36" t="shared">S24/$U$28</f>
        <v>#DIV/0!</v>
      </c>
      <c r="T38" s="28" t="e">
        <f si="21" t="shared"/>
        <v>#DIV/0!</v>
      </c>
      <c r="U38" s="28" t="e">
        <f si="32" t="shared"/>
        <v>#DIV/0!</v>
      </c>
      <c r="W38" t="str">
        <f>$A$11</f>
        <v>Davidson</v>
      </c>
      <c r="X38" s="28">
        <f si="22" t="shared"/>
        <v>3.6802638027598436E-2</v>
      </c>
      <c r="Y38" s="28">
        <f si="22" t="shared"/>
        <v>1.4841738174627682E-2</v>
      </c>
      <c r="Z38" s="28">
        <f si="22" t="shared"/>
        <v>6.3797660563583774E-3</v>
      </c>
      <c r="AA38" s="28">
        <f si="22" t="shared"/>
        <v>2.4561532730296241E-3</v>
      </c>
      <c r="AB38" s="28">
        <f si="22" t="shared"/>
        <v>0.34933610205359344</v>
      </c>
      <c r="AC38" s="28">
        <f si="22" t="shared"/>
        <v>4.4335407984906131E-4</v>
      </c>
      <c r="AD38" s="28">
        <f ref="AD38" si="37" t="shared">AD11/$AF$15</f>
        <v>7.3599610188361739E-3</v>
      </c>
      <c r="AE38" s="28">
        <f si="23" t="shared"/>
        <v>9.3345156108795967E-3</v>
      </c>
      <c r="AF38" s="28">
        <f si="34" t="shared"/>
        <v>0.42695422829477242</v>
      </c>
    </row>
    <row r="39" spans="1:32" x14ac:dyDescent="0.25">
      <c r="A39" t="s">
        <v>79</v>
      </c>
      <c r="B39" s="28">
        <f ref="B39:J39" si="38" t="shared">B25/$J$28</f>
        <v>1.3629924805828003E-2</v>
      </c>
      <c r="C39" s="28">
        <f si="38" t="shared"/>
        <v>2.0314906138759257E-3</v>
      </c>
      <c r="D39" s="28">
        <f si="38" t="shared"/>
        <v>0</v>
      </c>
      <c r="E39" s="28">
        <f si="38" t="shared"/>
        <v>0</v>
      </c>
      <c r="F39" s="28">
        <f si="38" t="shared"/>
        <v>8.2328748228261226E-3</v>
      </c>
      <c r="G39" s="28">
        <f si="38" t="shared"/>
        <v>2.3935162511559364E-2</v>
      </c>
      <c r="H39" s="28">
        <f si="38" t="shared"/>
        <v>0</v>
      </c>
      <c r="I39" s="28">
        <f si="38" t="shared"/>
        <v>3.2525861647498744E-3</v>
      </c>
      <c r="J39" s="28">
        <f si="38" t="shared"/>
        <v>5.1082038918839293E-2</v>
      </c>
      <c r="L39" t="str">
        <f>$A$12</f>
        <v>Maury</v>
      </c>
      <c r="M39" s="28" t="e">
        <f si="20" t="shared"/>
        <v>#DIV/0!</v>
      </c>
      <c r="N39" s="28" t="e">
        <f si="20" t="shared"/>
        <v>#DIV/0!</v>
      </c>
      <c r="O39" s="28" t="e">
        <f si="20" t="shared"/>
        <v>#DIV/0!</v>
      </c>
      <c r="P39" s="28" t="e">
        <f si="20" t="shared"/>
        <v>#DIV/0!</v>
      </c>
      <c r="Q39" s="28" t="e">
        <f si="20" t="shared"/>
        <v>#DIV/0!</v>
      </c>
      <c r="R39" s="28" t="e">
        <f si="20" t="shared"/>
        <v>#DIV/0!</v>
      </c>
      <c r="S39" s="28" t="e">
        <f ref="S39" si="39" t="shared">S25/$U$28</f>
        <v>#DIV/0!</v>
      </c>
      <c r="T39" s="28" t="e">
        <f si="21" t="shared"/>
        <v>#DIV/0!</v>
      </c>
      <c r="U39" s="28" t="e">
        <f si="32" t="shared"/>
        <v>#DIV/0!</v>
      </c>
      <c r="W39" t="str">
        <f>$A$12</f>
        <v>Maury</v>
      </c>
      <c r="X39" s="28">
        <f si="22" t="shared"/>
        <v>7.3217164176990349E-3</v>
      </c>
      <c r="Y39" s="28">
        <f si="22" t="shared"/>
        <v>6.5724055287528583E-4</v>
      </c>
      <c r="Z39" s="28">
        <f si="22" t="shared"/>
        <v>1.8414067214178264E-5</v>
      </c>
      <c r="AA39" s="28">
        <f si="22" t="shared"/>
        <v>1.1331733670263548E-5</v>
      </c>
      <c r="AB39" s="28">
        <f si="22" t="shared"/>
        <v>3.9066151828233584E-3</v>
      </c>
      <c r="AC39" s="28">
        <f si="22" t="shared"/>
        <v>3.8012300596899071E-2</v>
      </c>
      <c r="AD39" s="28">
        <f ref="AD39" si="40" t="shared">AD12/$AF$15</f>
        <v>3.9661067845922414E-5</v>
      </c>
      <c r="AE39" s="28">
        <f si="23" t="shared"/>
        <v>1.1147592998121765E-3</v>
      </c>
      <c r="AF39" s="28">
        <f si="34" t="shared"/>
        <v>5.1082038918839286E-2</v>
      </c>
    </row>
    <row r="40" spans="1:32" x14ac:dyDescent="0.25">
      <c r="A40" t="s">
        <v>80</v>
      </c>
      <c r="B40" s="28">
        <f ref="B40:J40" si="41" t="shared">B26/$J$28</f>
        <v>5.189423712696122E-3</v>
      </c>
      <c r="C40" s="28">
        <f si="41" t="shared"/>
        <v>4.2923429218559859E-3</v>
      </c>
      <c r="D40" s="28">
        <f si="41" t="shared"/>
        <v>5.4015077147644055E-4</v>
      </c>
      <c r="E40" s="28">
        <f si="41" t="shared"/>
        <v>0</v>
      </c>
      <c r="F40" s="28">
        <f si="41" t="shared"/>
        <v>3.5826586134492175E-2</v>
      </c>
      <c r="G40" s="28">
        <f si="41" t="shared"/>
        <v>1.2589608816446598E-4</v>
      </c>
      <c r="H40" s="28">
        <f si="41" t="shared"/>
        <v>2.6750939014186268E-2</v>
      </c>
      <c r="I40" s="28">
        <f si="41" t="shared"/>
        <v>3.5712241590130224E-3</v>
      </c>
      <c r="J40" s="28">
        <f si="41" t="shared"/>
        <v>7.6296562801884474E-2</v>
      </c>
      <c r="L40" t="str">
        <f>$A$13</f>
        <v>Wilson</v>
      </c>
      <c r="M40" s="28" t="e">
        <f si="20" t="shared"/>
        <v>#DIV/0!</v>
      </c>
      <c r="N40" s="28" t="e">
        <f si="20" t="shared"/>
        <v>#DIV/0!</v>
      </c>
      <c r="O40" s="28" t="e">
        <f si="20" t="shared"/>
        <v>#DIV/0!</v>
      </c>
      <c r="P40" s="28" t="e">
        <f si="20" t="shared"/>
        <v>#DIV/0!</v>
      </c>
      <c r="Q40" s="28" t="e">
        <f si="20" t="shared"/>
        <v>#DIV/0!</v>
      </c>
      <c r="R40" s="28" t="e">
        <f si="20" t="shared"/>
        <v>#DIV/0!</v>
      </c>
      <c r="S40" s="28" t="e">
        <f ref="S40" si="42" t="shared">S26/$U$28</f>
        <v>#DIV/0!</v>
      </c>
      <c r="T40" s="28" t="e">
        <f si="20" t="shared"/>
        <v>#DIV/0!</v>
      </c>
      <c r="U40" s="28" t="e">
        <f si="32" t="shared"/>
        <v>#DIV/0!</v>
      </c>
      <c r="W40" t="str">
        <f>$A$13</f>
        <v>Wilson</v>
      </c>
      <c r="X40" s="28">
        <f si="22" t="shared"/>
        <v>1.7719998526874623E-3</v>
      </c>
      <c r="Y40" s="28">
        <f si="22" t="shared"/>
        <v>5.9392449099268819E-3</v>
      </c>
      <c r="Z40" s="28">
        <f si="22" t="shared"/>
        <v>3.480258703479692E-3</v>
      </c>
      <c r="AA40" s="28">
        <f si="22" t="shared"/>
        <v>3.0737327580589874E-4</v>
      </c>
      <c r="AB40" s="28">
        <f si="22" t="shared"/>
        <v>3.3760067537132676E-2</v>
      </c>
      <c r="AC40" s="28">
        <f si="22" t="shared"/>
        <v>3.8244601137139472E-5</v>
      </c>
      <c r="AD40" s="28">
        <f ref="AD40" si="43" t="shared">AD13/$AF$15</f>
        <v>2.9812374819754611E-2</v>
      </c>
      <c r="AE40" s="28">
        <f si="23" t="shared"/>
        <v>1.1869991019601066E-3</v>
      </c>
      <c r="AF40" s="28">
        <f si="34" t="shared"/>
        <v>7.629656280188446E-2</v>
      </c>
    </row>
    <row r="41" spans="1:32" x14ac:dyDescent="0.25">
      <c r="A41" s="8" t="s">
        <v>20</v>
      </c>
      <c r="B41" s="29"/>
      <c r="C41" s="29"/>
      <c r="D41" s="29"/>
      <c r="E41" s="29"/>
      <c r="F41" s="29"/>
      <c r="G41" s="29"/>
      <c r="H41" s="29"/>
      <c r="I41" s="29"/>
      <c r="J41" s="29">
        <f>SUM(B41:I41)</f>
        <v>0</v>
      </c>
      <c r="L41" s="49" t="s">
        <v>20</v>
      </c>
      <c r="M41" s="28" t="e">
        <f si="20" t="shared"/>
        <v>#DIV/0!</v>
      </c>
      <c r="N41" s="28" t="e">
        <f si="20" t="shared"/>
        <v>#DIV/0!</v>
      </c>
      <c r="O41" s="28" t="e">
        <f si="20" t="shared"/>
        <v>#DIV/0!</v>
      </c>
      <c r="P41" s="28" t="e">
        <f si="20" t="shared"/>
        <v>#DIV/0!</v>
      </c>
      <c r="Q41" s="28" t="e">
        <f si="20" t="shared"/>
        <v>#DIV/0!</v>
      </c>
      <c r="R41" s="28" t="e">
        <f si="20" t="shared"/>
        <v>#DIV/0!</v>
      </c>
      <c r="S41" s="28" t="e">
        <f si="20" t="shared"/>
        <v>#DIV/0!</v>
      </c>
      <c r="T41" s="28" t="e">
        <f si="20" t="shared"/>
        <v>#DIV/0!</v>
      </c>
      <c r="U41" s="46" t="e">
        <f>SUM(M41:T41)</f>
        <v>#DIV/0!</v>
      </c>
      <c r="W41" s="8" t="s">
        <v>20</v>
      </c>
      <c r="X41" s="29">
        <f ref="X41:AD41" si="44" t="shared">X14/$AF$15</f>
        <v>0</v>
      </c>
      <c r="Y41" s="29">
        <f si="44" t="shared"/>
        <v>0</v>
      </c>
      <c r="Z41" s="29">
        <f si="44" t="shared"/>
        <v>0</v>
      </c>
      <c r="AA41" s="29">
        <f si="44" t="shared"/>
        <v>0</v>
      </c>
      <c r="AB41" s="29">
        <f si="44" t="shared"/>
        <v>0</v>
      </c>
      <c r="AC41" s="29">
        <f si="44" t="shared"/>
        <v>0</v>
      </c>
      <c r="AD41" s="29">
        <f si="44" t="shared"/>
        <v>0</v>
      </c>
      <c r="AE41" s="29">
        <f>AE14/$AF$15</f>
        <v>0</v>
      </c>
      <c r="AF41" s="29">
        <f>SUM(X41:AE41)</f>
        <v>0</v>
      </c>
    </row>
    <row ht="15.75" r="42" spans="1:32" thickBot="1" x14ac:dyDescent="0.3">
      <c r="A42" s="1" t="s">
        <v>4</v>
      </c>
      <c r="B42" s="30">
        <f>SUM(B34:B41)</f>
        <v>0.12285722785717951</v>
      </c>
      <c r="C42" s="30">
        <f>SUM(C34:C41)</f>
        <v>0.12655867345258526</v>
      </c>
      <c r="D42" s="30">
        <f>SUM(D34:D41)</f>
        <v>5.5561310222644544E-2</v>
      </c>
      <c r="E42" s="30">
        <f ref="E42:H42" si="45" t="shared">SUM(E34:E41)</f>
        <v>2.3055043725178526E-2</v>
      </c>
      <c r="F42" s="30">
        <f si="45" t="shared"/>
        <v>0.57368729518020478</v>
      </c>
      <c r="G42" s="30">
        <f si="45" t="shared"/>
        <v>2.7649434518646501E-2</v>
      </c>
      <c r="H42" s="30">
        <f si="45" t="shared"/>
        <v>3.6962462567603938E-2</v>
      </c>
      <c r="I42" s="30">
        <f>SUM(I34:I41)</f>
        <v>3.3668552475956959E-2</v>
      </c>
      <c r="J42" s="30">
        <f>SUM(J34:J41)</f>
        <v>1.0000000000000002</v>
      </c>
      <c r="L42" s="50" t="s">
        <v>4</v>
      </c>
      <c r="M42" s="51" t="e">
        <f>SUM(M34:M41)</f>
        <v>#DIV/0!</v>
      </c>
      <c r="N42" s="51" t="e">
        <f ref="N42:S42" si="46" t="shared">SUM(N34:N41)</f>
        <v>#DIV/0!</v>
      </c>
      <c r="O42" s="51" t="e">
        <f si="46" t="shared"/>
        <v>#DIV/0!</v>
      </c>
      <c r="P42" s="51" t="e">
        <f si="46" t="shared"/>
        <v>#DIV/0!</v>
      </c>
      <c r="Q42" s="51" t="e">
        <f si="46" t="shared"/>
        <v>#DIV/0!</v>
      </c>
      <c r="R42" s="51" t="e">
        <f si="46" t="shared"/>
        <v>#DIV/0!</v>
      </c>
      <c r="S42" s="51" t="e">
        <f si="46" t="shared"/>
        <v>#DIV/0!</v>
      </c>
      <c r="T42" s="51" t="e">
        <f>SUM(T34:T41)</f>
        <v>#DIV/0!</v>
      </c>
      <c r="U42" s="51" t="e">
        <f>SUM(U34:U41)</f>
        <v>#DIV/0!</v>
      </c>
      <c r="W42" s="1" t="s">
        <v>4</v>
      </c>
      <c r="X42" s="30">
        <f>SUM(X34:X41)</f>
        <v>0.11776929156834026</v>
      </c>
      <c r="Y42" s="30">
        <f>SUM(Y34:Y41)</f>
        <v>0.14101492672617716</v>
      </c>
      <c r="Z42" s="30">
        <f>SUM(Z34:Z41)</f>
        <v>5.7446223841401051E-2</v>
      </c>
      <c r="AA42" s="30">
        <f ref="AA42:AD42" si="47" t="shared">SUM(AA34:AA41)</f>
        <v>2.6656486992586211E-2</v>
      </c>
      <c r="AB42" s="30">
        <f si="47" t="shared"/>
        <v>0.53483233283568132</v>
      </c>
      <c r="AC42" s="30">
        <f si="47" t="shared"/>
        <v>4.4700856395772127E-2</v>
      </c>
      <c r="AD42" s="30">
        <f si="47" t="shared"/>
        <v>4.8481406041513804E-2</v>
      </c>
      <c r="AE42" s="30">
        <f>SUM(AE34:AE41)</f>
        <v>2.9098475598528011E-2</v>
      </c>
      <c r="AF42" s="30">
        <f>SUM(AF34:AF41)</f>
        <v>1</v>
      </c>
    </row>
    <row ht="15.75" r="46" spans="1:32" thickBot="1" x14ac:dyDescent="0.3">
      <c r="W46" s="32" t="s">
        <v>67</v>
      </c>
      <c r="X46" s="33"/>
      <c r="Y46" s="33"/>
      <c r="Z46" s="33"/>
      <c r="AA46" s="33"/>
      <c r="AB46" s="33"/>
      <c r="AC46" s="33"/>
      <c r="AD46" s="33"/>
      <c r="AE46" s="33"/>
      <c r="AF46" s="33"/>
    </row>
    <row r="47" spans="1:32" x14ac:dyDescent="0.25">
      <c r="W47" s="34" t="s">
        <v>18</v>
      </c>
      <c r="X47" s="2" t="str">
        <f>$A$7</f>
        <v>Williamson</v>
      </c>
      <c r="Y47" s="2" t="str">
        <f>$A$8</f>
        <v>Rutherford</v>
      </c>
      <c r="Z47" s="2" t="str">
        <f>$A$9</f>
        <v>Sumner</v>
      </c>
      <c r="AA47" s="2" t="str">
        <f>$A$10</f>
        <v>Roberston</v>
      </c>
      <c r="AB47" s="2" t="str">
        <f>$A$11</f>
        <v>Davidson</v>
      </c>
      <c r="AC47" s="2" t="str">
        <f>$A$12</f>
        <v>Maury</v>
      </c>
      <c r="AD47" s="2" t="str">
        <f>$A$13</f>
        <v>Wilson</v>
      </c>
      <c r="AE47" s="3" t="str">
        <f>$A$14</f>
        <v>Outside</v>
      </c>
      <c r="AF47" s="44" t="s">
        <v>4</v>
      </c>
    </row>
    <row r="48" spans="1:32" x14ac:dyDescent="0.25">
      <c r="W48" t="str">
        <f>$A$7</f>
        <v>Williamson</v>
      </c>
      <c r="X48" s="36">
        <f>X34-B34</f>
        <v>3.8726775531539026E-4</v>
      </c>
      <c r="Y48" s="36">
        <f ref="Y48:AF48" si="48" t="shared">Y34-C34</f>
        <v>1.3070498121922043E-3</v>
      </c>
      <c r="Z48" s="36">
        <f si="48" t="shared"/>
        <v>-9.7941798546719353E-6</v>
      </c>
      <c r="AA48" s="36">
        <f si="48" t="shared"/>
        <v>1.1048440328506959E-4</v>
      </c>
      <c r="AB48" s="36">
        <f si="48" t="shared"/>
        <v>-5.430888486225513E-3</v>
      </c>
      <c r="AC48" s="36">
        <f si="48" t="shared"/>
        <v>4.5805009198718345E-3</v>
      </c>
      <c r="AD48" s="36">
        <f si="48" t="shared"/>
        <v>3.7820690760679285E-4</v>
      </c>
      <c r="AE48" s="36">
        <f si="48" t="shared"/>
        <v>-1.3228271321911156E-3</v>
      </c>
      <c r="AF48" s="36">
        <f si="48" t="shared"/>
        <v>0</v>
      </c>
    </row>
    <row r="49" spans="23:32" x14ac:dyDescent="0.25">
      <c r="W49" t="str">
        <f>$A$8</f>
        <v>Rutherford</v>
      </c>
      <c r="X49" s="36">
        <f ref="X49:AF49" si="49" t="shared">X35-B35</f>
        <v>1.3711415266843378E-3</v>
      </c>
      <c r="Y49" s="36">
        <f si="49" t="shared"/>
        <v>9.7473342810612401E-3</v>
      </c>
      <c r="Z49" s="36">
        <f si="49" t="shared"/>
        <v>5.0007752476480152E-4</v>
      </c>
      <c r="AA49" s="36">
        <f si="49" t="shared"/>
        <v>-5.7946038294060486E-5</v>
      </c>
      <c r="AB49" s="36">
        <f si="49" t="shared"/>
        <v>-1.0767987394596987E-2</v>
      </c>
      <c r="AC49" s="36">
        <f si="49" t="shared"/>
        <v>5.7791841718344097E-4</v>
      </c>
      <c r="AD49" s="36">
        <f si="49" t="shared"/>
        <v>2.7152025157607088E-3</v>
      </c>
      <c r="AE49" s="36">
        <f si="49" t="shared"/>
        <v>-4.0857408325634349E-3</v>
      </c>
      <c r="AF49" s="36">
        <f si="49" t="shared"/>
        <v>0</v>
      </c>
    </row>
    <row r="50" spans="23:32" x14ac:dyDescent="0.25">
      <c r="W50" t="str">
        <f>$A$9</f>
        <v>Sumner</v>
      </c>
      <c r="X50" s="36">
        <f ref="X50:AF50" si="50" t="shared">X36-B36</f>
        <v>-5.9516703259898207E-4</v>
      </c>
      <c r="Y50" s="36">
        <f si="50" t="shared"/>
        <v>-1.5599904902655469E-3</v>
      </c>
      <c r="Z50" s="36">
        <f si="50" t="shared"/>
        <v>-3.2283605789375294E-3</v>
      </c>
      <c r="AA50" s="36">
        <f si="50" t="shared"/>
        <v>1.0364122623338044E-3</v>
      </c>
      <c r="AB50" s="36">
        <f si="50" t="shared"/>
        <v>-2.685344109756134E-3</v>
      </c>
      <c r="AC50" s="36">
        <f si="50" t="shared"/>
        <v>-1.1346538567662661E-4</v>
      </c>
      <c r="AD50" s="36">
        <f si="50" t="shared"/>
        <v>3.4796266033001065E-3</v>
      </c>
      <c r="AE50" s="36">
        <f si="50" t="shared"/>
        <v>3.6662887316008951E-3</v>
      </c>
      <c r="AF50" s="36">
        <f si="50" t="shared"/>
        <v>0</v>
      </c>
    </row>
    <row r="51" spans="23:32" x14ac:dyDescent="0.25">
      <c r="W51" t="str">
        <f>$A$10</f>
        <v>Roberston</v>
      </c>
      <c r="X51" s="36">
        <f ref="X51:AF51" si="51" t="shared">X37-B37</f>
        <v>-3.448369966906436E-4</v>
      </c>
      <c r="Y51" s="36">
        <f si="51" t="shared"/>
        <v>6.5665532855714077E-5</v>
      </c>
      <c r="Z51" s="36">
        <f si="51" t="shared"/>
        <v>9.9020058702004553E-4</v>
      </c>
      <c r="AA51" s="36">
        <f si="51" t="shared"/>
        <v>-9.0656240420903395E-5</v>
      </c>
      <c r="AB51" s="36">
        <f si="51" t="shared"/>
        <v>-1.6855216631449094E-3</v>
      </c>
      <c r="AC51" s="36">
        <f si="51" t="shared"/>
        <v>7.082333543914717E-6</v>
      </c>
      <c r="AD51" s="36">
        <f si="51" t="shared"/>
        <v>3.8952834491530946E-4</v>
      </c>
      <c r="AE51" s="36">
        <f si="51" t="shared"/>
        <v>6.6853810192147277E-4</v>
      </c>
      <c r="AF51" s="36">
        <f si="51" t="shared"/>
        <v>0</v>
      </c>
    </row>
    <row r="52" spans="23:32" x14ac:dyDescent="0.25">
      <c r="W52" t="str">
        <f>$A$11</f>
        <v>Davidson</v>
      </c>
      <c r="X52" s="36">
        <f ref="X52:AF52" si="52" t="shared">X38-B38</f>
        <v>3.8192907065882908E-3</v>
      </c>
      <c r="Y52" s="36">
        <f si="52" t="shared"/>
        <v>4.6235422106780302E-3</v>
      </c>
      <c r="Z52" s="36">
        <f si="52" t="shared"/>
        <v>6.7426826654643467E-4</v>
      </c>
      <c r="AA52" s="36">
        <f si="52" t="shared"/>
        <v>2.2844438710276178E-3</v>
      </c>
      <c r="AB52" s="36">
        <f si="52" t="shared"/>
        <v>-1.1892442453437624E-2</v>
      </c>
      <c r="AC52" s="36">
        <f si="52" t="shared"/>
        <v>-1.9901010061093142E-3</v>
      </c>
      <c r="AD52" s="36">
        <f si="52" t="shared"/>
        <v>1.4552822289126835E-3</v>
      </c>
      <c r="AE52" s="36">
        <f si="52" t="shared"/>
        <v>1.0257161757938477E-3</v>
      </c>
      <c r="AF52" s="36">
        <f si="52" t="shared"/>
        <v>0</v>
      </c>
    </row>
    <row r="53" spans="23:32" x14ac:dyDescent="0.25">
      <c r="W53" t="str">
        <f>$A$12</f>
        <v>Maury</v>
      </c>
      <c r="X53" s="36">
        <f ref="X53:AF53" si="53" t="shared">X39-B39</f>
        <v>-6.3082083881289682E-3</v>
      </c>
      <c r="Y53" s="36">
        <f si="53" t="shared"/>
        <v>-1.3742500610006399E-3</v>
      </c>
      <c r="Z53" s="36">
        <f si="53" t="shared"/>
        <v>1.8414067214178264E-5</v>
      </c>
      <c r="AA53" s="36">
        <f si="53" t="shared"/>
        <v>1.1331733670263548E-5</v>
      </c>
      <c r="AB53" s="36">
        <f si="53" t="shared"/>
        <v>-4.3262596400027642E-3</v>
      </c>
      <c r="AC53" s="36">
        <f si="53" t="shared"/>
        <v>1.4077138085339707E-2</v>
      </c>
      <c r="AD53" s="36">
        <f si="53" t="shared"/>
        <v>3.9661067845922414E-5</v>
      </c>
      <c r="AE53" s="36">
        <f si="53" t="shared"/>
        <v>-2.1378268649376976E-3</v>
      </c>
      <c r="AF53" s="36">
        <f si="53" t="shared"/>
        <v>0</v>
      </c>
    </row>
    <row r="54" spans="23:32" x14ac:dyDescent="0.25">
      <c r="W54" t="str">
        <f>$A$13</f>
        <v>Wilson</v>
      </c>
      <c r="X54" s="36">
        <f ref="X54:AF54" si="54" t="shared">X40-B40</f>
        <v>-3.4174238600086599E-3</v>
      </c>
      <c r="Y54" s="36">
        <f si="54" t="shared"/>
        <v>1.646901988070896E-3</v>
      </c>
      <c r="Z54" s="36">
        <f si="54" t="shared"/>
        <v>2.9401079320032514E-3</v>
      </c>
      <c r="AA54" s="36">
        <f si="54" t="shared"/>
        <v>3.0737327580589874E-4</v>
      </c>
      <c r="AB54" s="36">
        <f si="54" t="shared"/>
        <v>-2.0665185973594985E-3</v>
      </c>
      <c r="AC54" s="36">
        <f si="54" t="shared"/>
        <v>-8.7651487027326513E-5</v>
      </c>
      <c r="AD54" s="36">
        <f si="54" t="shared"/>
        <v>3.0614358055683424E-3</v>
      </c>
      <c r="AE54" s="36">
        <f si="54" t="shared"/>
        <v>-2.3842250570529156E-3</v>
      </c>
      <c r="AF54" s="36">
        <f si="54" t="shared"/>
        <v>0</v>
      </c>
    </row>
    <row r="55" spans="23:32" x14ac:dyDescent="0.25">
      <c r="W55" s="37" t="s">
        <v>20</v>
      </c>
      <c r="X55" s="45">
        <f ref="X55:AF55" si="55" t="shared">X41-B41</f>
        <v>0</v>
      </c>
      <c r="Y55" s="45">
        <f si="55" t="shared"/>
        <v>0</v>
      </c>
      <c r="Z55" s="45">
        <f si="55" t="shared"/>
        <v>0</v>
      </c>
      <c r="AA55" s="45">
        <f si="55" t="shared"/>
        <v>0</v>
      </c>
      <c r="AB55" s="45">
        <f si="55" t="shared"/>
        <v>0</v>
      </c>
      <c r="AC55" s="45">
        <f si="55" t="shared"/>
        <v>0</v>
      </c>
      <c r="AD55" s="45">
        <f si="55" t="shared"/>
        <v>0</v>
      </c>
      <c r="AE55" s="45">
        <f si="55" t="shared"/>
        <v>0</v>
      </c>
      <c r="AF55" s="36">
        <f si="55" t="shared"/>
        <v>0</v>
      </c>
    </row>
    <row ht="15.75" r="56" spans="23:32" thickBot="1" x14ac:dyDescent="0.3">
      <c r="W56" s="33" t="s">
        <v>4</v>
      </c>
      <c r="X56" s="38">
        <f ref="X56:AF56" si="56" t="shared">X42-B42</f>
        <v>-5.0879362888392454E-3</v>
      </c>
      <c r="Y56" s="38">
        <f si="56" t="shared"/>
        <v>1.4456253273591901E-2</v>
      </c>
      <c r="Z56" s="38">
        <f si="56" t="shared"/>
        <v>1.8849136187565063E-3</v>
      </c>
      <c r="AA56" s="38">
        <f si="56" t="shared"/>
        <v>3.6014432674076856E-3</v>
      </c>
      <c r="AB56" s="38">
        <f si="56" t="shared"/>
        <v>-3.8854962344523458E-2</v>
      </c>
      <c r="AC56" s="38">
        <f si="56" t="shared"/>
        <v>1.7051421877125626E-2</v>
      </c>
      <c r="AD56" s="38">
        <f si="56" t="shared"/>
        <v>1.1518943473909866E-2</v>
      </c>
      <c r="AE56" s="38">
        <f si="56" t="shared"/>
        <v>-4.5700768774289482E-3</v>
      </c>
      <c r="AF56" s="48">
        <f si="56" t="shared"/>
        <v>0</v>
      </c>
    </row>
  </sheetData>
  <pageMargins bottom="0.75" footer="0.3" header="0.3" left="0.7" right="0.7" top="0.75"/>
  <pageSetup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Z36"/>
  <sheetViews>
    <sheetView topLeftCell="A2" workbookViewId="0" zoomScaleNormal="100">
      <selection activeCell="O27" sqref="O27:S37"/>
    </sheetView>
  </sheetViews>
  <sheetFormatPr defaultRowHeight="15" x14ac:dyDescent="0.25"/>
  <cols>
    <col min="2" max="2" bestFit="true" customWidth="true" width="9.5703125" collapsed="true"/>
    <col min="3" max="4" bestFit="true" customWidth="true" width="9.28515625" collapsed="true"/>
    <col min="5" max="5" bestFit="true" customWidth="true" width="9.5703125" collapsed="true"/>
    <col min="14" max="15" bestFit="true" customWidth="true" width="9.5703125" collapsed="true"/>
  </cols>
  <sheetData>
    <row r="1" spans="1:26" x14ac:dyDescent="0.25">
      <c r="A1" t="s">
        <v>30</v>
      </c>
    </row>
    <row r="2" spans="1:26" x14ac:dyDescent="0.25">
      <c r="A2" t="s">
        <v>237</v>
      </c>
    </row>
    <row r="3" spans="1:26" x14ac:dyDescent="0.25">
      <c r="A3" t="s">
        <v>45</v>
      </c>
    </row>
    <row ht="15.75" r="5" spans="1:26" thickBot="1" x14ac:dyDescent="0.3">
      <c r="A5" s="4" t="s">
        <v>231</v>
      </c>
      <c r="B5" s="1"/>
      <c r="C5" s="1"/>
      <c r="D5" s="1"/>
      <c r="E5" s="1"/>
      <c r="H5" s="4" t="s">
        <v>46</v>
      </c>
      <c r="I5" s="1"/>
      <c r="J5" s="1"/>
      <c r="K5" s="1"/>
      <c r="L5" s="1"/>
      <c r="O5" s="4" t="s">
        <v>68</v>
      </c>
      <c r="P5" s="1"/>
      <c r="Q5" s="1"/>
      <c r="R5" s="1"/>
      <c r="S5" s="1"/>
      <c r="V5" s="4" t="s">
        <v>71</v>
      </c>
      <c r="W5" s="1"/>
      <c r="X5" s="1"/>
      <c r="Y5" s="1"/>
      <c r="Z5" s="1"/>
    </row>
    <row r="6" spans="1:26" x14ac:dyDescent="0.25">
      <c r="A6" s="2"/>
      <c r="B6" s="3" t="s">
        <v>12</v>
      </c>
      <c r="C6" s="3" t="s">
        <v>13</v>
      </c>
      <c r="D6" s="3" t="s">
        <v>14</v>
      </c>
      <c r="E6" s="3" t="s">
        <v>4</v>
      </c>
      <c r="H6" s="2"/>
      <c r="I6" s="3" t="s">
        <v>12</v>
      </c>
      <c r="J6" s="3" t="s">
        <v>13</v>
      </c>
      <c r="K6" s="3" t="s">
        <v>14</v>
      </c>
      <c r="L6" s="3" t="s">
        <v>4</v>
      </c>
      <c r="O6" s="2"/>
      <c r="P6" s="3" t="s">
        <v>12</v>
      </c>
      <c r="Q6" s="3" t="s">
        <v>13</v>
      </c>
      <c r="R6" s="3" t="s">
        <v>14</v>
      </c>
      <c r="S6" s="3" t="s">
        <v>4</v>
      </c>
      <c r="V6" s="2"/>
      <c r="W6" s="3" t="s">
        <v>12</v>
      </c>
      <c r="X6" s="3" t="s">
        <v>13</v>
      </c>
      <c r="Y6" s="3" t="s">
        <v>14</v>
      </c>
      <c r="Z6" s="3" t="s">
        <v>4</v>
      </c>
    </row>
    <row r="7" spans="1:26" x14ac:dyDescent="0.25">
      <c r="A7" s="47" t="s">
        <v>74</v>
      </c>
      <c r="B7" s="18" t="n">
        <v>668.396</v>
      </c>
      <c r="C7" s="18" t="n">
        <v>32.1217</v>
      </c>
      <c r="D7" s="18" t="n">
        <v>0.0</v>
      </c>
      <c r="E7" s="18">
        <f>SUM(B7:D7)</f>
        <v>2862.3406522273872</v>
      </c>
      <c r="F7" s="18"/>
      <c r="G7" s="18"/>
      <c r="H7" t="str">
        <f>$A$7</f>
        <v>Williamson</v>
      </c>
      <c r="I7" s="18" t="n">
        <v>956.0</v>
      </c>
      <c r="J7" s="18" t="n">
        <v>934.0</v>
      </c>
      <c r="K7" s="18" t="n">
        <v>353.0</v>
      </c>
      <c r="L7" s="18">
        <f>SUM(I7:K7)</f>
        <v>2708</v>
      </c>
      <c r="O7" t="str">
        <f>$A$7</f>
        <v>Williamson</v>
      </c>
      <c r="P7" s="18">
        <f>I7-B7</f>
        <v>-492.09876348592752</v>
      </c>
      <c r="Q7" s="18">
        <f ref="Q7:Q14" si="0" t="shared">J7-C7</f>
        <v>280.75811125854057</v>
      </c>
      <c r="R7" s="18">
        <f ref="R7:R14" si="1" t="shared">K7-D7</f>
        <v>57</v>
      </c>
      <c r="S7" s="18">
        <f ref="S7:S14" si="2" t="shared">L7-E7</f>
        <v>-154.34065222738718</v>
      </c>
      <c r="V7" t="str">
        <f>$A$7</f>
        <v>Williamson</v>
      </c>
      <c r="W7" s="18"/>
      <c r="X7" s="18"/>
      <c r="Y7" s="18"/>
      <c r="Z7" s="18"/>
    </row>
    <row r="8" spans="1:26" x14ac:dyDescent="0.25">
      <c r="A8" t="s">
        <v>75</v>
      </c>
      <c r="B8" s="18" t="n">
        <v>119.0352</v>
      </c>
      <c r="C8" s="18" t="n">
        <v>640.2801</v>
      </c>
      <c r="D8" s="18" t="n">
        <v>266.2527</v>
      </c>
      <c r="E8" s="18">
        <f ref="E8:E11" si="3" t="shared">SUM(B8:D8)</f>
        <v>2810.2819950740413</v>
      </c>
      <c r="F8" s="18"/>
      <c r="G8" s="18"/>
      <c r="H8" t="str">
        <f>$A$8</f>
        <v>Rutherford</v>
      </c>
      <c r="I8" s="18" t="n">
        <v>433.0</v>
      </c>
      <c r="J8" s="18" t="n">
        <v>453.0</v>
      </c>
      <c r="K8" s="18" t="n">
        <v>175.0</v>
      </c>
      <c r="L8" s="18">
        <f ref="L8:L13" si="4" t="shared">SUM(I8:K8)</f>
        <v>4222</v>
      </c>
      <c r="O8" t="str">
        <f>$A$8</f>
        <v>Rutherford</v>
      </c>
      <c r="P8" s="18">
        <f ref="P8:P14" si="5" t="shared">I8-B8</f>
        <v>1183.1365129931612</v>
      </c>
      <c r="Q8" s="18">
        <f si="0" t="shared"/>
        <v>141.51307920198383</v>
      </c>
      <c r="R8" s="18">
        <f si="1" t="shared"/>
        <v>87.068412730813705</v>
      </c>
      <c r="S8" s="18">
        <f si="2" t="shared"/>
        <v>1411.7180049259587</v>
      </c>
      <c r="V8" t="str">
        <f>$A$8</f>
        <v>Rutherford</v>
      </c>
      <c r="W8" s="18"/>
      <c r="X8" s="18"/>
      <c r="Y8" s="18"/>
      <c r="Z8" s="18"/>
    </row>
    <row r="9" spans="1:26" x14ac:dyDescent="0.25">
      <c r="A9" t="s">
        <v>76</v>
      </c>
      <c r="B9" s="18" t="n">
        <v>271.6149</v>
      </c>
      <c r="C9" s="18" t="n">
        <v>271.0947</v>
      </c>
      <c r="D9" s="18" t="n">
        <v>171.7215</v>
      </c>
      <c r="E9" s="18">
        <f si="3" t="shared"/>
        <v>2611.492556360356</v>
      </c>
      <c r="F9" s="18"/>
      <c r="G9" s="18"/>
      <c r="H9" t="str">
        <f>$A$9</f>
        <v>Sumner</v>
      </c>
      <c r="I9" s="18" t="n">
        <v>472.0</v>
      </c>
      <c r="J9" s="18" t="n">
        <v>521.0</v>
      </c>
      <c r="K9" s="18" t="n">
        <v>366.0</v>
      </c>
      <c r="L9" s="18">
        <f si="4" t="shared"/>
        <v>2620</v>
      </c>
      <c r="O9" t="str">
        <f>$A$9</f>
        <v>Sumner</v>
      </c>
      <c r="P9" s="18">
        <f ref="P9:P11" si="6" t="shared">I9-B9</f>
        <v>534.71879130236903</v>
      </c>
      <c r="Q9" s="18">
        <f ref="Q9:Q11" si="7" t="shared">J9-C9</f>
        <v>-495.31535173176962</v>
      </c>
      <c r="R9" s="18">
        <f ref="R9:R11" si="8" t="shared">K9-D9</f>
        <v>-30.895995930955394</v>
      </c>
      <c r="S9" s="18">
        <f ref="S9:S11" si="9" t="shared">L9-E9</f>
        <v>8.5074436396439523</v>
      </c>
      <c r="V9" t="str">
        <f>$A$9</f>
        <v>Sumner</v>
      </c>
      <c r="W9" s="18"/>
      <c r="X9" s="18"/>
      <c r="Y9" s="18"/>
      <c r="Z9" s="18"/>
    </row>
    <row r="10" spans="1:26" x14ac:dyDescent="0.25">
      <c r="A10" t="s">
        <v>77</v>
      </c>
      <c r="B10" s="18" t="n">
        <v>340.071</v>
      </c>
      <c r="C10" s="18" t="n">
        <v>108.4825</v>
      </c>
      <c r="D10" s="18" t="n">
        <v>42.3775</v>
      </c>
      <c r="E10" s="18">
        <f si="3" t="shared"/>
        <v>100.6294432601223</v>
      </c>
      <c r="F10" s="18"/>
      <c r="G10" s="18"/>
      <c r="H10" t="str">
        <f>$A$10</f>
        <v>Roberston</v>
      </c>
      <c r="I10" s="18" t="n">
        <v>342.0</v>
      </c>
      <c r="J10" s="18" t="n">
        <v>251.0</v>
      </c>
      <c r="K10" s="18" t="n">
        <v>161.0</v>
      </c>
      <c r="L10" s="18">
        <f si="4" t="shared"/>
        <v>1065</v>
      </c>
      <c r="O10" t="str">
        <f>$A$10</f>
        <v>Roberston</v>
      </c>
      <c r="P10" s="18">
        <f si="6" t="shared"/>
        <v>609.37055673987766</v>
      </c>
      <c r="Q10" s="18">
        <f si="7" t="shared"/>
        <v>329</v>
      </c>
      <c r="R10" s="18">
        <f si="8" t="shared"/>
        <v>26</v>
      </c>
      <c r="S10" s="18">
        <f si="9" t="shared"/>
        <v>964.37055673987766</v>
      </c>
      <c r="V10" t="str">
        <f>$A$10</f>
        <v>Roberston</v>
      </c>
      <c r="W10" s="18"/>
      <c r="X10" s="18"/>
      <c r="Y10" s="18"/>
      <c r="Z10" s="18"/>
    </row>
    <row r="11" spans="1:26" x14ac:dyDescent="0.25">
      <c r="A11" t="s">
        <v>78</v>
      </c>
      <c r="B11" s="18" t="n">
        <v>807.4145</v>
      </c>
      <c r="C11" s="18" t="n">
        <v>514.3527</v>
      </c>
      <c r="D11" s="18" t="n">
        <v>0.0</v>
      </c>
      <c r="E11" s="18">
        <f si="3" t="shared"/>
        <v>8563.5322823156876</v>
      </c>
      <c r="F11" s="18"/>
      <c r="G11" s="18"/>
      <c r="H11" t="str">
        <f>$A$11</f>
        <v>Davidson</v>
      </c>
      <c r="I11" s="18" t="n">
        <v>416.0</v>
      </c>
      <c r="J11" s="18" t="n">
        <v>483.0</v>
      </c>
      <c r="K11" s="18" t="n">
        <v>176.0</v>
      </c>
      <c r="L11" s="18">
        <f si="4" t="shared"/>
        <v>8534</v>
      </c>
      <c r="O11" t="str">
        <f>$A$11</f>
        <v>Davidson</v>
      </c>
      <c r="P11" s="18">
        <f si="6" t="shared"/>
        <v>1202.1095103726775</v>
      </c>
      <c r="Q11" s="18">
        <f si="7" t="shared"/>
        <v>-738.74928643805379</v>
      </c>
      <c r="R11" s="18">
        <f si="8" t="shared"/>
        <v>-492.89250625031207</v>
      </c>
      <c r="S11" s="18">
        <f si="9" t="shared"/>
        <v>-29.532282315687553</v>
      </c>
      <c r="V11" t="str">
        <f>$A$11</f>
        <v>Davidson</v>
      </c>
      <c r="W11" s="18"/>
      <c r="X11" s="18"/>
      <c r="Y11" s="18"/>
      <c r="Z11" s="18"/>
    </row>
    <row r="12" spans="1:26" x14ac:dyDescent="0.25">
      <c r="A12" t="s">
        <v>79</v>
      </c>
      <c r="B12" s="19" t="n">
        <v>1326.6875</v>
      </c>
      <c r="C12" s="19" t="n">
        <v>1120.346</v>
      </c>
      <c r="D12" s="19" t="n">
        <v>0.0</v>
      </c>
      <c r="E12" s="19">
        <f ref="E12:E13" si="10" t="shared">SUM(B12:D12)</f>
        <v>651.17494836616538</v>
      </c>
      <c r="F12" s="18"/>
      <c r="G12" s="18"/>
      <c r="H12" t="str">
        <f>$A$12</f>
        <v>Maury</v>
      </c>
      <c r="I12" s="19" t="n">
        <v>1042.0</v>
      </c>
      <c r="J12" s="19" t="n">
        <v>996.0</v>
      </c>
      <c r="K12" s="19" t="n">
        <v>394.0</v>
      </c>
      <c r="L12" s="19">
        <f si="4" t="shared"/>
        <v>1504</v>
      </c>
      <c r="O12" t="str">
        <f>$A$12</f>
        <v>Maury</v>
      </c>
      <c r="P12" s="19">
        <f si="5" t="shared"/>
        <v>839.79360826536379</v>
      </c>
      <c r="Q12" s="19">
        <f si="0" t="shared"/>
        <v>129.42909164907587</v>
      </c>
      <c r="R12" s="19">
        <f si="1" t="shared"/>
        <v>-116.39764828060501</v>
      </c>
      <c r="S12" s="19">
        <f si="2" t="shared"/>
        <v>852.82505163383462</v>
      </c>
      <c r="V12" t="str">
        <f>$A$12</f>
        <v>Maury</v>
      </c>
      <c r="W12" s="19"/>
      <c r="X12" s="19"/>
      <c r="Y12" s="19"/>
      <c r="Z12" s="19"/>
    </row>
    <row r="13" spans="1:26" x14ac:dyDescent="0.25">
      <c r="A13" t="s">
        <v>80</v>
      </c>
      <c r="B13" s="20" t="n">
        <v>549.1925</v>
      </c>
      <c r="C13" s="20" t="n">
        <v>93.9782</v>
      </c>
      <c r="D13" s="20" t="n">
        <v>0.0</v>
      </c>
      <c r="E13" s="19">
        <f si="10" t="shared"/>
        <v>1872.4754281337432</v>
      </c>
      <c r="F13" s="18"/>
      <c r="G13" s="18"/>
      <c r="H13" s="18" t="str">
        <f>$A$13</f>
        <v>Wilson</v>
      </c>
      <c r="I13" s="20" t="n">
        <v>961.0</v>
      </c>
      <c r="J13" s="20" t="n">
        <v>979.0</v>
      </c>
      <c r="K13" s="20" t="n">
        <v>388.0</v>
      </c>
      <c r="L13" s="19">
        <f si="4" t="shared"/>
        <v>1914</v>
      </c>
      <c r="O13" s="18" t="str">
        <f>$A$13</f>
        <v>Wilson</v>
      </c>
      <c r="P13" s="20">
        <f si="5" t="shared"/>
        <v>121.4725049998051</v>
      </c>
      <c r="Q13" s="20">
        <f si="0" t="shared"/>
        <v>-116.9479331335483</v>
      </c>
      <c r="R13" s="20">
        <f si="1" t="shared"/>
        <v>37</v>
      </c>
      <c r="S13" s="19">
        <f si="2" t="shared"/>
        <v>41.524571866256792</v>
      </c>
      <c r="V13" s="18" t="str">
        <f>$A$13</f>
        <v>Wilson</v>
      </c>
      <c r="W13" s="20"/>
      <c r="X13" s="20"/>
      <c r="Y13" s="20"/>
      <c r="Z13" s="20"/>
    </row>
    <row ht="15.75" r="14" spans="1:26" thickBot="1" x14ac:dyDescent="0.3">
      <c r="A14" s="22" t="s">
        <v>4</v>
      </c>
      <c r="B14" s="22">
        <f>SUM(B7:B13)</f>
        <v>11168.497278812674</v>
      </c>
      <c r="C14" s="22">
        <f ref="C14:E14" si="11" t="shared">SUM(C7:C13)</f>
        <v>7264.312289193771</v>
      </c>
      <c r="D14" s="22">
        <f si="11" t="shared"/>
        <v>1039.1177377310587</v>
      </c>
      <c r="E14" s="22">
        <f si="11" t="shared"/>
        <v>19471.927305737507</v>
      </c>
      <c r="F14" s="18"/>
      <c r="G14" s="18"/>
      <c r="H14" s="22" t="s">
        <v>4</v>
      </c>
      <c r="I14" s="22">
        <f>SUM(I7:I13)</f>
        <v>15167</v>
      </c>
      <c r="J14" s="22">
        <f ref="J14:L14" si="12" t="shared">SUM(J7:J13)</f>
        <v>6794</v>
      </c>
      <c r="K14" s="22">
        <f si="12" t="shared"/>
        <v>606</v>
      </c>
      <c r="L14" s="22">
        <f si="12" t="shared"/>
        <v>22567</v>
      </c>
      <c r="O14" s="22" t="s">
        <v>4</v>
      </c>
      <c r="P14" s="22">
        <f si="5" t="shared"/>
        <v>3998.5027211873257</v>
      </c>
      <c r="Q14" s="22">
        <f si="0" t="shared"/>
        <v>-470.31228919377099</v>
      </c>
      <c r="R14" s="22">
        <f si="1" t="shared"/>
        <v>-433.1177377310587</v>
      </c>
      <c r="S14" s="22">
        <f si="2" t="shared"/>
        <v>3095.0726942624933</v>
      </c>
      <c r="V14" s="22" t="s">
        <v>4</v>
      </c>
      <c r="W14" s="22">
        <f>SUM(W7:W13)</f>
        <v>0</v>
      </c>
      <c r="X14" s="22">
        <f ref="X14:Z14" si="13" t="shared">SUM(X7:X13)</f>
        <v>0</v>
      </c>
      <c r="Y14" s="22">
        <f si="13" t="shared"/>
        <v>0</v>
      </c>
      <c r="Z14" s="22">
        <f si="13" t="shared"/>
        <v>0</v>
      </c>
    </row>
    <row r="15" spans="1:26" x14ac:dyDescent="0.25"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O15" s="18"/>
      <c r="P15" s="18"/>
      <c r="Q15" s="18"/>
      <c r="R15" s="18"/>
      <c r="S15" s="18"/>
      <c r="W15" s="18"/>
      <c r="X15" s="18"/>
      <c r="Y15" s="18"/>
      <c r="Z15" s="18"/>
    </row>
    <row ht="15.75" r="16" spans="1:26" thickBot="1" x14ac:dyDescent="0.3">
      <c r="A16" s="4" t="s">
        <v>232</v>
      </c>
      <c r="B16" s="22"/>
      <c r="C16" s="22"/>
      <c r="D16" s="22"/>
      <c r="E16" s="22"/>
      <c r="F16" s="18"/>
      <c r="G16" s="18"/>
      <c r="H16" s="25" t="s">
        <v>47</v>
      </c>
      <c r="I16" s="22"/>
      <c r="J16" s="22"/>
      <c r="K16" s="22"/>
      <c r="L16" s="22"/>
      <c r="O16" s="25" t="s">
        <v>69</v>
      </c>
      <c r="P16" s="22"/>
      <c r="Q16" s="22"/>
      <c r="R16" s="22"/>
      <c r="S16" s="22"/>
      <c r="V16" s="4" t="s">
        <v>72</v>
      </c>
      <c r="W16" s="22"/>
      <c r="X16" s="22"/>
      <c r="Y16" s="22"/>
      <c r="Z16" s="22"/>
    </row>
    <row r="17" spans="1:26" x14ac:dyDescent="0.25">
      <c r="A17" s="2"/>
      <c r="B17" s="26" t="s">
        <v>12</v>
      </c>
      <c r="C17" s="26" t="s">
        <v>13</v>
      </c>
      <c r="D17" s="26" t="s">
        <v>14</v>
      </c>
      <c r="E17" s="26" t="s">
        <v>4</v>
      </c>
      <c r="F17" s="18"/>
      <c r="G17" s="18"/>
      <c r="H17" s="27"/>
      <c r="I17" s="26" t="s">
        <v>12</v>
      </c>
      <c r="J17" s="26" t="s">
        <v>13</v>
      </c>
      <c r="K17" s="26" t="s">
        <v>14</v>
      </c>
      <c r="L17" s="26" t="s">
        <v>4</v>
      </c>
      <c r="O17" s="27"/>
      <c r="P17" s="26" t="s">
        <v>12</v>
      </c>
      <c r="Q17" s="26" t="s">
        <v>13</v>
      </c>
      <c r="R17" s="26" t="s">
        <v>14</v>
      </c>
      <c r="S17" s="26" t="s">
        <v>4</v>
      </c>
      <c r="V17" s="2"/>
      <c r="W17" s="26" t="s">
        <v>12</v>
      </c>
      <c r="X17" s="26" t="s">
        <v>13</v>
      </c>
      <c r="Y17" s="26" t="s">
        <v>14</v>
      </c>
      <c r="Z17" s="26" t="s">
        <v>4</v>
      </c>
    </row>
    <row r="18" spans="1:26" x14ac:dyDescent="0.25">
      <c r="A18" t="str">
        <f>$A$7</f>
        <v>Williamson</v>
      </c>
      <c r="B18" s="18" t="n">
        <v>175388.8597</v>
      </c>
      <c r="C18" s="18" t="n">
        <v>37274.7875</v>
      </c>
      <c r="D18" s="18" t="n">
        <v>11719.087</v>
      </c>
      <c r="E18" s="18">
        <f>SUM(B18:D18)</f>
        <v>70308.391480950784</v>
      </c>
      <c r="F18" s="18"/>
      <c r="G18" s="18"/>
      <c r="H18" t="str">
        <f>$A$7</f>
        <v>Williamson</v>
      </c>
      <c r="I18" s="18" t="n">
        <v>173199.0</v>
      </c>
      <c r="J18" s="18" t="n">
        <v>41441.0</v>
      </c>
      <c r="K18" s="18" t="n">
        <v>9966.0</v>
      </c>
      <c r="L18" s="18">
        <f>SUM(I18:K18)</f>
        <v>86242</v>
      </c>
      <c r="O18" t="str">
        <f>$A$7</f>
        <v>Williamson</v>
      </c>
      <c r="P18" s="18">
        <f ref="P18:P25" si="14" t="shared">I18-B18</f>
        <v>12387.840148982708</v>
      </c>
      <c r="Q18" s="18">
        <f ref="Q18:Q25" si="15" t="shared">J18-C18</f>
        <v>2161.8386395772759</v>
      </c>
      <c r="R18" s="18">
        <f ref="R18:R25" si="16" t="shared">K18-D18</f>
        <v>1383.9297304892407</v>
      </c>
      <c r="S18" s="18">
        <f ref="S18:S25" si="17" t="shared">L18-E18</f>
        <v>15933.608519049216</v>
      </c>
      <c r="V18" t="str">
        <f>$A$7</f>
        <v>Williamson</v>
      </c>
      <c r="W18" s="18"/>
      <c r="X18" s="18"/>
      <c r="Y18" s="18"/>
      <c r="Z18" s="18"/>
    </row>
    <row r="19" spans="1:26" x14ac:dyDescent="0.25">
      <c r="A19" t="str">
        <f>$A$8</f>
        <v>Rutherford</v>
      </c>
      <c r="B19" s="18" t="n">
        <v>98371.1956</v>
      </c>
      <c r="C19" s="18" t="n">
        <v>19791.9391</v>
      </c>
      <c r="D19" s="18" t="n">
        <v>3137.5912</v>
      </c>
      <c r="E19" s="18">
        <f ref="E19:E24" si="18" t="shared">SUM(B19:D19)</f>
        <v>104873.54202884292</v>
      </c>
      <c r="F19" s="18"/>
      <c r="G19" s="18"/>
      <c r="H19" t="str">
        <f>$A$8</f>
        <v>Rutherford</v>
      </c>
      <c r="I19" s="18" t="n">
        <v>96980.0</v>
      </c>
      <c r="J19" s="18" t="n">
        <v>23702.0</v>
      </c>
      <c r="K19" s="18" t="n">
        <v>5944.0</v>
      </c>
      <c r="L19" s="18">
        <f>SUM(I19:K19)</f>
        <v>124671</v>
      </c>
      <c r="O19" t="str">
        <f>$A$8</f>
        <v>Rutherford</v>
      </c>
      <c r="P19" s="18">
        <f si="14" t="shared"/>
        <v>13904.937599293</v>
      </c>
      <c r="Q19" s="18">
        <f si="15" t="shared"/>
        <v>2947.6949358227575</v>
      </c>
      <c r="R19" s="18">
        <f si="16" t="shared"/>
        <v>2944.825436041333</v>
      </c>
      <c r="S19" s="18">
        <f si="17" t="shared"/>
        <v>19797.457971157084</v>
      </c>
      <c r="V19" t="str">
        <f>$A$8</f>
        <v>Rutherford</v>
      </c>
      <c r="W19" s="18"/>
      <c r="X19" s="18"/>
      <c r="Y19" s="18"/>
      <c r="Z19" s="18"/>
    </row>
    <row r="20" spans="1:26" x14ac:dyDescent="0.25">
      <c r="A20" t="str">
        <f>$A$9</f>
        <v>Sumner</v>
      </c>
      <c r="B20" s="18" t="n">
        <v>140078.5698</v>
      </c>
      <c r="C20" s="18" t="n">
        <v>35794.3878</v>
      </c>
      <c r="D20" s="18" t="n">
        <v>5875.8823999999995</v>
      </c>
      <c r="E20" s="18">
        <f si="18" t="shared"/>
        <v>61647.879405658823</v>
      </c>
      <c r="F20" s="18"/>
      <c r="G20" s="18"/>
      <c r="H20" t="str">
        <f>$A$9</f>
        <v>Sumner</v>
      </c>
      <c r="I20" s="18" t="n">
        <v>135325.0</v>
      </c>
      <c r="J20" s="18" t="n">
        <v>31455.0</v>
      </c>
      <c r="K20" s="18" t="n">
        <v>13569.0</v>
      </c>
      <c r="L20" s="18">
        <f ref="L20:L22" si="19" t="shared">SUM(I20:K20)</f>
        <v>73740</v>
      </c>
      <c r="O20" t="str">
        <f>$A$9</f>
        <v>Sumner</v>
      </c>
      <c r="P20" s="18">
        <f ref="P20:P22" si="20" t="shared">I20-B20</f>
        <v>10941.053192652304</v>
      </c>
      <c r="Q20" s="18">
        <f ref="Q20:Q22" si="21" t="shared">J20-C20</f>
        <v>797.20627310942655</v>
      </c>
      <c r="R20" s="18">
        <f ref="R20:R22" si="22" t="shared">K20-D20</f>
        <v>353.86112857944863</v>
      </c>
      <c r="S20" s="18">
        <f ref="S20:S22" si="23" t="shared">L20-E20</f>
        <v>12092.120594341177</v>
      </c>
      <c r="V20" t="str">
        <f>$A$9</f>
        <v>Sumner</v>
      </c>
      <c r="W20" s="18"/>
      <c r="X20" s="18"/>
      <c r="Y20" s="18"/>
      <c r="Z20" s="18"/>
    </row>
    <row r="21" spans="1:26" x14ac:dyDescent="0.25">
      <c r="A21" t="str">
        <f>$A$10</f>
        <v>Roberston</v>
      </c>
      <c r="B21" s="18" t="n">
        <v>92737.173</v>
      </c>
      <c r="C21" s="18" t="n">
        <v>18784.2683</v>
      </c>
      <c r="D21" s="18" t="n">
        <v>3813.6455</v>
      </c>
      <c r="E21" s="18">
        <f si="18" t="shared"/>
        <v>25955.405200004785</v>
      </c>
      <c r="F21" s="18"/>
      <c r="G21" s="18"/>
      <c r="H21" t="str">
        <f>$A$10</f>
        <v>Roberston</v>
      </c>
      <c r="I21" s="18" t="n">
        <v>95397.0</v>
      </c>
      <c r="J21" s="18" t="n">
        <v>16964.0</v>
      </c>
      <c r="K21" s="18" t="n">
        <v>6465.0</v>
      </c>
      <c r="L21" s="18">
        <f si="19" t="shared"/>
        <v>29980</v>
      </c>
      <c r="O21" t="str">
        <f>$A$10</f>
        <v>Roberston</v>
      </c>
      <c r="P21" s="18">
        <f si="20" t="shared"/>
        <v>2335.5878214692821</v>
      </c>
      <c r="Q21" s="18">
        <f si="21" t="shared"/>
        <v>877.46042048107165</v>
      </c>
      <c r="R21" s="18">
        <f si="22" t="shared"/>
        <v>811.54655804486288</v>
      </c>
      <c r="S21" s="18">
        <f si="23" t="shared"/>
        <v>4024.594799995215</v>
      </c>
      <c r="V21" t="str">
        <f>$A$10</f>
        <v>Roberston</v>
      </c>
      <c r="W21" s="18"/>
      <c r="X21" s="18"/>
      <c r="Y21" s="18"/>
      <c r="Z21" s="18"/>
    </row>
    <row r="22" spans="1:26" x14ac:dyDescent="0.25">
      <c r="A22" t="str">
        <f>$A$11</f>
        <v>Davidson</v>
      </c>
      <c r="B22" s="18" t="n">
        <v>100188.2836</v>
      </c>
      <c r="C22" s="18" t="n">
        <v>27547.9357</v>
      </c>
      <c r="D22" s="18" t="n">
        <v>5430.4227</v>
      </c>
      <c r="E22" s="18">
        <f si="18" t="shared"/>
        <v>260144.37771167525</v>
      </c>
      <c r="F22" s="18"/>
      <c r="G22" s="18"/>
      <c r="H22" t="str">
        <f>$A$11</f>
        <v>Davidson</v>
      </c>
      <c r="I22" s="18" t="n">
        <v>96620.0</v>
      </c>
      <c r="J22" s="18" t="n">
        <v>25716.0</v>
      </c>
      <c r="K22" s="18" t="n">
        <v>5966.0</v>
      </c>
      <c r="L22" s="18">
        <f si="19" t="shared"/>
        <v>301422</v>
      </c>
      <c r="O22" t="str">
        <f>$A$11</f>
        <v>Davidson</v>
      </c>
      <c r="P22" s="18">
        <f si="20" t="shared"/>
        <v>33096.546186703898</v>
      </c>
      <c r="Q22" s="18">
        <f si="21" t="shared"/>
        <v>8504.3225616120726</v>
      </c>
      <c r="R22" s="18">
        <f si="22" t="shared"/>
        <v>-323.24645999119457</v>
      </c>
      <c r="S22" s="18">
        <f si="23" t="shared"/>
        <v>41277.622288324754</v>
      </c>
      <c r="V22" t="str">
        <f>$A$11</f>
        <v>Davidson</v>
      </c>
      <c r="W22" s="18"/>
      <c r="X22" s="18"/>
      <c r="Y22" s="18"/>
      <c r="Z22" s="18"/>
    </row>
    <row r="23" spans="1:26" x14ac:dyDescent="0.25">
      <c r="A23" t="str">
        <f>$A$12</f>
        <v>Maury</v>
      </c>
      <c r="B23" s="19" t="n">
        <v>266686.4645</v>
      </c>
      <c r="C23" s="19" t="n">
        <v>62101.461800000005</v>
      </c>
      <c r="D23" s="19" t="n">
        <v>6023.1344</v>
      </c>
      <c r="E23" s="19">
        <f si="18" t="shared"/>
        <v>30422.943172880463</v>
      </c>
      <c r="F23" s="18"/>
      <c r="G23" s="18"/>
      <c r="H23" t="str">
        <f>$A$12</f>
        <v>Maury</v>
      </c>
      <c r="I23" s="19" t="n">
        <v>253754.0</v>
      </c>
      <c r="J23" s="19" t="n">
        <v>51756.0</v>
      </c>
      <c r="K23" s="19" t="n">
        <v>14455.0</v>
      </c>
      <c r="L23" s="19">
        <f>SUM(I23:K23)</f>
        <v>36063</v>
      </c>
      <c r="O23" t="str">
        <f>$A$12</f>
        <v>Maury</v>
      </c>
      <c r="P23" s="19">
        <f si="14" t="shared"/>
        <v>4130.3517298954575</v>
      </c>
      <c r="Q23" s="19">
        <f si="15" t="shared"/>
        <v>1300.0660653138093</v>
      </c>
      <c r="R23" s="19">
        <f si="16" t="shared"/>
        <v>209.6390319102718</v>
      </c>
      <c r="S23" s="19">
        <f si="17" t="shared"/>
        <v>5640.056827119537</v>
      </c>
      <c r="V23" t="str">
        <f>$A$12</f>
        <v>Maury</v>
      </c>
      <c r="W23" s="19"/>
      <c r="X23" s="19"/>
      <c r="Y23" s="19"/>
      <c r="Z23" s="19"/>
    </row>
    <row r="24" spans="1:26" x14ac:dyDescent="0.25">
      <c r="A24" s="18" t="str">
        <f>$A$13</f>
        <v>Wilson</v>
      </c>
      <c r="B24" s="20" t="n">
        <v>192316.0444</v>
      </c>
      <c r="C24" s="20" t="n">
        <v>43840.7</v>
      </c>
      <c r="D24" s="20" t="n">
        <v>8188.5099</v>
      </c>
      <c r="E24" s="19">
        <f si="18" t="shared"/>
        <v>46311.385949637493</v>
      </c>
      <c r="F24" s="18"/>
      <c r="G24" s="18"/>
      <c r="H24" s="18" t="str">
        <f>$A$13</f>
        <v>Wilson</v>
      </c>
      <c r="I24" s="20" t="n">
        <v>206801.0</v>
      </c>
      <c r="J24" s="20" t="n">
        <v>50253.0</v>
      </c>
      <c r="K24" s="20" t="n">
        <v>12753.0</v>
      </c>
      <c r="L24" s="19">
        <f>SUM(I24:K24)</f>
        <v>53864</v>
      </c>
      <c r="O24" s="18" t="str">
        <f>$A$13</f>
        <v>Wilson</v>
      </c>
      <c r="P24" s="20">
        <f si="14" t="shared"/>
        <v>7090.0564247125221</v>
      </c>
      <c r="Q24" s="20">
        <f si="15" t="shared"/>
        <v>751.94889495356165</v>
      </c>
      <c r="R24" s="20">
        <f si="16" t="shared"/>
        <v>-289.39126930357088</v>
      </c>
      <c r="S24" s="20">
        <f si="17" t="shared"/>
        <v>7552.6140503625065</v>
      </c>
      <c r="V24" s="18" t="str">
        <f>$A$13</f>
        <v>Wilson</v>
      </c>
      <c r="W24" s="20"/>
      <c r="X24" s="20"/>
      <c r="Y24" s="20"/>
      <c r="Z24" s="20"/>
    </row>
    <row ht="15.75" r="25" spans="1:26" thickBot="1" x14ac:dyDescent="0.3">
      <c r="A25" s="22" t="s">
        <v>4</v>
      </c>
      <c r="B25" s="22">
        <f>SUM(B18:B24)</f>
        <v>504862.62689629081</v>
      </c>
      <c r="C25" s="22">
        <f ref="C25:E25" si="24" t="shared">SUM(C18:C24)</f>
        <v>64277.462209130026</v>
      </c>
      <c r="D25" s="22">
        <f si="24" t="shared"/>
        <v>30523.835844229608</v>
      </c>
      <c r="E25" s="22">
        <f si="24" t="shared"/>
        <v>599663.92494965054</v>
      </c>
      <c r="F25" s="18"/>
      <c r="G25" s="18"/>
      <c r="H25" s="22" t="s">
        <v>4</v>
      </c>
      <c r="I25" s="22">
        <f>SUM(I18:I24)</f>
        <v>588749</v>
      </c>
      <c r="J25" s="22">
        <f ref="J25:L25" si="25" t="shared">SUM(J18:J24)</f>
        <v>81618</v>
      </c>
      <c r="K25" s="22">
        <f si="25" t="shared"/>
        <v>35615</v>
      </c>
      <c r="L25" s="22">
        <f si="25" t="shared"/>
        <v>705982</v>
      </c>
      <c r="O25" s="22" t="s">
        <v>4</v>
      </c>
      <c r="P25" s="22">
        <f si="14" t="shared"/>
        <v>83886.373103709193</v>
      </c>
      <c r="Q25" s="22">
        <f si="15" t="shared"/>
        <v>17340.537790869974</v>
      </c>
      <c r="R25" s="22">
        <f si="16" t="shared"/>
        <v>5091.1641557703915</v>
      </c>
      <c r="S25" s="22">
        <f si="17" t="shared"/>
        <v>106318.07505034946</v>
      </c>
      <c r="V25" s="22" t="s">
        <v>4</v>
      </c>
      <c r="W25" s="22">
        <f>SUM(W18:W24)</f>
        <v>0</v>
      </c>
      <c r="X25" s="22">
        <f ref="X25:Z25" si="26" t="shared">SUM(X18:X24)</f>
        <v>0</v>
      </c>
      <c r="Y25" s="22">
        <f si="26" t="shared"/>
        <v>0</v>
      </c>
      <c r="Z25" s="22">
        <f si="26" t="shared"/>
        <v>0</v>
      </c>
    </row>
    <row ht="15.75" r="27" spans="1:26" thickBot="1" x14ac:dyDescent="0.3">
      <c r="A27" s="4" t="s">
        <v>233</v>
      </c>
      <c r="B27" s="1"/>
      <c r="C27" s="1"/>
      <c r="D27" s="1"/>
      <c r="E27" s="1"/>
      <c r="H27" s="4" t="s">
        <v>48</v>
      </c>
      <c r="I27" s="1"/>
      <c r="J27" s="1"/>
      <c r="K27" s="1"/>
      <c r="L27" s="1"/>
      <c r="O27" s="4" t="s">
        <v>70</v>
      </c>
      <c r="P27" s="1"/>
      <c r="Q27" s="1"/>
      <c r="R27" s="1"/>
      <c r="S27" s="1"/>
      <c r="V27" s="4" t="s">
        <v>73</v>
      </c>
      <c r="W27" s="1"/>
      <c r="X27" s="1"/>
      <c r="Y27" s="1"/>
      <c r="Z27" s="1"/>
    </row>
    <row r="28" spans="1:26" x14ac:dyDescent="0.25">
      <c r="A28" s="2"/>
      <c r="B28" s="3" t="s">
        <v>12</v>
      </c>
      <c r="C28" s="3" t="s">
        <v>13</v>
      </c>
      <c r="D28" s="3" t="s">
        <v>14</v>
      </c>
      <c r="E28" s="3" t="s">
        <v>4</v>
      </c>
      <c r="H28" s="2"/>
      <c r="I28" s="3" t="s">
        <v>12</v>
      </c>
      <c r="J28" s="3" t="s">
        <v>13</v>
      </c>
      <c r="K28" s="3" t="s">
        <v>14</v>
      </c>
      <c r="L28" s="3" t="s">
        <v>4</v>
      </c>
      <c r="O28" s="2"/>
      <c r="P28" s="3" t="s">
        <v>12</v>
      </c>
      <c r="Q28" s="3" t="s">
        <v>13</v>
      </c>
      <c r="R28" s="3" t="s">
        <v>14</v>
      </c>
      <c r="S28" s="3" t="s">
        <v>4</v>
      </c>
      <c r="V28" s="2"/>
      <c r="W28" s="3" t="s">
        <v>12</v>
      </c>
      <c r="X28" s="3" t="s">
        <v>13</v>
      </c>
      <c r="Y28" s="3" t="s">
        <v>14</v>
      </c>
      <c r="Z28" s="3" t="s">
        <v>4</v>
      </c>
    </row>
    <row r="29" spans="1:26" x14ac:dyDescent="0.25">
      <c r="A29" t="str">
        <f>$A$7</f>
        <v>Williamson</v>
      </c>
      <c r="B29" s="28">
        <f>B7/B18</f>
        <v>3.7751714378669803E-2</v>
      </c>
      <c r="C29" s="28">
        <f ref="B29:E36" si="27" t="shared">C7/C18</f>
        <v>6.76720131190265E-2</v>
      </c>
      <c r="D29" s="28">
        <f si="27" t="shared"/>
        <v>0</v>
      </c>
      <c r="E29" s="28">
        <f si="27" t="shared"/>
        <v>4.0711223680930095E-2</v>
      </c>
      <c r="F29" s="28"/>
      <c r="G29" s="28"/>
      <c r="H29" t="str">
        <f>$A$7</f>
        <v>Williamson</v>
      </c>
      <c r="I29" s="28">
        <f ref="I29:L36" si="28" t="shared">I7/I18</f>
        <v>2.4149659863945579E-2</v>
      </c>
      <c r="J29" s="28">
        <f si="28" t="shared"/>
        <v>7.8870658782376951E-2</v>
      </c>
      <c r="K29" s="28">
        <f si="28" t="shared"/>
        <v>1.5510204081632653E-2</v>
      </c>
      <c r="L29" s="28">
        <f si="28" t="shared"/>
        <v>3.1400013914334085E-2</v>
      </c>
      <c r="O29" t="str">
        <f>$A$7</f>
        <v>Williamson</v>
      </c>
      <c r="P29" s="28">
        <f>I29-B29</f>
        <v>-1.3602054514724224E-2</v>
      </c>
      <c r="Q29" s="28">
        <f ref="Q29:Q36" si="29" t="shared">J29-C29</f>
        <v>1.1198645663350451E-2</v>
      </c>
      <c r="R29" s="28">
        <f ref="R29:R36" si="30" t="shared">K29-D29</f>
        <v>1.5510204081632653E-2</v>
      </c>
      <c r="S29" s="28">
        <f ref="S29:S36" si="31" t="shared">L29-E29</f>
        <v>-9.3112097665960097E-3</v>
      </c>
      <c r="V29" t="str">
        <f>$A$7</f>
        <v>Williamson</v>
      </c>
      <c r="W29" s="28" t="e">
        <f ref="W29:Z35" si="32" t="shared">W7/W18</f>
        <v>#DIV/0!</v>
      </c>
      <c r="X29" s="28" t="e">
        <f si="32" t="shared"/>
        <v>#DIV/0!</v>
      </c>
      <c r="Y29" s="28" t="e">
        <f si="32" t="shared"/>
        <v>#DIV/0!</v>
      </c>
      <c r="Z29" s="28" t="e">
        <f si="32" t="shared"/>
        <v>#DIV/0!</v>
      </c>
    </row>
    <row r="30" spans="1:26" x14ac:dyDescent="0.25">
      <c r="A30" t="str">
        <f>$A$8</f>
        <v>Rutherford</v>
      </c>
      <c r="B30" s="28">
        <f si="27" t="shared"/>
        <v>1.9113513295535609E-2</v>
      </c>
      <c r="C30" s="28">
        <f si="27" t="shared"/>
        <v>9.9630541871453607E-2</v>
      </c>
      <c r="D30" s="28">
        <f si="27" t="shared"/>
        <v>1.4113170687106373E-2</v>
      </c>
      <c r="E30" s="28">
        <f si="27" t="shared"/>
        <v>2.6796863543534572E-2</v>
      </c>
      <c r="F30" s="28"/>
      <c r="G30" s="28"/>
      <c r="H30" t="str">
        <f>$A$8</f>
        <v>Rutherford</v>
      </c>
      <c r="I30" s="28">
        <f si="28" t="shared"/>
        <v>2.8107016460300189E-2</v>
      </c>
      <c r="J30" s="28">
        <f si="28" t="shared"/>
        <v>8.8233091154220664E-2</v>
      </c>
      <c r="K30" s="28">
        <f si="28" t="shared"/>
        <v>1.8997531394225609E-2</v>
      </c>
      <c r="L30" s="28">
        <f si="28" t="shared"/>
        <v>3.3865133030135317E-2</v>
      </c>
      <c r="O30" t="str">
        <f>$A$8</f>
        <v>Rutherford</v>
      </c>
      <c r="P30" s="28">
        <f ref="P29:P36" si="33" t="shared">I30-B30</f>
        <v>8.9935031647645804E-3</v>
      </c>
      <c r="Q30" s="28">
        <f si="29" t="shared"/>
        <v>-1.1397450717232943E-2</v>
      </c>
      <c r="R30" s="28">
        <f si="30" t="shared"/>
        <v>4.8843607071192355E-3</v>
      </c>
      <c r="S30" s="28">
        <f si="31" t="shared"/>
        <v>7.0682694866007444E-3</v>
      </c>
      <c r="V30" t="str">
        <f>$A$8</f>
        <v>Rutherford</v>
      </c>
      <c r="W30" s="28" t="e">
        <f si="32" t="shared"/>
        <v>#DIV/0!</v>
      </c>
      <c r="X30" s="28" t="e">
        <f si="32" t="shared"/>
        <v>#DIV/0!</v>
      </c>
      <c r="Y30" s="28" t="e">
        <f si="32" t="shared"/>
        <v>#DIV/0!</v>
      </c>
      <c r="Z30" s="28" t="e">
        <f si="32" t="shared"/>
        <v>#DIV/0!</v>
      </c>
    </row>
    <row r="31" spans="1:26" x14ac:dyDescent="0.25">
      <c r="A31" t="str">
        <f>$A$9</f>
        <v>Sumner</v>
      </c>
      <c r="B31" s="28">
        <f si="27" t="shared"/>
        <v>2.3648233361738404E-2</v>
      </c>
      <c r="C31" s="28">
        <f si="27" t="shared"/>
        <v>0.17587462929620848</v>
      </c>
      <c r="D31" s="28">
        <f si="27" t="shared"/>
        <v>3.533440468464507E-2</v>
      </c>
      <c r="E31" s="28">
        <f si="27" t="shared"/>
        <v>4.2361433702789136E-2</v>
      </c>
      <c r="F31" s="28"/>
      <c r="G31" s="28"/>
      <c r="H31" t="str">
        <f>$A$9</f>
        <v>Sumner</v>
      </c>
      <c r="I31" s="28">
        <f si="28" t="shared"/>
        <v>2.803426410056736E-2</v>
      </c>
      <c r="J31" s="28">
        <f si="28" t="shared"/>
        <v>9.8390636430138997E-2</v>
      </c>
      <c r="K31" s="28">
        <f si="28" t="shared"/>
        <v>1.8738049713193115E-2</v>
      </c>
      <c r="L31" s="28">
        <f si="28" t="shared"/>
        <v>3.553024138866287E-2</v>
      </c>
      <c r="O31" t="str">
        <f>$A$9</f>
        <v>Sumner</v>
      </c>
      <c r="P31" s="28">
        <f ref="P31:P33" si="34" t="shared">I31-B31</f>
        <v>4.3860307388289554E-3</v>
      </c>
      <c r="Q31" s="28">
        <f ref="Q31:Q33" si="35" t="shared">J31-C31</f>
        <v>-7.7483992866069482E-2</v>
      </c>
      <c r="R31" s="28">
        <f ref="R31:R33" si="36" t="shared">K31-D31</f>
        <v>-1.6596354971451954E-2</v>
      </c>
      <c r="S31" s="28">
        <f ref="S31:S33" si="37" t="shared">L31-E31</f>
        <v>-6.8311923141262665E-3</v>
      </c>
      <c r="V31" t="str">
        <f>$A$9</f>
        <v>Sumner</v>
      </c>
      <c r="W31" s="28" t="e">
        <f si="32" t="shared"/>
        <v>#DIV/0!</v>
      </c>
      <c r="X31" s="28" t="e">
        <f si="32" t="shared"/>
        <v>#DIV/0!</v>
      </c>
      <c r="Y31" s="28" t="e">
        <f si="32" t="shared"/>
        <v>#DIV/0!</v>
      </c>
      <c r="Z31" s="28" t="e">
        <f si="32" t="shared"/>
        <v>#DIV/0!</v>
      </c>
    </row>
    <row r="32" spans="1:26" x14ac:dyDescent="0.25">
      <c r="A32" t="str">
        <f>$A$10</f>
        <v>Roberston</v>
      </c>
      <c r="B32" s="28">
        <f si="27" t="shared"/>
        <v>4.3450776075140626E-3</v>
      </c>
      <c r="C32" s="28">
        <f si="27" t="shared"/>
        <v>0</v>
      </c>
      <c r="D32" s="28">
        <f si="27" t="shared"/>
        <v>0</v>
      </c>
      <c r="E32" s="28">
        <f si="27" t="shared"/>
        <v>3.8770129953549616E-3</v>
      </c>
      <c r="F32" s="28"/>
      <c r="G32" s="28"/>
      <c r="H32" t="str">
        <f>$A$10</f>
        <v>Roberston</v>
      </c>
      <c r="I32" s="28">
        <f si="28" t="shared"/>
        <v>2.7848597764267503E-2</v>
      </c>
      <c r="J32" s="28">
        <f si="28" t="shared"/>
        <v>9.682165979988229E-2</v>
      </c>
      <c r="K32" s="28">
        <f si="28" t="shared"/>
        <v>2.391904323827047E-2</v>
      </c>
      <c r="L32" s="28">
        <f si="28" t="shared"/>
        <v>3.5523682454969979E-2</v>
      </c>
      <c r="O32" t="str">
        <f>$A$10</f>
        <v>Roberston</v>
      </c>
      <c r="P32" s="28">
        <f si="34" t="shared"/>
        <v>2.350352015675344E-2</v>
      </c>
      <c r="Q32" s="28">
        <f si="35" t="shared"/>
        <v>9.682165979988229E-2</v>
      </c>
      <c r="R32" s="28">
        <f si="36" t="shared"/>
        <v>2.391904323827047E-2</v>
      </c>
      <c r="S32" s="28">
        <f si="37" t="shared"/>
        <v>3.1646669459615015E-2</v>
      </c>
      <c r="V32" t="str">
        <f>$A$10</f>
        <v>Roberston</v>
      </c>
      <c r="W32" s="28" t="e">
        <f si="32" t="shared"/>
        <v>#DIV/0!</v>
      </c>
      <c r="X32" s="28" t="e">
        <f si="32" t="shared"/>
        <v>#DIV/0!</v>
      </c>
      <c r="Y32" s="28" t="e">
        <f si="32" t="shared"/>
        <v>#DIV/0!</v>
      </c>
      <c r="Z32" s="28" t="e">
        <f si="32" t="shared"/>
        <v>#DIV/0!</v>
      </c>
    </row>
    <row r="33" spans="1:26" x14ac:dyDescent="0.25">
      <c r="A33" t="str">
        <f>$A$11</f>
        <v>Davidson</v>
      </c>
      <c r="B33" s="28">
        <f si="27" t="shared"/>
        <v>2.1020655147036472E-2</v>
      </c>
      <c r="C33" s="28">
        <f si="27" t="shared"/>
        <v>0.12733156844618135</v>
      </c>
      <c r="D33" s="28">
        <f si="27" t="shared"/>
        <v>4.5182535555047698E-2</v>
      </c>
      <c r="E33" s="28">
        <f si="27" t="shared"/>
        <v>3.2918383082669853E-2</v>
      </c>
      <c r="F33" s="28"/>
      <c r="G33" s="28"/>
      <c r="H33" t="str">
        <f>$A$11</f>
        <v>Davidson</v>
      </c>
      <c r="I33" s="28">
        <f si="28" t="shared"/>
        <v>2.3031920597662254E-2</v>
      </c>
      <c r="J33" s="28">
        <f si="28" t="shared"/>
        <v>7.3734074793303322E-2</v>
      </c>
      <c r="K33" s="28">
        <f si="28" t="shared"/>
        <v>1.4628848856522294E-2</v>
      </c>
      <c r="L33" s="28">
        <f si="28" t="shared"/>
        <v>2.8312465579818327E-2</v>
      </c>
      <c r="O33" t="str">
        <f>$A$11</f>
        <v>Davidson</v>
      </c>
      <c r="P33" s="28">
        <f si="34" t="shared"/>
        <v>2.0112654506257814E-3</v>
      </c>
      <c r="Q33" s="28">
        <f si="35" t="shared"/>
        <v>-5.3597493652878025E-2</v>
      </c>
      <c r="R33" s="28">
        <f si="36" t="shared"/>
        <v>-3.0553686698525404E-2</v>
      </c>
      <c r="S33" s="28">
        <f si="37" t="shared"/>
        <v>-4.6059175028515253E-3</v>
      </c>
      <c r="V33" t="str">
        <f>$A$11</f>
        <v>Davidson</v>
      </c>
      <c r="W33" s="28" t="e">
        <f si="32" t="shared"/>
        <v>#DIV/0!</v>
      </c>
      <c r="X33" s="28" t="e">
        <f si="32" t="shared"/>
        <v>#DIV/0!</v>
      </c>
      <c r="Y33" s="28" t="e">
        <f si="32" t="shared"/>
        <v>#DIV/0!</v>
      </c>
      <c r="Z33" s="28" t="e">
        <f si="32" t="shared"/>
        <v>#DIV/0!</v>
      </c>
    </row>
    <row r="34" spans="1:26" x14ac:dyDescent="0.25">
      <c r="A34" t="str">
        <f>$A$12</f>
        <v>Maury</v>
      </c>
      <c r="B34" s="46">
        <f si="27" t="shared"/>
        <v>7.8345866376654284E-3</v>
      </c>
      <c r="C34" s="46">
        <f si="27" t="shared"/>
        <v>9.9057265397544322E-2</v>
      </c>
      <c r="D34" s="46">
        <f si="27" t="shared"/>
        <v>0.15019717827938731</v>
      </c>
      <c r="E34" s="46">
        <f si="27" t="shared"/>
        <v>2.1404074703286233E-2</v>
      </c>
      <c r="F34" s="28"/>
      <c r="G34" s="28"/>
      <c r="H34" t="str">
        <f>$A$12</f>
        <v>Maury</v>
      </c>
      <c r="I34" s="46">
        <f si="28" t="shared"/>
        <v>3.4240303486166523E-2</v>
      </c>
      <c r="J34" s="46">
        <f si="28" t="shared"/>
        <v>9.9208197484862592E-2</v>
      </c>
      <c r="K34" s="46">
        <f si="28" t="shared"/>
        <v>2.6028547439126783E-2</v>
      </c>
      <c r="L34" s="46">
        <f si="28" t="shared"/>
        <v>4.1704794387599477E-2</v>
      </c>
      <c r="O34" t="str">
        <f>$A$12</f>
        <v>Maury</v>
      </c>
      <c r="P34" s="46">
        <f si="33" t="shared"/>
        <v>2.6405716848501095E-2</v>
      </c>
      <c r="Q34" s="46">
        <f si="29" t="shared"/>
        <v>1.5093208731827013E-4</v>
      </c>
      <c r="R34" s="46">
        <f si="30" t="shared"/>
        <v>-0.12416863084026053</v>
      </c>
      <c r="S34" s="46">
        <f si="31" t="shared"/>
        <v>2.0300719684313243E-2</v>
      </c>
      <c r="V34" t="str">
        <f>$A$12</f>
        <v>Maury</v>
      </c>
      <c r="W34" s="46" t="e">
        <f si="32" t="shared"/>
        <v>#DIV/0!</v>
      </c>
      <c r="X34" s="46" t="e">
        <f si="32" t="shared"/>
        <v>#DIV/0!</v>
      </c>
      <c r="Y34" s="46" t="e">
        <f si="32" t="shared"/>
        <v>#DIV/0!</v>
      </c>
      <c r="Z34" s="46" t="e">
        <f si="32" t="shared"/>
        <v>#DIV/0!</v>
      </c>
    </row>
    <row r="35" spans="1:26" x14ac:dyDescent="0.25">
      <c r="A35" s="18" t="str">
        <f>$A$13</f>
        <v>Wilson</v>
      </c>
      <c r="B35" s="46">
        <f si="27" t="shared"/>
        <v>3.0129418696834033E-2</v>
      </c>
      <c r="C35" s="46">
        <f si="27" t="shared"/>
        <v>0.12758866406769967</v>
      </c>
      <c r="D35" s="46">
        <f si="27" t="shared"/>
        <v>0</v>
      </c>
      <c r="E35" s="46">
        <f si="27" t="shared"/>
        <v>4.0432290887817843E-2</v>
      </c>
      <c r="F35" s="28"/>
      <c r="G35" s="28"/>
      <c r="H35" s="18" t="str">
        <f>$A$13</f>
        <v>Wilson</v>
      </c>
      <c r="I35" s="46">
        <f si="28" t="shared"/>
        <v>2.8100156356669383E-2</v>
      </c>
      <c r="J35" s="46">
        <f si="28" t="shared"/>
        <v>9.4215394262423577E-2</v>
      </c>
      <c r="K35" s="46">
        <f si="28" t="shared"/>
        <v>1.7822736030828516E-2</v>
      </c>
      <c r="L35" s="46">
        <f si="28" t="shared"/>
        <v>3.5533937323629881E-2</v>
      </c>
      <c r="O35" s="20" t="str">
        <f>$A$13</f>
        <v>Wilson</v>
      </c>
      <c r="P35" s="29">
        <f si="33" t="shared"/>
        <v>-2.0292623401646503E-3</v>
      </c>
      <c r="Q35" s="29">
        <f si="29" t="shared"/>
        <v>-3.3373269805276093E-2</v>
      </c>
      <c r="R35" s="29">
        <f si="30" t="shared"/>
        <v>1.7822736030828516E-2</v>
      </c>
      <c r="S35" s="29">
        <f si="31" t="shared"/>
        <v>-4.8983535641879614E-3</v>
      </c>
      <c r="V35" s="18" t="str">
        <f>$A$13</f>
        <v>Wilson</v>
      </c>
      <c r="W35" s="20" t="e">
        <f si="32" t="shared"/>
        <v>#DIV/0!</v>
      </c>
      <c r="X35" s="20" t="e">
        <f si="32" t="shared"/>
        <v>#DIV/0!</v>
      </c>
      <c r="Y35" s="20" t="e">
        <f si="32" t="shared"/>
        <v>#DIV/0!</v>
      </c>
      <c r="Z35" s="20" t="e">
        <f si="32" t="shared"/>
        <v>#DIV/0!</v>
      </c>
    </row>
    <row ht="15.75" r="36" spans="1:26" thickBot="1" x14ac:dyDescent="0.3">
      <c r="A36" s="22" t="s">
        <v>4</v>
      </c>
      <c r="B36" s="30">
        <f si="27" t="shared"/>
        <v>2.212185391394977E-2</v>
      </c>
      <c r="C36" s="30">
        <f si="27" t="shared"/>
        <v>0.11301492061959381</v>
      </c>
      <c r="D36" s="30">
        <f si="27" t="shared"/>
        <v>3.4042829447580691E-2</v>
      </c>
      <c r="E36" s="30">
        <f si="27" t="shared"/>
        <v>3.2471400222003392E-2</v>
      </c>
      <c r="F36" s="7"/>
      <c r="H36" s="22" t="s">
        <v>4</v>
      </c>
      <c r="I36" s="30">
        <f si="28" t="shared"/>
        <v>2.5761402567138117E-2</v>
      </c>
      <c r="J36" s="30">
        <f si="28" t="shared"/>
        <v>8.3241441838810062E-2</v>
      </c>
      <c r="K36" s="30">
        <f si="28" t="shared"/>
        <v>1.7015302541064158E-2</v>
      </c>
      <c r="L36" s="30">
        <f si="28" t="shared"/>
        <v>3.1965404217104684E-2</v>
      </c>
      <c r="O36" s="22" t="s">
        <v>4</v>
      </c>
      <c r="P36" s="30">
        <f si="33" t="shared"/>
        <v>3.6395486531883466E-3</v>
      </c>
      <c r="Q36" s="30">
        <f si="29" t="shared"/>
        <v>-2.9773478780783749E-2</v>
      </c>
      <c r="R36" s="30">
        <f si="30" t="shared"/>
        <v>-1.7027526906516533E-2</v>
      </c>
      <c r="S36" s="30">
        <f si="31" t="shared"/>
        <v>-5.0599600489870805E-4</v>
      </c>
      <c r="V36" s="22" t="s">
        <v>4</v>
      </c>
      <c r="W36" s="22" t="e">
        <f>W14/W25</f>
        <v>#DIV/0!</v>
      </c>
      <c r="X36" s="22" t="e">
        <f ref="X36:Z36" si="38" t="shared">X14/X25</f>
        <v>#DIV/0!</v>
      </c>
      <c r="Y36" s="22" t="e">
        <f si="38" t="shared"/>
        <v>#DIV/0!</v>
      </c>
      <c r="Z36" s="22" t="e">
        <f si="38" t="shared"/>
        <v>#DIV/0!</v>
      </c>
    </row>
  </sheetData>
  <pageMargins bottom="0.75" footer="0.3" header="0.3" left="0.7" right="0.7" top="0.75"/>
  <pageSetup orientation="portrait"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D33"/>
  <sheetViews>
    <sheetView workbookViewId="0"/>
  </sheetViews>
  <sheetFormatPr defaultRowHeight="15" x14ac:dyDescent="0.25"/>
  <sheetData>
    <row r="1" spans="1:2" x14ac:dyDescent="0.25">
      <c r="A1" s="11" t="s">
        <v>238</v>
      </c>
    </row>
    <row r="2" spans="1:2" x14ac:dyDescent="0.25">
      <c r="A2">
        <v>1</v>
      </c>
      <c r="B2" t="s">
        <v>239</v>
      </c>
    </row>
    <row r="4" spans="1:2" x14ac:dyDescent="0.25">
      <c r="A4">
        <v>2</v>
      </c>
      <c r="B4" t="s">
        <v>25</v>
      </c>
    </row>
    <row r="6" spans="1:2" x14ac:dyDescent="0.25">
      <c r="A6">
        <v>3</v>
      </c>
      <c r="B6" t="s">
        <v>24</v>
      </c>
    </row>
    <row r="8" spans="1:2" x14ac:dyDescent="0.25">
      <c r="A8">
        <v>4</v>
      </c>
      <c r="B8" t="s">
        <v>22</v>
      </c>
    </row>
    <row r="11" spans="1:2" x14ac:dyDescent="0.25">
      <c r="A11" s="11" t="s">
        <v>23</v>
      </c>
    </row>
    <row r="12" spans="1:2" x14ac:dyDescent="0.25">
      <c r="A12">
        <v>1</v>
      </c>
      <c r="B12" t="s">
        <v>53</v>
      </c>
    </row>
    <row r="14" spans="1:2" x14ac:dyDescent="0.25">
      <c r="A14">
        <v>2</v>
      </c>
      <c r="B14" t="s">
        <v>240</v>
      </c>
    </row>
    <row r="15" spans="1:2" x14ac:dyDescent="0.25">
      <c r="B15" t="s">
        <v>54</v>
      </c>
    </row>
    <row r="17" spans="1:4" x14ac:dyDescent="0.25">
      <c r="A17">
        <v>3</v>
      </c>
      <c r="B17" t="s">
        <v>55</v>
      </c>
    </row>
    <row r="18" spans="1:4" x14ac:dyDescent="0.25">
      <c r="B18" t="s">
        <v>241</v>
      </c>
    </row>
    <row r="19" spans="1:4" x14ac:dyDescent="0.25">
      <c r="B19" t="s">
        <v>12</v>
      </c>
      <c r="C19" t="s">
        <v>61</v>
      </c>
      <c r="D19" t="s">
        <v>26</v>
      </c>
    </row>
    <row r="20" spans="1:4" x14ac:dyDescent="0.25">
      <c r="B20" t="s">
        <v>13</v>
      </c>
      <c r="C20" t="s">
        <v>62</v>
      </c>
      <c r="D20" t="s">
        <v>27</v>
      </c>
    </row>
    <row r="21" spans="1:4" x14ac:dyDescent="0.25">
      <c r="B21" t="s">
        <v>14</v>
      </c>
      <c r="C21" t="s">
        <v>63</v>
      </c>
      <c r="D21" t="s">
        <v>28</v>
      </c>
    </row>
    <row r="23" spans="1:4" x14ac:dyDescent="0.25">
      <c r="A23" s="11" t="s">
        <v>56</v>
      </c>
    </row>
    <row r="24" spans="1:4" x14ac:dyDescent="0.25">
      <c r="A24">
        <v>1</v>
      </c>
      <c r="B24" t="s">
        <v>57</v>
      </c>
    </row>
    <row r="26" spans="1:4" x14ac:dyDescent="0.25">
      <c r="A26">
        <v>2</v>
      </c>
      <c r="B26" t="s">
        <v>58</v>
      </c>
    </row>
    <row r="28" spans="1:4" x14ac:dyDescent="0.25">
      <c r="A28" s="11" t="s">
        <v>59</v>
      </c>
    </row>
    <row r="29" spans="1:4" x14ac:dyDescent="0.25">
      <c r="A29">
        <v>1</v>
      </c>
      <c r="B29" t="s">
        <v>60</v>
      </c>
    </row>
    <row r="31" spans="1:4" x14ac:dyDescent="0.25">
      <c r="A31" s="11">
        <v>2</v>
      </c>
      <c r="B31" t="s">
        <v>242</v>
      </c>
    </row>
    <row r="33" spans="1:2" x14ac:dyDescent="0.25">
      <c r="A33">
        <v>3</v>
      </c>
      <c r="B33" t="s">
        <v>64</v>
      </c>
    </row>
  </sheetData>
  <pageMargins bottom="0.75" footer="0.3" header="0.3" left="0.7" right="0.7" top="0.75"/>
  <pageSetup orientation="portrait"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74"/>
  <sheetViews>
    <sheetView workbookViewId="0">
      <selection activeCell="E9" sqref="E9"/>
    </sheetView>
  </sheetViews>
  <sheetFormatPr defaultRowHeight="15" x14ac:dyDescent="0.25"/>
  <cols>
    <col min="4" max="4" bestFit="true" customWidth="true" width="12.7109375" collapsed="true"/>
    <col min="5" max="5" bestFit="true" customWidth="true" style="53" width="94.7109375" collapsed="true"/>
  </cols>
  <sheetData>
    <row r="1" spans="1:5" x14ac:dyDescent="0.25">
      <c r="A1" t="s">
        <v>156</v>
      </c>
      <c r="B1" t="s">
        <v>157</v>
      </c>
      <c r="E1" s="53" t="s">
        <v>158</v>
      </c>
    </row>
    <row r="2" spans="1:5" x14ac:dyDescent="0.25">
      <c r="A2">
        <v>1</v>
      </c>
      <c r="B2" t="s">
        <v>81</v>
      </c>
      <c r="C2" t="s">
        <v>82</v>
      </c>
      <c r="D2">
        <v>1</v>
      </c>
      <c r="E2" s="53" t="s">
        <v>164</v>
      </c>
    </row>
    <row r="3" spans="1:5" x14ac:dyDescent="0.25">
      <c r="A3">
        <v>2</v>
      </c>
      <c r="B3" t="s">
        <v>83</v>
      </c>
      <c r="C3" t="s">
        <v>82</v>
      </c>
      <c r="D3">
        <v>0.7</v>
      </c>
      <c r="E3" s="53" t="s">
        <v>160</v>
      </c>
    </row>
    <row r="4" spans="1:5" x14ac:dyDescent="0.25">
      <c r="A4">
        <v>3</v>
      </c>
      <c r="B4" t="s">
        <v>84</v>
      </c>
      <c r="C4" t="s">
        <v>82</v>
      </c>
      <c r="D4">
        <v>1</v>
      </c>
      <c r="E4" s="53" t="s">
        <v>159</v>
      </c>
    </row>
    <row r="5" spans="1:5" x14ac:dyDescent="0.25">
      <c r="A5">
        <v>4</v>
      </c>
      <c r="B5" t="s">
        <v>85</v>
      </c>
      <c r="C5" t="s">
        <v>82</v>
      </c>
      <c r="D5">
        <v>0.5</v>
      </c>
      <c r="E5" s="53" t="s">
        <v>165</v>
      </c>
    </row>
    <row r="6" spans="1:5" x14ac:dyDescent="0.25">
      <c r="A6">
        <v>5</v>
      </c>
      <c r="B6" t="s">
        <v>86</v>
      </c>
      <c r="C6" t="s">
        <v>82</v>
      </c>
      <c r="D6">
        <v>0</v>
      </c>
      <c r="E6" s="53" t="s">
        <v>161</v>
      </c>
    </row>
    <row r="7" spans="1:5" x14ac:dyDescent="0.25">
      <c r="A7">
        <v>6</v>
      </c>
      <c r="B7" t="s">
        <v>87</v>
      </c>
      <c r="C7" t="s">
        <v>82</v>
      </c>
      <c r="D7">
        <v>-4.1530549264700003</v>
      </c>
      <c r="E7" s="53" t="s">
        <v>166</v>
      </c>
    </row>
    <row r="8" spans="1:5" x14ac:dyDescent="0.25">
      <c r="A8">
        <v>7</v>
      </c>
      <c r="B8" t="s">
        <v>88</v>
      </c>
      <c r="C8" t="s">
        <v>82</v>
      </c>
      <c r="D8">
        <v>-0.64354735537100005</v>
      </c>
      <c r="E8" s="53" t="s">
        <v>167</v>
      </c>
    </row>
    <row r="9" spans="1:5" x14ac:dyDescent="0.25">
      <c r="A9">
        <v>8</v>
      </c>
      <c r="B9" t="s">
        <v>89</v>
      </c>
      <c r="C9" t="s">
        <v>82</v>
      </c>
      <c r="D9">
        <v>-0.732358148145</v>
      </c>
      <c r="E9" s="53" t="s">
        <v>168</v>
      </c>
    </row>
    <row r="10" spans="1:5" x14ac:dyDescent="0.25">
      <c r="A10">
        <v>9</v>
      </c>
      <c r="B10" t="s">
        <v>90</v>
      </c>
      <c r="C10" t="s">
        <v>82</v>
      </c>
      <c r="D10">
        <v>-2.6263992007099999</v>
      </c>
      <c r="E10" s="53" t="s">
        <v>169</v>
      </c>
    </row>
    <row r="11" spans="1:5" x14ac:dyDescent="0.25">
      <c r="A11">
        <v>10</v>
      </c>
      <c r="B11" t="s">
        <v>91</v>
      </c>
      <c r="C11" t="s">
        <v>82</v>
      </c>
      <c r="D11">
        <v>-3.4653118418800002</v>
      </c>
      <c r="E11" s="53" t="s">
        <v>170</v>
      </c>
    </row>
    <row r="12" spans="1:5" x14ac:dyDescent="0.25">
      <c r="A12">
        <v>11</v>
      </c>
      <c r="B12" t="s">
        <v>92</v>
      </c>
      <c r="C12" t="s">
        <v>82</v>
      </c>
      <c r="D12">
        <v>0.125312575308</v>
      </c>
      <c r="E12" s="53" t="s">
        <v>171</v>
      </c>
    </row>
    <row r="13" spans="1:5" x14ac:dyDescent="0.25">
      <c r="A13">
        <v>12</v>
      </c>
      <c r="B13" t="s">
        <v>93</v>
      </c>
      <c r="C13" t="s">
        <v>82</v>
      </c>
      <c r="D13">
        <v>0.24676672684299999</v>
      </c>
      <c r="E13" s="53" t="s">
        <v>172</v>
      </c>
    </row>
    <row r="14" spans="1:5" x14ac:dyDescent="0.25">
      <c r="A14">
        <v>13</v>
      </c>
      <c r="B14" t="s">
        <v>94</v>
      </c>
      <c r="C14" t="s">
        <v>82</v>
      </c>
      <c r="D14">
        <v>0.40796503771199999</v>
      </c>
      <c r="E14" s="53" t="s">
        <v>173</v>
      </c>
    </row>
    <row r="15" spans="1:5" x14ac:dyDescent="0.25">
      <c r="A15">
        <v>14</v>
      </c>
      <c r="B15" t="s">
        <v>95</v>
      </c>
      <c r="C15" t="s">
        <v>82</v>
      </c>
      <c r="D15">
        <v>-0.50293651045300003</v>
      </c>
      <c r="E15" s="53" t="s">
        <v>174</v>
      </c>
    </row>
    <row r="16" spans="1:5" x14ac:dyDescent="0.25">
      <c r="A16">
        <v>15</v>
      </c>
      <c r="B16" t="s">
        <v>96</v>
      </c>
      <c r="C16" t="s">
        <v>82</v>
      </c>
      <c r="D16">
        <v>-1.61322160644</v>
      </c>
      <c r="E16" s="53" t="s">
        <v>175</v>
      </c>
    </row>
    <row r="17" spans="1:5" x14ac:dyDescent="0.25">
      <c r="A17">
        <v>16</v>
      </c>
      <c r="B17" t="s">
        <v>97</v>
      </c>
      <c r="C17" t="s">
        <v>82</v>
      </c>
      <c r="D17">
        <v>0.130749629122</v>
      </c>
      <c r="E17" s="53" t="s">
        <v>176</v>
      </c>
    </row>
    <row r="18" spans="1:5" x14ac:dyDescent="0.25">
      <c r="A18">
        <v>17</v>
      </c>
      <c r="B18" t="s">
        <v>98</v>
      </c>
      <c r="C18" t="s">
        <v>82</v>
      </c>
      <c r="D18" s="52">
        <v>8.4077289836199998E-2</v>
      </c>
      <c r="E18" s="53" t="s">
        <v>177</v>
      </c>
    </row>
    <row r="19" spans="1:5" x14ac:dyDescent="0.25">
      <c r="A19">
        <v>18</v>
      </c>
      <c r="B19" t="s">
        <v>99</v>
      </c>
      <c r="C19" t="s">
        <v>82</v>
      </c>
      <c r="D19">
        <v>0</v>
      </c>
      <c r="E19" s="53" t="s">
        <v>178</v>
      </c>
    </row>
    <row r="20" spans="1:5" x14ac:dyDescent="0.25">
      <c r="A20">
        <v>19</v>
      </c>
      <c r="B20" t="s">
        <v>100</v>
      </c>
      <c r="C20" t="s">
        <v>82</v>
      </c>
      <c r="D20">
        <v>0.106386053639</v>
      </c>
      <c r="E20" s="53" t="s">
        <v>162</v>
      </c>
    </row>
    <row r="21" spans="1:5" x14ac:dyDescent="0.25">
      <c r="A21">
        <v>20</v>
      </c>
      <c r="B21" t="s">
        <v>101</v>
      </c>
      <c r="C21" t="s">
        <v>82</v>
      </c>
      <c r="D21">
        <v>0.88087687792799996</v>
      </c>
      <c r="E21" s="53" t="s">
        <v>163</v>
      </c>
    </row>
    <row r="22" spans="1:5" x14ac:dyDescent="0.25">
      <c r="A22">
        <v>21</v>
      </c>
      <c r="B22" t="s">
        <v>102</v>
      </c>
      <c r="C22" t="s">
        <v>82</v>
      </c>
      <c r="D22">
        <v>-0.16458061134300001</v>
      </c>
      <c r="E22" s="53" t="s">
        <v>215</v>
      </c>
    </row>
    <row r="23" spans="1:5" x14ac:dyDescent="0.25">
      <c r="A23">
        <v>22</v>
      </c>
      <c r="B23" t="s">
        <v>103</v>
      </c>
      <c r="C23" t="s">
        <v>82</v>
      </c>
      <c r="D23">
        <v>0.154182014038</v>
      </c>
      <c r="E23" s="53" t="s">
        <v>216</v>
      </c>
    </row>
    <row r="24" spans="1:5" x14ac:dyDescent="0.25">
      <c r="A24">
        <v>23</v>
      </c>
      <c r="B24" t="s">
        <v>104</v>
      </c>
      <c r="C24" t="s">
        <v>82</v>
      </c>
      <c r="D24" s="52">
        <v>4.79448884421E-2</v>
      </c>
      <c r="E24" s="53" t="s">
        <v>217</v>
      </c>
    </row>
    <row r="25" spans="1:5" x14ac:dyDescent="0.25">
      <c r="A25">
        <v>24</v>
      </c>
      <c r="B25" t="s">
        <v>105</v>
      </c>
      <c r="C25" t="s">
        <v>82</v>
      </c>
      <c r="D25" s="52">
        <v>6.4843520043099998E-2</v>
      </c>
      <c r="E25" s="53" t="s">
        <v>218</v>
      </c>
    </row>
    <row r="26" spans="1:5" x14ac:dyDescent="0.25">
      <c r="A26">
        <v>25</v>
      </c>
      <c r="B26" t="s">
        <v>106</v>
      </c>
      <c r="C26" t="s">
        <v>82</v>
      </c>
      <c r="D26">
        <v>0.15272053169499999</v>
      </c>
      <c r="E26" s="53" t="s">
        <v>219</v>
      </c>
    </row>
    <row r="27" spans="1:5" x14ac:dyDescent="0.25">
      <c r="A27">
        <v>26</v>
      </c>
      <c r="B27" t="s">
        <v>107</v>
      </c>
      <c r="C27" t="s">
        <v>82</v>
      </c>
      <c r="D27" s="52">
        <v>7.2028590735099998E-2</v>
      </c>
      <c r="E27" s="53" t="s">
        <v>220</v>
      </c>
    </row>
    <row r="28" spans="1:5" x14ac:dyDescent="0.25">
      <c r="A28">
        <v>27</v>
      </c>
      <c r="B28" t="s">
        <v>108</v>
      </c>
      <c r="C28" t="s">
        <v>82</v>
      </c>
      <c r="D28">
        <v>-0.27934224041799999</v>
      </c>
      <c r="E28" s="53" t="s">
        <v>224</v>
      </c>
    </row>
    <row r="29" spans="1:5" x14ac:dyDescent="0.25">
      <c r="A29">
        <v>28</v>
      </c>
      <c r="B29" t="s">
        <v>109</v>
      </c>
      <c r="C29" t="s">
        <v>82</v>
      </c>
      <c r="D29" s="52">
        <v>4.3626229225700003E-2</v>
      </c>
      <c r="E29" s="53" t="s">
        <v>179</v>
      </c>
    </row>
    <row r="30" spans="1:5" x14ac:dyDescent="0.25">
      <c r="A30">
        <v>29</v>
      </c>
      <c r="B30" t="s">
        <v>110</v>
      </c>
      <c r="C30" t="s">
        <v>82</v>
      </c>
      <c r="D30" s="52">
        <v>-8.7886819411100006E-2</v>
      </c>
      <c r="E30" s="53" t="s">
        <v>199</v>
      </c>
    </row>
    <row r="31" spans="1:5" x14ac:dyDescent="0.25">
      <c r="A31">
        <v>30</v>
      </c>
      <c r="B31" t="s">
        <v>111</v>
      </c>
      <c r="C31" t="s">
        <v>82</v>
      </c>
      <c r="D31" s="52">
        <v>-4.2894941477000001E-2</v>
      </c>
      <c r="E31" s="53" t="s">
        <v>200</v>
      </c>
    </row>
    <row r="32" spans="1:5" x14ac:dyDescent="0.25">
      <c r="A32">
        <v>31</v>
      </c>
      <c r="B32" t="s">
        <v>112</v>
      </c>
      <c r="C32" t="s">
        <v>82</v>
      </c>
      <c r="D32">
        <v>-0.13045579928000001</v>
      </c>
      <c r="E32" s="53" t="s">
        <v>201</v>
      </c>
    </row>
    <row r="33" spans="1:5" x14ac:dyDescent="0.25">
      <c r="A33">
        <v>32</v>
      </c>
      <c r="B33" t="s">
        <v>113</v>
      </c>
      <c r="C33" t="s">
        <v>82</v>
      </c>
      <c r="D33">
        <v>0.18945088644899999</v>
      </c>
      <c r="E33" s="53" t="s">
        <v>202</v>
      </c>
    </row>
    <row r="34" spans="1:5" x14ac:dyDescent="0.25">
      <c r="A34">
        <v>33</v>
      </c>
      <c r="B34" t="s">
        <v>114</v>
      </c>
      <c r="C34" t="s">
        <v>82</v>
      </c>
      <c r="D34">
        <v>-0.179523169776</v>
      </c>
      <c r="E34" s="53" t="s">
        <v>203</v>
      </c>
    </row>
    <row r="35" spans="1:5" x14ac:dyDescent="0.25">
      <c r="A35">
        <v>34</v>
      </c>
      <c r="B35" t="s">
        <v>115</v>
      </c>
      <c r="C35" t="s">
        <v>82</v>
      </c>
      <c r="D35">
        <v>0.17233347539499999</v>
      </c>
      <c r="E35" s="53" t="s">
        <v>204</v>
      </c>
    </row>
    <row r="36" spans="1:5" x14ac:dyDescent="0.25">
      <c r="A36">
        <v>35</v>
      </c>
      <c r="B36" t="s">
        <v>116</v>
      </c>
      <c r="C36" t="s">
        <v>82</v>
      </c>
      <c r="D36">
        <v>-0.194698386872</v>
      </c>
      <c r="E36" s="53" t="s">
        <v>205</v>
      </c>
    </row>
    <row r="37" spans="1:5" x14ac:dyDescent="0.25">
      <c r="A37">
        <v>36</v>
      </c>
      <c r="B37" t="s">
        <v>117</v>
      </c>
      <c r="C37" t="s">
        <v>82</v>
      </c>
      <c r="D37">
        <v>0.38785322122799998</v>
      </c>
      <c r="E37" s="53" t="s">
        <v>206</v>
      </c>
    </row>
    <row r="38" spans="1:5" x14ac:dyDescent="0.25">
      <c r="A38">
        <v>41</v>
      </c>
      <c r="B38" t="s">
        <v>118</v>
      </c>
      <c r="C38" t="s">
        <v>119</v>
      </c>
      <c r="D38">
        <v>-2.9745332256100001</v>
      </c>
      <c r="E38" s="53" t="s">
        <v>243</v>
      </c>
    </row>
    <row r="39" spans="1:5" x14ac:dyDescent="0.25">
      <c r="A39">
        <v>42</v>
      </c>
      <c r="B39" t="s">
        <v>120</v>
      </c>
      <c r="C39" t="s">
        <v>119</v>
      </c>
      <c r="D39">
        <v>5.0782043482699999</v>
      </c>
      <c r="E39" s="53" t="s">
        <v>225</v>
      </c>
    </row>
    <row r="40" spans="1:5" x14ac:dyDescent="0.25">
      <c r="A40">
        <v>43</v>
      </c>
      <c r="B40" t="s">
        <v>121</v>
      </c>
      <c r="C40" t="s">
        <v>119</v>
      </c>
      <c r="D40">
        <v>-3.0391245094800001</v>
      </c>
      <c r="E40" s="53" t="s">
        <v>226</v>
      </c>
    </row>
    <row r="41" spans="1:5" x14ac:dyDescent="0.25">
      <c r="A41">
        <v>44</v>
      </c>
      <c r="B41" t="s">
        <v>122</v>
      </c>
      <c r="C41" t="s">
        <v>119</v>
      </c>
      <c r="D41">
        <v>-2.3320263859599999</v>
      </c>
      <c r="E41" s="53" t="s">
        <v>227</v>
      </c>
    </row>
    <row r="42" spans="1:5" x14ac:dyDescent="0.25">
      <c r="A42">
        <v>50</v>
      </c>
      <c r="B42" t="s">
        <v>123</v>
      </c>
      <c r="C42" t="s">
        <v>82</v>
      </c>
      <c r="D42">
        <v>0.33566647407</v>
      </c>
    </row>
    <row r="43" spans="1:5" x14ac:dyDescent="0.25">
      <c r="A43">
        <v>51</v>
      </c>
      <c r="B43" t="s">
        <v>124</v>
      </c>
      <c r="C43" t="s">
        <v>82</v>
      </c>
      <c r="D43">
        <v>-0.78911507665199998</v>
      </c>
      <c r="E43" s="53" t="s">
        <v>180</v>
      </c>
    </row>
    <row r="44" spans="1:5" x14ac:dyDescent="0.25">
      <c r="A44">
        <v>52</v>
      </c>
      <c r="B44" t="s">
        <v>125</v>
      </c>
      <c r="C44" t="s">
        <v>82</v>
      </c>
      <c r="D44">
        <v>0.56564055394500001</v>
      </c>
      <c r="E44" s="53" t="s">
        <v>181</v>
      </c>
    </row>
    <row r="45" spans="1:5" x14ac:dyDescent="0.25">
      <c r="A45">
        <v>53</v>
      </c>
      <c r="B45" t="s">
        <v>126</v>
      </c>
      <c r="C45" t="s">
        <v>82</v>
      </c>
      <c r="D45">
        <v>-1.85416848242</v>
      </c>
      <c r="E45" s="53" t="s">
        <v>182</v>
      </c>
    </row>
    <row r="46" spans="1:5" x14ac:dyDescent="0.25">
      <c r="A46">
        <v>54</v>
      </c>
      <c r="B46" t="s">
        <v>127</v>
      </c>
      <c r="C46" t="s">
        <v>82</v>
      </c>
      <c r="D46">
        <v>0</v>
      </c>
      <c r="E46" s="53" t="s">
        <v>183</v>
      </c>
    </row>
    <row r="47" spans="1:5" x14ac:dyDescent="0.25">
      <c r="A47">
        <v>55</v>
      </c>
      <c r="B47" t="s">
        <v>128</v>
      </c>
      <c r="C47" t="s">
        <v>82</v>
      </c>
      <c r="D47">
        <v>-1.1156286956100001</v>
      </c>
      <c r="E47" s="53" t="s">
        <v>184</v>
      </c>
    </row>
    <row r="48" spans="1:5" x14ac:dyDescent="0.25">
      <c r="A48">
        <v>56</v>
      </c>
      <c r="B48" t="s">
        <v>129</v>
      </c>
      <c r="C48" t="s">
        <v>82</v>
      </c>
      <c r="D48">
        <v>-0.81792869186600003</v>
      </c>
      <c r="E48" s="53" t="s">
        <v>185</v>
      </c>
    </row>
    <row r="49" spans="1:5" x14ac:dyDescent="0.25">
      <c r="A49">
        <v>57</v>
      </c>
      <c r="B49" t="s">
        <v>130</v>
      </c>
      <c r="C49" t="s">
        <v>82</v>
      </c>
      <c r="D49">
        <v>-1.04729487823</v>
      </c>
      <c r="E49" s="53" t="s">
        <v>186</v>
      </c>
    </row>
    <row r="50" spans="1:5" x14ac:dyDescent="0.25">
      <c r="A50">
        <v>58</v>
      </c>
      <c r="B50" t="s">
        <v>131</v>
      </c>
      <c r="C50" t="s">
        <v>82</v>
      </c>
      <c r="D50">
        <v>-2.0228517391</v>
      </c>
      <c r="E50" s="53" t="s">
        <v>187</v>
      </c>
    </row>
    <row r="51" spans="1:5" x14ac:dyDescent="0.25">
      <c r="A51">
        <v>59</v>
      </c>
      <c r="B51" t="s">
        <v>132</v>
      </c>
      <c r="C51" t="s">
        <v>82</v>
      </c>
      <c r="D51">
        <v>-1.2945321250099999</v>
      </c>
      <c r="E51" s="53" t="s">
        <v>188</v>
      </c>
    </row>
    <row r="52" spans="1:5" x14ac:dyDescent="0.25">
      <c r="A52">
        <v>60</v>
      </c>
      <c r="B52" t="s">
        <v>133</v>
      </c>
      <c r="C52" t="s">
        <v>82</v>
      </c>
      <c r="D52">
        <v>-0.66178028021599999</v>
      </c>
      <c r="E52" s="53" t="s">
        <v>207</v>
      </c>
    </row>
    <row r="53" spans="1:5" x14ac:dyDescent="0.25">
      <c r="A53">
        <v>61</v>
      </c>
      <c r="B53" t="s">
        <v>134</v>
      </c>
      <c r="C53" t="s">
        <v>82</v>
      </c>
      <c r="D53">
        <v>-0.55504741134900004</v>
      </c>
      <c r="E53" s="53" t="s">
        <v>208</v>
      </c>
    </row>
    <row r="54" spans="1:5" x14ac:dyDescent="0.25">
      <c r="A54">
        <v>62</v>
      </c>
      <c r="B54" t="s">
        <v>135</v>
      </c>
      <c r="C54" t="s">
        <v>82</v>
      </c>
      <c r="D54">
        <v>-1.7449233454799999</v>
      </c>
      <c r="E54" s="53" t="s">
        <v>209</v>
      </c>
    </row>
    <row r="55" spans="1:5" x14ac:dyDescent="0.25">
      <c r="A55">
        <v>63</v>
      </c>
      <c r="B55" t="s">
        <v>136</v>
      </c>
      <c r="C55" t="s">
        <v>82</v>
      </c>
      <c r="D55">
        <v>1.1995398853399999</v>
      </c>
      <c r="E55" s="53" t="s">
        <v>210</v>
      </c>
    </row>
    <row r="56" spans="1:5" x14ac:dyDescent="0.25">
      <c r="A56">
        <v>64</v>
      </c>
      <c r="B56" t="s">
        <v>137</v>
      </c>
      <c r="C56" t="s">
        <v>82</v>
      </c>
      <c r="D56">
        <v>0.19542046398099999</v>
      </c>
      <c r="E56" s="53" t="s">
        <v>211</v>
      </c>
    </row>
    <row r="57" spans="1:5" x14ac:dyDescent="0.25">
      <c r="A57">
        <v>65</v>
      </c>
      <c r="B57" t="s">
        <v>138</v>
      </c>
      <c r="C57" t="s">
        <v>82</v>
      </c>
      <c r="D57">
        <v>-0.90594458676599998</v>
      </c>
      <c r="E57" s="53" t="s">
        <v>212</v>
      </c>
    </row>
    <row r="58" spans="1:5" x14ac:dyDescent="0.25">
      <c r="A58">
        <v>66</v>
      </c>
      <c r="B58" t="s">
        <v>139</v>
      </c>
      <c r="C58" t="s">
        <v>82</v>
      </c>
      <c r="D58">
        <v>-2.05104130438</v>
      </c>
      <c r="E58" s="53" t="s">
        <v>189</v>
      </c>
    </row>
    <row r="59" spans="1:5" x14ac:dyDescent="0.25">
      <c r="A59">
        <v>67</v>
      </c>
      <c r="B59" t="s">
        <v>140</v>
      </c>
      <c r="C59" t="s">
        <v>82</v>
      </c>
      <c r="D59">
        <v>-2.2381608455899999</v>
      </c>
      <c r="E59" s="53" t="s">
        <v>190</v>
      </c>
    </row>
    <row r="60" spans="1:5" x14ac:dyDescent="0.25">
      <c r="A60">
        <v>68</v>
      </c>
      <c r="B60" t="s">
        <v>141</v>
      </c>
      <c r="C60" t="s">
        <v>82</v>
      </c>
      <c r="D60">
        <v>-0.40946320528300001</v>
      </c>
      <c r="E60" s="53" t="s">
        <v>191</v>
      </c>
    </row>
    <row r="61" spans="1:5" x14ac:dyDescent="0.25">
      <c r="A61">
        <v>69</v>
      </c>
      <c r="B61" t="s">
        <v>142</v>
      </c>
      <c r="C61" t="s">
        <v>82</v>
      </c>
      <c r="D61">
        <v>-1.1700902309500001</v>
      </c>
      <c r="E61" s="53" t="s">
        <v>192</v>
      </c>
    </row>
    <row r="62" spans="1:5" x14ac:dyDescent="0.25">
      <c r="A62">
        <v>70</v>
      </c>
      <c r="B62" t="s">
        <v>143</v>
      </c>
      <c r="C62" t="s">
        <v>82</v>
      </c>
      <c r="D62">
        <v>1.8412445021999999</v>
      </c>
      <c r="E62" s="53" t="s">
        <v>193</v>
      </c>
    </row>
    <row r="63" spans="1:5" x14ac:dyDescent="0.25">
      <c r="A63">
        <v>71</v>
      </c>
      <c r="B63" t="s">
        <v>144</v>
      </c>
      <c r="C63" t="s">
        <v>82</v>
      </c>
      <c r="D63">
        <v>0.71619685052500004</v>
      </c>
      <c r="E63" s="53" t="s">
        <v>194</v>
      </c>
    </row>
    <row r="64" spans="1:5" x14ac:dyDescent="0.25">
      <c r="A64">
        <v>72</v>
      </c>
      <c r="B64" t="s">
        <v>145</v>
      </c>
      <c r="C64" t="s">
        <v>82</v>
      </c>
      <c r="D64">
        <v>-0.101060642888</v>
      </c>
      <c r="E64" s="53" t="s">
        <v>195</v>
      </c>
    </row>
    <row r="65" spans="1:5" x14ac:dyDescent="0.25">
      <c r="A65">
        <v>73</v>
      </c>
      <c r="B65" t="s">
        <v>146</v>
      </c>
      <c r="C65" t="s">
        <v>82</v>
      </c>
      <c r="D65">
        <v>-0.34132571646100002</v>
      </c>
      <c r="E65" s="53" t="s">
        <v>196</v>
      </c>
    </row>
    <row r="66" spans="1:5" x14ac:dyDescent="0.25">
      <c r="A66">
        <v>74</v>
      </c>
      <c r="B66" t="s">
        <v>147</v>
      </c>
      <c r="C66" t="s">
        <v>82</v>
      </c>
      <c r="D66">
        <v>1.0486549950899999</v>
      </c>
      <c r="E66" s="53" t="s">
        <v>213</v>
      </c>
    </row>
    <row r="67" spans="1:5" x14ac:dyDescent="0.25">
      <c r="A67">
        <v>75</v>
      </c>
      <c r="B67" t="s">
        <v>148</v>
      </c>
      <c r="C67" t="s">
        <v>82</v>
      </c>
      <c r="D67">
        <v>-30</v>
      </c>
      <c r="E67" s="53" t="s">
        <v>221</v>
      </c>
    </row>
    <row r="68" spans="1:5" x14ac:dyDescent="0.25">
      <c r="A68">
        <v>76</v>
      </c>
      <c r="B68" t="s">
        <v>149</v>
      </c>
      <c r="C68" t="s">
        <v>82</v>
      </c>
      <c r="D68">
        <v>0.91468797064200003</v>
      </c>
      <c r="E68" s="53" t="s">
        <v>222</v>
      </c>
    </row>
    <row r="69" spans="1:5" x14ac:dyDescent="0.25">
      <c r="A69">
        <v>77</v>
      </c>
      <c r="B69" t="s">
        <v>150</v>
      </c>
      <c r="C69" t="s">
        <v>82</v>
      </c>
      <c r="D69">
        <v>-1.1830909132</v>
      </c>
      <c r="E69" s="53" t="s">
        <v>214</v>
      </c>
    </row>
    <row r="70" spans="1:5" x14ac:dyDescent="0.25">
      <c r="A70">
        <v>78</v>
      </c>
      <c r="B70" t="s">
        <v>151</v>
      </c>
      <c r="C70" t="s">
        <v>82</v>
      </c>
      <c r="D70">
        <v>1.4576625009499999</v>
      </c>
      <c r="E70" s="53" t="s">
        <v>223</v>
      </c>
    </row>
    <row r="71" spans="1:5" x14ac:dyDescent="0.25">
      <c r="A71">
        <v>79</v>
      </c>
      <c r="B71" t="s">
        <v>152</v>
      </c>
      <c r="C71" t="s">
        <v>82</v>
      </c>
      <c r="D71">
        <v>-1.62636517084</v>
      </c>
      <c r="E71" s="53" t="s">
        <v>197</v>
      </c>
    </row>
    <row r="72" spans="1:5" x14ac:dyDescent="0.25">
      <c r="A72">
        <v>80</v>
      </c>
      <c r="B72" t="s">
        <v>153</v>
      </c>
      <c r="C72" t="s">
        <v>82</v>
      </c>
      <c r="D72">
        <v>0</v>
      </c>
      <c r="E72" s="53" t="s">
        <v>198</v>
      </c>
    </row>
    <row r="73" spans="1:5" x14ac:dyDescent="0.25">
      <c r="A73">
        <v>90</v>
      </c>
      <c r="B73" t="s">
        <v>154</v>
      </c>
      <c r="C73" t="s">
        <v>82</v>
      </c>
      <c r="D73">
        <v>0</v>
      </c>
      <c r="E73" s="53">
        <v>100</v>
      </c>
    </row>
    <row r="74" spans="1:5" x14ac:dyDescent="0.25">
      <c r="A74">
        <v>98</v>
      </c>
      <c r="B74" t="s">
        <v>155</v>
      </c>
      <c r="C74" t="s">
        <v>119</v>
      </c>
      <c r="D74">
        <v>0.196146395147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349"/>
  <sheetViews>
    <sheetView workbookViewId="0">
      <selection activeCell="A8" sqref="A8:K348"/>
    </sheetView>
  </sheetViews>
  <sheetFormatPr defaultRowHeight="15" x14ac:dyDescent="0.25"/>
  <sheetData>
    <row r="1" spans="1:10" x14ac:dyDescent="0.25">
      <c r="A1" s="55" t="s">
        <v>266</v>
      </c>
      <c r="H1" t="s">
        <v>273</v>
      </c>
    </row>
    <row r="2" spans="1:10" x14ac:dyDescent="0.25">
      <c r="A2">
        <v>1</v>
      </c>
      <c r="B2" t="s">
        <v>267</v>
      </c>
    </row>
    <row r="3" spans="1:10" x14ac:dyDescent="0.25">
      <c r="A3">
        <v>2</v>
      </c>
      <c r="B3" t="s">
        <v>268</v>
      </c>
    </row>
    <row r="4" spans="1:10" x14ac:dyDescent="0.25">
      <c r="A4">
        <v>3</v>
      </c>
      <c r="B4" t="s">
        <v>270</v>
      </c>
    </row>
    <row r="5" spans="1:10" x14ac:dyDescent="0.25">
      <c r="A5">
        <v>4</v>
      </c>
      <c r="B5" t="s">
        <v>269</v>
      </c>
    </row>
    <row r="8" spans="1:10" x14ac:dyDescent="0.25">
      <c r="A8" t="s">
        <v>258</v>
      </c>
      <c r="B8" t="s">
        <v>259</v>
      </c>
      <c r="C8" t="s">
        <v>278</v>
      </c>
      <c r="D8" t="s">
        <v>279</v>
      </c>
      <c r="E8" t="s">
        <v>280</v>
      </c>
      <c r="F8" t="s">
        <v>281</v>
      </c>
      <c r="G8" t="s">
        <v>282</v>
      </c>
      <c r="H8" t="s">
        <v>283</v>
      </c>
    </row>
    <row r="9" spans="1:10" x14ac:dyDescent="0.25">
      <c r="A9" t="s">
        <v>260</v>
      </c>
      <c r="B9" t="s">
        <v>261</v>
      </c>
      <c r="C9" t="s">
        <v>262</v>
      </c>
      <c r="D9" t="s">
        <v>263</v>
      </c>
      <c r="E9">
        <v>4</v>
      </c>
      <c r="F9" s="58">
        <v>0.67841435185185184</v>
      </c>
      <c r="G9" t="s">
        <v>264</v>
      </c>
      <c r="H9">
        <v>5</v>
      </c>
      <c r="I9" t="s">
        <v>284</v>
      </c>
      <c r="J9">
        <v>12</v>
      </c>
    </row>
    <row r="10" spans="1:10" x14ac:dyDescent="0.25">
      <c r="A10" t="s">
        <v>265</v>
      </c>
    </row>
    <row r="11" spans="1:10" x14ac:dyDescent="0.25">
      <c r="B11">
        <v>1</v>
      </c>
      <c r="C11" t="s">
        <v>81</v>
      </c>
      <c r="D11" t="s">
        <v>82</v>
      </c>
      <c r="E11">
        <v>1</v>
      </c>
      <c r="F11">
        <v>0</v>
      </c>
    </row>
    <row r="12" spans="1:10" x14ac:dyDescent="0.25">
      <c r="B12">
        <v>2</v>
      </c>
      <c r="C12" t="s">
        <v>83</v>
      </c>
      <c r="D12" t="s">
        <v>82</v>
      </c>
      <c r="E12">
        <v>0.7</v>
      </c>
      <c r="F12">
        <v>0</v>
      </c>
    </row>
    <row r="13" spans="1:10" x14ac:dyDescent="0.25">
      <c r="B13">
        <v>3</v>
      </c>
      <c r="C13" t="s">
        <v>84</v>
      </c>
      <c r="D13" t="s">
        <v>82</v>
      </c>
      <c r="E13">
        <v>1</v>
      </c>
      <c r="F13">
        <v>0</v>
      </c>
    </row>
    <row r="14" spans="1:10" x14ac:dyDescent="0.25">
      <c r="B14">
        <v>4</v>
      </c>
      <c r="C14" t="s">
        <v>85</v>
      </c>
      <c r="D14" t="s">
        <v>82</v>
      </c>
      <c r="E14">
        <v>0.5</v>
      </c>
      <c r="F14">
        <v>0</v>
      </c>
    </row>
    <row r="15" spans="1:10" x14ac:dyDescent="0.25">
      <c r="B15">
        <v>5</v>
      </c>
      <c r="C15" t="s">
        <v>86</v>
      </c>
      <c r="D15" t="s">
        <v>82</v>
      </c>
      <c r="E15">
        <v>0</v>
      </c>
      <c r="F15">
        <v>0</v>
      </c>
    </row>
    <row r="16" spans="1:10" x14ac:dyDescent="0.25">
      <c r="B16">
        <v>6</v>
      </c>
      <c r="C16" t="s">
        <v>87</v>
      </c>
      <c r="D16" t="s">
        <v>82</v>
      </c>
      <c r="E16">
        <v>-4.1530549264700003</v>
      </c>
      <c r="F16">
        <v>0</v>
      </c>
    </row>
    <row r="17" spans="2:6" x14ac:dyDescent="0.25">
      <c r="B17">
        <v>7</v>
      </c>
      <c r="C17" t="s">
        <v>88</v>
      </c>
      <c r="D17" t="s">
        <v>82</v>
      </c>
      <c r="E17">
        <v>-1.68452606998</v>
      </c>
      <c r="F17">
        <v>0</v>
      </c>
    </row>
    <row r="18" spans="2:6" x14ac:dyDescent="0.25">
      <c r="B18">
        <v>8</v>
      </c>
      <c r="C18" t="s">
        <v>89</v>
      </c>
      <c r="D18" t="s">
        <v>82</v>
      </c>
      <c r="E18">
        <v>0.13162300973999999</v>
      </c>
      <c r="F18">
        <v>0</v>
      </c>
    </row>
    <row r="19" spans="2:6" x14ac:dyDescent="0.25">
      <c r="B19">
        <v>9</v>
      </c>
      <c r="C19" t="s">
        <v>90</v>
      </c>
      <c r="D19" t="s">
        <v>82</v>
      </c>
      <c r="E19">
        <v>-3.1050660724200001</v>
      </c>
      <c r="F19">
        <v>0</v>
      </c>
    </row>
    <row r="20" spans="2:6" x14ac:dyDescent="0.25">
      <c r="B20">
        <v>10</v>
      </c>
      <c r="C20" t="s">
        <v>91</v>
      </c>
      <c r="D20" t="s">
        <v>82</v>
      </c>
      <c r="E20">
        <v>-3.4653118418800002</v>
      </c>
      <c r="F20">
        <v>0</v>
      </c>
    </row>
    <row r="21" spans="2:6" x14ac:dyDescent="0.25">
      <c r="B21">
        <v>11</v>
      </c>
      <c r="C21" t="s">
        <v>92</v>
      </c>
      <c r="D21" t="s">
        <v>82</v>
      </c>
      <c r="E21">
        <v>-0.22974879339000001</v>
      </c>
      <c r="F21">
        <v>0</v>
      </c>
    </row>
    <row r="22" spans="2:6" x14ac:dyDescent="0.25">
      <c r="B22">
        <v>12</v>
      </c>
      <c r="C22" t="s">
        <v>93</v>
      </c>
      <c r="D22" t="s">
        <v>82</v>
      </c>
      <c r="E22">
        <v>-0.93478838755000004</v>
      </c>
      <c r="F22">
        <v>0</v>
      </c>
    </row>
    <row r="23" spans="2:6" x14ac:dyDescent="0.25">
      <c r="B23">
        <v>13</v>
      </c>
      <c r="C23" t="s">
        <v>94</v>
      </c>
      <c r="D23" t="s">
        <v>82</v>
      </c>
      <c r="E23">
        <v>0.40796503771199999</v>
      </c>
      <c r="F23">
        <v>0</v>
      </c>
    </row>
    <row r="24" spans="2:6" x14ac:dyDescent="0.25">
      <c r="B24">
        <v>14</v>
      </c>
      <c r="C24" t="s">
        <v>95</v>
      </c>
      <c r="D24" t="s">
        <v>82</v>
      </c>
      <c r="E24">
        <v>-0.50293651045300003</v>
      </c>
      <c r="F24">
        <v>0</v>
      </c>
    </row>
    <row r="25" spans="2:6" x14ac:dyDescent="0.25">
      <c r="B25">
        <v>15</v>
      </c>
      <c r="C25" t="s">
        <v>96</v>
      </c>
      <c r="D25" t="s">
        <v>82</v>
      </c>
      <c r="E25">
        <v>-1.61322160644</v>
      </c>
      <c r="F25">
        <v>0</v>
      </c>
    </row>
    <row r="26" spans="2:6" x14ac:dyDescent="0.25">
      <c r="B26">
        <v>16</v>
      </c>
      <c r="C26" t="s">
        <v>97</v>
      </c>
      <c r="D26" t="s">
        <v>82</v>
      </c>
      <c r="E26">
        <v>0.130749629122</v>
      </c>
      <c r="F26">
        <v>0</v>
      </c>
    </row>
    <row r="27" spans="2:6" x14ac:dyDescent="0.25">
      <c r="B27">
        <v>17</v>
      </c>
      <c r="C27" t="s">
        <v>98</v>
      </c>
      <c r="D27" t="s">
        <v>82</v>
      </c>
      <c r="E27" s="52">
        <v>8.4077289836199998E-2</v>
      </c>
      <c r="F27">
        <v>0</v>
      </c>
    </row>
    <row r="28" spans="2:6" x14ac:dyDescent="0.25">
      <c r="B28">
        <v>18</v>
      </c>
      <c r="C28" t="s">
        <v>99</v>
      </c>
      <c r="D28" t="s">
        <v>82</v>
      </c>
      <c r="E28">
        <v>0</v>
      </c>
      <c r="F28">
        <v>0</v>
      </c>
    </row>
    <row r="29" spans="2:6" x14ac:dyDescent="0.25">
      <c r="B29">
        <v>19</v>
      </c>
      <c r="C29" t="s">
        <v>100</v>
      </c>
      <c r="D29" t="s">
        <v>82</v>
      </c>
      <c r="E29">
        <v>0.106386053639</v>
      </c>
      <c r="F29">
        <v>0</v>
      </c>
    </row>
    <row r="30" spans="2:6" x14ac:dyDescent="0.25">
      <c r="B30">
        <v>20</v>
      </c>
      <c r="C30" t="s">
        <v>101</v>
      </c>
      <c r="D30" t="s">
        <v>82</v>
      </c>
      <c r="E30">
        <v>0.88087687792799996</v>
      </c>
      <c r="F30">
        <v>0</v>
      </c>
    </row>
    <row r="31" spans="2:6" x14ac:dyDescent="0.25">
      <c r="B31">
        <v>21</v>
      </c>
      <c r="C31" t="s">
        <v>102</v>
      </c>
      <c r="D31" t="s">
        <v>82</v>
      </c>
      <c r="E31">
        <v>-0.16458061134300001</v>
      </c>
      <c r="F31">
        <v>0</v>
      </c>
    </row>
    <row r="32" spans="2:6" x14ac:dyDescent="0.25">
      <c r="B32">
        <v>22</v>
      </c>
      <c r="C32" t="s">
        <v>103</v>
      </c>
      <c r="D32" t="s">
        <v>82</v>
      </c>
      <c r="E32">
        <v>0.154182014038</v>
      </c>
      <c r="F32">
        <v>0</v>
      </c>
    </row>
    <row r="33" spans="2:6" x14ac:dyDescent="0.25">
      <c r="B33">
        <v>23</v>
      </c>
      <c r="C33" t="s">
        <v>104</v>
      </c>
      <c r="D33" t="s">
        <v>82</v>
      </c>
      <c r="E33" s="52">
        <v>4.79448884421E-2</v>
      </c>
      <c r="F33">
        <v>0</v>
      </c>
    </row>
    <row r="34" spans="2:6" x14ac:dyDescent="0.25">
      <c r="B34">
        <v>24</v>
      </c>
      <c r="C34" t="s">
        <v>105</v>
      </c>
      <c r="D34" t="s">
        <v>82</v>
      </c>
      <c r="E34" s="52">
        <v>6.4843520043099998E-2</v>
      </c>
      <c r="F34">
        <v>0</v>
      </c>
    </row>
    <row r="35" spans="2:6" x14ac:dyDescent="0.25">
      <c r="B35">
        <v>25</v>
      </c>
      <c r="C35" t="s">
        <v>106</v>
      </c>
      <c r="D35" t="s">
        <v>82</v>
      </c>
      <c r="E35">
        <v>0.15272053169499999</v>
      </c>
      <c r="F35">
        <v>0</v>
      </c>
    </row>
    <row r="36" spans="2:6" x14ac:dyDescent="0.25">
      <c r="B36">
        <v>26</v>
      </c>
      <c r="C36" t="s">
        <v>107</v>
      </c>
      <c r="D36" t="s">
        <v>82</v>
      </c>
      <c r="E36" s="52">
        <v>7.2028590735099998E-2</v>
      </c>
      <c r="F36">
        <v>0</v>
      </c>
    </row>
    <row r="37" spans="2:6" x14ac:dyDescent="0.25">
      <c r="B37">
        <v>27</v>
      </c>
      <c r="C37" t="s">
        <v>108</v>
      </c>
      <c r="D37" t="s">
        <v>82</v>
      </c>
      <c r="E37">
        <v>-0.27934224041799999</v>
      </c>
      <c r="F37">
        <v>0</v>
      </c>
    </row>
    <row r="38" spans="2:6" x14ac:dyDescent="0.25">
      <c r="B38">
        <v>28</v>
      </c>
      <c r="C38" t="s">
        <v>109</v>
      </c>
      <c r="D38" t="s">
        <v>82</v>
      </c>
      <c r="E38" s="52">
        <v>4.3626229225700003E-2</v>
      </c>
      <c r="F38">
        <v>0</v>
      </c>
    </row>
    <row r="39" spans="2:6" x14ac:dyDescent="0.25">
      <c r="B39">
        <v>29</v>
      </c>
      <c r="C39" t="s">
        <v>110</v>
      </c>
      <c r="D39" t="s">
        <v>82</v>
      </c>
      <c r="E39" s="52">
        <v>-8.7886819411100006E-2</v>
      </c>
      <c r="F39">
        <v>0</v>
      </c>
    </row>
    <row r="40" spans="2:6" x14ac:dyDescent="0.25">
      <c r="B40">
        <v>30</v>
      </c>
      <c r="C40" t="s">
        <v>111</v>
      </c>
      <c r="D40" t="s">
        <v>82</v>
      </c>
      <c r="E40" s="52">
        <v>-4.2894941477000001E-2</v>
      </c>
      <c r="F40">
        <v>0</v>
      </c>
    </row>
    <row r="41" spans="2:6" x14ac:dyDescent="0.25">
      <c r="B41">
        <v>31</v>
      </c>
      <c r="C41" t="s">
        <v>112</v>
      </c>
      <c r="D41" t="s">
        <v>82</v>
      </c>
      <c r="E41">
        <v>-0.13045579928000001</v>
      </c>
      <c r="F41">
        <v>0</v>
      </c>
    </row>
    <row r="42" spans="2:6" x14ac:dyDescent="0.25">
      <c r="B42">
        <v>32</v>
      </c>
      <c r="C42" t="s">
        <v>113</v>
      </c>
      <c r="D42" t="s">
        <v>82</v>
      </c>
      <c r="E42">
        <v>0.18945088644899999</v>
      </c>
      <c r="F42">
        <v>0</v>
      </c>
    </row>
    <row r="43" spans="2:6" x14ac:dyDescent="0.25">
      <c r="B43">
        <v>33</v>
      </c>
      <c r="C43" t="s">
        <v>114</v>
      </c>
      <c r="D43" t="s">
        <v>82</v>
      </c>
      <c r="E43">
        <v>-0.179523169776</v>
      </c>
      <c r="F43">
        <v>0</v>
      </c>
    </row>
    <row r="44" spans="2:6" x14ac:dyDescent="0.25">
      <c r="B44">
        <v>34</v>
      </c>
      <c r="C44" t="s">
        <v>115</v>
      </c>
      <c r="D44" t="s">
        <v>82</v>
      </c>
      <c r="E44">
        <v>0.17233347539499999</v>
      </c>
      <c r="F44">
        <v>0</v>
      </c>
    </row>
    <row r="45" spans="2:6" x14ac:dyDescent="0.25">
      <c r="B45">
        <v>35</v>
      </c>
      <c r="C45" t="s">
        <v>116</v>
      </c>
      <c r="D45" t="s">
        <v>82</v>
      </c>
      <c r="E45">
        <v>-0.194698386872</v>
      </c>
      <c r="F45">
        <v>0</v>
      </c>
    </row>
    <row r="46" spans="2:6" x14ac:dyDescent="0.25">
      <c r="B46">
        <v>36</v>
      </c>
      <c r="C46" t="s">
        <v>117</v>
      </c>
      <c r="D46" t="s">
        <v>82</v>
      </c>
      <c r="E46">
        <v>0.38785322122799998</v>
      </c>
      <c r="F46">
        <v>0</v>
      </c>
    </row>
    <row r="47" spans="2:6" x14ac:dyDescent="0.25">
      <c r="B47">
        <v>41</v>
      </c>
      <c r="C47" t="s">
        <v>118</v>
      </c>
      <c r="D47" t="s">
        <v>119</v>
      </c>
      <c r="E47">
        <v>-3.8051604915000001</v>
      </c>
      <c r="F47">
        <v>0</v>
      </c>
    </row>
    <row r="48" spans="2:6" x14ac:dyDescent="0.25">
      <c r="B48">
        <v>42</v>
      </c>
      <c r="C48" t="s">
        <v>120</v>
      </c>
      <c r="D48" t="s">
        <v>119</v>
      </c>
      <c r="E48">
        <v>5.07828619993</v>
      </c>
      <c r="F48">
        <v>1.6177792075899999</v>
      </c>
    </row>
    <row r="49" spans="2:6" x14ac:dyDescent="0.25">
      <c r="B49">
        <v>43</v>
      </c>
      <c r="C49" t="s">
        <v>121</v>
      </c>
      <c r="D49" t="s">
        <v>119</v>
      </c>
      <c r="E49">
        <v>-3.0390882271000002</v>
      </c>
      <c r="F49">
        <v>1.4512014550300001</v>
      </c>
    </row>
    <row r="50" spans="2:6" x14ac:dyDescent="0.25">
      <c r="B50">
        <v>44</v>
      </c>
      <c r="C50" t="s">
        <v>122</v>
      </c>
      <c r="D50" t="s">
        <v>119</v>
      </c>
      <c r="E50">
        <v>-2.3320026601800001</v>
      </c>
      <c r="F50">
        <v>0.81624078360300001</v>
      </c>
    </row>
    <row r="51" spans="2:6" x14ac:dyDescent="0.25">
      <c r="B51">
        <v>50</v>
      </c>
      <c r="C51" t="s">
        <v>123</v>
      </c>
      <c r="D51" t="s">
        <v>82</v>
      </c>
      <c r="E51">
        <v>0.33566647407</v>
      </c>
      <c r="F51">
        <v>0</v>
      </c>
    </row>
    <row r="52" spans="2:6" x14ac:dyDescent="0.25">
      <c r="B52">
        <v>51</v>
      </c>
      <c r="C52" t="s">
        <v>124</v>
      </c>
      <c r="D52" t="s">
        <v>82</v>
      </c>
      <c r="E52">
        <v>-0.78911507665199998</v>
      </c>
      <c r="F52">
        <v>0</v>
      </c>
    </row>
    <row r="53" spans="2:6" x14ac:dyDescent="0.25">
      <c r="B53">
        <v>52</v>
      </c>
      <c r="C53" t="s">
        <v>125</v>
      </c>
      <c r="D53" t="s">
        <v>82</v>
      </c>
      <c r="E53">
        <v>0.56564055394500001</v>
      </c>
      <c r="F53">
        <v>0</v>
      </c>
    </row>
    <row r="54" spans="2:6" x14ac:dyDescent="0.25">
      <c r="B54">
        <v>53</v>
      </c>
      <c r="C54" t="s">
        <v>126</v>
      </c>
      <c r="D54" t="s">
        <v>82</v>
      </c>
      <c r="E54">
        <v>-1.85416848242</v>
      </c>
      <c r="F54">
        <v>0</v>
      </c>
    </row>
    <row r="55" spans="2:6" x14ac:dyDescent="0.25">
      <c r="B55">
        <v>54</v>
      </c>
      <c r="C55" t="s">
        <v>127</v>
      </c>
      <c r="D55" t="s">
        <v>82</v>
      </c>
      <c r="E55">
        <v>0</v>
      </c>
      <c r="F55">
        <v>0</v>
      </c>
    </row>
    <row r="56" spans="2:6" x14ac:dyDescent="0.25">
      <c r="B56">
        <v>55</v>
      </c>
      <c r="C56" t="s">
        <v>128</v>
      </c>
      <c r="D56" t="s">
        <v>82</v>
      </c>
      <c r="E56">
        <v>-1.1156286956100001</v>
      </c>
      <c r="F56">
        <v>0</v>
      </c>
    </row>
    <row r="57" spans="2:6" x14ac:dyDescent="0.25">
      <c r="B57">
        <v>56</v>
      </c>
      <c r="C57" t="s">
        <v>129</v>
      </c>
      <c r="D57" t="s">
        <v>82</v>
      </c>
      <c r="E57">
        <v>-0.81792869186600003</v>
      </c>
      <c r="F57">
        <v>0</v>
      </c>
    </row>
    <row r="58" spans="2:6" x14ac:dyDescent="0.25">
      <c r="B58">
        <v>57</v>
      </c>
      <c r="C58" t="s">
        <v>130</v>
      </c>
      <c r="D58" t="s">
        <v>82</v>
      </c>
      <c r="E58">
        <v>-1.04729487823</v>
      </c>
      <c r="F58">
        <v>0</v>
      </c>
    </row>
    <row r="59" spans="2:6" x14ac:dyDescent="0.25">
      <c r="B59">
        <v>58</v>
      </c>
      <c r="C59" t="s">
        <v>131</v>
      </c>
      <c r="D59" t="s">
        <v>82</v>
      </c>
      <c r="E59">
        <v>-2.0228517391</v>
      </c>
      <c r="F59">
        <v>0</v>
      </c>
    </row>
    <row r="60" spans="2:6" x14ac:dyDescent="0.25">
      <c r="B60">
        <v>59</v>
      </c>
      <c r="C60" t="s">
        <v>132</v>
      </c>
      <c r="D60" t="s">
        <v>82</v>
      </c>
      <c r="E60">
        <v>-1.2945321250099999</v>
      </c>
      <c r="F60">
        <v>0</v>
      </c>
    </row>
    <row r="61" spans="2:6" x14ac:dyDescent="0.25">
      <c r="B61">
        <v>60</v>
      </c>
      <c r="C61" t="s">
        <v>133</v>
      </c>
      <c r="D61" t="s">
        <v>82</v>
      </c>
      <c r="E61">
        <v>-0.66178028021599999</v>
      </c>
      <c r="F61">
        <v>0</v>
      </c>
    </row>
    <row r="62" spans="2:6" x14ac:dyDescent="0.25">
      <c r="B62">
        <v>61</v>
      </c>
      <c r="C62" t="s">
        <v>134</v>
      </c>
      <c r="D62" t="s">
        <v>82</v>
      </c>
      <c r="E62">
        <v>-0.55504741134900004</v>
      </c>
      <c r="F62">
        <v>0</v>
      </c>
    </row>
    <row r="63" spans="2:6" x14ac:dyDescent="0.25">
      <c r="B63">
        <v>62</v>
      </c>
      <c r="C63" t="s">
        <v>135</v>
      </c>
      <c r="D63" t="s">
        <v>82</v>
      </c>
      <c r="E63">
        <v>-1.7449233454799999</v>
      </c>
      <c r="F63">
        <v>0</v>
      </c>
    </row>
    <row r="64" spans="2:6" x14ac:dyDescent="0.25">
      <c r="B64">
        <v>63</v>
      </c>
      <c r="C64" t="s">
        <v>136</v>
      </c>
      <c r="D64" t="s">
        <v>82</v>
      </c>
      <c r="E64">
        <v>1.1995398853399999</v>
      </c>
      <c r="F64">
        <v>0</v>
      </c>
    </row>
    <row r="65" spans="2:6" x14ac:dyDescent="0.25">
      <c r="B65">
        <v>64</v>
      </c>
      <c r="C65" t="s">
        <v>137</v>
      </c>
      <c r="D65" t="s">
        <v>82</v>
      </c>
      <c r="E65">
        <v>0.19542046398099999</v>
      </c>
      <c r="F65">
        <v>0</v>
      </c>
    </row>
    <row r="66" spans="2:6" x14ac:dyDescent="0.25">
      <c r="B66">
        <v>65</v>
      </c>
      <c r="C66" t="s">
        <v>138</v>
      </c>
      <c r="D66" t="s">
        <v>82</v>
      </c>
      <c r="E66">
        <v>-0.90594458676599998</v>
      </c>
      <c r="F66">
        <v>0</v>
      </c>
    </row>
    <row r="67" spans="2:6" x14ac:dyDescent="0.25">
      <c r="B67">
        <v>66</v>
      </c>
      <c r="C67" t="s">
        <v>139</v>
      </c>
      <c r="D67" t="s">
        <v>82</v>
      </c>
      <c r="E67">
        <v>-2.05104130438</v>
      </c>
      <c r="F67">
        <v>0</v>
      </c>
    </row>
    <row r="68" spans="2:6" x14ac:dyDescent="0.25">
      <c r="B68">
        <v>67</v>
      </c>
      <c r="C68" t="s">
        <v>140</v>
      </c>
      <c r="D68" t="s">
        <v>82</v>
      </c>
      <c r="E68">
        <v>-2.2381608455899999</v>
      </c>
      <c r="F68">
        <v>0</v>
      </c>
    </row>
    <row r="69" spans="2:6" x14ac:dyDescent="0.25">
      <c r="B69">
        <v>68</v>
      </c>
      <c r="C69" t="s">
        <v>141</v>
      </c>
      <c r="D69" t="s">
        <v>82</v>
      </c>
      <c r="E69">
        <v>-0.40946320528300001</v>
      </c>
      <c r="F69">
        <v>0</v>
      </c>
    </row>
    <row r="70" spans="2:6" x14ac:dyDescent="0.25">
      <c r="B70">
        <v>69</v>
      </c>
      <c r="C70" t="s">
        <v>142</v>
      </c>
      <c r="D70" t="s">
        <v>82</v>
      </c>
      <c r="E70">
        <v>-1.1700902309500001</v>
      </c>
      <c r="F70">
        <v>0</v>
      </c>
    </row>
    <row r="71" spans="2:6" x14ac:dyDescent="0.25">
      <c r="B71">
        <v>70</v>
      </c>
      <c r="C71" t="s">
        <v>143</v>
      </c>
      <c r="D71" t="s">
        <v>82</v>
      </c>
      <c r="E71">
        <v>1.8412445021999999</v>
      </c>
      <c r="F71">
        <v>0</v>
      </c>
    </row>
    <row r="72" spans="2:6" x14ac:dyDescent="0.25">
      <c r="B72">
        <v>71</v>
      </c>
      <c r="C72" t="s">
        <v>144</v>
      </c>
      <c r="D72" t="s">
        <v>82</v>
      </c>
      <c r="E72">
        <v>0.71619685052500004</v>
      </c>
      <c r="F72">
        <v>0</v>
      </c>
    </row>
    <row r="73" spans="2:6" x14ac:dyDescent="0.25">
      <c r="B73">
        <v>72</v>
      </c>
      <c r="C73" t="s">
        <v>145</v>
      </c>
      <c r="D73" t="s">
        <v>82</v>
      </c>
      <c r="E73">
        <v>-0.101060642888</v>
      </c>
      <c r="F73">
        <v>0</v>
      </c>
    </row>
    <row r="74" spans="2:6" x14ac:dyDescent="0.25">
      <c r="B74">
        <v>73</v>
      </c>
      <c r="C74" t="s">
        <v>146</v>
      </c>
      <c r="D74" t="s">
        <v>82</v>
      </c>
      <c r="E74">
        <v>-0.34132571646100002</v>
      </c>
      <c r="F74">
        <v>0</v>
      </c>
    </row>
    <row r="75" spans="2:6" x14ac:dyDescent="0.25">
      <c r="B75">
        <v>74</v>
      </c>
      <c r="C75" t="s">
        <v>147</v>
      </c>
      <c r="D75" t="s">
        <v>82</v>
      </c>
      <c r="E75">
        <v>1.0486549950899999</v>
      </c>
      <c r="F75">
        <v>0</v>
      </c>
    </row>
    <row r="76" spans="2:6" x14ac:dyDescent="0.25">
      <c r="B76">
        <v>75</v>
      </c>
      <c r="C76" t="s">
        <v>148</v>
      </c>
      <c r="D76" t="s">
        <v>82</v>
      </c>
      <c r="E76">
        <v>-30</v>
      </c>
      <c r="F76">
        <v>0</v>
      </c>
    </row>
    <row r="77" spans="2:6" x14ac:dyDescent="0.25">
      <c r="B77">
        <v>76</v>
      </c>
      <c r="C77" t="s">
        <v>149</v>
      </c>
      <c r="D77" t="s">
        <v>82</v>
      </c>
      <c r="E77">
        <v>0.91468797064200003</v>
      </c>
      <c r="F77">
        <v>0</v>
      </c>
    </row>
    <row r="78" spans="2:6" x14ac:dyDescent="0.25">
      <c r="B78">
        <v>77</v>
      </c>
      <c r="C78" t="s">
        <v>150</v>
      </c>
      <c r="D78" t="s">
        <v>82</v>
      </c>
      <c r="E78">
        <v>-1.1830909132</v>
      </c>
      <c r="F78">
        <v>0</v>
      </c>
    </row>
    <row r="79" spans="2:6" x14ac:dyDescent="0.25">
      <c r="B79">
        <v>78</v>
      </c>
      <c r="C79" t="s">
        <v>151</v>
      </c>
      <c r="D79" t="s">
        <v>82</v>
      </c>
      <c r="E79">
        <v>1.4576625009499999</v>
      </c>
      <c r="F79">
        <v>0</v>
      </c>
    </row>
    <row r="80" spans="2:6" x14ac:dyDescent="0.25">
      <c r="B80">
        <v>79</v>
      </c>
      <c r="C80" t="s">
        <v>152</v>
      </c>
      <c r="D80" t="s">
        <v>82</v>
      </c>
      <c r="E80">
        <v>-1.62636517084</v>
      </c>
      <c r="F80">
        <v>0</v>
      </c>
    </row>
    <row r="81" spans="2:11" x14ac:dyDescent="0.25">
      <c r="B81">
        <v>80</v>
      </c>
      <c r="C81" t="s">
        <v>153</v>
      </c>
      <c r="D81" t="s">
        <v>82</v>
      </c>
      <c r="E81">
        <v>0</v>
      </c>
      <c r="F81">
        <v>0</v>
      </c>
    </row>
    <row r="82" spans="2:11" x14ac:dyDescent="0.25">
      <c r="B82">
        <v>98</v>
      </c>
      <c r="C82" t="s">
        <v>155</v>
      </c>
      <c r="D82" t="s">
        <v>119</v>
      </c>
      <c r="E82">
        <v>0.196143079927</v>
      </c>
      <c r="F82" s="52">
        <v>5.2787786365599998E-2</v>
      </c>
    </row>
    <row r="83" spans="2:11" x14ac:dyDescent="0.25">
      <c r="B83">
        <v>-1</v>
      </c>
      <c r="F83" s="52"/>
    </row>
    <row r="84" spans="2:11" x14ac:dyDescent="0.25">
      <c r="B84">
        <v>4094</v>
      </c>
      <c r="C84" s="52">
        <v>-7858.2822859199996</v>
      </c>
      <c r="D84" s="52">
        <v>-18684.837435699999</v>
      </c>
      <c r="E84" s="52">
        <v>-15176.5511826</v>
      </c>
    </row>
    <row r="85" spans="2:11" x14ac:dyDescent="0.25">
      <c r="B85">
        <v>4</v>
      </c>
      <c r="C85" s="52" t="s">
        <v>285</v>
      </c>
      <c r="D85" s="52" t="s">
        <v>264</v>
      </c>
      <c r="E85" s="52">
        <v>5</v>
      </c>
      <c r="F85" t="s">
        <v>284</v>
      </c>
      <c r="G85">
        <v>12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-93357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21016</v>
      </c>
    </row>
    <row r="160" spans="2:11" x14ac:dyDescent="0.25">
      <c r="B160">
        <v>-15064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61408</v>
      </c>
      <c r="J163">
        <v>-67476</v>
      </c>
      <c r="K163">
        <v>11445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2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25"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2:11" x14ac:dyDescent="0.25"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2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2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25"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2:11" x14ac:dyDescent="0.25"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2:11" x14ac:dyDescent="0.25"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2:11" x14ac:dyDescent="0.25"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2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2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25"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2:11" x14ac:dyDescent="0.25"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2:11" x14ac:dyDescent="0.2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2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2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2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2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25"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</row>
    <row r="305" spans="2:11" x14ac:dyDescent="0.25"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</row>
    <row r="306" spans="2:11" x14ac:dyDescent="0.25"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</row>
    <row r="307" spans="2:11" x14ac:dyDescent="0.25"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</row>
    <row r="308" spans="2:11" x14ac:dyDescent="0.25"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</row>
    <row r="309" spans="2:11" x14ac:dyDescent="0.25"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</row>
    <row r="310" spans="2:11" x14ac:dyDescent="0.25"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</row>
    <row r="311" spans="2:11" x14ac:dyDescent="0.25"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</row>
    <row r="312" spans="2:11" x14ac:dyDescent="0.25"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</row>
    <row r="313" spans="2:11" x14ac:dyDescent="0.25"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</row>
    <row r="314" spans="2:11" x14ac:dyDescent="0.25"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</row>
    <row r="315" spans="2:11" x14ac:dyDescent="0.25"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2:11" x14ac:dyDescent="0.25"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2:11" x14ac:dyDescent="0.25"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</row>
    <row r="318" spans="2:11" x14ac:dyDescent="0.25"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</row>
    <row r="319" spans="2:11" x14ac:dyDescent="0.25"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</row>
    <row r="320" spans="2:11" x14ac:dyDescent="0.25"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2:11" x14ac:dyDescent="0.25"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2:11" x14ac:dyDescent="0.25"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2:11" x14ac:dyDescent="0.25"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2:11" x14ac:dyDescent="0.25"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2:11" x14ac:dyDescent="0.25"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2:11" x14ac:dyDescent="0.25"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</row>
    <row r="327" spans="2:11" x14ac:dyDescent="0.25"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</row>
    <row r="328" spans="2:11" x14ac:dyDescent="0.25"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</row>
    <row r="329" spans="2:11" x14ac:dyDescent="0.25"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</row>
    <row r="330" spans="2:11" x14ac:dyDescent="0.25"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</row>
    <row r="331" spans="2:11" x14ac:dyDescent="0.25"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</row>
    <row r="332" spans="2:11" x14ac:dyDescent="0.25"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</row>
    <row r="333" spans="2:11" x14ac:dyDescent="0.25"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2:11" x14ac:dyDescent="0.25"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2:11" x14ac:dyDescent="0.25"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</row>
    <row r="336" spans="2:11" x14ac:dyDescent="0.25"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</row>
    <row r="337" spans="2:11" x14ac:dyDescent="0.25"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</row>
    <row r="338" spans="2:11" x14ac:dyDescent="0.25"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</row>
    <row r="339" spans="2:11" x14ac:dyDescent="0.25"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</row>
    <row r="340" spans="2:11" x14ac:dyDescent="0.25"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</row>
    <row r="341" spans="2:11" x14ac:dyDescent="0.25"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2:11" x14ac:dyDescent="0.25"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2:11" x14ac:dyDescent="0.25"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2:11" x14ac:dyDescent="0.25"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2:11" x14ac:dyDescent="0.25">
      <c r="B345">
        <v>0</v>
      </c>
      <c r="C345">
        <v>0</v>
      </c>
      <c r="D345">
        <v>99207</v>
      </c>
      <c r="E345">
        <v>-91957</v>
      </c>
      <c r="F345">
        <v>23803</v>
      </c>
      <c r="G345">
        <v>66371</v>
      </c>
      <c r="H345">
        <v>0</v>
      </c>
      <c r="I345">
        <v>0</v>
      </c>
      <c r="J345">
        <v>0</v>
      </c>
      <c r="K345">
        <v>0</v>
      </c>
    </row>
    <row r="346" spans="2:11" x14ac:dyDescent="0.25"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2:11" x14ac:dyDescent="0.25"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</row>
    <row r="348" spans="2:11" x14ac:dyDescent="0.25"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2:11" x14ac:dyDescent="0.25"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W75"/>
  <sheetViews>
    <sheetView workbookViewId="0">
      <selection activeCell="P8" sqref="P8"/>
    </sheetView>
  </sheetViews>
  <sheetFormatPr defaultRowHeight="15" x14ac:dyDescent="0.25"/>
  <cols>
    <col min="1" max="1" bestFit="true" customWidth="true" width="12.7109375" collapsed="true"/>
    <col min="2" max="2" bestFit="true" customWidth="true" width="9.5703125" collapsed="true"/>
    <col min="7" max="7" bestFit="true" customWidth="true" width="12.7109375" collapsed="true"/>
    <col min="13" max="13" bestFit="true" customWidth="true" width="10.85546875" collapsed="true"/>
    <col min="14" max="14" bestFit="true" customWidth="true" width="16.42578125" collapsed="true"/>
    <col min="15" max="15" bestFit="true" customWidth="true" width="9.42578125" collapsed="true"/>
    <col min="16" max="16" customWidth="true" width="5.5703125" collapsed="true"/>
    <col min="17" max="17" bestFit="true" customWidth="true" width="16.42578125" collapsed="true"/>
    <col min="21" max="21" bestFit="true" customWidth="true" width="10.0" collapsed="true"/>
    <col min="22" max="23" bestFit="true" customWidth="true" width="17.5703125" collapsed="true"/>
  </cols>
  <sheetData>
    <row r="1" spans="1:23" x14ac:dyDescent="0.25">
      <c r="M1" s="55" t="s">
        <v>266</v>
      </c>
      <c r="T1" s="55" t="s">
        <v>256</v>
      </c>
    </row>
    <row r="2" spans="1:23" x14ac:dyDescent="0.25">
      <c r="M2">
        <v>1</v>
      </c>
      <c r="N2" t="s">
        <v>274</v>
      </c>
      <c r="V2" s="66" t="s">
        <v>271</v>
      </c>
      <c r="W2" s="66" t="s">
        <v>272</v>
      </c>
    </row>
    <row r="3" spans="1:23" x14ac:dyDescent="0.25">
      <c r="M3">
        <v>2</v>
      </c>
      <c r="N3" t="s">
        <v>275</v>
      </c>
      <c r="T3">
        <v>1</v>
      </c>
      <c r="U3" t="s">
        <v>81</v>
      </c>
      <c r="V3" s="60">
        <f>WorkLocationCoefficients!E11</f>
        <v>1</v>
      </c>
      <c r="W3" s="65">
        <f>V3</f>
        <v>1</v>
      </c>
    </row>
    <row r="4" spans="1:23" x14ac:dyDescent="0.25">
      <c r="C4" s="11" t="s">
        <v>228</v>
      </c>
      <c r="I4" s="11" t="s">
        <v>249</v>
      </c>
      <c r="T4">
        <v>2</v>
      </c>
      <c r="U4" t="s">
        <v>83</v>
      </c>
      <c r="V4" s="60">
        <f>WorkLocationCoefficients!E12</f>
        <v>0.7</v>
      </c>
      <c r="W4" s="65">
        <f ref="W4:W67" si="0" t="shared">V4</f>
        <v>0.7</v>
      </c>
    </row>
    <row ht="15.75" r="5" spans="1:23" thickBot="1" x14ac:dyDescent="0.3">
      <c r="A5" s="55" t="s">
        <v>250</v>
      </c>
      <c r="M5" s="81"/>
      <c r="N5" s="49"/>
      <c r="O5" s="49"/>
      <c r="P5" s="49"/>
      <c r="Q5" s="49"/>
      <c r="T5">
        <v>3</v>
      </c>
      <c r="U5" t="s">
        <v>84</v>
      </c>
      <c r="V5" s="60">
        <f>WorkLocationCoefficients!E13</f>
        <v>1</v>
      </c>
      <c r="W5" s="65">
        <f si="0" t="shared"/>
        <v>1</v>
      </c>
    </row>
    <row r="6" spans="1:23" x14ac:dyDescent="0.25">
      <c r="A6" s="5" t="s">
        <v>3</v>
      </c>
      <c r="B6" s="5" t="s">
        <v>12</v>
      </c>
      <c r="C6" s="5" t="s">
        <v>13</v>
      </c>
      <c r="D6" s="5" t="s">
        <v>14</v>
      </c>
      <c r="E6" s="5" t="s">
        <v>248</v>
      </c>
      <c r="G6" s="5" t="s">
        <v>3</v>
      </c>
      <c r="H6" s="5" t="s">
        <v>12</v>
      </c>
      <c r="I6" s="5" t="s">
        <v>13</v>
      </c>
      <c r="J6" s="5" t="s">
        <v>14</v>
      </c>
      <c r="K6" s="5" t="s">
        <v>248</v>
      </c>
      <c r="M6" s="82"/>
      <c r="N6" s="82"/>
      <c r="O6" s="82"/>
      <c r="P6" s="82"/>
      <c r="Q6" s="82"/>
      <c r="T6">
        <v>4</v>
      </c>
      <c r="U6" t="s">
        <v>85</v>
      </c>
      <c r="V6" s="60">
        <f>WorkLocationCoefficients!E14</f>
        <v>0.5</v>
      </c>
      <c r="W6" s="65">
        <f si="0" t="shared"/>
        <v>0.5</v>
      </c>
    </row>
    <row r="7" spans="1:23" x14ac:dyDescent="0.25">
      <c r="A7" s="54" t="s">
        <v>244</v>
      </c>
      <c r="B7" s="12">
        <f>SUM(TLFD!B11:B13)+0.5*(TLFD!B14)</f>
        <v>76194.469291241097</v>
      </c>
      <c r="C7" s="12">
        <f>SUM(TLFD!C11:C13)+0.5*(TLFD!C14)</f>
        <v>20727.102802502108</v>
      </c>
      <c r="D7" s="12">
        <f>SUM(TLFD!D11:D13)+0.5*(TLFD!D14)</f>
        <v>8749.473739633966</v>
      </c>
      <c r="E7" s="12">
        <f>SUM(B7:D7)</f>
        <v>105671.04583337717</v>
      </c>
      <c r="G7" s="54" t="s">
        <v>244</v>
      </c>
      <c r="H7" s="12">
        <f>SUM(TLFD!H11:H13)+0.5*(TLFD!H14)</f>
        <v>89008</v>
      </c>
      <c r="I7" s="12">
        <f>SUM(TLFD!I11:I13)+0.5*(TLFD!I14)</f>
        <v>26512</v>
      </c>
      <c r="J7" s="12">
        <f>SUM(TLFD!J11:J13)+0.5*(TLFD!J14)</f>
        <v>11214</v>
      </c>
      <c r="K7" s="12">
        <f>SUM(H7:J7)</f>
        <v>126734</v>
      </c>
      <c r="M7" s="49"/>
      <c r="N7" s="70"/>
      <c r="O7" s="71"/>
      <c r="P7" s="71"/>
      <c r="Q7" s="70"/>
      <c r="T7">
        <v>5</v>
      </c>
      <c r="U7" t="s">
        <v>86</v>
      </c>
      <c r="V7" s="60">
        <f>WorkLocationCoefficients!E15</f>
        <v>0</v>
      </c>
      <c r="W7" s="65">
        <f si="0" t="shared"/>
        <v>0</v>
      </c>
    </row>
    <row r="8" spans="1:23" x14ac:dyDescent="0.25">
      <c r="A8" s="54" t="s">
        <v>245</v>
      </c>
      <c r="B8" s="12">
        <f>0.5*(TLFD!B14)+SUM(TLFD!B15:B20)</f>
        <v>151232.61022633014</v>
      </c>
      <c r="C8" s="12">
        <f>0.5*(TLFD!C14)+SUM(TLFD!C15:C20)</f>
        <v>21655.360548699777</v>
      </c>
      <c r="D8" s="12">
        <f>0.5*(TLFD!D14)+SUM(TLFD!D15:D20)</f>
        <v>12492.734889403133</v>
      </c>
      <c r="E8" s="12">
        <f>SUM(B8:D8)</f>
        <v>185380.70566443304</v>
      </c>
      <c r="G8" s="54" t="s">
        <v>245</v>
      </c>
      <c r="H8" s="12">
        <f>0.5*(TLFD!H14)+SUM(TLFD!H15:H20)</f>
        <v>175855</v>
      </c>
      <c r="I8" s="12">
        <f>0.5*(TLFD!I14)+SUM(TLFD!I15:I20)</f>
        <v>31135</v>
      </c>
      <c r="J8" s="12">
        <f>0.5*(TLFD!J14)+SUM(TLFD!J15:J20)</f>
        <v>13704</v>
      </c>
      <c r="K8" s="12">
        <f>SUM(H8:J8)</f>
        <v>220694</v>
      </c>
      <c r="M8" s="49" t="s">
        <v>288</v>
      </c>
      <c r="N8" s="70"/>
      <c r="O8" s="71"/>
      <c r="P8" s="71"/>
      <c r="Q8" s="70"/>
      <c r="T8" s="59">
        <v>6</v>
      </c>
      <c r="U8" s="59" t="s">
        <v>87</v>
      </c>
      <c r="V8" s="61">
        <f>WorkLocationCoefficients!E16</f>
        <v>-4.1530549264700003</v>
      </c>
      <c r="W8" s="65">
        <f>Q14</f>
        <v>-4.1530549264700003</v>
      </c>
    </row>
    <row r="9" spans="1:23" x14ac:dyDescent="0.25">
      <c r="A9" s="72" t="s">
        <v>246</v>
      </c>
      <c r="B9" s="73">
        <f>SUM(TLFD!B21:B101)</f>
        <v>277435.54737871961</v>
      </c>
      <c r="C9" s="73">
        <f>SUM(TLFD!C21:C101)</f>
        <v>21894.998857928145</v>
      </c>
      <c r="D9" s="73">
        <f>SUM(TLFD!D21:D101)</f>
        <v>9281.6272151925095</v>
      </c>
      <c r="E9" s="73">
        <f>SUM(B9:D9)</f>
        <v>308612.1734518403</v>
      </c>
      <c r="G9" s="72" t="s">
        <v>246</v>
      </c>
      <c r="H9" s="73">
        <f>SUM(TLFD!H21:H101)</f>
        <v>323886</v>
      </c>
      <c r="I9" s="73">
        <f>SUM(TLFD!I21:I101)</f>
        <v>23971</v>
      </c>
      <c r="J9" s="73">
        <f>SUM(TLFD!J21:J101)</f>
        <v>10697</v>
      </c>
      <c r="K9" s="73">
        <f>SUM(H9:J9)</f>
        <v>358554</v>
      </c>
      <c r="M9" s="49" t="s">
        <v>289</v>
      </c>
      <c r="N9" s="70"/>
      <c r="O9" s="71"/>
      <c r="P9" s="71"/>
      <c r="Q9" s="70"/>
      <c r="T9" s="59">
        <v>7</v>
      </c>
      <c r="U9" s="59" t="s">
        <v>88</v>
      </c>
      <c r="V9" s="61">
        <f>WorkLocationCoefficients!E17</f>
        <v>-1.68452606998</v>
      </c>
      <c r="W9" s="65">
        <f ref="W9:W10" si="1" t="shared">Q15</f>
        <v>-1.679929370474599</v>
      </c>
    </row>
    <row ht="15.75" r="10" spans="1:23" thickBot="1" x14ac:dyDescent="0.3">
      <c r="A10" s="76" t="s">
        <v>4</v>
      </c>
      <c r="B10" s="77">
        <f>SUM(B7:B9)</f>
        <v>504862.62689629087</v>
      </c>
      <c r="C10" s="77">
        <f ref="C10:E10" si="2" t="shared">SUM(C7:C9)</f>
        <v>64277.462209130026</v>
      </c>
      <c r="D10" s="77">
        <f si="2" t="shared"/>
        <v>30523.835844229608</v>
      </c>
      <c r="E10" s="77">
        <f si="2" t="shared"/>
        <v>599663.92494965054</v>
      </c>
      <c r="F10" s="49"/>
      <c r="G10" s="76" t="s">
        <v>4</v>
      </c>
      <c r="H10" s="77">
        <f>SUM(H7:H9)</f>
        <v>588749</v>
      </c>
      <c r="I10" s="77">
        <f ref="I10:K10" si="3" t="shared">SUM(I7:I9)</f>
        <v>81618</v>
      </c>
      <c r="J10" s="77">
        <f si="3" t="shared"/>
        <v>35615</v>
      </c>
      <c r="K10" s="77">
        <f si="3" t="shared"/>
        <v>705982</v>
      </c>
      <c r="L10" s="49"/>
      <c r="M10" s="49" t="s">
        <v>290</v>
      </c>
      <c r="N10" s="49"/>
      <c r="O10" s="49"/>
      <c r="P10" s="49"/>
      <c r="Q10" s="49"/>
      <c r="T10" s="59">
        <v>8</v>
      </c>
      <c r="U10" s="59" t="s">
        <v>89</v>
      </c>
      <c r="V10" s="61">
        <f>WorkLocationCoefficients!E18</f>
        <v>0.13162300973999999</v>
      </c>
      <c r="W10" s="65">
        <f si="1" t="shared"/>
        <v>0.1293845217345819</v>
      </c>
    </row>
    <row r="11" spans="1:23" x14ac:dyDescent="0.25">
      <c r="T11">
        <v>9</v>
      </c>
      <c r="U11" t="s">
        <v>90</v>
      </c>
      <c r="V11" s="60">
        <f>WorkLocationCoefficients!E19</f>
        <v>-3.1050660724200001</v>
      </c>
      <c r="W11" s="65">
        <f si="0" t="shared"/>
        <v>-3.1050660724200001</v>
      </c>
    </row>
    <row ht="15.75" r="12" spans="1:23" thickBot="1" x14ac:dyDescent="0.3">
      <c r="A12" s="67" t="s">
        <v>286</v>
      </c>
      <c r="M12" s="11" t="s">
        <v>255</v>
      </c>
      <c r="T12">
        <v>10</v>
      </c>
      <c r="U12" t="s">
        <v>91</v>
      </c>
      <c r="V12" s="60">
        <f>WorkLocationCoefficients!E20</f>
        <v>-3.4653118418800002</v>
      </c>
      <c r="W12" s="65">
        <f si="0" t="shared"/>
        <v>-3.4653118418800002</v>
      </c>
    </row>
    <row r="13" spans="1:23" x14ac:dyDescent="0.25">
      <c r="A13" s="5" t="s">
        <v>3</v>
      </c>
      <c r="B13" s="5" t="s">
        <v>12</v>
      </c>
      <c r="C13" s="5" t="s">
        <v>13</v>
      </c>
      <c r="D13" s="5" t="s">
        <v>14</v>
      </c>
      <c r="E13" s="5" t="s">
        <v>248</v>
      </c>
      <c r="G13" s="5" t="s">
        <v>3</v>
      </c>
      <c r="H13" s="5" t="s">
        <v>12</v>
      </c>
      <c r="I13" s="5" t="s">
        <v>13</v>
      </c>
      <c r="J13" s="5" t="s">
        <v>14</v>
      </c>
      <c r="K13" s="5" t="s">
        <v>248</v>
      </c>
      <c r="M13" s="5" t="s">
        <v>257</v>
      </c>
      <c r="N13" s="5" t="s">
        <v>253</v>
      </c>
      <c r="O13" s="5" t="s">
        <v>251</v>
      </c>
      <c r="P13" s="5" t="s">
        <v>252</v>
      </c>
      <c r="Q13" s="5" t="s">
        <v>254</v>
      </c>
      <c r="T13">
        <v>11</v>
      </c>
      <c r="U13" t="s">
        <v>92</v>
      </c>
      <c r="V13" s="60">
        <f>WorkLocationCoefficients!E21</f>
        <v>-0.22974879339000001</v>
      </c>
      <c r="W13" s="65">
        <f si="0" t="shared"/>
        <v>-0.22974879339000001</v>
      </c>
    </row>
    <row r="14" spans="1:23" x14ac:dyDescent="0.25">
      <c r="A14" s="54" t="s">
        <v>244</v>
      </c>
      <c r="B14" s="86">
        <f>B7/B$10</f>
        <v>0.15092119169061211</v>
      </c>
      <c r="C14" s="78">
        <f ref="C14:E14" si="4" t="shared">C7/C$10</f>
        <v>0.32246299231704906</v>
      </c>
      <c r="D14" s="78">
        <f si="4" t="shared"/>
        <v>0.28664397830877519</v>
      </c>
      <c r="E14" s="78">
        <f si="4" t="shared"/>
        <v>0.17621711334769655</v>
      </c>
      <c r="G14" s="54" t="s">
        <v>244</v>
      </c>
      <c r="H14" s="86">
        <f>H7/H$10</f>
        <v>0.15118157313218367</v>
      </c>
      <c r="I14" s="78">
        <f ref="I14:K14" si="5" t="shared">I7/I$10</f>
        <v>0.32483030704011367</v>
      </c>
      <c r="J14" s="78">
        <f si="5" t="shared"/>
        <v>0.31486733118068227</v>
      </c>
      <c r="K14" s="78">
        <f si="5" t="shared"/>
        <v>0.17951449187089755</v>
      </c>
      <c r="M14">
        <v>6</v>
      </c>
      <c r="N14" s="62">
        <f>V8</f>
        <v>-4.1530549264700003</v>
      </c>
      <c r="O14" s="9">
        <f>B14/H14</f>
        <v>0.99827769061945204</v>
      </c>
      <c r="P14" s="9">
        <f>LN(O14)-LN(O$14)</f>
        <v>0</v>
      </c>
      <c r="Q14" s="61">
        <f>N14+P14</f>
        <v>-4.1530549264700003</v>
      </c>
      <c r="T14">
        <v>12</v>
      </c>
      <c r="U14" t="s">
        <v>93</v>
      </c>
      <c r="V14" s="60">
        <f>WorkLocationCoefficients!E22</f>
        <v>-0.93478838755000004</v>
      </c>
      <c r="W14" s="65">
        <f si="0" t="shared"/>
        <v>-0.93478838755000004</v>
      </c>
    </row>
    <row r="15" spans="1:23" x14ac:dyDescent="0.25">
      <c r="A15" s="54" t="s">
        <v>245</v>
      </c>
      <c r="B15" s="86">
        <f ref="B15:E15" si="6" t="shared">B8/B$10</f>
        <v>0.29955200121675163</v>
      </c>
      <c r="C15" s="78">
        <f si="6" t="shared"/>
        <v>0.33690441103979724</v>
      </c>
      <c r="D15" s="78">
        <f si="6" t="shared"/>
        <v>0.40927801319455814</v>
      </c>
      <c r="E15" s="78">
        <f si="6" t="shared"/>
        <v>0.30914100040284753</v>
      </c>
      <c r="G15" s="54" t="s">
        <v>245</v>
      </c>
      <c r="H15" s="86">
        <f ref="H15:K15" si="7" t="shared">H8/H$10</f>
        <v>0.29869265170726406</v>
      </c>
      <c r="I15" s="78">
        <f si="7" t="shared"/>
        <v>0.38147222426425542</v>
      </c>
      <c r="J15" s="78">
        <f si="7" t="shared"/>
        <v>0.38478169310683702</v>
      </c>
      <c r="K15" s="78">
        <f si="7" t="shared"/>
        <v>0.3126057038281429</v>
      </c>
      <c r="M15">
        <v>7</v>
      </c>
      <c r="N15" s="62">
        <f ref="N15:N16" si="8" t="shared">V9</f>
        <v>-1.68452606998</v>
      </c>
      <c r="O15" s="9">
        <f>B15/H15</f>
        <v>1.0028770359919326</v>
      </c>
      <c r="P15" s="9">
        <f ref="P15" si="9" t="shared">LN(O15)-LN(O$14)</f>
        <v>4.5966995054010536E-3</v>
      </c>
      <c r="Q15" s="61">
        <f>N15+P15</f>
        <v>-1.679929370474599</v>
      </c>
      <c r="T15">
        <v>13</v>
      </c>
      <c r="U15" t="s">
        <v>94</v>
      </c>
      <c r="V15" s="60">
        <f>WorkLocationCoefficients!E23</f>
        <v>0.40796503771199999</v>
      </c>
      <c r="W15" s="65">
        <f si="0" t="shared"/>
        <v>0.40796503771199999</v>
      </c>
    </row>
    <row r="16" spans="1:23" x14ac:dyDescent="0.25">
      <c r="A16" s="72" t="s">
        <v>246</v>
      </c>
      <c r="B16" s="86">
        <f ref="B16:E16" si="10" t="shared">B9/B$10</f>
        <v>0.54952680709263624</v>
      </c>
      <c r="C16" s="78">
        <f si="10" t="shared"/>
        <v>0.34063259664315371</v>
      </c>
      <c r="D16" s="78">
        <f si="10" t="shared"/>
        <v>0.30407800849666666</v>
      </c>
      <c r="E16" s="78">
        <f si="10" t="shared"/>
        <v>0.51464188624945584</v>
      </c>
      <c r="G16" s="72" t="s">
        <v>246</v>
      </c>
      <c r="H16" s="86">
        <f ref="H16:K16" si="11" t="shared">H9/H$10</f>
        <v>0.55012577516055228</v>
      </c>
      <c r="I16" s="78">
        <f si="11" t="shared"/>
        <v>0.29369746869563085</v>
      </c>
      <c r="J16" s="78">
        <f si="11" t="shared"/>
        <v>0.30035097571248071</v>
      </c>
      <c r="K16" s="78">
        <f si="11" t="shared"/>
        <v>0.50787980430095947</v>
      </c>
      <c r="L16" s="49"/>
      <c r="M16" s="6">
        <v>8</v>
      </c>
      <c r="N16" s="63">
        <f si="8" t="shared"/>
        <v>0.13162300973999999</v>
      </c>
      <c r="O16" s="14">
        <f>B16/H16</f>
        <v>0.99891121613463529</v>
      </c>
      <c r="P16" s="14">
        <f>LN(O16)-LN(O15)-LN(O$14)</f>
        <v>-2.2384880054180912E-3</v>
      </c>
      <c r="Q16" s="64">
        <f>N16+P16</f>
        <v>0.1293845217345819</v>
      </c>
      <c r="T16">
        <v>14</v>
      </c>
      <c r="U16" t="s">
        <v>95</v>
      </c>
      <c r="V16" s="60">
        <f>WorkLocationCoefficients!E24</f>
        <v>-0.50293651045300003</v>
      </c>
      <c r="W16" s="65">
        <f si="0" t="shared"/>
        <v>-0.50293651045300003</v>
      </c>
    </row>
    <row ht="15.75" r="17" spans="1:23" thickBot="1" x14ac:dyDescent="0.3">
      <c r="A17" s="76" t="s">
        <v>4</v>
      </c>
      <c r="B17" s="79">
        <f ref="B17" si="12" t="shared">B10/B$10</f>
        <v>1</v>
      </c>
      <c r="C17" s="79">
        <f ref="C17" si="13" t="shared">SUM(C14:C16)</f>
        <v>1</v>
      </c>
      <c r="D17" s="79">
        <f ref="D17" si="14" t="shared">SUM(D14:D16)</f>
        <v>1</v>
      </c>
      <c r="E17" s="79">
        <f ref="E17" si="15" t="shared">SUM(E14:E16)</f>
        <v>0.99999999999999989</v>
      </c>
      <c r="F17" s="49"/>
      <c r="G17" s="76" t="s">
        <v>4</v>
      </c>
      <c r="H17" s="79">
        <f>SUM(H14:H16)</f>
        <v>1</v>
      </c>
      <c r="I17" s="79">
        <f ref="I17" si="16" t="shared">SUM(I14:I16)</f>
        <v>1</v>
      </c>
      <c r="J17" s="79">
        <f ref="J17" si="17" t="shared">SUM(J14:J16)</f>
        <v>1</v>
      </c>
      <c r="K17" s="79">
        <f ref="K17" si="18" t="shared">SUM(K14:K16)</f>
        <v>0.99999999999999989</v>
      </c>
      <c r="L17" s="49"/>
      <c r="M17" s="49"/>
      <c r="N17" s="70"/>
      <c r="O17" s="71"/>
      <c r="P17" s="71"/>
      <c r="Q17" s="70"/>
      <c r="T17">
        <v>15</v>
      </c>
      <c r="U17" t="s">
        <v>96</v>
      </c>
      <c r="V17" s="60">
        <f>WorkLocationCoefficients!E25</f>
        <v>-1.61322160644</v>
      </c>
      <c r="W17" s="65">
        <f si="0" t="shared"/>
        <v>-1.61322160644</v>
      </c>
    </row>
    <row r="18" spans="1:23" x14ac:dyDescent="0.25">
      <c r="A18" s="68"/>
      <c r="B18" s="69"/>
      <c r="C18" s="69"/>
      <c r="D18" s="69"/>
      <c r="E18" s="69"/>
      <c r="F18" s="49"/>
      <c r="G18" s="68"/>
      <c r="H18" s="69"/>
      <c r="I18" s="69"/>
      <c r="J18" s="69"/>
      <c r="K18" s="69"/>
      <c r="L18" s="49"/>
      <c r="M18" s="49"/>
      <c r="N18" s="70"/>
      <c r="O18" s="71"/>
      <c r="P18" s="71"/>
      <c r="Q18" s="70"/>
      <c r="T18">
        <v>16</v>
      </c>
      <c r="U18" t="s">
        <v>97</v>
      </c>
      <c r="V18" s="60">
        <f>WorkLocationCoefficients!E26</f>
        <v>0.130749629122</v>
      </c>
      <c r="W18" s="65">
        <f si="0" t="shared"/>
        <v>0.130749629122</v>
      </c>
    </row>
    <row r="19" spans="1:23" x14ac:dyDescent="0.25">
      <c r="A19" s="68"/>
      <c r="B19" s="69"/>
      <c r="C19" s="69"/>
      <c r="D19" s="69"/>
      <c r="E19" s="69"/>
      <c r="F19" s="49"/>
      <c r="G19" s="68"/>
      <c r="H19" s="69"/>
      <c r="I19" s="69"/>
      <c r="J19" s="69"/>
      <c r="K19" s="69"/>
      <c r="L19" s="49"/>
      <c r="M19" s="49"/>
      <c r="N19" s="70"/>
      <c r="O19" s="71"/>
      <c r="P19" s="71"/>
      <c r="Q19" s="70"/>
      <c r="R19" s="7"/>
      <c r="T19">
        <v>17</v>
      </c>
      <c r="U19" t="s">
        <v>98</v>
      </c>
      <c r="V19" s="60">
        <f>WorkLocationCoefficients!E27</f>
        <v>8.4077289836199998E-2</v>
      </c>
      <c r="W19" s="65">
        <f si="0" t="shared"/>
        <v>8.4077289836199998E-2</v>
      </c>
    </row>
    <row r="20" spans="1:23" x14ac:dyDescent="0.25">
      <c r="A20" s="49"/>
      <c r="B20" s="69"/>
      <c r="C20" s="69"/>
      <c r="D20" s="69"/>
      <c r="E20" s="69"/>
      <c r="F20" s="49"/>
      <c r="G20" s="49"/>
      <c r="H20" s="69"/>
      <c r="I20" s="69"/>
      <c r="J20" s="69"/>
      <c r="K20" s="69"/>
      <c r="L20" s="49"/>
      <c r="M20" s="49"/>
      <c r="N20" s="49"/>
      <c r="O20" s="49"/>
      <c r="P20" s="49"/>
      <c r="Q20" s="49"/>
      <c r="T20">
        <v>18</v>
      </c>
      <c r="U20" t="s">
        <v>99</v>
      </c>
      <c r="V20" s="60">
        <f>WorkLocationCoefficients!E28</f>
        <v>0</v>
      </c>
      <c r="W20" s="65">
        <f si="0" t="shared"/>
        <v>0</v>
      </c>
    </row>
    <row r="21" spans="1:23" x14ac:dyDescent="0.25">
      <c r="T21">
        <v>19</v>
      </c>
      <c r="U21" t="s">
        <v>100</v>
      </c>
      <c r="V21" s="60">
        <f>WorkLocationCoefficients!E29</f>
        <v>0.106386053639</v>
      </c>
      <c r="W21" s="65">
        <f si="0" t="shared"/>
        <v>0.106386053639</v>
      </c>
    </row>
    <row r="22" spans="1:23" x14ac:dyDescent="0.25">
      <c r="N22" s="56"/>
      <c r="Q22" s="57"/>
      <c r="T22">
        <v>20</v>
      </c>
      <c r="U22" t="s">
        <v>101</v>
      </c>
      <c r="V22" s="60">
        <f>WorkLocationCoefficients!E30</f>
        <v>0.88087687792799996</v>
      </c>
      <c r="W22" s="65">
        <f si="0" t="shared"/>
        <v>0.88087687792799996</v>
      </c>
    </row>
    <row r="23" spans="1:23" x14ac:dyDescent="0.25">
      <c r="A23" s="67" t="s">
        <v>277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T23">
        <v>21</v>
      </c>
      <c r="U23" t="s">
        <v>102</v>
      </c>
      <c r="V23" s="60">
        <f>WorkLocationCoefficients!E31</f>
        <v>-0.16458061134300001</v>
      </c>
      <c r="W23" s="65">
        <f si="0" t="shared"/>
        <v>-0.16458061134300001</v>
      </c>
    </row>
    <row ht="15.75" r="24" spans="1:23" thickBot="1" x14ac:dyDescent="0.3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T24">
        <v>22</v>
      </c>
      <c r="U24" t="s">
        <v>103</v>
      </c>
      <c r="V24" s="60">
        <f>WorkLocationCoefficients!E32</f>
        <v>0.154182014038</v>
      </c>
      <c r="W24" s="65">
        <f si="0" t="shared"/>
        <v>0.154182014038</v>
      </c>
    </row>
    <row r="25" spans="1:23" x14ac:dyDescent="0.25">
      <c r="A25" s="5"/>
      <c r="B25" s="5" t="s">
        <v>287</v>
      </c>
      <c r="C25" s="80"/>
      <c r="D25" s="80"/>
      <c r="E25" s="80"/>
      <c r="G25" s="5"/>
      <c r="H25" s="5" t="s">
        <v>287</v>
      </c>
      <c r="I25" s="80"/>
      <c r="J25" s="80"/>
      <c r="K25" s="80"/>
      <c r="M25" s="82"/>
      <c r="N25" s="82"/>
      <c r="O25" s="82"/>
      <c r="P25" s="82"/>
      <c r="Q25" s="82"/>
      <c r="T25">
        <v>23</v>
      </c>
      <c r="U25" t="s">
        <v>104</v>
      </c>
      <c r="V25" s="60">
        <f>WorkLocationCoefficients!E33</f>
        <v>4.79448884421E-2</v>
      </c>
      <c r="W25" s="65">
        <f si="0" t="shared"/>
        <v>4.79448884421E-2</v>
      </c>
    </row>
    <row r="26" spans="1:23" x14ac:dyDescent="0.25">
      <c r="A26" s="74" t="s">
        <v>247</v>
      </c>
      <c r="B26" s="75">
        <f>WorkAtHome!E14</f>
        <v>19471.927305737507</v>
      </c>
      <c r="C26" s="83"/>
      <c r="D26" s="83"/>
      <c r="E26" s="83"/>
      <c r="G26" s="74" t="s">
        <v>247</v>
      </c>
      <c r="H26" s="75">
        <f>WorkAtHome!L14</f>
        <v>22567</v>
      </c>
      <c r="I26" s="83"/>
      <c r="J26" s="83"/>
      <c r="K26" s="83"/>
      <c r="L26" s="49"/>
      <c r="M26" s="49"/>
      <c r="N26" s="70"/>
      <c r="O26" s="71"/>
      <c r="P26" s="71"/>
      <c r="Q26" s="70"/>
      <c r="T26">
        <v>24</v>
      </c>
      <c r="U26" t="s">
        <v>105</v>
      </c>
      <c r="V26" s="60">
        <f>WorkLocationCoefficients!E34</f>
        <v>6.4843520043099998E-2</v>
      </c>
      <c r="W26" s="65">
        <f si="0" t="shared"/>
        <v>6.4843520043099998E-2</v>
      </c>
    </row>
    <row ht="15.75" r="27" spans="1:23" thickBot="1" x14ac:dyDescent="0.3">
      <c r="A27" s="76" t="s">
        <v>4</v>
      </c>
      <c r="B27" s="77">
        <f>WorkAtHome!E25</f>
        <v>599663.92494965054</v>
      </c>
      <c r="G27" s="76" t="s">
        <v>4</v>
      </c>
      <c r="H27" s="77">
        <f>WorkAtHome!L25</f>
        <v>705982</v>
      </c>
      <c r="I27" s="7"/>
      <c r="J27" s="7"/>
      <c r="K27" s="7"/>
      <c r="M27" s="49"/>
      <c r="N27" s="49"/>
      <c r="O27" s="49"/>
      <c r="P27" s="49"/>
      <c r="Q27" s="49"/>
      <c r="T27">
        <v>25</v>
      </c>
      <c r="U27" t="s">
        <v>106</v>
      </c>
      <c r="V27" s="60">
        <f>WorkLocationCoefficients!E35</f>
        <v>0.15272053169499999</v>
      </c>
      <c r="W27" s="65">
        <f si="0" t="shared"/>
        <v>0.15272053169499999</v>
      </c>
    </row>
    <row r="28" spans="1:23" x14ac:dyDescent="0.25">
      <c r="T28">
        <v>26</v>
      </c>
      <c r="U28" t="s">
        <v>107</v>
      </c>
      <c r="V28" s="60">
        <f>WorkLocationCoefficients!E36</f>
        <v>7.2028590735099998E-2</v>
      </c>
      <c r="W28" s="65">
        <f si="0" t="shared"/>
        <v>7.2028590735099998E-2</v>
      </c>
    </row>
    <row ht="15.75" r="29" spans="1:23" thickBot="1" x14ac:dyDescent="0.3">
      <c r="A29" t="s">
        <v>286</v>
      </c>
      <c r="T29">
        <v>27</v>
      </c>
      <c r="U29" t="s">
        <v>108</v>
      </c>
      <c r="V29" s="60">
        <f>WorkLocationCoefficients!E37</f>
        <v>-0.27934224041799999</v>
      </c>
      <c r="W29" s="65">
        <f si="0" t="shared"/>
        <v>-0.27934224041799999</v>
      </c>
    </row>
    <row r="30" spans="1:23" x14ac:dyDescent="0.25">
      <c r="A30" s="5"/>
      <c r="B30" s="5" t="s">
        <v>287</v>
      </c>
      <c r="C30" s="80"/>
      <c r="D30" s="80"/>
      <c r="E30" s="80"/>
      <c r="G30" s="5"/>
      <c r="H30" s="5" t="s">
        <v>287</v>
      </c>
      <c r="I30" s="80"/>
      <c r="J30" s="80"/>
      <c r="K30" s="80"/>
      <c r="M30" s="5" t="s">
        <v>257</v>
      </c>
      <c r="N30" s="5" t="s">
        <v>253</v>
      </c>
      <c r="O30" s="5" t="s">
        <v>251</v>
      </c>
      <c r="P30" s="5" t="s">
        <v>252</v>
      </c>
      <c r="Q30" s="5" t="s">
        <v>254</v>
      </c>
      <c r="T30">
        <v>28</v>
      </c>
      <c r="U30" t="s">
        <v>109</v>
      </c>
      <c r="V30" s="60">
        <f>WorkLocationCoefficients!E38</f>
        <v>4.3626229225700003E-2</v>
      </c>
      <c r="W30" s="65">
        <f si="0" t="shared"/>
        <v>4.3626229225700003E-2</v>
      </c>
    </row>
    <row r="31" spans="1:23" x14ac:dyDescent="0.25">
      <c r="A31" s="74" t="s">
        <v>247</v>
      </c>
      <c r="B31" s="85">
        <f>B26/B27</f>
        <v>3.2471400222003392E-2</v>
      </c>
      <c r="C31" s="83"/>
      <c r="D31" s="83"/>
      <c r="E31" s="83"/>
      <c r="G31" s="74" t="s">
        <v>247</v>
      </c>
      <c r="H31" s="85">
        <f>H26/H27</f>
        <v>3.1965404217104684E-2</v>
      </c>
      <c r="I31" s="83"/>
      <c r="J31" s="83"/>
      <c r="K31" s="83"/>
      <c r="M31" s="6">
        <v>41</v>
      </c>
      <c r="N31" s="63">
        <f>V39</f>
        <v>-3.8051604915000001</v>
      </c>
      <c r="O31" s="14">
        <f>B31/H31</f>
        <v>1.0158294887016617</v>
      </c>
      <c r="P31" s="14">
        <f>LN(O31)</f>
        <v>1.5705508990875913E-2</v>
      </c>
      <c r="Q31" s="64">
        <f ref="Q31" si="19" t="shared">N31+P31</f>
        <v>-3.7894549825091244</v>
      </c>
      <c r="T31">
        <v>29</v>
      </c>
      <c r="U31" t="s">
        <v>110</v>
      </c>
      <c r="V31" s="60">
        <f>WorkLocationCoefficients!E39</f>
        <v>-8.7886819411100006E-2</v>
      </c>
      <c r="W31" s="65">
        <f si="0" t="shared"/>
        <v>-8.7886819411100006E-2</v>
      </c>
    </row>
    <row ht="15.75" r="32" spans="1:23" thickBot="1" x14ac:dyDescent="0.3">
      <c r="A32" s="76" t="s">
        <v>4</v>
      </c>
      <c r="B32" s="84">
        <f>B27/B27</f>
        <v>1</v>
      </c>
      <c r="G32" s="76" t="s">
        <v>4</v>
      </c>
      <c r="H32" s="84">
        <f>H27/H27</f>
        <v>1</v>
      </c>
      <c r="T32">
        <v>30</v>
      </c>
      <c r="U32" t="s">
        <v>111</v>
      </c>
      <c r="V32" s="60">
        <f>WorkLocationCoefficients!E40</f>
        <v>-4.2894941477000001E-2</v>
      </c>
      <c r="W32" s="65">
        <f si="0" t="shared"/>
        <v>-4.2894941477000001E-2</v>
      </c>
    </row>
    <row r="33" spans="20:23" x14ac:dyDescent="0.25">
      <c r="T33">
        <v>31</v>
      </c>
      <c r="U33" t="s">
        <v>112</v>
      </c>
      <c r="V33" s="60">
        <f>WorkLocationCoefficients!E41</f>
        <v>-0.13045579928000001</v>
      </c>
      <c r="W33" s="65">
        <f si="0" t="shared"/>
        <v>-0.13045579928000001</v>
      </c>
    </row>
    <row r="34" spans="20:23" x14ac:dyDescent="0.25">
      <c r="T34">
        <v>32</v>
      </c>
      <c r="U34" t="s">
        <v>113</v>
      </c>
      <c r="V34" s="60">
        <f>WorkLocationCoefficients!E42</f>
        <v>0.18945088644899999</v>
      </c>
      <c r="W34" s="65">
        <f si="0" t="shared"/>
        <v>0.18945088644899999</v>
      </c>
    </row>
    <row r="35" spans="20:23" x14ac:dyDescent="0.25">
      <c r="T35">
        <v>33</v>
      </c>
      <c r="U35" t="s">
        <v>114</v>
      </c>
      <c r="V35" s="60">
        <f>WorkLocationCoefficients!E43</f>
        <v>-0.179523169776</v>
      </c>
      <c r="W35" s="65">
        <f si="0" t="shared"/>
        <v>-0.179523169776</v>
      </c>
    </row>
    <row r="36" spans="20:23" x14ac:dyDescent="0.25">
      <c r="T36">
        <v>34</v>
      </c>
      <c r="U36" t="s">
        <v>115</v>
      </c>
      <c r="V36" s="60">
        <f>WorkLocationCoefficients!E44</f>
        <v>0.17233347539499999</v>
      </c>
      <c r="W36" s="65">
        <f si="0" t="shared"/>
        <v>0.17233347539499999</v>
      </c>
    </row>
    <row r="37" spans="20:23" x14ac:dyDescent="0.25">
      <c r="T37">
        <v>35</v>
      </c>
      <c r="U37" t="s">
        <v>116</v>
      </c>
      <c r="V37" s="60">
        <f>WorkLocationCoefficients!E45</f>
        <v>-0.194698386872</v>
      </c>
      <c r="W37" s="65">
        <f si="0" t="shared"/>
        <v>-0.194698386872</v>
      </c>
    </row>
    <row r="38" spans="20:23" x14ac:dyDescent="0.25">
      <c r="T38">
        <v>36</v>
      </c>
      <c r="U38" t="s">
        <v>117</v>
      </c>
      <c r="V38" s="60">
        <f>WorkLocationCoefficients!E46</f>
        <v>0.38785322122799998</v>
      </c>
      <c r="W38" s="65">
        <f si="0" t="shared"/>
        <v>0.38785322122799998</v>
      </c>
    </row>
    <row r="39" spans="20:23" x14ac:dyDescent="0.25">
      <c r="T39" s="59">
        <v>41</v>
      </c>
      <c r="U39" s="59" t="s">
        <v>118</v>
      </c>
      <c r="V39" s="61">
        <f>WorkLocationCoefficients!E47</f>
        <v>-3.8051604915000001</v>
      </c>
      <c r="W39" s="65">
        <f>Q31</f>
        <v>-3.7894549825091244</v>
      </c>
    </row>
    <row r="40" spans="20:23" x14ac:dyDescent="0.25">
      <c r="T40">
        <v>42</v>
      </c>
      <c r="U40" t="s">
        <v>120</v>
      </c>
      <c r="V40" s="60">
        <f>WorkLocationCoefficients!E48</f>
        <v>5.07828619993</v>
      </c>
      <c r="W40" s="65">
        <f si="0" t="shared"/>
        <v>5.07828619993</v>
      </c>
    </row>
    <row r="41" spans="20:23" x14ac:dyDescent="0.25">
      <c r="T41">
        <v>43</v>
      </c>
      <c r="U41" t="s">
        <v>121</v>
      </c>
      <c r="V41" s="60">
        <f>WorkLocationCoefficients!E49</f>
        <v>-3.0390882271000002</v>
      </c>
      <c r="W41" s="65">
        <f si="0" t="shared"/>
        <v>-3.0390882271000002</v>
      </c>
    </row>
    <row r="42" spans="20:23" x14ac:dyDescent="0.25">
      <c r="T42">
        <v>44</v>
      </c>
      <c r="U42" t="s">
        <v>122</v>
      </c>
      <c r="V42" s="60">
        <f>WorkLocationCoefficients!E50</f>
        <v>-2.3320026601800001</v>
      </c>
      <c r="W42" s="65">
        <f si="0" t="shared"/>
        <v>-2.3320026601800001</v>
      </c>
    </row>
    <row r="43" spans="20:23" x14ac:dyDescent="0.25">
      <c r="T43">
        <v>50</v>
      </c>
      <c r="U43" t="s">
        <v>123</v>
      </c>
      <c r="V43" s="60">
        <f>WorkLocationCoefficients!E51</f>
        <v>0.33566647407</v>
      </c>
      <c r="W43" s="65">
        <f si="0" t="shared"/>
        <v>0.33566647407</v>
      </c>
    </row>
    <row r="44" spans="20:23" x14ac:dyDescent="0.25">
      <c r="T44">
        <v>51</v>
      </c>
      <c r="U44" t="s">
        <v>124</v>
      </c>
      <c r="V44" s="60">
        <f>WorkLocationCoefficients!E52</f>
        <v>-0.78911507665199998</v>
      </c>
      <c r="W44" s="65">
        <f si="0" t="shared"/>
        <v>-0.78911507665199998</v>
      </c>
    </row>
    <row r="45" spans="20:23" x14ac:dyDescent="0.25">
      <c r="T45">
        <v>52</v>
      </c>
      <c r="U45" t="s">
        <v>125</v>
      </c>
      <c r="V45" s="60">
        <f>WorkLocationCoefficients!E53</f>
        <v>0.56564055394500001</v>
      </c>
      <c r="W45" s="65">
        <f si="0" t="shared"/>
        <v>0.56564055394500001</v>
      </c>
    </row>
    <row r="46" spans="20:23" x14ac:dyDescent="0.25">
      <c r="T46">
        <v>53</v>
      </c>
      <c r="U46" t="s">
        <v>126</v>
      </c>
      <c r="V46" s="60">
        <f>WorkLocationCoefficients!E54</f>
        <v>-1.85416848242</v>
      </c>
      <c r="W46" s="65">
        <f si="0" t="shared"/>
        <v>-1.85416848242</v>
      </c>
    </row>
    <row r="47" spans="20:23" x14ac:dyDescent="0.25">
      <c r="T47">
        <v>54</v>
      </c>
      <c r="U47" t="s">
        <v>127</v>
      </c>
      <c r="V47" s="60">
        <f>WorkLocationCoefficients!E55</f>
        <v>0</v>
      </c>
      <c r="W47" s="65">
        <f si="0" t="shared"/>
        <v>0</v>
      </c>
    </row>
    <row r="48" spans="20:23" x14ac:dyDescent="0.25">
      <c r="T48">
        <v>55</v>
      </c>
      <c r="U48" t="s">
        <v>128</v>
      </c>
      <c r="V48" s="60">
        <f>WorkLocationCoefficients!E56</f>
        <v>-1.1156286956100001</v>
      </c>
      <c r="W48" s="65">
        <f si="0" t="shared"/>
        <v>-1.1156286956100001</v>
      </c>
    </row>
    <row r="49" spans="20:23" x14ac:dyDescent="0.25">
      <c r="T49">
        <v>56</v>
      </c>
      <c r="U49" t="s">
        <v>129</v>
      </c>
      <c r="V49" s="60">
        <f>WorkLocationCoefficients!E57</f>
        <v>-0.81792869186600003</v>
      </c>
      <c r="W49" s="65">
        <f si="0" t="shared"/>
        <v>-0.81792869186600003</v>
      </c>
    </row>
    <row r="50" spans="20:23" x14ac:dyDescent="0.25">
      <c r="T50">
        <v>57</v>
      </c>
      <c r="U50" t="s">
        <v>130</v>
      </c>
      <c r="V50" s="60">
        <f>WorkLocationCoefficients!E58</f>
        <v>-1.04729487823</v>
      </c>
      <c r="W50" s="65">
        <f si="0" t="shared"/>
        <v>-1.04729487823</v>
      </c>
    </row>
    <row r="51" spans="20:23" x14ac:dyDescent="0.25">
      <c r="T51">
        <v>58</v>
      </c>
      <c r="U51" t="s">
        <v>131</v>
      </c>
      <c r="V51" s="60">
        <f>WorkLocationCoefficients!E59</f>
        <v>-2.0228517391</v>
      </c>
      <c r="W51" s="65">
        <f si="0" t="shared"/>
        <v>-2.0228517391</v>
      </c>
    </row>
    <row r="52" spans="20:23" x14ac:dyDescent="0.25">
      <c r="T52">
        <v>59</v>
      </c>
      <c r="U52" t="s">
        <v>132</v>
      </c>
      <c r="V52" s="60">
        <f>WorkLocationCoefficients!E60</f>
        <v>-1.2945321250099999</v>
      </c>
      <c r="W52" s="65">
        <f si="0" t="shared"/>
        <v>-1.2945321250099999</v>
      </c>
    </row>
    <row r="53" spans="20:23" x14ac:dyDescent="0.25">
      <c r="T53">
        <v>60</v>
      </c>
      <c r="U53" t="s">
        <v>133</v>
      </c>
      <c r="V53" s="60">
        <f>WorkLocationCoefficients!E61</f>
        <v>-0.66178028021599999</v>
      </c>
      <c r="W53" s="65">
        <f si="0" t="shared"/>
        <v>-0.66178028021599999</v>
      </c>
    </row>
    <row r="54" spans="20:23" x14ac:dyDescent="0.25">
      <c r="T54">
        <v>61</v>
      </c>
      <c r="U54" t="s">
        <v>134</v>
      </c>
      <c r="V54" s="60">
        <f>WorkLocationCoefficients!E62</f>
        <v>-0.55504741134900004</v>
      </c>
      <c r="W54" s="65">
        <f si="0" t="shared"/>
        <v>-0.55504741134900004</v>
      </c>
    </row>
    <row r="55" spans="20:23" x14ac:dyDescent="0.25">
      <c r="T55">
        <v>62</v>
      </c>
      <c r="U55" t="s">
        <v>135</v>
      </c>
      <c r="V55" s="60">
        <f>WorkLocationCoefficients!E63</f>
        <v>-1.7449233454799999</v>
      </c>
      <c r="W55" s="65">
        <f si="0" t="shared"/>
        <v>-1.7449233454799999</v>
      </c>
    </row>
    <row r="56" spans="20:23" x14ac:dyDescent="0.25">
      <c r="T56">
        <v>63</v>
      </c>
      <c r="U56" t="s">
        <v>136</v>
      </c>
      <c r="V56" s="60">
        <f>WorkLocationCoefficients!E64</f>
        <v>1.1995398853399999</v>
      </c>
      <c r="W56" s="65">
        <f si="0" t="shared"/>
        <v>1.1995398853399999</v>
      </c>
    </row>
    <row r="57" spans="20:23" x14ac:dyDescent="0.25">
      <c r="T57">
        <v>64</v>
      </c>
      <c r="U57" t="s">
        <v>137</v>
      </c>
      <c r="V57" s="60">
        <f>WorkLocationCoefficients!E65</f>
        <v>0.19542046398099999</v>
      </c>
      <c r="W57" s="65">
        <f si="0" t="shared"/>
        <v>0.19542046398099999</v>
      </c>
    </row>
    <row r="58" spans="20:23" x14ac:dyDescent="0.25">
      <c r="T58">
        <v>65</v>
      </c>
      <c r="U58" t="s">
        <v>138</v>
      </c>
      <c r="V58" s="60">
        <f>WorkLocationCoefficients!E66</f>
        <v>-0.90594458676599998</v>
      </c>
      <c r="W58" s="65">
        <f si="0" t="shared"/>
        <v>-0.90594458676599998</v>
      </c>
    </row>
    <row r="59" spans="20:23" x14ac:dyDescent="0.25">
      <c r="T59">
        <v>66</v>
      </c>
      <c r="U59" t="s">
        <v>139</v>
      </c>
      <c r="V59" s="60">
        <f>WorkLocationCoefficients!E67</f>
        <v>-2.05104130438</v>
      </c>
      <c r="W59" s="65">
        <f si="0" t="shared"/>
        <v>-2.05104130438</v>
      </c>
    </row>
    <row r="60" spans="20:23" x14ac:dyDescent="0.25">
      <c r="T60">
        <v>67</v>
      </c>
      <c r="U60" t="s">
        <v>140</v>
      </c>
      <c r="V60" s="60">
        <f>WorkLocationCoefficients!E68</f>
        <v>-2.2381608455899999</v>
      </c>
      <c r="W60" s="65">
        <f si="0" t="shared"/>
        <v>-2.2381608455899999</v>
      </c>
    </row>
    <row r="61" spans="20:23" x14ac:dyDescent="0.25">
      <c r="T61">
        <v>68</v>
      </c>
      <c r="U61" t="s">
        <v>141</v>
      </c>
      <c r="V61" s="60">
        <f>WorkLocationCoefficients!E69</f>
        <v>-0.40946320528300001</v>
      </c>
      <c r="W61" s="65">
        <f si="0" t="shared"/>
        <v>-0.40946320528300001</v>
      </c>
    </row>
    <row r="62" spans="20:23" x14ac:dyDescent="0.25">
      <c r="T62">
        <v>69</v>
      </c>
      <c r="U62" t="s">
        <v>142</v>
      </c>
      <c r="V62" s="60">
        <f>WorkLocationCoefficients!E70</f>
        <v>-1.1700902309500001</v>
      </c>
      <c r="W62" s="65">
        <f si="0" t="shared"/>
        <v>-1.1700902309500001</v>
      </c>
    </row>
    <row r="63" spans="20:23" x14ac:dyDescent="0.25">
      <c r="T63">
        <v>70</v>
      </c>
      <c r="U63" t="s">
        <v>143</v>
      </c>
      <c r="V63" s="60">
        <f>WorkLocationCoefficients!E71</f>
        <v>1.8412445021999999</v>
      </c>
      <c r="W63" s="65">
        <f si="0" t="shared"/>
        <v>1.8412445021999999</v>
      </c>
    </row>
    <row r="64" spans="20:23" x14ac:dyDescent="0.25">
      <c r="T64">
        <v>71</v>
      </c>
      <c r="U64" t="s">
        <v>144</v>
      </c>
      <c r="V64" s="60">
        <f>WorkLocationCoefficients!E72</f>
        <v>0.71619685052500004</v>
      </c>
      <c r="W64" s="65">
        <f si="0" t="shared"/>
        <v>0.71619685052500004</v>
      </c>
    </row>
    <row r="65" spans="20:23" x14ac:dyDescent="0.25">
      <c r="T65">
        <v>72</v>
      </c>
      <c r="U65" t="s">
        <v>145</v>
      </c>
      <c r="V65" s="60">
        <f>WorkLocationCoefficients!E73</f>
        <v>-0.101060642888</v>
      </c>
      <c r="W65" s="65">
        <f si="0" t="shared"/>
        <v>-0.101060642888</v>
      </c>
    </row>
    <row r="66" spans="20:23" x14ac:dyDescent="0.25">
      <c r="T66">
        <v>73</v>
      </c>
      <c r="U66" t="s">
        <v>146</v>
      </c>
      <c r="V66" s="60">
        <f>WorkLocationCoefficients!E74</f>
        <v>-0.34132571646100002</v>
      </c>
      <c r="W66" s="65">
        <f si="0" t="shared"/>
        <v>-0.34132571646100002</v>
      </c>
    </row>
    <row r="67" spans="20:23" x14ac:dyDescent="0.25">
      <c r="T67">
        <v>74</v>
      </c>
      <c r="U67" t="s">
        <v>147</v>
      </c>
      <c r="V67" s="60">
        <f>WorkLocationCoefficients!E75</f>
        <v>1.0486549950899999</v>
      </c>
      <c r="W67" s="65">
        <f si="0" t="shared"/>
        <v>1.0486549950899999</v>
      </c>
    </row>
    <row r="68" spans="20:23" x14ac:dyDescent="0.25">
      <c r="T68">
        <v>75</v>
      </c>
      <c r="U68" t="s">
        <v>148</v>
      </c>
      <c r="V68" s="60">
        <f>WorkLocationCoefficients!E76</f>
        <v>-30</v>
      </c>
      <c r="W68" s="65">
        <f ref="W68:W75" si="20" t="shared">V68</f>
        <v>-30</v>
      </c>
    </row>
    <row r="69" spans="20:23" x14ac:dyDescent="0.25">
      <c r="T69">
        <v>76</v>
      </c>
      <c r="U69" t="s">
        <v>149</v>
      </c>
      <c r="V69" s="60">
        <f>WorkLocationCoefficients!E77</f>
        <v>0.91468797064200003</v>
      </c>
      <c r="W69" s="65">
        <f si="20" t="shared"/>
        <v>0.91468797064200003</v>
      </c>
    </row>
    <row r="70" spans="20:23" x14ac:dyDescent="0.25">
      <c r="T70">
        <v>77</v>
      </c>
      <c r="U70" t="s">
        <v>150</v>
      </c>
      <c r="V70" s="60">
        <f>WorkLocationCoefficients!E78</f>
        <v>-1.1830909132</v>
      </c>
      <c r="W70" s="65">
        <f si="20" t="shared"/>
        <v>-1.1830909132</v>
      </c>
    </row>
    <row r="71" spans="20:23" x14ac:dyDescent="0.25">
      <c r="T71">
        <v>78</v>
      </c>
      <c r="U71" t="s">
        <v>151</v>
      </c>
      <c r="V71" s="60">
        <f>WorkLocationCoefficients!E79</f>
        <v>1.4576625009499999</v>
      </c>
      <c r="W71" s="65">
        <f si="20" t="shared"/>
        <v>1.4576625009499999</v>
      </c>
    </row>
    <row r="72" spans="20:23" x14ac:dyDescent="0.25">
      <c r="T72">
        <v>79</v>
      </c>
      <c r="U72" t="s">
        <v>152</v>
      </c>
      <c r="V72" s="60">
        <f>WorkLocationCoefficients!E80</f>
        <v>-1.62636517084</v>
      </c>
      <c r="W72" s="65">
        <f si="20" t="shared"/>
        <v>-1.62636517084</v>
      </c>
    </row>
    <row r="73" spans="20:23" x14ac:dyDescent="0.25">
      <c r="T73">
        <v>80</v>
      </c>
      <c r="U73" t="s">
        <v>153</v>
      </c>
      <c r="V73" s="60">
        <f>WorkLocationCoefficients!E81</f>
        <v>0</v>
      </c>
      <c r="W73" s="65">
        <f si="20" t="shared"/>
        <v>0</v>
      </c>
    </row>
    <row r="74" spans="20:23" x14ac:dyDescent="0.25">
      <c r="T74">
        <v>90</v>
      </c>
      <c r="U74" t="s">
        <v>154</v>
      </c>
      <c r="V74" s="60">
        <f>WorkLocationCoefficients!E82</f>
        <v>0.196143079927</v>
      </c>
      <c r="W74" s="65">
        <f si="20" t="shared"/>
        <v>0.196143079927</v>
      </c>
    </row>
    <row r="75" spans="20:23" x14ac:dyDescent="0.25">
      <c r="T75">
        <v>98</v>
      </c>
      <c r="U75" t="s">
        <v>155</v>
      </c>
      <c r="V75" s="60">
        <f>WorkLocationCoefficients!E83</f>
        <v>0</v>
      </c>
      <c r="W75" s="65">
        <f si="20" t="shared"/>
        <v>0</v>
      </c>
    </row>
  </sheetData>
  <pageMargins bottom="0.75" footer="0.3" header="0.3" left="0.7" right="0.7" top="0.75"/>
  <pageSetup orientation="portrait" r:id="rId1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baseType="lpstr" size="30">
      <vt:lpstr>TLFD</vt:lpstr>
      <vt:lpstr>TDFD</vt:lpstr>
      <vt:lpstr>TDFD_Agg</vt:lpstr>
      <vt:lpstr>County_Flow</vt:lpstr>
      <vt:lpstr>WorkAtHome</vt:lpstr>
      <vt:lpstr>Documentation</vt:lpstr>
      <vt:lpstr>CoeffDef</vt:lpstr>
      <vt:lpstr>WorkLocationCoefficients</vt:lpstr>
      <vt:lpstr>calibration</vt:lpstr>
      <vt:lpstr>athm</vt:lpstr>
      <vt:lpstr>avgdist</vt:lpstr>
      <vt:lpstr>avgtime</vt:lpstr>
      <vt:lpstr>flows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tot</vt:lpstr>
      <vt:lpstr>Wrk_dist</vt:lpstr>
      <vt:lpstr>Wrk_time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Joe Castiglione</cp:lastModifiedBy>
  <dcterms:modified xsi:type="dcterms:W3CDTF">2014-10-06T17:44:34Z</dcterms:modified>
</cp:coreProperties>
</file>