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xWindow="-15" yWindow="-15" windowWidth="27060" windowHeight="11790"/>
  </bookViews>
  <sheets>
    <sheet name="TLFD" sheetId="3" r:id="rId1"/>
    <sheet name="TDFD" sheetId="4" r:id="rId2"/>
    <sheet name="TDFD_Agg" sheetId="10" r:id="rId3"/>
    <sheet name="County_Flow" sheetId="1" r:id="rId4"/>
    <sheet name="WorkAtHome" sheetId="8" r:id="rId5"/>
    <sheet name="Documentation" sheetId="7" r:id="rId6"/>
    <sheet name="CoeffDef" sheetId="11" r:id="rId7"/>
    <sheet name="WorkLocationCoefficients" sheetId="13" r:id="rId8"/>
    <sheet name="calibration" sheetId="12" r:id="rId9"/>
  </sheets>
  <definedNames>
    <definedName name="athm">WorkAtHome!$I$7:$K$12</definedName>
    <definedName name="avgdist">TLFD!$O$11:$O$14</definedName>
    <definedName name="avgtime">TDFD!$O$11:$O$14</definedName>
    <definedName name="flows">County_Flow!$X$7:$Z$12</definedName>
    <definedName name="out1">TLFD!$B$11:$D$101</definedName>
    <definedName name="out10">County_Flow!$X$7:$AD$13</definedName>
    <definedName name="out11">WorkAtHome!$B$18:$D$24</definedName>
    <definedName name="out12">WorkAtHome!$I$18:$K$24</definedName>
    <definedName name="out13">WorkAtHome!$B$7:$D$13</definedName>
    <definedName name="out14">WorkAtHome!$I$7:$K$13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County_Flow!$B$7:$H$13</definedName>
    <definedName name="tot">WorkAtHome!$I$18:$K$23</definedName>
    <definedName name="Wrk_dist">TLFD!$H$11:$J$101</definedName>
    <definedName name="Wrk_time">TDFD!$H$11:$J$101</definedName>
  </definedNames>
  <calcPr calcId="171027"/>
</workbook>
</file>

<file path=xl/calcChain.xml><?xml version="1.0" encoding="utf-8"?>
<calcChain xmlns="http://schemas.openxmlformats.org/spreadsheetml/2006/main">
  <c r="T76" i="12" l="1"/>
  <c r="U76" i="12"/>
  <c r="V76" i="12"/>
  <c r="T77" i="12"/>
  <c r="U77" i="12"/>
  <c r="V77" i="12"/>
  <c r="T78" i="12"/>
  <c r="U78" i="12"/>
  <c r="V78" i="12"/>
  <c r="T79" i="12"/>
  <c r="U79" i="12"/>
  <c r="V79" i="12"/>
  <c r="T80" i="12"/>
  <c r="U80" i="12"/>
  <c r="V80" i="12"/>
  <c r="T75" i="12"/>
  <c r="U75" i="12"/>
  <c r="V75" i="12"/>
  <c r="T4" i="12"/>
  <c r="U4" i="12"/>
  <c r="V4" i="12"/>
  <c r="T5" i="12"/>
  <c r="U5" i="12"/>
  <c r="V5" i="12"/>
  <c r="T6" i="12"/>
  <c r="U6" i="12"/>
  <c r="V6" i="12"/>
  <c r="T7" i="12"/>
  <c r="U7" i="12"/>
  <c r="V7" i="12"/>
  <c r="T8" i="12"/>
  <c r="U8" i="12"/>
  <c r="V8" i="12"/>
  <c r="T9" i="12"/>
  <c r="U9" i="12"/>
  <c r="V9" i="12"/>
  <c r="T10" i="12"/>
  <c r="U10" i="12"/>
  <c r="V10" i="12"/>
  <c r="T11" i="12"/>
  <c r="U11" i="12"/>
  <c r="V11" i="12"/>
  <c r="T12" i="12"/>
  <c r="U12" i="12"/>
  <c r="V12" i="12"/>
  <c r="T13" i="12"/>
  <c r="U13" i="12"/>
  <c r="V13" i="12"/>
  <c r="T14" i="12"/>
  <c r="U14" i="12"/>
  <c r="V14" i="12"/>
  <c r="T15" i="12"/>
  <c r="U15" i="12"/>
  <c r="V15" i="12"/>
  <c r="T16" i="12"/>
  <c r="U16" i="12"/>
  <c r="V16" i="12"/>
  <c r="T17" i="12"/>
  <c r="U17" i="12"/>
  <c r="V17" i="12"/>
  <c r="T18" i="12"/>
  <c r="U18" i="12"/>
  <c r="V18" i="12"/>
  <c r="T19" i="12"/>
  <c r="U19" i="12"/>
  <c r="V19" i="12"/>
  <c r="T20" i="12"/>
  <c r="U20" i="12"/>
  <c r="V20" i="12"/>
  <c r="T21" i="12"/>
  <c r="U21" i="12"/>
  <c r="V21" i="12"/>
  <c r="T22" i="12"/>
  <c r="U22" i="12"/>
  <c r="V22" i="12"/>
  <c r="T23" i="12"/>
  <c r="U23" i="12"/>
  <c r="V23" i="12"/>
  <c r="T24" i="12"/>
  <c r="U24" i="12"/>
  <c r="V24" i="12"/>
  <c r="T25" i="12"/>
  <c r="U25" i="12"/>
  <c r="V25" i="12"/>
  <c r="T26" i="12"/>
  <c r="U26" i="12"/>
  <c r="V26" i="12"/>
  <c r="T27" i="12"/>
  <c r="U27" i="12"/>
  <c r="V27" i="12"/>
  <c r="T28" i="12"/>
  <c r="U28" i="12"/>
  <c r="V28" i="12"/>
  <c r="T29" i="12"/>
  <c r="U29" i="12"/>
  <c r="V29" i="12"/>
  <c r="T30" i="12"/>
  <c r="U30" i="12"/>
  <c r="V30" i="12"/>
  <c r="T31" i="12"/>
  <c r="U31" i="12"/>
  <c r="V31" i="12"/>
  <c r="T32" i="12"/>
  <c r="U32" i="12"/>
  <c r="V32" i="12"/>
  <c r="T33" i="12"/>
  <c r="U33" i="12"/>
  <c r="V33" i="12"/>
  <c r="T34" i="12"/>
  <c r="U34" i="12"/>
  <c r="V34" i="12"/>
  <c r="T35" i="12"/>
  <c r="U35" i="12"/>
  <c r="V35" i="12"/>
  <c r="T36" i="12"/>
  <c r="U36" i="12"/>
  <c r="V36" i="12"/>
  <c r="T37" i="12"/>
  <c r="U37" i="12"/>
  <c r="V37" i="12"/>
  <c r="T38" i="12"/>
  <c r="U38" i="12"/>
  <c r="V38" i="12"/>
  <c r="T39" i="12"/>
  <c r="U39" i="12"/>
  <c r="V39" i="12"/>
  <c r="T40" i="12"/>
  <c r="U40" i="12"/>
  <c r="V40" i="12"/>
  <c r="T41" i="12"/>
  <c r="U41" i="12"/>
  <c r="V41" i="12"/>
  <c r="T42" i="12"/>
  <c r="U42" i="12"/>
  <c r="V42" i="12"/>
  <c r="T43" i="12"/>
  <c r="U43" i="12"/>
  <c r="V43" i="12"/>
  <c r="T44" i="12"/>
  <c r="U44" i="12"/>
  <c r="V44" i="12"/>
  <c r="T45" i="12"/>
  <c r="U45" i="12"/>
  <c r="V45" i="12"/>
  <c r="T46" i="12"/>
  <c r="U46" i="12"/>
  <c r="V46" i="12"/>
  <c r="T47" i="12"/>
  <c r="U47" i="12"/>
  <c r="V47" i="12"/>
  <c r="T48" i="12"/>
  <c r="U48" i="12"/>
  <c r="V48" i="12"/>
  <c r="T49" i="12"/>
  <c r="U49" i="12"/>
  <c r="V49" i="12"/>
  <c r="T50" i="12"/>
  <c r="U50" i="12"/>
  <c r="V50" i="12"/>
  <c r="T51" i="12"/>
  <c r="U51" i="12"/>
  <c r="V51" i="12"/>
  <c r="T52" i="12"/>
  <c r="U52" i="12"/>
  <c r="V52" i="12"/>
  <c r="T53" i="12"/>
  <c r="U53" i="12"/>
  <c r="V53" i="12"/>
  <c r="T54" i="12"/>
  <c r="U54" i="12"/>
  <c r="V54" i="12"/>
  <c r="T55" i="12"/>
  <c r="U55" i="12"/>
  <c r="V55" i="12"/>
  <c r="T56" i="12"/>
  <c r="U56" i="12"/>
  <c r="V56" i="12"/>
  <c r="T57" i="12"/>
  <c r="U57" i="12"/>
  <c r="V57" i="12"/>
  <c r="T58" i="12"/>
  <c r="U58" i="12"/>
  <c r="V58" i="12"/>
  <c r="T59" i="12"/>
  <c r="U59" i="12"/>
  <c r="V59" i="12"/>
  <c r="T60" i="12"/>
  <c r="U60" i="12"/>
  <c r="V60" i="12"/>
  <c r="T61" i="12"/>
  <c r="U61" i="12"/>
  <c r="V61" i="12"/>
  <c r="T62" i="12"/>
  <c r="U62" i="12"/>
  <c r="V62" i="12"/>
  <c r="T63" i="12"/>
  <c r="U63" i="12"/>
  <c r="V63" i="12"/>
  <c r="T64" i="12"/>
  <c r="U64" i="12"/>
  <c r="V64" i="12"/>
  <c r="T65" i="12"/>
  <c r="U65" i="12"/>
  <c r="V65" i="12"/>
  <c r="T66" i="12"/>
  <c r="U66" i="12"/>
  <c r="V66" i="12"/>
  <c r="T67" i="12"/>
  <c r="U67" i="12"/>
  <c r="V67" i="12"/>
  <c r="T68" i="12"/>
  <c r="U68" i="12"/>
  <c r="V68" i="12"/>
  <c r="T69" i="12"/>
  <c r="U69" i="12"/>
  <c r="V69" i="12"/>
  <c r="T70" i="12"/>
  <c r="U70" i="12"/>
  <c r="V70" i="12"/>
  <c r="T71" i="12"/>
  <c r="U71" i="12"/>
  <c r="V71" i="12"/>
  <c r="T72" i="12"/>
  <c r="U72" i="12"/>
  <c r="V72" i="12"/>
  <c r="T73" i="12"/>
  <c r="U73" i="12"/>
  <c r="V73" i="12"/>
  <c r="T74" i="12"/>
  <c r="U74" i="12"/>
  <c r="V74" i="12"/>
  <c r="V3" i="12"/>
  <c r="U3" i="12"/>
  <c r="T3" i="12"/>
  <c r="W3" i="12" s="1"/>
  <c r="W17" i="12" l="1"/>
  <c r="W80" i="12"/>
  <c r="W79" i="12"/>
  <c r="W74" i="12"/>
  <c r="W58" i="12"/>
  <c r="W50" i="12"/>
  <c r="W34" i="12"/>
  <c r="W26" i="12"/>
  <c r="W65" i="12"/>
  <c r="W41" i="12"/>
  <c r="W66" i="12"/>
  <c r="W42" i="12"/>
  <c r="W18" i="12"/>
  <c r="W57" i="12"/>
  <c r="W12" i="12"/>
  <c r="W11" i="12"/>
  <c r="W43" i="12"/>
  <c r="W35" i="12"/>
  <c r="W19" i="12"/>
  <c r="W27" i="12"/>
  <c r="W36" i="12"/>
  <c r="W59" i="12"/>
  <c r="W67" i="12"/>
  <c r="W51" i="12"/>
  <c r="W60" i="12"/>
  <c r="W73" i="12"/>
  <c r="W49" i="12"/>
  <c r="W33" i="12"/>
  <c r="W25" i="12"/>
  <c r="W78" i="12"/>
  <c r="W24" i="12"/>
  <c r="W16" i="12"/>
  <c r="W72" i="12"/>
  <c r="W48" i="12"/>
  <c r="W64" i="12"/>
  <c r="W32" i="12"/>
  <c r="W56" i="12"/>
  <c r="W40" i="12"/>
  <c r="W71" i="12"/>
  <c r="W63" i="12"/>
  <c r="W55" i="12"/>
  <c r="W47" i="12"/>
  <c r="W31" i="12"/>
  <c r="W23" i="12"/>
  <c r="W15" i="12"/>
  <c r="W7" i="12"/>
  <c r="W77" i="12"/>
  <c r="W70" i="12"/>
  <c r="W62" i="12"/>
  <c r="W54" i="12"/>
  <c r="W46" i="12"/>
  <c r="W38" i="12"/>
  <c r="W30" i="12"/>
  <c r="W22" i="12"/>
  <c r="W14" i="12"/>
  <c r="W6" i="12"/>
  <c r="W76" i="12"/>
  <c r="W29" i="12"/>
  <c r="W69" i="12"/>
  <c r="W53" i="12"/>
  <c r="W37" i="12"/>
  <c r="W13" i="12"/>
  <c r="W68" i="12"/>
  <c r="W52" i="12"/>
  <c r="W44" i="12"/>
  <c r="W28" i="12"/>
  <c r="W20" i="12"/>
  <c r="W4" i="12"/>
  <c r="W75" i="12"/>
  <c r="W61" i="12"/>
  <c r="W45" i="12"/>
  <c r="W21" i="12"/>
  <c r="W5" i="12"/>
  <c r="I35" i="8"/>
  <c r="J35" i="8"/>
  <c r="K35" i="8"/>
  <c r="B35" i="8"/>
  <c r="C35" i="8"/>
  <c r="D35" i="8"/>
  <c r="P13" i="8"/>
  <c r="Q13" i="8"/>
  <c r="R13" i="8"/>
  <c r="P24" i="8"/>
  <c r="Q24" i="8"/>
  <c r="R24" i="8"/>
  <c r="L24" i="8"/>
  <c r="A24" i="8"/>
  <c r="A35" i="8" s="1"/>
  <c r="R35" i="8" l="1"/>
  <c r="Q35" i="8"/>
  <c r="P35" i="8"/>
  <c r="A21" i="1"/>
  <c r="A35" i="1" s="1"/>
  <c r="A22" i="1"/>
  <c r="A36" i="1" s="1"/>
  <c r="A23" i="1"/>
  <c r="A37" i="1" s="1"/>
  <c r="A24" i="1"/>
  <c r="A38" i="1" s="1"/>
  <c r="A25" i="1"/>
  <c r="A39" i="1" s="1"/>
  <c r="A26" i="1"/>
  <c r="A40" i="1" s="1"/>
  <c r="A27" i="1"/>
  <c r="A41" i="1" s="1"/>
  <c r="A20" i="1"/>
  <c r="A34" i="1" s="1"/>
  <c r="J41" i="1" l="1"/>
  <c r="I33" i="1"/>
  <c r="H33" i="1"/>
  <c r="G33" i="1"/>
  <c r="F33" i="1"/>
  <c r="E33" i="1"/>
  <c r="D33" i="1"/>
  <c r="C33" i="1"/>
  <c r="B33" i="1"/>
  <c r="J27" i="1"/>
  <c r="I19" i="1"/>
  <c r="H19" i="1"/>
  <c r="G19" i="1"/>
  <c r="F19" i="1"/>
  <c r="E19" i="1"/>
  <c r="D19" i="1"/>
  <c r="C19" i="1"/>
  <c r="B19" i="1"/>
  <c r="B29" i="8" l="1"/>
  <c r="B7" i="12" l="1"/>
  <c r="N14" i="12" l="1"/>
  <c r="N15" i="12"/>
  <c r="N16" i="12"/>
  <c r="N31" i="12"/>
  <c r="I7" i="12"/>
  <c r="J7" i="12"/>
  <c r="I8" i="12"/>
  <c r="J8" i="12"/>
  <c r="I9" i="12"/>
  <c r="J9" i="12"/>
  <c r="H9" i="12"/>
  <c r="H8" i="12"/>
  <c r="H7" i="12"/>
  <c r="C9" i="12"/>
  <c r="D9" i="12"/>
  <c r="B9" i="12"/>
  <c r="C8" i="12"/>
  <c r="D8" i="12"/>
  <c r="B8" i="12"/>
  <c r="D7" i="12"/>
  <c r="C7" i="12"/>
  <c r="J10" i="12" l="1"/>
  <c r="J14" i="12" s="1"/>
  <c r="I10" i="12"/>
  <c r="I14" i="12" s="1"/>
  <c r="C10" i="12"/>
  <c r="C14" i="12" s="1"/>
  <c r="B10" i="12"/>
  <c r="B15" i="12" s="1"/>
  <c r="H10" i="12"/>
  <c r="H16" i="12" s="1"/>
  <c r="J16" i="12"/>
  <c r="D10" i="12"/>
  <c r="D15" i="12" s="1"/>
  <c r="E8" i="12"/>
  <c r="E7" i="12"/>
  <c r="K7" i="12"/>
  <c r="K8" i="12"/>
  <c r="K9" i="12"/>
  <c r="E9" i="12"/>
  <c r="Y15" i="1"/>
  <c r="Z15" i="1"/>
  <c r="AA15" i="1"/>
  <c r="AB15" i="1"/>
  <c r="AC15" i="1"/>
  <c r="AD15" i="1"/>
  <c r="AE15" i="1"/>
  <c r="X15" i="1"/>
  <c r="AF8" i="1"/>
  <c r="AF9" i="1"/>
  <c r="AF10" i="1"/>
  <c r="AF11" i="1"/>
  <c r="AF12" i="1"/>
  <c r="AF13" i="1"/>
  <c r="AF14" i="1"/>
  <c r="AF7" i="1"/>
  <c r="J13" i="1"/>
  <c r="H15" i="1"/>
  <c r="N15" i="1"/>
  <c r="O15" i="1"/>
  <c r="P15" i="1"/>
  <c r="Q15" i="1"/>
  <c r="R15" i="1"/>
  <c r="S15" i="1"/>
  <c r="T15" i="1"/>
  <c r="M15" i="1"/>
  <c r="U8" i="1"/>
  <c r="U9" i="1"/>
  <c r="U10" i="1"/>
  <c r="U11" i="1"/>
  <c r="U12" i="1"/>
  <c r="U13" i="1"/>
  <c r="U14" i="1"/>
  <c r="U7" i="1"/>
  <c r="B26" i="1" l="1"/>
  <c r="H26" i="1"/>
  <c r="I26" i="1"/>
  <c r="F26" i="1"/>
  <c r="G26" i="1"/>
  <c r="C26" i="1"/>
  <c r="D26" i="1"/>
  <c r="E26" i="1"/>
  <c r="J15" i="12"/>
  <c r="J17" i="12" s="1"/>
  <c r="D14" i="12"/>
  <c r="E10" i="12"/>
  <c r="E14" i="12" s="1"/>
  <c r="I16" i="12"/>
  <c r="H15" i="12"/>
  <c r="O15" i="12" s="1"/>
  <c r="D16" i="12"/>
  <c r="C15" i="12"/>
  <c r="B16" i="12"/>
  <c r="O16" i="12" s="1"/>
  <c r="H14" i="12"/>
  <c r="K10" i="12"/>
  <c r="K15" i="12" s="1"/>
  <c r="C16" i="12"/>
  <c r="B17" i="12"/>
  <c r="B14" i="12"/>
  <c r="I15" i="12"/>
  <c r="K16" i="12"/>
  <c r="AF15" i="1"/>
  <c r="U15" i="1"/>
  <c r="S21" i="1"/>
  <c r="S22" i="1"/>
  <c r="S23" i="1"/>
  <c r="S24" i="1"/>
  <c r="S25" i="1"/>
  <c r="S26" i="1"/>
  <c r="S20" i="1"/>
  <c r="N26" i="1"/>
  <c r="O26" i="1"/>
  <c r="P26" i="1"/>
  <c r="Q26" i="1"/>
  <c r="R26" i="1"/>
  <c r="T26" i="1"/>
  <c r="M26" i="1"/>
  <c r="U26" i="1" s="1"/>
  <c r="E24" i="8"/>
  <c r="S24" i="8" s="1"/>
  <c r="L13" i="8"/>
  <c r="E13" i="8"/>
  <c r="I17" i="12" l="1"/>
  <c r="H17" i="12"/>
  <c r="O14" i="12"/>
  <c r="P14" i="12" s="1"/>
  <c r="Q14" i="12" s="1"/>
  <c r="W8" i="12" s="1"/>
  <c r="E16" i="12"/>
  <c r="E35" i="8"/>
  <c r="S13" i="8"/>
  <c r="L35" i="8"/>
  <c r="S35" i="8" s="1"/>
  <c r="AA40" i="1"/>
  <c r="AE35" i="1"/>
  <c r="AD36" i="1"/>
  <c r="AE36" i="1"/>
  <c r="AD37" i="1"/>
  <c r="Z40" i="1"/>
  <c r="AB40" i="1"/>
  <c r="AC40" i="1"/>
  <c r="AD34" i="1"/>
  <c r="AD39" i="1"/>
  <c r="AD40" i="1"/>
  <c r="AE40" i="1"/>
  <c r="AE34" i="1"/>
  <c r="AD35" i="1"/>
  <c r="AE37" i="1"/>
  <c r="AE39" i="1"/>
  <c r="X40" i="1"/>
  <c r="Y40" i="1"/>
  <c r="AD38" i="1"/>
  <c r="AE38" i="1"/>
  <c r="J26" i="1"/>
  <c r="P15" i="12"/>
  <c r="Q15" i="12" s="1"/>
  <c r="W9" i="12" s="1"/>
  <c r="C17" i="12"/>
  <c r="K14" i="12"/>
  <c r="K17" i="12" s="1"/>
  <c r="E15" i="12"/>
  <c r="E17" i="12" s="1"/>
  <c r="D17" i="12"/>
  <c r="P16" i="12"/>
  <c r="Q16" i="12" s="1"/>
  <c r="W10" i="12" s="1"/>
  <c r="S28" i="1"/>
  <c r="W54" i="1"/>
  <c r="W40" i="1"/>
  <c r="L40" i="1"/>
  <c r="L26" i="1"/>
  <c r="W13" i="1"/>
  <c r="AD47" i="1"/>
  <c r="AD33" i="1"/>
  <c r="AD6" i="1"/>
  <c r="S33" i="1"/>
  <c r="S19" i="1"/>
  <c r="S6" i="1"/>
  <c r="H6" i="1"/>
  <c r="L13" i="1"/>
  <c r="V35" i="8"/>
  <c r="V24" i="8"/>
  <c r="V13" i="8"/>
  <c r="H13" i="8"/>
  <c r="H24" i="8" l="1"/>
  <c r="H35" i="8" s="1"/>
  <c r="O13" i="8"/>
  <c r="O24" i="8" s="1"/>
  <c r="O35" i="8" s="1"/>
  <c r="X25" i="8"/>
  <c r="Y25" i="8"/>
  <c r="Z25" i="8"/>
  <c r="W25" i="8"/>
  <c r="X14" i="8"/>
  <c r="X36" i="8" s="1"/>
  <c r="Y14" i="8"/>
  <c r="Y36" i="8" s="1"/>
  <c r="Z14" i="8"/>
  <c r="Z36" i="8" s="1"/>
  <c r="W14" i="8"/>
  <c r="W36" i="8" s="1"/>
  <c r="J25" i="8"/>
  <c r="K25" i="8"/>
  <c r="I25" i="8"/>
  <c r="C25" i="8"/>
  <c r="D25" i="8"/>
  <c r="B25" i="8"/>
  <c r="C14" i="8"/>
  <c r="D14" i="8"/>
  <c r="D36" i="8" s="1"/>
  <c r="B14" i="8"/>
  <c r="J14" i="8"/>
  <c r="J36" i="8" s="1"/>
  <c r="K14" i="8"/>
  <c r="K36" i="8" s="1"/>
  <c r="I14" i="8"/>
  <c r="I36" i="8" s="1"/>
  <c r="C36" i="8" l="1"/>
  <c r="R36" i="8"/>
  <c r="Q36" i="8"/>
  <c r="B36" i="8"/>
  <c r="P36" i="8" s="1"/>
  <c r="R25" i="8"/>
  <c r="P25" i="8"/>
  <c r="Q25" i="8"/>
  <c r="P14" i="8"/>
  <c r="R14" i="8"/>
  <c r="Q14" i="8"/>
  <c r="M19" i="1"/>
  <c r="N19" i="1"/>
  <c r="O19" i="1"/>
  <c r="P19" i="1"/>
  <c r="Q19" i="1"/>
  <c r="R19" i="1"/>
  <c r="T19" i="1"/>
  <c r="L20" i="1"/>
  <c r="M20" i="1"/>
  <c r="N20" i="1"/>
  <c r="O20" i="1"/>
  <c r="P20" i="1"/>
  <c r="Q20" i="1"/>
  <c r="R20" i="1"/>
  <c r="T20" i="1"/>
  <c r="L21" i="1"/>
  <c r="M21" i="1"/>
  <c r="N21" i="1"/>
  <c r="O21" i="1"/>
  <c r="P21" i="1"/>
  <c r="Q21" i="1"/>
  <c r="R21" i="1"/>
  <c r="T21" i="1"/>
  <c r="L22" i="1"/>
  <c r="M22" i="1"/>
  <c r="N22" i="1"/>
  <c r="O22" i="1"/>
  <c r="P22" i="1"/>
  <c r="Q22" i="1"/>
  <c r="R22" i="1"/>
  <c r="T22" i="1"/>
  <c r="L23" i="1"/>
  <c r="M23" i="1"/>
  <c r="N23" i="1"/>
  <c r="O23" i="1"/>
  <c r="P23" i="1"/>
  <c r="Q23" i="1"/>
  <c r="R23" i="1"/>
  <c r="T23" i="1"/>
  <c r="L24" i="1"/>
  <c r="M24" i="1"/>
  <c r="N24" i="1"/>
  <c r="O24" i="1"/>
  <c r="P24" i="1"/>
  <c r="Q24" i="1"/>
  <c r="R24" i="1"/>
  <c r="T24" i="1"/>
  <c r="L25" i="1"/>
  <c r="M25" i="1"/>
  <c r="N25" i="1"/>
  <c r="O25" i="1"/>
  <c r="P25" i="1"/>
  <c r="Q25" i="1"/>
  <c r="R25" i="1"/>
  <c r="T25" i="1"/>
  <c r="U23" i="1" l="1"/>
  <c r="U21" i="1"/>
  <c r="U25" i="1"/>
  <c r="U24" i="1"/>
  <c r="U22" i="1"/>
  <c r="U20" i="1"/>
  <c r="V34" i="8" l="1"/>
  <c r="V33" i="8"/>
  <c r="V32" i="8"/>
  <c r="V31" i="8"/>
  <c r="V30" i="8"/>
  <c r="V29" i="8"/>
  <c r="O34" i="8"/>
  <c r="O33" i="8"/>
  <c r="O32" i="8"/>
  <c r="O31" i="8"/>
  <c r="O30" i="8"/>
  <c r="O29" i="8"/>
  <c r="H34" i="8"/>
  <c r="H33" i="8"/>
  <c r="H32" i="8"/>
  <c r="H31" i="8"/>
  <c r="H30" i="8"/>
  <c r="H29" i="8"/>
  <c r="A34" i="8"/>
  <c r="A33" i="8"/>
  <c r="A32" i="8"/>
  <c r="A31" i="8"/>
  <c r="A30" i="8"/>
  <c r="A29" i="8"/>
  <c r="V23" i="8"/>
  <c r="V22" i="8"/>
  <c r="V21" i="8"/>
  <c r="V20" i="8"/>
  <c r="V19" i="8"/>
  <c r="V18" i="8"/>
  <c r="O23" i="8"/>
  <c r="O22" i="8"/>
  <c r="O21" i="8"/>
  <c r="O20" i="8"/>
  <c r="O19" i="8"/>
  <c r="O18" i="8"/>
  <c r="H23" i="8"/>
  <c r="H22" i="8"/>
  <c r="H21" i="8"/>
  <c r="H20" i="8"/>
  <c r="H19" i="8"/>
  <c r="H18" i="8"/>
  <c r="A23" i="8"/>
  <c r="A22" i="8"/>
  <c r="A21" i="8"/>
  <c r="A20" i="8"/>
  <c r="A19" i="8"/>
  <c r="A18" i="8"/>
  <c r="V12" i="8"/>
  <c r="V11" i="8"/>
  <c r="V10" i="8"/>
  <c r="V9" i="8"/>
  <c r="V8" i="8"/>
  <c r="V7" i="8"/>
  <c r="O12" i="8"/>
  <c r="O11" i="8"/>
  <c r="O10" i="8"/>
  <c r="O9" i="8"/>
  <c r="O8" i="8"/>
  <c r="O7" i="8"/>
  <c r="H12" i="8"/>
  <c r="H11" i="8"/>
  <c r="H10" i="8"/>
  <c r="H9" i="8"/>
  <c r="H8" i="8"/>
  <c r="H7" i="8"/>
  <c r="AE47" i="1"/>
  <c r="AC47" i="1"/>
  <c r="AB47" i="1"/>
  <c r="AA47" i="1"/>
  <c r="Z47" i="1"/>
  <c r="Y47" i="1"/>
  <c r="X47" i="1"/>
  <c r="AE33" i="1"/>
  <c r="AC33" i="1"/>
  <c r="AB33" i="1"/>
  <c r="AA33" i="1"/>
  <c r="Z33" i="1"/>
  <c r="Y33" i="1"/>
  <c r="X33" i="1"/>
  <c r="T33" i="1"/>
  <c r="R33" i="1"/>
  <c r="Q33" i="1"/>
  <c r="P33" i="1"/>
  <c r="O33" i="1"/>
  <c r="N33" i="1"/>
  <c r="M33" i="1"/>
  <c r="AE6" i="1"/>
  <c r="AC6" i="1"/>
  <c r="AB6" i="1"/>
  <c r="AA6" i="1"/>
  <c r="Z6" i="1"/>
  <c r="Y6" i="1"/>
  <c r="X6" i="1"/>
  <c r="T6" i="1"/>
  <c r="R6" i="1"/>
  <c r="Q6" i="1"/>
  <c r="P6" i="1"/>
  <c r="O6" i="1"/>
  <c r="N6" i="1"/>
  <c r="M6" i="1"/>
  <c r="I6" i="1"/>
  <c r="G6" i="1"/>
  <c r="F6" i="1"/>
  <c r="E6" i="1"/>
  <c r="D6" i="1"/>
  <c r="C6" i="1"/>
  <c r="B6" i="1"/>
  <c r="W53" i="1"/>
  <c r="W52" i="1"/>
  <c r="W51" i="1"/>
  <c r="W50" i="1"/>
  <c r="W49" i="1"/>
  <c r="W48" i="1"/>
  <c r="W39" i="1"/>
  <c r="W38" i="1"/>
  <c r="W37" i="1"/>
  <c r="W36" i="1"/>
  <c r="W35" i="1"/>
  <c r="W34" i="1"/>
  <c r="L39" i="1"/>
  <c r="L38" i="1"/>
  <c r="L37" i="1"/>
  <c r="L36" i="1"/>
  <c r="L35" i="1"/>
  <c r="L34" i="1"/>
  <c r="W12" i="1"/>
  <c r="W11" i="1"/>
  <c r="W10" i="1"/>
  <c r="W9" i="1"/>
  <c r="W8" i="1"/>
  <c r="W7" i="1"/>
  <c r="L12" i="1"/>
  <c r="L11" i="1"/>
  <c r="L10" i="1"/>
  <c r="L9" i="1"/>
  <c r="L8" i="1"/>
  <c r="L7" i="1"/>
  <c r="E19" i="8" l="1"/>
  <c r="E20" i="8"/>
  <c r="E21" i="8"/>
  <c r="E22" i="8"/>
  <c r="E23" i="8"/>
  <c r="L20" i="8"/>
  <c r="L21" i="8"/>
  <c r="L22" i="8"/>
  <c r="L9" i="8"/>
  <c r="L10" i="8"/>
  <c r="L11" i="8"/>
  <c r="E8" i="8"/>
  <c r="E9" i="8"/>
  <c r="E10" i="8"/>
  <c r="E11" i="8"/>
  <c r="J9" i="1"/>
  <c r="J10" i="1"/>
  <c r="J11" i="1"/>
  <c r="E101" i="3"/>
  <c r="H22" i="1" l="1"/>
  <c r="I22" i="1"/>
  <c r="I23" i="1"/>
  <c r="H23" i="1"/>
  <c r="I24" i="1"/>
  <c r="H24" i="1"/>
  <c r="B22" i="1"/>
  <c r="G22" i="1"/>
  <c r="F22" i="1"/>
  <c r="E22" i="1"/>
  <c r="D22" i="1"/>
  <c r="C22" i="1"/>
  <c r="F23" i="1"/>
  <c r="G23" i="1"/>
  <c r="E23" i="1"/>
  <c r="D23" i="1"/>
  <c r="C23" i="1"/>
  <c r="B23" i="1"/>
  <c r="G24" i="1"/>
  <c r="F24" i="1"/>
  <c r="E24" i="1"/>
  <c r="D24" i="1"/>
  <c r="C24" i="1"/>
  <c r="B24" i="1"/>
  <c r="W31" i="8"/>
  <c r="X31" i="8"/>
  <c r="Y31" i="8"/>
  <c r="Z31" i="8"/>
  <c r="W32" i="8"/>
  <c r="X32" i="8"/>
  <c r="Y32" i="8"/>
  <c r="Z32" i="8"/>
  <c r="W33" i="8"/>
  <c r="X33" i="8"/>
  <c r="Y33" i="8"/>
  <c r="Z33" i="8"/>
  <c r="B31" i="8"/>
  <c r="C31" i="8"/>
  <c r="D31" i="8"/>
  <c r="E31" i="8"/>
  <c r="B32" i="8"/>
  <c r="C32" i="8"/>
  <c r="D32" i="8"/>
  <c r="E32" i="8"/>
  <c r="B33" i="8"/>
  <c r="C33" i="8"/>
  <c r="D33" i="8"/>
  <c r="E33" i="8"/>
  <c r="I31" i="8"/>
  <c r="J31" i="8"/>
  <c r="K31" i="8"/>
  <c r="L31" i="8"/>
  <c r="I32" i="8"/>
  <c r="J32" i="8"/>
  <c r="K32" i="8"/>
  <c r="L32" i="8"/>
  <c r="I33" i="8"/>
  <c r="J33" i="8"/>
  <c r="K33" i="8"/>
  <c r="L33" i="8"/>
  <c r="P20" i="8"/>
  <c r="Q20" i="8"/>
  <c r="R20" i="8"/>
  <c r="S20" i="8"/>
  <c r="P21" i="8"/>
  <c r="Q21" i="8"/>
  <c r="R21" i="8"/>
  <c r="S21" i="8"/>
  <c r="P22" i="8"/>
  <c r="Q22" i="8"/>
  <c r="R22" i="8"/>
  <c r="S22" i="8"/>
  <c r="P9" i="8"/>
  <c r="Q9" i="8"/>
  <c r="R9" i="8"/>
  <c r="S9" i="8"/>
  <c r="P10" i="8"/>
  <c r="Q10" i="8"/>
  <c r="R10" i="8"/>
  <c r="S10" i="8"/>
  <c r="P11" i="8"/>
  <c r="Q11" i="8"/>
  <c r="R11" i="8"/>
  <c r="S11" i="8"/>
  <c r="G15" i="1"/>
  <c r="F15" i="1"/>
  <c r="E15" i="1"/>
  <c r="J24" i="1" l="1"/>
  <c r="J23" i="1"/>
  <c r="R31" i="8"/>
  <c r="Q31" i="8"/>
  <c r="S31" i="8"/>
  <c r="J22" i="1"/>
  <c r="S32" i="8"/>
  <c r="R32" i="8"/>
  <c r="Q32" i="8"/>
  <c r="R33" i="8"/>
  <c r="P33" i="8"/>
  <c r="S33" i="8"/>
  <c r="P32" i="8"/>
  <c r="Q33" i="8"/>
  <c r="P31" i="8"/>
  <c r="P7" i="8"/>
  <c r="Q7" i="8"/>
  <c r="R7" i="8"/>
  <c r="P8" i="8"/>
  <c r="Q8" i="8"/>
  <c r="R8" i="8"/>
  <c r="P12" i="8"/>
  <c r="Q12" i="8"/>
  <c r="R12" i="8"/>
  <c r="E101" i="4" l="1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8" i="8"/>
  <c r="E12" i="8"/>
  <c r="E7" i="8"/>
  <c r="Z34" i="8"/>
  <c r="Y34" i="8"/>
  <c r="X34" i="8"/>
  <c r="W34" i="8"/>
  <c r="Z30" i="8"/>
  <c r="Y30" i="8"/>
  <c r="X30" i="8"/>
  <c r="W30" i="8"/>
  <c r="Z29" i="8"/>
  <c r="Y29" i="8"/>
  <c r="X29" i="8"/>
  <c r="W29" i="8"/>
  <c r="Y35" i="8" l="1"/>
  <c r="S27" i="1"/>
  <c r="X35" i="8"/>
  <c r="Z35" i="8"/>
  <c r="W35" i="8"/>
  <c r="E14" i="8"/>
  <c r="E25" i="8"/>
  <c r="B27" i="12" s="1"/>
  <c r="B32" i="12" s="1"/>
  <c r="P18" i="8"/>
  <c r="Q18" i="8"/>
  <c r="R18" i="8"/>
  <c r="P19" i="8"/>
  <c r="Q19" i="8"/>
  <c r="R19" i="8"/>
  <c r="P23" i="8"/>
  <c r="Q23" i="8"/>
  <c r="R23" i="8"/>
  <c r="J14" i="1"/>
  <c r="B26" i="12" l="1"/>
  <c r="B31" i="12" s="1"/>
  <c r="E36" i="8"/>
  <c r="P27" i="1"/>
  <c r="P28" i="1" s="1"/>
  <c r="R27" i="1"/>
  <c r="R28" i="1" s="1"/>
  <c r="M27" i="1"/>
  <c r="Q27" i="1"/>
  <c r="Q28" i="1" s="1"/>
  <c r="N27" i="1"/>
  <c r="N28" i="1" s="1"/>
  <c r="T27" i="1"/>
  <c r="T28" i="1" s="1"/>
  <c r="O27" i="1"/>
  <c r="O28" i="1" s="1"/>
  <c r="I15" i="1"/>
  <c r="D15" i="1"/>
  <c r="C15" i="1"/>
  <c r="B15" i="1"/>
  <c r="J12" i="1"/>
  <c r="J8" i="1"/>
  <c r="J7" i="1"/>
  <c r="H25" i="1" l="1"/>
  <c r="I25" i="1"/>
  <c r="H20" i="1"/>
  <c r="I20" i="1"/>
  <c r="I21" i="1"/>
  <c r="H21" i="1"/>
  <c r="G20" i="1"/>
  <c r="E20" i="1"/>
  <c r="D20" i="1"/>
  <c r="B20" i="1"/>
  <c r="F20" i="1"/>
  <c r="C20" i="1"/>
  <c r="B25" i="1"/>
  <c r="G25" i="1"/>
  <c r="F25" i="1"/>
  <c r="E25" i="1"/>
  <c r="D25" i="1"/>
  <c r="C25" i="1"/>
  <c r="G21" i="1"/>
  <c r="F21" i="1"/>
  <c r="E21" i="1"/>
  <c r="D21" i="1"/>
  <c r="C21" i="1"/>
  <c r="B21" i="1"/>
  <c r="U27" i="1"/>
  <c r="U28" i="1" s="1"/>
  <c r="M28" i="1"/>
  <c r="J15" i="1"/>
  <c r="J21" i="1" l="1"/>
  <c r="B28" i="1"/>
  <c r="J25" i="1"/>
  <c r="H28" i="1"/>
  <c r="D28" i="1"/>
  <c r="J20" i="1"/>
  <c r="C28" i="1"/>
  <c r="E28" i="1"/>
  <c r="F28" i="1"/>
  <c r="I28" i="1"/>
  <c r="G28" i="1"/>
  <c r="S37" i="1"/>
  <c r="O40" i="1"/>
  <c r="Q40" i="1"/>
  <c r="Q41" i="1"/>
  <c r="M41" i="1"/>
  <c r="S38" i="1"/>
  <c r="P40" i="1"/>
  <c r="R40" i="1"/>
  <c r="T40" i="1"/>
  <c r="S39" i="1"/>
  <c r="S34" i="1"/>
  <c r="P41" i="1"/>
  <c r="T41" i="1"/>
  <c r="S40" i="1"/>
  <c r="O41" i="1"/>
  <c r="S41" i="1"/>
  <c r="N40" i="1"/>
  <c r="N41" i="1"/>
  <c r="R41" i="1"/>
  <c r="S36" i="1"/>
  <c r="S35" i="1"/>
  <c r="M40" i="1"/>
  <c r="L23" i="8"/>
  <c r="S23" i="8" s="1"/>
  <c r="L19" i="8"/>
  <c r="S19" i="8" s="1"/>
  <c r="L18" i="8"/>
  <c r="L8" i="8"/>
  <c r="S8" i="8" s="1"/>
  <c r="L12" i="8"/>
  <c r="S12" i="8" s="1"/>
  <c r="L7" i="8"/>
  <c r="K34" i="8"/>
  <c r="J34" i="8"/>
  <c r="I34" i="8"/>
  <c r="K30" i="8"/>
  <c r="J30" i="8"/>
  <c r="I30" i="8"/>
  <c r="K29" i="8"/>
  <c r="J29" i="8"/>
  <c r="I29" i="8"/>
  <c r="J28" i="1" l="1"/>
  <c r="S42" i="1"/>
  <c r="U40" i="1"/>
  <c r="S7" i="8"/>
  <c r="L14" i="8"/>
  <c r="S18" i="8"/>
  <c r="L25" i="8"/>
  <c r="L29" i="8"/>
  <c r="L30" i="8"/>
  <c r="L34" i="8"/>
  <c r="E40" i="1" l="1"/>
  <c r="D40" i="1"/>
  <c r="C40" i="1"/>
  <c r="G40" i="1"/>
  <c r="F40" i="1"/>
  <c r="I40" i="1"/>
  <c r="B40" i="1"/>
  <c r="H40" i="1"/>
  <c r="H38" i="1"/>
  <c r="I37" i="1"/>
  <c r="H36" i="1"/>
  <c r="I38" i="1"/>
  <c r="I36" i="1"/>
  <c r="H37" i="1"/>
  <c r="I34" i="1"/>
  <c r="H34" i="1"/>
  <c r="I35" i="1"/>
  <c r="I39" i="1"/>
  <c r="H35" i="1"/>
  <c r="H39" i="1"/>
  <c r="J40" i="1"/>
  <c r="E38" i="1"/>
  <c r="F37" i="1"/>
  <c r="C36" i="1"/>
  <c r="B36" i="1"/>
  <c r="D37" i="1"/>
  <c r="G36" i="1"/>
  <c r="G38" i="1"/>
  <c r="C38" i="1"/>
  <c r="D38" i="1"/>
  <c r="C37" i="1"/>
  <c r="D36" i="1"/>
  <c r="F36" i="1"/>
  <c r="E37" i="1"/>
  <c r="F38" i="1"/>
  <c r="B37" i="1"/>
  <c r="G37" i="1"/>
  <c r="B38" i="1"/>
  <c r="E36" i="1"/>
  <c r="J37" i="1"/>
  <c r="J36" i="1"/>
  <c r="J38" i="1"/>
  <c r="D35" i="1"/>
  <c r="G39" i="1"/>
  <c r="B39" i="1"/>
  <c r="B35" i="1"/>
  <c r="E34" i="1"/>
  <c r="G34" i="1"/>
  <c r="E35" i="1"/>
  <c r="E39" i="1"/>
  <c r="D39" i="1"/>
  <c r="C39" i="1"/>
  <c r="F35" i="1"/>
  <c r="F34" i="1"/>
  <c r="B34" i="1"/>
  <c r="C34" i="1"/>
  <c r="C35" i="1"/>
  <c r="G35" i="1"/>
  <c r="D34" i="1"/>
  <c r="F39" i="1"/>
  <c r="J35" i="1"/>
  <c r="J39" i="1"/>
  <c r="J34" i="1"/>
  <c r="H26" i="12"/>
  <c r="L36" i="8"/>
  <c r="S36" i="8" s="1"/>
  <c r="S25" i="8"/>
  <c r="H27" i="12"/>
  <c r="H32" i="12" s="1"/>
  <c r="S14" i="8"/>
  <c r="J42" i="1" l="1"/>
  <c r="G42" i="1"/>
  <c r="H42" i="1"/>
  <c r="E42" i="1"/>
  <c r="D42" i="1"/>
  <c r="C42" i="1"/>
  <c r="B42" i="1"/>
  <c r="F42" i="1"/>
  <c r="I42" i="1"/>
  <c r="H31" i="12"/>
  <c r="O31" i="12" s="1"/>
  <c r="P31" i="12" s="1"/>
  <c r="Q31" i="12" s="1"/>
  <c r="W39" i="12" s="1"/>
  <c r="B11" i="10"/>
  <c r="O22" i="10"/>
  <c r="P22" i="10"/>
  <c r="N22" i="10"/>
  <c r="C22" i="10"/>
  <c r="D22" i="10"/>
  <c r="B22" i="10"/>
  <c r="O21" i="10"/>
  <c r="P21" i="10"/>
  <c r="N21" i="10"/>
  <c r="C21" i="10"/>
  <c r="D21" i="10"/>
  <c r="B21" i="10"/>
  <c r="O20" i="10"/>
  <c r="P20" i="10"/>
  <c r="N20" i="10"/>
  <c r="C20" i="10"/>
  <c r="D20" i="10"/>
  <c r="B20" i="10"/>
  <c r="O19" i="10"/>
  <c r="P19" i="10"/>
  <c r="N19" i="10"/>
  <c r="C19" i="10"/>
  <c r="D19" i="10"/>
  <c r="B19" i="10"/>
  <c r="O18" i="10"/>
  <c r="P18" i="10"/>
  <c r="N18" i="10"/>
  <c r="C18" i="10"/>
  <c r="D18" i="10"/>
  <c r="B18" i="10"/>
  <c r="O17" i="10"/>
  <c r="P17" i="10"/>
  <c r="N17" i="10"/>
  <c r="C17" i="10"/>
  <c r="D17" i="10"/>
  <c r="B17" i="10"/>
  <c r="O16" i="10"/>
  <c r="P16" i="10"/>
  <c r="N16" i="10"/>
  <c r="C16" i="10"/>
  <c r="D16" i="10"/>
  <c r="B16" i="10"/>
  <c r="O15" i="10"/>
  <c r="P15" i="10"/>
  <c r="N15" i="10"/>
  <c r="C15" i="10"/>
  <c r="D15" i="10"/>
  <c r="B15" i="10"/>
  <c r="O14" i="10"/>
  <c r="P14" i="10"/>
  <c r="N14" i="10"/>
  <c r="C14" i="10"/>
  <c r="D14" i="10"/>
  <c r="B14" i="10"/>
  <c r="O13" i="10"/>
  <c r="P13" i="10"/>
  <c r="N13" i="10"/>
  <c r="C13" i="10"/>
  <c r="D13" i="10"/>
  <c r="B13" i="10"/>
  <c r="O12" i="10"/>
  <c r="P12" i="10"/>
  <c r="N12" i="10"/>
  <c r="C12" i="10"/>
  <c r="D12" i="10"/>
  <c r="B12" i="10"/>
  <c r="O11" i="10"/>
  <c r="P11" i="10"/>
  <c r="N11" i="10"/>
  <c r="D11" i="10"/>
  <c r="C11" i="10"/>
  <c r="B30" i="8"/>
  <c r="P30" i="8" s="1"/>
  <c r="C30" i="8"/>
  <c r="Q30" i="8" s="1"/>
  <c r="D30" i="8"/>
  <c r="R30" i="8" s="1"/>
  <c r="B34" i="8"/>
  <c r="P34" i="8" s="1"/>
  <c r="C34" i="8"/>
  <c r="Q34" i="8" s="1"/>
  <c r="D34" i="8"/>
  <c r="R34" i="8" s="1"/>
  <c r="C29" i="8"/>
  <c r="Q29" i="8" s="1"/>
  <c r="D29" i="8"/>
  <c r="R29" i="8" s="1"/>
  <c r="P29" i="8"/>
  <c r="K101" i="4"/>
  <c r="Q22" i="10" s="1"/>
  <c r="K95" i="4"/>
  <c r="K96" i="4"/>
  <c r="K97" i="4"/>
  <c r="K98" i="4"/>
  <c r="K99" i="4"/>
  <c r="K100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11" i="4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1" i="3"/>
  <c r="E29" i="8" l="1"/>
  <c r="S29" i="8" s="1"/>
  <c r="E30" i="8"/>
  <c r="S30" i="8" s="1"/>
  <c r="Q11" i="10"/>
  <c r="Q15" i="10"/>
  <c r="Q21" i="10"/>
  <c r="Q19" i="10"/>
  <c r="Q20" i="10"/>
  <c r="Q17" i="10"/>
  <c r="Q16" i="10"/>
  <c r="Q13" i="10"/>
  <c r="Q12" i="10"/>
  <c r="Q18" i="10"/>
  <c r="Q14" i="10"/>
  <c r="E34" i="8"/>
  <c r="S34" i="8" s="1"/>
  <c r="E22" i="10"/>
  <c r="E21" i="10" l="1"/>
  <c r="E19" i="10"/>
  <c r="E15" i="10"/>
  <c r="E20" i="10"/>
  <c r="E16" i="10"/>
  <c r="E12" i="10"/>
  <c r="E11" i="10"/>
  <c r="E17" i="10"/>
  <c r="E13" i="10"/>
  <c r="E18" i="10"/>
  <c r="E14" i="10"/>
  <c r="AD54" i="1" l="1"/>
  <c r="AD53" i="1"/>
  <c r="AC54" i="1"/>
  <c r="AD55" i="1"/>
  <c r="AB54" i="1"/>
  <c r="AA54" i="1"/>
  <c r="AD50" i="1"/>
  <c r="Z54" i="1"/>
  <c r="AD48" i="1"/>
  <c r="AE54" i="1"/>
  <c r="AD52" i="1"/>
  <c r="AD51" i="1"/>
  <c r="AD49" i="1"/>
  <c r="X54" i="1"/>
  <c r="Y54" i="1"/>
  <c r="Y37" i="1"/>
  <c r="Y51" i="1" s="1"/>
  <c r="Z34" i="1"/>
  <c r="Z48" i="1" s="1"/>
  <c r="AA34" i="1"/>
  <c r="AA48" i="1" s="1"/>
  <c r="Z37" i="1"/>
  <c r="Z51" i="1" s="1"/>
  <c r="X34" i="1"/>
  <c r="X48" i="1" s="1"/>
  <c r="AC38" i="1"/>
  <c r="AC52" i="1" s="1"/>
  <c r="X39" i="1"/>
  <c r="X53" i="1" s="1"/>
  <c r="AA37" i="1"/>
  <c r="AA51" i="1" s="1"/>
  <c r="AB37" i="1"/>
  <c r="AB51" i="1" s="1"/>
  <c r="AC37" i="1"/>
  <c r="AC51" i="1" s="1"/>
  <c r="Y38" i="1"/>
  <c r="Y52" i="1" s="1"/>
  <c r="AB38" i="1"/>
  <c r="AB52" i="1" s="1"/>
  <c r="Y39" i="1"/>
  <c r="Y53" i="1" s="1"/>
  <c r="AB34" i="1"/>
  <c r="AB48" i="1" s="1"/>
  <c r="X38" i="1"/>
  <c r="X52" i="1" s="1"/>
  <c r="Z38" i="1"/>
  <c r="Z52" i="1" s="1"/>
  <c r="AA38" i="1"/>
  <c r="AA52" i="1" s="1"/>
  <c r="X55" i="1"/>
  <c r="AC35" i="1"/>
  <c r="AC49" i="1" s="1"/>
  <c r="AB36" i="1"/>
  <c r="AB50" i="1" s="1"/>
  <c r="AC34" i="1"/>
  <c r="AC48" i="1" s="1"/>
  <c r="AB35" i="1"/>
  <c r="AB49" i="1" s="1"/>
  <c r="X37" i="1"/>
  <c r="X51" i="1" s="1"/>
  <c r="Y35" i="1"/>
  <c r="Y49" i="1" s="1"/>
  <c r="Z39" i="1"/>
  <c r="Z53" i="1" s="1"/>
  <c r="AC39" i="1"/>
  <c r="AC53" i="1" s="1"/>
  <c r="Z35" i="1"/>
  <c r="Z49" i="1" s="1"/>
  <c r="AA35" i="1"/>
  <c r="AA49" i="1" s="1"/>
  <c r="AA39" i="1"/>
  <c r="AA53" i="1" s="1"/>
  <c r="X35" i="1"/>
  <c r="X49" i="1" s="1"/>
  <c r="AB39" i="1"/>
  <c r="AB53" i="1" s="1"/>
  <c r="X36" i="1"/>
  <c r="X50" i="1" s="1"/>
  <c r="Y36" i="1"/>
  <c r="Y50" i="1" s="1"/>
  <c r="Z36" i="1"/>
  <c r="Z50" i="1" s="1"/>
  <c r="AE55" i="1"/>
  <c r="AA36" i="1"/>
  <c r="AA50" i="1" s="1"/>
  <c r="Y34" i="1"/>
  <c r="Y48" i="1" s="1"/>
  <c r="AC36" i="1"/>
  <c r="AC50" i="1" s="1"/>
  <c r="AE51" i="1"/>
  <c r="AE49" i="1"/>
  <c r="AE52" i="1"/>
  <c r="AE50" i="1"/>
  <c r="AE48" i="1"/>
  <c r="AE53" i="1"/>
  <c r="AB55" i="1"/>
  <c r="AC55" i="1"/>
  <c r="AA55" i="1"/>
  <c r="Y55" i="1"/>
  <c r="Z55" i="1"/>
  <c r="AF40" i="1" l="1"/>
  <c r="AF54" i="1" s="1"/>
  <c r="AD42" i="1"/>
  <c r="AD56" i="1" s="1"/>
  <c r="AF34" i="1"/>
  <c r="AF48" i="1" s="1"/>
  <c r="AA42" i="1"/>
  <c r="AA56" i="1" s="1"/>
  <c r="AE42" i="1"/>
  <c r="AE56" i="1" s="1"/>
  <c r="X42" i="1"/>
  <c r="X56" i="1" s="1"/>
  <c r="AF37" i="1"/>
  <c r="AF51" i="1" s="1"/>
  <c r="AF35" i="1"/>
  <c r="AF49" i="1" s="1"/>
  <c r="AF38" i="1"/>
  <c r="AF52" i="1" s="1"/>
  <c r="AF36" i="1"/>
  <c r="AF50" i="1" s="1"/>
  <c r="AB42" i="1"/>
  <c r="AB56" i="1" s="1"/>
  <c r="Y42" i="1"/>
  <c r="Y56" i="1" s="1"/>
  <c r="AF39" i="1"/>
  <c r="AF53" i="1" s="1"/>
  <c r="Z42" i="1"/>
  <c r="Z56" i="1" s="1"/>
  <c r="AF41" i="1"/>
  <c r="AF55" i="1" s="1"/>
  <c r="AC42" i="1"/>
  <c r="AC56" i="1" s="1"/>
  <c r="O37" i="1" l="1"/>
  <c r="R38" i="1"/>
  <c r="M34" i="1"/>
  <c r="P35" i="1"/>
  <c r="T34" i="1"/>
  <c r="N35" i="1"/>
  <c r="T38" i="1"/>
  <c r="Q37" i="1"/>
  <c r="T36" i="1"/>
  <c r="T37" i="1"/>
  <c r="R35" i="1"/>
  <c r="M36" i="1"/>
  <c r="O36" i="1"/>
  <c r="Q36" i="1"/>
  <c r="O39" i="1"/>
  <c r="M35" i="1"/>
  <c r="M37" i="1"/>
  <c r="R36" i="1"/>
  <c r="O35" i="1"/>
  <c r="R34" i="1"/>
  <c r="N37" i="1"/>
  <c r="R39" i="1"/>
  <c r="M38" i="1"/>
  <c r="Q34" i="1"/>
  <c r="O34" i="1"/>
  <c r="P34" i="1"/>
  <c r="T39" i="1"/>
  <c r="P39" i="1"/>
  <c r="N38" i="1"/>
  <c r="M39" i="1"/>
  <c r="R37" i="1"/>
  <c r="N36" i="1"/>
  <c r="P37" i="1"/>
  <c r="T35" i="1"/>
  <c r="N39" i="1"/>
  <c r="P36" i="1"/>
  <c r="N34" i="1"/>
  <c r="O38" i="1"/>
  <c r="Q35" i="1"/>
  <c r="P38" i="1"/>
  <c r="Q39" i="1"/>
  <c r="Q38" i="1"/>
  <c r="AF42" i="1"/>
  <c r="AF56" i="1" s="1"/>
  <c r="P42" i="1" l="1"/>
  <c r="U38" i="1"/>
  <c r="U35" i="1"/>
  <c r="U37" i="1"/>
  <c r="U41" i="1"/>
  <c r="U34" i="1"/>
  <c r="N42" i="1"/>
  <c r="U39" i="1"/>
  <c r="R42" i="1"/>
  <c r="T42" i="1"/>
  <c r="M42" i="1"/>
  <c r="Q42" i="1"/>
  <c r="U36" i="1"/>
  <c r="O42" i="1"/>
  <c r="U42" i="1" l="1"/>
</calcChain>
</file>

<file path=xl/sharedStrings.xml><?xml version="1.0" encoding="utf-8"?>
<sst xmlns="http://schemas.openxmlformats.org/spreadsheetml/2006/main" count="750" uniqueCount="297">
  <si>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</si>
  <si>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</si>
  <si>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</si>
  <si>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</si>
  <si>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</si>
  <si>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</si>
  <si>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</si>
  <si>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</si>
  <si>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</si>
  <si>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</si>
  <si>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</si>
  <si>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</si>
  <si>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</si>
  <si>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</si>
  <si>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</si>
  <si>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</si>
  <si>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Table X. Estimated Worker Flows by County</t>
  </si>
  <si>
    <t>Outside</t>
  </si>
  <si>
    <t>We may want to scale the observed distribution(s), Depending on how well matches (or doesn't match) synthetic population</t>
  </si>
  <si>
    <t>Steps for generating distributions of commute time and distance</t>
  </si>
  <si>
    <t>PPTYP = 1</t>
  </si>
  <si>
    <t>PPTYP = 2</t>
  </si>
  <si>
    <t>PPTYP != 1 and PPTYP != 2</t>
  </si>
  <si>
    <t>Time (min)</t>
  </si>
  <si>
    <t>County-level Work at Home Shares</t>
  </si>
  <si>
    <t>Aggregate Trip Duration Frequency Distribution</t>
  </si>
  <si>
    <t>Table X. Observed Trip Durations: Census (ACS/2006-08)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</si>
  <si>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</si>
  <si>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</si>
  <si>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</si>
  <si>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</si>
  <si>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</si>
  <si>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</si>
  <si>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</si>
  <si>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</si>
  <si>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</si>
  <si>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</si>
  <si>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</si>
  <si>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</si>
  <si>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</si>
  <si>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Work at Home Counts by County</t>
  </si>
  <si>
    <t>Table X. Estimated Counts by County</t>
  </si>
  <si>
    <t>Table X. Estimated Work at Home Shares by County</t>
  </si>
  <si>
    <t>Table X. Average Trip Duration</t>
  </si>
  <si>
    <t>Table X. Estimated Worker Flows by County: DaySim</t>
  </si>
  <si>
    <t>AM Auto skims (time and distance) were merged into person file using origin (HH) and destination (workplace) TAZ ids</t>
  </si>
  <si>
    <t>In case of DaySim, home and workplace parcel IDs were matched to filter out work at home cases</t>
  </si>
  <si>
    <t>Distributions of HH TAZ -to- Work TAZ distance and time were then derived from the population</t>
  </si>
  <si>
    <t>Steps for generating county worker flows</t>
  </si>
  <si>
    <t>Home and work county codes were merged using a correspondence between TAZs and counties</t>
  </si>
  <si>
    <t>A crosstabulation of home and work counties created the worker flow table</t>
  </si>
  <si>
    <t>Steps for generating work at home shares</t>
  </si>
  <si>
    <t>All persons for whom a non-zero usual workplace location was identified were designated as the pool of workers</t>
  </si>
  <si>
    <t>Full-time</t>
  </si>
  <si>
    <t>Part-time</t>
  </si>
  <si>
    <t>Not FT or PT, student workers</t>
  </si>
  <si>
    <t>The shares were calculated as the ratio of the values in steps 2 and 1 and were segmented by county and the three worker types</t>
  </si>
  <si>
    <t>Table X. Observed Worker Flows by County: Census (ACS/2006-08)</t>
  </si>
  <si>
    <t>Table X. Adjusted Worker Flows by County: Census (ACS/2006-08)</t>
  </si>
  <si>
    <t>WORKER FLOWS BY COUNTY: EST-OBS</t>
  </si>
  <si>
    <t>Table X. Difference Work at Home Counts by County</t>
  </si>
  <si>
    <t>Table X. Difference Counts by County</t>
  </si>
  <si>
    <t>Table X. Difference Work at Home Shares by County</t>
  </si>
  <si>
    <t>Table X. Weighted Work at Home Counts by County: CTPP</t>
  </si>
  <si>
    <t>Table X. Weighted Counts by County: CTPP</t>
  </si>
  <si>
    <t>Table X. Weighted Work at Home Shares by County: CTPP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</si>
  <si>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</si>
  <si>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</si>
  <si>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</si>
  <si>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</si>
  <si>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</si>
  <si>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</si>
  <si>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</si>
  <si>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</si>
  <si>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</si>
  <si>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</si>
  <si>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</si>
  <si>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</si>
  <si>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</si>
  <si>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</si>
  <si>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</si>
  <si>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</si>
  <si>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</si>
  <si>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</si>
  <si>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</si>
  <si>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</si>
  <si>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</si>
  <si>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</si>
  <si>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</si>
  <si>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</si>
  <si>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</si>
  <si>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</si>
  <si>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</si>
  <si>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</si>
  <si>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</si>
  <si>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</si>
  <si>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</si>
  <si>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</si>
  <si>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</si>
  <si>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</si>
  <si>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</si>
  <si>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</si>
  <si>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</si>
  <si>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Beta00041</t>
  </si>
  <si>
    <t>F</t>
  </si>
  <si>
    <t>Beta00042</t>
  </si>
  <si>
    <t>Beta00043</t>
  </si>
  <si>
    <t>Beta00044</t>
  </si>
  <si>
    <t>LSM_050</t>
  </si>
  <si>
    <t>Gamma51</t>
  </si>
  <si>
    <t>Gamma52</t>
  </si>
  <si>
    <t>Gamma53</t>
  </si>
  <si>
    <t>Gamma54</t>
  </si>
  <si>
    <t>Gamma55</t>
  </si>
  <si>
    <t>Gamma56</t>
  </si>
  <si>
    <t>Gamma57</t>
  </si>
  <si>
    <t>Gamma58</t>
  </si>
  <si>
    <t>Gamma59</t>
  </si>
  <si>
    <t>Gamma60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</si>
  <si>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</si>
  <si>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</si>
  <si>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</si>
  <si>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</si>
  <si>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</si>
  <si>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</si>
  <si>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</si>
  <si>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</si>
  <si>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</si>
  <si>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</si>
  <si>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</si>
  <si>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</si>
  <si>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</si>
  <si>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</si>
  <si>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</si>
  <si>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</si>
  <si>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</si>
  <si>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</si>
  <si>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</si>
  <si>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</si>
  <si>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Gamma90</t>
  </si>
  <si>
    <t>Nest</t>
  </si>
  <si>
    <t>Index</t>
  </si>
  <si>
    <t>Name</t>
  </si>
  <si>
    <t>Descr</t>
  </si>
  <si>
    <t>IsPartTimeWorker* workTourLogsum</t>
  </si>
  <si>
    <t>IsFullTimeWorker*workTourLogsum</t>
  </si>
  <si>
    <t>distanceLog</t>
  </si>
  <si>
    <t>parcelParkingDensity</t>
  </si>
  <si>
    <t>c34Ratio</t>
  </si>
  <si>
    <t>destinationParcel.ShadowPriceForEmployment</t>
  </si>
  <si>
    <t>IsNotFullOrPartTimeWorker * workTourLogsum</t>
  </si>
  <si>
    <t>IsFulltimeWorker * distance1</t>
  </si>
  <si>
    <t>IsFulltimeWorker * distance2</t>
  </si>
  <si>
    <t>IsFulltimeWorker * distance3</t>
  </si>
  <si>
    <t>IsPartTimeWorker * distanceLog</t>
  </si>
  <si>
    <t>IsNotFullOrPartTimeWorker * distanceLog</t>
  </si>
  <si>
    <t>Household.Has0To15KIncome * distanceLog</t>
  </si>
  <si>
    <t>Household.Has50To75KIncome * distanceLog</t>
  </si>
  <si>
    <t>Household.Has75To100KIncome * distanceLog</t>
  </si>
  <si>
    <t>IsFemale * distanceLog</t>
  </si>
  <si>
    <t>IsStudentAge * distanceFromSchool</t>
  </si>
  <si>
    <t>IsFulltimeWorker * aggregateLogsum</t>
  </si>
  <si>
    <t>IsPartTimeWorker * aggregateLogsum</t>
  </si>
  <si>
    <t>IsNotFullOrPartTimeWorker * aggregateLogsum</t>
  </si>
  <si>
    <t>Household.HasValidIncome * studentsUniversityBuffer</t>
  </si>
  <si>
    <t>Household.HasValidIncome * destinationParcel.EmploymentService</t>
  </si>
  <si>
    <t>Household.HasValidIncome * destinationParcel.EmploymentEducation</t>
  </si>
  <si>
    <t>Household.HasValidIncome * destinationParcel.EmploymentFood</t>
  </si>
  <si>
    <t>Household.HasValidIncome * destinationParcel.EmploymentGovernment</t>
  </si>
  <si>
    <t>Household.HasValidIncome * destinationParcel.EmploymentOffice</t>
  </si>
  <si>
    <t>Household.HasValidIncome * destinationParcel.EmploymentRetail</t>
  </si>
  <si>
    <t>Household.HasValidIncome * destinationParcel.EmploymentMedical</t>
  </si>
  <si>
    <t>Household.HasValidIncome * employmentIndustrialAgricultureConstruction</t>
  </si>
  <si>
    <t>Household.HasValidIncome * destinationParcel.StudentsUniversity</t>
  </si>
  <si>
    <t>Household.HasIncomeUnder50K * destinationParcel.EmploymentRetail</t>
  </si>
  <si>
    <t>Household.HasIncomeUnder50K * destinationParcel.EmploymentService</t>
  </si>
  <si>
    <t>Household.Has50To75KIncome * destinationParcel.EmploymentMedical</t>
  </si>
  <si>
    <t>Household.Has50To75KIncome * destinationParcel.EmploymentOffice</t>
  </si>
  <si>
    <t>Household.Has75KPlusIncome * destinationParcel.EmploymentEducation</t>
  </si>
  <si>
    <t>Household.Has75KPlusIncome * destinationParcel.EmploymentGovernment</t>
  </si>
  <si>
    <t>Household.Has75KPlusIncome * destinationParcel.EmploymentMedical</t>
  </si>
  <si>
    <t>Household.Has75KPlusIncome * destinationParcel.EmploymentOffice</t>
  </si>
  <si>
    <t>Household.HasMissingIncome * destinationParcel.EmploymentTotal</t>
  </si>
  <si>
    <t>Household.HasMissingIncome * destinationParcel.StudentsUniversity</t>
  </si>
  <si>
    <t>Household.HasValidIncome *IsFulltimeWorker * studentsK12Buffer</t>
  </si>
  <si>
    <t>Household.HasValidIncome *IsFulltimeWorker * studentsUniversityBuffer</t>
  </si>
  <si>
    <t>Household.HasValidIncome *IsPartTimeWorker * industrialAgricultureConstructionBuffer</t>
  </si>
  <si>
    <t>Household.HasValidIncome *IsNotFullOrPartTimeWorker * foodBuffer</t>
  </si>
  <si>
    <t>Household.HasValidIncome *IsNotFullOrPartTimeWorker * medicalBuffer</t>
  </si>
  <si>
    <t>IsFulltimeWorker *Household.Has75KPlusIncome * employmentTotalBuffer</t>
  </si>
  <si>
    <t>IsNotFullOrPartTimeWorker *Household.HasIncomeUnder50K * governmentBuffer</t>
  </si>
  <si>
    <t>IsNotFullOrPartTimeWorker *Household.HasIncomeUnder50K * employmentTotalBuffer</t>
  </si>
  <si>
    <t>Household.HasValidIncome *IsFulltimeWorker * destinationParcel.EmploymentGovernment</t>
  </si>
  <si>
    <t>Household.HasValidIncome *IsFulltimeWorker * employmentIndustrialAgricultureConstruction</t>
  </si>
  <si>
    <t>Household.HasValidIncome *IsPartTimeWorker * employmentIndustrialAgricultureConstruction</t>
  </si>
  <si>
    <t>Household.HasValidIncome *IsNotFullOrPartTimeWorker * destinationParcel.EmploymentEducation</t>
  </si>
  <si>
    <t>Household.HasValidIncome *IsNotFullOrPartTimeWorker * destinationParcel.EmploymentFood</t>
  </si>
  <si>
    <t>Household.HasValidIncome *IsNotFullOrPartTimeWorker * destinationParcel.EmploymentRetail</t>
  </si>
  <si>
    <t>IsFulltimeWorker *Household.Has75KPlusIncome * destinationParcel.EmploymentGovernment</t>
  </si>
  <si>
    <t>IsFulltimeWorker) *Household.Has75KPlusIncome * destinationParcel.EmploymentOffice</t>
  </si>
  <si>
    <t>Household.HasValidIncome * serviceBuffer</t>
  </si>
  <si>
    <t>Household.HasValidIncome * educationBuffer</t>
  </si>
  <si>
    <t>Household.HasValidIncome * foodBuffer</t>
  </si>
  <si>
    <t>Household.HasValidIncome * governmentBuffer</t>
  </si>
  <si>
    <t>Household.HasValidIncome * officeBuffer</t>
  </si>
  <si>
    <t>Household.HasValidIncome * medicalBuffer</t>
  </si>
  <si>
    <t>IsFulltimeWorker * (Household.Has75KPlusIncome) * employmentIndustrialAgricultureConstruction</t>
  </si>
  <si>
    <t>IsPartTimeWorker * (Household.HasIncomeUnder50K) * destinationParcel.EmploymentMedical</t>
  </si>
  <si>
    <t>IsNotFullOrPartTimeWorker * (Household.HasIncomeUnder50K) * destinationParcel.EmploymentRetail</t>
  </si>
  <si>
    <t>Household.HasValidIncome * householdsBuffer</t>
  </si>
  <si>
    <t>IsPartTimeWorker</t>
  </si>
  <si>
    <t>IsStudentAge</t>
  </si>
  <si>
    <t>IsFemale</t>
  </si>
  <si>
    <t>Survey</t>
  </si>
  <si>
    <t>Table X. Observed Worker Flows by County: Survey</t>
  </si>
  <si>
    <t>Table X. Observed Trip Durations: Survey</t>
  </si>
  <si>
    <t>Table X. Weighted Work at Home Counts by County: Survey</t>
  </si>
  <si>
    <t>Table X. Weighted Counts by County: Survey</t>
  </si>
  <si>
    <t>Table X. Weighted Work at Home Shares by County: Survey</t>
  </si>
  <si>
    <t>Table X. Observed Trip Lengths: Survey</t>
  </si>
  <si>
    <t>Survey Preparation</t>
  </si>
  <si>
    <t>In Survey data, persons whose home coordinates matched their usual workplace coordinates were filtered out since this would mean they usually work at home</t>
  </si>
  <si>
    <t>In Survey, PPTYP was used to determine the class of worker whereas in DaySim, PERSTYPE was used</t>
  </si>
  <si>
    <t>Within those, persons with same home and workplace coordinates/parcels (for Survey and DaySim respectively) were assumed to be working at home</t>
  </si>
  <si>
    <t>1 (work from home)</t>
  </si>
  <si>
    <t>0-3.5</t>
  </si>
  <si>
    <t>3.5-10</t>
  </si>
  <si>
    <t>&gt;= 10</t>
  </si>
  <si>
    <t>WFH</t>
  </si>
  <si>
    <t>TOTAL</t>
  </si>
  <si>
    <t>Model</t>
  </si>
  <si>
    <t>Count</t>
  </si>
  <si>
    <t>Ratio (FT)</t>
  </si>
  <si>
    <t>Adj.</t>
  </si>
  <si>
    <t>Old Coeff.</t>
  </si>
  <si>
    <t>New Coeff.</t>
  </si>
  <si>
    <t>Adjustments</t>
  </si>
  <si>
    <t>CoeffIndex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</si>
  <si>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</si>
  <si>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</si>
  <si>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</si>
  <si>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</si>
  <si>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</si>
  <si>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</si>
  <si>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</si>
  <si>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</si>
  <si>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Instructions:</t>
  </si>
  <si>
    <t>Select all(ctrl+A)</t>
  </si>
  <si>
    <t>Go to "Data" --&gt;Text to Columns - Select "Delimited" ---&gt; "Space" ---&gt; Finish</t>
  </si>
  <si>
    <t>Paste in cell A8</t>
  </si>
  <si>
    <t>Old</t>
  </si>
  <si>
    <t>New</t>
  </si>
  <si>
    <t>By: nagendra.dhakar@rsginc.com</t>
  </si>
  <si>
    <t>Observed distance (in miles) based on joining AM peak SOV skim values to HH survey</t>
  </si>
  <si>
    <t>Work From Home</t>
  </si>
  <si>
    <t>Share</t>
  </si>
  <si>
    <t>All Workers</t>
  </si>
  <si>
    <t>Calibration:</t>
  </si>
  <si>
    <t>Calibrate work at home shares first</t>
  </si>
  <si>
    <t>Then distance segmented coefficients</t>
  </si>
  <si>
    <t>out-of-region</t>
  </si>
  <si>
    <t>Observed Sources: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</si>
  <si>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</si>
  <si>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</si>
  <si>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</si>
  <si>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Table X. Average Trip Length (miles)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</si>
  <si>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</si>
  <si>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</si>
  <si>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</si>
  <si>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</si>
  <si>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</si>
  <si>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</si>
  <si>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</si>
  <si>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Open "WorkLocationModel.F12" ini Notepad+</t>
  </si>
  <si>
    <t>Nov</t>
  </si>
  <si>
    <t>Distover20</t>
  </si>
  <si>
    <t>Distover30</t>
  </si>
  <si>
    <t>Distover40</t>
  </si>
  <si>
    <t>Beta00049</t>
  </si>
  <si>
    <t>Gamma89</t>
  </si>
  <si>
    <t>015:25:46</t>
  </si>
  <si>
    <t>DaySim</t>
  </si>
  <si>
    <t>UltraEdit Instructions: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</si>
  <si>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</si>
  <si>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</si>
  <si>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</si>
  <si>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</si>
  <si>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</si>
  <si>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</si>
  <si>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Copy (Ctrl-c) cells W3:W100</t>
  </si>
  <si>
    <t>Open "WorkLocationModel.F12" in UltraEdit</t>
  </si>
  <si>
    <t>Open "WorkLocationModel.F12"</t>
  </si>
  <si>
    <t>Choose column mode and select 4th columns from line 4 to line 81</t>
  </si>
  <si>
    <t>Hold Alt and using mouse select the 4th column from line line 4 to line 81</t>
  </si>
  <si>
    <t>Make sure that you select Col 21 to Col 35</t>
  </si>
  <si>
    <t>Instructions</t>
  </si>
  <si>
    <t>WorkLocationModel.F12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</si>
</sst>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_(* #,##0_);_(* \(#,##0\);_(* &quot;-&quot;??_);_(@_)"/>
    <numFmt numFmtId="168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9">
    <xf numFmtId="0" fontId="0" fillId="0" borderId="0"/>
    <xf numFmtId="0" fontId="2" fillId="0" borderId="0">
      <alignment wrapText="1"/>
    </xf>
    <xf numFmtId="0" fontId="3" fillId="3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9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" fontId="0" fillId="0" borderId="0" xfId="0" applyNumberFormat="1"/>
    <xf numFmtId="1" fontId="0" fillId="0" borderId="1" xfId="0" applyNumberFormat="1" applyBorder="1"/>
    <xf numFmtId="2" fontId="0" fillId="0" borderId="3" xfId="0" applyNumberFormat="1" applyBorder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0" fontId="0" fillId="0" borderId="0" xfId="0" applyFill="1" applyBorder="1" applyAlignment="1">
      <alignment horizontal="center"/>
    </xf>
    <xf numFmtId="3" fontId="0" fillId="0" borderId="0" xfId="0" applyNumberFormat="1" applyFill="1" applyBorder="1"/>
    <xf numFmtId="3" fontId="1" fillId="0" borderId="1" xfId="0" applyNumberFormat="1" applyFont="1" applyBorder="1"/>
    <xf numFmtId="3" fontId="0" fillId="0" borderId="2" xfId="0" applyNumberFormat="1" applyBorder="1" applyAlignment="1">
      <alignment horizontal="center"/>
    </xf>
    <xf numFmtId="3" fontId="0" fillId="0" borderId="2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1" fillId="0" borderId="0" xfId="0" applyFont="1" applyBorder="1"/>
    <xf numFmtId="0" fontId="1" fillId="2" borderId="1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0" xfId="0" applyFill="1"/>
    <xf numFmtId="164" fontId="0" fillId="2" borderId="0" xfId="0" applyNumberFormat="1" applyFill="1"/>
    <xf numFmtId="0" fontId="0" fillId="2" borderId="3" xfId="0" applyFill="1" applyBorder="1"/>
    <xf numFmtId="164" fontId="0" fillId="2" borderId="1" xfId="0" applyNumberFormat="1" applyFill="1" applyBorder="1"/>
    <xf numFmtId="0" fontId="1" fillId="2" borderId="0" xfId="0" applyFont="1" applyFill="1"/>
    <xf numFmtId="0" fontId="0" fillId="2" borderId="2" xfId="0" applyFill="1" applyBorder="1" applyAlignment="1">
      <alignment horizontal="center" vertical="top"/>
    </xf>
    <xf numFmtId="0" fontId="0" fillId="2" borderId="2" xfId="0" applyFill="1" applyBorder="1" applyAlignment="1">
      <alignment horizontal="center"/>
    </xf>
    <xf numFmtId="164" fontId="0" fillId="2" borderId="3" xfId="0" applyNumberFormat="1" applyFill="1" applyBorder="1"/>
    <xf numFmtId="164" fontId="0" fillId="0" borderId="0" xfId="0" applyNumberFormat="1" applyBorder="1"/>
    <xf numFmtId="0" fontId="4" fillId="0" borderId="0" xfId="0" applyFont="1"/>
    <xf numFmtId="164" fontId="0" fillId="2" borderId="4" xfId="0" applyNumberFormat="1" applyFill="1" applyBorder="1"/>
    <xf numFmtId="0" fontId="0" fillId="0" borderId="0" xfId="0" applyFill="1" applyBorder="1"/>
    <xf numFmtId="0" fontId="0" fillId="0" borderId="4" xfId="0" applyBorder="1"/>
    <xf numFmtId="164" fontId="0" fillId="0" borderId="4" xfId="0" applyNumberFormat="1" applyBorder="1"/>
    <xf numFmtId="11" fontId="0" fillId="0" borderId="0" xfId="0" applyNumberFormat="1"/>
    <xf numFmtId="0" fontId="0" fillId="0" borderId="0" xfId="0" applyAlignment="1">
      <alignment horizontal="left"/>
    </xf>
    <xf numFmtId="3" fontId="0" fillId="0" borderId="0" xfId="0" applyNumberFormat="1" applyFont="1"/>
    <xf numFmtId="0" fontId="5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21" fontId="0" fillId="0" borderId="0" xfId="0" applyNumberFormat="1"/>
    <xf numFmtId="166" fontId="0" fillId="0" borderId="0" xfId="0" applyNumberFormat="1"/>
    <xf numFmtId="166" fontId="0" fillId="5" borderId="0" xfId="0" applyNumberFormat="1" applyFill="1"/>
    <xf numFmtId="166" fontId="0" fillId="4" borderId="0" xfId="0" applyNumberFormat="1" applyFill="1"/>
    <xf numFmtId="166" fontId="0" fillId="4" borderId="3" xfId="0" applyNumberFormat="1" applyFill="1" applyBorder="1"/>
    <xf numFmtId="166" fontId="0" fillId="5" borderId="3" xfId="0" applyNumberFormat="1" applyFill="1" applyBorder="1"/>
    <xf numFmtId="166" fontId="0" fillId="6" borderId="0" xfId="0" applyNumberFormat="1" applyFill="1"/>
    <xf numFmtId="0" fontId="1" fillId="0" borderId="0" xfId="0" applyFont="1" applyAlignment="1">
      <alignment horizontal="right"/>
    </xf>
    <xf numFmtId="3" fontId="5" fillId="0" borderId="0" xfId="0" applyNumberFormat="1" applyFont="1" applyFill="1" applyBorder="1"/>
    <xf numFmtId="3" fontId="0" fillId="0" borderId="0" xfId="0" applyNumberFormat="1" applyFont="1" applyFill="1" applyBorder="1"/>
    <xf numFmtId="9" fontId="0" fillId="0" borderId="0" xfId="0" applyNumberFormat="1" applyFill="1" applyBorder="1"/>
    <xf numFmtId="166" fontId="0" fillId="0" borderId="0" xfId="0" applyNumberFormat="1" applyFill="1" applyBorder="1"/>
    <xf numFmtId="2" fontId="0" fillId="0" borderId="0" xfId="0" applyNumberFormat="1" applyFill="1" applyBorder="1"/>
    <xf numFmtId="3" fontId="0" fillId="0" borderId="3" xfId="0" applyNumberFormat="1" applyFont="1" applyBorder="1"/>
    <xf numFmtId="3" fontId="0" fillId="0" borderId="5" xfId="0" applyNumberFormat="1" applyFont="1" applyBorder="1"/>
    <xf numFmtId="3" fontId="0" fillId="0" borderId="4" xfId="0" applyNumberFormat="1" applyFont="1" applyFill="1" applyBorder="1"/>
    <xf numFmtId="9" fontId="0" fillId="0" borderId="0" xfId="0" applyNumberFormat="1"/>
    <xf numFmtId="9" fontId="0" fillId="0" borderId="4" xfId="0" applyNumberFormat="1" applyBorder="1"/>
    <xf numFmtId="0" fontId="0" fillId="0" borderId="0" xfId="0" applyBorder="1" applyAlignment="1">
      <alignment horizontal="center" vertical="top"/>
    </xf>
    <xf numFmtId="0" fontId="1" fillId="0" borderId="0" xfId="0" applyFont="1" applyFill="1" applyBorder="1"/>
    <xf numFmtId="0" fontId="0" fillId="0" borderId="0" xfId="0" applyFill="1" applyBorder="1" applyAlignment="1">
      <alignment horizontal="center" vertical="top"/>
    </xf>
    <xf numFmtId="1" fontId="0" fillId="0" borderId="0" xfId="0" applyNumberFormat="1" applyBorder="1"/>
    <xf numFmtId="9" fontId="0" fillId="0" borderId="4" xfId="0" applyNumberFormat="1" applyFill="1" applyBorder="1"/>
    <xf numFmtId="10" fontId="0" fillId="0" borderId="5" xfId="0" applyNumberFormat="1" applyBorder="1"/>
    <xf numFmtId="10" fontId="0" fillId="0" borderId="0" xfId="0" applyNumberFormat="1"/>
    <xf numFmtId="167" fontId="0" fillId="0" borderId="0" xfId="8" applyNumberFormat="1" applyFont="1"/>
    <xf numFmtId="167" fontId="0" fillId="0" borderId="1" xfId="8" applyNumberFormat="1" applyFont="1" applyBorder="1"/>
    <xf numFmtId="167" fontId="0" fillId="0" borderId="3" xfId="8" applyNumberFormat="1" applyFont="1" applyBorder="1"/>
    <xf numFmtId="167" fontId="0" fillId="0" borderId="4" xfId="8" applyNumberFormat="1" applyFont="1" applyFill="1" applyBorder="1"/>
    <xf numFmtId="168" fontId="0" fillId="0" borderId="0" xfId="0" applyNumberFormat="1"/>
    <xf numFmtId="168" fontId="0" fillId="0" borderId="3" xfId="0" applyNumberFormat="1" applyBorder="1"/>
    <xf numFmtId="168" fontId="0" fillId="0" borderId="4" xfId="0" applyNumberFormat="1" applyBorder="1"/>
    <xf numFmtId="168" fontId="0" fillId="2" borderId="0" xfId="0" applyNumberFormat="1" applyFill="1"/>
    <xf numFmtId="168" fontId="0" fillId="2" borderId="3" xfId="0" applyNumberFormat="1" applyFill="1" applyBorder="1"/>
    <xf numFmtId="168" fontId="0" fillId="2" borderId="1" xfId="0" applyNumberFormat="1" applyFill="1" applyBorder="1"/>
    <xf numFmtId="167" fontId="2" fillId="0" borderId="0" xfId="8" applyNumberFormat="1" applyFont="1" applyAlignment="1"/>
    <xf numFmtId="167" fontId="2" fillId="0" borderId="1" xfId="8" applyNumberFormat="1" applyFont="1" applyBorder="1" applyAlignment="1"/>
    <xf numFmtId="167" fontId="0" fillId="0" borderId="5" xfId="8" applyNumberFormat="1" applyFont="1" applyBorder="1"/>
    <xf numFmtId="0" fontId="4" fillId="0" borderId="3" xfId="0" applyFont="1" applyBorder="1"/>
    <xf numFmtId="0" fontId="4" fillId="0" borderId="6" xfId="0" applyFont="1" applyBorder="1"/>
    <xf numFmtId="0" fontId="4" fillId="0" borderId="0" xfId="0" applyFont="1" applyBorder="1"/>
    <xf numFmtId="0" fontId="5" fillId="7" borderId="0" xfId="0" applyFont="1" applyFill="1"/>
    <xf numFmtId="0" fontId="0" fillId="7" borderId="0" xfId="0" applyFill="1"/>
    <xf numFmtId="166" fontId="0" fillId="7" borderId="0" xfId="0" applyNumberFormat="1" applyFill="1"/>
    <xf numFmtId="0" fontId="5" fillId="0" borderId="0" xfId="0" applyFont="1" applyFill="1" applyBorder="1"/>
    <xf numFmtId="0" fontId="6" fillId="0" borderId="0" xfId="0" applyFont="1"/>
    <xf numFmtId="0" fontId="7" fillId="0" borderId="0" xfId="0" applyFont="1"/>
  </cellXfs>
  <cellStyles count="9">
    <cellStyle name="Comma" xfId="8" builtinId="3"/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TLFD!$E$11:$E$100</c:f>
              <c:numCache>
                <c:formatCode>_(* #,##0_);_(* \(#,##0\);_(* "-"??_);_(@_)</c:formatCode>
                <c:ptCount val="90"/>
                <c:pt idx="0">
                  <c:v>20264.329900000001</c:v>
                </c:pt>
                <c:pt idx="1">
                  <c:v>21498.076100000002</c:v>
                </c:pt>
                <c:pt idx="2">
                  <c:v>39403.924100000004</c:v>
                </c:pt>
                <c:pt idx="3">
                  <c:v>67524.236799999999</c:v>
                </c:pt>
                <c:pt idx="4">
                  <c:v>146317.0773</c:v>
                </c:pt>
                <c:pt idx="5">
                  <c:v>127702.87129999998</c:v>
                </c:pt>
                <c:pt idx="6">
                  <c:v>127908.0227</c:v>
                </c:pt>
                <c:pt idx="7">
                  <c:v>85836.198699999994</c:v>
                </c:pt>
                <c:pt idx="8">
                  <c:v>96747.57680000001</c:v>
                </c:pt>
                <c:pt idx="9">
                  <c:v>66155.274799999999</c:v>
                </c:pt>
                <c:pt idx="10">
                  <c:v>102398.69279999999</c:v>
                </c:pt>
                <c:pt idx="11">
                  <c:v>51989.820099999997</c:v>
                </c:pt>
                <c:pt idx="12">
                  <c:v>44443.831600000005</c:v>
                </c:pt>
                <c:pt idx="13">
                  <c:v>49001.769</c:v>
                </c:pt>
                <c:pt idx="14">
                  <c:v>32925.5573</c:v>
                </c:pt>
                <c:pt idx="15">
                  <c:v>57217.192300000002</c:v>
                </c:pt>
                <c:pt idx="16">
                  <c:v>57391.408599999995</c:v>
                </c:pt>
                <c:pt idx="17">
                  <c:v>48771.441500000001</c:v>
                </c:pt>
                <c:pt idx="18">
                  <c:v>50960.727399999996</c:v>
                </c:pt>
                <c:pt idx="19">
                  <c:v>29182.155699999999</c:v>
                </c:pt>
                <c:pt idx="20">
                  <c:v>23247.704099999999</c:v>
                </c:pt>
                <c:pt idx="21">
                  <c:v>27644.0798</c:v>
                </c:pt>
                <c:pt idx="22">
                  <c:v>19401.318199999998</c:v>
                </c:pt>
                <c:pt idx="23">
                  <c:v>25607.689800000004</c:v>
                </c:pt>
                <c:pt idx="24">
                  <c:v>16664.465</c:v>
                </c:pt>
                <c:pt idx="25">
                  <c:v>20245.723400000003</c:v>
                </c:pt>
                <c:pt idx="26">
                  <c:v>17231.285599999999</c:v>
                </c:pt>
                <c:pt idx="27">
                  <c:v>12210.147500000001</c:v>
                </c:pt>
                <c:pt idx="28">
                  <c:v>10757.364100000001</c:v>
                </c:pt>
                <c:pt idx="29">
                  <c:v>4860.6378999999997</c:v>
                </c:pt>
                <c:pt idx="30">
                  <c:v>6164.0136000000002</c:v>
                </c:pt>
                <c:pt idx="31">
                  <c:v>8317.1468000000004</c:v>
                </c:pt>
                <c:pt idx="32">
                  <c:v>2506.7449000000001</c:v>
                </c:pt>
                <c:pt idx="33">
                  <c:v>4488.1894999999995</c:v>
                </c:pt>
                <c:pt idx="34">
                  <c:v>9138.4742999999999</c:v>
                </c:pt>
                <c:pt idx="35">
                  <c:v>3114.0108999999998</c:v>
                </c:pt>
                <c:pt idx="36">
                  <c:v>10686.0638</c:v>
                </c:pt>
                <c:pt idx="37">
                  <c:v>4518.6202999999996</c:v>
                </c:pt>
                <c:pt idx="38">
                  <c:v>6618.1257999999998</c:v>
                </c:pt>
                <c:pt idx="39">
                  <c:v>5271.9976999999999</c:v>
                </c:pt>
                <c:pt idx="40">
                  <c:v>5068.8937000000005</c:v>
                </c:pt>
                <c:pt idx="41">
                  <c:v>2285.7842000000001</c:v>
                </c:pt>
                <c:pt idx="42">
                  <c:v>820.25800000000004</c:v>
                </c:pt>
                <c:pt idx="43">
                  <c:v>778.78070000000002</c:v>
                </c:pt>
                <c:pt idx="44">
                  <c:v>1850.674</c:v>
                </c:pt>
                <c:pt idx="45">
                  <c:v>1873.7078999999999</c:v>
                </c:pt>
                <c:pt idx="46">
                  <c:v>1525.5855000000001</c:v>
                </c:pt>
                <c:pt idx="47">
                  <c:v>3335.2665999999999</c:v>
                </c:pt>
                <c:pt idx="48">
                  <c:v>2448.1536000000001</c:v>
                </c:pt>
                <c:pt idx="49">
                  <c:v>1198.4344999999998</c:v>
                </c:pt>
                <c:pt idx="50">
                  <c:v>909.77930000000003</c:v>
                </c:pt>
                <c:pt idx="51">
                  <c:v>438.93169999999998</c:v>
                </c:pt>
                <c:pt idx="52">
                  <c:v>1607.8973000000001</c:v>
                </c:pt>
                <c:pt idx="53">
                  <c:v>309.57670000000002</c:v>
                </c:pt>
                <c:pt idx="54">
                  <c:v>783.23289999999997</c:v>
                </c:pt>
                <c:pt idx="55">
                  <c:v>408.2697</c:v>
                </c:pt>
                <c:pt idx="56">
                  <c:v>0</c:v>
                </c:pt>
                <c:pt idx="57">
                  <c:v>203.33840000000001</c:v>
                </c:pt>
                <c:pt idx="58">
                  <c:v>0</c:v>
                </c:pt>
                <c:pt idx="59">
                  <c:v>0</c:v>
                </c:pt>
                <c:pt idx="60">
                  <c:v>657.8338</c:v>
                </c:pt>
                <c:pt idx="61">
                  <c:v>99.508899999999997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249.5401</c:v>
                </c:pt>
                <c:pt idx="66">
                  <c:v>0</c:v>
                </c:pt>
                <c:pt idx="67">
                  <c:v>86.093599999999995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173.22970000000001</c:v>
                </c:pt>
                <c:pt idx="72">
                  <c:v>0</c:v>
                </c:pt>
                <c:pt idx="73">
                  <c:v>0</c:v>
                </c:pt>
                <c:pt idx="74">
                  <c:v>409.13839999999999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212.667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390.53229999999996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8-4FCD-AB4D-9E8925E7D495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TLFD!$K$11:$K$100</c:f>
              <c:numCache>
                <c:formatCode>_(* #,##0_);_(* \(#,##0\);_(* "-"??_);_(@_)</c:formatCode>
                <c:ptCount val="90"/>
                <c:pt idx="0">
                  <c:v>131435.08310087616</c:v>
                </c:pt>
                <c:pt idx="1">
                  <c:v>74753.850721284121</c:v>
                </c:pt>
                <c:pt idx="2">
                  <c:v>48063.282923087681</c:v>
                </c:pt>
                <c:pt idx="3">
                  <c:v>37704.10423589265</c:v>
                </c:pt>
                <c:pt idx="4">
                  <c:v>122445.53494762135</c:v>
                </c:pt>
                <c:pt idx="5">
                  <c:v>115777.71799313053</c:v>
                </c:pt>
                <c:pt idx="6">
                  <c:v>117144.69268360265</c:v>
                </c:pt>
                <c:pt idx="7">
                  <c:v>76630.784570906704</c:v>
                </c:pt>
                <c:pt idx="8">
                  <c:v>89986.189911297057</c:v>
                </c:pt>
                <c:pt idx="9">
                  <c:v>105304.46701113264</c:v>
                </c:pt>
                <c:pt idx="10">
                  <c:v>51477.219286775638</c:v>
                </c:pt>
                <c:pt idx="11">
                  <c:v>65182.161137414136</c:v>
                </c:pt>
                <c:pt idx="12">
                  <c:v>64250.507680258466</c:v>
                </c:pt>
                <c:pt idx="13">
                  <c:v>55881.585079317192</c:v>
                </c:pt>
                <c:pt idx="14">
                  <c:v>42321.665787839229</c:v>
                </c:pt>
                <c:pt idx="15">
                  <c:v>55997.136010772279</c:v>
                </c:pt>
                <c:pt idx="16">
                  <c:v>71497.226271881576</c:v>
                </c:pt>
                <c:pt idx="17">
                  <c:v>47046.432140965684</c:v>
                </c:pt>
                <c:pt idx="18">
                  <c:v>42584.585836871192</c:v>
                </c:pt>
                <c:pt idx="19">
                  <c:v>40628.310175097889</c:v>
                </c:pt>
                <c:pt idx="20">
                  <c:v>34381.861773909848</c:v>
                </c:pt>
                <c:pt idx="21">
                  <c:v>25208.724834771521</c:v>
                </c:pt>
                <c:pt idx="22">
                  <c:v>27649.55308574389</c:v>
                </c:pt>
                <c:pt idx="23">
                  <c:v>32594.130787047136</c:v>
                </c:pt>
                <c:pt idx="24">
                  <c:v>23210.46802379256</c:v>
                </c:pt>
                <c:pt idx="25">
                  <c:v>22267.06113422507</c:v>
                </c:pt>
                <c:pt idx="26">
                  <c:v>18243.138358794804</c:v>
                </c:pt>
                <c:pt idx="27">
                  <c:v>24795.243938186704</c:v>
                </c:pt>
                <c:pt idx="28">
                  <c:v>13694.32492475533</c:v>
                </c:pt>
                <c:pt idx="29">
                  <c:v>16379.948079235302</c:v>
                </c:pt>
                <c:pt idx="30">
                  <c:v>10982.205567137997</c:v>
                </c:pt>
                <c:pt idx="31">
                  <c:v>10167.305946144294</c:v>
                </c:pt>
                <c:pt idx="32">
                  <c:v>12676.769971932272</c:v>
                </c:pt>
                <c:pt idx="33">
                  <c:v>8109.4711091023955</c:v>
                </c:pt>
                <c:pt idx="34">
                  <c:v>7968.6474770589202</c:v>
                </c:pt>
                <c:pt idx="35">
                  <c:v>6713.3049949292117</c:v>
                </c:pt>
                <c:pt idx="36">
                  <c:v>9121.4241767365402</c:v>
                </c:pt>
                <c:pt idx="37">
                  <c:v>7049.631206341387</c:v>
                </c:pt>
                <c:pt idx="38">
                  <c:v>6431.4537879327254</c:v>
                </c:pt>
                <c:pt idx="39">
                  <c:v>5820.2351641596424</c:v>
                </c:pt>
                <c:pt idx="40">
                  <c:v>5484.8047207674472</c:v>
                </c:pt>
                <c:pt idx="41">
                  <c:v>4127.4227044857416</c:v>
                </c:pt>
                <c:pt idx="42">
                  <c:v>3647.2509874053167</c:v>
                </c:pt>
                <c:pt idx="43">
                  <c:v>3377.2149657293967</c:v>
                </c:pt>
                <c:pt idx="44">
                  <c:v>3422.7330060048193</c:v>
                </c:pt>
                <c:pt idx="45">
                  <c:v>4043.6500796942637</c:v>
                </c:pt>
                <c:pt idx="46">
                  <c:v>3438.8138250677507</c:v>
                </c:pt>
                <c:pt idx="47">
                  <c:v>2652.9823022382529</c:v>
                </c:pt>
                <c:pt idx="48">
                  <c:v>1911.295982797735</c:v>
                </c:pt>
                <c:pt idx="49">
                  <c:v>2444.410275464078</c:v>
                </c:pt>
                <c:pt idx="50">
                  <c:v>2660.7761405071337</c:v>
                </c:pt>
                <c:pt idx="51">
                  <c:v>2046.3874214608597</c:v>
                </c:pt>
                <c:pt idx="52">
                  <c:v>1186.9668678167181</c:v>
                </c:pt>
                <c:pt idx="53">
                  <c:v>1125.1956256109554</c:v>
                </c:pt>
                <c:pt idx="54">
                  <c:v>1095.0734155140185</c:v>
                </c:pt>
                <c:pt idx="55">
                  <c:v>593.19530571072039</c:v>
                </c:pt>
                <c:pt idx="56">
                  <c:v>985.98938490383966</c:v>
                </c:pt>
                <c:pt idx="57">
                  <c:v>639.11584940796126</c:v>
                </c:pt>
                <c:pt idx="58">
                  <c:v>1105.7754170445137</c:v>
                </c:pt>
                <c:pt idx="59">
                  <c:v>916.98921381799096</c:v>
                </c:pt>
                <c:pt idx="60">
                  <c:v>307.34236116398188</c:v>
                </c:pt>
                <c:pt idx="61">
                  <c:v>570.93925088337255</c:v>
                </c:pt>
                <c:pt idx="62">
                  <c:v>541.89458326250167</c:v>
                </c:pt>
                <c:pt idx="63">
                  <c:v>326.30716904831741</c:v>
                </c:pt>
                <c:pt idx="64">
                  <c:v>245.37620312528492</c:v>
                </c:pt>
                <c:pt idx="65">
                  <c:v>244.40648311628277</c:v>
                </c:pt>
                <c:pt idx="66">
                  <c:v>354.62491232924486</c:v>
                </c:pt>
                <c:pt idx="67">
                  <c:v>86.512557666274262</c:v>
                </c:pt>
                <c:pt idx="68">
                  <c:v>464.59842585627337</c:v>
                </c:pt>
                <c:pt idx="69">
                  <c:v>355.44306995625362</c:v>
                </c:pt>
                <c:pt idx="70">
                  <c:v>185.72972687094185</c:v>
                </c:pt>
                <c:pt idx="71">
                  <c:v>40.907670654922441</c:v>
                </c:pt>
                <c:pt idx="72">
                  <c:v>80.451179714583375</c:v>
                </c:pt>
                <c:pt idx="73">
                  <c:v>190.41331037973504</c:v>
                </c:pt>
                <c:pt idx="74">
                  <c:v>150.17153399641222</c:v>
                </c:pt>
                <c:pt idx="75">
                  <c:v>140.15641406290578</c:v>
                </c:pt>
                <c:pt idx="76">
                  <c:v>155.33985100828102</c:v>
                </c:pt>
                <c:pt idx="77">
                  <c:v>199.8952595339517</c:v>
                </c:pt>
                <c:pt idx="78">
                  <c:v>120.17994523972348</c:v>
                </c:pt>
                <c:pt idx="79">
                  <c:v>50.019974819980206</c:v>
                </c:pt>
                <c:pt idx="80">
                  <c:v>99.887843441446293</c:v>
                </c:pt>
                <c:pt idx="81">
                  <c:v>49.904526145595533</c:v>
                </c:pt>
                <c:pt idx="82">
                  <c:v>30.15985906862749</c:v>
                </c:pt>
                <c:pt idx="83">
                  <c:v>39.928226029289817</c:v>
                </c:pt>
                <c:pt idx="84">
                  <c:v>79.864636529337616</c:v>
                </c:pt>
                <c:pt idx="85">
                  <c:v>11.0714285714286</c:v>
                </c:pt>
                <c:pt idx="86">
                  <c:v>20.17120387174834</c:v>
                </c:pt>
                <c:pt idx="87">
                  <c:v>9.9905882352941209</c:v>
                </c:pt>
                <c:pt idx="88">
                  <c:v>20.020751064653499</c:v>
                </c:pt>
                <c:pt idx="89">
                  <c:v>150.41006661408693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B8-4FCD-AB4D-9E8925E7D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679872"/>
        <c:axId val="143800512"/>
      </c:lineChart>
      <c:catAx>
        <c:axId val="177679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</a:t>
                </a:r>
                <a:r>
                  <a:rPr lang="en-US" baseline="0"/>
                  <a:t> Length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143800512"/>
        <c:crosses val="autoZero"/>
        <c:auto val="1"/>
        <c:lblAlgn val="ctr"/>
        <c:lblOffset val="100"/>
        <c:tickLblSkip val="10"/>
        <c:noMultiLvlLbl val="0"/>
      </c:catAx>
      <c:valAx>
        <c:axId val="1438005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77679872"/>
        <c:crosses val="autoZero"/>
        <c:crossBetween val="between"/>
        <c:majorUnit val="10000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TDFD!$E$11:$E$99</c:f>
              <c:numCache>
                <c:formatCode>_(* #,##0_);_(* \(#,##0\);_(* "-"??_);_(@_)</c:formatCode>
                <c:ptCount val="89"/>
                <c:pt idx="0">
                  <c:v>1749.8561</c:v>
                </c:pt>
                <c:pt idx="1">
                  <c:v>1563.9394</c:v>
                </c:pt>
                <c:pt idx="2">
                  <c:v>3436.9750000000004</c:v>
                </c:pt>
                <c:pt idx="3">
                  <c:v>3217.1254000000004</c:v>
                </c:pt>
                <c:pt idx="4">
                  <c:v>4822.9379000000008</c:v>
                </c:pt>
                <c:pt idx="5">
                  <c:v>8814.4494000000013</c:v>
                </c:pt>
                <c:pt idx="6">
                  <c:v>11329.8863</c:v>
                </c:pt>
                <c:pt idx="7">
                  <c:v>9593.5120999999999</c:v>
                </c:pt>
                <c:pt idx="8">
                  <c:v>9594.7385999999988</c:v>
                </c:pt>
                <c:pt idx="9">
                  <c:v>10122.237599999999</c:v>
                </c:pt>
                <c:pt idx="10">
                  <c:v>9156.1455999999998</c:v>
                </c:pt>
                <c:pt idx="11">
                  <c:v>11386.465700000001</c:v>
                </c:pt>
                <c:pt idx="12">
                  <c:v>15593.082899999999</c:v>
                </c:pt>
                <c:pt idx="13">
                  <c:v>14050.112800000001</c:v>
                </c:pt>
                <c:pt idx="14">
                  <c:v>13511.747000000001</c:v>
                </c:pt>
                <c:pt idx="15">
                  <c:v>9006.6046999999999</c:v>
                </c:pt>
                <c:pt idx="16">
                  <c:v>31916.5808</c:v>
                </c:pt>
                <c:pt idx="17">
                  <c:v>11694.7947</c:v>
                </c:pt>
                <c:pt idx="18">
                  <c:v>69856.116699999999</c:v>
                </c:pt>
                <c:pt idx="19">
                  <c:v>46545.2359</c:v>
                </c:pt>
                <c:pt idx="20">
                  <c:v>52492.310600000004</c:v>
                </c:pt>
                <c:pt idx="21">
                  <c:v>65054.901299999998</c:v>
                </c:pt>
                <c:pt idx="22">
                  <c:v>75186.108900000007</c:v>
                </c:pt>
                <c:pt idx="23">
                  <c:v>44267.285400000008</c:v>
                </c:pt>
                <c:pt idx="24">
                  <c:v>54954.671399999999</c:v>
                </c:pt>
                <c:pt idx="25">
                  <c:v>32822.534399999997</c:v>
                </c:pt>
                <c:pt idx="26">
                  <c:v>56536.269400000005</c:v>
                </c:pt>
                <c:pt idx="27">
                  <c:v>28055.590100000001</c:v>
                </c:pt>
                <c:pt idx="28">
                  <c:v>44049.678</c:v>
                </c:pt>
                <c:pt idx="29">
                  <c:v>38797.257799999999</c:v>
                </c:pt>
                <c:pt idx="30">
                  <c:v>39833.397300000004</c:v>
                </c:pt>
                <c:pt idx="31">
                  <c:v>44499.426800000001</c:v>
                </c:pt>
                <c:pt idx="32">
                  <c:v>29417.1548</c:v>
                </c:pt>
                <c:pt idx="33">
                  <c:v>34446.718399999998</c:v>
                </c:pt>
                <c:pt idx="34">
                  <c:v>29593.220599999997</c:v>
                </c:pt>
                <c:pt idx="35">
                  <c:v>35997.081500000008</c:v>
                </c:pt>
                <c:pt idx="36">
                  <c:v>23241.725299999998</c:v>
                </c:pt>
                <c:pt idx="37">
                  <c:v>36018.2497</c:v>
                </c:pt>
                <c:pt idx="38">
                  <c:v>41938.6158</c:v>
                </c:pt>
                <c:pt idx="39">
                  <c:v>24629.4378</c:v>
                </c:pt>
                <c:pt idx="40">
                  <c:v>30362.376899999999</c:v>
                </c:pt>
                <c:pt idx="41">
                  <c:v>19718.136400000003</c:v>
                </c:pt>
                <c:pt idx="42">
                  <c:v>13922.301600000001</c:v>
                </c:pt>
                <c:pt idx="43">
                  <c:v>26292.555800000002</c:v>
                </c:pt>
                <c:pt idx="44">
                  <c:v>13571.024300000001</c:v>
                </c:pt>
                <c:pt idx="45">
                  <c:v>58567.300199999998</c:v>
                </c:pt>
                <c:pt idx="46">
                  <c:v>27199.726999999999</c:v>
                </c:pt>
                <c:pt idx="47">
                  <c:v>19486.4539</c:v>
                </c:pt>
                <c:pt idx="48">
                  <c:v>10510.8845</c:v>
                </c:pt>
                <c:pt idx="49">
                  <c:v>13485.471500000001</c:v>
                </c:pt>
                <c:pt idx="50">
                  <c:v>12578.897500000001</c:v>
                </c:pt>
                <c:pt idx="51">
                  <c:v>7213.9838999999993</c:v>
                </c:pt>
                <c:pt idx="52">
                  <c:v>15913.1338</c:v>
                </c:pt>
                <c:pt idx="53">
                  <c:v>11756.250599999999</c:v>
                </c:pt>
                <c:pt idx="54">
                  <c:v>17745.181499999999</c:v>
                </c:pt>
                <c:pt idx="55">
                  <c:v>17102.0684</c:v>
                </c:pt>
                <c:pt idx="56">
                  <c:v>4920.5766000000003</c:v>
                </c:pt>
                <c:pt idx="57">
                  <c:v>6304.8389000000006</c:v>
                </c:pt>
                <c:pt idx="58">
                  <c:v>8214.6607000000004</c:v>
                </c:pt>
                <c:pt idx="59">
                  <c:v>9918.0873000000011</c:v>
                </c:pt>
                <c:pt idx="60">
                  <c:v>8470.482</c:v>
                </c:pt>
                <c:pt idx="61">
                  <c:v>3640.9245000000001</c:v>
                </c:pt>
                <c:pt idx="62">
                  <c:v>5550.2362000000003</c:v>
                </c:pt>
                <c:pt idx="63">
                  <c:v>4767.6255000000001</c:v>
                </c:pt>
                <c:pt idx="64">
                  <c:v>4111.7543999999998</c:v>
                </c:pt>
                <c:pt idx="65">
                  <c:v>5529.9278999999997</c:v>
                </c:pt>
                <c:pt idx="66">
                  <c:v>3616.7132999999999</c:v>
                </c:pt>
                <c:pt idx="67">
                  <c:v>6548.6219999999994</c:v>
                </c:pt>
                <c:pt idx="68">
                  <c:v>1439.4110000000001</c:v>
                </c:pt>
                <c:pt idx="69">
                  <c:v>3474.9076999999997</c:v>
                </c:pt>
                <c:pt idx="70">
                  <c:v>4436.3371999999999</c:v>
                </c:pt>
                <c:pt idx="71">
                  <c:v>2496.1585</c:v>
                </c:pt>
                <c:pt idx="72">
                  <c:v>3398.3818000000001</c:v>
                </c:pt>
                <c:pt idx="73">
                  <c:v>4769.9728999999998</c:v>
                </c:pt>
                <c:pt idx="74">
                  <c:v>7155.2539999999999</c:v>
                </c:pt>
                <c:pt idx="75">
                  <c:v>5734.0851000000002</c:v>
                </c:pt>
                <c:pt idx="76">
                  <c:v>4475.7957000000006</c:v>
                </c:pt>
                <c:pt idx="77">
                  <c:v>10738.303400000001</c:v>
                </c:pt>
                <c:pt idx="78">
                  <c:v>3202.0333999999998</c:v>
                </c:pt>
                <c:pt idx="79">
                  <c:v>2215.9219000000003</c:v>
                </c:pt>
                <c:pt idx="80">
                  <c:v>2565.0070999999998</c:v>
                </c:pt>
                <c:pt idx="81">
                  <c:v>2435.2476999999999</c:v>
                </c:pt>
                <c:pt idx="82">
                  <c:v>1395.6977999999999</c:v>
                </c:pt>
                <c:pt idx="83">
                  <c:v>917.6108999999999</c:v>
                </c:pt>
                <c:pt idx="84">
                  <c:v>504.58879999999999</c:v>
                </c:pt>
                <c:pt idx="85">
                  <c:v>1985.5875999999998</c:v>
                </c:pt>
                <c:pt idx="86">
                  <c:v>217.6002</c:v>
                </c:pt>
                <c:pt idx="87">
                  <c:v>1132.8924</c:v>
                </c:pt>
                <c:pt idx="88">
                  <c:v>343.47710000000001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4F-4399-8968-4B25EFE6F2E1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TDFD!$K$11:$K$99</c:f>
              <c:numCache>
                <c:formatCode>_(* #,##0_);_(* \(#,##0\);_(* "-"??_);_(@_)</c:formatCode>
                <c:ptCount val="89"/>
                <c:pt idx="0">
                  <c:v>59866.354366024723</c:v>
                </c:pt>
                <c:pt idx="1">
                  <c:v>14591.798111127344</c:v>
                </c:pt>
                <c:pt idx="2">
                  <c:v>18313.475479093948</c:v>
                </c:pt>
                <c:pt idx="3">
                  <c:v>19116.483586520641</c:v>
                </c:pt>
                <c:pt idx="4">
                  <c:v>19899.619324184539</c:v>
                </c:pt>
                <c:pt idx="5">
                  <c:v>20872.956195592473</c:v>
                </c:pt>
                <c:pt idx="6">
                  <c:v>21709.491031816477</c:v>
                </c:pt>
                <c:pt idx="7">
                  <c:v>19676.841731027176</c:v>
                </c:pt>
                <c:pt idx="8">
                  <c:v>16520.986005342511</c:v>
                </c:pt>
                <c:pt idx="9">
                  <c:v>15959.16531670828</c:v>
                </c:pt>
                <c:pt idx="10">
                  <c:v>14388.726384936546</c:v>
                </c:pt>
                <c:pt idx="11">
                  <c:v>13114.876867197379</c:v>
                </c:pt>
                <c:pt idx="12">
                  <c:v>13305.928551785641</c:v>
                </c:pt>
                <c:pt idx="13">
                  <c:v>12201.43502037607</c:v>
                </c:pt>
                <c:pt idx="14">
                  <c:v>11538.752521490327</c:v>
                </c:pt>
                <c:pt idx="15">
                  <c:v>10707.323028591127</c:v>
                </c:pt>
                <c:pt idx="16">
                  <c:v>9908.9302554155984</c:v>
                </c:pt>
                <c:pt idx="17">
                  <c:v>10458.789513264728</c:v>
                </c:pt>
                <c:pt idx="18">
                  <c:v>71890.080339366454</c:v>
                </c:pt>
                <c:pt idx="19">
                  <c:v>32314.55338149604</c:v>
                </c:pt>
                <c:pt idx="20">
                  <c:v>32315.283305679965</c:v>
                </c:pt>
                <c:pt idx="21">
                  <c:v>50423.56262884396</c:v>
                </c:pt>
                <c:pt idx="22">
                  <c:v>54394.08716620387</c:v>
                </c:pt>
                <c:pt idx="23">
                  <c:v>54471.812642945915</c:v>
                </c:pt>
                <c:pt idx="24">
                  <c:v>44939.027087702671</c:v>
                </c:pt>
                <c:pt idx="25">
                  <c:v>47157.325224312423</c:v>
                </c:pt>
                <c:pt idx="26">
                  <c:v>46189.021067868183</c:v>
                </c:pt>
                <c:pt idx="27">
                  <c:v>42244.478686903138</c:v>
                </c:pt>
                <c:pt idx="28">
                  <c:v>45123.323831515969</c:v>
                </c:pt>
                <c:pt idx="29">
                  <c:v>51938.464557694941</c:v>
                </c:pt>
                <c:pt idx="30">
                  <c:v>46671.996127123661</c:v>
                </c:pt>
                <c:pt idx="31">
                  <c:v>44227.18238079713</c:v>
                </c:pt>
                <c:pt idx="32">
                  <c:v>34441.412979940833</c:v>
                </c:pt>
                <c:pt idx="33">
                  <c:v>37242.955688481255</c:v>
                </c:pt>
                <c:pt idx="34">
                  <c:v>50416.309020980065</c:v>
                </c:pt>
                <c:pt idx="35">
                  <c:v>37240.492300662569</c:v>
                </c:pt>
                <c:pt idx="36">
                  <c:v>41465.922382156736</c:v>
                </c:pt>
                <c:pt idx="37">
                  <c:v>32190.084050401267</c:v>
                </c:pt>
                <c:pt idx="38">
                  <c:v>25532.896981647918</c:v>
                </c:pt>
                <c:pt idx="39">
                  <c:v>35253.542503657533</c:v>
                </c:pt>
                <c:pt idx="40">
                  <c:v>33287.347007902194</c:v>
                </c:pt>
                <c:pt idx="41">
                  <c:v>26897.692227171912</c:v>
                </c:pt>
                <c:pt idx="42">
                  <c:v>27085.858372013034</c:v>
                </c:pt>
                <c:pt idx="43">
                  <c:v>23424.40296587472</c:v>
                </c:pt>
                <c:pt idx="44">
                  <c:v>19643.575741597724</c:v>
                </c:pt>
                <c:pt idx="45">
                  <c:v>21506.007228121878</c:v>
                </c:pt>
                <c:pt idx="46">
                  <c:v>29840.308917703449</c:v>
                </c:pt>
                <c:pt idx="47">
                  <c:v>20863.700866385017</c:v>
                </c:pt>
                <c:pt idx="48">
                  <c:v>21888.927970851619</c:v>
                </c:pt>
                <c:pt idx="49">
                  <c:v>15289.18127013459</c:v>
                </c:pt>
                <c:pt idx="50">
                  <c:v>13372.952822776728</c:v>
                </c:pt>
                <c:pt idx="51">
                  <c:v>15581.459937210315</c:v>
                </c:pt>
                <c:pt idx="52">
                  <c:v>19095.801127277609</c:v>
                </c:pt>
                <c:pt idx="53">
                  <c:v>10839.69682210204</c:v>
                </c:pt>
                <c:pt idx="54">
                  <c:v>10239.378429525126</c:v>
                </c:pt>
                <c:pt idx="55">
                  <c:v>13840.274389605149</c:v>
                </c:pt>
                <c:pt idx="56">
                  <c:v>11468.61034960715</c:v>
                </c:pt>
                <c:pt idx="57">
                  <c:v>11353.353451441973</c:v>
                </c:pt>
                <c:pt idx="58">
                  <c:v>11747.469625422469</c:v>
                </c:pt>
                <c:pt idx="59">
                  <c:v>11908.493767518148</c:v>
                </c:pt>
                <c:pt idx="60">
                  <c:v>11001.437365686672</c:v>
                </c:pt>
                <c:pt idx="61">
                  <c:v>6871.6584411053982</c:v>
                </c:pt>
                <c:pt idx="62">
                  <c:v>15378.864835732335</c:v>
                </c:pt>
                <c:pt idx="63">
                  <c:v>9827.7137532049655</c:v>
                </c:pt>
                <c:pt idx="64">
                  <c:v>5684.1914769480554</c:v>
                </c:pt>
                <c:pt idx="65">
                  <c:v>8668.6400328571672</c:v>
                </c:pt>
                <c:pt idx="66">
                  <c:v>6397.3221177103824</c:v>
                </c:pt>
                <c:pt idx="67">
                  <c:v>6603.1602573930431</c:v>
                </c:pt>
                <c:pt idx="68">
                  <c:v>3757.55407345602</c:v>
                </c:pt>
                <c:pt idx="69">
                  <c:v>4027.4570757634069</c:v>
                </c:pt>
                <c:pt idx="70">
                  <c:v>5266.7340523444009</c:v>
                </c:pt>
                <c:pt idx="71">
                  <c:v>4639.4129035000879</c:v>
                </c:pt>
                <c:pt idx="72">
                  <c:v>4488.9966522877739</c:v>
                </c:pt>
                <c:pt idx="73">
                  <c:v>3550.7861649655001</c:v>
                </c:pt>
                <c:pt idx="74">
                  <c:v>3648.0012956865612</c:v>
                </c:pt>
                <c:pt idx="75">
                  <c:v>4012.9612970333146</c:v>
                </c:pt>
                <c:pt idx="76">
                  <c:v>3346.9535569315012</c:v>
                </c:pt>
                <c:pt idx="77">
                  <c:v>2091.6870337111613</c:v>
                </c:pt>
                <c:pt idx="78">
                  <c:v>6481.4492090308813</c:v>
                </c:pt>
                <c:pt idx="79">
                  <c:v>2414.9011448436536</c:v>
                </c:pt>
                <c:pt idx="80">
                  <c:v>1895.3095717893978</c:v>
                </c:pt>
                <c:pt idx="81">
                  <c:v>1535.2775480210182</c:v>
                </c:pt>
                <c:pt idx="82">
                  <c:v>1796.6751509872774</c:v>
                </c:pt>
                <c:pt idx="83">
                  <c:v>1374.2953528513092</c:v>
                </c:pt>
                <c:pt idx="84">
                  <c:v>1375.8333178801056</c:v>
                </c:pt>
                <c:pt idx="85">
                  <c:v>1928.2463229636953</c:v>
                </c:pt>
                <c:pt idx="86">
                  <c:v>1230.3391639869326</c:v>
                </c:pt>
                <c:pt idx="87">
                  <c:v>1492.6298454570233</c:v>
                </c:pt>
                <c:pt idx="88">
                  <c:v>2280.1265116644086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4F-4399-8968-4B25EFE6F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627968"/>
        <c:axId val="192520192"/>
      </c:lineChart>
      <c:catAx>
        <c:axId val="156627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(mins)</a:t>
                </a:r>
              </a:p>
            </c:rich>
          </c:tx>
          <c:overlay val="0"/>
        </c:title>
        <c:majorTickMark val="out"/>
        <c:minorTickMark val="none"/>
        <c:tickLblPos val="nextTo"/>
        <c:crossAx val="192520192"/>
        <c:crosses val="autoZero"/>
        <c:auto val="1"/>
        <c:lblAlgn val="ctr"/>
        <c:lblOffset val="100"/>
        <c:tickLblSkip val="10"/>
        <c:noMultiLvlLbl val="0"/>
      </c:catAx>
      <c:valAx>
        <c:axId val="192520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Persons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566279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9524</xdr:colOff>
      <xdr:row>16</xdr:row>
      <xdr:rowOff>123825</xdr:rowOff>
    </xdr:from>
    <xdr:to>
      <xdr:col>22</xdr:col>
      <xdr:colOff>114299</xdr:colOff>
      <xdr:row>33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28575</xdr:colOff>
      <xdr:row>15</xdr:row>
      <xdr:rowOff>171450</xdr:rowOff>
    </xdr:from>
    <xdr:to>
      <xdr:col>21</xdr:col>
      <xdr:colOff>333375</xdr:colOff>
      <xdr:row>32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01"/>
  <sheetViews>
    <sheetView tabSelected="1" workbookViewId="0">
      <selection activeCell="Q10" sqref="Q10"/>
    </sheetView>
  </sheetViews>
  <sheetFormatPr defaultRowHeight="15" x14ac:dyDescent="0.25"/>
  <cols>
    <col min="1" max="1" width="13.5703125" customWidth="1" collapsed="1"/>
    <col min="2" max="3" width="10.5703125" bestFit="1" customWidth="1" collapsed="1"/>
    <col min="4" max="4" width="9.5703125" bestFit="1" customWidth="1" collapsed="1"/>
    <col min="5" max="5" width="10.5703125" bestFit="1" customWidth="1" collapsed="1"/>
    <col min="8" max="8" width="10.5703125" bestFit="1" customWidth="1" collapsed="1"/>
    <col min="9" max="10" width="9.5703125" bestFit="1" customWidth="1" collapsed="1"/>
    <col min="11" max="11" width="11.5703125" bestFit="1" customWidth="1" collapsed="1"/>
    <col min="15" max="15" width="15.7109375" bestFit="1" customWidth="1" collapsed="1"/>
  </cols>
  <sheetData>
    <row r="1" spans="1:23" x14ac:dyDescent="0.25">
      <c r="A1" t="s">
        <v>1</v>
      </c>
    </row>
    <row r="2" spans="1:23" x14ac:dyDescent="0.25">
      <c r="A2" t="s">
        <v>261</v>
      </c>
    </row>
    <row r="3" spans="1:23" x14ac:dyDescent="0.25">
      <c r="A3" t="s">
        <v>253</v>
      </c>
    </row>
    <row r="4" spans="1:23" x14ac:dyDescent="0.25">
      <c r="A4" t="s">
        <v>5</v>
      </c>
    </row>
    <row r="5" spans="1:23" x14ac:dyDescent="0.25">
      <c r="A5" t="s">
        <v>6</v>
      </c>
    </row>
    <row r="7" spans="1:23" x14ac:dyDescent="0.25">
      <c r="A7" t="s">
        <v>12</v>
      </c>
    </row>
    <row r="9" spans="1:23" ht="15.75" thickBot="1" x14ac:dyDescent="0.3">
      <c r="A9" s="4" t="s">
        <v>219</v>
      </c>
      <c r="B9" s="1"/>
      <c r="C9" s="1"/>
      <c r="D9" s="1"/>
      <c r="E9" s="1"/>
      <c r="G9" s="4" t="s">
        <v>13</v>
      </c>
      <c r="H9" s="1"/>
      <c r="I9" s="1"/>
      <c r="J9" s="1"/>
      <c r="K9" s="1"/>
      <c r="M9" s="36" t="s">
        <v>265</v>
      </c>
      <c r="N9" s="32"/>
      <c r="O9" s="32"/>
    </row>
    <row r="10" spans="1:23" x14ac:dyDescent="0.25">
      <c r="A10" s="2" t="s">
        <v>3</v>
      </c>
      <c r="B10" s="5" t="s">
        <v>9</v>
      </c>
      <c r="C10" s="5" t="s">
        <v>10</v>
      </c>
      <c r="D10" s="5" t="s">
        <v>11</v>
      </c>
      <c r="E10" s="5" t="s">
        <v>213</v>
      </c>
      <c r="G10" s="2" t="s">
        <v>3</v>
      </c>
      <c r="H10" s="5" t="s">
        <v>9</v>
      </c>
      <c r="I10" s="5" t="s">
        <v>10</v>
      </c>
      <c r="J10" s="5" t="s">
        <v>11</v>
      </c>
      <c r="K10" s="37" t="s">
        <v>281</v>
      </c>
      <c r="M10" s="31"/>
      <c r="N10" s="37" t="s">
        <v>213</v>
      </c>
      <c r="O10" s="37" t="s">
        <v>281</v>
      </c>
    </row>
    <row r="11" spans="1:23" x14ac:dyDescent="0.25">
      <c r="A11">
        <v>0</v>
      </c>
      <c r="B11" s="77">
        <v>13577.965899999999</v>
      </c>
      <c r="C11" s="77">
        <v>6018.6153000000004</v>
      </c>
      <c r="D11" s="77">
        <v>667.74869999999999</v>
      </c>
      <c r="E11" s="77">
        <f>SUM(B11:D11)</f>
        <v>20264.329900000001</v>
      </c>
      <c r="G11">
        <v>0</v>
      </c>
      <c r="H11" s="87">
        <v>79074.970518848058</v>
      </c>
      <c r="I11" s="87">
        <v>39828.445416289804</v>
      </c>
      <c r="J11" s="87">
        <v>12336.563957241455</v>
      </c>
      <c r="K11" s="77">
        <f>SUM(H11:J11)</f>
        <v>131239.97989237931</v>
      </c>
      <c r="M11" s="32" t="s">
        <v>9</v>
      </c>
      <c r="N11" s="84">
        <v>12.702560755941155</v>
      </c>
      <c r="O11" s="84">
        <v>13.993488310721091</v>
      </c>
    </row>
    <row r="12" spans="1:23" x14ac:dyDescent="0.25">
      <c r="A12">
        <v>1</v>
      </c>
      <c r="B12" s="77">
        <v>16417.4791</v>
      </c>
      <c r="C12" s="77">
        <v>4526.9610999999995</v>
      </c>
      <c r="D12" s="77">
        <v>553.63589999999999</v>
      </c>
      <c r="E12" s="77">
        <f t="shared" ref="E12:E75" si="0">SUM(B12:D12)</f>
        <v>21498.076100000002</v>
      </c>
      <c r="G12">
        <v>1</v>
      </c>
      <c r="H12" s="87">
        <v>45379.965970481629</v>
      </c>
      <c r="I12" s="87">
        <v>22730.668579637477</v>
      </c>
      <c r="J12" s="87">
        <v>6931.6403629535343</v>
      </c>
      <c r="K12" s="77">
        <f t="shared" ref="K12:K75" si="1">SUM(H12:J12)</f>
        <v>75042.274913072644</v>
      </c>
      <c r="M12" s="32" t="s">
        <v>10</v>
      </c>
      <c r="N12" s="84">
        <v>9.2825961433544322</v>
      </c>
      <c r="O12" s="84">
        <v>9.8582487601503495</v>
      </c>
    </row>
    <row r="13" spans="1:23" x14ac:dyDescent="0.25">
      <c r="A13">
        <v>2</v>
      </c>
      <c r="B13" s="77">
        <v>30547.1067</v>
      </c>
      <c r="C13" s="77">
        <v>8433.3842999999997</v>
      </c>
      <c r="D13" s="77">
        <v>423.43310000000002</v>
      </c>
      <c r="E13" s="77">
        <f t="shared" si="0"/>
        <v>39403.924100000004</v>
      </c>
      <c r="G13">
        <v>2</v>
      </c>
      <c r="H13" s="87">
        <v>31454.797790201184</v>
      </c>
      <c r="I13" s="87">
        <v>12769.188901902635</v>
      </c>
      <c r="J13" s="87">
        <v>3375.3377410757653</v>
      </c>
      <c r="K13" s="77">
        <f t="shared" si="1"/>
        <v>47599.324433179587</v>
      </c>
      <c r="M13" s="34" t="s">
        <v>11</v>
      </c>
      <c r="N13" s="85">
        <v>10.444926044299041</v>
      </c>
      <c r="O13" s="85">
        <v>8.7215666033679486</v>
      </c>
    </row>
    <row r="14" spans="1:23" ht="15.75" thickBot="1" x14ac:dyDescent="0.3">
      <c r="A14">
        <v>3</v>
      </c>
      <c r="B14" s="77">
        <v>48136.774700000002</v>
      </c>
      <c r="C14" s="77">
        <v>17205.885999999999</v>
      </c>
      <c r="D14" s="77">
        <v>2181.5761000000002</v>
      </c>
      <c r="E14" s="77">
        <f t="shared" si="0"/>
        <v>67524.236799999999</v>
      </c>
      <c r="G14">
        <v>3</v>
      </c>
      <c r="H14" s="87">
        <v>26336.460134381618</v>
      </c>
      <c r="I14" s="87">
        <v>8988.0583552315784</v>
      </c>
      <c r="J14" s="87">
        <v>2502.4750565954564</v>
      </c>
      <c r="K14" s="77">
        <f t="shared" si="1"/>
        <v>37826.993546208658</v>
      </c>
      <c r="M14" s="30" t="s">
        <v>4</v>
      </c>
      <c r="N14" s="86">
        <v>12.072905095245609</v>
      </c>
      <c r="O14" s="86">
        <v>12.985313368654758</v>
      </c>
      <c r="S14" s="9"/>
    </row>
    <row r="15" spans="1:23" x14ac:dyDescent="0.25">
      <c r="A15">
        <v>4</v>
      </c>
      <c r="B15" s="77">
        <v>110467.3749</v>
      </c>
      <c r="C15" s="77">
        <v>32819.742899999997</v>
      </c>
      <c r="D15" s="77">
        <v>3029.9594999999999</v>
      </c>
      <c r="E15" s="77">
        <f t="shared" si="0"/>
        <v>146317.0773</v>
      </c>
      <c r="G15">
        <v>4</v>
      </c>
      <c r="H15" s="87">
        <v>82558.256056459621</v>
      </c>
      <c r="I15" s="87">
        <v>30927.881148168508</v>
      </c>
      <c r="J15" s="87">
        <v>9081.1059348962553</v>
      </c>
      <c r="K15" s="77">
        <f t="shared" si="1"/>
        <v>122567.24313952439</v>
      </c>
      <c r="W15" s="9"/>
    </row>
    <row r="16" spans="1:23" x14ac:dyDescent="0.25">
      <c r="A16">
        <v>5</v>
      </c>
      <c r="B16" s="77">
        <v>96104.918999999994</v>
      </c>
      <c r="C16" s="77">
        <v>27881.999599999999</v>
      </c>
      <c r="D16" s="77">
        <v>3715.9526999999998</v>
      </c>
      <c r="E16" s="77">
        <f t="shared" si="0"/>
        <v>127702.87129999998</v>
      </c>
      <c r="G16">
        <v>5</v>
      </c>
      <c r="H16" s="87">
        <v>88610.759069715248</v>
      </c>
      <c r="I16" s="87">
        <v>24143.308457656578</v>
      </c>
      <c r="J16" s="87">
        <v>7168.3822349863794</v>
      </c>
      <c r="K16" s="77">
        <f t="shared" si="1"/>
        <v>119922.4497623582</v>
      </c>
      <c r="W16" s="9"/>
    </row>
    <row r="17" spans="1:23" x14ac:dyDescent="0.25">
      <c r="A17">
        <v>6</v>
      </c>
      <c r="B17" s="77">
        <v>94775.942999999999</v>
      </c>
      <c r="C17" s="77">
        <v>24184.678400000001</v>
      </c>
      <c r="D17" s="77">
        <v>8947.4012999999995</v>
      </c>
      <c r="E17" s="77">
        <f t="shared" si="0"/>
        <v>127908.0227</v>
      </c>
      <c r="G17">
        <v>6</v>
      </c>
      <c r="H17" s="87">
        <v>83924.674845182279</v>
      </c>
      <c r="I17" s="87">
        <v>23402.549069112058</v>
      </c>
      <c r="J17" s="87">
        <v>7280.9720952015086</v>
      </c>
      <c r="K17" s="77">
        <f t="shared" si="1"/>
        <v>114608.19600949583</v>
      </c>
      <c r="W17" s="9"/>
    </row>
    <row r="18" spans="1:23" x14ac:dyDescent="0.25">
      <c r="A18">
        <v>7</v>
      </c>
      <c r="B18" s="77">
        <v>69450.040999999997</v>
      </c>
      <c r="C18" s="77">
        <v>13457.1823</v>
      </c>
      <c r="D18" s="77">
        <v>2928.9753999999998</v>
      </c>
      <c r="E18" s="77">
        <f t="shared" si="0"/>
        <v>85836.198699999994</v>
      </c>
      <c r="G18">
        <v>7</v>
      </c>
      <c r="H18" s="87">
        <v>57818.687307587039</v>
      </c>
      <c r="I18" s="87">
        <v>14323.300863268209</v>
      </c>
      <c r="J18" s="87">
        <v>4566.9071567465298</v>
      </c>
      <c r="K18" s="77">
        <f t="shared" si="1"/>
        <v>76708.895327601771</v>
      </c>
      <c r="W18" s="9"/>
    </row>
    <row r="19" spans="1:23" x14ac:dyDescent="0.25">
      <c r="A19">
        <v>8</v>
      </c>
      <c r="B19" s="77">
        <v>75065.762900000002</v>
      </c>
      <c r="C19" s="77">
        <v>18367.185399999998</v>
      </c>
      <c r="D19" s="77">
        <v>3314.6284999999998</v>
      </c>
      <c r="E19" s="77">
        <f t="shared" si="0"/>
        <v>96747.57680000001</v>
      </c>
      <c r="G19">
        <v>8</v>
      </c>
      <c r="H19" s="87">
        <v>73225.970116829543</v>
      </c>
      <c r="I19" s="87">
        <v>18727.243334185689</v>
      </c>
      <c r="J19" s="87">
        <v>4803.4905423291375</v>
      </c>
      <c r="K19" s="77">
        <f t="shared" si="1"/>
        <v>96756.703993344374</v>
      </c>
      <c r="W19" s="9"/>
    </row>
    <row r="20" spans="1:23" x14ac:dyDescent="0.25">
      <c r="A20">
        <v>9</v>
      </c>
      <c r="B20" s="77">
        <v>53774.466399999998</v>
      </c>
      <c r="C20" s="77">
        <v>10951.333000000001</v>
      </c>
      <c r="D20" s="77">
        <v>1429.4754</v>
      </c>
      <c r="E20" s="77">
        <f t="shared" si="0"/>
        <v>66155.274799999999</v>
      </c>
      <c r="G20">
        <v>9</v>
      </c>
      <c r="H20" s="87">
        <v>78289.61488606692</v>
      </c>
      <c r="I20" s="87">
        <v>15730.167068018733</v>
      </c>
      <c r="J20" s="87">
        <v>4663.5022684020787</v>
      </c>
      <c r="K20" s="77">
        <f t="shared" si="1"/>
        <v>98683.284222487739</v>
      </c>
      <c r="W20" s="9"/>
    </row>
    <row r="21" spans="1:23" x14ac:dyDescent="0.25">
      <c r="A21">
        <v>10</v>
      </c>
      <c r="B21" s="77">
        <v>74298.293099999995</v>
      </c>
      <c r="C21" s="77">
        <v>20573.445800000001</v>
      </c>
      <c r="D21" s="77">
        <v>7526.9539000000004</v>
      </c>
      <c r="E21" s="77">
        <f t="shared" si="0"/>
        <v>102398.69279999999</v>
      </c>
      <c r="G21">
        <v>10</v>
      </c>
      <c r="H21" s="87">
        <v>44435.41960688262</v>
      </c>
      <c r="I21" s="87">
        <v>9311.912808363395</v>
      </c>
      <c r="J21" s="87">
        <v>2537.3507987885055</v>
      </c>
      <c r="K21" s="77">
        <f t="shared" si="1"/>
        <v>56284.683214034514</v>
      </c>
      <c r="W21" s="9"/>
    </row>
    <row r="22" spans="1:23" x14ac:dyDescent="0.25">
      <c r="A22">
        <v>11</v>
      </c>
      <c r="B22" s="77">
        <v>44184.7673</v>
      </c>
      <c r="C22" s="77">
        <v>6478.6017000000002</v>
      </c>
      <c r="D22" s="77">
        <v>1326.4511</v>
      </c>
      <c r="E22" s="77">
        <f t="shared" si="0"/>
        <v>51989.820099999997</v>
      </c>
      <c r="G22">
        <v>11</v>
      </c>
      <c r="H22" s="87">
        <v>47269.024001409511</v>
      </c>
      <c r="I22" s="87">
        <v>9322.1779759755027</v>
      </c>
      <c r="J22" s="87">
        <v>2601.7145512686266</v>
      </c>
      <c r="K22" s="77">
        <f t="shared" si="1"/>
        <v>59192.916528653637</v>
      </c>
      <c r="W22" s="9"/>
    </row>
    <row r="23" spans="1:23" x14ac:dyDescent="0.25">
      <c r="A23">
        <v>12</v>
      </c>
      <c r="B23" s="77">
        <v>36714.749400000001</v>
      </c>
      <c r="C23" s="77">
        <v>6172.3181999999997</v>
      </c>
      <c r="D23" s="77">
        <v>1556.7639999999999</v>
      </c>
      <c r="E23" s="77">
        <f t="shared" si="0"/>
        <v>44443.831600000005</v>
      </c>
      <c r="G23">
        <v>12</v>
      </c>
      <c r="H23" s="87">
        <v>53156.311407493413</v>
      </c>
      <c r="I23" s="87">
        <v>9589.1072966871179</v>
      </c>
      <c r="J23" s="87">
        <v>2461.9616039692455</v>
      </c>
      <c r="K23" s="77">
        <f t="shared" si="1"/>
        <v>65207.380308149775</v>
      </c>
      <c r="W23" s="9"/>
    </row>
    <row r="24" spans="1:23" x14ac:dyDescent="0.25">
      <c r="A24">
        <v>13</v>
      </c>
      <c r="B24" s="77">
        <v>42048.206899999997</v>
      </c>
      <c r="C24" s="77">
        <v>4861.9567999999999</v>
      </c>
      <c r="D24" s="77">
        <v>2091.6053000000002</v>
      </c>
      <c r="E24" s="77">
        <f t="shared" si="0"/>
        <v>49001.769</v>
      </c>
      <c r="G24">
        <v>13</v>
      </c>
      <c r="H24" s="87">
        <v>46168.353950559795</v>
      </c>
      <c r="I24" s="87">
        <v>8263.1180145595536</v>
      </c>
      <c r="J24" s="87">
        <v>2148.1252931936538</v>
      </c>
      <c r="K24" s="77">
        <f t="shared" si="1"/>
        <v>56579.597258312999</v>
      </c>
      <c r="W24" s="9"/>
    </row>
    <row r="25" spans="1:23" x14ac:dyDescent="0.25">
      <c r="A25">
        <v>14</v>
      </c>
      <c r="B25" s="77">
        <v>27911.8554</v>
      </c>
      <c r="C25" s="77">
        <v>4189.3711000000003</v>
      </c>
      <c r="D25" s="77">
        <v>824.33079999999995</v>
      </c>
      <c r="E25" s="77">
        <f t="shared" si="0"/>
        <v>32925.5573</v>
      </c>
      <c r="G25">
        <v>14</v>
      </c>
      <c r="H25" s="87">
        <v>44132.89062800799</v>
      </c>
      <c r="I25" s="87">
        <v>9038.9145307155886</v>
      </c>
      <c r="J25" s="87">
        <v>2142.8996399951429</v>
      </c>
      <c r="K25" s="77">
        <f t="shared" si="1"/>
        <v>55314.704798718725</v>
      </c>
      <c r="W25" s="9"/>
    </row>
    <row r="26" spans="1:23" x14ac:dyDescent="0.25">
      <c r="A26">
        <v>15</v>
      </c>
      <c r="B26" s="77">
        <v>43795.48</v>
      </c>
      <c r="C26" s="77">
        <v>9687.0342999999993</v>
      </c>
      <c r="D26" s="77">
        <v>3734.6779999999999</v>
      </c>
      <c r="E26" s="77">
        <f t="shared" si="0"/>
        <v>57217.192300000002</v>
      </c>
      <c r="G26">
        <v>15</v>
      </c>
      <c r="H26" s="87">
        <v>35626.721775881946</v>
      </c>
      <c r="I26" s="87">
        <v>6739.1717202252112</v>
      </c>
      <c r="J26" s="87">
        <v>1698.0052401935877</v>
      </c>
      <c r="K26" s="77">
        <f t="shared" si="1"/>
        <v>44063.898736300747</v>
      </c>
      <c r="W26" s="9"/>
    </row>
    <row r="27" spans="1:23" x14ac:dyDescent="0.25">
      <c r="A27">
        <v>16</v>
      </c>
      <c r="B27" s="77">
        <v>47275.222099999999</v>
      </c>
      <c r="C27" s="77">
        <v>8527.8348000000005</v>
      </c>
      <c r="D27" s="77">
        <v>1588.3516999999999</v>
      </c>
      <c r="E27" s="77">
        <f t="shared" si="0"/>
        <v>57391.408599999995</v>
      </c>
      <c r="G27">
        <v>16</v>
      </c>
      <c r="H27" s="87">
        <v>63912.174626882697</v>
      </c>
      <c r="I27" s="87">
        <v>10348.526604196488</v>
      </c>
      <c r="J27" s="87">
        <v>2718.3162895079613</v>
      </c>
      <c r="K27" s="77">
        <f t="shared" si="1"/>
        <v>76979.017520587149</v>
      </c>
      <c r="W27" s="9"/>
    </row>
    <row r="28" spans="1:23" x14ac:dyDescent="0.25">
      <c r="A28">
        <v>17</v>
      </c>
      <c r="B28" s="77">
        <v>41405.630400000002</v>
      </c>
      <c r="C28" s="77">
        <v>7084.5149000000001</v>
      </c>
      <c r="D28" s="77">
        <v>281.2962</v>
      </c>
      <c r="E28" s="77">
        <f t="shared" si="0"/>
        <v>48771.441500000001</v>
      </c>
      <c r="G28">
        <v>17</v>
      </c>
      <c r="H28" s="87">
        <v>34328.671734686759</v>
      </c>
      <c r="I28" s="87">
        <v>5781.6493151951936</v>
      </c>
      <c r="J28" s="87">
        <v>1375.2673651067198</v>
      </c>
      <c r="K28" s="77">
        <f t="shared" si="1"/>
        <v>41485.58841498867</v>
      </c>
      <c r="W28" s="9"/>
    </row>
    <row r="29" spans="1:23" x14ac:dyDescent="0.25">
      <c r="A29">
        <v>18</v>
      </c>
      <c r="B29" s="77">
        <v>43232.222600000001</v>
      </c>
      <c r="C29" s="77">
        <v>6231.8757000000005</v>
      </c>
      <c r="D29" s="77">
        <v>1496.6290999999999</v>
      </c>
      <c r="E29" s="77">
        <f t="shared" si="0"/>
        <v>50960.727399999996</v>
      </c>
      <c r="G29">
        <v>18</v>
      </c>
      <c r="H29" s="87">
        <v>32741.492740035425</v>
      </c>
      <c r="I29" s="87">
        <v>4890.4879115076365</v>
      </c>
      <c r="J29" s="87">
        <v>1188.5383479988345</v>
      </c>
      <c r="K29" s="77">
        <f t="shared" si="1"/>
        <v>38820.518999541899</v>
      </c>
      <c r="W29" s="9"/>
    </row>
    <row r="30" spans="1:23" x14ac:dyDescent="0.25">
      <c r="A30">
        <v>19</v>
      </c>
      <c r="B30" s="77">
        <v>26729.179899999999</v>
      </c>
      <c r="C30" s="77">
        <v>2294.7582000000002</v>
      </c>
      <c r="D30" s="77">
        <v>158.2176</v>
      </c>
      <c r="E30" s="77">
        <f t="shared" si="0"/>
        <v>29182.155699999999</v>
      </c>
      <c r="G30">
        <v>19</v>
      </c>
      <c r="H30" s="87">
        <v>35960.146525808334</v>
      </c>
      <c r="I30" s="87">
        <v>5102.269831165333</v>
      </c>
      <c r="J30" s="87">
        <v>1258.8209394086582</v>
      </c>
      <c r="K30" s="77">
        <f t="shared" si="1"/>
        <v>42321.237296382329</v>
      </c>
      <c r="W30" s="9"/>
    </row>
    <row r="31" spans="1:23" x14ac:dyDescent="0.25">
      <c r="A31">
        <v>20</v>
      </c>
      <c r="B31" s="77">
        <v>21173.263800000001</v>
      </c>
      <c r="C31" s="77">
        <v>1642.6358</v>
      </c>
      <c r="D31" s="77">
        <v>431.80449999999996</v>
      </c>
      <c r="E31" s="77">
        <f t="shared" si="0"/>
        <v>23247.704099999999</v>
      </c>
      <c r="G31">
        <v>20</v>
      </c>
      <c r="H31" s="87">
        <v>35488.609845683502</v>
      </c>
      <c r="I31" s="87">
        <v>5150.9133458924598</v>
      </c>
      <c r="J31" s="87">
        <v>1170.0066499973395</v>
      </c>
      <c r="K31" s="77">
        <f t="shared" si="1"/>
        <v>41809.529841573305</v>
      </c>
      <c r="W31" s="9"/>
    </row>
    <row r="32" spans="1:23" x14ac:dyDescent="0.25">
      <c r="A32">
        <v>21</v>
      </c>
      <c r="B32" s="77">
        <v>26602.582200000001</v>
      </c>
      <c r="C32" s="77">
        <v>916.41229999999996</v>
      </c>
      <c r="D32" s="77">
        <v>125.08529999999999</v>
      </c>
      <c r="E32" s="77">
        <f t="shared" si="0"/>
        <v>27644.0798</v>
      </c>
      <c r="G32">
        <v>21</v>
      </c>
      <c r="H32" s="87">
        <v>20557.88001968123</v>
      </c>
      <c r="I32" s="87">
        <v>2916.82347176453</v>
      </c>
      <c r="J32" s="87">
        <v>682.55416009726287</v>
      </c>
      <c r="K32" s="77">
        <f t="shared" si="1"/>
        <v>24157.257651543026</v>
      </c>
      <c r="W32" s="9"/>
    </row>
    <row r="33" spans="1:23" x14ac:dyDescent="0.25">
      <c r="A33">
        <v>22</v>
      </c>
      <c r="B33" s="77">
        <v>17899.601200000001</v>
      </c>
      <c r="C33" s="77">
        <v>1210.3886</v>
      </c>
      <c r="D33" s="77">
        <v>291.32839999999999</v>
      </c>
      <c r="E33" s="77">
        <f t="shared" si="0"/>
        <v>19401.318199999998</v>
      </c>
      <c r="G33">
        <v>22</v>
      </c>
      <c r="H33" s="87">
        <v>23953.97760798327</v>
      </c>
      <c r="I33" s="87">
        <v>3364.5041340362391</v>
      </c>
      <c r="J33" s="87">
        <v>728.41843782963326</v>
      </c>
      <c r="K33" s="77">
        <f t="shared" si="1"/>
        <v>28046.900179849144</v>
      </c>
      <c r="W33" s="9"/>
    </row>
    <row r="34" spans="1:23" x14ac:dyDescent="0.25">
      <c r="A34">
        <v>23</v>
      </c>
      <c r="B34" s="77">
        <v>22191.390200000002</v>
      </c>
      <c r="C34" s="77">
        <v>3158.1215000000002</v>
      </c>
      <c r="D34" s="77">
        <v>258.17809999999997</v>
      </c>
      <c r="E34" s="77">
        <f t="shared" si="0"/>
        <v>25607.689800000004</v>
      </c>
      <c r="G34">
        <v>23</v>
      </c>
      <c r="H34" s="87">
        <v>21956.015395564806</v>
      </c>
      <c r="I34" s="87">
        <v>2738.8985110547865</v>
      </c>
      <c r="J34" s="87">
        <v>633.85264001417056</v>
      </c>
      <c r="K34" s="77">
        <f t="shared" si="1"/>
        <v>25328.766546633764</v>
      </c>
      <c r="W34" s="9"/>
    </row>
    <row r="35" spans="1:23" x14ac:dyDescent="0.25">
      <c r="A35">
        <v>24</v>
      </c>
      <c r="B35" s="77">
        <v>15331.7325</v>
      </c>
      <c r="C35" s="77">
        <v>1332.7325000000001</v>
      </c>
      <c r="D35" s="77">
        <v>0</v>
      </c>
      <c r="E35" s="77">
        <f t="shared" si="0"/>
        <v>16664.465</v>
      </c>
      <c r="G35">
        <v>24</v>
      </c>
      <c r="H35" s="87">
        <v>20179.066869130216</v>
      </c>
      <c r="I35" s="87">
        <v>2156.9465329342006</v>
      </c>
      <c r="J35" s="87">
        <v>557.42107853515631</v>
      </c>
      <c r="K35" s="77">
        <f t="shared" si="1"/>
        <v>22893.434480599575</v>
      </c>
      <c r="W35" s="9"/>
    </row>
    <row r="36" spans="1:23" x14ac:dyDescent="0.25">
      <c r="A36">
        <v>25</v>
      </c>
      <c r="B36" s="77">
        <v>18954.232500000002</v>
      </c>
      <c r="C36" s="77">
        <v>1291.4909</v>
      </c>
      <c r="D36" s="77">
        <v>0</v>
      </c>
      <c r="E36" s="77">
        <f t="shared" si="0"/>
        <v>20245.723400000003</v>
      </c>
      <c r="G36">
        <v>25</v>
      </c>
      <c r="H36" s="87">
        <v>19556.996968645341</v>
      </c>
      <c r="I36" s="87">
        <v>2352.1168992926705</v>
      </c>
      <c r="J36" s="87">
        <v>415.99684667396366</v>
      </c>
      <c r="K36" s="77">
        <f t="shared" si="1"/>
        <v>22325.110714611972</v>
      </c>
      <c r="W36" s="9"/>
    </row>
    <row r="37" spans="1:23" x14ac:dyDescent="0.25">
      <c r="A37">
        <v>26</v>
      </c>
      <c r="B37" s="77">
        <v>15467.329</v>
      </c>
      <c r="C37" s="77">
        <v>394.4873</v>
      </c>
      <c r="D37" s="77">
        <v>1369.4693000000002</v>
      </c>
      <c r="E37" s="77">
        <f t="shared" si="0"/>
        <v>17231.285599999999</v>
      </c>
      <c r="G37">
        <v>26</v>
      </c>
      <c r="H37" s="87">
        <v>17226.260694107623</v>
      </c>
      <c r="I37" s="87">
        <v>2210.4789457317606</v>
      </c>
      <c r="J37" s="87">
        <v>463.96954122009544</v>
      </c>
      <c r="K37" s="77">
        <f t="shared" si="1"/>
        <v>19900.709181059479</v>
      </c>
      <c r="W37" s="9"/>
    </row>
    <row r="38" spans="1:23" x14ac:dyDescent="0.25">
      <c r="A38">
        <v>27</v>
      </c>
      <c r="B38" s="77">
        <v>11571.3982</v>
      </c>
      <c r="C38" s="77">
        <v>473.82550000000003</v>
      </c>
      <c r="D38" s="77">
        <v>164.9238</v>
      </c>
      <c r="E38" s="77">
        <f t="shared" si="0"/>
        <v>12210.147500000001</v>
      </c>
      <c r="G38">
        <v>27</v>
      </c>
      <c r="H38" s="87">
        <v>20137.823107894554</v>
      </c>
      <c r="I38" s="87">
        <v>2775.7887968721998</v>
      </c>
      <c r="J38" s="87">
        <v>544.22786968967625</v>
      </c>
      <c r="K38" s="77">
        <f t="shared" si="1"/>
        <v>23457.839774456428</v>
      </c>
      <c r="W38" s="9"/>
    </row>
    <row r="39" spans="1:23" x14ac:dyDescent="0.25">
      <c r="A39">
        <v>28</v>
      </c>
      <c r="B39" s="77">
        <v>9574.3783000000003</v>
      </c>
      <c r="C39" s="77">
        <v>1182.9857999999999</v>
      </c>
      <c r="D39" s="77">
        <v>0</v>
      </c>
      <c r="E39" s="77">
        <f t="shared" si="0"/>
        <v>10757.364100000001</v>
      </c>
      <c r="G39">
        <v>28</v>
      </c>
      <c r="H39" s="87">
        <v>10837.212410220656</v>
      </c>
      <c r="I39" s="87">
        <v>1349.6496920064687</v>
      </c>
      <c r="J39" s="87">
        <v>245.90181634017927</v>
      </c>
      <c r="K39" s="77">
        <f t="shared" si="1"/>
        <v>12432.763918567305</v>
      </c>
      <c r="W39" s="9"/>
    </row>
    <row r="40" spans="1:23" x14ac:dyDescent="0.25">
      <c r="A40">
        <v>29</v>
      </c>
      <c r="B40" s="77">
        <v>4207.8454000000002</v>
      </c>
      <c r="C40" s="77">
        <v>342.00299999999999</v>
      </c>
      <c r="D40" s="77">
        <v>310.78949999999998</v>
      </c>
      <c r="E40" s="77">
        <f t="shared" si="0"/>
        <v>4860.6378999999997</v>
      </c>
      <c r="G40">
        <v>29</v>
      </c>
      <c r="H40" s="87">
        <v>14695.369568372051</v>
      </c>
      <c r="I40" s="87">
        <v>1542.1253383882963</v>
      </c>
      <c r="J40" s="87">
        <v>341.34622075275348</v>
      </c>
      <c r="K40" s="77">
        <f t="shared" si="1"/>
        <v>16578.8411275131</v>
      </c>
      <c r="W40" s="9"/>
    </row>
    <row r="41" spans="1:23" x14ac:dyDescent="0.25">
      <c r="A41">
        <v>30</v>
      </c>
      <c r="B41" s="77">
        <v>4956.5909000000001</v>
      </c>
      <c r="C41" s="77">
        <v>1057.8468</v>
      </c>
      <c r="D41" s="77">
        <v>149.57589999999999</v>
      </c>
      <c r="E41" s="77">
        <f t="shared" si="0"/>
        <v>6164.0136000000002</v>
      </c>
      <c r="G41">
        <v>30</v>
      </c>
      <c r="H41" s="87">
        <v>10207.120026700743</v>
      </c>
      <c r="I41" s="87">
        <v>1536.2433352458881</v>
      </c>
      <c r="J41" s="87">
        <v>193.13731371519492</v>
      </c>
      <c r="K41" s="77">
        <f t="shared" si="1"/>
        <v>11936.500675661826</v>
      </c>
      <c r="W41" s="9"/>
    </row>
    <row r="42" spans="1:23" x14ac:dyDescent="0.25">
      <c r="A42">
        <v>31</v>
      </c>
      <c r="B42" s="77">
        <v>7420.6661999999997</v>
      </c>
      <c r="C42" s="77">
        <v>896.48059999999998</v>
      </c>
      <c r="D42" s="77">
        <v>0</v>
      </c>
      <c r="E42" s="77">
        <f t="shared" si="0"/>
        <v>8317.1468000000004</v>
      </c>
      <c r="G42">
        <v>31</v>
      </c>
      <c r="H42" s="87">
        <v>11284.535107338817</v>
      </c>
      <c r="I42" s="87">
        <v>1514.7158815744122</v>
      </c>
      <c r="J42" s="87">
        <v>295.85890990662489</v>
      </c>
      <c r="K42" s="77">
        <f t="shared" si="1"/>
        <v>13095.109898819854</v>
      </c>
      <c r="W42" s="9"/>
    </row>
    <row r="43" spans="1:23" x14ac:dyDescent="0.25">
      <c r="A43">
        <v>32</v>
      </c>
      <c r="B43" s="77">
        <v>2142.3544000000002</v>
      </c>
      <c r="C43" s="77">
        <v>364.39049999999997</v>
      </c>
      <c r="D43" s="77">
        <v>0</v>
      </c>
      <c r="E43" s="77">
        <f t="shared" si="0"/>
        <v>2506.7449000000001</v>
      </c>
      <c r="G43">
        <v>32</v>
      </c>
      <c r="H43" s="87">
        <v>8037.7355570262716</v>
      </c>
      <c r="I43" s="87">
        <v>1128.8863175570984</v>
      </c>
      <c r="J43" s="87">
        <v>142.15812347721351</v>
      </c>
      <c r="K43" s="77">
        <f t="shared" si="1"/>
        <v>9308.7799980605832</v>
      </c>
      <c r="W43" s="9"/>
    </row>
    <row r="44" spans="1:23" x14ac:dyDescent="0.25">
      <c r="A44">
        <v>33</v>
      </c>
      <c r="B44" s="77">
        <v>4324.4279999999999</v>
      </c>
      <c r="C44" s="77">
        <v>163.76150000000001</v>
      </c>
      <c r="D44" s="77">
        <v>0</v>
      </c>
      <c r="E44" s="77">
        <f t="shared" si="0"/>
        <v>4488.1894999999995</v>
      </c>
      <c r="G44">
        <v>33</v>
      </c>
      <c r="H44" s="87">
        <v>7486.2664341517648</v>
      </c>
      <c r="I44" s="87">
        <v>892.34939109979575</v>
      </c>
      <c r="J44" s="87">
        <v>129.24801509219074</v>
      </c>
      <c r="K44" s="77">
        <f t="shared" si="1"/>
        <v>8507.8638403437508</v>
      </c>
      <c r="W44" s="9"/>
    </row>
    <row r="45" spans="1:23" x14ac:dyDescent="0.25">
      <c r="A45">
        <v>34</v>
      </c>
      <c r="B45" s="77">
        <v>8539.1839999999993</v>
      </c>
      <c r="C45" s="77">
        <v>0</v>
      </c>
      <c r="D45" s="77">
        <v>599.2903</v>
      </c>
      <c r="E45" s="77">
        <f t="shared" si="0"/>
        <v>9138.4742999999999</v>
      </c>
      <c r="G45">
        <v>34</v>
      </c>
      <c r="H45" s="87">
        <v>7115.3548248334273</v>
      </c>
      <c r="I45" s="87">
        <v>823.89271092114711</v>
      </c>
      <c r="J45" s="87">
        <v>264.74442406475947</v>
      </c>
      <c r="K45" s="77">
        <f t="shared" si="1"/>
        <v>8203.9919598193337</v>
      </c>
      <c r="W45" s="9"/>
    </row>
    <row r="46" spans="1:23" x14ac:dyDescent="0.25">
      <c r="A46">
        <v>35</v>
      </c>
      <c r="B46" s="77">
        <v>3114.0108999999998</v>
      </c>
      <c r="C46" s="77">
        <v>0</v>
      </c>
      <c r="D46" s="77">
        <v>0</v>
      </c>
      <c r="E46" s="77">
        <f t="shared" si="0"/>
        <v>3114.0108999999998</v>
      </c>
      <c r="G46">
        <v>35</v>
      </c>
      <c r="H46" s="87">
        <v>7501.5903132289477</v>
      </c>
      <c r="I46" s="87">
        <v>1090.0831291173708</v>
      </c>
      <c r="J46" s="87">
        <v>122.56456481376408</v>
      </c>
      <c r="K46" s="77">
        <f t="shared" si="1"/>
        <v>8714.2380071600819</v>
      </c>
      <c r="W46" s="9"/>
    </row>
    <row r="47" spans="1:23" x14ac:dyDescent="0.25">
      <c r="A47">
        <v>36</v>
      </c>
      <c r="B47" s="77">
        <v>10686.0638</v>
      </c>
      <c r="C47" s="77">
        <v>0</v>
      </c>
      <c r="D47" s="77">
        <v>0</v>
      </c>
      <c r="E47" s="77">
        <f t="shared" si="0"/>
        <v>10686.0638</v>
      </c>
      <c r="G47">
        <v>36</v>
      </c>
      <c r="H47" s="87">
        <v>7102.5601402385792</v>
      </c>
      <c r="I47" s="87">
        <v>780.28406471200628</v>
      </c>
      <c r="J47" s="87">
        <v>176.39888663721248</v>
      </c>
      <c r="K47" s="77">
        <f t="shared" si="1"/>
        <v>8059.2430915877985</v>
      </c>
      <c r="W47" s="9"/>
    </row>
    <row r="48" spans="1:23" x14ac:dyDescent="0.25">
      <c r="A48">
        <v>37</v>
      </c>
      <c r="B48" s="77">
        <v>4518.6202999999996</v>
      </c>
      <c r="C48" s="77">
        <v>0</v>
      </c>
      <c r="D48" s="77">
        <v>0</v>
      </c>
      <c r="E48" s="77">
        <f t="shared" si="0"/>
        <v>4518.6202999999996</v>
      </c>
      <c r="G48">
        <v>37</v>
      </c>
      <c r="H48" s="87">
        <v>5222.1764154918883</v>
      </c>
      <c r="I48" s="87">
        <v>731.99228410003059</v>
      </c>
      <c r="J48" s="87">
        <v>83.706244386129896</v>
      </c>
      <c r="K48" s="77">
        <f t="shared" si="1"/>
        <v>6037.8749439780486</v>
      </c>
      <c r="W48" s="9"/>
    </row>
    <row r="49" spans="1:23" x14ac:dyDescent="0.25">
      <c r="A49">
        <v>38</v>
      </c>
      <c r="B49" s="77">
        <v>5133.4409999999998</v>
      </c>
      <c r="C49" s="77">
        <v>1226.5317</v>
      </c>
      <c r="D49" s="77">
        <v>258.15309999999999</v>
      </c>
      <c r="E49" s="77">
        <f t="shared" si="0"/>
        <v>6618.1257999999998</v>
      </c>
      <c r="G49">
        <v>38</v>
      </c>
      <c r="H49" s="87">
        <v>5776.2927137509296</v>
      </c>
      <c r="I49" s="87">
        <v>573.45693613641731</v>
      </c>
      <c r="J49" s="87">
        <v>85.03888875498518</v>
      </c>
      <c r="K49" s="77">
        <f t="shared" si="1"/>
        <v>6434.7885386423322</v>
      </c>
      <c r="W49" s="9"/>
    </row>
    <row r="50" spans="1:23" x14ac:dyDescent="0.25">
      <c r="A50">
        <v>39</v>
      </c>
      <c r="B50" s="77">
        <v>4463.5300999999999</v>
      </c>
      <c r="C50" s="77">
        <v>426.04829999999998</v>
      </c>
      <c r="D50" s="77">
        <v>382.41930000000002</v>
      </c>
      <c r="E50" s="77">
        <f t="shared" si="0"/>
        <v>5271.9976999999999</v>
      </c>
      <c r="G50">
        <v>39</v>
      </c>
      <c r="H50" s="87">
        <v>4447.7245439686358</v>
      </c>
      <c r="I50" s="87">
        <v>517.91186213778167</v>
      </c>
      <c r="J50" s="87">
        <v>107.3436344481251</v>
      </c>
      <c r="K50" s="77">
        <f t="shared" si="1"/>
        <v>5072.9800405545429</v>
      </c>
      <c r="W50" s="9"/>
    </row>
    <row r="51" spans="1:23" x14ac:dyDescent="0.25">
      <c r="A51">
        <v>40</v>
      </c>
      <c r="B51" s="77">
        <v>4850.2659000000003</v>
      </c>
      <c r="C51" s="77">
        <v>0</v>
      </c>
      <c r="D51" s="77">
        <v>218.62780000000001</v>
      </c>
      <c r="E51" s="77">
        <f t="shared" si="0"/>
        <v>5068.8937000000005</v>
      </c>
      <c r="G51">
        <v>40</v>
      </c>
      <c r="H51" s="87">
        <v>5432.9839013823776</v>
      </c>
      <c r="I51" s="87">
        <v>657.48962716629239</v>
      </c>
      <c r="J51" s="87">
        <v>95.494426888185984</v>
      </c>
      <c r="K51" s="77">
        <f t="shared" si="1"/>
        <v>6185.9679554368558</v>
      </c>
      <c r="W51" s="9"/>
    </row>
    <row r="52" spans="1:23" x14ac:dyDescent="0.25">
      <c r="A52">
        <v>41</v>
      </c>
      <c r="B52" s="77">
        <v>2198.2316000000001</v>
      </c>
      <c r="C52" s="77">
        <v>87.552599999999998</v>
      </c>
      <c r="D52" s="77">
        <v>0</v>
      </c>
      <c r="E52" s="77">
        <f t="shared" si="0"/>
        <v>2285.7842000000001</v>
      </c>
      <c r="G52">
        <v>41</v>
      </c>
      <c r="H52" s="87">
        <v>3556.5630364091571</v>
      </c>
      <c r="I52" s="87">
        <v>261.68144548045262</v>
      </c>
      <c r="J52" s="87">
        <v>83.14420394317149</v>
      </c>
      <c r="K52" s="77">
        <f t="shared" si="1"/>
        <v>3901.388685832781</v>
      </c>
      <c r="W52" s="9"/>
    </row>
    <row r="53" spans="1:23" x14ac:dyDescent="0.25">
      <c r="A53">
        <v>42</v>
      </c>
      <c r="B53" s="77">
        <v>763.28449999999998</v>
      </c>
      <c r="C53" s="77">
        <v>56.973500000000001</v>
      </c>
      <c r="D53" s="77">
        <v>0</v>
      </c>
      <c r="E53" s="77">
        <f t="shared" si="0"/>
        <v>820.25800000000004</v>
      </c>
      <c r="G53">
        <v>42</v>
      </c>
      <c r="H53" s="87">
        <v>3249.8899309186813</v>
      </c>
      <c r="I53" s="87">
        <v>267.43878216890391</v>
      </c>
      <c r="J53" s="87">
        <v>56.279391773616361</v>
      </c>
      <c r="K53" s="77">
        <f t="shared" si="1"/>
        <v>3573.6081048612014</v>
      </c>
      <c r="W53" s="9"/>
    </row>
    <row r="54" spans="1:23" x14ac:dyDescent="0.25">
      <c r="A54">
        <v>43</v>
      </c>
      <c r="B54" s="77">
        <v>778.78070000000002</v>
      </c>
      <c r="C54" s="77">
        <v>0</v>
      </c>
      <c r="D54" s="77">
        <v>0</v>
      </c>
      <c r="E54" s="77">
        <f t="shared" si="0"/>
        <v>778.78070000000002</v>
      </c>
      <c r="G54">
        <v>43</v>
      </c>
      <c r="H54" s="87">
        <v>2763.462104355965</v>
      </c>
      <c r="I54" s="87">
        <v>264.14660298197498</v>
      </c>
      <c r="J54" s="87">
        <v>72.456939597331967</v>
      </c>
      <c r="K54" s="77">
        <f t="shared" si="1"/>
        <v>3100.0656469352721</v>
      </c>
      <c r="W54" s="9"/>
    </row>
    <row r="55" spans="1:23" x14ac:dyDescent="0.25">
      <c r="A55">
        <v>44</v>
      </c>
      <c r="B55" s="77">
        <v>1850.674</v>
      </c>
      <c r="C55" s="77">
        <v>0</v>
      </c>
      <c r="D55" s="77">
        <v>0</v>
      </c>
      <c r="E55" s="77">
        <f t="shared" si="0"/>
        <v>1850.674</v>
      </c>
      <c r="G55">
        <v>44</v>
      </c>
      <c r="H55" s="87">
        <v>2841.3058127734266</v>
      </c>
      <c r="I55" s="87">
        <v>274.67835711496065</v>
      </c>
      <c r="J55" s="87">
        <v>49.178478576556891</v>
      </c>
      <c r="K55" s="77">
        <f t="shared" si="1"/>
        <v>3165.1626484649441</v>
      </c>
      <c r="W55" s="9"/>
    </row>
    <row r="56" spans="1:23" x14ac:dyDescent="0.25">
      <c r="A56">
        <v>45</v>
      </c>
      <c r="B56" s="77">
        <v>1873.7078999999999</v>
      </c>
      <c r="C56" s="77">
        <v>0</v>
      </c>
      <c r="D56" s="77">
        <v>0</v>
      </c>
      <c r="E56" s="77">
        <f t="shared" si="0"/>
        <v>1873.7078999999999</v>
      </c>
      <c r="G56">
        <v>45</v>
      </c>
      <c r="H56" s="87">
        <v>3391.4193339115554</v>
      </c>
      <c r="I56" s="87">
        <v>291.12668301175995</v>
      </c>
      <c r="J56" s="87">
        <v>97.146053134363157</v>
      </c>
      <c r="K56" s="77">
        <f t="shared" si="1"/>
        <v>3779.6920700576788</v>
      </c>
      <c r="W56" s="9"/>
    </row>
    <row r="57" spans="1:23" x14ac:dyDescent="0.25">
      <c r="A57">
        <v>46</v>
      </c>
      <c r="B57" s="77">
        <v>661.62139999999999</v>
      </c>
      <c r="C57" s="77">
        <v>863.96410000000003</v>
      </c>
      <c r="D57" s="77">
        <v>0</v>
      </c>
      <c r="E57" s="77">
        <f t="shared" si="0"/>
        <v>1525.5855000000001</v>
      </c>
      <c r="G57">
        <v>46</v>
      </c>
      <c r="H57" s="87">
        <v>3621.8280998778991</v>
      </c>
      <c r="I57" s="87">
        <v>416.12921674775367</v>
      </c>
      <c r="J57" s="87">
        <v>67.477233003340032</v>
      </c>
      <c r="K57" s="77">
        <f t="shared" si="1"/>
        <v>4105.4345496289925</v>
      </c>
      <c r="W57" s="9"/>
    </row>
    <row r="58" spans="1:23" x14ac:dyDescent="0.25">
      <c r="A58">
        <v>47</v>
      </c>
      <c r="B58" s="77">
        <v>3229.8224</v>
      </c>
      <c r="C58" s="77">
        <v>105.4442</v>
      </c>
      <c r="D58" s="77">
        <v>0</v>
      </c>
      <c r="E58" s="77">
        <f t="shared" si="0"/>
        <v>3335.2665999999999</v>
      </c>
      <c r="G58">
        <v>47</v>
      </c>
      <c r="H58" s="87">
        <v>2019.126614851089</v>
      </c>
      <c r="I58" s="87">
        <v>234.8927623788959</v>
      </c>
      <c r="J58" s="87">
        <v>18.946047430830038</v>
      </c>
      <c r="K58" s="77">
        <f t="shared" si="1"/>
        <v>2272.9654246608147</v>
      </c>
      <c r="W58" s="9"/>
    </row>
    <row r="59" spans="1:23" x14ac:dyDescent="0.25">
      <c r="A59">
        <v>48</v>
      </c>
      <c r="B59" s="77">
        <v>2448.1536000000001</v>
      </c>
      <c r="C59" s="77">
        <v>0</v>
      </c>
      <c r="D59" s="77">
        <v>0</v>
      </c>
      <c r="E59" s="77">
        <f t="shared" si="0"/>
        <v>2448.1536000000001</v>
      </c>
      <c r="G59">
        <v>48</v>
      </c>
      <c r="H59" s="87">
        <v>2158.2627377717713</v>
      </c>
      <c r="I59" s="87">
        <v>200.60903184689451</v>
      </c>
      <c r="J59" s="87">
        <v>47.25179044309138</v>
      </c>
      <c r="K59" s="77">
        <f t="shared" si="1"/>
        <v>2406.1235600617574</v>
      </c>
      <c r="W59" s="9"/>
    </row>
    <row r="60" spans="1:23" x14ac:dyDescent="0.25">
      <c r="A60">
        <v>49</v>
      </c>
      <c r="B60" s="77">
        <v>1198.4344999999998</v>
      </c>
      <c r="C60" s="77">
        <v>0</v>
      </c>
      <c r="D60" s="77">
        <v>0</v>
      </c>
      <c r="E60" s="77">
        <f t="shared" si="0"/>
        <v>1198.4344999999998</v>
      </c>
      <c r="G60">
        <v>49</v>
      </c>
      <c r="H60" s="87">
        <v>1717.9118806181684</v>
      </c>
      <c r="I60" s="87">
        <v>197.57841900825488</v>
      </c>
      <c r="J60" s="87">
        <v>18.241385527135002</v>
      </c>
      <c r="K60" s="77">
        <f t="shared" si="1"/>
        <v>1933.7316851535584</v>
      </c>
      <c r="W60" s="9"/>
    </row>
    <row r="61" spans="1:23" x14ac:dyDescent="0.25">
      <c r="A61">
        <v>50</v>
      </c>
      <c r="B61" s="77">
        <v>909.77930000000003</v>
      </c>
      <c r="C61" s="77">
        <v>0</v>
      </c>
      <c r="D61" s="77">
        <v>0</v>
      </c>
      <c r="E61" s="77">
        <f t="shared" si="0"/>
        <v>909.77930000000003</v>
      </c>
      <c r="G61">
        <v>50</v>
      </c>
      <c r="H61" s="87">
        <v>2607.5835293776145</v>
      </c>
      <c r="I61" s="87">
        <v>224.78417036606206</v>
      </c>
      <c r="J61" s="87">
        <v>43.285356953290943</v>
      </c>
      <c r="K61" s="77">
        <f t="shared" si="1"/>
        <v>2875.6530566969673</v>
      </c>
      <c r="W61" s="9"/>
    </row>
    <row r="62" spans="1:23" x14ac:dyDescent="0.25">
      <c r="A62">
        <v>51</v>
      </c>
      <c r="B62" s="77">
        <v>438.93169999999998</v>
      </c>
      <c r="C62" s="77">
        <v>0</v>
      </c>
      <c r="D62" s="77">
        <v>0</v>
      </c>
      <c r="E62" s="77">
        <f t="shared" si="0"/>
        <v>438.93169999999998</v>
      </c>
      <c r="G62">
        <v>51</v>
      </c>
      <c r="H62" s="87">
        <v>1563.9042608342852</v>
      </c>
      <c r="I62" s="87">
        <v>132.13149881491617</v>
      </c>
      <c r="J62" s="87">
        <v>11.5714285714286</v>
      </c>
      <c r="K62" s="77">
        <f t="shared" si="1"/>
        <v>1707.60718822063</v>
      </c>
      <c r="W62" s="9"/>
    </row>
    <row r="63" spans="1:23" x14ac:dyDescent="0.25">
      <c r="A63">
        <v>52</v>
      </c>
      <c r="B63" s="77">
        <v>1607.8973000000001</v>
      </c>
      <c r="C63" s="77">
        <v>0</v>
      </c>
      <c r="D63" s="77">
        <v>0</v>
      </c>
      <c r="E63" s="77">
        <f t="shared" si="0"/>
        <v>1607.8973000000001</v>
      </c>
      <c r="G63">
        <v>52</v>
      </c>
      <c r="H63" s="87">
        <v>1251.4102077787954</v>
      </c>
      <c r="I63" s="87">
        <v>103.9819189743931</v>
      </c>
      <c r="J63" s="87">
        <v>20.512954097437351</v>
      </c>
      <c r="K63" s="77">
        <f t="shared" si="1"/>
        <v>1375.9050808506258</v>
      </c>
      <c r="W63" s="9"/>
    </row>
    <row r="64" spans="1:23" x14ac:dyDescent="0.25">
      <c r="A64">
        <v>53</v>
      </c>
      <c r="B64" s="77">
        <v>309.57670000000002</v>
      </c>
      <c r="C64" s="77">
        <v>0</v>
      </c>
      <c r="D64" s="77">
        <v>0</v>
      </c>
      <c r="E64" s="77">
        <f t="shared" si="0"/>
        <v>309.57670000000002</v>
      </c>
      <c r="G64">
        <v>53</v>
      </c>
      <c r="H64" s="87">
        <v>1108.378163019363</v>
      </c>
      <c r="I64" s="87">
        <v>168.99861463083676</v>
      </c>
      <c r="J64" s="87">
        <v>5.4854014598540104</v>
      </c>
      <c r="K64" s="77">
        <f t="shared" si="1"/>
        <v>1282.8621791100538</v>
      </c>
      <c r="W64" s="9"/>
    </row>
    <row r="65" spans="1:23" x14ac:dyDescent="0.25">
      <c r="A65">
        <v>54</v>
      </c>
      <c r="B65" s="77">
        <v>783.23289999999997</v>
      </c>
      <c r="C65" s="77">
        <v>0</v>
      </c>
      <c r="D65" s="77">
        <v>0</v>
      </c>
      <c r="E65" s="77">
        <f t="shared" si="0"/>
        <v>783.23289999999997</v>
      </c>
      <c r="G65">
        <v>54</v>
      </c>
      <c r="H65" s="87">
        <v>1090.2044089858866</v>
      </c>
      <c r="I65" s="87">
        <v>104.79296312081519</v>
      </c>
      <c r="J65" s="87">
        <v>21.079166666666701</v>
      </c>
      <c r="K65" s="77">
        <f t="shared" si="1"/>
        <v>1216.0765387733684</v>
      </c>
      <c r="W65" s="9"/>
    </row>
    <row r="66" spans="1:23" x14ac:dyDescent="0.25">
      <c r="A66">
        <v>55</v>
      </c>
      <c r="B66" s="77">
        <v>139.8938</v>
      </c>
      <c r="C66" s="77">
        <v>268.3759</v>
      </c>
      <c r="D66" s="77">
        <v>0</v>
      </c>
      <c r="E66" s="77">
        <f t="shared" si="0"/>
        <v>408.2697</v>
      </c>
      <c r="G66">
        <v>55</v>
      </c>
      <c r="H66" s="87">
        <v>977.39574670157776</v>
      </c>
      <c r="I66" s="87">
        <v>116.63776901860338</v>
      </c>
      <c r="J66" s="87">
        <v>0.25</v>
      </c>
      <c r="K66" s="77">
        <f t="shared" si="1"/>
        <v>1094.2835157201812</v>
      </c>
      <c r="W66" s="9"/>
    </row>
    <row r="67" spans="1:23" x14ac:dyDescent="0.25">
      <c r="A67">
        <v>56</v>
      </c>
      <c r="B67" s="77">
        <v>0</v>
      </c>
      <c r="C67" s="77">
        <v>0</v>
      </c>
      <c r="D67" s="77">
        <v>0</v>
      </c>
      <c r="E67" s="77">
        <f t="shared" si="0"/>
        <v>0</v>
      </c>
      <c r="G67">
        <v>56</v>
      </c>
      <c r="H67" s="87">
        <v>662.07962537281173</v>
      </c>
      <c r="I67" s="87">
        <v>73.427024049950845</v>
      </c>
      <c r="J67" s="87">
        <v>5.2122641509434002</v>
      </c>
      <c r="K67" s="77">
        <f t="shared" si="1"/>
        <v>740.718913573706</v>
      </c>
      <c r="W67" s="9"/>
    </row>
    <row r="68" spans="1:23" x14ac:dyDescent="0.25">
      <c r="A68">
        <v>57</v>
      </c>
      <c r="B68" s="77">
        <v>0</v>
      </c>
      <c r="C68" s="77">
        <v>203.33840000000001</v>
      </c>
      <c r="D68" s="77">
        <v>0</v>
      </c>
      <c r="E68" s="77">
        <f t="shared" si="0"/>
        <v>203.33840000000001</v>
      </c>
      <c r="G68">
        <v>57</v>
      </c>
      <c r="H68" s="87">
        <v>774.86387778404162</v>
      </c>
      <c r="I68" s="87">
        <v>89.96967600868139</v>
      </c>
      <c r="J68" s="87">
        <v>14.97483413406543</v>
      </c>
      <c r="K68" s="77">
        <f t="shared" si="1"/>
        <v>879.80838792678844</v>
      </c>
      <c r="W68" s="9"/>
    </row>
    <row r="69" spans="1:23" x14ac:dyDescent="0.25">
      <c r="A69">
        <v>58</v>
      </c>
      <c r="B69" s="77">
        <v>0</v>
      </c>
      <c r="C69" s="77">
        <v>0</v>
      </c>
      <c r="D69" s="77">
        <v>0</v>
      </c>
      <c r="E69" s="77">
        <f t="shared" si="0"/>
        <v>0</v>
      </c>
      <c r="G69">
        <v>58</v>
      </c>
      <c r="H69" s="87">
        <v>598.90626094457161</v>
      </c>
      <c r="I69" s="87">
        <v>35.432036186811651</v>
      </c>
      <c r="J69" s="87">
        <v>9.9787234042553195</v>
      </c>
      <c r="K69" s="77">
        <f t="shared" si="1"/>
        <v>644.31702053563856</v>
      </c>
      <c r="W69" s="9"/>
    </row>
    <row r="70" spans="1:23" x14ac:dyDescent="0.25">
      <c r="A70">
        <v>59</v>
      </c>
      <c r="B70" s="77">
        <v>0</v>
      </c>
      <c r="C70" s="77">
        <v>0</v>
      </c>
      <c r="D70" s="77">
        <v>0</v>
      </c>
      <c r="E70" s="77">
        <f t="shared" si="0"/>
        <v>0</v>
      </c>
      <c r="G70">
        <v>59</v>
      </c>
      <c r="H70" s="87">
        <v>808.65266817716076</v>
      </c>
      <c r="I70" s="87">
        <v>58.007628849162451</v>
      </c>
      <c r="J70" s="87">
        <v>0.25</v>
      </c>
      <c r="K70" s="77">
        <f t="shared" si="1"/>
        <v>866.91029702632318</v>
      </c>
      <c r="W70" s="9"/>
    </row>
    <row r="71" spans="1:23" x14ac:dyDescent="0.25">
      <c r="A71">
        <v>60</v>
      </c>
      <c r="B71" s="77">
        <v>0</v>
      </c>
      <c r="C71" s="77">
        <v>657.8338</v>
      </c>
      <c r="D71" s="77">
        <v>0</v>
      </c>
      <c r="E71" s="77">
        <f t="shared" si="0"/>
        <v>657.8338</v>
      </c>
      <c r="G71">
        <v>60</v>
      </c>
      <c r="H71" s="87">
        <v>283.70500080229476</v>
      </c>
      <c r="I71" s="87">
        <v>11.256472491909401</v>
      </c>
      <c r="J71" s="87">
        <v>0.5</v>
      </c>
      <c r="K71" s="77">
        <f t="shared" si="1"/>
        <v>295.46147329420415</v>
      </c>
      <c r="W71" s="9"/>
    </row>
    <row r="72" spans="1:23" x14ac:dyDescent="0.25">
      <c r="A72">
        <v>61</v>
      </c>
      <c r="B72" s="77">
        <v>99.508899999999997</v>
      </c>
      <c r="C72" s="77">
        <v>0</v>
      </c>
      <c r="D72" s="77">
        <v>0</v>
      </c>
      <c r="E72" s="77">
        <f t="shared" si="0"/>
        <v>99.508899999999997</v>
      </c>
      <c r="G72">
        <v>61</v>
      </c>
      <c r="H72" s="87">
        <v>579.84542940673839</v>
      </c>
      <c r="I72" s="87">
        <v>52.605128849617955</v>
      </c>
      <c r="J72" s="87">
        <v>10.47706422018349</v>
      </c>
      <c r="K72" s="77">
        <f t="shared" si="1"/>
        <v>642.9276224765398</v>
      </c>
      <c r="W72" s="9"/>
    </row>
    <row r="73" spans="1:23" x14ac:dyDescent="0.25">
      <c r="A73">
        <v>62</v>
      </c>
      <c r="B73" s="77">
        <v>0</v>
      </c>
      <c r="C73" s="77">
        <v>0</v>
      </c>
      <c r="D73" s="77">
        <v>0</v>
      </c>
      <c r="E73" s="77">
        <f t="shared" si="0"/>
        <v>0</v>
      </c>
      <c r="G73">
        <v>62</v>
      </c>
      <c r="H73" s="87">
        <v>400.80578783988983</v>
      </c>
      <c r="I73" s="87">
        <v>32.012996543086679</v>
      </c>
      <c r="J73" s="87">
        <v>9.9984251968503912</v>
      </c>
      <c r="K73" s="77">
        <f t="shared" si="1"/>
        <v>442.81720957982691</v>
      </c>
      <c r="W73" s="9"/>
    </row>
    <row r="74" spans="1:23" x14ac:dyDescent="0.25">
      <c r="A74">
        <v>63</v>
      </c>
      <c r="B74" s="77">
        <v>0</v>
      </c>
      <c r="C74" s="77">
        <v>0</v>
      </c>
      <c r="D74" s="77">
        <v>0</v>
      </c>
      <c r="E74" s="77">
        <f t="shared" si="0"/>
        <v>0</v>
      </c>
      <c r="G74">
        <v>63</v>
      </c>
      <c r="H74" s="87">
        <v>239.2060064135504</v>
      </c>
      <c r="I74" s="87">
        <v>10.494152046783629</v>
      </c>
      <c r="J74" s="87">
        <v>0.25</v>
      </c>
      <c r="K74" s="77">
        <f t="shared" si="1"/>
        <v>249.95015846033402</v>
      </c>
      <c r="W74" s="9"/>
    </row>
    <row r="75" spans="1:23" x14ac:dyDescent="0.25">
      <c r="A75">
        <v>64</v>
      </c>
      <c r="B75" s="77">
        <v>0</v>
      </c>
      <c r="C75" s="77">
        <v>0</v>
      </c>
      <c r="D75" s="77">
        <v>0</v>
      </c>
      <c r="E75" s="77">
        <f t="shared" si="0"/>
        <v>0</v>
      </c>
      <c r="G75">
        <v>64</v>
      </c>
      <c r="H75" s="87">
        <v>235.57173562163709</v>
      </c>
      <c r="I75" s="87">
        <v>20.3113664790495</v>
      </c>
      <c r="J75" s="87">
        <v>0</v>
      </c>
      <c r="K75" s="77">
        <f t="shared" si="1"/>
        <v>255.88310210068659</v>
      </c>
      <c r="W75" s="9"/>
    </row>
    <row r="76" spans="1:23" x14ac:dyDescent="0.25">
      <c r="A76">
        <v>65</v>
      </c>
      <c r="B76" s="77">
        <v>249.5401</v>
      </c>
      <c r="C76" s="77">
        <v>0</v>
      </c>
      <c r="D76" s="77">
        <v>0</v>
      </c>
      <c r="E76" s="77">
        <f t="shared" ref="E76:E100" si="2">SUM(B76:D76)</f>
        <v>249.5401</v>
      </c>
      <c r="G76">
        <v>65</v>
      </c>
      <c r="H76" s="87">
        <v>182.52848319269285</v>
      </c>
      <c r="I76" s="87">
        <v>20.72639344262295</v>
      </c>
      <c r="J76" s="87">
        <v>0.25</v>
      </c>
      <c r="K76" s="77">
        <f t="shared" ref="K76:K101" si="3">SUM(H76:J76)</f>
        <v>203.50487663531578</v>
      </c>
      <c r="W76" s="9"/>
    </row>
    <row r="77" spans="1:23" x14ac:dyDescent="0.25">
      <c r="A77">
        <v>66</v>
      </c>
      <c r="B77" s="77">
        <v>0</v>
      </c>
      <c r="C77" s="77">
        <v>0</v>
      </c>
      <c r="D77" s="77">
        <v>0</v>
      </c>
      <c r="E77" s="77">
        <f t="shared" si="2"/>
        <v>0</v>
      </c>
      <c r="G77">
        <v>66</v>
      </c>
      <c r="H77" s="87">
        <v>320.28348816911517</v>
      </c>
      <c r="I77" s="87">
        <v>9.9944289693593298</v>
      </c>
      <c r="J77" s="87">
        <v>0</v>
      </c>
      <c r="K77" s="77">
        <f t="shared" si="3"/>
        <v>330.27791713847449</v>
      </c>
      <c r="W77" s="9"/>
    </row>
    <row r="78" spans="1:23" x14ac:dyDescent="0.25">
      <c r="A78">
        <v>67</v>
      </c>
      <c r="B78" s="77">
        <v>86.093599999999995</v>
      </c>
      <c r="C78" s="77">
        <v>0</v>
      </c>
      <c r="D78" s="77">
        <v>0</v>
      </c>
      <c r="E78" s="77">
        <f t="shared" si="2"/>
        <v>86.093599999999995</v>
      </c>
      <c r="G78">
        <v>67</v>
      </c>
      <c r="H78" s="87">
        <v>77.701552646443588</v>
      </c>
      <c r="I78" s="87">
        <v>0</v>
      </c>
      <c r="J78" s="87">
        <v>0</v>
      </c>
      <c r="K78" s="77">
        <f t="shared" si="3"/>
        <v>77.701552646443588</v>
      </c>
      <c r="W78" s="9"/>
    </row>
    <row r="79" spans="1:23" x14ac:dyDescent="0.25">
      <c r="A79">
        <v>68</v>
      </c>
      <c r="B79" s="77">
        <v>0</v>
      </c>
      <c r="C79" s="77">
        <v>0</v>
      </c>
      <c r="D79" s="77">
        <v>0</v>
      </c>
      <c r="E79" s="77">
        <f t="shared" si="2"/>
        <v>0</v>
      </c>
      <c r="G79">
        <v>68</v>
      </c>
      <c r="H79" s="87">
        <v>526.6473162044681</v>
      </c>
      <c r="I79" s="87">
        <v>19.945354239256687</v>
      </c>
      <c r="J79" s="87">
        <v>0</v>
      </c>
      <c r="K79" s="77">
        <f t="shared" si="3"/>
        <v>546.59267044372473</v>
      </c>
      <c r="W79" s="9"/>
    </row>
    <row r="80" spans="1:23" x14ac:dyDescent="0.25">
      <c r="A80">
        <v>69</v>
      </c>
      <c r="B80" s="77">
        <v>0</v>
      </c>
      <c r="C80" s="77">
        <v>0</v>
      </c>
      <c r="D80" s="77">
        <v>0</v>
      </c>
      <c r="E80" s="77">
        <f t="shared" si="2"/>
        <v>0</v>
      </c>
      <c r="G80">
        <v>69</v>
      </c>
      <c r="H80" s="87">
        <v>445.85039976290255</v>
      </c>
      <c r="I80" s="87">
        <v>29.907401840798151</v>
      </c>
      <c r="J80" s="87">
        <v>0</v>
      </c>
      <c r="K80" s="77">
        <f t="shared" si="3"/>
        <v>475.75780160370073</v>
      </c>
      <c r="W80" s="9"/>
    </row>
    <row r="81" spans="1:23" x14ac:dyDescent="0.25">
      <c r="A81">
        <v>70</v>
      </c>
      <c r="B81" s="77">
        <v>0</v>
      </c>
      <c r="C81" s="77">
        <v>0</v>
      </c>
      <c r="D81" s="77">
        <v>0</v>
      </c>
      <c r="E81" s="77">
        <f t="shared" si="2"/>
        <v>0</v>
      </c>
      <c r="G81">
        <v>70</v>
      </c>
      <c r="H81" s="87">
        <v>115.27363693379945</v>
      </c>
      <c r="I81" s="87">
        <v>9.9776785714285694</v>
      </c>
      <c r="J81" s="87">
        <v>0.25</v>
      </c>
      <c r="K81" s="77">
        <f t="shared" si="3"/>
        <v>125.50131550522802</v>
      </c>
      <c r="W81" s="9"/>
    </row>
    <row r="82" spans="1:23" x14ac:dyDescent="0.25">
      <c r="A82">
        <v>71</v>
      </c>
      <c r="B82" s="77">
        <v>173.22970000000001</v>
      </c>
      <c r="C82" s="77">
        <v>0</v>
      </c>
      <c r="D82" s="77">
        <v>0</v>
      </c>
      <c r="E82" s="77">
        <f t="shared" si="2"/>
        <v>173.22970000000001</v>
      </c>
      <c r="G82">
        <v>71</v>
      </c>
      <c r="H82" s="87">
        <v>30.48962502431975</v>
      </c>
      <c r="I82" s="87">
        <v>0.25</v>
      </c>
      <c r="J82" s="87">
        <v>0</v>
      </c>
      <c r="K82" s="77">
        <f t="shared" si="3"/>
        <v>30.73962502431975</v>
      </c>
      <c r="W82" s="9"/>
    </row>
    <row r="83" spans="1:23" x14ac:dyDescent="0.25">
      <c r="A83">
        <v>72</v>
      </c>
      <c r="B83" s="77">
        <v>0</v>
      </c>
      <c r="C83" s="77">
        <v>0</v>
      </c>
      <c r="D83" s="77">
        <v>0</v>
      </c>
      <c r="E83" s="77">
        <f t="shared" si="2"/>
        <v>0</v>
      </c>
      <c r="G83">
        <v>72</v>
      </c>
      <c r="H83" s="87">
        <v>65.702602567104606</v>
      </c>
      <c r="I83" s="87">
        <v>20.186118826228679</v>
      </c>
      <c r="J83" s="87">
        <v>0</v>
      </c>
      <c r="K83" s="77">
        <f t="shared" si="3"/>
        <v>85.888721393333284</v>
      </c>
      <c r="W83" s="9"/>
    </row>
    <row r="84" spans="1:23" x14ac:dyDescent="0.25">
      <c r="A84">
        <v>73</v>
      </c>
      <c r="B84" s="77">
        <v>0</v>
      </c>
      <c r="C84" s="77">
        <v>0</v>
      </c>
      <c r="D84" s="77">
        <v>0</v>
      </c>
      <c r="E84" s="77">
        <f t="shared" si="2"/>
        <v>0</v>
      </c>
      <c r="G84">
        <v>73</v>
      </c>
      <c r="H84" s="87">
        <v>150.85266292289873</v>
      </c>
      <c r="I84" s="77">
        <v>0</v>
      </c>
      <c r="J84" s="87">
        <v>0</v>
      </c>
      <c r="K84" s="77">
        <f t="shared" si="3"/>
        <v>150.85266292289873</v>
      </c>
      <c r="W84" s="9"/>
    </row>
    <row r="85" spans="1:23" x14ac:dyDescent="0.25">
      <c r="A85">
        <v>74</v>
      </c>
      <c r="B85" s="77">
        <v>409.13839999999999</v>
      </c>
      <c r="C85" s="77">
        <v>0</v>
      </c>
      <c r="D85" s="77">
        <v>0</v>
      </c>
      <c r="E85" s="77">
        <f t="shared" si="2"/>
        <v>409.13839999999999</v>
      </c>
      <c r="G85">
        <v>74</v>
      </c>
      <c r="H85" s="87">
        <v>149.94788130016684</v>
      </c>
      <c r="I85" s="87">
        <v>10</v>
      </c>
      <c r="J85" s="87">
        <v>0</v>
      </c>
      <c r="K85" s="77">
        <f t="shared" si="3"/>
        <v>159.94788130016684</v>
      </c>
      <c r="W85" s="9"/>
    </row>
    <row r="86" spans="1:23" x14ac:dyDescent="0.25">
      <c r="A86">
        <v>75</v>
      </c>
      <c r="B86" s="77">
        <v>0</v>
      </c>
      <c r="C86" s="77">
        <v>0</v>
      </c>
      <c r="D86" s="77">
        <v>0</v>
      </c>
      <c r="E86" s="77">
        <f t="shared" si="2"/>
        <v>0</v>
      </c>
      <c r="G86">
        <v>75</v>
      </c>
      <c r="H86" s="87">
        <v>120.05393691971854</v>
      </c>
      <c r="I86" s="77">
        <v>0</v>
      </c>
      <c r="J86" s="87">
        <v>0</v>
      </c>
      <c r="K86" s="77">
        <f t="shared" si="3"/>
        <v>120.05393691971854</v>
      </c>
      <c r="W86" s="9"/>
    </row>
    <row r="87" spans="1:23" x14ac:dyDescent="0.25">
      <c r="A87">
        <v>76</v>
      </c>
      <c r="B87" s="77">
        <v>0</v>
      </c>
      <c r="C87" s="77">
        <v>0</v>
      </c>
      <c r="D87" s="77">
        <v>0</v>
      </c>
      <c r="E87" s="77">
        <f t="shared" si="2"/>
        <v>0</v>
      </c>
      <c r="G87">
        <v>76</v>
      </c>
      <c r="H87" s="87">
        <v>145.01060570614183</v>
      </c>
      <c r="I87" s="77">
        <v>20.019453551912569</v>
      </c>
      <c r="J87" s="87">
        <v>9.9677419354838701</v>
      </c>
      <c r="K87" s="77">
        <f t="shared" si="3"/>
        <v>174.99780119353827</v>
      </c>
      <c r="W87" s="9"/>
    </row>
    <row r="88" spans="1:23" x14ac:dyDescent="0.25">
      <c r="A88">
        <v>77</v>
      </c>
      <c r="B88" s="77">
        <v>0</v>
      </c>
      <c r="C88" s="77">
        <v>0</v>
      </c>
      <c r="D88" s="77">
        <v>0</v>
      </c>
      <c r="E88" s="77">
        <f t="shared" si="2"/>
        <v>0</v>
      </c>
      <c r="G88">
        <v>77</v>
      </c>
      <c r="H88" s="87">
        <v>140.04475608293828</v>
      </c>
      <c r="I88" s="77">
        <v>9.9444444444444393</v>
      </c>
      <c r="J88" s="77">
        <v>0</v>
      </c>
      <c r="K88" s="77">
        <f t="shared" si="3"/>
        <v>149.98920052738271</v>
      </c>
      <c r="W88" s="9"/>
    </row>
    <row r="89" spans="1:23" x14ac:dyDescent="0.25">
      <c r="A89">
        <v>78</v>
      </c>
      <c r="B89" s="77">
        <v>212.667</v>
      </c>
      <c r="C89" s="77">
        <v>0</v>
      </c>
      <c r="D89" s="77">
        <v>0</v>
      </c>
      <c r="E89" s="77">
        <f t="shared" si="2"/>
        <v>212.667</v>
      </c>
      <c r="G89">
        <v>78</v>
      </c>
      <c r="H89" s="87">
        <v>104.93592484869595</v>
      </c>
      <c r="I89" s="77">
        <v>9.9629629629629601</v>
      </c>
      <c r="J89" s="77">
        <v>0</v>
      </c>
      <c r="K89" s="77">
        <f t="shared" si="3"/>
        <v>114.89888781165891</v>
      </c>
      <c r="W89" s="9"/>
    </row>
    <row r="90" spans="1:23" x14ac:dyDescent="0.25">
      <c r="A90">
        <v>79</v>
      </c>
      <c r="B90" s="77">
        <v>0</v>
      </c>
      <c r="C90" s="77">
        <v>0</v>
      </c>
      <c r="D90" s="77">
        <v>0</v>
      </c>
      <c r="E90" s="77">
        <f t="shared" si="2"/>
        <v>0</v>
      </c>
      <c r="G90">
        <v>79</v>
      </c>
      <c r="H90" s="87">
        <v>114.98359334091626</v>
      </c>
      <c r="I90" s="77">
        <v>0</v>
      </c>
      <c r="J90" s="77">
        <v>0</v>
      </c>
      <c r="K90" s="77">
        <f t="shared" si="3"/>
        <v>114.98359334091626</v>
      </c>
      <c r="W90" s="9"/>
    </row>
    <row r="91" spans="1:23" x14ac:dyDescent="0.25">
      <c r="A91">
        <v>80</v>
      </c>
      <c r="B91" s="77">
        <v>0</v>
      </c>
      <c r="C91" s="77">
        <v>0</v>
      </c>
      <c r="D91" s="77">
        <v>0</v>
      </c>
      <c r="E91" s="77">
        <f t="shared" si="2"/>
        <v>0</v>
      </c>
      <c r="G91">
        <v>80</v>
      </c>
      <c r="H91" s="87">
        <v>39.878626918009957</v>
      </c>
      <c r="I91" s="77">
        <v>0</v>
      </c>
      <c r="J91" s="77">
        <v>0</v>
      </c>
      <c r="K91" s="77">
        <f t="shared" si="3"/>
        <v>39.878626918009957</v>
      </c>
      <c r="W91" s="9"/>
    </row>
    <row r="92" spans="1:23" x14ac:dyDescent="0.25">
      <c r="A92">
        <v>81</v>
      </c>
      <c r="B92" s="77">
        <v>0</v>
      </c>
      <c r="C92" s="77">
        <v>0</v>
      </c>
      <c r="D92" s="77">
        <v>0</v>
      </c>
      <c r="E92" s="77">
        <f t="shared" si="2"/>
        <v>0</v>
      </c>
      <c r="G92">
        <v>81</v>
      </c>
      <c r="H92" s="87">
        <v>20.014880952380949</v>
      </c>
      <c r="I92" s="77">
        <v>20.056736311239192</v>
      </c>
      <c r="J92" s="77">
        <v>0</v>
      </c>
      <c r="K92" s="77">
        <f t="shared" si="3"/>
        <v>40.071617263620141</v>
      </c>
      <c r="W92" s="9"/>
    </row>
    <row r="93" spans="1:23" x14ac:dyDescent="0.25">
      <c r="A93">
        <v>82</v>
      </c>
      <c r="B93" s="77">
        <v>0</v>
      </c>
      <c r="C93" s="77">
        <v>0</v>
      </c>
      <c r="D93" s="77">
        <v>0</v>
      </c>
      <c r="E93" s="77">
        <f t="shared" si="2"/>
        <v>0</v>
      </c>
      <c r="G93">
        <v>82</v>
      </c>
      <c r="H93" s="87">
        <v>20.234705882352941</v>
      </c>
      <c r="I93" s="77">
        <v>0</v>
      </c>
      <c r="J93" s="77">
        <v>0</v>
      </c>
      <c r="K93" s="77">
        <f t="shared" si="3"/>
        <v>20.234705882352941</v>
      </c>
      <c r="W93" s="9"/>
    </row>
    <row r="94" spans="1:23" x14ac:dyDescent="0.25">
      <c r="A94">
        <v>83</v>
      </c>
      <c r="B94" s="77">
        <v>0</v>
      </c>
      <c r="C94" s="77">
        <v>0</v>
      </c>
      <c r="D94" s="77">
        <v>0</v>
      </c>
      <c r="E94" s="77">
        <f t="shared" si="2"/>
        <v>0</v>
      </c>
      <c r="G94">
        <v>83</v>
      </c>
      <c r="H94" s="87">
        <v>50.082125339937861</v>
      </c>
      <c r="I94" s="77">
        <v>0</v>
      </c>
      <c r="J94" s="77">
        <v>0</v>
      </c>
      <c r="K94" s="77">
        <f t="shared" si="3"/>
        <v>50.082125339937861</v>
      </c>
      <c r="W94" s="9"/>
    </row>
    <row r="95" spans="1:23" x14ac:dyDescent="0.25">
      <c r="A95">
        <v>84</v>
      </c>
      <c r="B95" s="77">
        <v>0</v>
      </c>
      <c r="C95" s="77">
        <v>0</v>
      </c>
      <c r="D95" s="77">
        <v>0</v>
      </c>
      <c r="E95" s="77">
        <f t="shared" si="2"/>
        <v>0</v>
      </c>
      <c r="G95">
        <v>84</v>
      </c>
      <c r="H95" s="87">
        <v>89.947400713827903</v>
      </c>
      <c r="I95" s="77">
        <v>0</v>
      </c>
      <c r="J95" s="77">
        <v>0</v>
      </c>
      <c r="K95" s="77">
        <f t="shared" si="3"/>
        <v>89.947400713827903</v>
      </c>
      <c r="W95" s="9"/>
    </row>
    <row r="96" spans="1:23" x14ac:dyDescent="0.25">
      <c r="A96">
        <v>85</v>
      </c>
      <c r="B96" s="77">
        <v>0</v>
      </c>
      <c r="C96" s="77">
        <v>0</v>
      </c>
      <c r="D96" s="77">
        <v>0</v>
      </c>
      <c r="E96" s="77">
        <f t="shared" si="2"/>
        <v>0</v>
      </c>
      <c r="G96">
        <v>85</v>
      </c>
      <c r="H96" s="87">
        <v>20.251253132832112</v>
      </c>
      <c r="I96" s="77">
        <v>0</v>
      </c>
      <c r="J96" s="77">
        <v>0</v>
      </c>
      <c r="K96" s="77">
        <f t="shared" si="3"/>
        <v>20.251253132832112</v>
      </c>
      <c r="W96" s="9"/>
    </row>
    <row r="97" spans="1:23" x14ac:dyDescent="0.25">
      <c r="A97">
        <v>86</v>
      </c>
      <c r="B97" s="77">
        <v>0</v>
      </c>
      <c r="C97" s="77">
        <v>0</v>
      </c>
      <c r="D97" s="77">
        <v>0</v>
      </c>
      <c r="E97" s="77">
        <f t="shared" si="2"/>
        <v>0</v>
      </c>
      <c r="G97">
        <v>86</v>
      </c>
      <c r="H97" s="87">
        <v>9.9298245614035103</v>
      </c>
      <c r="I97" s="77">
        <v>0</v>
      </c>
      <c r="J97" s="77">
        <v>0</v>
      </c>
      <c r="K97" s="77">
        <f t="shared" si="3"/>
        <v>9.9298245614035103</v>
      </c>
      <c r="W97" s="9"/>
    </row>
    <row r="98" spans="1:23" x14ac:dyDescent="0.25">
      <c r="A98">
        <v>87</v>
      </c>
      <c r="B98" s="77">
        <v>0</v>
      </c>
      <c r="C98" s="77">
        <v>0</v>
      </c>
      <c r="D98" s="77">
        <v>0</v>
      </c>
      <c r="E98" s="77">
        <f t="shared" si="2"/>
        <v>0</v>
      </c>
      <c r="G98">
        <v>87</v>
      </c>
      <c r="H98" s="87">
        <v>0.25</v>
      </c>
      <c r="I98" s="77">
        <v>0</v>
      </c>
      <c r="J98" s="77">
        <v>0.25</v>
      </c>
      <c r="K98" s="77">
        <f t="shared" si="3"/>
        <v>0.5</v>
      </c>
      <c r="W98" s="9"/>
    </row>
    <row r="99" spans="1:23" x14ac:dyDescent="0.25">
      <c r="A99">
        <v>88</v>
      </c>
      <c r="B99" s="77">
        <v>0</v>
      </c>
      <c r="C99" s="77">
        <v>0</v>
      </c>
      <c r="D99" s="77">
        <v>0</v>
      </c>
      <c r="E99" s="77">
        <f t="shared" si="2"/>
        <v>0</v>
      </c>
      <c r="G99">
        <v>88</v>
      </c>
      <c r="H99" s="87">
        <v>30.092864360019689</v>
      </c>
      <c r="I99" s="77">
        <v>0</v>
      </c>
      <c r="J99" s="77">
        <v>0</v>
      </c>
      <c r="K99" s="77">
        <f t="shared" si="3"/>
        <v>30.092864360019689</v>
      </c>
      <c r="W99" s="9"/>
    </row>
    <row r="100" spans="1:23" x14ac:dyDescent="0.25">
      <c r="A100">
        <v>89</v>
      </c>
      <c r="B100" s="77">
        <v>390.53229999999996</v>
      </c>
      <c r="C100" s="77">
        <v>0</v>
      </c>
      <c r="D100" s="77">
        <v>0</v>
      </c>
      <c r="E100" s="77">
        <f t="shared" si="2"/>
        <v>390.53229999999996</v>
      </c>
      <c r="G100">
        <v>89</v>
      </c>
      <c r="H100" s="87">
        <v>140.19268729589277</v>
      </c>
      <c r="I100" s="77">
        <v>0</v>
      </c>
      <c r="J100" s="77">
        <v>0</v>
      </c>
      <c r="K100" s="77">
        <f t="shared" si="3"/>
        <v>140.19268729589277</v>
      </c>
      <c r="W100" s="9"/>
    </row>
    <row r="101" spans="1:23" ht="15.75" thickBot="1" x14ac:dyDescent="0.3">
      <c r="A101" s="1" t="s">
        <v>260</v>
      </c>
      <c r="B101" s="78">
        <v>104700.6578</v>
      </c>
      <c r="C101" s="78">
        <v>78770.766900000002</v>
      </c>
      <c r="D101" s="78">
        <v>9339.8181000000004</v>
      </c>
      <c r="E101" s="10">
        <f>SUM(B101:D101)</f>
        <v>192811.24280000001</v>
      </c>
      <c r="G101" s="1" t="s">
        <v>260</v>
      </c>
      <c r="H101" s="88">
        <v>0</v>
      </c>
      <c r="I101" s="78">
        <v>0</v>
      </c>
      <c r="J101" s="78">
        <v>0</v>
      </c>
      <c r="K101" s="78">
        <f t="shared" si="3"/>
        <v>0</v>
      </c>
      <c r="W101" s="10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01"/>
  <sheetViews>
    <sheetView workbookViewId="0">
      <selection activeCell="Q9" sqref="Q9"/>
    </sheetView>
  </sheetViews>
  <sheetFormatPr defaultRowHeight="15" x14ac:dyDescent="0.25"/>
  <cols>
    <col min="2" max="3" width="10.5703125" bestFit="1" customWidth="1" collapsed="1"/>
    <col min="4" max="4" width="9.5703125" bestFit="1" customWidth="1" collapsed="1"/>
    <col min="5" max="5" width="10.5703125" bestFit="1" customWidth="1" collapsed="1"/>
    <col min="8" max="8" width="10.5703125" bestFit="1" customWidth="1" collapsed="1"/>
    <col min="9" max="10" width="9.5703125" bestFit="1" customWidth="1" collapsed="1"/>
    <col min="11" max="11" width="10.5703125" bestFit="1" customWidth="1" collapsed="1"/>
    <col min="15" max="15" width="15.7109375" bestFit="1" customWidth="1" collapsed="1"/>
  </cols>
  <sheetData>
    <row r="1" spans="1:23" x14ac:dyDescent="0.25">
      <c r="A1" t="s">
        <v>0</v>
      </c>
    </row>
    <row r="2" spans="1:23" x14ac:dyDescent="0.25">
      <c r="A2" t="s">
        <v>261</v>
      </c>
    </row>
    <row r="3" spans="1:23" x14ac:dyDescent="0.25">
      <c r="A3" t="s">
        <v>262</v>
      </c>
    </row>
    <row r="4" spans="1:23" x14ac:dyDescent="0.25">
      <c r="A4" t="s">
        <v>7</v>
      </c>
    </row>
    <row r="5" spans="1:23" x14ac:dyDescent="0.25">
      <c r="A5" t="s">
        <v>8</v>
      </c>
    </row>
    <row r="7" spans="1:23" x14ac:dyDescent="0.25">
      <c r="A7" t="s">
        <v>12</v>
      </c>
    </row>
    <row r="9" spans="1:23" ht="15.75" thickBot="1" x14ac:dyDescent="0.3">
      <c r="A9" s="4" t="s">
        <v>215</v>
      </c>
      <c r="B9" s="1"/>
      <c r="C9" s="1"/>
      <c r="D9" s="1"/>
      <c r="E9" s="1"/>
      <c r="G9" s="4" t="s">
        <v>14</v>
      </c>
      <c r="H9" s="1"/>
      <c r="I9" s="1"/>
      <c r="J9" s="1"/>
      <c r="K9" s="1"/>
      <c r="M9" s="11" t="s">
        <v>43</v>
      </c>
      <c r="W9" s="9"/>
    </row>
    <row r="10" spans="1:23" x14ac:dyDescent="0.25">
      <c r="A10" s="2" t="s">
        <v>23</v>
      </c>
      <c r="B10" s="5" t="s">
        <v>9</v>
      </c>
      <c r="C10" s="5" t="s">
        <v>10</v>
      </c>
      <c r="D10" s="5" t="s">
        <v>11</v>
      </c>
      <c r="E10" s="5" t="s">
        <v>213</v>
      </c>
      <c r="G10" s="2" t="s">
        <v>23</v>
      </c>
      <c r="H10" s="5" t="s">
        <v>9</v>
      </c>
      <c r="I10" s="5" t="s">
        <v>10</v>
      </c>
      <c r="J10" s="5" t="s">
        <v>11</v>
      </c>
      <c r="K10" s="37" t="s">
        <v>281</v>
      </c>
      <c r="M10" s="2"/>
      <c r="N10" s="5" t="s">
        <v>213</v>
      </c>
      <c r="O10" s="37" t="s">
        <v>281</v>
      </c>
      <c r="W10" s="9"/>
    </row>
    <row r="11" spans="1:23" x14ac:dyDescent="0.25">
      <c r="A11">
        <v>0</v>
      </c>
      <c r="B11" s="77">
        <v>976.86059999999998</v>
      </c>
      <c r="C11" s="77">
        <v>772.99549999999999</v>
      </c>
      <c r="D11" s="77">
        <v>0</v>
      </c>
      <c r="E11" s="77">
        <f>SUM(B11:D11)</f>
        <v>1749.8561</v>
      </c>
      <c r="G11">
        <v>0</v>
      </c>
      <c r="H11" s="87">
        <v>31398.900784332109</v>
      </c>
      <c r="I11" s="87">
        <v>21390.955059564112</v>
      </c>
      <c r="J11" s="87">
        <v>7076.4985221285042</v>
      </c>
      <c r="K11" s="77">
        <f>SUM(H11:J11)</f>
        <v>59866.354366024723</v>
      </c>
      <c r="M11" t="s">
        <v>9</v>
      </c>
      <c r="N11" s="81">
        <v>33.952319580278811</v>
      </c>
      <c r="O11" s="81">
        <v>35.492645713265034</v>
      </c>
      <c r="W11" s="9"/>
    </row>
    <row r="12" spans="1:23" x14ac:dyDescent="0.25">
      <c r="A12">
        <v>1</v>
      </c>
      <c r="B12" s="77">
        <v>768.7115</v>
      </c>
      <c r="C12" s="77">
        <v>795.22789999999998</v>
      </c>
      <c r="D12" s="77">
        <v>0</v>
      </c>
      <c r="E12" s="77">
        <f t="shared" ref="E12:E75" si="0">SUM(B12:D12)</f>
        <v>1563.9394</v>
      </c>
      <c r="G12">
        <v>1</v>
      </c>
      <c r="H12" s="87">
        <v>10028.062072067021</v>
      </c>
      <c r="I12" s="87">
        <v>3503.0222437280868</v>
      </c>
      <c r="J12" s="87">
        <v>1060.7137953322369</v>
      </c>
      <c r="K12" s="77">
        <f t="shared" ref="K12:K75" si="1">SUM(H12:J12)</f>
        <v>14591.798111127344</v>
      </c>
      <c r="M12" t="s">
        <v>10</v>
      </c>
      <c r="N12" s="81">
        <v>28.481409922167774</v>
      </c>
      <c r="O12" s="81">
        <v>27.835938268352312</v>
      </c>
      <c r="W12" s="9"/>
    </row>
    <row r="13" spans="1:23" x14ac:dyDescent="0.25">
      <c r="A13">
        <v>2</v>
      </c>
      <c r="B13" s="77">
        <v>3333.5511000000001</v>
      </c>
      <c r="C13" s="77">
        <v>103.4239</v>
      </c>
      <c r="D13" s="77">
        <v>0</v>
      </c>
      <c r="E13" s="77">
        <f t="shared" si="0"/>
        <v>3436.9750000000004</v>
      </c>
      <c r="G13">
        <v>2</v>
      </c>
      <c r="H13" s="87">
        <v>12265.988037402209</v>
      </c>
      <c r="I13" s="87">
        <v>4761.0203499831559</v>
      </c>
      <c r="J13" s="87">
        <v>1286.4670917085841</v>
      </c>
      <c r="K13" s="77">
        <f t="shared" si="1"/>
        <v>18313.475479093948</v>
      </c>
      <c r="M13" s="6" t="s">
        <v>11</v>
      </c>
      <c r="N13" s="82">
        <v>33.201766695193704</v>
      </c>
      <c r="O13" s="82">
        <v>25.645800226250735</v>
      </c>
      <c r="W13" s="9"/>
    </row>
    <row r="14" spans="1:23" ht="15.75" thickBot="1" x14ac:dyDescent="0.3">
      <c r="A14">
        <v>3</v>
      </c>
      <c r="B14" s="77">
        <v>2600.5398</v>
      </c>
      <c r="C14" s="77">
        <v>411.03989999999999</v>
      </c>
      <c r="D14" s="77">
        <v>205.54570000000001</v>
      </c>
      <c r="E14" s="77">
        <f t="shared" si="0"/>
        <v>3217.1254000000004</v>
      </c>
      <c r="G14">
        <v>3</v>
      </c>
      <c r="H14" s="87">
        <v>12357.07044822281</v>
      </c>
      <c r="I14" s="87">
        <v>5375.6527080043234</v>
      </c>
      <c r="J14" s="87">
        <v>1383.7604302935058</v>
      </c>
      <c r="K14" s="77">
        <f t="shared" si="1"/>
        <v>19116.483586520641</v>
      </c>
      <c r="M14" s="1" t="s">
        <v>4</v>
      </c>
      <c r="N14" s="83">
        <v>33.039207970167269</v>
      </c>
      <c r="O14" s="83">
        <v>33.621687372927077</v>
      </c>
      <c r="W14" s="9"/>
    </row>
    <row r="15" spans="1:23" x14ac:dyDescent="0.25">
      <c r="A15">
        <v>4</v>
      </c>
      <c r="B15" s="77">
        <v>4736.5321000000004</v>
      </c>
      <c r="C15" s="77">
        <v>86.405799999999999</v>
      </c>
      <c r="D15" s="77">
        <v>0</v>
      </c>
      <c r="E15" s="77">
        <f t="shared" si="0"/>
        <v>4822.9379000000008</v>
      </c>
      <c r="G15">
        <v>4</v>
      </c>
      <c r="H15" s="87">
        <v>12961.516550615648</v>
      </c>
      <c r="I15" s="87">
        <v>5509.9618470004225</v>
      </c>
      <c r="J15" s="87">
        <v>1428.1409265684711</v>
      </c>
      <c r="K15" s="77">
        <f t="shared" si="1"/>
        <v>19899.619324184539</v>
      </c>
      <c r="W15" s="9"/>
    </row>
    <row r="16" spans="1:23" x14ac:dyDescent="0.25">
      <c r="A16">
        <v>5</v>
      </c>
      <c r="B16" s="77">
        <v>4897.4107000000004</v>
      </c>
      <c r="C16" s="77">
        <v>3596.0171</v>
      </c>
      <c r="D16" s="77">
        <v>321.02159999999998</v>
      </c>
      <c r="E16" s="77">
        <f t="shared" si="0"/>
        <v>8814.4494000000013</v>
      </c>
      <c r="G16">
        <v>5</v>
      </c>
      <c r="H16" s="87">
        <v>13007.485009464108</v>
      </c>
      <c r="I16" s="87">
        <v>6065.0664397306455</v>
      </c>
      <c r="J16" s="87">
        <v>1800.4047463977188</v>
      </c>
      <c r="K16" s="77">
        <f t="shared" si="1"/>
        <v>20872.956195592473</v>
      </c>
      <c r="W16" s="9"/>
    </row>
    <row r="17" spans="1:23" x14ac:dyDescent="0.25">
      <c r="A17">
        <v>6</v>
      </c>
      <c r="B17" s="77">
        <v>9085.5473000000002</v>
      </c>
      <c r="C17" s="77">
        <v>1749.5683999999999</v>
      </c>
      <c r="D17" s="77">
        <v>494.7706</v>
      </c>
      <c r="E17" s="77">
        <f t="shared" si="0"/>
        <v>11329.8863</v>
      </c>
      <c r="G17">
        <v>6</v>
      </c>
      <c r="H17" s="87">
        <v>13329.31318299442</v>
      </c>
      <c r="I17" s="87">
        <v>6257.0137192302773</v>
      </c>
      <c r="J17" s="87">
        <v>2123.164129591778</v>
      </c>
      <c r="K17" s="77">
        <f t="shared" si="1"/>
        <v>21709.491031816477</v>
      </c>
      <c r="W17" s="9"/>
    </row>
    <row r="18" spans="1:23" x14ac:dyDescent="0.25">
      <c r="A18">
        <v>7</v>
      </c>
      <c r="B18" s="77">
        <v>7631.5133999999998</v>
      </c>
      <c r="C18" s="77">
        <v>1961.9987000000001</v>
      </c>
      <c r="D18" s="77">
        <v>0</v>
      </c>
      <c r="E18" s="77">
        <f t="shared" si="0"/>
        <v>9593.5120999999999</v>
      </c>
      <c r="G18">
        <v>7</v>
      </c>
      <c r="H18" s="87">
        <v>12250.140030431785</v>
      </c>
      <c r="I18" s="87">
        <v>5626.1771856785945</v>
      </c>
      <c r="J18" s="87">
        <v>1800.5245149167979</v>
      </c>
      <c r="K18" s="77">
        <f t="shared" si="1"/>
        <v>19676.841731027176</v>
      </c>
      <c r="W18" s="9"/>
    </row>
    <row r="19" spans="1:23" x14ac:dyDescent="0.25">
      <c r="A19">
        <v>8</v>
      </c>
      <c r="B19" s="77">
        <v>7528.9148999999998</v>
      </c>
      <c r="C19" s="77">
        <v>1690.9758999999999</v>
      </c>
      <c r="D19" s="77">
        <v>374.84780000000001</v>
      </c>
      <c r="E19" s="77">
        <f t="shared" si="0"/>
        <v>9594.7385999999988</v>
      </c>
      <c r="G19">
        <v>8</v>
      </c>
      <c r="H19" s="87">
        <v>10631.33697291827</v>
      </c>
      <c r="I19" s="87">
        <v>4574.1469911305048</v>
      </c>
      <c r="J19" s="87">
        <v>1315.5020412937351</v>
      </c>
      <c r="K19" s="77">
        <f t="shared" si="1"/>
        <v>16520.986005342511</v>
      </c>
      <c r="W19" s="9"/>
    </row>
    <row r="20" spans="1:23" x14ac:dyDescent="0.25">
      <c r="A20">
        <v>9</v>
      </c>
      <c r="B20" s="77">
        <v>7522.7170999999998</v>
      </c>
      <c r="C20" s="77">
        <v>2399.5253000000002</v>
      </c>
      <c r="D20" s="77">
        <v>199.99520000000001</v>
      </c>
      <c r="E20" s="77">
        <f t="shared" si="0"/>
        <v>10122.237599999999</v>
      </c>
      <c r="G20">
        <v>9</v>
      </c>
      <c r="H20" s="87">
        <v>10643.683371031635</v>
      </c>
      <c r="I20" s="87">
        <v>4131.4304986597162</v>
      </c>
      <c r="J20" s="87">
        <v>1184.0514470169285</v>
      </c>
      <c r="K20" s="77">
        <f t="shared" si="1"/>
        <v>15959.16531670828</v>
      </c>
      <c r="W20" s="9"/>
    </row>
    <row r="21" spans="1:23" x14ac:dyDescent="0.25">
      <c r="A21">
        <v>10</v>
      </c>
      <c r="B21" s="77">
        <v>8417.4603000000006</v>
      </c>
      <c r="C21" s="77">
        <v>738.68529999999998</v>
      </c>
      <c r="D21" s="77">
        <v>0</v>
      </c>
      <c r="E21" s="77">
        <f t="shared" si="0"/>
        <v>9156.1455999999998</v>
      </c>
      <c r="G21">
        <v>10</v>
      </c>
      <c r="H21" s="87">
        <v>9615.164412736458</v>
      </c>
      <c r="I21" s="87">
        <v>3691.8679773152644</v>
      </c>
      <c r="J21" s="87">
        <v>1081.6939948848242</v>
      </c>
      <c r="K21" s="77">
        <f t="shared" si="1"/>
        <v>14388.726384936546</v>
      </c>
      <c r="W21" s="9"/>
    </row>
    <row r="22" spans="1:23" x14ac:dyDescent="0.25">
      <c r="A22">
        <v>11</v>
      </c>
      <c r="B22" s="77">
        <v>7086.4241000000002</v>
      </c>
      <c r="C22" s="77">
        <v>4300.0416000000005</v>
      </c>
      <c r="D22" s="77">
        <v>0</v>
      </c>
      <c r="E22" s="77">
        <f t="shared" si="0"/>
        <v>11386.465700000001</v>
      </c>
      <c r="G22">
        <v>11</v>
      </c>
      <c r="H22" s="87">
        <v>9056.2438743956864</v>
      </c>
      <c r="I22" s="87">
        <v>3095.3140927314521</v>
      </c>
      <c r="J22" s="87">
        <v>963.31890007024106</v>
      </c>
      <c r="K22" s="77">
        <f t="shared" si="1"/>
        <v>13114.876867197379</v>
      </c>
      <c r="W22" s="9"/>
    </row>
    <row r="23" spans="1:23" x14ac:dyDescent="0.25">
      <c r="A23">
        <v>12</v>
      </c>
      <c r="B23" s="77">
        <v>13080.2019</v>
      </c>
      <c r="C23" s="77">
        <v>2512.8809999999999</v>
      </c>
      <c r="D23" s="77">
        <v>0</v>
      </c>
      <c r="E23" s="77">
        <f t="shared" si="0"/>
        <v>15593.082899999999</v>
      </c>
      <c r="G23">
        <v>12</v>
      </c>
      <c r="H23" s="87">
        <v>9191.4267906945861</v>
      </c>
      <c r="I23" s="87">
        <v>3296.8472107177963</v>
      </c>
      <c r="J23" s="87">
        <v>817.65455037325717</v>
      </c>
      <c r="K23" s="77">
        <f t="shared" si="1"/>
        <v>13305.928551785641</v>
      </c>
      <c r="W23" s="9"/>
    </row>
    <row r="24" spans="1:23" x14ac:dyDescent="0.25">
      <c r="A24">
        <v>13</v>
      </c>
      <c r="B24" s="77">
        <v>10118.058000000001</v>
      </c>
      <c r="C24" s="77">
        <v>3824.6041999999998</v>
      </c>
      <c r="D24" s="77">
        <v>107.45059999999999</v>
      </c>
      <c r="E24" s="77">
        <f t="shared" si="0"/>
        <v>14050.112800000001</v>
      </c>
      <c r="G24">
        <v>13</v>
      </c>
      <c r="H24" s="87">
        <v>8480.7398554878037</v>
      </c>
      <c r="I24" s="87">
        <v>2996.5387523312093</v>
      </c>
      <c r="J24" s="87">
        <v>724.1564125570568</v>
      </c>
      <c r="K24" s="77">
        <f t="shared" si="1"/>
        <v>12201.43502037607</v>
      </c>
      <c r="W24" s="9"/>
    </row>
    <row r="25" spans="1:23" x14ac:dyDescent="0.25">
      <c r="A25">
        <v>14</v>
      </c>
      <c r="B25" s="77">
        <v>7824.1670000000004</v>
      </c>
      <c r="C25" s="77">
        <v>5343.0985000000001</v>
      </c>
      <c r="D25" s="77">
        <v>344.48149999999998</v>
      </c>
      <c r="E25" s="77">
        <f t="shared" si="0"/>
        <v>13511.747000000001</v>
      </c>
      <c r="G25">
        <v>14</v>
      </c>
      <c r="H25" s="87">
        <v>8297.8119374588496</v>
      </c>
      <c r="I25" s="87">
        <v>2547.5857947196523</v>
      </c>
      <c r="J25" s="87">
        <v>693.35478931182558</v>
      </c>
      <c r="K25" s="77">
        <f t="shared" si="1"/>
        <v>11538.752521490327</v>
      </c>
      <c r="W25" s="9"/>
    </row>
    <row r="26" spans="1:23" x14ac:dyDescent="0.25">
      <c r="A26">
        <v>15</v>
      </c>
      <c r="B26" s="77">
        <v>7316.9540999999999</v>
      </c>
      <c r="C26" s="77">
        <v>1605.7164</v>
      </c>
      <c r="D26" s="77">
        <v>83.934200000000004</v>
      </c>
      <c r="E26" s="77">
        <f t="shared" si="0"/>
        <v>9006.6046999999999</v>
      </c>
      <c r="G26">
        <v>15</v>
      </c>
      <c r="H26" s="87">
        <v>7741.8147958512027</v>
      </c>
      <c r="I26" s="87">
        <v>2257.5646064893072</v>
      </c>
      <c r="J26" s="87">
        <v>707.94362625061717</v>
      </c>
      <c r="K26" s="77">
        <f t="shared" si="1"/>
        <v>10707.323028591127</v>
      </c>
      <c r="W26" s="9"/>
    </row>
    <row r="27" spans="1:23" x14ac:dyDescent="0.25">
      <c r="A27">
        <v>16</v>
      </c>
      <c r="B27" s="77">
        <v>20061.054700000001</v>
      </c>
      <c r="C27" s="77">
        <v>10110.8344</v>
      </c>
      <c r="D27" s="77">
        <v>1744.6917000000001</v>
      </c>
      <c r="E27" s="77">
        <f t="shared" si="0"/>
        <v>31916.5808</v>
      </c>
      <c r="G27">
        <v>16</v>
      </c>
      <c r="H27" s="87">
        <v>7026.1764322533154</v>
      </c>
      <c r="I27" s="87">
        <v>2176.3776043454682</v>
      </c>
      <c r="J27" s="87">
        <v>706.37621881681457</v>
      </c>
      <c r="K27" s="77">
        <f t="shared" si="1"/>
        <v>9908.9302554155984</v>
      </c>
      <c r="W27" s="9"/>
    </row>
    <row r="28" spans="1:23" x14ac:dyDescent="0.25">
      <c r="A28">
        <v>17</v>
      </c>
      <c r="B28" s="77">
        <v>9203.9356000000007</v>
      </c>
      <c r="C28" s="77">
        <v>2398.4562000000001</v>
      </c>
      <c r="D28" s="77">
        <v>92.402900000000002</v>
      </c>
      <c r="E28" s="77">
        <f t="shared" si="0"/>
        <v>11694.7947</v>
      </c>
      <c r="G28">
        <v>17</v>
      </c>
      <c r="H28" s="87">
        <v>7452.4427711457411</v>
      </c>
      <c r="I28" s="87">
        <v>2338.7844997235989</v>
      </c>
      <c r="J28" s="87">
        <v>667.56224239538835</v>
      </c>
      <c r="K28" s="77">
        <f t="shared" si="1"/>
        <v>10458.789513264728</v>
      </c>
      <c r="W28" s="9"/>
    </row>
    <row r="29" spans="1:23" x14ac:dyDescent="0.25">
      <c r="A29">
        <v>18</v>
      </c>
      <c r="B29" s="77">
        <v>54233.925199999998</v>
      </c>
      <c r="C29" s="77">
        <v>13267.4627</v>
      </c>
      <c r="D29" s="77">
        <v>2354.7287999999999</v>
      </c>
      <c r="E29" s="77">
        <f t="shared" si="0"/>
        <v>69856.116699999999</v>
      </c>
      <c r="G29">
        <v>18</v>
      </c>
      <c r="H29" s="87">
        <v>46868.506280544134</v>
      </c>
      <c r="I29" s="87">
        <v>19621.444163898796</v>
      </c>
      <c r="J29" s="87">
        <v>5400.1298949235206</v>
      </c>
      <c r="K29" s="77">
        <f t="shared" si="1"/>
        <v>71890.080339366454</v>
      </c>
      <c r="W29" s="9"/>
    </row>
    <row r="30" spans="1:23" x14ac:dyDescent="0.25">
      <c r="A30">
        <v>19</v>
      </c>
      <c r="B30" s="77">
        <v>35516.883099999999</v>
      </c>
      <c r="C30" s="77">
        <v>10486.782800000001</v>
      </c>
      <c r="D30" s="77">
        <v>541.56999999999994</v>
      </c>
      <c r="E30" s="77">
        <f t="shared" si="0"/>
        <v>46545.2359</v>
      </c>
      <c r="G30">
        <v>19</v>
      </c>
      <c r="H30" s="87">
        <v>22718.072326072794</v>
      </c>
      <c r="I30" s="87">
        <v>7231.5052848557034</v>
      </c>
      <c r="J30" s="87">
        <v>2364.9757705675438</v>
      </c>
      <c r="K30" s="77">
        <f t="shared" si="1"/>
        <v>32314.55338149604</v>
      </c>
      <c r="W30" s="9"/>
    </row>
    <row r="31" spans="1:23" x14ac:dyDescent="0.25">
      <c r="A31">
        <v>20</v>
      </c>
      <c r="B31" s="77">
        <v>38108.569000000003</v>
      </c>
      <c r="C31" s="77">
        <v>13450.072</v>
      </c>
      <c r="D31" s="77">
        <v>933.66959999999995</v>
      </c>
      <c r="E31" s="77">
        <f t="shared" si="0"/>
        <v>52492.310600000004</v>
      </c>
      <c r="G31">
        <v>20</v>
      </c>
      <c r="H31" s="87">
        <v>24048.937773895515</v>
      </c>
      <c r="I31" s="87">
        <v>6158.9097254286826</v>
      </c>
      <c r="J31" s="87">
        <v>2107.4358063557679</v>
      </c>
      <c r="K31" s="77">
        <f t="shared" si="1"/>
        <v>32315.283305679965</v>
      </c>
      <c r="W31" s="9"/>
    </row>
    <row r="32" spans="1:23" x14ac:dyDescent="0.25">
      <c r="A32">
        <v>21</v>
      </c>
      <c r="B32" s="77">
        <v>48844.024700000002</v>
      </c>
      <c r="C32" s="77">
        <v>13953.9054</v>
      </c>
      <c r="D32" s="77">
        <v>2256.9712</v>
      </c>
      <c r="E32" s="77">
        <f t="shared" si="0"/>
        <v>65054.901299999998</v>
      </c>
      <c r="G32">
        <v>21</v>
      </c>
      <c r="H32" s="87">
        <v>37747.992794193073</v>
      </c>
      <c r="I32" s="87">
        <v>9789.755044668831</v>
      </c>
      <c r="J32" s="87">
        <v>2885.8147899820542</v>
      </c>
      <c r="K32" s="77">
        <f t="shared" si="1"/>
        <v>50423.56262884396</v>
      </c>
      <c r="W32" s="9"/>
    </row>
    <row r="33" spans="1:23" x14ac:dyDescent="0.25">
      <c r="A33">
        <v>22</v>
      </c>
      <c r="B33" s="77">
        <v>56403.003100000002</v>
      </c>
      <c r="C33" s="77">
        <v>12371.5524</v>
      </c>
      <c r="D33" s="77">
        <v>6411.5533999999998</v>
      </c>
      <c r="E33" s="77">
        <f t="shared" si="0"/>
        <v>75186.108900000007</v>
      </c>
      <c r="G33">
        <v>22</v>
      </c>
      <c r="H33" s="87">
        <v>39673.425513588714</v>
      </c>
      <c r="I33" s="87">
        <v>11191.846866516513</v>
      </c>
      <c r="J33" s="87">
        <v>3528.8147860986451</v>
      </c>
      <c r="K33" s="77">
        <f t="shared" si="1"/>
        <v>54394.08716620387</v>
      </c>
      <c r="W33" s="9"/>
    </row>
    <row r="34" spans="1:23" x14ac:dyDescent="0.25">
      <c r="A34">
        <v>23</v>
      </c>
      <c r="B34" s="77">
        <v>32898.927000000003</v>
      </c>
      <c r="C34" s="77">
        <v>9913.44</v>
      </c>
      <c r="D34" s="77">
        <v>1454.9184</v>
      </c>
      <c r="E34" s="77">
        <f t="shared" si="0"/>
        <v>44267.285400000008</v>
      </c>
      <c r="G34">
        <v>23</v>
      </c>
      <c r="H34" s="87">
        <v>39909.442479200356</v>
      </c>
      <c r="I34" s="87">
        <v>11128.257374029901</v>
      </c>
      <c r="J34" s="87">
        <v>3434.1127897156603</v>
      </c>
      <c r="K34" s="77">
        <f t="shared" si="1"/>
        <v>54471.812642945915</v>
      </c>
      <c r="W34" s="9"/>
    </row>
    <row r="35" spans="1:23" x14ac:dyDescent="0.25">
      <c r="A35">
        <v>24</v>
      </c>
      <c r="B35" s="77">
        <v>41052.6633</v>
      </c>
      <c r="C35" s="77">
        <v>11386.724099999999</v>
      </c>
      <c r="D35" s="77">
        <v>2515.2840000000001</v>
      </c>
      <c r="E35" s="77">
        <f t="shared" si="0"/>
        <v>54954.671399999999</v>
      </c>
      <c r="G35">
        <v>24</v>
      </c>
      <c r="H35" s="87">
        <v>34157.791159148306</v>
      </c>
      <c r="I35" s="87">
        <v>8358.2091958879046</v>
      </c>
      <c r="J35" s="87">
        <v>2423.0267326664598</v>
      </c>
      <c r="K35" s="77">
        <f t="shared" si="1"/>
        <v>44939.027087702671</v>
      </c>
      <c r="W35" s="9"/>
    </row>
    <row r="36" spans="1:23" x14ac:dyDescent="0.25">
      <c r="A36">
        <v>25</v>
      </c>
      <c r="B36" s="77">
        <v>26051.056400000001</v>
      </c>
      <c r="C36" s="77">
        <v>5423.5443999999998</v>
      </c>
      <c r="D36" s="77">
        <v>1347.9336000000001</v>
      </c>
      <c r="E36" s="77">
        <f t="shared" si="0"/>
        <v>32822.534399999997</v>
      </c>
      <c r="G36">
        <v>25</v>
      </c>
      <c r="H36" s="87">
        <v>35416.361432624188</v>
      </c>
      <c r="I36" s="87">
        <v>9107.705139480493</v>
      </c>
      <c r="J36" s="87">
        <v>2633.2586522077404</v>
      </c>
      <c r="K36" s="77">
        <f t="shared" si="1"/>
        <v>47157.325224312423</v>
      </c>
      <c r="W36" s="9"/>
    </row>
    <row r="37" spans="1:23" x14ac:dyDescent="0.25">
      <c r="A37">
        <v>26</v>
      </c>
      <c r="B37" s="77">
        <v>44809.536</v>
      </c>
      <c r="C37" s="77">
        <v>11196.614299999999</v>
      </c>
      <c r="D37" s="77">
        <v>530.1191</v>
      </c>
      <c r="E37" s="77">
        <f t="shared" si="0"/>
        <v>56536.269400000005</v>
      </c>
      <c r="G37">
        <v>26</v>
      </c>
      <c r="H37" s="87">
        <v>34460.566306829365</v>
      </c>
      <c r="I37" s="87">
        <v>9039.1304209419941</v>
      </c>
      <c r="J37" s="87">
        <v>2689.3243400968254</v>
      </c>
      <c r="K37" s="77">
        <f t="shared" si="1"/>
        <v>46189.021067868183</v>
      </c>
      <c r="W37" s="9"/>
    </row>
    <row r="38" spans="1:23" x14ac:dyDescent="0.25">
      <c r="A38">
        <v>27</v>
      </c>
      <c r="B38" s="77">
        <v>22839.225600000002</v>
      </c>
      <c r="C38" s="77">
        <v>4827.4892</v>
      </c>
      <c r="D38" s="77">
        <v>388.87529999999998</v>
      </c>
      <c r="E38" s="77">
        <f t="shared" si="0"/>
        <v>28055.590100000001</v>
      </c>
      <c r="G38">
        <v>27</v>
      </c>
      <c r="H38" s="87">
        <v>32937.483340549035</v>
      </c>
      <c r="I38" s="87">
        <v>7077.1172063016948</v>
      </c>
      <c r="J38" s="87">
        <v>2229.8781400524117</v>
      </c>
      <c r="K38" s="77">
        <f t="shared" si="1"/>
        <v>42244.478686903138</v>
      </c>
      <c r="W38" s="9"/>
    </row>
    <row r="39" spans="1:23" x14ac:dyDescent="0.25">
      <c r="A39">
        <v>28</v>
      </c>
      <c r="B39" s="77">
        <v>37325.352500000001</v>
      </c>
      <c r="C39" s="77">
        <v>5041.6772000000001</v>
      </c>
      <c r="D39" s="77">
        <v>1682.6483000000001</v>
      </c>
      <c r="E39" s="77">
        <f t="shared" si="0"/>
        <v>44049.678</v>
      </c>
      <c r="G39">
        <v>28</v>
      </c>
      <c r="H39" s="87">
        <v>34811.353062659546</v>
      </c>
      <c r="I39" s="87">
        <v>8057.4552174557957</v>
      </c>
      <c r="J39" s="87">
        <v>2254.5155514006228</v>
      </c>
      <c r="K39" s="77">
        <f t="shared" si="1"/>
        <v>45123.323831515969</v>
      </c>
      <c r="W39" s="9"/>
    </row>
    <row r="40" spans="1:23" x14ac:dyDescent="0.25">
      <c r="A40">
        <v>29</v>
      </c>
      <c r="B40" s="77">
        <v>28116.716899999999</v>
      </c>
      <c r="C40" s="77">
        <v>8071.1693000000005</v>
      </c>
      <c r="D40" s="77">
        <v>2609.3715999999999</v>
      </c>
      <c r="E40" s="77">
        <f t="shared" si="0"/>
        <v>38797.257799999999</v>
      </c>
      <c r="G40">
        <v>29</v>
      </c>
      <c r="H40" s="87">
        <v>40428.823520318358</v>
      </c>
      <c r="I40" s="87">
        <v>8871.3115695598317</v>
      </c>
      <c r="J40" s="87">
        <v>2638.3294678167481</v>
      </c>
      <c r="K40" s="77">
        <f t="shared" si="1"/>
        <v>51938.464557694941</v>
      </c>
      <c r="W40" s="9"/>
    </row>
    <row r="41" spans="1:23" x14ac:dyDescent="0.25">
      <c r="A41">
        <v>30</v>
      </c>
      <c r="B41" s="77">
        <v>35270.042200000004</v>
      </c>
      <c r="C41" s="77">
        <v>3885.6248999999998</v>
      </c>
      <c r="D41" s="77">
        <v>677.73019999999997</v>
      </c>
      <c r="E41" s="77">
        <f t="shared" si="0"/>
        <v>39833.397300000004</v>
      </c>
      <c r="G41">
        <v>30</v>
      </c>
      <c r="H41" s="87">
        <v>38557.783830095956</v>
      </c>
      <c r="I41" s="87">
        <v>6505.3945352608816</v>
      </c>
      <c r="J41" s="87">
        <v>1608.8177617668257</v>
      </c>
      <c r="K41" s="77">
        <f t="shared" si="1"/>
        <v>46671.996127123661</v>
      </c>
      <c r="W41" s="9"/>
    </row>
    <row r="42" spans="1:23" x14ac:dyDescent="0.25">
      <c r="A42">
        <v>31</v>
      </c>
      <c r="B42" s="77">
        <v>34771.8416</v>
      </c>
      <c r="C42" s="77">
        <v>8885.7134999999998</v>
      </c>
      <c r="D42" s="77">
        <v>841.87170000000003</v>
      </c>
      <c r="E42" s="77">
        <f t="shared" si="0"/>
        <v>44499.426800000001</v>
      </c>
      <c r="G42">
        <v>31</v>
      </c>
      <c r="H42" s="87">
        <v>34660.921743522442</v>
      </c>
      <c r="I42" s="87">
        <v>7765.316443217258</v>
      </c>
      <c r="J42" s="87">
        <v>1800.9441940574322</v>
      </c>
      <c r="K42" s="77">
        <f t="shared" si="1"/>
        <v>44227.18238079713</v>
      </c>
      <c r="W42" s="9"/>
    </row>
    <row r="43" spans="1:23" x14ac:dyDescent="0.25">
      <c r="A43">
        <v>32</v>
      </c>
      <c r="B43" s="77">
        <v>23089.4725</v>
      </c>
      <c r="C43" s="77">
        <v>4080.5610999999999</v>
      </c>
      <c r="D43" s="77">
        <v>2247.1212</v>
      </c>
      <c r="E43" s="77">
        <f t="shared" si="0"/>
        <v>29417.1548</v>
      </c>
      <c r="G43">
        <v>32</v>
      </c>
      <c r="H43" s="87">
        <v>27575.997870883646</v>
      </c>
      <c r="I43" s="87">
        <v>5407.2056126425141</v>
      </c>
      <c r="J43" s="87">
        <v>1458.209496414675</v>
      </c>
      <c r="K43" s="77">
        <f t="shared" si="1"/>
        <v>34441.412979940833</v>
      </c>
      <c r="W43" s="9"/>
    </row>
    <row r="44" spans="1:23" x14ac:dyDescent="0.25">
      <c r="A44">
        <v>33</v>
      </c>
      <c r="B44" s="77">
        <v>28861.442999999999</v>
      </c>
      <c r="C44" s="77">
        <v>5224.7039999999997</v>
      </c>
      <c r="D44" s="77">
        <v>360.57139999999998</v>
      </c>
      <c r="E44" s="77">
        <f t="shared" si="0"/>
        <v>34446.718399999998</v>
      </c>
      <c r="G44">
        <v>33</v>
      </c>
      <c r="H44" s="87">
        <v>30365.387090971686</v>
      </c>
      <c r="I44" s="87">
        <v>5432.0113196892189</v>
      </c>
      <c r="J44" s="87">
        <v>1445.5572778203505</v>
      </c>
      <c r="K44" s="77">
        <f t="shared" si="1"/>
        <v>37242.955688481255</v>
      </c>
      <c r="W44" s="9"/>
    </row>
    <row r="45" spans="1:23" x14ac:dyDescent="0.25">
      <c r="A45">
        <v>34</v>
      </c>
      <c r="B45" s="77">
        <v>23191.500199999999</v>
      </c>
      <c r="C45" s="77">
        <v>3715.6376</v>
      </c>
      <c r="D45" s="77">
        <v>2686.0828000000001</v>
      </c>
      <c r="E45" s="77">
        <f t="shared" si="0"/>
        <v>29593.220599999997</v>
      </c>
      <c r="G45">
        <v>34</v>
      </c>
      <c r="H45" s="87">
        <v>38700.241503325633</v>
      </c>
      <c r="I45" s="87">
        <v>9302.4790357104866</v>
      </c>
      <c r="J45" s="87">
        <v>2413.5884819439443</v>
      </c>
      <c r="K45" s="77">
        <f t="shared" si="1"/>
        <v>50416.309020980065</v>
      </c>
      <c r="W45" s="9"/>
    </row>
    <row r="46" spans="1:23" x14ac:dyDescent="0.25">
      <c r="A46">
        <v>35</v>
      </c>
      <c r="B46" s="77">
        <v>28738.343100000002</v>
      </c>
      <c r="C46" s="77">
        <v>5445.5936000000002</v>
      </c>
      <c r="D46" s="77">
        <v>1813.1448</v>
      </c>
      <c r="E46" s="77">
        <f t="shared" si="0"/>
        <v>35997.081500000008</v>
      </c>
      <c r="G46">
        <v>35</v>
      </c>
      <c r="H46" s="87">
        <v>30342.890213884741</v>
      </c>
      <c r="I46" s="87">
        <v>5468.6871570007652</v>
      </c>
      <c r="J46" s="87">
        <v>1428.9149297770671</v>
      </c>
      <c r="K46" s="77">
        <f t="shared" si="1"/>
        <v>37240.492300662569</v>
      </c>
      <c r="W46" s="9"/>
    </row>
    <row r="47" spans="1:23" x14ac:dyDescent="0.25">
      <c r="A47">
        <v>36</v>
      </c>
      <c r="B47" s="77">
        <v>22361.069100000001</v>
      </c>
      <c r="C47" s="77">
        <v>150.87260000000001</v>
      </c>
      <c r="D47" s="77">
        <v>729.78359999999998</v>
      </c>
      <c r="E47" s="77">
        <f t="shared" si="0"/>
        <v>23241.725299999998</v>
      </c>
      <c r="G47">
        <v>36</v>
      </c>
      <c r="H47" s="87">
        <v>35158.747490340153</v>
      </c>
      <c r="I47" s="87">
        <v>4997.5619240163414</v>
      </c>
      <c r="J47" s="87">
        <v>1309.612967800243</v>
      </c>
      <c r="K47" s="77">
        <f t="shared" si="1"/>
        <v>41465.922382156736</v>
      </c>
      <c r="W47" s="9"/>
    </row>
    <row r="48" spans="1:23" x14ac:dyDescent="0.25">
      <c r="A48">
        <v>37</v>
      </c>
      <c r="B48" s="77">
        <v>29645.9568</v>
      </c>
      <c r="C48" s="77">
        <v>5477.1683000000003</v>
      </c>
      <c r="D48" s="77">
        <v>895.12459999999999</v>
      </c>
      <c r="E48" s="77">
        <f t="shared" si="0"/>
        <v>36018.2497</v>
      </c>
      <c r="G48">
        <v>37</v>
      </c>
      <c r="H48" s="87">
        <v>26446.796895222036</v>
      </c>
      <c r="I48" s="87">
        <v>4493.4840573880283</v>
      </c>
      <c r="J48" s="87">
        <v>1249.8030977912022</v>
      </c>
      <c r="K48" s="77">
        <f t="shared" si="1"/>
        <v>32190.084050401267</v>
      </c>
      <c r="W48" s="9"/>
    </row>
    <row r="49" spans="1:23" x14ac:dyDescent="0.25">
      <c r="A49">
        <v>38</v>
      </c>
      <c r="B49" s="77">
        <v>34776.618300000002</v>
      </c>
      <c r="C49" s="77">
        <v>6737.3730000000005</v>
      </c>
      <c r="D49" s="77">
        <v>424.62450000000001</v>
      </c>
      <c r="E49" s="77">
        <f t="shared" si="0"/>
        <v>41938.6158</v>
      </c>
      <c r="G49">
        <v>38</v>
      </c>
      <c r="H49" s="87">
        <v>20695.466139974458</v>
      </c>
      <c r="I49" s="87">
        <v>3876.8859974851734</v>
      </c>
      <c r="J49" s="87">
        <v>960.54484418828679</v>
      </c>
      <c r="K49" s="77">
        <f t="shared" si="1"/>
        <v>25532.896981647918</v>
      </c>
      <c r="W49" s="9"/>
    </row>
    <row r="50" spans="1:23" x14ac:dyDescent="0.25">
      <c r="A50">
        <v>39</v>
      </c>
      <c r="B50" s="77">
        <v>20769.159500000002</v>
      </c>
      <c r="C50" s="77">
        <v>2386.3915999999999</v>
      </c>
      <c r="D50" s="77">
        <v>1473.8867</v>
      </c>
      <c r="E50" s="77">
        <f t="shared" si="0"/>
        <v>24629.4378</v>
      </c>
      <c r="G50">
        <v>39</v>
      </c>
      <c r="H50" s="87">
        <v>29108.095737806292</v>
      </c>
      <c r="I50" s="87">
        <v>4840.0045063424041</v>
      </c>
      <c r="J50" s="87">
        <v>1305.4422595088422</v>
      </c>
      <c r="K50" s="77">
        <f t="shared" si="1"/>
        <v>35253.542503657533</v>
      </c>
      <c r="W50" s="9"/>
    </row>
    <row r="51" spans="1:23" x14ac:dyDescent="0.25">
      <c r="A51">
        <v>40</v>
      </c>
      <c r="B51" s="77">
        <v>28122.1993</v>
      </c>
      <c r="C51" s="77">
        <v>1752.5722000000001</v>
      </c>
      <c r="D51" s="77">
        <v>487.60539999999997</v>
      </c>
      <c r="E51" s="77">
        <f t="shared" si="0"/>
        <v>30362.376899999999</v>
      </c>
      <c r="G51">
        <v>40</v>
      </c>
      <c r="H51" s="87">
        <v>27345.052562789089</v>
      </c>
      <c r="I51" s="87">
        <v>4718.295269503551</v>
      </c>
      <c r="J51" s="87">
        <v>1223.9991756095526</v>
      </c>
      <c r="K51" s="77">
        <f t="shared" si="1"/>
        <v>33287.347007902194</v>
      </c>
      <c r="W51" s="9"/>
    </row>
    <row r="52" spans="1:23" x14ac:dyDescent="0.25">
      <c r="A52">
        <v>41</v>
      </c>
      <c r="B52" s="77">
        <v>15388.57</v>
      </c>
      <c r="C52" s="77">
        <v>3679.8153000000002</v>
      </c>
      <c r="D52" s="77">
        <v>649.75109999999995</v>
      </c>
      <c r="E52" s="77">
        <f t="shared" si="0"/>
        <v>19718.136400000003</v>
      </c>
      <c r="G52">
        <v>41</v>
      </c>
      <c r="H52" s="87">
        <v>22422.116331269393</v>
      </c>
      <c r="I52" s="87">
        <v>3621.2807746022036</v>
      </c>
      <c r="J52" s="87">
        <v>854.29512130031333</v>
      </c>
      <c r="K52" s="77">
        <f t="shared" si="1"/>
        <v>26897.692227171912</v>
      </c>
      <c r="W52" s="9"/>
    </row>
    <row r="53" spans="1:23" x14ac:dyDescent="0.25">
      <c r="A53">
        <v>42</v>
      </c>
      <c r="B53" s="77">
        <v>11128.128000000001</v>
      </c>
      <c r="C53" s="77">
        <v>2557.6177000000002</v>
      </c>
      <c r="D53" s="77">
        <v>236.55590000000001</v>
      </c>
      <c r="E53" s="77">
        <f t="shared" si="0"/>
        <v>13922.301600000001</v>
      </c>
      <c r="G53">
        <v>42</v>
      </c>
      <c r="H53" s="87">
        <v>22645.023304104012</v>
      </c>
      <c r="I53" s="87">
        <v>3487.4247546593765</v>
      </c>
      <c r="J53" s="87">
        <v>953.41031324964388</v>
      </c>
      <c r="K53" s="77">
        <f t="shared" si="1"/>
        <v>27085.858372013034</v>
      </c>
      <c r="W53" s="9"/>
    </row>
    <row r="54" spans="1:23" x14ac:dyDescent="0.25">
      <c r="A54">
        <v>43</v>
      </c>
      <c r="B54" s="77">
        <v>20990.971700000002</v>
      </c>
      <c r="C54" s="77">
        <v>4801.5052999999998</v>
      </c>
      <c r="D54" s="77">
        <v>500.0788</v>
      </c>
      <c r="E54" s="77">
        <f t="shared" si="0"/>
        <v>26292.555800000002</v>
      </c>
      <c r="G54">
        <v>43</v>
      </c>
      <c r="H54" s="87">
        <v>19194.458689703006</v>
      </c>
      <c r="I54" s="87">
        <v>3421.8560837567684</v>
      </c>
      <c r="J54" s="87">
        <v>808.08819241494643</v>
      </c>
      <c r="K54" s="77">
        <f t="shared" si="1"/>
        <v>23424.40296587472</v>
      </c>
      <c r="W54" s="9"/>
    </row>
    <row r="55" spans="1:23" x14ac:dyDescent="0.25">
      <c r="A55">
        <v>44</v>
      </c>
      <c r="B55" s="77">
        <v>11192.805900000001</v>
      </c>
      <c r="C55" s="77">
        <v>1639.2260000000001</v>
      </c>
      <c r="D55" s="77">
        <v>738.99239999999998</v>
      </c>
      <c r="E55" s="77">
        <f t="shared" si="0"/>
        <v>13571.024300000001</v>
      </c>
      <c r="G55">
        <v>44</v>
      </c>
      <c r="H55" s="87">
        <v>16977.268030792962</v>
      </c>
      <c r="I55" s="87">
        <v>2149.1404113991839</v>
      </c>
      <c r="J55" s="87">
        <v>517.16729940557866</v>
      </c>
      <c r="K55" s="77">
        <f t="shared" si="1"/>
        <v>19643.575741597724</v>
      </c>
      <c r="W55" s="9"/>
    </row>
    <row r="56" spans="1:23" x14ac:dyDescent="0.25">
      <c r="A56">
        <v>45</v>
      </c>
      <c r="B56" s="77">
        <v>45591.610200000003</v>
      </c>
      <c r="C56" s="77">
        <v>9474.4542999999994</v>
      </c>
      <c r="D56" s="77">
        <v>3501.2357000000002</v>
      </c>
      <c r="E56" s="77">
        <f t="shared" si="0"/>
        <v>58567.300199999998</v>
      </c>
      <c r="G56">
        <v>45</v>
      </c>
      <c r="H56" s="87">
        <v>18280.91506344829</v>
      </c>
      <c r="I56" s="87">
        <v>2581.0990369813189</v>
      </c>
      <c r="J56" s="87">
        <v>643.9931276922689</v>
      </c>
      <c r="K56" s="77">
        <f t="shared" si="1"/>
        <v>21506.007228121878</v>
      </c>
      <c r="W56" s="9"/>
    </row>
    <row r="57" spans="1:23" x14ac:dyDescent="0.25">
      <c r="A57">
        <v>46</v>
      </c>
      <c r="B57" s="77">
        <v>23351.7166</v>
      </c>
      <c r="C57" s="77">
        <v>3683.0866000000001</v>
      </c>
      <c r="D57" s="77">
        <v>164.9238</v>
      </c>
      <c r="E57" s="77">
        <f t="shared" si="0"/>
        <v>27199.726999999999</v>
      </c>
      <c r="G57">
        <v>46</v>
      </c>
      <c r="H57" s="87">
        <v>24983.953037167517</v>
      </c>
      <c r="I57" s="87">
        <v>4164.6882849132298</v>
      </c>
      <c r="J57" s="87">
        <v>691.66759562270113</v>
      </c>
      <c r="K57" s="77">
        <f t="shared" si="1"/>
        <v>29840.308917703449</v>
      </c>
      <c r="W57" s="9"/>
    </row>
    <row r="58" spans="1:23" x14ac:dyDescent="0.25">
      <c r="A58">
        <v>47</v>
      </c>
      <c r="B58" s="77">
        <v>19037.6587</v>
      </c>
      <c r="C58" s="77">
        <v>251.34559999999999</v>
      </c>
      <c r="D58" s="77">
        <v>197.4496</v>
      </c>
      <c r="E58" s="77">
        <f t="shared" si="0"/>
        <v>19486.4539</v>
      </c>
      <c r="G58">
        <v>47</v>
      </c>
      <c r="H58" s="87">
        <v>17683.968713685783</v>
      </c>
      <c r="I58" s="87">
        <v>2627.2500773738197</v>
      </c>
      <c r="J58" s="87">
        <v>552.48207532541426</v>
      </c>
      <c r="K58" s="77">
        <f t="shared" si="1"/>
        <v>20863.700866385017</v>
      </c>
      <c r="W58" s="9"/>
    </row>
    <row r="59" spans="1:23" x14ac:dyDescent="0.25">
      <c r="A59">
        <v>48</v>
      </c>
      <c r="B59" s="77">
        <v>8574.8078000000005</v>
      </c>
      <c r="C59" s="77">
        <v>1714.4099999999999</v>
      </c>
      <c r="D59" s="77">
        <v>221.66669999999999</v>
      </c>
      <c r="E59" s="77">
        <f t="shared" si="0"/>
        <v>10510.8845</v>
      </c>
      <c r="G59">
        <v>48</v>
      </c>
      <c r="H59" s="87">
        <v>18001.445259883614</v>
      </c>
      <c r="I59" s="87">
        <v>3232.1396509987726</v>
      </c>
      <c r="J59" s="87">
        <v>655.34305996923274</v>
      </c>
      <c r="K59" s="77">
        <f t="shared" si="1"/>
        <v>21888.927970851619</v>
      </c>
      <c r="W59" s="9"/>
    </row>
    <row r="60" spans="1:23" x14ac:dyDescent="0.25">
      <c r="A60">
        <v>49</v>
      </c>
      <c r="B60" s="77">
        <v>13313.146500000001</v>
      </c>
      <c r="C60" s="77">
        <v>172.32499999999999</v>
      </c>
      <c r="D60" s="77">
        <v>0</v>
      </c>
      <c r="E60" s="77">
        <f t="shared" si="0"/>
        <v>13485.471500000001</v>
      </c>
      <c r="G60">
        <v>49</v>
      </c>
      <c r="H60" s="87">
        <v>13168.847013282966</v>
      </c>
      <c r="I60" s="87">
        <v>1768.1343426350027</v>
      </c>
      <c r="J60" s="87">
        <v>352.19991421662104</v>
      </c>
      <c r="K60" s="77">
        <f t="shared" si="1"/>
        <v>15289.18127013459</v>
      </c>
      <c r="W60" s="9"/>
    </row>
    <row r="61" spans="1:23" x14ac:dyDescent="0.25">
      <c r="A61">
        <v>50</v>
      </c>
      <c r="B61" s="77">
        <v>11971.220300000001</v>
      </c>
      <c r="C61" s="77">
        <v>607.67719999999997</v>
      </c>
      <c r="D61" s="77">
        <v>0</v>
      </c>
      <c r="E61" s="77">
        <f t="shared" si="0"/>
        <v>12578.897500000001</v>
      </c>
      <c r="G61">
        <v>50</v>
      </c>
      <c r="H61" s="87">
        <v>11567.293435111367</v>
      </c>
      <c r="I61" s="87">
        <v>1507.1765114819445</v>
      </c>
      <c r="J61" s="87">
        <v>298.48287618341629</v>
      </c>
      <c r="K61" s="77">
        <f t="shared" si="1"/>
        <v>13372.952822776728</v>
      </c>
      <c r="W61" s="9"/>
    </row>
    <row r="62" spans="1:23" x14ac:dyDescent="0.25">
      <c r="A62">
        <v>51</v>
      </c>
      <c r="B62" s="77">
        <v>6749.5877</v>
      </c>
      <c r="C62" s="77">
        <v>355.04610000000002</v>
      </c>
      <c r="D62" s="77">
        <v>109.3501</v>
      </c>
      <c r="E62" s="77">
        <f t="shared" si="0"/>
        <v>7213.9838999999993</v>
      </c>
      <c r="G62">
        <v>51</v>
      </c>
      <c r="H62" s="87">
        <v>13545.983207840796</v>
      </c>
      <c r="I62" s="87">
        <v>1591.552567633624</v>
      </c>
      <c r="J62" s="87">
        <v>443.92416173589453</v>
      </c>
      <c r="K62" s="77">
        <f t="shared" si="1"/>
        <v>15581.459937210315</v>
      </c>
      <c r="W62" s="9"/>
    </row>
    <row r="63" spans="1:23" x14ac:dyDescent="0.25">
      <c r="A63">
        <v>52</v>
      </c>
      <c r="B63" s="77">
        <v>15710.4756</v>
      </c>
      <c r="C63" s="77">
        <v>202.65819999999999</v>
      </c>
      <c r="D63" s="77">
        <v>0</v>
      </c>
      <c r="E63" s="77">
        <f t="shared" si="0"/>
        <v>15913.1338</v>
      </c>
      <c r="G63">
        <v>52</v>
      </c>
      <c r="H63" s="87">
        <v>16549.626237275839</v>
      </c>
      <c r="I63" s="87">
        <v>2126.2284388416979</v>
      </c>
      <c r="J63" s="87">
        <v>419.94645116007251</v>
      </c>
      <c r="K63" s="77">
        <f t="shared" si="1"/>
        <v>19095.801127277609</v>
      </c>
      <c r="W63" s="9"/>
    </row>
    <row r="64" spans="1:23" x14ac:dyDescent="0.25">
      <c r="A64">
        <v>53</v>
      </c>
      <c r="B64" s="77">
        <v>9426.2494000000006</v>
      </c>
      <c r="C64" s="77">
        <v>1069.8820000000001</v>
      </c>
      <c r="D64" s="77">
        <v>1260.1192000000001</v>
      </c>
      <c r="E64" s="77">
        <f t="shared" si="0"/>
        <v>11756.250599999999</v>
      </c>
      <c r="G64">
        <v>53</v>
      </c>
      <c r="H64" s="87">
        <v>9367.0766066233737</v>
      </c>
      <c r="I64" s="87">
        <v>1266.2482306325053</v>
      </c>
      <c r="J64" s="87">
        <v>206.37198484616107</v>
      </c>
      <c r="K64" s="77">
        <f t="shared" si="1"/>
        <v>10839.69682210204</v>
      </c>
      <c r="W64" s="9"/>
    </row>
    <row r="65" spans="1:23" x14ac:dyDescent="0.25">
      <c r="A65">
        <v>54</v>
      </c>
      <c r="B65" s="77">
        <v>14228.0244</v>
      </c>
      <c r="C65" s="77">
        <v>3517.1571000000004</v>
      </c>
      <c r="D65" s="77">
        <v>0</v>
      </c>
      <c r="E65" s="77">
        <f t="shared" si="0"/>
        <v>17745.181499999999</v>
      </c>
      <c r="G65">
        <v>54</v>
      </c>
      <c r="H65" s="87">
        <v>8830.1247218248081</v>
      </c>
      <c r="I65" s="87">
        <v>1192.7879303297675</v>
      </c>
      <c r="J65" s="87">
        <v>216.46577737055085</v>
      </c>
      <c r="K65" s="77">
        <f t="shared" si="1"/>
        <v>10239.378429525126</v>
      </c>
      <c r="W65" s="9"/>
    </row>
    <row r="66" spans="1:23" x14ac:dyDescent="0.25">
      <c r="A66">
        <v>55</v>
      </c>
      <c r="B66" s="77">
        <v>14906.8109</v>
      </c>
      <c r="C66" s="77">
        <v>2195.2575000000002</v>
      </c>
      <c r="D66" s="77">
        <v>0</v>
      </c>
      <c r="E66" s="77">
        <f t="shared" si="0"/>
        <v>17102.0684</v>
      </c>
      <c r="G66">
        <v>55</v>
      </c>
      <c r="H66" s="87">
        <v>11531.99947446582</v>
      </c>
      <c r="I66" s="87">
        <v>1814.2508153691529</v>
      </c>
      <c r="J66" s="87">
        <v>494.02409977017714</v>
      </c>
      <c r="K66" s="77">
        <f t="shared" si="1"/>
        <v>13840.274389605149</v>
      </c>
      <c r="W66" s="9"/>
    </row>
    <row r="67" spans="1:23" x14ac:dyDescent="0.25">
      <c r="A67">
        <v>56</v>
      </c>
      <c r="B67" s="77">
        <v>4920.5766000000003</v>
      </c>
      <c r="C67" s="77">
        <v>0</v>
      </c>
      <c r="D67" s="77">
        <v>0</v>
      </c>
      <c r="E67" s="77">
        <f t="shared" si="0"/>
        <v>4920.5766000000003</v>
      </c>
      <c r="G67">
        <v>56</v>
      </c>
      <c r="H67" s="87">
        <v>10167.447063474056</v>
      </c>
      <c r="I67" s="87">
        <v>1075.1179414372523</v>
      </c>
      <c r="J67" s="87">
        <v>226.04534469584107</v>
      </c>
      <c r="K67" s="77">
        <f t="shared" si="1"/>
        <v>11468.61034960715</v>
      </c>
      <c r="W67" s="9"/>
    </row>
    <row r="68" spans="1:23" x14ac:dyDescent="0.25">
      <c r="A68">
        <v>57</v>
      </c>
      <c r="B68" s="77">
        <v>4799.5738000000001</v>
      </c>
      <c r="C68" s="77">
        <v>1505.2651000000001</v>
      </c>
      <c r="D68" s="77">
        <v>0</v>
      </c>
      <c r="E68" s="77">
        <f t="shared" si="0"/>
        <v>6304.8389000000006</v>
      </c>
      <c r="G68">
        <v>57</v>
      </c>
      <c r="H68" s="87">
        <v>10212.386870718687</v>
      </c>
      <c r="I68" s="87">
        <v>918.3572280016615</v>
      </c>
      <c r="J68" s="87">
        <v>222.60935272162465</v>
      </c>
      <c r="K68" s="77">
        <f t="shared" si="1"/>
        <v>11353.353451441973</v>
      </c>
      <c r="W68" s="9"/>
    </row>
    <row r="69" spans="1:23" x14ac:dyDescent="0.25">
      <c r="A69">
        <v>58</v>
      </c>
      <c r="B69" s="77">
        <v>7992.6848</v>
      </c>
      <c r="C69" s="77">
        <v>221.9759</v>
      </c>
      <c r="D69" s="77">
        <v>0</v>
      </c>
      <c r="E69" s="77">
        <f t="shared" si="0"/>
        <v>8214.6607000000004</v>
      </c>
      <c r="G69">
        <v>58</v>
      </c>
      <c r="H69" s="87">
        <v>10375.265151217556</v>
      </c>
      <c r="I69" s="87">
        <v>1170.9208967542399</v>
      </c>
      <c r="J69" s="87">
        <v>201.28357745067245</v>
      </c>
      <c r="K69" s="77">
        <f t="shared" si="1"/>
        <v>11747.469625422469</v>
      </c>
      <c r="W69" s="9"/>
    </row>
    <row r="70" spans="1:23" x14ac:dyDescent="0.25">
      <c r="A70">
        <v>59</v>
      </c>
      <c r="B70" s="77">
        <v>8593.5807000000004</v>
      </c>
      <c r="C70" s="77">
        <v>357.17180000000002</v>
      </c>
      <c r="D70" s="77">
        <v>967.33479999999997</v>
      </c>
      <c r="E70" s="77">
        <f t="shared" si="0"/>
        <v>9918.0873000000011</v>
      </c>
      <c r="G70">
        <v>59</v>
      </c>
      <c r="H70" s="87">
        <v>10038.130183990175</v>
      </c>
      <c r="I70" s="87">
        <v>1578.6077350271873</v>
      </c>
      <c r="J70" s="87">
        <v>291.75584850078536</v>
      </c>
      <c r="K70" s="77">
        <f t="shared" si="1"/>
        <v>11908.493767518148</v>
      </c>
      <c r="W70" s="9"/>
    </row>
    <row r="71" spans="1:23" x14ac:dyDescent="0.25">
      <c r="A71">
        <v>60</v>
      </c>
      <c r="B71" s="77">
        <v>8470.482</v>
      </c>
      <c r="C71" s="77">
        <v>0</v>
      </c>
      <c r="D71" s="77">
        <v>0</v>
      </c>
      <c r="E71" s="77">
        <f t="shared" si="0"/>
        <v>8470.482</v>
      </c>
      <c r="G71">
        <v>60</v>
      </c>
      <c r="H71" s="87">
        <v>9685.2438432880135</v>
      </c>
      <c r="I71" s="87">
        <v>1051.9550597972193</v>
      </c>
      <c r="J71" s="87">
        <v>264.23846260143836</v>
      </c>
      <c r="K71" s="77">
        <f t="shared" si="1"/>
        <v>11001.437365686672</v>
      </c>
      <c r="W71" s="9"/>
    </row>
    <row r="72" spans="1:23" x14ac:dyDescent="0.25">
      <c r="A72">
        <v>61</v>
      </c>
      <c r="B72" s="77">
        <v>3449.6851000000001</v>
      </c>
      <c r="C72" s="77">
        <v>191.23939999999999</v>
      </c>
      <c r="D72" s="77">
        <v>0</v>
      </c>
      <c r="E72" s="77">
        <f t="shared" si="0"/>
        <v>3640.9245000000001</v>
      </c>
      <c r="G72">
        <v>61</v>
      </c>
      <c r="H72" s="87">
        <v>5898.5776121135405</v>
      </c>
      <c r="I72" s="87">
        <v>806.42757200284291</v>
      </c>
      <c r="J72" s="87">
        <v>166.65325698901506</v>
      </c>
      <c r="K72" s="77">
        <f t="shared" si="1"/>
        <v>6871.6584411053982</v>
      </c>
      <c r="W72" s="9"/>
    </row>
    <row r="73" spans="1:23" x14ac:dyDescent="0.25">
      <c r="A73">
        <v>62</v>
      </c>
      <c r="B73" s="77">
        <v>5407.8216000000002</v>
      </c>
      <c r="C73" s="77">
        <v>142.41460000000001</v>
      </c>
      <c r="D73" s="77">
        <v>0</v>
      </c>
      <c r="E73" s="77">
        <f t="shared" si="0"/>
        <v>5550.2362000000003</v>
      </c>
      <c r="G73">
        <v>62</v>
      </c>
      <c r="H73" s="87">
        <v>13431.393176228223</v>
      </c>
      <c r="I73" s="87">
        <v>1688.5334535642291</v>
      </c>
      <c r="J73" s="87">
        <v>258.93820593988363</v>
      </c>
      <c r="K73" s="77">
        <f t="shared" si="1"/>
        <v>15378.864835732335</v>
      </c>
      <c r="W73" s="9"/>
    </row>
    <row r="74" spans="1:23" x14ac:dyDescent="0.25">
      <c r="A74">
        <v>63</v>
      </c>
      <c r="B74" s="77">
        <v>4585.2093000000004</v>
      </c>
      <c r="C74" s="77">
        <v>182.4162</v>
      </c>
      <c r="D74" s="77">
        <v>0</v>
      </c>
      <c r="E74" s="77">
        <f t="shared" si="0"/>
        <v>4767.6255000000001</v>
      </c>
      <c r="G74">
        <v>63</v>
      </c>
      <c r="H74" s="87">
        <v>8676.4749022801225</v>
      </c>
      <c r="I74" s="87">
        <v>933.97617430891739</v>
      </c>
      <c r="J74" s="87">
        <v>217.26267661592667</v>
      </c>
      <c r="K74" s="77">
        <f t="shared" si="1"/>
        <v>9827.7137532049655</v>
      </c>
      <c r="W74" s="9"/>
    </row>
    <row r="75" spans="1:23" x14ac:dyDescent="0.25">
      <c r="A75">
        <v>64</v>
      </c>
      <c r="B75" s="77">
        <v>4111.7543999999998</v>
      </c>
      <c r="C75" s="77">
        <v>0</v>
      </c>
      <c r="D75" s="77">
        <v>0</v>
      </c>
      <c r="E75" s="77">
        <f t="shared" si="0"/>
        <v>4111.7543999999998</v>
      </c>
      <c r="G75">
        <v>64</v>
      </c>
      <c r="H75" s="87">
        <v>4942.3093456663737</v>
      </c>
      <c r="I75" s="87">
        <v>627.66824885609833</v>
      </c>
      <c r="J75" s="87">
        <v>114.21388242558361</v>
      </c>
      <c r="K75" s="77">
        <f t="shared" si="1"/>
        <v>5684.1914769480554</v>
      </c>
      <c r="W75" s="9"/>
    </row>
    <row r="76" spans="1:23" x14ac:dyDescent="0.25">
      <c r="A76">
        <v>65</v>
      </c>
      <c r="B76" s="77">
        <v>5151.6911</v>
      </c>
      <c r="C76" s="77">
        <v>105.4442</v>
      </c>
      <c r="D76" s="77">
        <v>272.79259999999999</v>
      </c>
      <c r="E76" s="77">
        <f t="shared" ref="E76:E101" si="2">SUM(B76:D76)</f>
        <v>5529.9278999999997</v>
      </c>
      <c r="G76">
        <v>65</v>
      </c>
      <c r="H76" s="87">
        <v>7503.3801158348742</v>
      </c>
      <c r="I76" s="87">
        <v>981.87022502276841</v>
      </c>
      <c r="J76" s="87">
        <v>183.38969199952393</v>
      </c>
      <c r="K76" s="77">
        <f t="shared" ref="K76:K101" si="3">SUM(H76:J76)</f>
        <v>8668.6400328571672</v>
      </c>
      <c r="W76" s="9"/>
    </row>
    <row r="77" spans="1:23" x14ac:dyDescent="0.25">
      <c r="A77">
        <v>66</v>
      </c>
      <c r="B77" s="77">
        <v>3616.7132999999999</v>
      </c>
      <c r="C77" s="77">
        <v>0</v>
      </c>
      <c r="D77" s="77">
        <v>0</v>
      </c>
      <c r="E77" s="77">
        <f t="shared" si="2"/>
        <v>3616.7132999999999</v>
      </c>
      <c r="G77">
        <v>66</v>
      </c>
      <c r="H77" s="87">
        <v>5624.6242968191045</v>
      </c>
      <c r="I77" s="87">
        <v>587.23246336880845</v>
      </c>
      <c r="J77" s="87">
        <v>185.46535752246945</v>
      </c>
      <c r="K77" s="77">
        <f t="shared" si="3"/>
        <v>6397.3221177103824</v>
      </c>
      <c r="W77" s="9"/>
    </row>
    <row r="78" spans="1:23" x14ac:dyDescent="0.25">
      <c r="A78">
        <v>67</v>
      </c>
      <c r="B78" s="77">
        <v>6067.8571000000002</v>
      </c>
      <c r="C78" s="77">
        <v>98.345600000000005</v>
      </c>
      <c r="D78" s="77">
        <v>382.41930000000002</v>
      </c>
      <c r="E78" s="77">
        <f t="shared" si="2"/>
        <v>6548.6219999999994</v>
      </c>
      <c r="G78">
        <v>67</v>
      </c>
      <c r="H78" s="87">
        <v>5679.9039958268704</v>
      </c>
      <c r="I78" s="87">
        <v>814.51943266238459</v>
      </c>
      <c r="J78" s="87">
        <v>108.73682890378741</v>
      </c>
      <c r="K78" s="77">
        <f t="shared" si="3"/>
        <v>6603.1602573930431</v>
      </c>
      <c r="W78" s="9"/>
    </row>
    <row r="79" spans="1:23" x14ac:dyDescent="0.25">
      <c r="A79">
        <v>68</v>
      </c>
      <c r="B79" s="77">
        <v>1439.4110000000001</v>
      </c>
      <c r="C79" s="77">
        <v>0</v>
      </c>
      <c r="D79" s="77">
        <v>0</v>
      </c>
      <c r="E79" s="77">
        <f t="shared" si="2"/>
        <v>1439.4110000000001</v>
      </c>
      <c r="G79">
        <v>68</v>
      </c>
      <c r="H79" s="87">
        <v>3324.754505474682</v>
      </c>
      <c r="I79" s="87">
        <v>360.40129431625621</v>
      </c>
      <c r="J79" s="87">
        <v>72.398273665081874</v>
      </c>
      <c r="K79" s="77">
        <f t="shared" si="3"/>
        <v>3757.55407345602</v>
      </c>
      <c r="W79" s="9"/>
    </row>
    <row r="80" spans="1:23" x14ac:dyDescent="0.25">
      <c r="A80">
        <v>69</v>
      </c>
      <c r="B80" s="77">
        <v>3387.3550999999998</v>
      </c>
      <c r="C80" s="77">
        <v>87.552599999999998</v>
      </c>
      <c r="D80" s="77">
        <v>0</v>
      </c>
      <c r="E80" s="77">
        <f t="shared" si="2"/>
        <v>3474.9076999999997</v>
      </c>
      <c r="G80">
        <v>69</v>
      </c>
      <c r="H80" s="87">
        <v>3527.1944473397193</v>
      </c>
      <c r="I80" s="87">
        <v>423.72158746622347</v>
      </c>
      <c r="J80" s="87">
        <v>76.541040957464233</v>
      </c>
      <c r="K80" s="77">
        <f t="shared" si="3"/>
        <v>4027.4570757634069</v>
      </c>
      <c r="W80" s="9"/>
    </row>
    <row r="81" spans="1:23" x14ac:dyDescent="0.25">
      <c r="A81">
        <v>70</v>
      </c>
      <c r="B81" s="77">
        <v>4139.8503000000001</v>
      </c>
      <c r="C81" s="77">
        <v>187.47450000000001</v>
      </c>
      <c r="D81" s="77">
        <v>109.0124</v>
      </c>
      <c r="E81" s="77">
        <f t="shared" si="2"/>
        <v>4436.3371999999999</v>
      </c>
      <c r="G81">
        <v>70</v>
      </c>
      <c r="H81" s="87">
        <v>4482.2862792273136</v>
      </c>
      <c r="I81" s="87">
        <v>633.80131351768296</v>
      </c>
      <c r="J81" s="87">
        <v>150.64645959940461</v>
      </c>
      <c r="K81" s="77">
        <f t="shared" si="3"/>
        <v>5266.7340523444009</v>
      </c>
      <c r="W81" s="9"/>
    </row>
    <row r="82" spans="1:23" x14ac:dyDescent="0.25">
      <c r="A82">
        <v>71</v>
      </c>
      <c r="B82" s="77">
        <v>2496.1585</v>
      </c>
      <c r="C82" s="77">
        <v>0</v>
      </c>
      <c r="D82" s="77">
        <v>0</v>
      </c>
      <c r="E82" s="77">
        <f t="shared" si="2"/>
        <v>2496.1585</v>
      </c>
      <c r="G82">
        <v>71</v>
      </c>
      <c r="H82" s="87">
        <v>4111.9530447050911</v>
      </c>
      <c r="I82" s="87">
        <v>429.51325660821482</v>
      </c>
      <c r="J82" s="87">
        <v>97.946602186781874</v>
      </c>
      <c r="K82" s="77">
        <f t="shared" si="3"/>
        <v>4639.4129035000879</v>
      </c>
      <c r="W82" s="9"/>
    </row>
    <row r="83" spans="1:23" x14ac:dyDescent="0.25">
      <c r="A83">
        <v>72</v>
      </c>
      <c r="B83" s="77">
        <v>2415.0693000000001</v>
      </c>
      <c r="C83" s="77">
        <v>983.3125</v>
      </c>
      <c r="D83" s="77">
        <v>0</v>
      </c>
      <c r="E83" s="77">
        <f t="shared" si="2"/>
        <v>3398.3818000000001</v>
      </c>
      <c r="G83">
        <v>72</v>
      </c>
      <c r="H83" s="87">
        <v>3960.3819844997929</v>
      </c>
      <c r="I83" s="87">
        <v>450.46734704607826</v>
      </c>
      <c r="J83" s="87">
        <v>78.147320741902703</v>
      </c>
      <c r="K83" s="77">
        <f t="shared" si="3"/>
        <v>4488.9966522877739</v>
      </c>
      <c r="W83" s="9"/>
    </row>
    <row r="84" spans="1:23" x14ac:dyDescent="0.25">
      <c r="A84">
        <v>73</v>
      </c>
      <c r="B84" s="77">
        <v>4557.6289999999999</v>
      </c>
      <c r="C84" s="77">
        <v>0</v>
      </c>
      <c r="D84" s="77">
        <v>212.34389999999999</v>
      </c>
      <c r="E84" s="77">
        <f t="shared" si="2"/>
        <v>4769.9728999999998</v>
      </c>
      <c r="G84">
        <v>73</v>
      </c>
      <c r="H84" s="87">
        <v>3197.7255375569484</v>
      </c>
      <c r="I84" s="87">
        <v>270.53704082501537</v>
      </c>
      <c r="J84" s="87">
        <v>82.523586583535987</v>
      </c>
      <c r="K84" s="77">
        <f t="shared" si="3"/>
        <v>3550.7861649655001</v>
      </c>
      <c r="W84" s="9"/>
    </row>
    <row r="85" spans="1:23" x14ac:dyDescent="0.25">
      <c r="A85">
        <v>74</v>
      </c>
      <c r="B85" s="77">
        <v>6512.6522999999997</v>
      </c>
      <c r="C85" s="77">
        <v>642.60169999999994</v>
      </c>
      <c r="D85" s="77">
        <v>0</v>
      </c>
      <c r="E85" s="77">
        <f t="shared" si="2"/>
        <v>7155.2539999999999</v>
      </c>
      <c r="G85">
        <v>74</v>
      </c>
      <c r="H85" s="87">
        <v>3157.5398245799011</v>
      </c>
      <c r="I85" s="87">
        <v>410.6594098271114</v>
      </c>
      <c r="J85" s="87">
        <v>79.802061279549193</v>
      </c>
      <c r="K85" s="77">
        <f t="shared" si="3"/>
        <v>3648.0012956865612</v>
      </c>
      <c r="W85" s="9"/>
    </row>
    <row r="86" spans="1:23" x14ac:dyDescent="0.25">
      <c r="A86">
        <v>75</v>
      </c>
      <c r="B86" s="77">
        <v>5734.0851000000002</v>
      </c>
      <c r="C86" s="77">
        <v>0</v>
      </c>
      <c r="D86" s="77">
        <v>0</v>
      </c>
      <c r="E86" s="77">
        <f t="shared" si="2"/>
        <v>5734.0851000000002</v>
      </c>
      <c r="G86">
        <v>75</v>
      </c>
      <c r="H86" s="87">
        <v>3411.5828106835702</v>
      </c>
      <c r="I86" s="87">
        <v>512.92632342978538</v>
      </c>
      <c r="J86" s="87">
        <v>88.452162919959136</v>
      </c>
      <c r="K86" s="77">
        <f t="shared" si="3"/>
        <v>4012.9612970333146</v>
      </c>
      <c r="W86" s="9"/>
    </row>
    <row r="87" spans="1:23" x14ac:dyDescent="0.25">
      <c r="A87">
        <v>76</v>
      </c>
      <c r="B87" s="77">
        <v>4217.6426000000001</v>
      </c>
      <c r="C87" s="77">
        <v>0</v>
      </c>
      <c r="D87" s="77">
        <v>258.15309999999999</v>
      </c>
      <c r="E87" s="77">
        <f t="shared" si="2"/>
        <v>4475.7957000000006</v>
      </c>
      <c r="G87">
        <v>76</v>
      </c>
      <c r="H87" s="87">
        <v>2907.8243291841891</v>
      </c>
      <c r="I87" s="87">
        <v>379.66631150948928</v>
      </c>
      <c r="J87" s="87">
        <v>59.462916237822647</v>
      </c>
      <c r="K87" s="77">
        <f t="shared" si="3"/>
        <v>3346.9535569315012</v>
      </c>
      <c r="W87" s="9"/>
    </row>
    <row r="88" spans="1:23" x14ac:dyDescent="0.25">
      <c r="A88">
        <v>77</v>
      </c>
      <c r="B88" s="77">
        <v>6088.5308000000005</v>
      </c>
      <c r="C88" s="77">
        <v>2235.7516999999998</v>
      </c>
      <c r="D88" s="77">
        <v>2414.0209</v>
      </c>
      <c r="E88" s="77">
        <f t="shared" si="2"/>
        <v>10738.303400000001</v>
      </c>
      <c r="G88">
        <v>77</v>
      </c>
      <c r="H88" s="87">
        <v>1837.1754368076874</v>
      </c>
      <c r="I88" s="87">
        <v>205.09112961537664</v>
      </c>
      <c r="J88" s="87">
        <v>49.42046728809737</v>
      </c>
      <c r="K88" s="77">
        <f t="shared" si="3"/>
        <v>2091.6870337111613</v>
      </c>
      <c r="W88" s="9"/>
    </row>
    <row r="89" spans="1:23" x14ac:dyDescent="0.25">
      <c r="A89">
        <v>78</v>
      </c>
      <c r="B89" s="77">
        <v>2784.0237999999999</v>
      </c>
      <c r="C89" s="77">
        <v>207.16650000000001</v>
      </c>
      <c r="D89" s="77">
        <v>210.84309999999999</v>
      </c>
      <c r="E89" s="77">
        <f t="shared" si="2"/>
        <v>3202.0333999999998</v>
      </c>
      <c r="G89">
        <v>78</v>
      </c>
      <c r="H89" s="87">
        <v>5340.1120975812946</v>
      </c>
      <c r="I89" s="87">
        <v>976.63266786700251</v>
      </c>
      <c r="J89" s="87">
        <v>164.70444358258504</v>
      </c>
      <c r="K89" s="77">
        <f t="shared" si="3"/>
        <v>6481.4492090308813</v>
      </c>
      <c r="W89" s="9"/>
    </row>
    <row r="90" spans="1:23" x14ac:dyDescent="0.25">
      <c r="A90">
        <v>79</v>
      </c>
      <c r="B90" s="77">
        <v>2215.9219000000003</v>
      </c>
      <c r="C90" s="77">
        <v>0</v>
      </c>
      <c r="D90" s="77">
        <v>0</v>
      </c>
      <c r="E90" s="77">
        <f t="shared" si="2"/>
        <v>2215.9219000000003</v>
      </c>
      <c r="G90">
        <v>79</v>
      </c>
      <c r="H90" s="87">
        <v>2144.0922972552062</v>
      </c>
      <c r="I90" s="87">
        <v>236.58100342613733</v>
      </c>
      <c r="J90" s="87">
        <v>34.227844162310149</v>
      </c>
      <c r="K90" s="77">
        <f t="shared" si="3"/>
        <v>2414.9011448436536</v>
      </c>
      <c r="W90" s="9"/>
    </row>
    <row r="91" spans="1:23" x14ac:dyDescent="0.25">
      <c r="A91">
        <v>80</v>
      </c>
      <c r="B91" s="77">
        <v>2565.0070999999998</v>
      </c>
      <c r="C91" s="77">
        <v>0</v>
      </c>
      <c r="D91" s="77">
        <v>0</v>
      </c>
      <c r="E91" s="77">
        <f t="shared" si="2"/>
        <v>2565.0070999999998</v>
      </c>
      <c r="G91">
        <v>80</v>
      </c>
      <c r="H91" s="87">
        <v>1664.7368467959866</v>
      </c>
      <c r="I91" s="87">
        <v>188.34969869980173</v>
      </c>
      <c r="J91" s="87">
        <v>42.22302629360928</v>
      </c>
      <c r="K91" s="77">
        <f t="shared" si="3"/>
        <v>1895.3095717893978</v>
      </c>
      <c r="W91" s="9"/>
    </row>
    <row r="92" spans="1:23" x14ac:dyDescent="0.25">
      <c r="A92">
        <v>81</v>
      </c>
      <c r="B92" s="77">
        <v>2181.9133999999999</v>
      </c>
      <c r="C92" s="77">
        <v>253.33430000000001</v>
      </c>
      <c r="D92" s="77">
        <v>0</v>
      </c>
      <c r="E92" s="77">
        <f t="shared" si="2"/>
        <v>2435.2476999999999</v>
      </c>
      <c r="G92">
        <v>81</v>
      </c>
      <c r="H92" s="87">
        <v>1347.4942028137243</v>
      </c>
      <c r="I92" s="87">
        <v>147.57162994055639</v>
      </c>
      <c r="J92" s="87">
        <v>40.211715266737492</v>
      </c>
      <c r="K92" s="77">
        <f t="shared" si="3"/>
        <v>1535.2775480210182</v>
      </c>
      <c r="W92" s="9"/>
    </row>
    <row r="93" spans="1:23" x14ac:dyDescent="0.25">
      <c r="A93">
        <v>82</v>
      </c>
      <c r="B93" s="77">
        <v>1395.6977999999999</v>
      </c>
      <c r="C93" s="77">
        <v>0</v>
      </c>
      <c r="D93" s="77">
        <v>0</v>
      </c>
      <c r="E93" s="77">
        <f t="shared" si="2"/>
        <v>1395.6977999999999</v>
      </c>
      <c r="G93">
        <v>82</v>
      </c>
      <c r="H93" s="87">
        <v>1557.7973809926134</v>
      </c>
      <c r="I93" s="87">
        <v>214.15190059138314</v>
      </c>
      <c r="J93" s="87">
        <v>24.72586940328091</v>
      </c>
      <c r="K93" s="77">
        <f t="shared" si="3"/>
        <v>1796.6751509872774</v>
      </c>
      <c r="W93" s="9"/>
    </row>
    <row r="94" spans="1:23" x14ac:dyDescent="0.25">
      <c r="A94">
        <v>83</v>
      </c>
      <c r="B94" s="77">
        <v>698.98309999999992</v>
      </c>
      <c r="C94" s="77">
        <v>0</v>
      </c>
      <c r="D94" s="77">
        <v>218.62780000000001</v>
      </c>
      <c r="E94" s="77">
        <f t="shared" si="2"/>
        <v>917.6108999999999</v>
      </c>
      <c r="G94">
        <v>83</v>
      </c>
      <c r="H94" s="87">
        <v>1232.0433075599483</v>
      </c>
      <c r="I94" s="87">
        <v>114.98365281335053</v>
      </c>
      <c r="J94" s="77">
        <v>27.268392478010341</v>
      </c>
      <c r="K94" s="77">
        <f t="shared" si="3"/>
        <v>1374.2953528513092</v>
      </c>
      <c r="W94" s="9"/>
    </row>
    <row r="95" spans="1:23" ht="15.75" thickBot="1" x14ac:dyDescent="0.3">
      <c r="A95">
        <v>84</v>
      </c>
      <c r="B95" s="77">
        <v>78.540499999999994</v>
      </c>
      <c r="C95" s="77">
        <v>426.04829999999998</v>
      </c>
      <c r="D95" s="77">
        <v>0</v>
      </c>
      <c r="E95" s="77">
        <f t="shared" si="2"/>
        <v>504.58879999999999</v>
      </c>
      <c r="G95">
        <v>84</v>
      </c>
      <c r="H95" s="87">
        <v>1189.5487692331124</v>
      </c>
      <c r="I95" s="87">
        <v>164.2932066556512</v>
      </c>
      <c r="J95" s="87">
        <v>21.99134199134199</v>
      </c>
      <c r="K95" s="77">
        <f t="shared" si="3"/>
        <v>1375.8333178801056</v>
      </c>
      <c r="W95" s="10"/>
    </row>
    <row r="96" spans="1:23" x14ac:dyDescent="0.25">
      <c r="A96">
        <v>85</v>
      </c>
      <c r="B96" s="77">
        <v>1121.6234999999999</v>
      </c>
      <c r="C96" s="77">
        <v>863.96410000000003</v>
      </c>
      <c r="D96" s="77">
        <v>0</v>
      </c>
      <c r="E96" s="77">
        <f t="shared" si="2"/>
        <v>1985.5875999999998</v>
      </c>
      <c r="G96">
        <v>85</v>
      </c>
      <c r="H96" s="87">
        <v>1691.3538154481218</v>
      </c>
      <c r="I96" s="87">
        <v>204.83686787190544</v>
      </c>
      <c r="J96" s="77">
        <v>32.055639643667959</v>
      </c>
      <c r="K96" s="77">
        <f t="shared" si="3"/>
        <v>1928.2463229636953</v>
      </c>
    </row>
    <row r="97" spans="1:11" x14ac:dyDescent="0.25">
      <c r="A97">
        <v>86</v>
      </c>
      <c r="B97" s="77">
        <v>217.6002</v>
      </c>
      <c r="C97" s="77">
        <v>0</v>
      </c>
      <c r="D97" s="77">
        <v>0</v>
      </c>
      <c r="E97" s="77">
        <f t="shared" si="2"/>
        <v>217.6002</v>
      </c>
      <c r="G97">
        <v>86</v>
      </c>
      <c r="H97" s="87">
        <v>1012.6548933264205</v>
      </c>
      <c r="I97" s="87">
        <v>181.80952551230507</v>
      </c>
      <c r="J97" s="87">
        <v>35.874745148206998</v>
      </c>
      <c r="K97" s="77">
        <f t="shared" si="3"/>
        <v>1230.3391639869326</v>
      </c>
    </row>
    <row r="98" spans="1:11" x14ac:dyDescent="0.25">
      <c r="A98">
        <v>87</v>
      </c>
      <c r="B98" s="77">
        <v>1132.8924</v>
      </c>
      <c r="C98" s="77">
        <v>0</v>
      </c>
      <c r="D98" s="77">
        <v>0</v>
      </c>
      <c r="E98" s="77">
        <f t="shared" si="2"/>
        <v>1132.8924</v>
      </c>
      <c r="G98">
        <v>87</v>
      </c>
      <c r="H98" s="87">
        <v>1284.1729909800767</v>
      </c>
      <c r="I98" s="87">
        <v>151.98442905494363</v>
      </c>
      <c r="J98" s="87">
        <v>56.472425422003063</v>
      </c>
      <c r="K98" s="77">
        <f t="shared" si="3"/>
        <v>1492.6298454570233</v>
      </c>
    </row>
    <row r="99" spans="1:11" x14ac:dyDescent="0.25">
      <c r="A99">
        <v>88</v>
      </c>
      <c r="B99" s="77">
        <v>343.47710000000001</v>
      </c>
      <c r="C99" s="77">
        <v>0</v>
      </c>
      <c r="D99" s="77">
        <v>0</v>
      </c>
      <c r="E99" s="77">
        <f t="shared" si="2"/>
        <v>343.47710000000001</v>
      </c>
      <c r="G99">
        <v>88</v>
      </c>
      <c r="H99" s="87">
        <v>1911.9664158371011</v>
      </c>
      <c r="I99" s="87">
        <v>328.4100958273076</v>
      </c>
      <c r="J99" s="87">
        <v>39.75</v>
      </c>
      <c r="K99" s="77">
        <f t="shared" si="3"/>
        <v>2280.1265116644086</v>
      </c>
    </row>
    <row r="100" spans="1:11" x14ac:dyDescent="0.25">
      <c r="A100">
        <v>89</v>
      </c>
      <c r="B100" s="77">
        <v>7407.5208999999995</v>
      </c>
      <c r="C100" s="77">
        <v>2125.2197999999999</v>
      </c>
      <c r="D100" s="77">
        <v>77.706400000000002</v>
      </c>
      <c r="E100" s="77">
        <f t="shared" si="2"/>
        <v>9610.4470999999976</v>
      </c>
      <c r="G100">
        <v>89</v>
      </c>
      <c r="H100" s="87">
        <v>41071.297954361326</v>
      </c>
      <c r="I100" s="87">
        <v>6779.6594169350165</v>
      </c>
      <c r="J100" s="77">
        <v>1475.7905374619452</v>
      </c>
      <c r="K100" s="77">
        <f t="shared" si="3"/>
        <v>49326.747908758283</v>
      </c>
    </row>
    <row r="101" spans="1:11" ht="15.75" thickBot="1" x14ac:dyDescent="0.3">
      <c r="A101" s="1">
        <v>90</v>
      </c>
      <c r="B101" s="78">
        <v>104700.6578</v>
      </c>
      <c r="C101" s="78">
        <v>78770.766900000002</v>
      </c>
      <c r="D101" s="78">
        <v>9339.8181000000004</v>
      </c>
      <c r="E101" s="78">
        <f t="shared" si="2"/>
        <v>192811.24280000001</v>
      </c>
      <c r="G101" s="1">
        <v>90</v>
      </c>
      <c r="H101" s="78">
        <v>0</v>
      </c>
      <c r="I101" s="78">
        <v>0</v>
      </c>
      <c r="J101" s="78">
        <v>0</v>
      </c>
      <c r="K101" s="78">
        <f t="shared" si="3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2"/>
  <sheetViews>
    <sheetView workbookViewId="0">
      <selection activeCell="A4" sqref="A4"/>
    </sheetView>
  </sheetViews>
  <sheetFormatPr defaultRowHeight="15" x14ac:dyDescent="0.25"/>
  <cols>
    <col min="1" max="1" width="12.140625" customWidth="1" collapsed="1"/>
    <col min="5" max="5" width="9.5703125" bestFit="1" customWidth="1" collapsed="1"/>
    <col min="7" max="7" width="10.85546875" customWidth="1" collapsed="1"/>
    <col min="13" max="13" width="10.85546875" customWidth="1" collapsed="1"/>
    <col min="17" max="17" width="9.5703125" bestFit="1" customWidth="1" collapsed="1"/>
  </cols>
  <sheetData>
    <row r="1" spans="1:17" x14ac:dyDescent="0.25">
      <c r="A1" t="s">
        <v>25</v>
      </c>
    </row>
    <row r="2" spans="1:17" x14ac:dyDescent="0.25">
      <c r="A2" t="s">
        <v>263</v>
      </c>
    </row>
    <row r="3" spans="1:17" x14ac:dyDescent="0.25">
      <c r="A3" t="s">
        <v>264</v>
      </c>
    </row>
    <row r="4" spans="1:17" x14ac:dyDescent="0.25">
      <c r="A4" t="s">
        <v>7</v>
      </c>
    </row>
    <row r="5" spans="1:17" x14ac:dyDescent="0.25">
      <c r="A5" t="s">
        <v>8</v>
      </c>
    </row>
    <row r="7" spans="1:17" x14ac:dyDescent="0.25">
      <c r="A7" t="s">
        <v>12</v>
      </c>
    </row>
    <row r="9" spans="1:17" ht="15.75" thickBot="1" x14ac:dyDescent="0.3">
      <c r="A9" s="4" t="s">
        <v>215</v>
      </c>
      <c r="B9" s="1"/>
      <c r="C9" s="1"/>
      <c r="D9" s="1"/>
      <c r="E9" s="1"/>
      <c r="G9" s="4" t="s">
        <v>26</v>
      </c>
      <c r="H9" s="1"/>
      <c r="I9" s="1"/>
      <c r="J9" s="1"/>
      <c r="K9" s="1"/>
      <c r="M9" s="4" t="s">
        <v>14</v>
      </c>
      <c r="N9" s="1"/>
      <c r="O9" s="1"/>
      <c r="P9" s="1"/>
      <c r="Q9" s="1"/>
    </row>
    <row r="10" spans="1:17" x14ac:dyDescent="0.25">
      <c r="A10" s="2" t="s">
        <v>23</v>
      </c>
      <c r="B10" s="5" t="s">
        <v>9</v>
      </c>
      <c r="C10" s="5" t="s">
        <v>10</v>
      </c>
      <c r="D10" s="5" t="s">
        <v>11</v>
      </c>
      <c r="E10" s="5" t="s">
        <v>4</v>
      </c>
      <c r="G10" s="2" t="s">
        <v>23</v>
      </c>
      <c r="H10" s="5" t="s">
        <v>9</v>
      </c>
      <c r="I10" s="5" t="s">
        <v>10</v>
      </c>
      <c r="J10" s="5" t="s">
        <v>11</v>
      </c>
      <c r="K10" s="5" t="s">
        <v>4</v>
      </c>
      <c r="M10" s="2" t="s">
        <v>23</v>
      </c>
      <c r="N10" s="5" t="s">
        <v>9</v>
      </c>
      <c r="O10" s="5" t="s">
        <v>10</v>
      </c>
      <c r="P10" s="5" t="s">
        <v>11</v>
      </c>
      <c r="Q10" s="5" t="s">
        <v>4</v>
      </c>
    </row>
    <row r="11" spans="1:17" x14ac:dyDescent="0.25">
      <c r="A11" t="s">
        <v>27</v>
      </c>
      <c r="B11" s="12">
        <f>SUM(TDFD!B11:B15)</f>
        <v>12416.195100000001</v>
      </c>
      <c r="C11" s="12">
        <f>SUM(TDFD!C11:C15)</f>
        <v>2169.0929999999998</v>
      </c>
      <c r="D11" s="12">
        <f>SUM(TDFD!D11:D15)</f>
        <v>205.54570000000001</v>
      </c>
      <c r="E11" s="12">
        <f>SUM(TDFD!E11:E15)</f>
        <v>14790.833800000002</v>
      </c>
      <c r="G11" t="s">
        <v>27</v>
      </c>
      <c r="H11" s="12"/>
      <c r="I11" s="12"/>
      <c r="J11" s="12"/>
      <c r="K11" s="12">
        <v>13509</v>
      </c>
      <c r="M11" t="s">
        <v>27</v>
      </c>
      <c r="N11" s="12">
        <f>SUM(TDFD!H11:H15)</f>
        <v>79011.537892639797</v>
      </c>
      <c r="O11" s="12">
        <f>SUM(TDFD!I11:I15)</f>
        <v>40540.612208280101</v>
      </c>
      <c r="P11" s="12">
        <f>SUM(TDFD!J11:J15)</f>
        <v>12235.580766031302</v>
      </c>
      <c r="Q11" s="12">
        <f>SUM(TDFD!K11:K15)</f>
        <v>131787.7308669512</v>
      </c>
    </row>
    <row r="12" spans="1:17" x14ac:dyDescent="0.25">
      <c r="A12" t="s">
        <v>28</v>
      </c>
      <c r="B12" s="12">
        <f>SUM(TDFD!B16:B20)</f>
        <v>36666.1034</v>
      </c>
      <c r="C12" s="12">
        <f>SUM(TDFD!C16:C20)</f>
        <v>11398.0854</v>
      </c>
      <c r="D12" s="12">
        <f>SUM(TDFD!D16:D20)</f>
        <v>1390.6351999999999</v>
      </c>
      <c r="E12" s="12">
        <f>SUM(TDFD!E16:E20)</f>
        <v>49454.824000000001</v>
      </c>
      <c r="G12" t="s">
        <v>28</v>
      </c>
      <c r="H12" s="12"/>
      <c r="I12" s="12"/>
      <c r="J12" s="12"/>
      <c r="K12" s="12">
        <v>48039</v>
      </c>
      <c r="M12" t="s">
        <v>28</v>
      </c>
      <c r="N12" s="12">
        <f>SUM(TDFD!H16:H20)</f>
        <v>59861.958566840221</v>
      </c>
      <c r="O12" s="12">
        <f>SUM(TDFD!I16:I20)</f>
        <v>26653.834834429737</v>
      </c>
      <c r="P12" s="12">
        <f>SUM(TDFD!J16:J20)</f>
        <v>8223.646879216958</v>
      </c>
      <c r="Q12" s="12">
        <f>SUM(TDFD!K16:K20)</f>
        <v>94739.440280486917</v>
      </c>
    </row>
    <row r="13" spans="1:17" x14ac:dyDescent="0.25">
      <c r="A13" t="s">
        <v>29</v>
      </c>
      <c r="B13" s="12">
        <f>SUM(TDFD!B21:B25)</f>
        <v>46526.311300000001</v>
      </c>
      <c r="C13" s="12">
        <f>SUM(TDFD!C21:C25)</f>
        <v>16719.310600000001</v>
      </c>
      <c r="D13" s="12">
        <f>SUM(TDFD!D21:D25)</f>
        <v>451.93209999999999</v>
      </c>
      <c r="E13" s="12">
        <f>SUM(TDFD!E21:E25)</f>
        <v>63697.554000000004</v>
      </c>
      <c r="G13" t="s">
        <v>29</v>
      </c>
      <c r="H13" s="12"/>
      <c r="I13" s="12"/>
      <c r="J13" s="12"/>
      <c r="K13" s="12">
        <v>73140</v>
      </c>
      <c r="M13" t="s">
        <v>29</v>
      </c>
      <c r="N13" s="12">
        <f>SUM(TDFD!H21:H25)</f>
        <v>44641.386870773385</v>
      </c>
      <c r="O13" s="12">
        <f>SUM(TDFD!I21:I25)</f>
        <v>15628.153827815375</v>
      </c>
      <c r="P13" s="12">
        <f>SUM(TDFD!J21:J25)</f>
        <v>4280.1786471972046</v>
      </c>
      <c r="Q13" s="12">
        <f>SUM(TDFD!K21:K25)</f>
        <v>64549.719345785968</v>
      </c>
    </row>
    <row r="14" spans="1:17" x14ac:dyDescent="0.25">
      <c r="A14" t="s">
        <v>30</v>
      </c>
      <c r="B14" s="12">
        <f>SUM(TDFD!B26:B30)</f>
        <v>126332.75270000001</v>
      </c>
      <c r="C14" s="12">
        <f>SUM(TDFD!C26:C30)</f>
        <v>37869.252500000002</v>
      </c>
      <c r="D14" s="12">
        <f>SUM(TDFD!D26:D30)</f>
        <v>4817.3275999999996</v>
      </c>
      <c r="E14" s="12">
        <f>SUM(TDFD!E26:E30)</f>
        <v>169019.3328</v>
      </c>
      <c r="G14" t="s">
        <v>30</v>
      </c>
      <c r="H14" s="12"/>
      <c r="I14" s="12"/>
      <c r="J14" s="12"/>
      <c r="K14" s="12">
        <v>91600</v>
      </c>
      <c r="M14" t="s">
        <v>30</v>
      </c>
      <c r="N14" s="12">
        <f>SUM(TDFD!H26:H30)</f>
        <v>91807.012605867189</v>
      </c>
      <c r="O14" s="12">
        <f>SUM(TDFD!I26:I30)</f>
        <v>33625.676159312876</v>
      </c>
      <c r="P14" s="12">
        <f>SUM(TDFD!J26:J30)</f>
        <v>9846.9877529538844</v>
      </c>
      <c r="Q14" s="12">
        <f>SUM(TDFD!K26:K30)</f>
        <v>135279.67651813396</v>
      </c>
    </row>
    <row r="15" spans="1:17" x14ac:dyDescent="0.25">
      <c r="A15" t="s">
        <v>31</v>
      </c>
      <c r="B15" s="12">
        <f>SUM(TDFD!B31:B35)</f>
        <v>217307.18709999998</v>
      </c>
      <c r="C15" s="12">
        <f>SUM(TDFD!C31:C35)</f>
        <v>61075.693900000006</v>
      </c>
      <c r="D15" s="12">
        <f>SUM(TDFD!D31:D35)</f>
        <v>13572.3966</v>
      </c>
      <c r="E15" s="12">
        <f>SUM(TDFD!E31:E35)</f>
        <v>291955.27759999997</v>
      </c>
      <c r="G15" t="s">
        <v>31</v>
      </c>
      <c r="H15" s="12"/>
      <c r="I15" s="12"/>
      <c r="J15" s="12"/>
      <c r="K15" s="12">
        <v>100858</v>
      </c>
      <c r="M15" t="s">
        <v>31</v>
      </c>
      <c r="N15" s="12">
        <f>SUM(TDFD!H31:H35)</f>
        <v>175537.58972002598</v>
      </c>
      <c r="O15" s="12">
        <f>SUM(TDFD!I31:I35)</f>
        <v>46626.978206531829</v>
      </c>
      <c r="P15" s="12">
        <f>SUM(TDFD!J31:J35)</f>
        <v>14379.204904818587</v>
      </c>
      <c r="Q15" s="12">
        <f>SUM(TDFD!K31:K35)</f>
        <v>236543.77283137638</v>
      </c>
    </row>
    <row r="16" spans="1:17" x14ac:dyDescent="0.25">
      <c r="A16" t="s">
        <v>32</v>
      </c>
      <c r="B16" s="12">
        <f>SUM(TDFD!B36:B40)</f>
        <v>159141.88740000001</v>
      </c>
      <c r="C16" s="12">
        <f>SUM(TDFD!C36:C40)</f>
        <v>34560.494400000003</v>
      </c>
      <c r="D16" s="12">
        <f>SUM(TDFD!D36:D40)</f>
        <v>6558.947900000001</v>
      </c>
      <c r="E16" s="12">
        <f>SUM(TDFD!E36:E40)</f>
        <v>200261.32969999997</v>
      </c>
      <c r="G16" t="s">
        <v>32</v>
      </c>
      <c r="H16" s="12"/>
      <c r="I16" s="12"/>
      <c r="J16" s="12"/>
      <c r="K16" s="12">
        <v>40453</v>
      </c>
      <c r="M16" t="s">
        <v>32</v>
      </c>
      <c r="N16" s="12">
        <f>SUM(TDFD!H36:H40)</f>
        <v>178054.58766298048</v>
      </c>
      <c r="O16" s="12">
        <f>SUM(TDFD!I36:I40)</f>
        <v>42152.719553739807</v>
      </c>
      <c r="P16" s="12">
        <f>SUM(TDFD!J36:J40)</f>
        <v>12445.306151574347</v>
      </c>
      <c r="Q16" s="12">
        <f>SUM(TDFD!K36:K40)</f>
        <v>232652.61336829464</v>
      </c>
    </row>
    <row r="17" spans="1:17" x14ac:dyDescent="0.25">
      <c r="A17" t="s">
        <v>33</v>
      </c>
      <c r="B17" s="12">
        <f>SUM(TDFD!B41:B45)</f>
        <v>145184.29950000002</v>
      </c>
      <c r="C17" s="12">
        <f>SUM(TDFD!C41:C45)</f>
        <v>25792.241099999999</v>
      </c>
      <c r="D17" s="12">
        <f>SUM(TDFD!D41:D45)</f>
        <v>6813.3773000000001</v>
      </c>
      <c r="E17" s="12">
        <f>SUM(TDFD!E41:E45)</f>
        <v>177789.9179</v>
      </c>
      <c r="G17" t="s">
        <v>33</v>
      </c>
      <c r="H17" s="12"/>
      <c r="I17" s="12"/>
      <c r="J17" s="12"/>
      <c r="K17" s="12">
        <v>102299</v>
      </c>
      <c r="M17" t="s">
        <v>33</v>
      </c>
      <c r="N17" s="12">
        <f>SUM(TDFD!H41:H45)</f>
        <v>169860.33203879936</v>
      </c>
      <c r="O17" s="12">
        <f>SUM(TDFD!I41:I45)</f>
        <v>34412.406946520357</v>
      </c>
      <c r="P17" s="12">
        <f>SUM(TDFD!J41:J45)</f>
        <v>8727.1172120032279</v>
      </c>
      <c r="Q17" s="12">
        <f>SUM(TDFD!K41:K45)</f>
        <v>212999.85619732292</v>
      </c>
    </row>
    <row r="18" spans="1:17" x14ac:dyDescent="0.25">
      <c r="A18" t="s">
        <v>34</v>
      </c>
      <c r="B18" s="12">
        <f>SUM(TDFD!B46:B50)</f>
        <v>136291.14680000002</v>
      </c>
      <c r="C18" s="12">
        <f>SUM(TDFD!C46:C50)</f>
        <v>20197.399099999999</v>
      </c>
      <c r="D18" s="12">
        <f>SUM(TDFD!D46:D50)</f>
        <v>5336.5641999999998</v>
      </c>
      <c r="E18" s="12">
        <f>SUM(TDFD!E46:E50)</f>
        <v>161825.11009999999</v>
      </c>
      <c r="G18" t="s">
        <v>34</v>
      </c>
      <c r="H18" s="12"/>
      <c r="I18" s="12"/>
      <c r="J18" s="12"/>
      <c r="K18" s="12">
        <v>17547</v>
      </c>
      <c r="M18" t="s">
        <v>34</v>
      </c>
      <c r="N18" s="12">
        <f>SUM(TDFD!H46:H50)</f>
        <v>141751.99647722769</v>
      </c>
      <c r="O18" s="12">
        <f>SUM(TDFD!I46:I50)</f>
        <v>23676.623642232713</v>
      </c>
      <c r="P18" s="12">
        <f>SUM(TDFD!J46:J50)</f>
        <v>6254.3180990656401</v>
      </c>
      <c r="Q18" s="12">
        <f>SUM(TDFD!K46:K50)</f>
        <v>171682.93821852602</v>
      </c>
    </row>
    <row r="19" spans="1:17" x14ac:dyDescent="0.25">
      <c r="A19" t="s">
        <v>35</v>
      </c>
      <c r="B19" s="12">
        <f>SUM(TDFD!B51:B55)</f>
        <v>86822.674900000013</v>
      </c>
      <c r="C19" s="12">
        <f>SUM(TDFD!C51:C55)</f>
        <v>14430.736500000001</v>
      </c>
      <c r="D19" s="12">
        <f>SUM(TDFD!D51:D55)</f>
        <v>2612.9836</v>
      </c>
      <c r="E19" s="12">
        <f>SUM(TDFD!E51:E55)</f>
        <v>103866.395</v>
      </c>
      <c r="G19" t="s">
        <v>35</v>
      </c>
      <c r="H19" s="12"/>
      <c r="I19" s="12"/>
      <c r="J19" s="12"/>
      <c r="K19" s="12">
        <v>20353</v>
      </c>
      <c r="M19" t="s">
        <v>35</v>
      </c>
      <c r="N19" s="12">
        <f>SUM(TDFD!H51:H55)</f>
        <v>108583.91891865846</v>
      </c>
      <c r="O19" s="12">
        <f>SUM(TDFD!I51:I55)</f>
        <v>17397.997293921082</v>
      </c>
      <c r="P19" s="12">
        <f>SUM(TDFD!J51:J55)</f>
        <v>4356.9601019800348</v>
      </c>
      <c r="Q19" s="12">
        <f>SUM(TDFD!K51:K55)</f>
        <v>130338.87631455957</v>
      </c>
    </row>
    <row r="20" spans="1:17" x14ac:dyDescent="0.25">
      <c r="A20" t="s">
        <v>36</v>
      </c>
      <c r="B20" s="12">
        <f>SUM(TDFD!B56:B70)</f>
        <v>209167.72400000002</v>
      </c>
      <c r="C20" s="12">
        <f>SUM(TDFD!C56:C70)</f>
        <v>25327.712400000004</v>
      </c>
      <c r="D20" s="12">
        <f>SUM(TDFD!D56:D70)</f>
        <v>6422.0798999999997</v>
      </c>
      <c r="E20" s="12">
        <f>SUM(TDFD!E56:E70)</f>
        <v>240917.51630000002</v>
      </c>
      <c r="G20" t="s">
        <v>36</v>
      </c>
      <c r="H20" s="12"/>
      <c r="I20" s="12"/>
      <c r="J20" s="12"/>
      <c r="K20" s="12">
        <v>49147</v>
      </c>
      <c r="M20" t="s">
        <v>36</v>
      </c>
      <c r="N20" s="12">
        <f>SUM(TDFD!H56:H70)</f>
        <v>204304.46204001061</v>
      </c>
      <c r="O20" s="12">
        <f>SUM(TDFD!I56:I70)</f>
        <v>28614.559688411176</v>
      </c>
      <c r="P20" s="12">
        <f>SUM(TDFD!J56:J70)</f>
        <v>5916.5952472614335</v>
      </c>
      <c r="Q20" s="12">
        <f>SUM(TDFD!K56:K70)</f>
        <v>238835.61697568325</v>
      </c>
    </row>
    <row r="21" spans="1:17" x14ac:dyDescent="0.25">
      <c r="A21" t="s">
        <v>37</v>
      </c>
      <c r="B21" s="12">
        <f>SUM(TDFD!B71:B100)</f>
        <v>103992.7996</v>
      </c>
      <c r="C21" s="12">
        <f>SUM(TDFD!C71:C100)</f>
        <v>8732.2860000000001</v>
      </c>
      <c r="D21" s="12">
        <f>SUM(TDFD!D71:D100)</f>
        <v>4155.9195</v>
      </c>
      <c r="E21" s="12">
        <f>SUM(TDFD!E71:E100)</f>
        <v>116881.00510000001</v>
      </c>
      <c r="G21" t="s">
        <v>37</v>
      </c>
      <c r="H21" s="12"/>
      <c r="I21" s="12"/>
      <c r="J21" s="12"/>
      <c r="K21" s="12">
        <v>24219</v>
      </c>
      <c r="M21" t="s">
        <v>37</v>
      </c>
      <c r="N21" s="12">
        <f>SUM(TDFD!H71:H100)</f>
        <v>156807.59646030096</v>
      </c>
      <c r="O21" s="12">
        <f>SUM(TDFD!I71:I100)</f>
        <v>21258.231738939863</v>
      </c>
      <c r="P21" s="12">
        <f>SUM(TDFD!J71:J100)</f>
        <v>4329.5352353109256</v>
      </c>
      <c r="Q21" s="12">
        <f>SUM(TDFD!K71:K100)</f>
        <v>182395.36343455178</v>
      </c>
    </row>
    <row r="22" spans="1:17" ht="15.75" thickBot="1" x14ac:dyDescent="0.3">
      <c r="A22" s="1" t="s">
        <v>38</v>
      </c>
      <c r="B22" s="13">
        <f>TDFD!B101</f>
        <v>104700.6578</v>
      </c>
      <c r="C22" s="13">
        <f>TDFD!C101</f>
        <v>78770.766900000002</v>
      </c>
      <c r="D22" s="13">
        <f>TDFD!D101</f>
        <v>9339.8181000000004</v>
      </c>
      <c r="E22" s="13">
        <f>TDFD!E101</f>
        <v>192811.24280000001</v>
      </c>
      <c r="G22" s="1" t="s">
        <v>38</v>
      </c>
      <c r="H22" s="13"/>
      <c r="I22" s="13"/>
      <c r="J22" s="13"/>
      <c r="K22" s="13">
        <v>9010</v>
      </c>
      <c r="M22" s="1" t="s">
        <v>38</v>
      </c>
      <c r="N22" s="13">
        <f>TDFD!H101</f>
        <v>0</v>
      </c>
      <c r="O22" s="13">
        <f>TDFD!I101</f>
        <v>0</v>
      </c>
      <c r="P22" s="13">
        <f>TDFD!J101</f>
        <v>0</v>
      </c>
      <c r="Q22" s="13">
        <f>TDFD!K101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56"/>
  <sheetViews>
    <sheetView topLeftCell="K1" zoomScaleNormal="100" workbookViewId="0">
      <selection activeCell="AH46" sqref="AH46"/>
    </sheetView>
  </sheetViews>
  <sheetFormatPr defaultRowHeight="15" x14ac:dyDescent="0.25"/>
  <cols>
    <col min="1" max="1" width="19.5703125" customWidth="1" collapsed="1"/>
    <col min="3" max="3" width="9.7109375" bestFit="1" customWidth="1" collapsed="1"/>
    <col min="4" max="4" width="8.85546875" customWidth="1" collapsed="1"/>
    <col min="12" max="12" width="19.140625" customWidth="1" collapsed="1"/>
    <col min="15" max="15" width="10.140625" customWidth="1" collapsed="1"/>
    <col min="20" max="21" width="9.5703125" bestFit="1" customWidth="1" collapsed="1"/>
    <col min="23" max="23" width="19.42578125" customWidth="1" collapsed="1"/>
    <col min="26" max="26" width="9.140625" customWidth="1" collapsed="1"/>
  </cols>
  <sheetData>
    <row r="1" spans="1:36" x14ac:dyDescent="0.25">
      <c r="A1" t="s">
        <v>2</v>
      </c>
    </row>
    <row r="2" spans="1:36" x14ac:dyDescent="0.25">
      <c r="A2" t="s">
        <v>261</v>
      </c>
    </row>
    <row r="3" spans="1:36" x14ac:dyDescent="0.25">
      <c r="A3" t="s">
        <v>18</v>
      </c>
    </row>
    <row r="4" spans="1:36" x14ac:dyDescent="0.25">
      <c r="AH4" s="7"/>
      <c r="AI4" s="7"/>
      <c r="AJ4" s="7"/>
    </row>
    <row r="5" spans="1:36" ht="15.75" thickBot="1" x14ac:dyDescent="0.3">
      <c r="A5" s="4" t="s">
        <v>214</v>
      </c>
      <c r="B5" s="1"/>
      <c r="C5" s="1"/>
      <c r="D5" s="1"/>
      <c r="E5" s="1"/>
      <c r="F5" s="1"/>
      <c r="G5" s="1"/>
      <c r="H5" s="1"/>
      <c r="I5" s="1"/>
      <c r="J5" s="1"/>
      <c r="L5" s="4" t="s">
        <v>57</v>
      </c>
      <c r="M5" s="1"/>
      <c r="N5" s="1"/>
      <c r="O5" s="1"/>
      <c r="P5" s="1"/>
      <c r="Q5" s="1"/>
      <c r="R5" s="1"/>
      <c r="S5" s="1"/>
      <c r="T5" s="1"/>
      <c r="U5" s="1"/>
      <c r="W5" s="4" t="s">
        <v>16</v>
      </c>
      <c r="X5" s="1"/>
      <c r="Y5" s="1"/>
      <c r="Z5" s="1"/>
      <c r="AA5" s="1"/>
      <c r="AB5" s="1"/>
      <c r="AC5" s="1"/>
      <c r="AD5" s="1"/>
      <c r="AE5" s="1"/>
      <c r="AF5" s="1"/>
      <c r="AH5" s="28"/>
      <c r="AI5" s="7"/>
      <c r="AJ5" s="7"/>
    </row>
    <row r="6" spans="1:36" x14ac:dyDescent="0.25">
      <c r="A6" s="2" t="s">
        <v>15</v>
      </c>
      <c r="B6" s="2" t="str">
        <f>$A$7</f>
        <v>Bellevue</v>
      </c>
      <c r="C6" s="2" t="str">
        <f>$A$8</f>
        <v>Bellevue Downtown</v>
      </c>
      <c r="D6" s="2" t="str">
        <f>$A$9</f>
        <v>Kirkland</v>
      </c>
      <c r="E6" s="2" t="str">
        <f>$A$10</f>
        <v>Redmond</v>
      </c>
      <c r="F6" s="2" t="str">
        <f>$A$11</f>
        <v>Seattle</v>
      </c>
      <c r="G6" s="2" t="str">
        <f>$A$12</f>
        <v>Seattle Downtown</v>
      </c>
      <c r="H6" s="2" t="str">
        <f>$A$13</f>
        <v>Rest</v>
      </c>
      <c r="I6" s="3" t="str">
        <f>$A$14</f>
        <v>Outside</v>
      </c>
      <c r="J6" s="3" t="s">
        <v>4</v>
      </c>
      <c r="L6" s="2" t="s">
        <v>15</v>
      </c>
      <c r="M6" s="2" t="str">
        <f>$A$7</f>
        <v>Bellevue</v>
      </c>
      <c r="N6" s="2" t="str">
        <f>$A$8</f>
        <v>Bellevue Downtown</v>
      </c>
      <c r="O6" s="2" t="str">
        <f>$A$9</f>
        <v>Kirkland</v>
      </c>
      <c r="P6" s="2" t="str">
        <f>$A$10</f>
        <v>Redmond</v>
      </c>
      <c r="Q6" s="2" t="str">
        <f>$A$11</f>
        <v>Seattle</v>
      </c>
      <c r="R6" s="2" t="str">
        <f>$A$12</f>
        <v>Seattle Downtown</v>
      </c>
      <c r="S6" s="2" t="str">
        <f>$A$13</f>
        <v>Rest</v>
      </c>
      <c r="T6" s="3" t="str">
        <f>$A$14</f>
        <v>Outside</v>
      </c>
      <c r="U6" s="3" t="s">
        <v>4</v>
      </c>
      <c r="W6" s="2" t="s">
        <v>15</v>
      </c>
      <c r="X6" s="2" t="str">
        <f>$A$7</f>
        <v>Bellevue</v>
      </c>
      <c r="Y6" s="2" t="str">
        <f>$A$8</f>
        <v>Bellevue Downtown</v>
      </c>
      <c r="Z6" s="2" t="str">
        <f>$A$9</f>
        <v>Kirkland</v>
      </c>
      <c r="AA6" s="2" t="str">
        <f>$A$10</f>
        <v>Redmond</v>
      </c>
      <c r="AB6" s="2" t="str">
        <f>$A$11</f>
        <v>Seattle</v>
      </c>
      <c r="AC6" s="2" t="str">
        <f>$A$12</f>
        <v>Seattle Downtown</v>
      </c>
      <c r="AD6" s="2" t="str">
        <f>$A$13</f>
        <v>Rest</v>
      </c>
      <c r="AE6" s="3" t="str">
        <f>$A$14</f>
        <v>Outside</v>
      </c>
      <c r="AF6" s="3" t="s">
        <v>4</v>
      </c>
      <c r="AH6" s="20"/>
      <c r="AI6" s="20"/>
      <c r="AJ6" s="7"/>
    </row>
    <row r="7" spans="1:36" x14ac:dyDescent="0.25">
      <c r="A7" s="41" t="s">
        <v>267</v>
      </c>
      <c r="B7" s="15">
        <v>18622.218799999999</v>
      </c>
      <c r="C7" s="15">
        <v>6072.1702000000005</v>
      </c>
      <c r="D7" s="15">
        <v>4862.4175000000005</v>
      </c>
      <c r="E7" s="15">
        <v>10577.337</v>
      </c>
      <c r="F7" s="15">
        <v>12444.788699999999</v>
      </c>
      <c r="G7" s="15">
        <v>9302.9043000000001</v>
      </c>
      <c r="H7" s="15">
        <v>11449.3001</v>
      </c>
      <c r="I7" s="15">
        <v>20340.352599999998</v>
      </c>
      <c r="J7" s="15">
        <f>SUM(B7:I7)</f>
        <v>93671.489199999996</v>
      </c>
      <c r="K7" s="15"/>
      <c r="L7" t="str">
        <f>$A$7</f>
        <v>Bellevue</v>
      </c>
      <c r="T7" s="15"/>
      <c r="U7" s="15">
        <f>SUM(M7:T7)</f>
        <v>0</v>
      </c>
      <c r="V7" s="15"/>
      <c r="W7" t="str">
        <f>$A$7</f>
        <v>Bellevue</v>
      </c>
      <c r="X7">
        <v>16282.25</v>
      </c>
      <c r="Y7">
        <v>5739.5</v>
      </c>
      <c r="Z7">
        <v>3639</v>
      </c>
      <c r="AA7">
        <v>10980</v>
      </c>
      <c r="AB7">
        <v>10807.5</v>
      </c>
      <c r="AC7">
        <v>6730</v>
      </c>
      <c r="AD7">
        <v>21447</v>
      </c>
      <c r="AE7" s="15">
        <v>0</v>
      </c>
      <c r="AF7" s="15">
        <f>SUM(X7:AE7)</f>
        <v>75625.25</v>
      </c>
      <c r="AH7" s="16"/>
      <c r="AI7" s="16"/>
      <c r="AJ7" s="7"/>
    </row>
    <row r="8" spans="1:36" x14ac:dyDescent="0.25">
      <c r="A8" t="s">
        <v>268</v>
      </c>
      <c r="B8" s="15">
        <v>770.9271</v>
      </c>
      <c r="C8" s="15">
        <v>1361.1623</v>
      </c>
      <c r="D8" s="15">
        <v>76.276200000000003</v>
      </c>
      <c r="E8" s="15">
        <v>1415.9551000000001</v>
      </c>
      <c r="F8" s="15">
        <v>654.94370000000004</v>
      </c>
      <c r="G8" s="15">
        <v>355.75540000000001</v>
      </c>
      <c r="H8" s="15">
        <v>579.12879999999996</v>
      </c>
      <c r="I8" s="15">
        <v>13601.5198</v>
      </c>
      <c r="J8" s="15">
        <f>SUM(B8:I8)</f>
        <v>18815.668400000002</v>
      </c>
      <c r="K8" s="15"/>
      <c r="L8" t="str">
        <f>$A$8</f>
        <v>Bellevue Downtown</v>
      </c>
      <c r="T8" s="15"/>
      <c r="U8" s="15">
        <f t="shared" ref="U8:U14" si="0">SUM(M8:T8)</f>
        <v>0</v>
      </c>
      <c r="V8" s="15"/>
      <c r="W8" t="str">
        <f>$A$8</f>
        <v>Bellevue Downtown</v>
      </c>
      <c r="X8">
        <v>885.25</v>
      </c>
      <c r="Y8">
        <v>2391</v>
      </c>
      <c r="Z8">
        <v>220.75</v>
      </c>
      <c r="AA8">
        <v>423.25</v>
      </c>
      <c r="AB8">
        <v>523.75</v>
      </c>
      <c r="AC8">
        <v>358.5</v>
      </c>
      <c r="AD8">
        <v>849.75</v>
      </c>
      <c r="AE8" s="15">
        <v>0</v>
      </c>
      <c r="AF8" s="15">
        <f t="shared" ref="AF8:AF14" si="1">SUM(X8:AE8)</f>
        <v>5652.25</v>
      </c>
      <c r="AH8" s="16"/>
      <c r="AI8" s="16"/>
      <c r="AJ8" s="7"/>
    </row>
    <row r="9" spans="1:36" x14ac:dyDescent="0.25">
      <c r="A9" t="s">
        <v>269</v>
      </c>
      <c r="B9" s="15">
        <v>3744.7510000000002</v>
      </c>
      <c r="C9" s="15">
        <v>5539.7494999999999</v>
      </c>
      <c r="D9" s="15">
        <v>16450.330300000001</v>
      </c>
      <c r="E9" s="15">
        <v>14257.4123</v>
      </c>
      <c r="F9" s="15">
        <v>9962.1424000000006</v>
      </c>
      <c r="G9" s="15">
        <v>6764.6252999999997</v>
      </c>
      <c r="H9" s="15">
        <v>8479.9244999999992</v>
      </c>
      <c r="I9" s="15">
        <v>38089.508500000004</v>
      </c>
      <c r="J9" s="15">
        <f t="shared" ref="J9:J11" si="2">SUM(B9:I9)</f>
        <v>103288.44380000001</v>
      </c>
      <c r="K9" s="15"/>
      <c r="L9" t="str">
        <f>$A$9</f>
        <v>Kirkland</v>
      </c>
      <c r="T9" s="15"/>
      <c r="U9" s="15">
        <f t="shared" si="0"/>
        <v>0</v>
      </c>
      <c r="V9" s="15"/>
      <c r="W9" t="str">
        <f>$A$9</f>
        <v>Kirkland</v>
      </c>
      <c r="X9">
        <v>7277</v>
      </c>
      <c r="Y9">
        <v>3218</v>
      </c>
      <c r="Z9">
        <v>14243.75</v>
      </c>
      <c r="AA9">
        <v>10532.5</v>
      </c>
      <c r="AB9">
        <v>11494.5</v>
      </c>
      <c r="AC9">
        <v>6199.5</v>
      </c>
      <c r="AD9">
        <v>19084.25</v>
      </c>
      <c r="AE9" s="15">
        <v>0</v>
      </c>
      <c r="AF9" s="15">
        <f t="shared" si="1"/>
        <v>72049.5</v>
      </c>
      <c r="AH9" s="16"/>
      <c r="AI9" s="16"/>
      <c r="AJ9" s="7"/>
    </row>
    <row r="10" spans="1:36" x14ac:dyDescent="0.25">
      <c r="A10" t="s">
        <v>270</v>
      </c>
      <c r="B10" s="15">
        <v>8579.2613000000001</v>
      </c>
      <c r="C10" s="15">
        <v>4296.2137999999995</v>
      </c>
      <c r="D10" s="15">
        <v>5724.8873000000003</v>
      </c>
      <c r="E10" s="15">
        <v>17795.3069</v>
      </c>
      <c r="F10" s="15">
        <v>4389.9071999999996</v>
      </c>
      <c r="G10" s="15">
        <v>3855.6451999999999</v>
      </c>
      <c r="H10" s="15">
        <v>5039.4435999999996</v>
      </c>
      <c r="I10" s="15">
        <v>46131.155899999998</v>
      </c>
      <c r="J10" s="15">
        <f t="shared" si="2"/>
        <v>95811.821199999991</v>
      </c>
      <c r="K10" s="15"/>
      <c r="L10" t="str">
        <f>$A$10</f>
        <v>Redmond</v>
      </c>
      <c r="T10" s="15"/>
      <c r="U10" s="15">
        <f t="shared" si="0"/>
        <v>0</v>
      </c>
      <c r="V10" s="15"/>
      <c r="W10" t="str">
        <f>$A$10</f>
        <v>Redmond</v>
      </c>
      <c r="X10">
        <v>6726</v>
      </c>
      <c r="Y10">
        <v>2493.25</v>
      </c>
      <c r="Z10">
        <v>5255.25</v>
      </c>
      <c r="AA10">
        <v>16088.5</v>
      </c>
      <c r="AB10">
        <v>6637.75</v>
      </c>
      <c r="AC10">
        <v>3803.25</v>
      </c>
      <c r="AD10">
        <v>14165.5</v>
      </c>
      <c r="AE10" s="15">
        <v>0</v>
      </c>
      <c r="AF10" s="15">
        <f t="shared" si="1"/>
        <v>55169.5</v>
      </c>
      <c r="AH10" s="16"/>
      <c r="AI10" s="16"/>
      <c r="AJ10" s="7"/>
    </row>
    <row r="11" spans="1:36" x14ac:dyDescent="0.25">
      <c r="A11" t="s">
        <v>266</v>
      </c>
      <c r="B11" s="15">
        <v>10211.498900000001</v>
      </c>
      <c r="C11" s="15">
        <v>5845.1939000000002</v>
      </c>
      <c r="D11" s="15">
        <v>6726.1917999999996</v>
      </c>
      <c r="E11" s="15">
        <v>9807.3248000000003</v>
      </c>
      <c r="F11" s="15">
        <v>139609.1678</v>
      </c>
      <c r="G11" s="15">
        <v>96016.083400000003</v>
      </c>
      <c r="H11" s="15">
        <v>45908.833500000001</v>
      </c>
      <c r="I11" s="15">
        <v>41395.866000000002</v>
      </c>
      <c r="J11" s="15">
        <f t="shared" si="2"/>
        <v>355520.16009999998</v>
      </c>
      <c r="K11" s="15"/>
      <c r="L11" t="str">
        <f>$A$11</f>
        <v>Seattle</v>
      </c>
      <c r="T11" s="15"/>
      <c r="U11" s="15">
        <f t="shared" si="0"/>
        <v>0</v>
      </c>
      <c r="V11" s="15"/>
      <c r="W11" t="str">
        <f>$A$11</f>
        <v>Seattle</v>
      </c>
      <c r="X11">
        <v>10861.36233525251</v>
      </c>
      <c r="Y11">
        <v>4414.6149398572898</v>
      </c>
      <c r="Z11">
        <v>7013.3953114453207</v>
      </c>
      <c r="AA11">
        <v>10676.46503026844</v>
      </c>
      <c r="AB11">
        <v>142736.56752143044</v>
      </c>
      <c r="AC11">
        <v>99153.322492511565</v>
      </c>
      <c r="AD11">
        <v>78731.160189671384</v>
      </c>
      <c r="AE11" s="15">
        <v>0</v>
      </c>
      <c r="AF11" s="15">
        <f t="shared" si="1"/>
        <v>353586.88782043691</v>
      </c>
      <c r="AH11" s="16"/>
      <c r="AI11" s="16"/>
      <c r="AJ11" s="7"/>
    </row>
    <row r="12" spans="1:36" x14ac:dyDescent="0.25">
      <c r="A12" t="s">
        <v>271</v>
      </c>
      <c r="B12" s="15">
        <v>1256.096</v>
      </c>
      <c r="C12" s="15">
        <v>915.1105</v>
      </c>
      <c r="D12" s="15">
        <v>586.13699999999994</v>
      </c>
      <c r="E12" s="15">
        <v>2832.7624999999998</v>
      </c>
      <c r="F12" s="15">
        <v>8442.9068000000007</v>
      </c>
      <c r="G12" s="15">
        <v>17324.273000000001</v>
      </c>
      <c r="H12" s="15">
        <v>2772.1527999999998</v>
      </c>
      <c r="I12" s="15">
        <v>33252.839999999997</v>
      </c>
      <c r="J12" s="15">
        <f>SUM(B12:I12)</f>
        <v>67382.278599999991</v>
      </c>
      <c r="K12" s="15"/>
      <c r="L12" t="str">
        <f>$A$12</f>
        <v>Seattle Downtown</v>
      </c>
      <c r="T12" s="16"/>
      <c r="U12" s="15">
        <f t="shared" si="0"/>
        <v>0</v>
      </c>
      <c r="V12" s="16"/>
      <c r="W12" t="str">
        <f>$A$12</f>
        <v>Seattle Downtown</v>
      </c>
      <c r="X12">
        <v>1300.3108321443804</v>
      </c>
      <c r="Y12">
        <v>417.15380812161544</v>
      </c>
      <c r="Z12">
        <v>521.17323483319421</v>
      </c>
      <c r="AA12">
        <v>1028.333322966296</v>
      </c>
      <c r="AB12">
        <v>10246.19571399744</v>
      </c>
      <c r="AC12">
        <v>18486.739859479327</v>
      </c>
      <c r="AD12">
        <v>6337.3372819249871</v>
      </c>
      <c r="AE12" s="16">
        <v>0</v>
      </c>
      <c r="AF12" s="15">
        <f t="shared" si="1"/>
        <v>38337.244053467242</v>
      </c>
      <c r="AH12" s="16"/>
      <c r="AI12" s="16"/>
      <c r="AJ12" s="7"/>
    </row>
    <row r="13" spans="1:36" x14ac:dyDescent="0.25">
      <c r="A13" t="s">
        <v>272</v>
      </c>
      <c r="B13" s="15">
        <v>27334.981599999999</v>
      </c>
      <c r="C13" s="15">
        <v>17160.378499999999</v>
      </c>
      <c r="D13" s="15">
        <v>27096.21</v>
      </c>
      <c r="E13" s="15">
        <v>36022.977299999999</v>
      </c>
      <c r="F13" s="15">
        <v>108718.8125</v>
      </c>
      <c r="G13" s="15">
        <v>80621.825500000006</v>
      </c>
      <c r="H13" s="15">
        <v>785791.11529999995</v>
      </c>
      <c r="I13" s="15"/>
      <c r="J13" s="15">
        <f>SUM(B13:I13)</f>
        <v>1082746.3007</v>
      </c>
      <c r="K13" s="15"/>
      <c r="L13" t="str">
        <f>$A$13</f>
        <v>Rest</v>
      </c>
      <c r="T13" s="16"/>
      <c r="U13" s="15">
        <f t="shared" si="0"/>
        <v>0</v>
      </c>
      <c r="V13" s="16"/>
      <c r="W13" t="str">
        <f>$A$13</f>
        <v>Rest</v>
      </c>
      <c r="X13">
        <v>35004.903341637895</v>
      </c>
      <c r="Y13">
        <v>13639.649653235427</v>
      </c>
      <c r="Z13">
        <v>26148.65306005122</v>
      </c>
      <c r="AA13">
        <v>42562.056923343545</v>
      </c>
      <c r="AB13">
        <v>108185.42851341428</v>
      </c>
      <c r="AC13">
        <v>57408.529165472239</v>
      </c>
      <c r="AD13">
        <v>948435.75182061386</v>
      </c>
      <c r="AE13" s="16"/>
      <c r="AF13" s="15">
        <f t="shared" si="1"/>
        <v>1231384.9724777685</v>
      </c>
      <c r="AH13" s="16"/>
      <c r="AI13" s="16"/>
      <c r="AJ13" s="7"/>
    </row>
    <row r="14" spans="1:36" x14ac:dyDescent="0.25">
      <c r="A14" s="8" t="s">
        <v>17</v>
      </c>
      <c r="B14" s="17"/>
      <c r="C14" s="17"/>
      <c r="D14" s="17"/>
      <c r="E14" s="17"/>
      <c r="F14" s="17"/>
      <c r="G14" s="17"/>
      <c r="H14" s="17"/>
      <c r="I14" s="17"/>
      <c r="J14" s="17">
        <f>SUM(B14:I14)</f>
        <v>0</v>
      </c>
      <c r="K14" s="15"/>
      <c r="L14" s="18" t="s">
        <v>17</v>
      </c>
      <c r="M14" s="17"/>
      <c r="N14" s="17"/>
      <c r="O14" s="17"/>
      <c r="P14" s="17"/>
      <c r="Q14" s="17"/>
      <c r="R14" s="17"/>
      <c r="S14" s="17"/>
      <c r="T14" s="17"/>
      <c r="U14" s="15">
        <f t="shared" si="0"/>
        <v>0</v>
      </c>
      <c r="V14" s="15"/>
      <c r="W14" s="18" t="s">
        <v>17</v>
      </c>
      <c r="X14" s="17"/>
      <c r="Y14" s="17"/>
      <c r="Z14" s="17"/>
      <c r="AA14" s="17"/>
      <c r="AB14" s="17"/>
      <c r="AC14" s="17"/>
      <c r="AD14" s="17"/>
      <c r="AE14" s="17"/>
      <c r="AF14" s="17">
        <f t="shared" si="1"/>
        <v>0</v>
      </c>
      <c r="AI14" s="16"/>
      <c r="AJ14" s="7"/>
    </row>
    <row r="15" spans="1:36" ht="15.75" thickBot="1" x14ac:dyDescent="0.3">
      <c r="A15" s="1" t="s">
        <v>4</v>
      </c>
      <c r="B15" s="19">
        <f>SUM(B7:B14)</f>
        <v>70519.734700000001</v>
      </c>
      <c r="C15" s="19">
        <f>SUM(C7:C14)</f>
        <v>41189.978699999992</v>
      </c>
      <c r="D15" s="19">
        <f>SUM(D7:D14)</f>
        <v>61522.450100000002</v>
      </c>
      <c r="E15" s="19">
        <f t="shared" ref="E15:H15" si="3">SUM(E7:E14)</f>
        <v>92709.075899999996</v>
      </c>
      <c r="F15" s="19">
        <f t="shared" si="3"/>
        <v>284222.6691</v>
      </c>
      <c r="G15" s="19">
        <f t="shared" si="3"/>
        <v>214241.1121</v>
      </c>
      <c r="H15" s="19">
        <f t="shared" si="3"/>
        <v>860019.89859999996</v>
      </c>
      <c r="I15" s="19">
        <f>SUM(I7:I14)</f>
        <v>192811.24280000001</v>
      </c>
      <c r="J15" s="19">
        <f>SUM(J7:J14)</f>
        <v>1817236.162</v>
      </c>
      <c r="K15" s="15"/>
      <c r="L15" s="19" t="s">
        <v>4</v>
      </c>
      <c r="M15" s="19">
        <f>SUM(M7:M14)</f>
        <v>0</v>
      </c>
      <c r="N15" s="19">
        <f t="shared" ref="N15:U15" si="4">SUM(N7:N14)</f>
        <v>0</v>
      </c>
      <c r="O15" s="19">
        <f t="shared" si="4"/>
        <v>0</v>
      </c>
      <c r="P15" s="19">
        <f t="shared" si="4"/>
        <v>0</v>
      </c>
      <c r="Q15" s="19">
        <f t="shared" si="4"/>
        <v>0</v>
      </c>
      <c r="R15" s="19">
        <f t="shared" si="4"/>
        <v>0</v>
      </c>
      <c r="S15" s="19">
        <f t="shared" si="4"/>
        <v>0</v>
      </c>
      <c r="T15" s="19">
        <f t="shared" si="4"/>
        <v>0</v>
      </c>
      <c r="U15" s="19">
        <f t="shared" si="4"/>
        <v>0</v>
      </c>
      <c r="V15" s="15"/>
      <c r="W15" s="19" t="s">
        <v>4</v>
      </c>
      <c r="X15" s="19">
        <f>SUM(X7:X14)</f>
        <v>78337.076509034785</v>
      </c>
      <c r="Y15" s="19">
        <f t="shared" ref="Y15:AF15" si="5">SUM(Y7:Y14)</f>
        <v>32313.168401214331</v>
      </c>
      <c r="Z15" s="19">
        <f t="shared" si="5"/>
        <v>57041.971606329738</v>
      </c>
      <c r="AA15" s="19">
        <f t="shared" si="5"/>
        <v>92291.105276578281</v>
      </c>
      <c r="AB15" s="19">
        <f t="shared" si="5"/>
        <v>290631.69174884213</v>
      </c>
      <c r="AC15" s="19">
        <f t="shared" si="5"/>
        <v>192139.84151746315</v>
      </c>
      <c r="AD15" s="19">
        <f t="shared" si="5"/>
        <v>1089050.7492922102</v>
      </c>
      <c r="AE15" s="19">
        <f t="shared" si="5"/>
        <v>0</v>
      </c>
      <c r="AF15" s="19">
        <f t="shared" si="5"/>
        <v>1831805.6043516728</v>
      </c>
      <c r="AH15" s="21"/>
      <c r="AI15" s="16"/>
      <c r="AJ15" s="7"/>
    </row>
    <row r="16" spans="1:36" x14ac:dyDescent="0.25">
      <c r="AH16" s="7"/>
      <c r="AI16" s="7"/>
      <c r="AJ16" s="7"/>
    </row>
    <row r="17" spans="1:36" x14ac:dyDescent="0.25">
      <c r="AH17" s="7"/>
      <c r="AI17" s="7"/>
      <c r="AJ17" s="7"/>
    </row>
    <row r="18" spans="1:36" ht="15.75" thickBot="1" x14ac:dyDescent="0.3">
      <c r="A18" s="4" t="s">
        <v>214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58</v>
      </c>
      <c r="M18" s="1"/>
      <c r="N18" s="1"/>
      <c r="O18" s="1"/>
      <c r="P18" s="1"/>
      <c r="Q18" s="1"/>
      <c r="R18" s="1"/>
      <c r="S18" s="1"/>
      <c r="T18" s="1"/>
      <c r="U18" s="1"/>
    </row>
    <row r="19" spans="1:36" x14ac:dyDescent="0.25">
      <c r="A19" s="2" t="s">
        <v>15</v>
      </c>
      <c r="B19" s="2" t="str">
        <f>$A$7</f>
        <v>Bellevue</v>
      </c>
      <c r="C19" s="2" t="str">
        <f>$A$8</f>
        <v>Bellevue Downtown</v>
      </c>
      <c r="D19" s="2" t="str">
        <f>$A$9</f>
        <v>Kirkland</v>
      </c>
      <c r="E19" s="2" t="str">
        <f>$A$10</f>
        <v>Redmond</v>
      </c>
      <c r="F19" s="2" t="str">
        <f>$A$11</f>
        <v>Seattle</v>
      </c>
      <c r="G19" s="2" t="str">
        <f>$A$12</f>
        <v>Seattle Downtown</v>
      </c>
      <c r="H19" s="2" t="str">
        <f>$A$13</f>
        <v>Rest</v>
      </c>
      <c r="I19" s="3" t="str">
        <f>$A$14</f>
        <v>Outside</v>
      </c>
      <c r="J19" s="3" t="s">
        <v>4</v>
      </c>
      <c r="L19" s="2" t="s">
        <v>15</v>
      </c>
      <c r="M19" s="2" t="str">
        <f>$A$7</f>
        <v>Bellevue</v>
      </c>
      <c r="N19" s="2" t="str">
        <f>$A$8</f>
        <v>Bellevue Downtown</v>
      </c>
      <c r="O19" s="2" t="str">
        <f>$A$9</f>
        <v>Kirkland</v>
      </c>
      <c r="P19" s="2" t="str">
        <f>$A$10</f>
        <v>Redmond</v>
      </c>
      <c r="Q19" s="2" t="str">
        <f>$A$11</f>
        <v>Seattle</v>
      </c>
      <c r="R19" s="2" t="str">
        <f>$A$12</f>
        <v>Seattle Downtown</v>
      </c>
      <c r="S19" s="2" t="str">
        <f>$A$13</f>
        <v>Rest</v>
      </c>
      <c r="T19" s="3" t="str">
        <f>$A$14</f>
        <v>Outside</v>
      </c>
      <c r="U19" s="3" t="s">
        <v>4</v>
      </c>
    </row>
    <row r="20" spans="1:36" x14ac:dyDescent="0.25">
      <c r="A20" s="41" t="str">
        <f>A7</f>
        <v>Bellevue</v>
      </c>
      <c r="B20" s="15">
        <f t="shared" ref="B20:G26" si="6">(B7/$J7)*$AF7</f>
        <v>15034.56349773395</v>
      </c>
      <c r="C20" s="15">
        <f t="shared" si="6"/>
        <v>4902.3389436788211</v>
      </c>
      <c r="D20" s="15">
        <f t="shared" si="6"/>
        <v>3925.6506134619563</v>
      </c>
      <c r="E20" s="15">
        <f t="shared" si="6"/>
        <v>8539.5648322760935</v>
      </c>
      <c r="F20" s="15">
        <f t="shared" si="6"/>
        <v>10047.24345339729</v>
      </c>
      <c r="G20" s="15">
        <f t="shared" si="6"/>
        <v>7510.6573987677684</v>
      </c>
      <c r="H20" s="15">
        <f t="shared" ref="H20:I20" si="7">(H7/$J7)*$AF7</f>
        <v>9243.5402680405459</v>
      </c>
      <c r="I20" s="15">
        <f t="shared" si="7"/>
        <v>16421.690992643576</v>
      </c>
      <c r="J20" s="15">
        <f>SUM(B20:I20)</f>
        <v>75625.25</v>
      </c>
      <c r="L20" t="str">
        <f>$A$7</f>
        <v>Bellevue</v>
      </c>
      <c r="M20" s="15" t="e">
        <f t="shared" ref="M20:T26" si="8">M7*($AF7/$U7)</f>
        <v>#DIV/0!</v>
      </c>
      <c r="N20" s="15" t="e">
        <f t="shared" si="8"/>
        <v>#DIV/0!</v>
      </c>
      <c r="O20" s="15" t="e">
        <f t="shared" si="8"/>
        <v>#DIV/0!</v>
      </c>
      <c r="P20" s="15" t="e">
        <f t="shared" si="8"/>
        <v>#DIV/0!</v>
      </c>
      <c r="Q20" s="15" t="e">
        <f t="shared" si="8"/>
        <v>#DIV/0!</v>
      </c>
      <c r="R20" s="15" t="e">
        <f t="shared" si="8"/>
        <v>#DIV/0!</v>
      </c>
      <c r="S20" s="15" t="e">
        <f t="shared" si="8"/>
        <v>#DIV/0!</v>
      </c>
      <c r="T20" s="15" t="e">
        <f t="shared" ref="T20:T25" si="9">T7*($AF7/$U7)</f>
        <v>#DIV/0!</v>
      </c>
      <c r="U20" s="15" t="e">
        <f>SUM(M20:T20)</f>
        <v>#DIV/0!</v>
      </c>
    </row>
    <row r="21" spans="1:36" x14ac:dyDescent="0.25">
      <c r="A21" s="41" t="str">
        <f t="shared" ref="A21:A27" si="10">A8</f>
        <v>Bellevue Downtown</v>
      </c>
      <c r="B21" s="15">
        <f t="shared" si="6"/>
        <v>231.58745192251578</v>
      </c>
      <c r="C21" s="15">
        <f t="shared" si="6"/>
        <v>408.89483416783634</v>
      </c>
      <c r="D21" s="15">
        <f t="shared" si="6"/>
        <v>22.913464580934047</v>
      </c>
      <c r="E21" s="15">
        <f t="shared" si="6"/>
        <v>425.35465888498544</v>
      </c>
      <c r="F21" s="15">
        <f t="shared" si="6"/>
        <v>196.74589547533694</v>
      </c>
      <c r="G21" s="15">
        <f t="shared" si="6"/>
        <v>106.86936105070812</v>
      </c>
      <c r="H21" s="15">
        <f t="shared" ref="H21:I21" si="11">(H8/$J8)*$AF8</f>
        <v>173.97100598350252</v>
      </c>
      <c r="I21" s="15">
        <f t="shared" si="11"/>
        <v>4085.9133279341804</v>
      </c>
      <c r="J21" s="15">
        <f>SUM(B21:I21)</f>
        <v>5652.25</v>
      </c>
      <c r="L21" t="str">
        <f>$A$8</f>
        <v>Bellevue Downtown</v>
      </c>
      <c r="M21" s="15" t="e">
        <f t="shared" si="8"/>
        <v>#DIV/0!</v>
      </c>
      <c r="N21" s="15" t="e">
        <f t="shared" si="8"/>
        <v>#DIV/0!</v>
      </c>
      <c r="O21" s="15" t="e">
        <f t="shared" si="8"/>
        <v>#DIV/0!</v>
      </c>
      <c r="P21" s="15" t="e">
        <f t="shared" si="8"/>
        <v>#DIV/0!</v>
      </c>
      <c r="Q21" s="15" t="e">
        <f t="shared" si="8"/>
        <v>#DIV/0!</v>
      </c>
      <c r="R21" s="15" t="e">
        <f t="shared" si="8"/>
        <v>#DIV/0!</v>
      </c>
      <c r="S21" s="15" t="e">
        <f t="shared" ref="S21" si="12">S8*($AF8/$U8)</f>
        <v>#DIV/0!</v>
      </c>
      <c r="T21" s="15" t="e">
        <f t="shared" si="9"/>
        <v>#DIV/0!</v>
      </c>
      <c r="U21" s="15" t="e">
        <f>SUM(M21:T21)</f>
        <v>#DIV/0!</v>
      </c>
    </row>
    <row r="22" spans="1:36" x14ac:dyDescent="0.25">
      <c r="A22" s="41" t="str">
        <f t="shared" si="10"/>
        <v>Kirkland</v>
      </c>
      <c r="B22" s="15">
        <f t="shared" si="6"/>
        <v>2612.1744819481924</v>
      </c>
      <c r="C22" s="15">
        <f t="shared" si="6"/>
        <v>3864.2869126105466</v>
      </c>
      <c r="D22" s="15">
        <f t="shared" si="6"/>
        <v>11475.030790906834</v>
      </c>
      <c r="E22" s="15">
        <f t="shared" si="6"/>
        <v>9945.347124194448</v>
      </c>
      <c r="F22" s="15">
        <f t="shared" si="6"/>
        <v>6949.1547402788919</v>
      </c>
      <c r="G22" s="15">
        <f t="shared" si="6"/>
        <v>4718.7066880017219</v>
      </c>
      <c r="H22" s="15">
        <f t="shared" ref="H22:I22" si="13">(H9/$J9)*$AF9</f>
        <v>5915.2243734622889</v>
      </c>
      <c r="I22" s="15">
        <f t="shared" si="13"/>
        <v>26569.574888597072</v>
      </c>
      <c r="J22" s="15">
        <f t="shared" ref="J22:J24" si="14">SUM(B22:I22)</f>
        <v>72049.5</v>
      </c>
      <c r="L22" t="str">
        <f>$A$9</f>
        <v>Kirkland</v>
      </c>
      <c r="M22" s="15" t="e">
        <f t="shared" si="8"/>
        <v>#DIV/0!</v>
      </c>
      <c r="N22" s="15" t="e">
        <f t="shared" si="8"/>
        <v>#DIV/0!</v>
      </c>
      <c r="O22" s="15" t="e">
        <f t="shared" si="8"/>
        <v>#DIV/0!</v>
      </c>
      <c r="P22" s="15" t="e">
        <f t="shared" si="8"/>
        <v>#DIV/0!</v>
      </c>
      <c r="Q22" s="15" t="e">
        <f t="shared" si="8"/>
        <v>#DIV/0!</v>
      </c>
      <c r="R22" s="15" t="e">
        <f t="shared" si="8"/>
        <v>#DIV/0!</v>
      </c>
      <c r="S22" s="15" t="e">
        <f t="shared" ref="S22" si="15">S9*($AF9/$U9)</f>
        <v>#DIV/0!</v>
      </c>
      <c r="T22" s="15" t="e">
        <f t="shared" si="9"/>
        <v>#DIV/0!</v>
      </c>
      <c r="U22" s="15" t="e">
        <f>SUM(M22:T22)</f>
        <v>#DIV/0!</v>
      </c>
    </row>
    <row r="23" spans="1:36" x14ac:dyDescent="0.25">
      <c r="A23" s="41" t="str">
        <f t="shared" si="10"/>
        <v>Redmond</v>
      </c>
      <c r="B23" s="15">
        <f t="shared" si="6"/>
        <v>4940.0329767486983</v>
      </c>
      <c r="C23" s="15">
        <f t="shared" si="6"/>
        <v>2473.8071385193539</v>
      </c>
      <c r="D23" s="15">
        <f t="shared" si="6"/>
        <v>3296.4530466241681</v>
      </c>
      <c r="E23" s="15">
        <f t="shared" si="6"/>
        <v>10246.733354229886</v>
      </c>
      <c r="F23" s="15">
        <f t="shared" si="6"/>
        <v>2527.7568283025184</v>
      </c>
      <c r="G23" s="15">
        <f t="shared" si="6"/>
        <v>2220.122895037925</v>
      </c>
      <c r="H23" s="15">
        <f t="shared" ref="H23:I23" si="16">(H10/$J10)*$AF10</f>
        <v>2901.7670284113128</v>
      </c>
      <c r="I23" s="15">
        <f t="shared" si="16"/>
        <v>26562.826732126141</v>
      </c>
      <c r="J23" s="15">
        <f t="shared" si="14"/>
        <v>55169.5</v>
      </c>
      <c r="L23" t="str">
        <f>$A$10</f>
        <v>Redmond</v>
      </c>
      <c r="M23" s="15" t="e">
        <f t="shared" si="8"/>
        <v>#DIV/0!</v>
      </c>
      <c r="N23" s="15" t="e">
        <f t="shared" si="8"/>
        <v>#DIV/0!</v>
      </c>
      <c r="O23" s="15" t="e">
        <f t="shared" si="8"/>
        <v>#DIV/0!</v>
      </c>
      <c r="P23" s="15" t="e">
        <f t="shared" si="8"/>
        <v>#DIV/0!</v>
      </c>
      <c r="Q23" s="15" t="e">
        <f t="shared" si="8"/>
        <v>#DIV/0!</v>
      </c>
      <c r="R23" s="15" t="e">
        <f t="shared" si="8"/>
        <v>#DIV/0!</v>
      </c>
      <c r="S23" s="15" t="e">
        <f t="shared" ref="S23" si="17">S10*($AF10/$U10)</f>
        <v>#DIV/0!</v>
      </c>
      <c r="T23" s="15" t="e">
        <f t="shared" si="9"/>
        <v>#DIV/0!</v>
      </c>
      <c r="U23" s="15" t="e">
        <f t="shared" ref="U23:U26" si="18">SUM(M23:T23)</f>
        <v>#DIV/0!</v>
      </c>
    </row>
    <row r="24" spans="1:36" x14ac:dyDescent="0.25">
      <c r="A24" s="41" t="str">
        <f t="shared" si="10"/>
        <v>Seattle</v>
      </c>
      <c r="B24" s="15">
        <f t="shared" si="6"/>
        <v>10155.970100309412</v>
      </c>
      <c r="C24" s="15">
        <f t="shared" si="6"/>
        <v>5813.4084976409258</v>
      </c>
      <c r="D24" s="15">
        <f t="shared" si="6"/>
        <v>6689.6156459211234</v>
      </c>
      <c r="E24" s="15">
        <f t="shared" si="6"/>
        <v>9753.9938463708768</v>
      </c>
      <c r="F24" s="15">
        <f t="shared" si="6"/>
        <v>138849.99134709593</v>
      </c>
      <c r="G24" s="15">
        <f t="shared" si="6"/>
        <v>95493.960456600049</v>
      </c>
      <c r="H24" s="15">
        <f t="shared" ref="H24:I24" si="19">(H11/$J11)*$AF11</f>
        <v>45659.187248806644</v>
      </c>
      <c r="I24" s="15">
        <f t="shared" si="19"/>
        <v>41170.760677691986</v>
      </c>
      <c r="J24" s="15">
        <f t="shared" si="14"/>
        <v>353586.88782043697</v>
      </c>
      <c r="L24" t="str">
        <f>$A$11</f>
        <v>Seattle</v>
      </c>
      <c r="M24" s="15" t="e">
        <f t="shared" si="8"/>
        <v>#DIV/0!</v>
      </c>
      <c r="N24" s="15" t="e">
        <f t="shared" si="8"/>
        <v>#DIV/0!</v>
      </c>
      <c r="O24" s="15" t="e">
        <f t="shared" si="8"/>
        <v>#DIV/0!</v>
      </c>
      <c r="P24" s="15" t="e">
        <f t="shared" si="8"/>
        <v>#DIV/0!</v>
      </c>
      <c r="Q24" s="15" t="e">
        <f t="shared" si="8"/>
        <v>#DIV/0!</v>
      </c>
      <c r="R24" s="15" t="e">
        <f t="shared" si="8"/>
        <v>#DIV/0!</v>
      </c>
      <c r="S24" s="15" t="e">
        <f t="shared" ref="S24" si="20">S11*($AF11/$U11)</f>
        <v>#DIV/0!</v>
      </c>
      <c r="T24" s="15" t="e">
        <f t="shared" si="9"/>
        <v>#DIV/0!</v>
      </c>
      <c r="U24" s="15" t="e">
        <f t="shared" si="18"/>
        <v>#DIV/0!</v>
      </c>
    </row>
    <row r="25" spans="1:36" x14ac:dyDescent="0.25">
      <c r="A25" s="41" t="str">
        <f t="shared" si="10"/>
        <v>Seattle Downtown</v>
      </c>
      <c r="B25" s="15">
        <f t="shared" si="6"/>
        <v>714.65762077366128</v>
      </c>
      <c r="C25" s="15">
        <f t="shared" si="6"/>
        <v>520.65343148532884</v>
      </c>
      <c r="D25" s="15">
        <f t="shared" si="6"/>
        <v>333.4834868253792</v>
      </c>
      <c r="E25" s="15">
        <f t="shared" si="6"/>
        <v>1611.7042873051491</v>
      </c>
      <c r="F25" s="15">
        <f t="shared" si="6"/>
        <v>4803.603933219887</v>
      </c>
      <c r="G25" s="15">
        <f t="shared" si="6"/>
        <v>9856.669970936442</v>
      </c>
      <c r="H25" s="15">
        <f t="shared" ref="H25:I26" si="21">(H12/$J12)*$AF12</f>
        <v>1577.2203115598197</v>
      </c>
      <c r="I25" s="15">
        <f t="shared" si="21"/>
        <v>18919.251011361579</v>
      </c>
      <c r="J25" s="15">
        <f>SUM(B25:I25)</f>
        <v>38337.24405346725</v>
      </c>
      <c r="L25" t="str">
        <f>$A$12</f>
        <v>Seattle Downtown</v>
      </c>
      <c r="M25" s="15" t="e">
        <f t="shared" si="8"/>
        <v>#DIV/0!</v>
      </c>
      <c r="N25" s="15" t="e">
        <f t="shared" si="8"/>
        <v>#DIV/0!</v>
      </c>
      <c r="O25" s="15" t="e">
        <f t="shared" si="8"/>
        <v>#DIV/0!</v>
      </c>
      <c r="P25" s="15" t="e">
        <f t="shared" si="8"/>
        <v>#DIV/0!</v>
      </c>
      <c r="Q25" s="15" t="e">
        <f t="shared" si="8"/>
        <v>#DIV/0!</v>
      </c>
      <c r="R25" s="15" t="e">
        <f t="shared" si="8"/>
        <v>#DIV/0!</v>
      </c>
      <c r="S25" s="15" t="e">
        <f t="shared" ref="S25" si="22">S12*($AF12/$U12)</f>
        <v>#DIV/0!</v>
      </c>
      <c r="T25" s="15" t="e">
        <f t="shared" si="9"/>
        <v>#DIV/0!</v>
      </c>
      <c r="U25" s="15" t="e">
        <f t="shared" si="18"/>
        <v>#DIV/0!</v>
      </c>
    </row>
    <row r="26" spans="1:36" x14ac:dyDescent="0.25">
      <c r="A26" s="41" t="str">
        <f t="shared" si="10"/>
        <v>Rest</v>
      </c>
      <c r="B26" s="15">
        <f t="shared" si="6"/>
        <v>31087.509182377307</v>
      </c>
      <c r="C26" s="15">
        <f t="shared" si="6"/>
        <v>19516.143526206728</v>
      </c>
      <c r="D26" s="15">
        <f t="shared" si="6"/>
        <v>30815.959180401413</v>
      </c>
      <c r="E26" s="15">
        <f t="shared" si="6"/>
        <v>40968.186991218579</v>
      </c>
      <c r="F26" s="15">
        <f t="shared" si="6"/>
        <v>123643.65673803515</v>
      </c>
      <c r="G26" s="15">
        <f t="shared" si="6"/>
        <v>91689.534575405429</v>
      </c>
      <c r="H26" s="15">
        <f t="shared" si="21"/>
        <v>893663.98228412389</v>
      </c>
      <c r="I26" s="15">
        <f t="shared" si="21"/>
        <v>0</v>
      </c>
      <c r="J26" s="15">
        <f>SUM(B26:I26)</f>
        <v>1231384.9724777685</v>
      </c>
      <c r="L26" t="str">
        <f>$A$13</f>
        <v>Rest</v>
      </c>
      <c r="M26" s="15" t="e">
        <f t="shared" si="8"/>
        <v>#DIV/0!</v>
      </c>
      <c r="N26" s="15" t="e">
        <f t="shared" si="8"/>
        <v>#DIV/0!</v>
      </c>
      <c r="O26" s="15" t="e">
        <f t="shared" si="8"/>
        <v>#DIV/0!</v>
      </c>
      <c r="P26" s="15" t="e">
        <f t="shared" si="8"/>
        <v>#DIV/0!</v>
      </c>
      <c r="Q26" s="15" t="e">
        <f t="shared" si="8"/>
        <v>#DIV/0!</v>
      </c>
      <c r="R26" s="15" t="e">
        <f t="shared" si="8"/>
        <v>#DIV/0!</v>
      </c>
      <c r="S26" s="15" t="e">
        <f t="shared" ref="S26" si="23">S13*($AF13/$U13)</f>
        <v>#DIV/0!</v>
      </c>
      <c r="T26" s="15" t="e">
        <f t="shared" si="8"/>
        <v>#DIV/0!</v>
      </c>
      <c r="U26" s="15" t="e">
        <f t="shared" si="18"/>
        <v>#DIV/0!</v>
      </c>
    </row>
    <row r="27" spans="1:36" x14ac:dyDescent="0.25">
      <c r="A27" s="90" t="str">
        <f t="shared" si="10"/>
        <v>Outside</v>
      </c>
      <c r="B27" s="17"/>
      <c r="C27" s="17"/>
      <c r="D27" s="17"/>
      <c r="E27" s="17"/>
      <c r="F27" s="17"/>
      <c r="G27" s="17"/>
      <c r="H27" s="17"/>
      <c r="I27" s="17"/>
      <c r="J27" s="17">
        <f>SUM(B27:I27)</f>
        <v>0</v>
      </c>
      <c r="L27" s="18" t="s">
        <v>17</v>
      </c>
      <c r="M27" s="17" t="e">
        <f t="shared" ref="M27:S27" si="24">M14*($AF14/$U14)</f>
        <v>#DIV/0!</v>
      </c>
      <c r="N27" s="17" t="e">
        <f t="shared" si="24"/>
        <v>#DIV/0!</v>
      </c>
      <c r="O27" s="17" t="e">
        <f t="shared" si="24"/>
        <v>#DIV/0!</v>
      </c>
      <c r="P27" s="17" t="e">
        <f t="shared" si="24"/>
        <v>#DIV/0!</v>
      </c>
      <c r="Q27" s="17" t="e">
        <f t="shared" si="24"/>
        <v>#DIV/0!</v>
      </c>
      <c r="R27" s="17" t="e">
        <f t="shared" si="24"/>
        <v>#DIV/0!</v>
      </c>
      <c r="S27" s="15" t="e">
        <f t="shared" si="24"/>
        <v>#DIV/0!</v>
      </c>
      <c r="T27" s="17" t="e">
        <f>T14*($AF14/$U14)</f>
        <v>#DIV/0!</v>
      </c>
      <c r="U27" s="17" t="e">
        <f>SUM(M27:T27)</f>
        <v>#DIV/0!</v>
      </c>
    </row>
    <row r="28" spans="1:36" ht="15.75" thickBot="1" x14ac:dyDescent="0.3">
      <c r="A28" s="1" t="s">
        <v>4</v>
      </c>
      <c r="B28" s="19">
        <f>SUM(B20:B27)</f>
        <v>64776.495311813735</v>
      </c>
      <c r="C28" s="19">
        <f>SUM(C20:C27)</f>
        <v>37499.533284309538</v>
      </c>
      <c r="D28" s="19">
        <f>SUM(D20:D27)</f>
        <v>56559.106228721808</v>
      </c>
      <c r="E28" s="19">
        <f t="shared" ref="E28:H28" si="25">SUM(E20:E27)</f>
        <v>81490.885094480007</v>
      </c>
      <c r="F28" s="19">
        <f t="shared" si="25"/>
        <v>287018.15293580503</v>
      </c>
      <c r="G28" s="19">
        <f t="shared" si="25"/>
        <v>211596.52134580005</v>
      </c>
      <c r="H28" s="19">
        <f t="shared" si="25"/>
        <v>959134.89252038801</v>
      </c>
      <c r="I28" s="19">
        <f>SUM(I20:I27)</f>
        <v>133730.01763035453</v>
      </c>
      <c r="J28" s="19">
        <f>SUM(J20:J27)</f>
        <v>1831805.6043516728</v>
      </c>
      <c r="L28" s="19" t="s">
        <v>4</v>
      </c>
      <c r="M28" s="19" t="e">
        <f>SUM(M20:M27)</f>
        <v>#DIV/0!</v>
      </c>
      <c r="N28" s="19" t="e">
        <f t="shared" ref="N28:S28" si="26">SUM(N20:N27)</f>
        <v>#DIV/0!</v>
      </c>
      <c r="O28" s="19" t="e">
        <f t="shared" si="26"/>
        <v>#DIV/0!</v>
      </c>
      <c r="P28" s="19" t="e">
        <f t="shared" si="26"/>
        <v>#DIV/0!</v>
      </c>
      <c r="Q28" s="19" t="e">
        <f t="shared" si="26"/>
        <v>#DIV/0!</v>
      </c>
      <c r="R28" s="19" t="e">
        <f t="shared" si="26"/>
        <v>#DIV/0!</v>
      </c>
      <c r="S28" s="19" t="e">
        <f t="shared" si="26"/>
        <v>#DIV/0!</v>
      </c>
      <c r="T28" s="19" t="e">
        <f>SUM(T20:T27)</f>
        <v>#DIV/0!</v>
      </c>
      <c r="U28" s="19" t="e">
        <f>SUM(U20:U27)</f>
        <v>#DIV/0!</v>
      </c>
    </row>
    <row r="32" spans="1:36" ht="15.75" thickBot="1" x14ac:dyDescent="0.3">
      <c r="A32" s="4" t="s">
        <v>214</v>
      </c>
      <c r="B32" s="1"/>
      <c r="C32" s="1"/>
      <c r="D32" s="1"/>
      <c r="E32" s="1"/>
      <c r="F32" s="1"/>
      <c r="G32" s="1"/>
      <c r="H32" s="1"/>
      <c r="I32" s="1"/>
      <c r="J32" s="1"/>
      <c r="L32" s="4" t="s">
        <v>58</v>
      </c>
      <c r="M32" s="1"/>
      <c r="N32" s="1"/>
      <c r="O32" s="1"/>
      <c r="P32" s="1"/>
      <c r="Q32" s="1"/>
      <c r="R32" s="1"/>
      <c r="S32" s="1"/>
      <c r="T32" s="1"/>
      <c r="U32" s="1"/>
      <c r="W32" s="4" t="s">
        <v>44</v>
      </c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2" t="s">
        <v>15</v>
      </c>
      <c r="B33" s="2" t="str">
        <f>$A$7</f>
        <v>Bellevue</v>
      </c>
      <c r="C33" s="2" t="str">
        <f>$A$8</f>
        <v>Bellevue Downtown</v>
      </c>
      <c r="D33" s="2" t="str">
        <f>$A$9</f>
        <v>Kirkland</v>
      </c>
      <c r="E33" s="2" t="str">
        <f>$A$10</f>
        <v>Redmond</v>
      </c>
      <c r="F33" s="2" t="str">
        <f>$A$11</f>
        <v>Seattle</v>
      </c>
      <c r="G33" s="2" t="str">
        <f>$A$12</f>
        <v>Seattle Downtown</v>
      </c>
      <c r="H33" s="2" t="str">
        <f>$A$13</f>
        <v>Rest</v>
      </c>
      <c r="I33" s="3" t="str">
        <f>$A$14</f>
        <v>Outside</v>
      </c>
      <c r="J33" s="3" t="s">
        <v>4</v>
      </c>
      <c r="L33" s="2" t="s">
        <v>15</v>
      </c>
      <c r="M33" s="2" t="str">
        <f>$A$7</f>
        <v>Bellevue</v>
      </c>
      <c r="N33" s="2" t="str">
        <f>$A$8</f>
        <v>Bellevue Downtown</v>
      </c>
      <c r="O33" s="2" t="str">
        <f>$A$9</f>
        <v>Kirkland</v>
      </c>
      <c r="P33" s="2" t="str">
        <f>$A$10</f>
        <v>Redmond</v>
      </c>
      <c r="Q33" s="2" t="str">
        <f>$A$11</f>
        <v>Seattle</v>
      </c>
      <c r="R33" s="2" t="str">
        <f>$A$12</f>
        <v>Seattle Downtown</v>
      </c>
      <c r="S33" s="2" t="str">
        <f>$A$13</f>
        <v>Rest</v>
      </c>
      <c r="T33" s="3" t="str">
        <f>$A$14</f>
        <v>Outside</v>
      </c>
      <c r="U33" s="3" t="s">
        <v>4</v>
      </c>
      <c r="W33" s="2" t="s">
        <v>15</v>
      </c>
      <c r="X33" s="2" t="str">
        <f>$A$7</f>
        <v>Bellevue</v>
      </c>
      <c r="Y33" s="2" t="str">
        <f>$A$8</f>
        <v>Bellevue Downtown</v>
      </c>
      <c r="Z33" s="2" t="str">
        <f>$A$9</f>
        <v>Kirkland</v>
      </c>
      <c r="AA33" s="2" t="str">
        <f>$A$10</f>
        <v>Redmond</v>
      </c>
      <c r="AB33" s="2" t="str">
        <f>$A$11</f>
        <v>Seattle</v>
      </c>
      <c r="AC33" s="2" t="str">
        <f>$A$12</f>
        <v>Seattle Downtown</v>
      </c>
      <c r="AD33" s="2" t="str">
        <f>$A$13</f>
        <v>Rest</v>
      </c>
      <c r="AE33" s="3" t="str">
        <f>$A$14</f>
        <v>Outside</v>
      </c>
      <c r="AF33" s="3" t="s">
        <v>4</v>
      </c>
    </row>
    <row r="34" spans="1:32" x14ac:dyDescent="0.25">
      <c r="A34" s="91" t="str">
        <f>A20</f>
        <v>Bellevue</v>
      </c>
      <c r="B34" s="25">
        <f>B20/$J$28</f>
        <v>8.2075103722892596E-3</v>
      </c>
      <c r="C34" s="25">
        <f t="shared" ref="C34:J34" si="27">C20/$J$28</f>
        <v>2.676233183277052E-3</v>
      </c>
      <c r="D34" s="25">
        <f t="shared" si="27"/>
        <v>2.1430497887636683E-3</v>
      </c>
      <c r="E34" s="25">
        <f t="shared" si="27"/>
        <v>4.6618291875455227E-3</v>
      </c>
      <c r="F34" s="25">
        <f t="shared" si="27"/>
        <v>5.4848852026267766E-3</v>
      </c>
      <c r="G34" s="25">
        <f t="shared" si="27"/>
        <v>4.1001388907891236E-3</v>
      </c>
      <c r="H34" s="25">
        <f t="shared" ref="H34:I34" si="28">H20/$J$28</f>
        <v>5.0461360343485211E-3</v>
      </c>
      <c r="I34" s="25">
        <f t="shared" si="28"/>
        <v>8.9647563877039618E-3</v>
      </c>
      <c r="J34" s="25">
        <f t="shared" si="27"/>
        <v>4.1284539047343888E-2</v>
      </c>
      <c r="L34" t="str">
        <f>$A$7</f>
        <v>Bellevue</v>
      </c>
      <c r="M34" s="25" t="e">
        <f t="shared" ref="M34:T41" si="29">M20/$U$28</f>
        <v>#DIV/0!</v>
      </c>
      <c r="N34" s="25" t="e">
        <f t="shared" si="29"/>
        <v>#DIV/0!</v>
      </c>
      <c r="O34" s="25" t="e">
        <f t="shared" si="29"/>
        <v>#DIV/0!</v>
      </c>
      <c r="P34" s="25" t="e">
        <f t="shared" si="29"/>
        <v>#DIV/0!</v>
      </c>
      <c r="Q34" s="25" t="e">
        <f t="shared" si="29"/>
        <v>#DIV/0!</v>
      </c>
      <c r="R34" s="25" t="e">
        <f t="shared" si="29"/>
        <v>#DIV/0!</v>
      </c>
      <c r="S34" s="25" t="e">
        <f t="shared" si="29"/>
        <v>#DIV/0!</v>
      </c>
      <c r="T34" s="25" t="e">
        <f t="shared" ref="T34:T39" si="30">T20/$U$28</f>
        <v>#DIV/0!</v>
      </c>
      <c r="U34" s="25" t="e">
        <f>SUM(M34:T34)</f>
        <v>#DIV/0!</v>
      </c>
      <c r="W34" t="str">
        <f>$A$7</f>
        <v>Bellevue</v>
      </c>
      <c r="X34" s="25">
        <f t="shared" ref="X34:AC40" si="31">X7/$AF$15</f>
        <v>8.8886342313395979E-3</v>
      </c>
      <c r="Y34" s="25">
        <f t="shared" si="31"/>
        <v>3.1332473196747147E-3</v>
      </c>
      <c r="Z34" s="25">
        <f t="shared" si="31"/>
        <v>1.9865645084582782E-3</v>
      </c>
      <c r="AA34" s="25">
        <f t="shared" si="31"/>
        <v>5.9940858210694951E-3</v>
      </c>
      <c r="AB34" s="25">
        <f t="shared" si="31"/>
        <v>5.8999164400007804E-3</v>
      </c>
      <c r="AC34" s="25">
        <f t="shared" si="31"/>
        <v>3.6739706353185525E-3</v>
      </c>
      <c r="AD34" s="25">
        <f t="shared" ref="AD34:AE34" si="32">AD7/$AF$15</f>
        <v>1.1708120091482465E-2</v>
      </c>
      <c r="AE34" s="25">
        <f t="shared" si="32"/>
        <v>0</v>
      </c>
      <c r="AF34" s="25">
        <f>SUM(X34:AE34)</f>
        <v>4.1284539047343888E-2</v>
      </c>
    </row>
    <row r="35" spans="1:32" x14ac:dyDescent="0.25">
      <c r="A35" s="92" t="str">
        <f t="shared" ref="A35:A41" si="33">A21</f>
        <v>Bellevue Downtown</v>
      </c>
      <c r="B35" s="25">
        <f t="shared" ref="B35:J35" si="34">B21/$J$28</f>
        <v>1.2642577977289301E-4</v>
      </c>
      <c r="C35" s="25">
        <f t="shared" si="34"/>
        <v>2.2321955626539074E-4</v>
      </c>
      <c r="D35" s="25">
        <f t="shared" si="34"/>
        <v>1.2508676972327401E-5</v>
      </c>
      <c r="E35" s="25">
        <f t="shared" si="34"/>
        <v>2.322051302138746E-4</v>
      </c>
      <c r="F35" s="25">
        <f t="shared" si="34"/>
        <v>1.0740544466505812E-4</v>
      </c>
      <c r="G35" s="25">
        <f t="shared" si="34"/>
        <v>5.8340994697705477E-5</v>
      </c>
      <c r="H35" s="25">
        <f t="shared" ref="H35:I35" si="35">H21/$J$28</f>
        <v>9.4972417144162919E-5</v>
      </c>
      <c r="I35" s="25">
        <f t="shared" si="35"/>
        <v>2.2305387199534742E-3</v>
      </c>
      <c r="J35" s="25">
        <f t="shared" si="34"/>
        <v>3.0856167196848866E-3</v>
      </c>
      <c r="L35" t="str">
        <f>$A$8</f>
        <v>Bellevue Downtown</v>
      </c>
      <c r="M35" s="25" t="e">
        <f t="shared" si="29"/>
        <v>#DIV/0!</v>
      </c>
      <c r="N35" s="25" t="e">
        <f t="shared" si="29"/>
        <v>#DIV/0!</v>
      </c>
      <c r="O35" s="25" t="e">
        <f t="shared" si="29"/>
        <v>#DIV/0!</v>
      </c>
      <c r="P35" s="25" t="e">
        <f t="shared" si="29"/>
        <v>#DIV/0!</v>
      </c>
      <c r="Q35" s="25" t="e">
        <f t="shared" si="29"/>
        <v>#DIV/0!</v>
      </c>
      <c r="R35" s="25" t="e">
        <f t="shared" si="29"/>
        <v>#DIV/0!</v>
      </c>
      <c r="S35" s="25" t="e">
        <f t="shared" ref="S35" si="36">S21/$U$28</f>
        <v>#DIV/0!</v>
      </c>
      <c r="T35" s="25" t="e">
        <f t="shared" si="30"/>
        <v>#DIV/0!</v>
      </c>
      <c r="U35" s="25" t="e">
        <f>SUM(M35:T35)</f>
        <v>#DIV/0!</v>
      </c>
      <c r="W35" t="str">
        <f>$A$8</f>
        <v>Bellevue Downtown</v>
      </c>
      <c r="X35" s="25">
        <f t="shared" si="31"/>
        <v>4.8326634545553467E-4</v>
      </c>
      <c r="Y35" s="25">
        <f t="shared" si="31"/>
        <v>1.3052695080307071E-3</v>
      </c>
      <c r="Z35" s="25">
        <f t="shared" si="31"/>
        <v>1.2050951229518134E-4</v>
      </c>
      <c r="AA35" s="25">
        <f t="shared" si="31"/>
        <v>2.3105617702802041E-4</v>
      </c>
      <c r="AB35" s="25">
        <f t="shared" si="31"/>
        <v>2.8592007730283682E-4</v>
      </c>
      <c r="AC35" s="25">
        <f t="shared" si="31"/>
        <v>1.9570853978628544E-4</v>
      </c>
      <c r="AD35" s="25">
        <f t="shared" ref="AD35:AE35" si="37">AD8/$AF$15</f>
        <v>4.6388655978632092E-4</v>
      </c>
      <c r="AE35" s="25">
        <f t="shared" si="37"/>
        <v>0</v>
      </c>
      <c r="AF35" s="25">
        <f>SUM(X35:AE35)</f>
        <v>3.0856167196848861E-3</v>
      </c>
    </row>
    <row r="36" spans="1:32" x14ac:dyDescent="0.25">
      <c r="A36" s="92" t="str">
        <f t="shared" si="33"/>
        <v>Kirkland</v>
      </c>
      <c r="B36" s="25">
        <f t="shared" ref="B36:J36" si="38">B22/$J$28</f>
        <v>1.4260107490350832E-3</v>
      </c>
      <c r="C36" s="25">
        <f t="shared" si="38"/>
        <v>2.1095507642462014E-3</v>
      </c>
      <c r="D36" s="25">
        <f t="shared" si="38"/>
        <v>6.2643278105747298E-3</v>
      </c>
      <c r="E36" s="25">
        <f t="shared" si="38"/>
        <v>5.4292590330371785E-3</v>
      </c>
      <c r="F36" s="25">
        <f t="shared" si="38"/>
        <v>3.793609280248049E-3</v>
      </c>
      <c r="G36" s="25">
        <f t="shared" si="38"/>
        <v>2.57598659857349E-3</v>
      </c>
      <c r="H36" s="25">
        <f t="shared" ref="H36:I36" si="39">H22/$J$28</f>
        <v>3.2291769167044622E-3</v>
      </c>
      <c r="I36" s="25">
        <f t="shared" si="39"/>
        <v>1.4504582159524939E-2</v>
      </c>
      <c r="J36" s="25">
        <f t="shared" si="38"/>
        <v>3.9332503311944135E-2</v>
      </c>
      <c r="L36" t="str">
        <f>$A$9</f>
        <v>Kirkland</v>
      </c>
      <c r="M36" s="25" t="e">
        <f t="shared" si="29"/>
        <v>#DIV/0!</v>
      </c>
      <c r="N36" s="25" t="e">
        <f t="shared" si="29"/>
        <v>#DIV/0!</v>
      </c>
      <c r="O36" s="25" t="e">
        <f t="shared" si="29"/>
        <v>#DIV/0!</v>
      </c>
      <c r="P36" s="25" t="e">
        <f t="shared" si="29"/>
        <v>#DIV/0!</v>
      </c>
      <c r="Q36" s="25" t="e">
        <f t="shared" si="29"/>
        <v>#DIV/0!</v>
      </c>
      <c r="R36" s="25" t="e">
        <f t="shared" si="29"/>
        <v>#DIV/0!</v>
      </c>
      <c r="S36" s="25" t="e">
        <f t="shared" ref="S36" si="40">S22/$U$28</f>
        <v>#DIV/0!</v>
      </c>
      <c r="T36" s="25" t="e">
        <f t="shared" si="30"/>
        <v>#DIV/0!</v>
      </c>
      <c r="U36" s="25" t="e">
        <f>SUM(M36:T36)</f>
        <v>#DIV/0!</v>
      </c>
      <c r="W36" t="str">
        <f>$A$9</f>
        <v>Kirkland</v>
      </c>
      <c r="X36" s="25">
        <f t="shared" si="31"/>
        <v>3.9725831074610852E-3</v>
      </c>
      <c r="Y36" s="25">
        <f t="shared" si="31"/>
        <v>1.756736627705067E-3</v>
      </c>
      <c r="Z36" s="25">
        <f t="shared" si="31"/>
        <v>7.775797806362352E-3</v>
      </c>
      <c r="AA36" s="25">
        <f t="shared" si="31"/>
        <v>5.7497913397463081E-3</v>
      </c>
      <c r="AB36" s="25">
        <f t="shared" si="31"/>
        <v>6.274956235909227E-3</v>
      </c>
      <c r="AC36" s="25">
        <f t="shared" si="31"/>
        <v>3.3843656691912873E-3</v>
      </c>
      <c r="AD36" s="25">
        <f t="shared" ref="AD36:AE36" si="41">AD9/$AF$15</f>
        <v>1.0418272525568808E-2</v>
      </c>
      <c r="AE36" s="25">
        <f t="shared" si="41"/>
        <v>0</v>
      </c>
      <c r="AF36" s="25">
        <f>SUM(X36:AE36)</f>
        <v>3.9332503311944135E-2</v>
      </c>
    </row>
    <row r="37" spans="1:32" x14ac:dyDescent="0.25">
      <c r="A37" s="92" t="str">
        <f t="shared" si="33"/>
        <v>Redmond</v>
      </c>
      <c r="B37" s="25">
        <f t="shared" ref="B37:J37" si="42">B23/$J$28</f>
        <v>2.696810712344727E-3</v>
      </c>
      <c r="C37" s="25">
        <f t="shared" si="42"/>
        <v>1.3504747079289036E-3</v>
      </c>
      <c r="D37" s="25">
        <f t="shared" si="42"/>
        <v>1.7995648876676928E-3</v>
      </c>
      <c r="E37" s="25">
        <f t="shared" si="42"/>
        <v>5.5937886257622247E-3</v>
      </c>
      <c r="F37" s="25">
        <f t="shared" si="42"/>
        <v>1.37992635370125E-3</v>
      </c>
      <c r="G37" s="25">
        <f t="shared" si="42"/>
        <v>1.2119860807084323E-3</v>
      </c>
      <c r="H37" s="25">
        <f t="shared" ref="H37:I37" si="43">H23/$J$28</f>
        <v>1.5841020583831707E-3</v>
      </c>
      <c r="I37" s="25">
        <f t="shared" si="43"/>
        <v>1.4500898277100461E-2</v>
      </c>
      <c r="J37" s="25">
        <f t="shared" si="42"/>
        <v>3.0117551703596861E-2</v>
      </c>
      <c r="L37" t="str">
        <f>$A$10</f>
        <v>Redmond</v>
      </c>
      <c r="M37" s="25" t="e">
        <f t="shared" si="29"/>
        <v>#DIV/0!</v>
      </c>
      <c r="N37" s="25" t="e">
        <f t="shared" si="29"/>
        <v>#DIV/0!</v>
      </c>
      <c r="O37" s="25" t="e">
        <f t="shared" si="29"/>
        <v>#DIV/0!</v>
      </c>
      <c r="P37" s="25" t="e">
        <f t="shared" si="29"/>
        <v>#DIV/0!</v>
      </c>
      <c r="Q37" s="25" t="e">
        <f t="shared" si="29"/>
        <v>#DIV/0!</v>
      </c>
      <c r="R37" s="25" t="e">
        <f t="shared" si="29"/>
        <v>#DIV/0!</v>
      </c>
      <c r="S37" s="25" t="e">
        <f t="shared" ref="S37" si="44">S23/$U$28</f>
        <v>#DIV/0!</v>
      </c>
      <c r="T37" s="25" t="e">
        <f t="shared" si="30"/>
        <v>#DIV/0!</v>
      </c>
      <c r="U37" s="25" t="e">
        <f t="shared" ref="U37:U40" si="45">SUM(M37:T37)</f>
        <v>#DIV/0!</v>
      </c>
      <c r="W37" t="str">
        <f>$A$10</f>
        <v>Redmond</v>
      </c>
      <c r="X37" s="25">
        <f t="shared" si="31"/>
        <v>3.6717869974966693E-3</v>
      </c>
      <c r="Y37" s="25">
        <f t="shared" si="31"/>
        <v>1.3610887498525974E-3</v>
      </c>
      <c r="Z37" s="25">
        <f t="shared" si="31"/>
        <v>2.8688906658629752E-3</v>
      </c>
      <c r="AA37" s="25">
        <f t="shared" si="31"/>
        <v>8.7828642743421285E-3</v>
      </c>
      <c r="AB37" s="25">
        <f t="shared" si="31"/>
        <v>3.6236104880513699E-3</v>
      </c>
      <c r="AC37" s="25">
        <f t="shared" si="31"/>
        <v>2.0762301365193588E-3</v>
      </c>
      <c r="AD37" s="25">
        <f t="shared" ref="AD37:AE37" si="46">AD10/$AF$15</f>
        <v>7.7330803914717611E-3</v>
      </c>
      <c r="AE37" s="25">
        <f t="shared" si="46"/>
        <v>0</v>
      </c>
      <c r="AF37" s="25">
        <f t="shared" ref="AF37:AF40" si="47">SUM(X37:AE37)</f>
        <v>3.0117551703596861E-2</v>
      </c>
    </row>
    <row r="38" spans="1:32" x14ac:dyDescent="0.25">
      <c r="A38" s="92" t="str">
        <f t="shared" si="33"/>
        <v>Seattle</v>
      </c>
      <c r="B38" s="25">
        <f t="shared" ref="B38:J38" si="48">B24/$J$28</f>
        <v>5.5442401072377401E-3</v>
      </c>
      <c r="C38" s="25">
        <f t="shared" si="48"/>
        <v>3.1735946673765382E-3</v>
      </c>
      <c r="D38" s="25">
        <f t="shared" si="48"/>
        <v>3.6519244345738122E-3</v>
      </c>
      <c r="E38" s="25">
        <f t="shared" si="48"/>
        <v>5.3247974693379583E-3</v>
      </c>
      <c r="F38" s="25">
        <f t="shared" si="48"/>
        <v>7.5799523168419841E-2</v>
      </c>
      <c r="G38" s="25">
        <f t="shared" si="48"/>
        <v>5.2131055953613607E-2</v>
      </c>
      <c r="H38" s="25">
        <f t="shared" ref="H38:I38" si="49">H24/$J$28</f>
        <v>2.4925782048235794E-2</v>
      </c>
      <c r="I38" s="25">
        <f t="shared" si="49"/>
        <v>2.2475507542877873E-2</v>
      </c>
      <c r="J38" s="25">
        <f t="shared" si="48"/>
        <v>0.19302642539167317</v>
      </c>
      <c r="L38" t="str">
        <f>$A$11</f>
        <v>Seattle</v>
      </c>
      <c r="M38" s="25" t="e">
        <f t="shared" si="29"/>
        <v>#DIV/0!</v>
      </c>
      <c r="N38" s="25" t="e">
        <f t="shared" si="29"/>
        <v>#DIV/0!</v>
      </c>
      <c r="O38" s="25" t="e">
        <f t="shared" si="29"/>
        <v>#DIV/0!</v>
      </c>
      <c r="P38" s="25" t="e">
        <f t="shared" si="29"/>
        <v>#DIV/0!</v>
      </c>
      <c r="Q38" s="25" t="e">
        <f t="shared" si="29"/>
        <v>#DIV/0!</v>
      </c>
      <c r="R38" s="25" t="e">
        <f t="shared" si="29"/>
        <v>#DIV/0!</v>
      </c>
      <c r="S38" s="25" t="e">
        <f t="shared" ref="S38" si="50">S24/$U$28</f>
        <v>#DIV/0!</v>
      </c>
      <c r="T38" s="25" t="e">
        <f t="shared" si="30"/>
        <v>#DIV/0!</v>
      </c>
      <c r="U38" s="25" t="e">
        <f t="shared" si="45"/>
        <v>#DIV/0!</v>
      </c>
      <c r="W38" t="str">
        <f>$A$11</f>
        <v>Seattle</v>
      </c>
      <c r="X38" s="25">
        <f t="shared" si="31"/>
        <v>5.9293203981088645E-3</v>
      </c>
      <c r="Y38" s="25">
        <f t="shared" si="31"/>
        <v>2.4099800379307965E-3</v>
      </c>
      <c r="Z38" s="25">
        <f t="shared" si="31"/>
        <v>3.828678815472648E-3</v>
      </c>
      <c r="AA38" s="25">
        <f t="shared" si="31"/>
        <v>5.8283832110269905E-3</v>
      </c>
      <c r="AB38" s="25">
        <f t="shared" si="31"/>
        <v>7.7921241851396608E-2</v>
      </c>
      <c r="AC38" s="25">
        <f t="shared" si="31"/>
        <v>5.4128736290008618E-2</v>
      </c>
      <c r="AD38" s="25">
        <f t="shared" ref="AD38:AE38" si="51">AD11/$AF$15</f>
        <v>4.2980084787728634E-2</v>
      </c>
      <c r="AE38" s="25">
        <f t="shared" si="51"/>
        <v>0</v>
      </c>
      <c r="AF38" s="25">
        <f t="shared" si="47"/>
        <v>0.19302642539167317</v>
      </c>
    </row>
    <row r="39" spans="1:32" x14ac:dyDescent="0.25">
      <c r="A39" s="92" t="str">
        <f t="shared" si="33"/>
        <v>Seattle Downtown</v>
      </c>
      <c r="B39" s="25">
        <f t="shared" ref="B39:J40" si="52">B25/$J$28</f>
        <v>3.9013835260461418E-4</v>
      </c>
      <c r="C39" s="25">
        <f t="shared" si="52"/>
        <v>2.8422963127116462E-4</v>
      </c>
      <c r="D39" s="25">
        <f t="shared" si="52"/>
        <v>1.8205178870134986E-4</v>
      </c>
      <c r="E39" s="25">
        <f t="shared" si="52"/>
        <v>8.7984460986272408E-4</v>
      </c>
      <c r="F39" s="25">
        <f t="shared" si="52"/>
        <v>2.6223328074815103E-3</v>
      </c>
      <c r="G39" s="25">
        <f t="shared" si="52"/>
        <v>5.3808493365893988E-3</v>
      </c>
      <c r="H39" s="25">
        <f t="shared" ref="H39:I40" si="53">H25/$J$28</f>
        <v>8.6101948144112273E-4</v>
      </c>
      <c r="I39" s="25">
        <f t="shared" si="53"/>
        <v>1.0328198017527974E-2</v>
      </c>
      <c r="J39" s="25">
        <f t="shared" si="52"/>
        <v>2.0928664025479861E-2</v>
      </c>
      <c r="L39" t="str">
        <f>$A$12</f>
        <v>Seattle Downtown</v>
      </c>
      <c r="M39" s="25" t="e">
        <f t="shared" si="29"/>
        <v>#DIV/0!</v>
      </c>
      <c r="N39" s="25" t="e">
        <f t="shared" si="29"/>
        <v>#DIV/0!</v>
      </c>
      <c r="O39" s="25" t="e">
        <f t="shared" si="29"/>
        <v>#DIV/0!</v>
      </c>
      <c r="P39" s="25" t="e">
        <f t="shared" si="29"/>
        <v>#DIV/0!</v>
      </c>
      <c r="Q39" s="25" t="e">
        <f t="shared" si="29"/>
        <v>#DIV/0!</v>
      </c>
      <c r="R39" s="25" t="e">
        <f t="shared" si="29"/>
        <v>#DIV/0!</v>
      </c>
      <c r="S39" s="25" t="e">
        <f t="shared" ref="S39" si="54">S25/$U$28</f>
        <v>#DIV/0!</v>
      </c>
      <c r="T39" s="25" t="e">
        <f t="shared" si="30"/>
        <v>#DIV/0!</v>
      </c>
      <c r="U39" s="25" t="e">
        <f t="shared" si="45"/>
        <v>#DIV/0!</v>
      </c>
      <c r="W39" t="str">
        <f>$A$12</f>
        <v>Seattle Downtown</v>
      </c>
      <c r="X39" s="25">
        <f t="shared" si="31"/>
        <v>7.0985197831873468E-4</v>
      </c>
      <c r="Y39" s="25">
        <f t="shared" si="31"/>
        <v>2.277282082392459E-4</v>
      </c>
      <c r="Z39" s="25">
        <f t="shared" si="31"/>
        <v>2.8451339683374974E-4</v>
      </c>
      <c r="AA39" s="25">
        <f t="shared" si="31"/>
        <v>5.6137688438301944E-4</v>
      </c>
      <c r="AB39" s="25">
        <f t="shared" si="31"/>
        <v>5.5934951228756909E-3</v>
      </c>
      <c r="AC39" s="25">
        <f t="shared" si="31"/>
        <v>1.0092086090118881E-2</v>
      </c>
      <c r="AD39" s="25">
        <f t="shared" ref="AD39:AE40" si="55">AD12/$AF$15</f>
        <v>3.4596123447105339E-3</v>
      </c>
      <c r="AE39" s="25">
        <f t="shared" si="55"/>
        <v>0</v>
      </c>
      <c r="AF39" s="25">
        <f t="shared" si="47"/>
        <v>2.0928664025479857E-2</v>
      </c>
    </row>
    <row r="40" spans="1:32" x14ac:dyDescent="0.25">
      <c r="A40" s="92" t="str">
        <f t="shared" si="33"/>
        <v>Rest</v>
      </c>
      <c r="B40" s="25">
        <f t="shared" si="52"/>
        <v>1.6970965209695408E-2</v>
      </c>
      <c r="C40" s="25">
        <f t="shared" si="52"/>
        <v>1.0654047285281692E-2</v>
      </c>
      <c r="D40" s="25">
        <f t="shared" si="52"/>
        <v>1.6822723495983648E-2</v>
      </c>
      <c r="E40" s="25">
        <f t="shared" si="52"/>
        <v>2.2364920652002462E-2</v>
      </c>
      <c r="F40" s="25">
        <f t="shared" si="52"/>
        <v>6.7498241322280536E-2</v>
      </c>
      <c r="G40" s="25">
        <f t="shared" si="52"/>
        <v>5.0054183892431596E-2</v>
      </c>
      <c r="H40" s="25">
        <f t="shared" si="53"/>
        <v>0.4878596179426018</v>
      </c>
      <c r="I40" s="25">
        <f t="shared" si="53"/>
        <v>0</v>
      </c>
      <c r="J40" s="25">
        <f t="shared" ref="J40" si="56">J26/$J$28</f>
        <v>0.67222469980027721</v>
      </c>
      <c r="L40" t="str">
        <f>$A$13</f>
        <v>Rest</v>
      </c>
      <c r="M40" s="25" t="e">
        <f t="shared" si="29"/>
        <v>#DIV/0!</v>
      </c>
      <c r="N40" s="25" t="e">
        <f t="shared" si="29"/>
        <v>#DIV/0!</v>
      </c>
      <c r="O40" s="25" t="e">
        <f t="shared" si="29"/>
        <v>#DIV/0!</v>
      </c>
      <c r="P40" s="25" t="e">
        <f t="shared" si="29"/>
        <v>#DIV/0!</v>
      </c>
      <c r="Q40" s="25" t="e">
        <f t="shared" si="29"/>
        <v>#DIV/0!</v>
      </c>
      <c r="R40" s="25" t="e">
        <f t="shared" si="29"/>
        <v>#DIV/0!</v>
      </c>
      <c r="S40" s="25" t="e">
        <f t="shared" ref="S40" si="57">S26/$U$28</f>
        <v>#DIV/0!</v>
      </c>
      <c r="T40" s="25" t="e">
        <f t="shared" si="29"/>
        <v>#DIV/0!</v>
      </c>
      <c r="U40" s="25" t="e">
        <f t="shared" si="45"/>
        <v>#DIV/0!</v>
      </c>
      <c r="W40" t="str">
        <f>$A$13</f>
        <v>Rest</v>
      </c>
      <c r="X40" s="25">
        <f t="shared" si="31"/>
        <v>1.9109507722041886E-2</v>
      </c>
      <c r="Y40" s="25">
        <f t="shared" si="31"/>
        <v>7.446013715010376E-3</v>
      </c>
      <c r="Z40" s="25">
        <f t="shared" si="31"/>
        <v>1.4274796953307694E-2</v>
      </c>
      <c r="AA40" s="25">
        <f t="shared" si="31"/>
        <v>2.3235029318740101E-2</v>
      </c>
      <c r="AB40" s="25">
        <f t="shared" si="31"/>
        <v>5.9059448369634247E-2</v>
      </c>
      <c r="AC40" s="25">
        <f t="shared" si="31"/>
        <v>3.1339858896103072E-2</v>
      </c>
      <c r="AD40" s="25">
        <f t="shared" si="55"/>
        <v>0.5177600448254398</v>
      </c>
      <c r="AE40" s="25">
        <f t="shared" si="55"/>
        <v>0</v>
      </c>
      <c r="AF40" s="25">
        <f t="shared" si="47"/>
        <v>0.67222469980027721</v>
      </c>
    </row>
    <row r="41" spans="1:32" x14ac:dyDescent="0.25">
      <c r="A41" s="90" t="str">
        <f t="shared" si="33"/>
        <v>Outside</v>
      </c>
      <c r="B41" s="26"/>
      <c r="C41" s="26"/>
      <c r="D41" s="26"/>
      <c r="E41" s="26"/>
      <c r="F41" s="26"/>
      <c r="G41" s="26"/>
      <c r="H41" s="26"/>
      <c r="I41" s="26"/>
      <c r="J41" s="26">
        <f>SUM(B41:I41)</f>
        <v>0</v>
      </c>
      <c r="L41" s="43" t="s">
        <v>17</v>
      </c>
      <c r="M41" s="25" t="e">
        <f t="shared" si="29"/>
        <v>#DIV/0!</v>
      </c>
      <c r="N41" s="25" t="e">
        <f t="shared" si="29"/>
        <v>#DIV/0!</v>
      </c>
      <c r="O41" s="25" t="e">
        <f t="shared" si="29"/>
        <v>#DIV/0!</v>
      </c>
      <c r="P41" s="25" t="e">
        <f t="shared" si="29"/>
        <v>#DIV/0!</v>
      </c>
      <c r="Q41" s="25" t="e">
        <f t="shared" si="29"/>
        <v>#DIV/0!</v>
      </c>
      <c r="R41" s="25" t="e">
        <f t="shared" si="29"/>
        <v>#DIV/0!</v>
      </c>
      <c r="S41" s="25" t="e">
        <f t="shared" si="29"/>
        <v>#DIV/0!</v>
      </c>
      <c r="T41" s="25" t="e">
        <f t="shared" si="29"/>
        <v>#DIV/0!</v>
      </c>
      <c r="U41" s="40" t="e">
        <f>SUM(M41:T41)</f>
        <v>#DIV/0!</v>
      </c>
      <c r="W41" s="8" t="s">
        <v>17</v>
      </c>
      <c r="X41" s="26"/>
      <c r="Y41" s="26"/>
      <c r="Z41" s="26"/>
      <c r="AA41" s="26"/>
      <c r="AB41" s="26"/>
      <c r="AC41" s="26"/>
      <c r="AD41" s="26"/>
      <c r="AE41" s="26"/>
      <c r="AF41" s="26">
        <f>SUM(X41:AE41)</f>
        <v>0</v>
      </c>
    </row>
    <row r="42" spans="1:32" ht="15.75" thickBot="1" x14ac:dyDescent="0.3">
      <c r="A42" s="1" t="s">
        <v>4</v>
      </c>
      <c r="B42" s="27">
        <f>SUM(B34:B41)</f>
        <v>3.536210128297973E-2</v>
      </c>
      <c r="C42" s="27">
        <f>SUM(C34:C41)</f>
        <v>2.0471349795646944E-2</v>
      </c>
      <c r="D42" s="27">
        <f>SUM(D34:D41)</f>
        <v>3.0876150883237228E-2</v>
      </c>
      <c r="E42" s="27">
        <f t="shared" ref="E42:H42" si="58">SUM(E34:E41)</f>
        <v>4.4486644707761952E-2</v>
      </c>
      <c r="F42" s="27">
        <f t="shared" si="58"/>
        <v>0.15668592357942301</v>
      </c>
      <c r="G42" s="27">
        <f t="shared" si="58"/>
        <v>0.11551254174740336</v>
      </c>
      <c r="H42" s="27">
        <f t="shared" si="58"/>
        <v>0.52360080689885902</v>
      </c>
      <c r="I42" s="27">
        <f>SUM(I34:I41)</f>
        <v>7.3004481104688684E-2</v>
      </c>
      <c r="J42" s="27">
        <f>SUM(J34:J41)</f>
        <v>1</v>
      </c>
      <c r="L42" s="44" t="s">
        <v>4</v>
      </c>
      <c r="M42" s="45" t="e">
        <f>SUM(M34:M41)</f>
        <v>#DIV/0!</v>
      </c>
      <c r="N42" s="45" t="e">
        <f t="shared" ref="N42:S42" si="59">SUM(N34:N41)</f>
        <v>#DIV/0!</v>
      </c>
      <c r="O42" s="45" t="e">
        <f t="shared" si="59"/>
        <v>#DIV/0!</v>
      </c>
      <c r="P42" s="45" t="e">
        <f t="shared" si="59"/>
        <v>#DIV/0!</v>
      </c>
      <c r="Q42" s="45" t="e">
        <f t="shared" si="59"/>
        <v>#DIV/0!</v>
      </c>
      <c r="R42" s="45" t="e">
        <f t="shared" si="59"/>
        <v>#DIV/0!</v>
      </c>
      <c r="S42" s="45" t="e">
        <f t="shared" si="59"/>
        <v>#DIV/0!</v>
      </c>
      <c r="T42" s="45" t="e">
        <f>SUM(T34:T41)</f>
        <v>#DIV/0!</v>
      </c>
      <c r="U42" s="45" t="e">
        <f>SUM(U34:U41)</f>
        <v>#DIV/0!</v>
      </c>
      <c r="W42" s="1" t="s">
        <v>4</v>
      </c>
      <c r="X42" s="27">
        <f>SUM(X34:X41)</f>
        <v>4.2764950780222369E-2</v>
      </c>
      <c r="Y42" s="27">
        <f>SUM(Y34:Y41)</f>
        <v>1.7640064166443502E-2</v>
      </c>
      <c r="Z42" s="27">
        <f>SUM(Z34:Z41)</f>
        <v>3.1139751658592875E-2</v>
      </c>
      <c r="AA42" s="27">
        <f t="shared" ref="AA42:AD42" si="60">SUM(AA34:AA41)</f>
        <v>5.0382587026336065E-2</v>
      </c>
      <c r="AB42" s="27">
        <f t="shared" si="60"/>
        <v>0.15865858858517076</v>
      </c>
      <c r="AC42" s="27">
        <f t="shared" si="60"/>
        <v>0.10489095625704606</v>
      </c>
      <c r="AD42" s="27">
        <f t="shared" si="60"/>
        <v>0.59452310152618837</v>
      </c>
      <c r="AE42" s="27">
        <f>SUM(AE34:AE41)</f>
        <v>0</v>
      </c>
      <c r="AF42" s="27">
        <f>SUM(AF34:AF41)</f>
        <v>1</v>
      </c>
    </row>
    <row r="46" spans="1:32" ht="15.75" thickBot="1" x14ac:dyDescent="0.3">
      <c r="W46" s="29" t="s">
        <v>59</v>
      </c>
      <c r="X46" s="30"/>
      <c r="Y46" s="30"/>
      <c r="Z46" s="30"/>
      <c r="AA46" s="30"/>
      <c r="AB46" s="30"/>
      <c r="AC46" s="30"/>
      <c r="AD46" s="30"/>
      <c r="AE46" s="30"/>
      <c r="AF46" s="30"/>
    </row>
    <row r="47" spans="1:32" x14ac:dyDescent="0.25">
      <c r="W47" s="31" t="s">
        <v>15</v>
      </c>
      <c r="X47" s="2" t="str">
        <f>$A$7</f>
        <v>Bellevue</v>
      </c>
      <c r="Y47" s="2" t="str">
        <f>$A$8</f>
        <v>Bellevue Downtown</v>
      </c>
      <c r="Z47" s="2" t="str">
        <f>$A$9</f>
        <v>Kirkland</v>
      </c>
      <c r="AA47" s="2" t="str">
        <f>$A$10</f>
        <v>Redmond</v>
      </c>
      <c r="AB47" s="2" t="str">
        <f>$A$11</f>
        <v>Seattle</v>
      </c>
      <c r="AC47" s="2" t="str">
        <f>$A$12</f>
        <v>Seattle Downtown</v>
      </c>
      <c r="AD47" s="2" t="str">
        <f>$A$13</f>
        <v>Rest</v>
      </c>
      <c r="AE47" s="3" t="str">
        <f>$A$14</f>
        <v>Outside</v>
      </c>
      <c r="AF47" s="38" t="s">
        <v>4</v>
      </c>
    </row>
    <row r="48" spans="1:32" x14ac:dyDescent="0.25">
      <c r="W48" t="str">
        <f>$A$7</f>
        <v>Bellevue</v>
      </c>
      <c r="X48" s="33">
        <f>X34-B34</f>
        <v>6.811238590503383E-4</v>
      </c>
      <c r="Y48" s="33">
        <f t="shared" ref="Y48:AF48" si="61">Y34-C34</f>
        <v>4.5701413639766264E-4</v>
      </c>
      <c r="Z48" s="33">
        <f t="shared" si="61"/>
        <v>-1.5648528030539005E-4</v>
      </c>
      <c r="AA48" s="33">
        <f t="shared" si="61"/>
        <v>1.3322566335239724E-3</v>
      </c>
      <c r="AB48" s="33">
        <f t="shared" si="61"/>
        <v>4.1503123737400387E-4</v>
      </c>
      <c r="AC48" s="33">
        <f t="shared" si="61"/>
        <v>-4.2616825547057112E-4</v>
      </c>
      <c r="AD48" s="33">
        <f t="shared" si="61"/>
        <v>6.6619840571339435E-3</v>
      </c>
      <c r="AE48" s="33">
        <f t="shared" si="61"/>
        <v>-8.9647563877039618E-3</v>
      </c>
      <c r="AF48" s="33">
        <f t="shared" si="61"/>
        <v>0</v>
      </c>
    </row>
    <row r="49" spans="23:32" x14ac:dyDescent="0.25">
      <c r="W49" t="str">
        <f>$A$8</f>
        <v>Bellevue Downtown</v>
      </c>
      <c r="X49" s="33">
        <f t="shared" ref="X49:AF49" si="62">X35-B35</f>
        <v>3.5684056568264166E-4</v>
      </c>
      <c r="Y49" s="33">
        <f t="shared" si="62"/>
        <v>1.0820499517653164E-3</v>
      </c>
      <c r="Z49" s="33">
        <f t="shared" si="62"/>
        <v>1.0800083532285393E-4</v>
      </c>
      <c r="AA49" s="33">
        <f t="shared" si="62"/>
        <v>-1.1489531858541906E-6</v>
      </c>
      <c r="AB49" s="33">
        <f t="shared" si="62"/>
        <v>1.785146326377787E-4</v>
      </c>
      <c r="AC49" s="33">
        <f t="shared" si="62"/>
        <v>1.3736754508857996E-4</v>
      </c>
      <c r="AD49" s="33">
        <f t="shared" si="62"/>
        <v>3.6891414264215799E-4</v>
      </c>
      <c r="AE49" s="33">
        <f t="shared" si="62"/>
        <v>-2.2305387199534742E-3</v>
      </c>
      <c r="AF49" s="33">
        <f t="shared" si="62"/>
        <v>0</v>
      </c>
    </row>
    <row r="50" spans="23:32" x14ac:dyDescent="0.25">
      <c r="W50" t="str">
        <f>$A$9</f>
        <v>Kirkland</v>
      </c>
      <c r="X50" s="33">
        <f t="shared" ref="X50:AF50" si="63">X36-B36</f>
        <v>2.546572358426002E-3</v>
      </c>
      <c r="Y50" s="33">
        <f t="shared" si="63"/>
        <v>-3.5281413654113442E-4</v>
      </c>
      <c r="Z50" s="33">
        <f t="shared" si="63"/>
        <v>1.5114699957876222E-3</v>
      </c>
      <c r="AA50" s="33">
        <f t="shared" si="63"/>
        <v>3.2053230670912956E-4</v>
      </c>
      <c r="AB50" s="33">
        <f t="shared" si="63"/>
        <v>2.481346955661178E-3</v>
      </c>
      <c r="AC50" s="33">
        <f t="shared" si="63"/>
        <v>8.0837907061779733E-4</v>
      </c>
      <c r="AD50" s="33">
        <f t="shared" si="63"/>
        <v>7.1890956088643456E-3</v>
      </c>
      <c r="AE50" s="33">
        <f t="shared" si="63"/>
        <v>-1.4504582159524939E-2</v>
      </c>
      <c r="AF50" s="33">
        <f t="shared" si="63"/>
        <v>0</v>
      </c>
    </row>
    <row r="51" spans="23:32" x14ac:dyDescent="0.25">
      <c r="W51" t="str">
        <f>$A$10</f>
        <v>Redmond</v>
      </c>
      <c r="X51" s="33">
        <f t="shared" ref="X51:AF51" si="64">X37-B37</f>
        <v>9.7497628515194222E-4</v>
      </c>
      <c r="Y51" s="33">
        <f t="shared" si="64"/>
        <v>1.0614041923693836E-5</v>
      </c>
      <c r="Z51" s="33">
        <f t="shared" si="64"/>
        <v>1.0693257781952824E-3</v>
      </c>
      <c r="AA51" s="33">
        <f t="shared" si="64"/>
        <v>3.1890756485799037E-3</v>
      </c>
      <c r="AB51" s="33">
        <f t="shared" si="64"/>
        <v>2.2436841343501197E-3</v>
      </c>
      <c r="AC51" s="33">
        <f t="shared" si="64"/>
        <v>8.6424405581092653E-4</v>
      </c>
      <c r="AD51" s="33">
        <f t="shared" si="64"/>
        <v>6.1489783330885908E-3</v>
      </c>
      <c r="AE51" s="33">
        <f t="shared" si="64"/>
        <v>-1.4500898277100461E-2</v>
      </c>
      <c r="AF51" s="33">
        <f t="shared" si="64"/>
        <v>0</v>
      </c>
    </row>
    <row r="52" spans="23:32" x14ac:dyDescent="0.25">
      <c r="W52" t="str">
        <f>$A$11</f>
        <v>Seattle</v>
      </c>
      <c r="X52" s="33">
        <f t="shared" ref="X52:AF52" si="65">X38-B38</f>
        <v>3.8508029087112438E-4</v>
      </c>
      <c r="Y52" s="33">
        <f t="shared" si="65"/>
        <v>-7.6361462944574176E-4</v>
      </c>
      <c r="Z52" s="33">
        <f t="shared" si="65"/>
        <v>1.767543808988358E-4</v>
      </c>
      <c r="AA52" s="33">
        <f t="shared" si="65"/>
        <v>5.0358574168903221E-4</v>
      </c>
      <c r="AB52" s="33">
        <f t="shared" si="65"/>
        <v>2.121718682976767E-3</v>
      </c>
      <c r="AC52" s="33">
        <f t="shared" si="65"/>
        <v>1.9976803363950107E-3</v>
      </c>
      <c r="AD52" s="33">
        <f t="shared" si="65"/>
        <v>1.805430273949284E-2</v>
      </c>
      <c r="AE52" s="33">
        <f t="shared" si="65"/>
        <v>-2.2475507542877873E-2</v>
      </c>
      <c r="AF52" s="33">
        <f t="shared" si="65"/>
        <v>0</v>
      </c>
    </row>
    <row r="53" spans="23:32" x14ac:dyDescent="0.25">
      <c r="W53" t="str">
        <f>$A$12</f>
        <v>Seattle Downtown</v>
      </c>
      <c r="X53" s="33">
        <f t="shared" ref="X53:AF53" si="66">X39-B39</f>
        <v>3.197136257141205E-4</v>
      </c>
      <c r="Y53" s="33">
        <f t="shared" si="66"/>
        <v>-5.6501423031918719E-5</v>
      </c>
      <c r="Z53" s="33">
        <f t="shared" si="66"/>
        <v>1.0246160813239989E-4</v>
      </c>
      <c r="AA53" s="33">
        <f t="shared" si="66"/>
        <v>-3.1846772547970464E-4</v>
      </c>
      <c r="AB53" s="33">
        <f t="shared" si="66"/>
        <v>2.9711623153941807E-3</v>
      </c>
      <c r="AC53" s="33">
        <f t="shared" si="66"/>
        <v>4.7112367535294825E-3</v>
      </c>
      <c r="AD53" s="33">
        <f t="shared" si="66"/>
        <v>2.5985928632694111E-3</v>
      </c>
      <c r="AE53" s="33">
        <f t="shared" si="66"/>
        <v>-1.0328198017527974E-2</v>
      </c>
      <c r="AF53" s="33">
        <f t="shared" si="66"/>
        <v>0</v>
      </c>
    </row>
    <row r="54" spans="23:32" x14ac:dyDescent="0.25">
      <c r="W54" t="str">
        <f>$A$13</f>
        <v>Rest</v>
      </c>
      <c r="X54" s="33">
        <f t="shared" ref="X54:AF54" si="67">X40-B40</f>
        <v>2.138542512346478E-3</v>
      </c>
      <c r="Y54" s="33">
        <f t="shared" si="67"/>
        <v>-3.2080335702713162E-3</v>
      </c>
      <c r="Z54" s="33">
        <f t="shared" si="67"/>
        <v>-2.5479265426759535E-3</v>
      </c>
      <c r="AA54" s="33">
        <f t="shared" si="67"/>
        <v>8.701086667376387E-4</v>
      </c>
      <c r="AB54" s="33">
        <f t="shared" si="67"/>
        <v>-8.4387929526462888E-3</v>
      </c>
      <c r="AC54" s="33">
        <f t="shared" si="67"/>
        <v>-1.8714324996328524E-2</v>
      </c>
      <c r="AD54" s="33">
        <f t="shared" si="67"/>
        <v>2.9900426882838005E-2</v>
      </c>
      <c r="AE54" s="33">
        <f t="shared" si="67"/>
        <v>0</v>
      </c>
      <c r="AF54" s="33">
        <f t="shared" si="67"/>
        <v>0</v>
      </c>
    </row>
    <row r="55" spans="23:32" x14ac:dyDescent="0.25">
      <c r="W55" s="34" t="s">
        <v>17</v>
      </c>
      <c r="X55" s="39">
        <f t="shared" ref="X55:AF55" si="68">X41-B41</f>
        <v>0</v>
      </c>
      <c r="Y55" s="39">
        <f t="shared" si="68"/>
        <v>0</v>
      </c>
      <c r="Z55" s="39">
        <f t="shared" si="68"/>
        <v>0</v>
      </c>
      <c r="AA55" s="39">
        <f t="shared" si="68"/>
        <v>0</v>
      </c>
      <c r="AB55" s="39">
        <f t="shared" si="68"/>
        <v>0</v>
      </c>
      <c r="AC55" s="39">
        <f t="shared" si="68"/>
        <v>0</v>
      </c>
      <c r="AD55" s="39">
        <f t="shared" si="68"/>
        <v>0</v>
      </c>
      <c r="AE55" s="39">
        <f t="shared" si="68"/>
        <v>0</v>
      </c>
      <c r="AF55" s="33">
        <f t="shared" si="68"/>
        <v>0</v>
      </c>
    </row>
    <row r="56" spans="23:32" ht="15.75" thickBot="1" x14ac:dyDescent="0.3">
      <c r="W56" s="30" t="s">
        <v>4</v>
      </c>
      <c r="X56" s="35">
        <f t="shared" ref="X56:AF56" si="69">X42-B42</f>
        <v>7.402849497242639E-3</v>
      </c>
      <c r="Y56" s="35">
        <f t="shared" si="69"/>
        <v>-2.8312856292034422E-3</v>
      </c>
      <c r="Z56" s="35">
        <f t="shared" si="69"/>
        <v>2.6360077535564699E-4</v>
      </c>
      <c r="AA56" s="35">
        <f t="shared" si="69"/>
        <v>5.8959423185741128E-3</v>
      </c>
      <c r="AB56" s="35">
        <f t="shared" si="69"/>
        <v>1.9726650057477479E-3</v>
      </c>
      <c r="AC56" s="35">
        <f t="shared" si="69"/>
        <v>-1.0621585490357299E-2</v>
      </c>
      <c r="AD56" s="35">
        <f t="shared" si="69"/>
        <v>7.0922294627329352E-2</v>
      </c>
      <c r="AE56" s="35">
        <f t="shared" si="69"/>
        <v>-7.3004481104688684E-2</v>
      </c>
      <c r="AF56" s="42">
        <f t="shared" si="69"/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36"/>
  <sheetViews>
    <sheetView topLeftCell="A10" zoomScaleNormal="100" workbookViewId="0">
      <selection activeCell="T26" sqref="T26"/>
    </sheetView>
  </sheetViews>
  <sheetFormatPr defaultRowHeight="15" x14ac:dyDescent="0.25"/>
  <cols>
    <col min="2" max="2" width="9.5703125" bestFit="1" customWidth="1" collapsed="1"/>
    <col min="3" max="4" width="9.28515625" bestFit="1" customWidth="1" collapsed="1"/>
    <col min="5" max="5" width="9.5703125" bestFit="1" customWidth="1" collapsed="1"/>
    <col min="14" max="15" width="9.5703125" bestFit="1" customWidth="1" collapsed="1"/>
  </cols>
  <sheetData>
    <row r="1" spans="1:26" x14ac:dyDescent="0.25">
      <c r="A1" t="s">
        <v>24</v>
      </c>
    </row>
    <row r="2" spans="1:26" x14ac:dyDescent="0.25">
      <c r="A2" t="s">
        <v>261</v>
      </c>
    </row>
    <row r="3" spans="1:26" x14ac:dyDescent="0.25">
      <c r="A3" t="s">
        <v>39</v>
      </c>
    </row>
    <row r="5" spans="1:26" ht="15.75" thickBot="1" x14ac:dyDescent="0.3">
      <c r="A5" s="4" t="s">
        <v>216</v>
      </c>
      <c r="B5" s="1"/>
      <c r="C5" s="1"/>
      <c r="D5" s="1"/>
      <c r="E5" s="1"/>
      <c r="H5" s="4" t="s">
        <v>40</v>
      </c>
      <c r="I5" s="1"/>
      <c r="J5" s="1"/>
      <c r="K5" s="1"/>
      <c r="L5" s="1"/>
      <c r="O5" s="4" t="s">
        <v>60</v>
      </c>
      <c r="P5" s="1"/>
      <c r="Q5" s="1"/>
      <c r="R5" s="1"/>
      <c r="S5" s="1"/>
      <c r="V5" s="4" t="s">
        <v>63</v>
      </c>
      <c r="W5" s="1"/>
      <c r="X5" s="1"/>
      <c r="Y5" s="1"/>
      <c r="Z5" s="1"/>
    </row>
    <row r="6" spans="1:26" x14ac:dyDescent="0.25">
      <c r="A6" s="2"/>
      <c r="B6" s="3" t="s">
        <v>9</v>
      </c>
      <c r="C6" s="3" t="s">
        <v>10</v>
      </c>
      <c r="D6" s="3" t="s">
        <v>11</v>
      </c>
      <c r="E6" s="3" t="s">
        <v>4</v>
      </c>
      <c r="H6" s="2"/>
      <c r="I6" s="3" t="s">
        <v>9</v>
      </c>
      <c r="J6" s="3" t="s">
        <v>10</v>
      </c>
      <c r="K6" s="3" t="s">
        <v>11</v>
      </c>
      <c r="L6" s="3" t="s">
        <v>4</v>
      </c>
      <c r="O6" s="2"/>
      <c r="P6" s="3" t="s">
        <v>9</v>
      </c>
      <c r="Q6" s="3" t="s">
        <v>10</v>
      </c>
      <c r="R6" s="3" t="s">
        <v>11</v>
      </c>
      <c r="S6" s="3" t="s">
        <v>4</v>
      </c>
      <c r="V6" s="2"/>
      <c r="W6" s="3" t="s">
        <v>9</v>
      </c>
      <c r="X6" s="3" t="s">
        <v>10</v>
      </c>
      <c r="Y6" s="3" t="s">
        <v>11</v>
      </c>
      <c r="Z6" s="3" t="s">
        <v>4</v>
      </c>
    </row>
    <row r="7" spans="1:26" x14ac:dyDescent="0.25">
      <c r="A7" s="41" t="s">
        <v>267</v>
      </c>
      <c r="B7" s="15">
        <v>126.2846</v>
      </c>
      <c r="C7" s="15">
        <v>98.109300000000005</v>
      </c>
      <c r="D7" s="15">
        <v>0</v>
      </c>
      <c r="E7" s="15">
        <f>SUM(B7:D7)</f>
        <v>224.3939</v>
      </c>
      <c r="F7" s="15"/>
      <c r="G7" s="15"/>
      <c r="H7" t="str">
        <f>$A$7</f>
        <v>Bellevue</v>
      </c>
      <c r="I7" s="15">
        <v>1031.5</v>
      </c>
      <c r="J7" s="15">
        <v>832.75</v>
      </c>
      <c r="K7" s="15">
        <v>349.5</v>
      </c>
      <c r="L7" s="15">
        <f>SUM(I7:K7)</f>
        <v>2213.75</v>
      </c>
      <c r="O7" t="str">
        <f>$A$7</f>
        <v>Bellevue</v>
      </c>
      <c r="P7" s="15">
        <f>I7-B7</f>
        <v>905.21540000000005</v>
      </c>
      <c r="Q7" s="15">
        <f t="shared" ref="Q7:Q14" si="0">J7-C7</f>
        <v>734.64070000000004</v>
      </c>
      <c r="R7" s="15">
        <f t="shared" ref="R7:R14" si="1">K7-D7</f>
        <v>349.5</v>
      </c>
      <c r="S7" s="15">
        <f t="shared" ref="S7:S14" si="2">L7-E7</f>
        <v>1989.3561</v>
      </c>
      <c r="V7" t="str">
        <f>$A$7</f>
        <v>Bellevue</v>
      </c>
      <c r="W7" s="15"/>
      <c r="X7" s="15"/>
      <c r="Y7" s="15"/>
      <c r="Z7" s="15"/>
    </row>
    <row r="8" spans="1:26" x14ac:dyDescent="0.25">
      <c r="A8" t="s">
        <v>268</v>
      </c>
      <c r="B8" s="15">
        <v>0</v>
      </c>
      <c r="C8" s="15">
        <v>0</v>
      </c>
      <c r="D8" s="15">
        <v>0</v>
      </c>
      <c r="E8" s="15">
        <f t="shared" ref="E8:E11" si="3">SUM(B8:D8)</f>
        <v>0</v>
      </c>
      <c r="F8" s="15"/>
      <c r="G8" s="15"/>
      <c r="H8" t="str">
        <f>$A$8</f>
        <v>Bellevue Downtown</v>
      </c>
      <c r="I8" s="15">
        <v>129</v>
      </c>
      <c r="J8" s="15">
        <v>49</v>
      </c>
      <c r="K8" s="15">
        <v>20</v>
      </c>
      <c r="L8" s="15">
        <f t="shared" ref="L8:L13" si="4">SUM(I8:K8)</f>
        <v>198</v>
      </c>
      <c r="O8" t="str">
        <f>$A$8</f>
        <v>Bellevue Downtown</v>
      </c>
      <c r="P8" s="15">
        <f t="shared" ref="P8:P14" si="5">I8-B8</f>
        <v>129</v>
      </c>
      <c r="Q8" s="15">
        <f t="shared" si="0"/>
        <v>49</v>
      </c>
      <c r="R8" s="15">
        <f t="shared" si="1"/>
        <v>20</v>
      </c>
      <c r="S8" s="15">
        <f t="shared" si="2"/>
        <v>198</v>
      </c>
      <c r="V8" t="str">
        <f>$A$8</f>
        <v>Bellevue Downtown</v>
      </c>
      <c r="W8" s="15"/>
      <c r="X8" s="15"/>
      <c r="Y8" s="15"/>
      <c r="Z8" s="15"/>
    </row>
    <row r="9" spans="1:26" x14ac:dyDescent="0.25">
      <c r="A9" t="s">
        <v>269</v>
      </c>
      <c r="B9" s="15">
        <v>0</v>
      </c>
      <c r="C9" s="15">
        <v>0</v>
      </c>
      <c r="D9" s="15">
        <v>0</v>
      </c>
      <c r="E9" s="15">
        <f t="shared" si="3"/>
        <v>0</v>
      </c>
      <c r="F9" s="15"/>
      <c r="G9" s="15"/>
      <c r="H9" t="str">
        <f>$A$9</f>
        <v>Kirkland</v>
      </c>
      <c r="I9" s="15">
        <v>971.75</v>
      </c>
      <c r="J9" s="15">
        <v>832.25</v>
      </c>
      <c r="K9" s="15">
        <v>402.75</v>
      </c>
      <c r="L9" s="15">
        <f t="shared" si="4"/>
        <v>2206.75</v>
      </c>
      <c r="O9" t="str">
        <f>$A$9</f>
        <v>Kirkland</v>
      </c>
      <c r="P9" s="15">
        <f t="shared" ref="P9:P11" si="6">I9-B9</f>
        <v>971.75</v>
      </c>
      <c r="Q9" s="15">
        <f t="shared" ref="Q9:Q11" si="7">J9-C9</f>
        <v>832.25</v>
      </c>
      <c r="R9" s="15">
        <f t="shared" ref="R9:R11" si="8">K9-D9</f>
        <v>402.75</v>
      </c>
      <c r="S9" s="15">
        <f t="shared" ref="S9:S11" si="9">L9-E9</f>
        <v>2206.75</v>
      </c>
      <c r="V9" t="str">
        <f>$A$9</f>
        <v>Kirkland</v>
      </c>
      <c r="W9" s="15"/>
      <c r="X9" s="15"/>
      <c r="Y9" s="15"/>
      <c r="Z9" s="15"/>
    </row>
    <row r="10" spans="1:26" x14ac:dyDescent="0.25">
      <c r="A10" t="s">
        <v>270</v>
      </c>
      <c r="B10" s="15">
        <v>0</v>
      </c>
      <c r="C10" s="15">
        <v>0</v>
      </c>
      <c r="D10" s="15">
        <v>0</v>
      </c>
      <c r="E10" s="15">
        <f t="shared" si="3"/>
        <v>0</v>
      </c>
      <c r="F10" s="15"/>
      <c r="G10" s="15"/>
      <c r="H10" t="str">
        <f>$A$10</f>
        <v>Redmond</v>
      </c>
      <c r="I10" s="15">
        <v>794</v>
      </c>
      <c r="J10" s="15">
        <v>604</v>
      </c>
      <c r="K10" s="15">
        <v>264.5</v>
      </c>
      <c r="L10" s="15">
        <f t="shared" si="4"/>
        <v>1662.5</v>
      </c>
      <c r="O10" t="str">
        <f>$A$10</f>
        <v>Redmond</v>
      </c>
      <c r="P10" s="15">
        <f t="shared" si="6"/>
        <v>794</v>
      </c>
      <c r="Q10" s="15">
        <f t="shared" si="7"/>
        <v>604</v>
      </c>
      <c r="R10" s="15">
        <f t="shared" si="8"/>
        <v>264.5</v>
      </c>
      <c r="S10" s="15">
        <f t="shared" si="9"/>
        <v>1662.5</v>
      </c>
      <c r="V10" t="str">
        <f>$A$10</f>
        <v>Redmond</v>
      </c>
      <c r="W10" s="15"/>
      <c r="X10" s="15"/>
      <c r="Y10" s="15"/>
      <c r="Z10" s="15"/>
    </row>
    <row r="11" spans="1:26" x14ac:dyDescent="0.25">
      <c r="A11" t="s">
        <v>266</v>
      </c>
      <c r="B11" s="15">
        <v>212.42340000000002</v>
      </c>
      <c r="C11" s="15">
        <v>0</v>
      </c>
      <c r="D11" s="15">
        <v>0</v>
      </c>
      <c r="E11" s="15">
        <f t="shared" si="3"/>
        <v>212.42340000000002</v>
      </c>
      <c r="F11" s="15"/>
      <c r="G11" s="15"/>
      <c r="H11" t="str">
        <f>$A$11</f>
        <v>Seattle</v>
      </c>
      <c r="I11" s="15">
        <v>5521.5015567361243</v>
      </c>
      <c r="J11" s="15">
        <v>5139.7426929879912</v>
      </c>
      <c r="K11" s="15">
        <v>2816.2860626486581</v>
      </c>
      <c r="L11" s="15">
        <f t="shared" si="4"/>
        <v>13477.530312372774</v>
      </c>
      <c r="O11" t="str">
        <f>$A$11</f>
        <v>Seattle</v>
      </c>
      <c r="P11" s="15">
        <f t="shared" si="6"/>
        <v>5309.0781567361246</v>
      </c>
      <c r="Q11" s="15">
        <f t="shared" si="7"/>
        <v>5139.7426929879912</v>
      </c>
      <c r="R11" s="15">
        <f t="shared" si="8"/>
        <v>2816.2860626486581</v>
      </c>
      <c r="S11" s="15">
        <f t="shared" si="9"/>
        <v>13265.106912372774</v>
      </c>
      <c r="V11" t="str">
        <f>$A$11</f>
        <v>Seattle</v>
      </c>
      <c r="W11" s="15"/>
      <c r="X11" s="15"/>
      <c r="Y11" s="15"/>
      <c r="Z11" s="15"/>
    </row>
    <row r="12" spans="1:26" x14ac:dyDescent="0.25">
      <c r="A12" t="s">
        <v>271</v>
      </c>
      <c r="B12" s="16">
        <v>0</v>
      </c>
      <c r="C12" s="16">
        <v>47.177700000000002</v>
      </c>
      <c r="D12" s="16">
        <v>0</v>
      </c>
      <c r="E12" s="16">
        <f t="shared" ref="E12:E13" si="10">SUM(B12:D12)</f>
        <v>47.177700000000002</v>
      </c>
      <c r="F12" s="15"/>
      <c r="G12" s="15"/>
      <c r="H12" t="str">
        <f>$A$12</f>
        <v>Seattle Downtown</v>
      </c>
      <c r="I12" s="16">
        <v>692.10263937057289</v>
      </c>
      <c r="J12" s="16">
        <v>497.01870105239027</v>
      </c>
      <c r="K12" s="16">
        <v>265.17255040298284</v>
      </c>
      <c r="L12" s="16">
        <f t="shared" si="4"/>
        <v>1454.2938908259459</v>
      </c>
      <c r="O12" t="str">
        <f>$A$12</f>
        <v>Seattle Downtown</v>
      </c>
      <c r="P12" s="16">
        <f t="shared" si="5"/>
        <v>692.10263937057289</v>
      </c>
      <c r="Q12" s="16">
        <f t="shared" si="0"/>
        <v>449.84100105239025</v>
      </c>
      <c r="R12" s="16">
        <f t="shared" si="1"/>
        <v>265.17255040298284</v>
      </c>
      <c r="S12" s="16">
        <f t="shared" si="2"/>
        <v>1407.116190825946</v>
      </c>
      <c r="V12" t="str">
        <f>$A$12</f>
        <v>Seattle Downtown</v>
      </c>
      <c r="W12" s="16"/>
      <c r="X12" s="16"/>
      <c r="Y12" s="16"/>
      <c r="Z12" s="16"/>
    </row>
    <row r="13" spans="1:26" x14ac:dyDescent="0.25">
      <c r="A13" s="6" t="s">
        <v>272</v>
      </c>
      <c r="B13" s="17">
        <v>1948.3502000000001</v>
      </c>
      <c r="C13" s="17">
        <v>1971.7784000000001</v>
      </c>
      <c r="D13" s="17">
        <v>0</v>
      </c>
      <c r="E13" s="16">
        <f t="shared" si="10"/>
        <v>3920.1286</v>
      </c>
      <c r="F13" s="15"/>
      <c r="G13" s="15"/>
      <c r="H13" s="15" t="str">
        <f>$A$13</f>
        <v>Rest</v>
      </c>
      <c r="I13" s="17">
        <v>23568.914824786414</v>
      </c>
      <c r="J13" s="17">
        <v>20339.286897018508</v>
      </c>
      <c r="K13" s="17">
        <v>7467.7933916313168</v>
      </c>
      <c r="L13" s="16">
        <f t="shared" si="4"/>
        <v>51375.995113436242</v>
      </c>
      <c r="O13" s="15" t="str">
        <f>H13</f>
        <v>Rest</v>
      </c>
      <c r="P13" s="16">
        <f t="shared" ref="P13" si="11">I13-B13</f>
        <v>21620.564624786413</v>
      </c>
      <c r="Q13" s="16">
        <f t="shared" ref="Q13" si="12">J13-C13</f>
        <v>18367.508497018509</v>
      </c>
      <c r="R13" s="16">
        <f t="shared" ref="R13" si="13">K13-D13</f>
        <v>7467.7933916313168</v>
      </c>
      <c r="S13" s="16">
        <f t="shared" ref="S13" si="14">L13-E13</f>
        <v>47455.866513436238</v>
      </c>
      <c r="V13" s="15" t="str">
        <f>$A$13</f>
        <v>Rest</v>
      </c>
      <c r="W13" s="17"/>
      <c r="X13" s="17"/>
      <c r="Y13" s="17"/>
      <c r="Z13" s="17"/>
    </row>
    <row r="14" spans="1:26" ht="15.75" thickBot="1" x14ac:dyDescent="0.3">
      <c r="A14" s="19" t="s">
        <v>4</v>
      </c>
      <c r="B14" s="19">
        <f>SUM(B7:B13)</f>
        <v>2287.0581999999999</v>
      </c>
      <c r="C14" s="19">
        <f t="shared" ref="C14:E14" si="15">SUM(C7:C13)</f>
        <v>2117.0654</v>
      </c>
      <c r="D14" s="19">
        <f t="shared" si="15"/>
        <v>0</v>
      </c>
      <c r="E14" s="19">
        <f t="shared" si="15"/>
        <v>4404.1235999999999</v>
      </c>
      <c r="F14" s="15"/>
      <c r="G14" s="15"/>
      <c r="H14" s="19" t="s">
        <v>4</v>
      </c>
      <c r="I14" s="19">
        <f>SUM(I7:I13)</f>
        <v>32708.769020893109</v>
      </c>
      <c r="J14" s="19">
        <f t="shared" ref="J14:L14" si="16">SUM(J7:J13)</f>
        <v>28294.048291058891</v>
      </c>
      <c r="K14" s="19">
        <f t="shared" si="16"/>
        <v>11586.002004682958</v>
      </c>
      <c r="L14" s="19">
        <f t="shared" si="16"/>
        <v>72588.819316634967</v>
      </c>
      <c r="O14" s="19" t="s">
        <v>4</v>
      </c>
      <c r="P14" s="19">
        <f t="shared" si="5"/>
        <v>30421.710820893109</v>
      </c>
      <c r="Q14" s="19">
        <f t="shared" si="0"/>
        <v>26176.982891058891</v>
      </c>
      <c r="R14" s="19">
        <f t="shared" si="1"/>
        <v>11586.002004682958</v>
      </c>
      <c r="S14" s="19">
        <f t="shared" si="2"/>
        <v>68184.69571663496</v>
      </c>
      <c r="V14" s="19" t="s">
        <v>4</v>
      </c>
      <c r="W14" s="19">
        <f>SUM(W7:W13)</f>
        <v>0</v>
      </c>
      <c r="X14" s="19">
        <f t="shared" ref="X14:Z14" si="17">SUM(X7:X13)</f>
        <v>0</v>
      </c>
      <c r="Y14" s="19">
        <f t="shared" si="17"/>
        <v>0</v>
      </c>
      <c r="Z14" s="19">
        <f t="shared" si="17"/>
        <v>0</v>
      </c>
    </row>
    <row r="15" spans="1:26" x14ac:dyDescent="0.25"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O15" s="15"/>
      <c r="P15" s="15"/>
      <c r="Q15" s="15"/>
      <c r="R15" s="15"/>
      <c r="S15" s="15"/>
      <c r="W15" s="15"/>
      <c r="X15" s="15"/>
      <c r="Y15" s="15"/>
      <c r="Z15" s="15"/>
    </row>
    <row r="16" spans="1:26" ht="15.75" thickBot="1" x14ac:dyDescent="0.3">
      <c r="A16" s="4" t="s">
        <v>217</v>
      </c>
      <c r="B16" s="19"/>
      <c r="C16" s="19"/>
      <c r="D16" s="19"/>
      <c r="E16" s="19"/>
      <c r="F16" s="15"/>
      <c r="G16" s="15"/>
      <c r="H16" s="22" t="s">
        <v>41</v>
      </c>
      <c r="I16" s="19"/>
      <c r="J16" s="19"/>
      <c r="K16" s="19"/>
      <c r="L16" s="19"/>
      <c r="O16" s="22" t="s">
        <v>61</v>
      </c>
      <c r="P16" s="19"/>
      <c r="Q16" s="19"/>
      <c r="R16" s="19"/>
      <c r="S16" s="19"/>
      <c r="V16" s="4" t="s">
        <v>64</v>
      </c>
      <c r="W16" s="19"/>
      <c r="X16" s="19"/>
      <c r="Y16" s="19"/>
      <c r="Z16" s="19"/>
    </row>
    <row r="17" spans="1:26" x14ac:dyDescent="0.25">
      <c r="A17" s="2"/>
      <c r="B17" s="23" t="s">
        <v>9</v>
      </c>
      <c r="C17" s="23" t="s">
        <v>10</v>
      </c>
      <c r="D17" s="23" t="s">
        <v>11</v>
      </c>
      <c r="E17" s="23" t="s">
        <v>4</v>
      </c>
      <c r="F17" s="15"/>
      <c r="G17" s="15"/>
      <c r="H17" s="24"/>
      <c r="I17" s="23" t="s">
        <v>9</v>
      </c>
      <c r="J17" s="23" t="s">
        <v>10</v>
      </c>
      <c r="K17" s="23" t="s">
        <v>11</v>
      </c>
      <c r="L17" s="23" t="s">
        <v>4</v>
      </c>
      <c r="O17" s="24"/>
      <c r="P17" s="23" t="s">
        <v>9</v>
      </c>
      <c r="Q17" s="23" t="s">
        <v>10</v>
      </c>
      <c r="R17" s="23" t="s">
        <v>11</v>
      </c>
      <c r="S17" s="23" t="s">
        <v>4</v>
      </c>
      <c r="V17" s="2"/>
      <c r="W17" s="23" t="s">
        <v>9</v>
      </c>
      <c r="X17" s="23" t="s">
        <v>10</v>
      </c>
      <c r="Y17" s="23" t="s">
        <v>11</v>
      </c>
      <c r="Z17" s="23" t="s">
        <v>4</v>
      </c>
    </row>
    <row r="18" spans="1:26" x14ac:dyDescent="0.25">
      <c r="A18" t="str">
        <f>$A$7</f>
        <v>Bellevue</v>
      </c>
      <c r="B18" s="15">
        <v>67542.737399999998</v>
      </c>
      <c r="C18" s="15">
        <v>12706.5116</v>
      </c>
      <c r="D18" s="15">
        <v>991.76599999999996</v>
      </c>
      <c r="E18" s="15">
        <f>SUM(B18:D18)</f>
        <v>81241.014999999999</v>
      </c>
      <c r="F18" s="15"/>
      <c r="G18" s="15"/>
      <c r="H18" t="str">
        <f>$A$7</f>
        <v>Bellevue</v>
      </c>
      <c r="I18" s="15">
        <v>60013.25</v>
      </c>
      <c r="J18" s="15">
        <v>12191.25</v>
      </c>
      <c r="K18" s="15">
        <v>3420.75</v>
      </c>
      <c r="L18" s="15">
        <f>SUM(I18:K18)</f>
        <v>75625.25</v>
      </c>
      <c r="O18" t="str">
        <f>$A$7</f>
        <v>Bellevue</v>
      </c>
      <c r="P18" s="15">
        <f t="shared" ref="P18:P25" si="18">I18-B18</f>
        <v>-7529.4873999999982</v>
      </c>
      <c r="Q18" s="15">
        <f t="shared" ref="Q18:Q25" si="19">J18-C18</f>
        <v>-515.26159999999982</v>
      </c>
      <c r="R18" s="15">
        <f t="shared" ref="R18:R25" si="20">K18-D18</f>
        <v>2428.9839999999999</v>
      </c>
      <c r="S18" s="15">
        <f t="shared" ref="S18:S25" si="21">L18-E18</f>
        <v>-5615.7649999999994</v>
      </c>
      <c r="V18" t="str">
        <f>$A$7</f>
        <v>Bellevue</v>
      </c>
      <c r="W18" s="15"/>
      <c r="X18" s="15"/>
      <c r="Y18" s="15"/>
      <c r="Z18" s="15"/>
    </row>
    <row r="19" spans="1:26" x14ac:dyDescent="0.25">
      <c r="A19" t="str">
        <f>$A$8</f>
        <v>Bellevue Downtown</v>
      </c>
      <c r="B19" s="15">
        <v>4996.5820000000003</v>
      </c>
      <c r="C19" s="15">
        <v>378.60980000000001</v>
      </c>
      <c r="D19" s="15">
        <v>83.934200000000004</v>
      </c>
      <c r="E19" s="15">
        <f t="shared" ref="E19:E24" si="22">SUM(B19:D19)</f>
        <v>5459.1260000000002</v>
      </c>
      <c r="F19" s="15"/>
      <c r="G19" s="15"/>
      <c r="H19" t="str">
        <f>$A$8</f>
        <v>Bellevue Downtown</v>
      </c>
      <c r="I19" s="15">
        <v>4984</v>
      </c>
      <c r="J19" s="15">
        <v>542</v>
      </c>
      <c r="K19" s="15">
        <v>126.25</v>
      </c>
      <c r="L19" s="15">
        <f>SUM(I19:K19)</f>
        <v>5652.25</v>
      </c>
      <c r="O19" t="str">
        <f>$A$8</f>
        <v>Bellevue Downtown</v>
      </c>
      <c r="P19" s="15">
        <f t="shared" si="18"/>
        <v>-12.582000000000335</v>
      </c>
      <c r="Q19" s="15">
        <f t="shared" si="19"/>
        <v>163.39019999999999</v>
      </c>
      <c r="R19" s="15">
        <f t="shared" si="20"/>
        <v>42.315799999999996</v>
      </c>
      <c r="S19" s="15">
        <f t="shared" si="21"/>
        <v>193.1239999999998</v>
      </c>
      <c r="V19" t="str">
        <f>$A$8</f>
        <v>Bellevue Downtown</v>
      </c>
      <c r="W19" s="15"/>
      <c r="X19" s="15"/>
      <c r="Y19" s="15"/>
      <c r="Z19" s="15"/>
    </row>
    <row r="20" spans="1:26" x14ac:dyDescent="0.25">
      <c r="A20" t="str">
        <f>$A$9</f>
        <v>Kirkland</v>
      </c>
      <c r="B20" s="15">
        <v>56770.796300000002</v>
      </c>
      <c r="C20" s="15">
        <v>12551.3848</v>
      </c>
      <c r="D20" s="15">
        <v>844.96339999999998</v>
      </c>
      <c r="E20" s="15">
        <f t="shared" si="22"/>
        <v>70167.144499999995</v>
      </c>
      <c r="F20" s="15"/>
      <c r="G20" s="15"/>
      <c r="H20" t="str">
        <f>$A$9</f>
        <v>Kirkland</v>
      </c>
      <c r="I20" s="15">
        <v>56217.75</v>
      </c>
      <c r="J20" s="15">
        <v>12070.75</v>
      </c>
      <c r="K20" s="15">
        <v>3761</v>
      </c>
      <c r="L20" s="15">
        <f t="shared" ref="L20:L22" si="23">SUM(I20:K20)</f>
        <v>72049.5</v>
      </c>
      <c r="O20" t="str">
        <f>$A$9</f>
        <v>Kirkland</v>
      </c>
      <c r="P20" s="15">
        <f t="shared" ref="P20:P22" si="24">I20-B20</f>
        <v>-553.04630000000179</v>
      </c>
      <c r="Q20" s="15">
        <f t="shared" ref="Q20:Q22" si="25">J20-C20</f>
        <v>-480.63479999999981</v>
      </c>
      <c r="R20" s="15">
        <f t="shared" ref="R20:R22" si="26">K20-D20</f>
        <v>2916.0365999999999</v>
      </c>
      <c r="S20" s="15">
        <f t="shared" ref="S20:S22" si="27">L20-E20</f>
        <v>1882.3555000000051</v>
      </c>
      <c r="V20" t="str">
        <f>$A$9</f>
        <v>Kirkland</v>
      </c>
      <c r="W20" s="15"/>
      <c r="X20" s="15"/>
      <c r="Y20" s="15"/>
      <c r="Z20" s="15"/>
    </row>
    <row r="21" spans="1:26" x14ac:dyDescent="0.25">
      <c r="A21" t="str">
        <f>$A$10</f>
        <v>Redmond</v>
      </c>
      <c r="B21" s="15">
        <v>44724.373899999999</v>
      </c>
      <c r="C21" s="15">
        <v>10086.334200000001</v>
      </c>
      <c r="D21" s="15">
        <v>2087.2447999999999</v>
      </c>
      <c r="E21" s="15">
        <f t="shared" si="22"/>
        <v>56897.952900000004</v>
      </c>
      <c r="F21" s="15"/>
      <c r="G21" s="15"/>
      <c r="H21" t="str">
        <f>$A$10</f>
        <v>Redmond</v>
      </c>
      <c r="I21" s="15">
        <v>44430.5</v>
      </c>
      <c r="J21" s="15">
        <v>8310.5</v>
      </c>
      <c r="K21" s="15">
        <v>2428.5</v>
      </c>
      <c r="L21" s="15">
        <f t="shared" si="23"/>
        <v>55169.5</v>
      </c>
      <c r="O21" t="str">
        <f>$A$10</f>
        <v>Redmond</v>
      </c>
      <c r="P21" s="15">
        <f t="shared" si="24"/>
        <v>-293.87389999999868</v>
      </c>
      <c r="Q21" s="15">
        <f t="shared" si="25"/>
        <v>-1775.8342000000011</v>
      </c>
      <c r="R21" s="15">
        <f t="shared" si="26"/>
        <v>341.25520000000006</v>
      </c>
      <c r="S21" s="15">
        <f t="shared" si="27"/>
        <v>-1728.4529000000039</v>
      </c>
      <c r="V21" t="str">
        <f>$A$10</f>
        <v>Redmond</v>
      </c>
      <c r="W21" s="15"/>
      <c r="X21" s="15"/>
      <c r="Y21" s="15"/>
      <c r="Z21" s="15"/>
    </row>
    <row r="22" spans="1:26" x14ac:dyDescent="0.25">
      <c r="A22" t="str">
        <f>$A$11</f>
        <v>Seattle</v>
      </c>
      <c r="B22" s="15">
        <v>275288.04139999999</v>
      </c>
      <c r="C22" s="15">
        <v>63820.765399999997</v>
      </c>
      <c r="D22" s="15">
        <v>13173.748</v>
      </c>
      <c r="E22" s="15">
        <f t="shared" si="22"/>
        <v>352282.55479999998</v>
      </c>
      <c r="F22" s="15"/>
      <c r="G22" s="15"/>
      <c r="H22" t="str">
        <f>$A$11</f>
        <v>Seattle</v>
      </c>
      <c r="I22" s="15">
        <v>268946.81977618713</v>
      </c>
      <c r="J22" s="15">
        <v>62381.709193247327</v>
      </c>
      <c r="K22" s="15">
        <v>22258.358851002489</v>
      </c>
      <c r="L22" s="15">
        <f t="shared" si="23"/>
        <v>353586.88782043691</v>
      </c>
      <c r="O22" t="str">
        <f>$A$11</f>
        <v>Seattle</v>
      </c>
      <c r="P22" s="15">
        <f t="shared" si="24"/>
        <v>-6341.2216238128603</v>
      </c>
      <c r="Q22" s="15">
        <f t="shared" si="25"/>
        <v>-1439.0562067526698</v>
      </c>
      <c r="R22" s="15">
        <f t="shared" si="26"/>
        <v>9084.6108510024897</v>
      </c>
      <c r="S22" s="15">
        <f t="shared" si="27"/>
        <v>1304.3330204369267</v>
      </c>
      <c r="V22" t="str">
        <f>$A$11</f>
        <v>Seattle</v>
      </c>
      <c r="W22" s="15"/>
      <c r="X22" s="15"/>
      <c r="Y22" s="15"/>
      <c r="Z22" s="15"/>
    </row>
    <row r="23" spans="1:26" x14ac:dyDescent="0.25">
      <c r="A23" t="str">
        <f>$A$12</f>
        <v>Seattle Downtown</v>
      </c>
      <c r="B23" s="16">
        <v>32042.4611</v>
      </c>
      <c r="C23" s="16">
        <v>4354.1832999999997</v>
      </c>
      <c r="D23" s="16">
        <v>970.39949999999999</v>
      </c>
      <c r="E23" s="16">
        <f t="shared" si="22"/>
        <v>37367.043899999997</v>
      </c>
      <c r="F23" s="15"/>
      <c r="G23" s="15"/>
      <c r="H23" t="str">
        <f>$A$12</f>
        <v>Seattle Downtown</v>
      </c>
      <c r="I23" s="16">
        <v>31260.592458086136</v>
      </c>
      <c r="J23" s="16">
        <v>5142.6713094376018</v>
      </c>
      <c r="K23" s="16">
        <v>1933.9802859435033</v>
      </c>
      <c r="L23" s="16">
        <f>SUM(I23:K23)</f>
        <v>38337.244053467235</v>
      </c>
      <c r="O23" t="str">
        <f>$A$12</f>
        <v>Seattle Downtown</v>
      </c>
      <c r="P23" s="16">
        <f t="shared" si="18"/>
        <v>-781.86864191386485</v>
      </c>
      <c r="Q23" s="16">
        <f t="shared" si="19"/>
        <v>788.48800943760216</v>
      </c>
      <c r="R23" s="16">
        <f t="shared" si="20"/>
        <v>963.58078594350332</v>
      </c>
      <c r="S23" s="16">
        <f t="shared" si="21"/>
        <v>970.20015346723812</v>
      </c>
      <c r="V23" t="str">
        <f>$A$12</f>
        <v>Seattle Downtown</v>
      </c>
      <c r="W23" s="16"/>
      <c r="X23" s="16"/>
      <c r="Y23" s="16"/>
      <c r="Z23" s="16"/>
    </row>
    <row r="24" spans="1:26" x14ac:dyDescent="0.25">
      <c r="A24" s="15" t="str">
        <f>A13</f>
        <v>Rest</v>
      </c>
      <c r="B24" s="17">
        <v>931224.75029999996</v>
      </c>
      <c r="C24" s="17">
        <v>237057.89300000001</v>
      </c>
      <c r="D24" s="17">
        <v>45538.681599999996</v>
      </c>
      <c r="E24" s="16">
        <f t="shared" si="22"/>
        <v>1213821.3248999999</v>
      </c>
      <c r="F24" s="15"/>
      <c r="G24" s="15"/>
      <c r="H24" s="15" t="str">
        <f>H13</f>
        <v>Rest</v>
      </c>
      <c r="I24" s="17">
        <v>944369.46701985085</v>
      </c>
      <c r="J24" s="17">
        <v>229948.91359745001</v>
      </c>
      <c r="K24" s="17">
        <v>57066.591860467561</v>
      </c>
      <c r="L24" s="16">
        <f>SUM(I24:K24)</f>
        <v>1231384.9724777685</v>
      </c>
      <c r="O24" s="15" t="str">
        <f>O13</f>
        <v>Rest</v>
      </c>
      <c r="P24" s="16">
        <f t="shared" ref="P24" si="28">I24-B24</f>
        <v>13144.716719850898</v>
      </c>
      <c r="Q24" s="16">
        <f t="shared" ref="Q24" si="29">J24-C24</f>
        <v>-7108.9794025500014</v>
      </c>
      <c r="R24" s="16">
        <f t="shared" ref="R24" si="30">K24-D24</f>
        <v>11527.910260467565</v>
      </c>
      <c r="S24" s="16">
        <f t="shared" ref="S24" si="31">L24-E24</f>
        <v>17563.647577768657</v>
      </c>
      <c r="V24" s="15" t="str">
        <f>$A$13</f>
        <v>Rest</v>
      </c>
      <c r="W24" s="17"/>
      <c r="X24" s="17"/>
      <c r="Y24" s="17"/>
      <c r="Z24" s="17"/>
    </row>
    <row r="25" spans="1:26" ht="15.75" thickBot="1" x14ac:dyDescent="0.3">
      <c r="A25" s="19" t="s">
        <v>4</v>
      </c>
      <c r="B25" s="19">
        <f>SUM(B18:B24)</f>
        <v>1412589.7423999999</v>
      </c>
      <c r="C25" s="19">
        <f t="shared" ref="C25:E25" si="32">SUM(C18:C24)</f>
        <v>340955.68209999998</v>
      </c>
      <c r="D25" s="19">
        <f t="shared" si="32"/>
        <v>63690.737499999996</v>
      </c>
      <c r="E25" s="19">
        <f t="shared" si="32"/>
        <v>1817236.162</v>
      </c>
      <c r="F25" s="15"/>
      <c r="G25" s="15"/>
      <c r="H25" s="19" t="s">
        <v>4</v>
      </c>
      <c r="I25" s="19">
        <f>SUM(I18:I24)</f>
        <v>1410222.3792541241</v>
      </c>
      <c r="J25" s="19">
        <f t="shared" ref="J25:L25" si="33">SUM(J18:J24)</f>
        <v>330587.79410013492</v>
      </c>
      <c r="K25" s="19">
        <f t="shared" si="33"/>
        <v>90995.430997413554</v>
      </c>
      <c r="L25" s="19">
        <f t="shared" si="33"/>
        <v>1831805.6043516726</v>
      </c>
      <c r="O25" s="19" t="s">
        <v>4</v>
      </c>
      <c r="P25" s="19">
        <f t="shared" si="18"/>
        <v>-2367.3631458757445</v>
      </c>
      <c r="Q25" s="19">
        <f t="shared" si="19"/>
        <v>-10367.887999865052</v>
      </c>
      <c r="R25" s="19">
        <f t="shared" si="20"/>
        <v>27304.693497413558</v>
      </c>
      <c r="S25" s="19">
        <f t="shared" si="21"/>
        <v>14569.442351672566</v>
      </c>
      <c r="V25" s="19" t="s">
        <v>4</v>
      </c>
      <c r="W25" s="19">
        <f>SUM(W18:W24)</f>
        <v>0</v>
      </c>
      <c r="X25" s="19">
        <f t="shared" ref="X25:Z25" si="34">SUM(X18:X24)</f>
        <v>0</v>
      </c>
      <c r="Y25" s="19">
        <f t="shared" si="34"/>
        <v>0</v>
      </c>
      <c r="Z25" s="19">
        <f t="shared" si="34"/>
        <v>0</v>
      </c>
    </row>
    <row r="27" spans="1:26" ht="15.75" thickBot="1" x14ac:dyDescent="0.3">
      <c r="A27" s="4" t="s">
        <v>218</v>
      </c>
      <c r="B27" s="1"/>
      <c r="C27" s="1"/>
      <c r="D27" s="1"/>
      <c r="E27" s="1"/>
      <c r="H27" s="4" t="s">
        <v>42</v>
      </c>
      <c r="I27" s="1"/>
      <c r="J27" s="1"/>
      <c r="K27" s="1"/>
      <c r="L27" s="1"/>
      <c r="O27" s="4" t="s">
        <v>62</v>
      </c>
      <c r="P27" s="1"/>
      <c r="Q27" s="1"/>
      <c r="R27" s="1"/>
      <c r="S27" s="1"/>
      <c r="V27" s="4" t="s">
        <v>65</v>
      </c>
      <c r="W27" s="1"/>
      <c r="X27" s="1"/>
      <c r="Y27" s="1"/>
      <c r="Z27" s="1"/>
    </row>
    <row r="28" spans="1:26" x14ac:dyDescent="0.25">
      <c r="A28" s="2"/>
      <c r="B28" s="3" t="s">
        <v>9</v>
      </c>
      <c r="C28" s="3" t="s">
        <v>10</v>
      </c>
      <c r="D28" s="3" t="s">
        <v>11</v>
      </c>
      <c r="E28" s="3" t="s">
        <v>4</v>
      </c>
      <c r="H28" s="2"/>
      <c r="I28" s="3" t="s">
        <v>9</v>
      </c>
      <c r="J28" s="3" t="s">
        <v>10</v>
      </c>
      <c r="K28" s="3" t="s">
        <v>11</v>
      </c>
      <c r="L28" s="3" t="s">
        <v>4</v>
      </c>
      <c r="O28" s="2"/>
      <c r="P28" s="3" t="s">
        <v>9</v>
      </c>
      <c r="Q28" s="3" t="s">
        <v>10</v>
      </c>
      <c r="R28" s="3" t="s">
        <v>11</v>
      </c>
      <c r="S28" s="3" t="s">
        <v>4</v>
      </c>
      <c r="V28" s="2"/>
      <c r="W28" s="3" t="s">
        <v>9</v>
      </c>
      <c r="X28" s="3" t="s">
        <v>10</v>
      </c>
      <c r="Y28" s="3" t="s">
        <v>11</v>
      </c>
      <c r="Z28" s="3" t="s">
        <v>4</v>
      </c>
    </row>
    <row r="29" spans="1:26" x14ac:dyDescent="0.25">
      <c r="A29" t="str">
        <f>$A$7</f>
        <v>Bellevue</v>
      </c>
      <c r="B29" s="25">
        <f>B7/B18</f>
        <v>1.8696991691663359E-3</v>
      </c>
      <c r="C29" s="25">
        <f t="shared" ref="B29:E36" si="35">C7/C18</f>
        <v>7.7211828933442285E-3</v>
      </c>
      <c r="D29" s="25">
        <f t="shared" si="35"/>
        <v>0</v>
      </c>
      <c r="E29" s="25">
        <f t="shared" si="35"/>
        <v>2.7620765200927141E-3</v>
      </c>
      <c r="F29" s="25"/>
      <c r="G29" s="25"/>
      <c r="H29" t="str">
        <f>$A$7</f>
        <v>Bellevue</v>
      </c>
      <c r="I29" s="25">
        <f t="shared" ref="I29:L36" si="36">I7/I18</f>
        <v>1.7187871011818224E-2</v>
      </c>
      <c r="J29" s="25">
        <f t="shared" si="36"/>
        <v>6.8307187532041416E-2</v>
      </c>
      <c r="K29" s="25">
        <f t="shared" si="36"/>
        <v>0.10217057662793247</v>
      </c>
      <c r="L29" s="25">
        <f t="shared" si="36"/>
        <v>2.9272630503700815E-2</v>
      </c>
      <c r="O29" t="str">
        <f>$A$7</f>
        <v>Bellevue</v>
      </c>
      <c r="P29" s="25">
        <f>I29-B29</f>
        <v>1.5318171842651888E-2</v>
      </c>
      <c r="Q29" s="25">
        <f t="shared" ref="Q29:Q36" si="37">J29-C29</f>
        <v>6.0586004638697191E-2</v>
      </c>
      <c r="R29" s="25">
        <f t="shared" ref="R29:R36" si="38">K29-D29</f>
        <v>0.10217057662793247</v>
      </c>
      <c r="S29" s="25">
        <f t="shared" ref="S29:S36" si="39">L29-E29</f>
        <v>2.65105539836081E-2</v>
      </c>
      <c r="V29" t="str">
        <f>$A$7</f>
        <v>Bellevue</v>
      </c>
      <c r="W29" s="25" t="e">
        <f t="shared" ref="W29:Z35" si="40">W7/W18</f>
        <v>#DIV/0!</v>
      </c>
      <c r="X29" s="25" t="e">
        <f t="shared" si="40"/>
        <v>#DIV/0!</v>
      </c>
      <c r="Y29" s="25" t="e">
        <f t="shared" si="40"/>
        <v>#DIV/0!</v>
      </c>
      <c r="Z29" s="25" t="e">
        <f t="shared" si="40"/>
        <v>#DIV/0!</v>
      </c>
    </row>
    <row r="30" spans="1:26" x14ac:dyDescent="0.25">
      <c r="A30" t="str">
        <f>$A$8</f>
        <v>Bellevue Downtown</v>
      </c>
      <c r="B30" s="25">
        <f t="shared" si="35"/>
        <v>0</v>
      </c>
      <c r="C30" s="25">
        <f t="shared" si="35"/>
        <v>0</v>
      </c>
      <c r="D30" s="25">
        <f t="shared" si="35"/>
        <v>0</v>
      </c>
      <c r="E30" s="25">
        <f t="shared" si="35"/>
        <v>0</v>
      </c>
      <c r="F30" s="25"/>
      <c r="G30" s="25"/>
      <c r="H30" t="str">
        <f>$A$8</f>
        <v>Bellevue Downtown</v>
      </c>
      <c r="I30" s="25">
        <f t="shared" si="36"/>
        <v>2.5882825040128409E-2</v>
      </c>
      <c r="J30" s="25">
        <f t="shared" si="36"/>
        <v>9.0405904059040587E-2</v>
      </c>
      <c r="K30" s="25">
        <f t="shared" si="36"/>
        <v>0.15841584158415842</v>
      </c>
      <c r="L30" s="25">
        <f t="shared" si="36"/>
        <v>3.5030297669069836E-2</v>
      </c>
      <c r="O30" t="str">
        <f>$A$8</f>
        <v>Bellevue Downtown</v>
      </c>
      <c r="P30" s="25">
        <f t="shared" ref="P30:P36" si="41">I30-B30</f>
        <v>2.5882825040128409E-2</v>
      </c>
      <c r="Q30" s="25">
        <f t="shared" si="37"/>
        <v>9.0405904059040587E-2</v>
      </c>
      <c r="R30" s="25">
        <f t="shared" si="38"/>
        <v>0.15841584158415842</v>
      </c>
      <c r="S30" s="25">
        <f t="shared" si="39"/>
        <v>3.5030297669069836E-2</v>
      </c>
      <c r="V30" t="str">
        <f>$A$8</f>
        <v>Bellevue Downtown</v>
      </c>
      <c r="W30" s="25" t="e">
        <f t="shared" si="40"/>
        <v>#DIV/0!</v>
      </c>
      <c r="X30" s="25" t="e">
        <f t="shared" si="40"/>
        <v>#DIV/0!</v>
      </c>
      <c r="Y30" s="25" t="e">
        <f t="shared" si="40"/>
        <v>#DIV/0!</v>
      </c>
      <c r="Z30" s="25" t="e">
        <f t="shared" si="40"/>
        <v>#DIV/0!</v>
      </c>
    </row>
    <row r="31" spans="1:26" x14ac:dyDescent="0.25">
      <c r="A31" t="str">
        <f>$A$9</f>
        <v>Kirkland</v>
      </c>
      <c r="B31" s="25">
        <f t="shared" si="35"/>
        <v>0</v>
      </c>
      <c r="C31" s="25">
        <f t="shared" si="35"/>
        <v>0</v>
      </c>
      <c r="D31" s="25">
        <f t="shared" si="35"/>
        <v>0</v>
      </c>
      <c r="E31" s="25">
        <f t="shared" si="35"/>
        <v>0</v>
      </c>
      <c r="F31" s="25"/>
      <c r="G31" s="25"/>
      <c r="H31" t="str">
        <f>$A$9</f>
        <v>Kirkland</v>
      </c>
      <c r="I31" s="25">
        <f t="shared" si="36"/>
        <v>1.7285465889332104E-2</v>
      </c>
      <c r="J31" s="25">
        <f t="shared" si="36"/>
        <v>6.8947662738437956E-2</v>
      </c>
      <c r="K31" s="25">
        <f t="shared" si="36"/>
        <v>0.10708588141451741</v>
      </c>
      <c r="L31" s="25">
        <f t="shared" si="36"/>
        <v>3.0628248634619253E-2</v>
      </c>
      <c r="O31" t="str">
        <f>$A$9</f>
        <v>Kirkland</v>
      </c>
      <c r="P31" s="25">
        <f t="shared" ref="P31:P33" si="42">I31-B31</f>
        <v>1.7285465889332104E-2</v>
      </c>
      <c r="Q31" s="25">
        <f t="shared" ref="Q31:Q33" si="43">J31-C31</f>
        <v>6.8947662738437956E-2</v>
      </c>
      <c r="R31" s="25">
        <f t="shared" ref="R31:R33" si="44">K31-D31</f>
        <v>0.10708588141451741</v>
      </c>
      <c r="S31" s="25">
        <f t="shared" ref="S31:S33" si="45">L31-E31</f>
        <v>3.0628248634619253E-2</v>
      </c>
      <c r="V31" t="str">
        <f>$A$9</f>
        <v>Kirkland</v>
      </c>
      <c r="W31" s="25" t="e">
        <f t="shared" si="40"/>
        <v>#DIV/0!</v>
      </c>
      <c r="X31" s="25" t="e">
        <f t="shared" si="40"/>
        <v>#DIV/0!</v>
      </c>
      <c r="Y31" s="25" t="e">
        <f t="shared" si="40"/>
        <v>#DIV/0!</v>
      </c>
      <c r="Z31" s="25" t="e">
        <f t="shared" si="40"/>
        <v>#DIV/0!</v>
      </c>
    </row>
    <row r="32" spans="1:26" x14ac:dyDescent="0.25">
      <c r="A32" t="str">
        <f>$A$10</f>
        <v>Redmond</v>
      </c>
      <c r="B32" s="25">
        <f t="shared" si="35"/>
        <v>0</v>
      </c>
      <c r="C32" s="25">
        <f t="shared" si="35"/>
        <v>0</v>
      </c>
      <c r="D32" s="25">
        <f t="shared" si="35"/>
        <v>0</v>
      </c>
      <c r="E32" s="25">
        <f t="shared" si="35"/>
        <v>0</v>
      </c>
      <c r="F32" s="25"/>
      <c r="G32" s="25"/>
      <c r="H32" t="str">
        <f>$A$10</f>
        <v>Redmond</v>
      </c>
      <c r="I32" s="25">
        <f t="shared" si="36"/>
        <v>1.7870606902915791E-2</v>
      </c>
      <c r="J32" s="25">
        <f t="shared" si="36"/>
        <v>7.2679140845917811E-2</v>
      </c>
      <c r="K32" s="25">
        <f t="shared" si="36"/>
        <v>0.10891496808729668</v>
      </c>
      <c r="L32" s="25">
        <f t="shared" si="36"/>
        <v>3.0134403973209836E-2</v>
      </c>
      <c r="O32" t="str">
        <f>$A$10</f>
        <v>Redmond</v>
      </c>
      <c r="P32" s="25">
        <f t="shared" si="42"/>
        <v>1.7870606902915791E-2</v>
      </c>
      <c r="Q32" s="25">
        <f t="shared" si="43"/>
        <v>7.2679140845917811E-2</v>
      </c>
      <c r="R32" s="25">
        <f t="shared" si="44"/>
        <v>0.10891496808729668</v>
      </c>
      <c r="S32" s="25">
        <f t="shared" si="45"/>
        <v>3.0134403973209836E-2</v>
      </c>
      <c r="V32" t="str">
        <f>$A$10</f>
        <v>Redmond</v>
      </c>
      <c r="W32" s="25" t="e">
        <f t="shared" si="40"/>
        <v>#DIV/0!</v>
      </c>
      <c r="X32" s="25" t="e">
        <f t="shared" si="40"/>
        <v>#DIV/0!</v>
      </c>
      <c r="Y32" s="25" t="e">
        <f t="shared" si="40"/>
        <v>#DIV/0!</v>
      </c>
      <c r="Z32" s="25" t="e">
        <f t="shared" si="40"/>
        <v>#DIV/0!</v>
      </c>
    </row>
    <row r="33" spans="1:26" x14ac:dyDescent="0.25">
      <c r="A33" t="str">
        <f>$A$11</f>
        <v>Seattle</v>
      </c>
      <c r="B33" s="25">
        <f t="shared" si="35"/>
        <v>7.7164049306211531E-4</v>
      </c>
      <c r="C33" s="25">
        <f t="shared" si="35"/>
        <v>0</v>
      </c>
      <c r="D33" s="25">
        <f t="shared" si="35"/>
        <v>0</v>
      </c>
      <c r="E33" s="25">
        <f t="shared" si="35"/>
        <v>6.0299153933579921E-4</v>
      </c>
      <c r="F33" s="25"/>
      <c r="G33" s="25"/>
      <c r="H33" t="str">
        <f>$A$11</f>
        <v>Seattle</v>
      </c>
      <c r="I33" s="25">
        <f t="shared" si="36"/>
        <v>2.0530086807983162E-2</v>
      </c>
      <c r="J33" s="25">
        <f t="shared" si="36"/>
        <v>8.2391822209712015E-2</v>
      </c>
      <c r="K33" s="25">
        <f t="shared" si="36"/>
        <v>0.12652712095715971</v>
      </c>
      <c r="L33" s="25">
        <f t="shared" si="36"/>
        <v>3.8116600973102564E-2</v>
      </c>
      <c r="O33" t="str">
        <f>$A$11</f>
        <v>Seattle</v>
      </c>
      <c r="P33" s="25">
        <f t="shared" si="42"/>
        <v>1.9758446314921047E-2</v>
      </c>
      <c r="Q33" s="25">
        <f t="shared" si="43"/>
        <v>8.2391822209712015E-2</v>
      </c>
      <c r="R33" s="25">
        <f t="shared" si="44"/>
        <v>0.12652712095715971</v>
      </c>
      <c r="S33" s="25">
        <f t="shared" si="45"/>
        <v>3.7513609433766762E-2</v>
      </c>
      <c r="V33" t="str">
        <f>$A$11</f>
        <v>Seattle</v>
      </c>
      <c r="W33" s="25" t="e">
        <f t="shared" si="40"/>
        <v>#DIV/0!</v>
      </c>
      <c r="X33" s="25" t="e">
        <f t="shared" si="40"/>
        <v>#DIV/0!</v>
      </c>
      <c r="Y33" s="25" t="e">
        <f t="shared" si="40"/>
        <v>#DIV/0!</v>
      </c>
      <c r="Z33" s="25" t="e">
        <f t="shared" si="40"/>
        <v>#DIV/0!</v>
      </c>
    </row>
    <row r="34" spans="1:26" x14ac:dyDescent="0.25">
      <c r="A34" t="str">
        <f>$A$12</f>
        <v>Seattle Downtown</v>
      </c>
      <c r="B34" s="40">
        <f t="shared" si="35"/>
        <v>0</v>
      </c>
      <c r="C34" s="40">
        <f t="shared" si="35"/>
        <v>1.0835028465613747E-2</v>
      </c>
      <c r="D34" s="40">
        <f t="shared" si="35"/>
        <v>0</v>
      </c>
      <c r="E34" s="40">
        <f t="shared" si="35"/>
        <v>1.2625483601607567E-3</v>
      </c>
      <c r="F34" s="25"/>
      <c r="G34" s="25"/>
      <c r="H34" t="str">
        <f>$A$12</f>
        <v>Seattle Downtown</v>
      </c>
      <c r="I34" s="40">
        <f t="shared" si="36"/>
        <v>2.2139779989727854E-2</v>
      </c>
      <c r="J34" s="40">
        <f t="shared" si="36"/>
        <v>9.6646017438501972E-2</v>
      </c>
      <c r="K34" s="40">
        <f t="shared" si="36"/>
        <v>0.1371123337348896</v>
      </c>
      <c r="L34" s="40">
        <f t="shared" si="36"/>
        <v>3.7934231495558406E-2</v>
      </c>
      <c r="O34" t="str">
        <f>$A$12</f>
        <v>Seattle Downtown</v>
      </c>
      <c r="P34" s="40">
        <f t="shared" si="41"/>
        <v>2.2139779989727854E-2</v>
      </c>
      <c r="Q34" s="40">
        <f t="shared" si="37"/>
        <v>8.5810988972888219E-2</v>
      </c>
      <c r="R34" s="40">
        <f t="shared" si="38"/>
        <v>0.1371123337348896</v>
      </c>
      <c r="S34" s="40">
        <f t="shared" si="39"/>
        <v>3.6671683135397648E-2</v>
      </c>
      <c r="V34" t="str">
        <f>$A$12</f>
        <v>Seattle Downtown</v>
      </c>
      <c r="W34" s="40" t="e">
        <f t="shared" si="40"/>
        <v>#DIV/0!</v>
      </c>
      <c r="X34" s="40" t="e">
        <f t="shared" si="40"/>
        <v>#DIV/0!</v>
      </c>
      <c r="Y34" s="40" t="e">
        <f t="shared" si="40"/>
        <v>#DIV/0!</v>
      </c>
      <c r="Z34" s="40" t="e">
        <f t="shared" si="40"/>
        <v>#DIV/0!</v>
      </c>
    </row>
    <row r="35" spans="1:26" x14ac:dyDescent="0.25">
      <c r="A35" s="15" t="str">
        <f>A24</f>
        <v>Rest</v>
      </c>
      <c r="B35" s="40">
        <f t="shared" si="35"/>
        <v>2.0922448628779753E-3</v>
      </c>
      <c r="C35" s="40">
        <f t="shared" si="35"/>
        <v>8.3177082823392857E-3</v>
      </c>
      <c r="D35" s="40">
        <f t="shared" si="35"/>
        <v>0</v>
      </c>
      <c r="E35" s="40">
        <f t="shared" si="35"/>
        <v>3.2295763137321367E-3</v>
      </c>
      <c r="F35" s="25"/>
      <c r="G35" s="25"/>
      <c r="H35" s="15" t="str">
        <f>H24</f>
        <v>Rest</v>
      </c>
      <c r="I35" s="40">
        <f t="shared" si="36"/>
        <v>2.4957302886086417E-2</v>
      </c>
      <c r="J35" s="40">
        <f t="shared" si="36"/>
        <v>8.8451328509534036E-2</v>
      </c>
      <c r="K35" s="40">
        <f t="shared" si="36"/>
        <v>0.13086103704757202</v>
      </c>
      <c r="L35" s="40">
        <f t="shared" si="36"/>
        <v>4.1722122863054337E-2</v>
      </c>
      <c r="O35" s="17" t="str">
        <f>O24</f>
        <v>Rest</v>
      </c>
      <c r="P35" s="40">
        <f t="shared" ref="P35" si="46">I35-B35</f>
        <v>2.2865058023208443E-2</v>
      </c>
      <c r="Q35" s="40">
        <f t="shared" ref="Q35" si="47">J35-C35</f>
        <v>8.0133620227194752E-2</v>
      </c>
      <c r="R35" s="40">
        <f t="shared" ref="R35" si="48">K35-D35</f>
        <v>0.13086103704757202</v>
      </c>
      <c r="S35" s="40">
        <f t="shared" ref="S35" si="49">L35-E35</f>
        <v>3.8492546549322201E-2</v>
      </c>
      <c r="V35" s="15" t="str">
        <f>$A$13</f>
        <v>Rest</v>
      </c>
      <c r="W35" s="17" t="e">
        <f t="shared" si="40"/>
        <v>#DIV/0!</v>
      </c>
      <c r="X35" s="17" t="e">
        <f t="shared" si="40"/>
        <v>#DIV/0!</v>
      </c>
      <c r="Y35" s="17" t="e">
        <f t="shared" si="40"/>
        <v>#DIV/0!</v>
      </c>
      <c r="Z35" s="17" t="e">
        <f t="shared" si="40"/>
        <v>#DIV/0!</v>
      </c>
    </row>
    <row r="36" spans="1:26" ht="15.75" thickBot="1" x14ac:dyDescent="0.3">
      <c r="A36" s="19" t="s">
        <v>4</v>
      </c>
      <c r="B36" s="27">
        <f t="shared" si="35"/>
        <v>1.6190533821336349E-3</v>
      </c>
      <c r="C36" s="27">
        <f t="shared" si="35"/>
        <v>6.2092099095127536E-3</v>
      </c>
      <c r="D36" s="27">
        <f t="shared" si="35"/>
        <v>0</v>
      </c>
      <c r="E36" s="27">
        <f t="shared" si="35"/>
        <v>2.4235284835807708E-3</v>
      </c>
      <c r="F36" s="7"/>
      <c r="H36" s="19" t="s">
        <v>4</v>
      </c>
      <c r="I36" s="27">
        <f t="shared" si="36"/>
        <v>2.3194050457625692E-2</v>
      </c>
      <c r="J36" s="27">
        <f t="shared" si="36"/>
        <v>8.558709303855494E-2</v>
      </c>
      <c r="K36" s="27">
        <f t="shared" si="36"/>
        <v>0.12732509619095356</v>
      </c>
      <c r="L36" s="27">
        <f t="shared" si="36"/>
        <v>3.9626922826413224E-2</v>
      </c>
      <c r="O36" s="19" t="s">
        <v>4</v>
      </c>
      <c r="P36" s="27">
        <f t="shared" si="41"/>
        <v>2.1574997075492056E-2</v>
      </c>
      <c r="Q36" s="27">
        <f t="shared" si="37"/>
        <v>7.937788312904219E-2</v>
      </c>
      <c r="R36" s="27">
        <f t="shared" si="38"/>
        <v>0.12732509619095356</v>
      </c>
      <c r="S36" s="27">
        <f t="shared" si="39"/>
        <v>3.7203394342832451E-2</v>
      </c>
      <c r="V36" s="19" t="s">
        <v>4</v>
      </c>
      <c r="W36" s="19" t="e">
        <f>W14/W25</f>
        <v>#DIV/0!</v>
      </c>
      <c r="X36" s="19" t="e">
        <f t="shared" ref="X36:Z36" si="50">X14/X25</f>
        <v>#DIV/0!</v>
      </c>
      <c r="Y36" s="19" t="e">
        <f t="shared" si="50"/>
        <v>#DIV/0!</v>
      </c>
      <c r="Z36" s="19" t="e">
        <f t="shared" si="50"/>
        <v>#DIV/0!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33"/>
  <sheetViews>
    <sheetView workbookViewId="0">
      <selection activeCell="B17" sqref="B17"/>
    </sheetView>
  </sheetViews>
  <sheetFormatPr defaultRowHeight="15" x14ac:dyDescent="0.25"/>
  <sheetData>
    <row r="1" spans="1:2" x14ac:dyDescent="0.25">
      <c r="A1" s="11" t="s">
        <v>220</v>
      </c>
    </row>
    <row r="11" spans="1:2" x14ac:dyDescent="0.25">
      <c r="A11" s="11" t="s">
        <v>19</v>
      </c>
    </row>
    <row r="12" spans="1:2" x14ac:dyDescent="0.25">
      <c r="A12">
        <v>1</v>
      </c>
      <c r="B12" t="s">
        <v>45</v>
      </c>
    </row>
    <row r="14" spans="1:2" x14ac:dyDescent="0.25">
      <c r="A14">
        <v>2</v>
      </c>
      <c r="B14" t="s">
        <v>221</v>
      </c>
    </row>
    <row r="15" spans="1:2" x14ac:dyDescent="0.25">
      <c r="B15" t="s">
        <v>46</v>
      </c>
    </row>
    <row r="17" spans="1:4" x14ac:dyDescent="0.25">
      <c r="A17">
        <v>3</v>
      </c>
      <c r="B17" t="s">
        <v>47</v>
      </c>
    </row>
    <row r="18" spans="1:4" x14ac:dyDescent="0.25">
      <c r="B18" t="s">
        <v>222</v>
      </c>
    </row>
    <row r="19" spans="1:4" x14ac:dyDescent="0.25">
      <c r="B19" t="s">
        <v>9</v>
      </c>
      <c r="C19" t="s">
        <v>53</v>
      </c>
      <c r="D19" t="s">
        <v>20</v>
      </c>
    </row>
    <row r="20" spans="1:4" x14ac:dyDescent="0.25">
      <c r="B20" t="s">
        <v>10</v>
      </c>
      <c r="C20" t="s">
        <v>54</v>
      </c>
      <c r="D20" t="s">
        <v>21</v>
      </c>
    </row>
    <row r="21" spans="1:4" x14ac:dyDescent="0.25">
      <c r="B21" t="s">
        <v>11</v>
      </c>
      <c r="C21" t="s">
        <v>55</v>
      </c>
      <c r="D21" t="s">
        <v>22</v>
      </c>
    </row>
    <row r="23" spans="1:4" x14ac:dyDescent="0.25">
      <c r="A23" s="11" t="s">
        <v>48</v>
      </c>
    </row>
    <row r="24" spans="1:4" x14ac:dyDescent="0.25">
      <c r="A24">
        <v>1</v>
      </c>
      <c r="B24" t="s">
        <v>49</v>
      </c>
    </row>
    <row r="26" spans="1:4" x14ac:dyDescent="0.25">
      <c r="A26">
        <v>2</v>
      </c>
      <c r="B26" t="s">
        <v>50</v>
      </c>
    </row>
    <row r="28" spans="1:4" x14ac:dyDescent="0.25">
      <c r="A28" s="11" t="s">
        <v>51</v>
      </c>
    </row>
    <row r="29" spans="1:4" x14ac:dyDescent="0.25">
      <c r="A29">
        <v>1</v>
      </c>
      <c r="B29" t="s">
        <v>52</v>
      </c>
    </row>
    <row r="31" spans="1:4" x14ac:dyDescent="0.25">
      <c r="A31" s="11">
        <v>2</v>
      </c>
      <c r="B31" t="s">
        <v>223</v>
      </c>
    </row>
    <row r="33" spans="1:2" x14ac:dyDescent="0.25">
      <c r="A33">
        <v>3</v>
      </c>
      <c r="B33" t="s">
        <v>56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4"/>
  <sheetViews>
    <sheetView workbookViewId="0">
      <selection activeCell="E9" sqref="E9"/>
    </sheetView>
  </sheetViews>
  <sheetFormatPr defaultRowHeight="15" x14ac:dyDescent="0.25"/>
  <cols>
    <col min="4" max="4" width="12.7109375" bestFit="1" customWidth="1" collapsed="1"/>
    <col min="5" max="5" width="94.7109375" style="47" bestFit="1" customWidth="1" collapsed="1"/>
  </cols>
  <sheetData>
    <row r="1" spans="1:5" x14ac:dyDescent="0.25">
      <c r="A1" t="s">
        <v>141</v>
      </c>
      <c r="B1" t="s">
        <v>142</v>
      </c>
      <c r="E1" s="47" t="s">
        <v>143</v>
      </c>
    </row>
    <row r="2" spans="1:5" x14ac:dyDescent="0.25">
      <c r="A2">
        <v>1</v>
      </c>
      <c r="B2" t="s">
        <v>66</v>
      </c>
      <c r="C2" t="s">
        <v>67</v>
      </c>
      <c r="D2">
        <v>1</v>
      </c>
      <c r="E2" s="47" t="s">
        <v>149</v>
      </c>
    </row>
    <row r="3" spans="1:5" x14ac:dyDescent="0.25">
      <c r="A3">
        <v>2</v>
      </c>
      <c r="B3" t="s">
        <v>68</v>
      </c>
      <c r="C3" t="s">
        <v>67</v>
      </c>
      <c r="D3">
        <v>0.7</v>
      </c>
      <c r="E3" s="47" t="s">
        <v>145</v>
      </c>
    </row>
    <row r="4" spans="1:5" x14ac:dyDescent="0.25">
      <c r="A4">
        <v>3</v>
      </c>
      <c r="B4" t="s">
        <v>69</v>
      </c>
      <c r="C4" t="s">
        <v>67</v>
      </c>
      <c r="D4">
        <v>1</v>
      </c>
      <c r="E4" s="47" t="s">
        <v>144</v>
      </c>
    </row>
    <row r="5" spans="1:5" x14ac:dyDescent="0.25">
      <c r="A5">
        <v>4</v>
      </c>
      <c r="B5" t="s">
        <v>70</v>
      </c>
      <c r="C5" t="s">
        <v>67</v>
      </c>
      <c r="D5">
        <v>0.5</v>
      </c>
      <c r="E5" s="47" t="s">
        <v>150</v>
      </c>
    </row>
    <row r="6" spans="1:5" x14ac:dyDescent="0.25">
      <c r="A6">
        <v>5</v>
      </c>
      <c r="B6" t="s">
        <v>71</v>
      </c>
      <c r="C6" t="s">
        <v>67</v>
      </c>
      <c r="D6">
        <v>0</v>
      </c>
      <c r="E6" s="47" t="s">
        <v>146</v>
      </c>
    </row>
    <row r="7" spans="1:5" x14ac:dyDescent="0.25">
      <c r="A7">
        <v>6</v>
      </c>
      <c r="B7" t="s">
        <v>72</v>
      </c>
      <c r="C7" t="s">
        <v>67</v>
      </c>
      <c r="D7">
        <v>-4.1530549264700003</v>
      </c>
      <c r="E7" s="47" t="s">
        <v>151</v>
      </c>
    </row>
    <row r="8" spans="1:5" x14ac:dyDescent="0.25">
      <c r="A8">
        <v>7</v>
      </c>
      <c r="B8" t="s">
        <v>73</v>
      </c>
      <c r="C8" t="s">
        <v>67</v>
      </c>
      <c r="D8">
        <v>-0.64354735537100005</v>
      </c>
      <c r="E8" s="47" t="s">
        <v>152</v>
      </c>
    </row>
    <row r="9" spans="1:5" x14ac:dyDescent="0.25">
      <c r="A9">
        <v>8</v>
      </c>
      <c r="B9" t="s">
        <v>74</v>
      </c>
      <c r="C9" t="s">
        <v>67</v>
      </c>
      <c r="D9">
        <v>-0.732358148145</v>
      </c>
      <c r="E9" s="47" t="s">
        <v>153</v>
      </c>
    </row>
    <row r="10" spans="1:5" x14ac:dyDescent="0.25">
      <c r="A10">
        <v>9</v>
      </c>
      <c r="B10" t="s">
        <v>75</v>
      </c>
      <c r="C10" t="s">
        <v>67</v>
      </c>
      <c r="D10">
        <v>-2.6263992007099999</v>
      </c>
      <c r="E10" s="47" t="s">
        <v>154</v>
      </c>
    </row>
    <row r="11" spans="1:5" x14ac:dyDescent="0.25">
      <c r="A11">
        <v>10</v>
      </c>
      <c r="B11" t="s">
        <v>76</v>
      </c>
      <c r="C11" t="s">
        <v>67</v>
      </c>
      <c r="D11">
        <v>-3.4653118418800002</v>
      </c>
      <c r="E11" s="47" t="s">
        <v>155</v>
      </c>
    </row>
    <row r="12" spans="1:5" x14ac:dyDescent="0.25">
      <c r="A12">
        <v>11</v>
      </c>
      <c r="B12" t="s">
        <v>77</v>
      </c>
      <c r="C12" t="s">
        <v>67</v>
      </c>
      <c r="D12">
        <v>0.125312575308</v>
      </c>
      <c r="E12" s="47" t="s">
        <v>156</v>
      </c>
    </row>
    <row r="13" spans="1:5" x14ac:dyDescent="0.25">
      <c r="A13">
        <v>12</v>
      </c>
      <c r="B13" t="s">
        <v>78</v>
      </c>
      <c r="C13" t="s">
        <v>67</v>
      </c>
      <c r="D13">
        <v>0.24676672684299999</v>
      </c>
      <c r="E13" s="47" t="s">
        <v>157</v>
      </c>
    </row>
    <row r="14" spans="1:5" x14ac:dyDescent="0.25">
      <c r="A14">
        <v>13</v>
      </c>
      <c r="B14" t="s">
        <v>79</v>
      </c>
      <c r="C14" t="s">
        <v>67</v>
      </c>
      <c r="D14">
        <v>0.40796503771199999</v>
      </c>
      <c r="E14" s="47" t="s">
        <v>158</v>
      </c>
    </row>
    <row r="15" spans="1:5" x14ac:dyDescent="0.25">
      <c r="A15">
        <v>14</v>
      </c>
      <c r="B15" t="s">
        <v>80</v>
      </c>
      <c r="C15" t="s">
        <v>67</v>
      </c>
      <c r="D15">
        <v>-0.50293651045300003</v>
      </c>
      <c r="E15" s="47" t="s">
        <v>159</v>
      </c>
    </row>
    <row r="16" spans="1:5" x14ac:dyDescent="0.25">
      <c r="A16">
        <v>15</v>
      </c>
      <c r="B16" t="s">
        <v>81</v>
      </c>
      <c r="C16" t="s">
        <v>67</v>
      </c>
      <c r="D16">
        <v>-1.61322160644</v>
      </c>
      <c r="E16" s="47" t="s">
        <v>160</v>
      </c>
    </row>
    <row r="17" spans="1:5" x14ac:dyDescent="0.25">
      <c r="A17">
        <v>16</v>
      </c>
      <c r="B17" t="s">
        <v>82</v>
      </c>
      <c r="C17" t="s">
        <v>67</v>
      </c>
      <c r="D17">
        <v>0.130749629122</v>
      </c>
      <c r="E17" s="47" t="s">
        <v>161</v>
      </c>
    </row>
    <row r="18" spans="1:5" x14ac:dyDescent="0.25">
      <c r="A18">
        <v>17</v>
      </c>
      <c r="B18" t="s">
        <v>83</v>
      </c>
      <c r="C18" t="s">
        <v>67</v>
      </c>
      <c r="D18" s="46">
        <v>8.4077289836199998E-2</v>
      </c>
      <c r="E18" s="47" t="s">
        <v>162</v>
      </c>
    </row>
    <row r="19" spans="1:5" x14ac:dyDescent="0.25">
      <c r="A19">
        <v>18</v>
      </c>
      <c r="B19" t="s">
        <v>84</v>
      </c>
      <c r="C19" t="s">
        <v>67</v>
      </c>
      <c r="D19">
        <v>0</v>
      </c>
      <c r="E19" s="47" t="s">
        <v>163</v>
      </c>
    </row>
    <row r="20" spans="1:5" x14ac:dyDescent="0.25">
      <c r="A20">
        <v>19</v>
      </c>
      <c r="B20" t="s">
        <v>85</v>
      </c>
      <c r="C20" t="s">
        <v>67</v>
      </c>
      <c r="D20">
        <v>0.106386053639</v>
      </c>
      <c r="E20" s="47" t="s">
        <v>147</v>
      </c>
    </row>
    <row r="21" spans="1:5" x14ac:dyDescent="0.25">
      <c r="A21">
        <v>20</v>
      </c>
      <c r="B21" t="s">
        <v>86</v>
      </c>
      <c r="C21" t="s">
        <v>67</v>
      </c>
      <c r="D21">
        <v>0.88087687792799996</v>
      </c>
      <c r="E21" s="47" t="s">
        <v>148</v>
      </c>
    </row>
    <row r="22" spans="1:5" x14ac:dyDescent="0.25">
      <c r="A22">
        <v>21</v>
      </c>
      <c r="B22" t="s">
        <v>87</v>
      </c>
      <c r="C22" t="s">
        <v>67</v>
      </c>
      <c r="D22">
        <v>-0.16458061134300001</v>
      </c>
      <c r="E22" s="47" t="s">
        <v>200</v>
      </c>
    </row>
    <row r="23" spans="1:5" x14ac:dyDescent="0.25">
      <c r="A23">
        <v>22</v>
      </c>
      <c r="B23" t="s">
        <v>88</v>
      </c>
      <c r="C23" t="s">
        <v>67</v>
      </c>
      <c r="D23">
        <v>0.154182014038</v>
      </c>
      <c r="E23" s="47" t="s">
        <v>201</v>
      </c>
    </row>
    <row r="24" spans="1:5" x14ac:dyDescent="0.25">
      <c r="A24">
        <v>23</v>
      </c>
      <c r="B24" t="s">
        <v>89</v>
      </c>
      <c r="C24" t="s">
        <v>67</v>
      </c>
      <c r="D24" s="46">
        <v>4.79448884421E-2</v>
      </c>
      <c r="E24" s="47" t="s">
        <v>202</v>
      </c>
    </row>
    <row r="25" spans="1:5" x14ac:dyDescent="0.25">
      <c r="A25">
        <v>24</v>
      </c>
      <c r="B25" t="s">
        <v>90</v>
      </c>
      <c r="C25" t="s">
        <v>67</v>
      </c>
      <c r="D25" s="46">
        <v>6.4843520043099998E-2</v>
      </c>
      <c r="E25" s="47" t="s">
        <v>203</v>
      </c>
    </row>
    <row r="26" spans="1:5" x14ac:dyDescent="0.25">
      <c r="A26">
        <v>25</v>
      </c>
      <c r="B26" t="s">
        <v>91</v>
      </c>
      <c r="C26" t="s">
        <v>67</v>
      </c>
      <c r="D26">
        <v>0.15272053169499999</v>
      </c>
      <c r="E26" s="47" t="s">
        <v>204</v>
      </c>
    </row>
    <row r="27" spans="1:5" x14ac:dyDescent="0.25">
      <c r="A27">
        <v>26</v>
      </c>
      <c r="B27" t="s">
        <v>92</v>
      </c>
      <c r="C27" t="s">
        <v>67</v>
      </c>
      <c r="D27" s="46">
        <v>7.2028590735099998E-2</v>
      </c>
      <c r="E27" s="47" t="s">
        <v>205</v>
      </c>
    </row>
    <row r="28" spans="1:5" x14ac:dyDescent="0.25">
      <c r="A28">
        <v>27</v>
      </c>
      <c r="B28" t="s">
        <v>93</v>
      </c>
      <c r="C28" t="s">
        <v>67</v>
      </c>
      <c r="D28">
        <v>-0.27934224041799999</v>
      </c>
      <c r="E28" s="47" t="s">
        <v>209</v>
      </c>
    </row>
    <row r="29" spans="1:5" x14ac:dyDescent="0.25">
      <c r="A29">
        <v>28</v>
      </c>
      <c r="B29" t="s">
        <v>94</v>
      </c>
      <c r="C29" t="s">
        <v>67</v>
      </c>
      <c r="D29" s="46">
        <v>4.3626229225700003E-2</v>
      </c>
      <c r="E29" s="47" t="s">
        <v>164</v>
      </c>
    </row>
    <row r="30" spans="1:5" x14ac:dyDescent="0.25">
      <c r="A30">
        <v>29</v>
      </c>
      <c r="B30" t="s">
        <v>95</v>
      </c>
      <c r="C30" t="s">
        <v>67</v>
      </c>
      <c r="D30" s="46">
        <v>-8.7886819411100006E-2</v>
      </c>
      <c r="E30" s="47" t="s">
        <v>184</v>
      </c>
    </row>
    <row r="31" spans="1:5" x14ac:dyDescent="0.25">
      <c r="A31">
        <v>30</v>
      </c>
      <c r="B31" t="s">
        <v>96</v>
      </c>
      <c r="C31" t="s">
        <v>67</v>
      </c>
      <c r="D31" s="46">
        <v>-4.2894941477000001E-2</v>
      </c>
      <c r="E31" s="47" t="s">
        <v>185</v>
      </c>
    </row>
    <row r="32" spans="1:5" x14ac:dyDescent="0.25">
      <c r="A32">
        <v>31</v>
      </c>
      <c r="B32" t="s">
        <v>97</v>
      </c>
      <c r="C32" t="s">
        <v>67</v>
      </c>
      <c r="D32">
        <v>-0.13045579928000001</v>
      </c>
      <c r="E32" s="47" t="s">
        <v>186</v>
      </c>
    </row>
    <row r="33" spans="1:5" x14ac:dyDescent="0.25">
      <c r="A33">
        <v>32</v>
      </c>
      <c r="B33" t="s">
        <v>98</v>
      </c>
      <c r="C33" t="s">
        <v>67</v>
      </c>
      <c r="D33">
        <v>0.18945088644899999</v>
      </c>
      <c r="E33" s="47" t="s">
        <v>187</v>
      </c>
    </row>
    <row r="34" spans="1:5" x14ac:dyDescent="0.25">
      <c r="A34">
        <v>33</v>
      </c>
      <c r="B34" t="s">
        <v>99</v>
      </c>
      <c r="C34" t="s">
        <v>67</v>
      </c>
      <c r="D34">
        <v>-0.179523169776</v>
      </c>
      <c r="E34" s="47" t="s">
        <v>188</v>
      </c>
    </row>
    <row r="35" spans="1:5" x14ac:dyDescent="0.25">
      <c r="A35">
        <v>34</v>
      </c>
      <c r="B35" t="s">
        <v>100</v>
      </c>
      <c r="C35" t="s">
        <v>67</v>
      </c>
      <c r="D35">
        <v>0.17233347539499999</v>
      </c>
      <c r="E35" s="47" t="s">
        <v>189</v>
      </c>
    </row>
    <row r="36" spans="1:5" x14ac:dyDescent="0.25">
      <c r="A36">
        <v>35</v>
      </c>
      <c r="B36" t="s">
        <v>101</v>
      </c>
      <c r="C36" t="s">
        <v>67</v>
      </c>
      <c r="D36">
        <v>-0.194698386872</v>
      </c>
      <c r="E36" s="47" t="s">
        <v>190</v>
      </c>
    </row>
    <row r="37" spans="1:5" x14ac:dyDescent="0.25">
      <c r="A37">
        <v>36</v>
      </c>
      <c r="B37" t="s">
        <v>102</v>
      </c>
      <c r="C37" t="s">
        <v>67</v>
      </c>
      <c r="D37">
        <v>0.38785322122799998</v>
      </c>
      <c r="E37" s="47" t="s">
        <v>191</v>
      </c>
    </row>
    <row r="38" spans="1:5" x14ac:dyDescent="0.25">
      <c r="A38">
        <v>41</v>
      </c>
      <c r="B38" t="s">
        <v>103</v>
      </c>
      <c r="C38" t="s">
        <v>104</v>
      </c>
      <c r="D38">
        <v>-2.9745332256100001</v>
      </c>
      <c r="E38" s="47" t="s">
        <v>224</v>
      </c>
    </row>
    <row r="39" spans="1:5" x14ac:dyDescent="0.25">
      <c r="A39">
        <v>42</v>
      </c>
      <c r="B39" t="s">
        <v>105</v>
      </c>
      <c r="C39" t="s">
        <v>104</v>
      </c>
      <c r="D39">
        <v>5.0782043482699999</v>
      </c>
      <c r="E39" s="47" t="s">
        <v>210</v>
      </c>
    </row>
    <row r="40" spans="1:5" x14ac:dyDescent="0.25">
      <c r="A40">
        <v>43</v>
      </c>
      <c r="B40" t="s">
        <v>106</v>
      </c>
      <c r="C40" t="s">
        <v>104</v>
      </c>
      <c r="D40">
        <v>-3.0391245094800001</v>
      </c>
      <c r="E40" s="47" t="s">
        <v>211</v>
      </c>
    </row>
    <row r="41" spans="1:5" x14ac:dyDescent="0.25">
      <c r="A41">
        <v>44</v>
      </c>
      <c r="B41" t="s">
        <v>107</v>
      </c>
      <c r="C41" t="s">
        <v>104</v>
      </c>
      <c r="D41">
        <v>-2.3320263859599999</v>
      </c>
      <c r="E41" s="47" t="s">
        <v>212</v>
      </c>
    </row>
    <row r="42" spans="1:5" x14ac:dyDescent="0.25">
      <c r="A42">
        <v>50</v>
      </c>
      <c r="B42" t="s">
        <v>108</v>
      </c>
      <c r="C42" t="s">
        <v>67</v>
      </c>
      <c r="D42">
        <v>0.33566647407</v>
      </c>
    </row>
    <row r="43" spans="1:5" x14ac:dyDescent="0.25">
      <c r="A43">
        <v>51</v>
      </c>
      <c r="B43" t="s">
        <v>109</v>
      </c>
      <c r="C43" t="s">
        <v>67</v>
      </c>
      <c r="D43">
        <v>-0.78911507665199998</v>
      </c>
      <c r="E43" s="47" t="s">
        <v>165</v>
      </c>
    </row>
    <row r="44" spans="1:5" x14ac:dyDescent="0.25">
      <c r="A44">
        <v>52</v>
      </c>
      <c r="B44" t="s">
        <v>110</v>
      </c>
      <c r="C44" t="s">
        <v>67</v>
      </c>
      <c r="D44">
        <v>0.56564055394500001</v>
      </c>
      <c r="E44" s="47" t="s">
        <v>166</v>
      </c>
    </row>
    <row r="45" spans="1:5" x14ac:dyDescent="0.25">
      <c r="A45">
        <v>53</v>
      </c>
      <c r="B45" t="s">
        <v>111</v>
      </c>
      <c r="C45" t="s">
        <v>67</v>
      </c>
      <c r="D45">
        <v>-1.85416848242</v>
      </c>
      <c r="E45" s="47" t="s">
        <v>167</v>
      </c>
    </row>
    <row r="46" spans="1:5" x14ac:dyDescent="0.25">
      <c r="A46">
        <v>54</v>
      </c>
      <c r="B46" t="s">
        <v>112</v>
      </c>
      <c r="C46" t="s">
        <v>67</v>
      </c>
      <c r="D46">
        <v>0</v>
      </c>
      <c r="E46" s="47" t="s">
        <v>168</v>
      </c>
    </row>
    <row r="47" spans="1:5" x14ac:dyDescent="0.25">
      <c r="A47">
        <v>55</v>
      </c>
      <c r="B47" t="s">
        <v>113</v>
      </c>
      <c r="C47" t="s">
        <v>67</v>
      </c>
      <c r="D47">
        <v>-1.1156286956100001</v>
      </c>
      <c r="E47" s="47" t="s">
        <v>169</v>
      </c>
    </row>
    <row r="48" spans="1:5" x14ac:dyDescent="0.25">
      <c r="A48">
        <v>56</v>
      </c>
      <c r="B48" t="s">
        <v>114</v>
      </c>
      <c r="C48" t="s">
        <v>67</v>
      </c>
      <c r="D48">
        <v>-0.81792869186600003</v>
      </c>
      <c r="E48" s="47" t="s">
        <v>170</v>
      </c>
    </row>
    <row r="49" spans="1:5" x14ac:dyDescent="0.25">
      <c r="A49">
        <v>57</v>
      </c>
      <c r="B49" t="s">
        <v>115</v>
      </c>
      <c r="C49" t="s">
        <v>67</v>
      </c>
      <c r="D49">
        <v>-1.04729487823</v>
      </c>
      <c r="E49" s="47" t="s">
        <v>171</v>
      </c>
    </row>
    <row r="50" spans="1:5" x14ac:dyDescent="0.25">
      <c r="A50">
        <v>58</v>
      </c>
      <c r="B50" t="s">
        <v>116</v>
      </c>
      <c r="C50" t="s">
        <v>67</v>
      </c>
      <c r="D50">
        <v>-2.0228517391</v>
      </c>
      <c r="E50" s="47" t="s">
        <v>172</v>
      </c>
    </row>
    <row r="51" spans="1:5" x14ac:dyDescent="0.25">
      <c r="A51">
        <v>59</v>
      </c>
      <c r="B51" t="s">
        <v>117</v>
      </c>
      <c r="C51" t="s">
        <v>67</v>
      </c>
      <c r="D51">
        <v>-1.2945321250099999</v>
      </c>
      <c r="E51" s="47" t="s">
        <v>173</v>
      </c>
    </row>
    <row r="52" spans="1:5" x14ac:dyDescent="0.25">
      <c r="A52">
        <v>60</v>
      </c>
      <c r="B52" t="s">
        <v>118</v>
      </c>
      <c r="C52" t="s">
        <v>67</v>
      </c>
      <c r="D52">
        <v>-0.66178028021599999</v>
      </c>
      <c r="E52" s="47" t="s">
        <v>192</v>
      </c>
    </row>
    <row r="53" spans="1:5" x14ac:dyDescent="0.25">
      <c r="A53">
        <v>61</v>
      </c>
      <c r="B53" t="s">
        <v>119</v>
      </c>
      <c r="C53" t="s">
        <v>67</v>
      </c>
      <c r="D53">
        <v>-0.55504741134900004</v>
      </c>
      <c r="E53" s="47" t="s">
        <v>193</v>
      </c>
    </row>
    <row r="54" spans="1:5" x14ac:dyDescent="0.25">
      <c r="A54">
        <v>62</v>
      </c>
      <c r="B54" t="s">
        <v>120</v>
      </c>
      <c r="C54" t="s">
        <v>67</v>
      </c>
      <c r="D54">
        <v>-1.7449233454799999</v>
      </c>
      <c r="E54" s="47" t="s">
        <v>194</v>
      </c>
    </row>
    <row r="55" spans="1:5" x14ac:dyDescent="0.25">
      <c r="A55">
        <v>63</v>
      </c>
      <c r="B55" t="s">
        <v>121</v>
      </c>
      <c r="C55" t="s">
        <v>67</v>
      </c>
      <c r="D55">
        <v>1.1995398853399999</v>
      </c>
      <c r="E55" s="47" t="s">
        <v>195</v>
      </c>
    </row>
    <row r="56" spans="1:5" x14ac:dyDescent="0.25">
      <c r="A56">
        <v>64</v>
      </c>
      <c r="B56" t="s">
        <v>122</v>
      </c>
      <c r="C56" t="s">
        <v>67</v>
      </c>
      <c r="D56">
        <v>0.19542046398099999</v>
      </c>
      <c r="E56" s="47" t="s">
        <v>196</v>
      </c>
    </row>
    <row r="57" spans="1:5" x14ac:dyDescent="0.25">
      <c r="A57">
        <v>65</v>
      </c>
      <c r="B57" t="s">
        <v>123</v>
      </c>
      <c r="C57" t="s">
        <v>67</v>
      </c>
      <c r="D57">
        <v>-0.90594458676599998</v>
      </c>
      <c r="E57" s="47" t="s">
        <v>197</v>
      </c>
    </row>
    <row r="58" spans="1:5" x14ac:dyDescent="0.25">
      <c r="A58">
        <v>66</v>
      </c>
      <c r="B58" t="s">
        <v>124</v>
      </c>
      <c r="C58" t="s">
        <v>67</v>
      </c>
      <c r="D58">
        <v>-2.05104130438</v>
      </c>
      <c r="E58" s="47" t="s">
        <v>174</v>
      </c>
    </row>
    <row r="59" spans="1:5" x14ac:dyDescent="0.25">
      <c r="A59">
        <v>67</v>
      </c>
      <c r="B59" t="s">
        <v>125</v>
      </c>
      <c r="C59" t="s">
        <v>67</v>
      </c>
      <c r="D59">
        <v>-2.2381608455899999</v>
      </c>
      <c r="E59" s="47" t="s">
        <v>175</v>
      </c>
    </row>
    <row r="60" spans="1:5" x14ac:dyDescent="0.25">
      <c r="A60">
        <v>68</v>
      </c>
      <c r="B60" t="s">
        <v>126</v>
      </c>
      <c r="C60" t="s">
        <v>67</v>
      </c>
      <c r="D60">
        <v>-0.40946320528300001</v>
      </c>
      <c r="E60" s="47" t="s">
        <v>176</v>
      </c>
    </row>
    <row r="61" spans="1:5" x14ac:dyDescent="0.25">
      <c r="A61">
        <v>69</v>
      </c>
      <c r="B61" t="s">
        <v>127</v>
      </c>
      <c r="C61" t="s">
        <v>67</v>
      </c>
      <c r="D61">
        <v>-1.1700902309500001</v>
      </c>
      <c r="E61" s="47" t="s">
        <v>177</v>
      </c>
    </row>
    <row r="62" spans="1:5" x14ac:dyDescent="0.25">
      <c r="A62">
        <v>70</v>
      </c>
      <c r="B62" t="s">
        <v>128</v>
      </c>
      <c r="C62" t="s">
        <v>67</v>
      </c>
      <c r="D62">
        <v>1.8412445021999999</v>
      </c>
      <c r="E62" s="47" t="s">
        <v>178</v>
      </c>
    </row>
    <row r="63" spans="1:5" x14ac:dyDescent="0.25">
      <c r="A63">
        <v>71</v>
      </c>
      <c r="B63" t="s">
        <v>129</v>
      </c>
      <c r="C63" t="s">
        <v>67</v>
      </c>
      <c r="D63">
        <v>0.71619685052500004</v>
      </c>
      <c r="E63" s="47" t="s">
        <v>179</v>
      </c>
    </row>
    <row r="64" spans="1:5" x14ac:dyDescent="0.25">
      <c r="A64">
        <v>72</v>
      </c>
      <c r="B64" t="s">
        <v>130</v>
      </c>
      <c r="C64" t="s">
        <v>67</v>
      </c>
      <c r="D64">
        <v>-0.101060642888</v>
      </c>
      <c r="E64" s="47" t="s">
        <v>180</v>
      </c>
    </row>
    <row r="65" spans="1:5" x14ac:dyDescent="0.25">
      <c r="A65">
        <v>73</v>
      </c>
      <c r="B65" t="s">
        <v>131</v>
      </c>
      <c r="C65" t="s">
        <v>67</v>
      </c>
      <c r="D65">
        <v>-0.34132571646100002</v>
      </c>
      <c r="E65" s="47" t="s">
        <v>181</v>
      </c>
    </row>
    <row r="66" spans="1:5" x14ac:dyDescent="0.25">
      <c r="A66">
        <v>74</v>
      </c>
      <c r="B66" t="s">
        <v>132</v>
      </c>
      <c r="C66" t="s">
        <v>67</v>
      </c>
      <c r="D66">
        <v>1.0486549950899999</v>
      </c>
      <c r="E66" s="47" t="s">
        <v>198</v>
      </c>
    </row>
    <row r="67" spans="1:5" x14ac:dyDescent="0.25">
      <c r="A67">
        <v>75</v>
      </c>
      <c r="B67" t="s">
        <v>133</v>
      </c>
      <c r="C67" t="s">
        <v>67</v>
      </c>
      <c r="D67">
        <v>-30</v>
      </c>
      <c r="E67" s="47" t="s">
        <v>206</v>
      </c>
    </row>
    <row r="68" spans="1:5" x14ac:dyDescent="0.25">
      <c r="A68">
        <v>76</v>
      </c>
      <c r="B68" t="s">
        <v>134</v>
      </c>
      <c r="C68" t="s">
        <v>67</v>
      </c>
      <c r="D68">
        <v>0.91468797064200003</v>
      </c>
      <c r="E68" s="47" t="s">
        <v>207</v>
      </c>
    </row>
    <row r="69" spans="1:5" x14ac:dyDescent="0.25">
      <c r="A69">
        <v>77</v>
      </c>
      <c r="B69" t="s">
        <v>135</v>
      </c>
      <c r="C69" t="s">
        <v>67</v>
      </c>
      <c r="D69">
        <v>-1.1830909132</v>
      </c>
      <c r="E69" s="47" t="s">
        <v>199</v>
      </c>
    </row>
    <row r="70" spans="1:5" x14ac:dyDescent="0.25">
      <c r="A70">
        <v>78</v>
      </c>
      <c r="B70" t="s">
        <v>136</v>
      </c>
      <c r="C70" t="s">
        <v>67</v>
      </c>
      <c r="D70">
        <v>1.4576625009499999</v>
      </c>
      <c r="E70" s="47" t="s">
        <v>208</v>
      </c>
    </row>
    <row r="71" spans="1:5" x14ac:dyDescent="0.25">
      <c r="A71">
        <v>79</v>
      </c>
      <c r="B71" t="s">
        <v>137</v>
      </c>
      <c r="C71" t="s">
        <v>67</v>
      </c>
      <c r="D71">
        <v>-1.62636517084</v>
      </c>
      <c r="E71" s="47" t="s">
        <v>182</v>
      </c>
    </row>
    <row r="72" spans="1:5" x14ac:dyDescent="0.25">
      <c r="A72">
        <v>80</v>
      </c>
      <c r="B72" t="s">
        <v>138</v>
      </c>
      <c r="C72" t="s">
        <v>67</v>
      </c>
      <c r="D72">
        <v>0</v>
      </c>
      <c r="E72" s="47" t="s">
        <v>183</v>
      </c>
    </row>
    <row r="73" spans="1:5" x14ac:dyDescent="0.25">
      <c r="A73">
        <v>90</v>
      </c>
      <c r="B73" t="s">
        <v>139</v>
      </c>
      <c r="C73" t="s">
        <v>67</v>
      </c>
      <c r="D73">
        <v>0</v>
      </c>
      <c r="E73" s="47">
        <v>100</v>
      </c>
    </row>
    <row r="74" spans="1:5" x14ac:dyDescent="0.25">
      <c r="A74">
        <v>98</v>
      </c>
      <c r="B74" t="s">
        <v>140</v>
      </c>
      <c r="C74" t="s">
        <v>104</v>
      </c>
      <c r="D74">
        <v>0.196146395147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384"/>
  <sheetViews>
    <sheetView workbookViewId="0">
      <selection activeCell="L23" sqref="L23"/>
    </sheetView>
  </sheetViews>
  <sheetFormatPr defaultRowHeight="15" x14ac:dyDescent="0.25"/>
  <sheetData>
    <row r="1" spans="1:11" x14ac:dyDescent="0.25">
      <c r="A1" s="93" t="s">
        <v>246</v>
      </c>
      <c r="B1" s="94"/>
      <c r="C1" s="94"/>
      <c r="D1" s="94"/>
      <c r="E1" s="94"/>
      <c r="F1" s="94"/>
      <c r="G1" s="94"/>
      <c r="H1" s="94" t="s">
        <v>252</v>
      </c>
      <c r="I1" s="94"/>
      <c r="J1" s="94"/>
      <c r="K1" s="94"/>
    </row>
    <row r="2" spans="1:11" x14ac:dyDescent="0.25">
      <c r="A2" s="94">
        <v>1</v>
      </c>
      <c r="B2" s="94" t="s">
        <v>273</v>
      </c>
      <c r="C2" s="94"/>
      <c r="D2" s="94"/>
      <c r="E2" s="94"/>
      <c r="F2" s="94"/>
      <c r="G2" s="94"/>
      <c r="H2" s="94"/>
      <c r="I2" s="94"/>
      <c r="J2" s="94"/>
      <c r="K2" s="94"/>
    </row>
    <row r="3" spans="1:11" x14ac:dyDescent="0.25">
      <c r="A3" s="94">
        <v>2</v>
      </c>
      <c r="B3" s="94" t="s">
        <v>247</v>
      </c>
      <c r="C3" s="94"/>
      <c r="D3" s="94"/>
      <c r="E3" s="94"/>
      <c r="F3" s="94"/>
      <c r="G3" s="94"/>
      <c r="H3" s="94"/>
      <c r="I3" s="94"/>
      <c r="J3" s="94"/>
      <c r="K3" s="94"/>
    </row>
    <row r="4" spans="1:11" x14ac:dyDescent="0.25">
      <c r="A4" s="94">
        <v>3</v>
      </c>
      <c r="B4" s="94" t="s">
        <v>249</v>
      </c>
      <c r="C4" s="94"/>
      <c r="D4" s="94"/>
      <c r="E4" s="94"/>
      <c r="F4" s="94"/>
      <c r="G4" s="94"/>
      <c r="H4" s="94"/>
      <c r="I4" s="94"/>
      <c r="J4" s="94"/>
      <c r="K4" s="94"/>
    </row>
    <row r="5" spans="1:11" x14ac:dyDescent="0.25">
      <c r="A5" s="94">
        <v>4</v>
      </c>
      <c r="B5" s="94" t="s">
        <v>248</v>
      </c>
      <c r="C5" s="94"/>
      <c r="D5" s="94"/>
      <c r="E5" s="94"/>
      <c r="F5" s="94"/>
      <c r="G5" s="94"/>
      <c r="H5" s="94"/>
      <c r="I5" s="94"/>
      <c r="J5" s="94"/>
      <c r="K5" s="94"/>
    </row>
    <row r="6" spans="1:11" x14ac:dyDescent="0.25">
      <c r="A6" s="94"/>
      <c r="B6" s="94"/>
      <c r="C6" s="94"/>
      <c r="D6" s="94"/>
      <c r="E6" s="94"/>
      <c r="F6" s="94"/>
      <c r="G6" s="94"/>
      <c r="H6" s="94"/>
      <c r="I6" s="94"/>
      <c r="J6" s="94"/>
      <c r="K6" s="94"/>
    </row>
    <row r="8" spans="1:11" x14ac:dyDescent="0.25">
      <c r="A8" t="s">
        <v>238</v>
      </c>
      <c r="B8" t="s">
        <v>239</v>
      </c>
    </row>
    <row r="9" spans="1:11" x14ac:dyDescent="0.25">
      <c r="A9" t="s">
        <v>240</v>
      </c>
      <c r="B9" t="s">
        <v>241</v>
      </c>
      <c r="C9" t="s">
        <v>242</v>
      </c>
      <c r="D9" t="s">
        <v>243</v>
      </c>
      <c r="E9">
        <v>4</v>
      </c>
      <c r="F9" s="52">
        <v>0.6428935185185185</v>
      </c>
      <c r="G9" t="s">
        <v>244</v>
      </c>
      <c r="H9">
        <v>17</v>
      </c>
      <c r="I9" t="s">
        <v>274</v>
      </c>
      <c r="J9">
        <v>16</v>
      </c>
    </row>
    <row r="10" spans="1:11" x14ac:dyDescent="0.25">
      <c r="A10" t="s">
        <v>245</v>
      </c>
    </row>
    <row r="11" spans="1:11" x14ac:dyDescent="0.25">
      <c r="B11">
        <v>1</v>
      </c>
      <c r="C11" t="s">
        <v>66</v>
      </c>
      <c r="D11" t="s">
        <v>67</v>
      </c>
      <c r="E11">
        <v>1</v>
      </c>
      <c r="F11">
        <v>0</v>
      </c>
    </row>
    <row r="12" spans="1:11" x14ac:dyDescent="0.25">
      <c r="B12">
        <v>2</v>
      </c>
      <c r="C12" t="s">
        <v>68</v>
      </c>
      <c r="D12" t="s">
        <v>104</v>
      </c>
      <c r="E12">
        <v>2.14949839843</v>
      </c>
      <c r="F12" s="46">
        <v>7.7115322767800004E-2</v>
      </c>
    </row>
    <row r="13" spans="1:11" x14ac:dyDescent="0.25">
      <c r="B13">
        <v>3</v>
      </c>
      <c r="C13" t="s">
        <v>69</v>
      </c>
      <c r="D13" t="s">
        <v>104</v>
      </c>
      <c r="E13">
        <v>1.88565401973</v>
      </c>
      <c r="F13">
        <v>0.16285990155499999</v>
      </c>
    </row>
    <row r="14" spans="1:11" x14ac:dyDescent="0.25">
      <c r="B14">
        <v>4</v>
      </c>
      <c r="C14" t="s">
        <v>70</v>
      </c>
      <c r="D14" t="s">
        <v>104</v>
      </c>
      <c r="E14">
        <v>1.8034780813</v>
      </c>
      <c r="F14">
        <v>0.34068447560999998</v>
      </c>
    </row>
    <row r="15" spans="1:11" x14ac:dyDescent="0.25">
      <c r="B15">
        <v>5</v>
      </c>
      <c r="C15" t="s">
        <v>71</v>
      </c>
      <c r="D15" t="s">
        <v>67</v>
      </c>
      <c r="E15">
        <v>0</v>
      </c>
      <c r="F15">
        <v>0</v>
      </c>
    </row>
    <row r="16" spans="1:11" x14ac:dyDescent="0.25">
      <c r="B16">
        <v>6</v>
      </c>
      <c r="C16" t="s">
        <v>72</v>
      </c>
      <c r="D16" t="s">
        <v>104</v>
      </c>
      <c r="E16">
        <v>1.1024115210600001</v>
      </c>
      <c r="F16">
        <v>0.31454809644199999</v>
      </c>
    </row>
    <row r="17" spans="2:6" x14ac:dyDescent="0.25">
      <c r="B17">
        <v>7</v>
      </c>
      <c r="C17" t="s">
        <v>73</v>
      </c>
      <c r="D17" t="s">
        <v>104</v>
      </c>
      <c r="E17">
        <v>-0.11176778012499999</v>
      </c>
      <c r="F17" s="46">
        <v>9.7981681049500002E-2</v>
      </c>
    </row>
    <row r="18" spans="2:6" x14ac:dyDescent="0.25">
      <c r="B18">
        <v>8</v>
      </c>
      <c r="C18" t="s">
        <v>74</v>
      </c>
      <c r="D18" t="s">
        <v>104</v>
      </c>
      <c r="E18">
        <v>-0.16334177843100001</v>
      </c>
      <c r="F18" s="46">
        <v>3.9552209665100001E-2</v>
      </c>
    </row>
    <row r="19" spans="2:6" x14ac:dyDescent="0.25">
      <c r="B19">
        <v>9</v>
      </c>
      <c r="C19" t="s">
        <v>75</v>
      </c>
      <c r="D19" t="s">
        <v>104</v>
      </c>
      <c r="E19">
        <v>-1.5661461968899999</v>
      </c>
      <c r="F19">
        <v>0.23693505920999999</v>
      </c>
    </row>
    <row r="20" spans="2:6" x14ac:dyDescent="0.25">
      <c r="B20">
        <v>10</v>
      </c>
      <c r="C20" t="s">
        <v>76</v>
      </c>
      <c r="D20" t="s">
        <v>104</v>
      </c>
      <c r="E20">
        <v>-0.66779675448800002</v>
      </c>
      <c r="F20">
        <v>0.48175390663399997</v>
      </c>
    </row>
    <row r="21" spans="2:6" x14ac:dyDescent="0.25">
      <c r="B21">
        <v>11</v>
      </c>
      <c r="C21" t="s">
        <v>77</v>
      </c>
      <c r="D21" t="s">
        <v>104</v>
      </c>
      <c r="E21">
        <v>1.5169080773200001</v>
      </c>
      <c r="F21">
        <v>0.35499934743799999</v>
      </c>
    </row>
    <row r="22" spans="2:6" x14ac:dyDescent="0.25">
      <c r="B22">
        <v>12</v>
      </c>
      <c r="C22" t="s">
        <v>78</v>
      </c>
      <c r="D22" t="s">
        <v>104</v>
      </c>
      <c r="E22" s="46">
        <v>9.6281119029700005E-2</v>
      </c>
      <c r="F22">
        <v>0.102005886659</v>
      </c>
    </row>
    <row r="23" spans="2:6" x14ac:dyDescent="0.25">
      <c r="B23">
        <v>13</v>
      </c>
      <c r="C23" t="s">
        <v>79</v>
      </c>
      <c r="D23" t="s">
        <v>104</v>
      </c>
      <c r="E23" s="46">
        <v>8.7280108952199995E-2</v>
      </c>
      <c r="F23">
        <v>0.10421138110600001</v>
      </c>
    </row>
    <row r="24" spans="2:6" x14ac:dyDescent="0.25">
      <c r="B24">
        <v>14</v>
      </c>
      <c r="C24" t="s">
        <v>80</v>
      </c>
      <c r="D24" t="s">
        <v>104</v>
      </c>
      <c r="E24">
        <v>-0.65321648326299997</v>
      </c>
      <c r="F24" s="46">
        <v>7.7963941319299998E-2</v>
      </c>
    </row>
    <row r="25" spans="2:6" x14ac:dyDescent="0.25">
      <c r="B25">
        <v>15</v>
      </c>
      <c r="C25" t="s">
        <v>81</v>
      </c>
      <c r="D25" t="s">
        <v>104</v>
      </c>
      <c r="E25">
        <v>-2.0836558474400002</v>
      </c>
      <c r="F25">
        <v>0.37863759926899998</v>
      </c>
    </row>
    <row r="26" spans="2:6" x14ac:dyDescent="0.25">
      <c r="B26">
        <v>16</v>
      </c>
      <c r="C26" t="s">
        <v>82</v>
      </c>
      <c r="D26" t="s">
        <v>104</v>
      </c>
      <c r="E26">
        <v>0.12841955786000001</v>
      </c>
      <c r="F26" s="46">
        <v>2.1456890215E-2</v>
      </c>
    </row>
    <row r="27" spans="2:6" x14ac:dyDescent="0.25">
      <c r="B27">
        <v>17</v>
      </c>
      <c r="C27" t="s">
        <v>83</v>
      </c>
      <c r="D27" t="s">
        <v>104</v>
      </c>
      <c r="E27" s="46">
        <v>5.0032634056299999E-2</v>
      </c>
      <c r="F27" s="46">
        <v>4.2615204630999999E-2</v>
      </c>
    </row>
    <row r="28" spans="2:6" x14ac:dyDescent="0.25">
      <c r="B28">
        <v>18</v>
      </c>
      <c r="C28" t="s">
        <v>84</v>
      </c>
      <c r="D28" t="s">
        <v>104</v>
      </c>
      <c r="E28" s="46">
        <v>3.4162126485399999E-2</v>
      </c>
      <c r="F28" s="46">
        <v>9.9959041173699997E-2</v>
      </c>
    </row>
    <row r="29" spans="2:6" x14ac:dyDescent="0.25">
      <c r="B29">
        <v>19</v>
      </c>
      <c r="C29" t="s">
        <v>85</v>
      </c>
      <c r="D29" t="s">
        <v>104</v>
      </c>
      <c r="E29" s="46">
        <v>2.06192780063E-2</v>
      </c>
      <c r="F29" s="46">
        <v>9.8092327791799994E-3</v>
      </c>
    </row>
    <row r="30" spans="2:6" x14ac:dyDescent="0.25">
      <c r="B30">
        <v>20</v>
      </c>
      <c r="C30" t="s">
        <v>86</v>
      </c>
      <c r="D30" t="s">
        <v>104</v>
      </c>
      <c r="E30">
        <v>0.70980117649899999</v>
      </c>
      <c r="F30">
        <v>0.176757252532</v>
      </c>
    </row>
    <row r="31" spans="2:6" x14ac:dyDescent="0.25">
      <c r="B31">
        <v>21</v>
      </c>
      <c r="C31" t="s">
        <v>87</v>
      </c>
      <c r="D31" t="s">
        <v>104</v>
      </c>
      <c r="E31">
        <v>-0.21233099600700001</v>
      </c>
      <c r="F31" s="46">
        <v>1.9353983747500001E-2</v>
      </c>
    </row>
    <row r="32" spans="2:6" x14ac:dyDescent="0.25">
      <c r="B32">
        <v>22</v>
      </c>
      <c r="C32" t="s">
        <v>88</v>
      </c>
      <c r="D32" t="s">
        <v>104</v>
      </c>
      <c r="E32">
        <v>-0.100909331694</v>
      </c>
      <c r="F32" s="46">
        <v>1.1473315894699999E-2</v>
      </c>
    </row>
    <row r="33" spans="2:6" x14ac:dyDescent="0.25">
      <c r="B33">
        <v>23</v>
      </c>
      <c r="C33" t="s">
        <v>89</v>
      </c>
      <c r="D33" t="s">
        <v>104</v>
      </c>
      <c r="E33" s="46">
        <v>4.2307356465000001E-2</v>
      </c>
      <c r="F33" s="46">
        <v>1.5185014739E-2</v>
      </c>
    </row>
    <row r="34" spans="2:6" x14ac:dyDescent="0.25">
      <c r="B34">
        <v>24</v>
      </c>
      <c r="C34" t="s">
        <v>90</v>
      </c>
      <c r="D34" t="s">
        <v>104</v>
      </c>
      <c r="E34" s="46">
        <v>3.0386300234600001E-2</v>
      </c>
      <c r="F34" s="46">
        <v>8.9883518361399996E-3</v>
      </c>
    </row>
    <row r="35" spans="2:6" x14ac:dyDescent="0.25">
      <c r="B35">
        <v>25</v>
      </c>
      <c r="C35" t="s">
        <v>91</v>
      </c>
      <c r="D35" t="s">
        <v>104</v>
      </c>
      <c r="E35">
        <v>0.21754461703899999</v>
      </c>
      <c r="F35" s="46">
        <v>1.6650153237899999E-2</v>
      </c>
    </row>
    <row r="36" spans="2:6" x14ac:dyDescent="0.25">
      <c r="B36">
        <v>26</v>
      </c>
      <c r="C36" t="s">
        <v>92</v>
      </c>
      <c r="D36" t="s">
        <v>67</v>
      </c>
      <c r="E36" s="46">
        <v>0</v>
      </c>
      <c r="F36">
        <v>0</v>
      </c>
    </row>
    <row r="37" spans="2:6" x14ac:dyDescent="0.25">
      <c r="B37">
        <v>27</v>
      </c>
      <c r="C37" t="s">
        <v>93</v>
      </c>
      <c r="D37" t="s">
        <v>104</v>
      </c>
      <c r="E37" s="46">
        <v>-9.1127176217099995E-2</v>
      </c>
      <c r="F37" s="46">
        <v>9.7375126102199998E-3</v>
      </c>
    </row>
    <row r="38" spans="2:6" x14ac:dyDescent="0.25">
      <c r="B38">
        <v>28</v>
      </c>
      <c r="C38" t="s">
        <v>94</v>
      </c>
      <c r="D38" t="s">
        <v>104</v>
      </c>
      <c r="E38" s="46">
        <v>4.6096337213499997E-2</v>
      </c>
      <c r="F38" s="46">
        <v>1.25146167715E-2</v>
      </c>
    </row>
    <row r="39" spans="2:6" x14ac:dyDescent="0.25">
      <c r="B39">
        <v>29</v>
      </c>
      <c r="C39" t="s">
        <v>95</v>
      </c>
      <c r="D39" t="s">
        <v>67</v>
      </c>
      <c r="E39" s="46">
        <v>0</v>
      </c>
      <c r="F39">
        <v>0</v>
      </c>
    </row>
    <row r="40" spans="2:6" x14ac:dyDescent="0.25">
      <c r="B40">
        <v>30</v>
      </c>
      <c r="C40" t="s">
        <v>96</v>
      </c>
      <c r="D40" t="s">
        <v>104</v>
      </c>
      <c r="E40" s="46">
        <v>-6.3121901013000001E-3</v>
      </c>
      <c r="F40" s="46">
        <v>1.3433361568100001E-2</v>
      </c>
    </row>
    <row r="41" spans="2:6" x14ac:dyDescent="0.25">
      <c r="B41">
        <v>31</v>
      </c>
      <c r="C41" t="s">
        <v>97</v>
      </c>
      <c r="D41" t="s">
        <v>104</v>
      </c>
      <c r="E41">
        <v>-0.13401376001099999</v>
      </c>
      <c r="F41" s="46">
        <v>3.2805316376899998E-2</v>
      </c>
    </row>
    <row r="42" spans="2:6" x14ac:dyDescent="0.25">
      <c r="B42">
        <v>32</v>
      </c>
      <c r="C42" t="s">
        <v>98</v>
      </c>
      <c r="D42" t="s">
        <v>104</v>
      </c>
      <c r="E42">
        <v>0.15253604736900001</v>
      </c>
      <c r="F42" s="46">
        <v>7.5511377294200002E-2</v>
      </c>
    </row>
    <row r="43" spans="2:6" x14ac:dyDescent="0.25">
      <c r="B43">
        <v>33</v>
      </c>
      <c r="C43" t="s">
        <v>99</v>
      </c>
      <c r="D43" t="s">
        <v>104</v>
      </c>
      <c r="E43">
        <v>-0.25509812605400001</v>
      </c>
      <c r="F43" s="46">
        <v>6.5826297234800005E-2</v>
      </c>
    </row>
    <row r="44" spans="2:6" x14ac:dyDescent="0.25">
      <c r="B44">
        <v>34</v>
      </c>
      <c r="C44" t="s">
        <v>100</v>
      </c>
      <c r="D44" t="s">
        <v>104</v>
      </c>
      <c r="E44">
        <v>0.16041234343999999</v>
      </c>
      <c r="F44" s="46">
        <v>1.9770755277699999E-2</v>
      </c>
    </row>
    <row r="45" spans="2:6" x14ac:dyDescent="0.25">
      <c r="B45">
        <v>35</v>
      </c>
      <c r="C45" t="s">
        <v>101</v>
      </c>
      <c r="D45" t="s">
        <v>104</v>
      </c>
      <c r="E45">
        <v>0.15648588405700001</v>
      </c>
      <c r="F45">
        <v>0.115082009539</v>
      </c>
    </row>
    <row r="46" spans="2:6" x14ac:dyDescent="0.25">
      <c r="B46">
        <v>36</v>
      </c>
      <c r="C46" t="s">
        <v>102</v>
      </c>
      <c r="D46" t="s">
        <v>104</v>
      </c>
      <c r="E46">
        <v>-0.21178599557</v>
      </c>
      <c r="F46">
        <v>0.18110958745799999</v>
      </c>
    </row>
    <row r="47" spans="2:6" x14ac:dyDescent="0.25">
      <c r="B47">
        <v>41</v>
      </c>
      <c r="C47" t="s">
        <v>103</v>
      </c>
      <c r="D47" t="s">
        <v>67</v>
      </c>
      <c r="E47">
        <v>2.5</v>
      </c>
      <c r="F47">
        <v>0</v>
      </c>
    </row>
    <row r="48" spans="2:6" x14ac:dyDescent="0.25">
      <c r="B48">
        <v>42</v>
      </c>
      <c r="C48" t="s">
        <v>105</v>
      </c>
      <c r="D48" t="s">
        <v>104</v>
      </c>
      <c r="E48">
        <v>1.73714658904</v>
      </c>
      <c r="F48">
        <v>1.33079998673</v>
      </c>
    </row>
    <row r="49" spans="2:6" x14ac:dyDescent="0.25">
      <c r="B49">
        <v>43</v>
      </c>
      <c r="C49" t="s">
        <v>106</v>
      </c>
      <c r="D49" t="s">
        <v>104</v>
      </c>
      <c r="E49">
        <v>2.4212998718800001</v>
      </c>
      <c r="F49">
        <v>2.1916922222199999</v>
      </c>
    </row>
    <row r="50" spans="2:6" x14ac:dyDescent="0.25">
      <c r="B50">
        <v>44</v>
      </c>
      <c r="C50" t="s">
        <v>107</v>
      </c>
      <c r="D50" t="s">
        <v>104</v>
      </c>
      <c r="E50">
        <v>-0.66840803487400002</v>
      </c>
      <c r="F50">
        <v>1.2346475111999999</v>
      </c>
    </row>
    <row r="51" spans="2:6" x14ac:dyDescent="0.25">
      <c r="B51">
        <v>46</v>
      </c>
      <c r="C51" t="s">
        <v>275</v>
      </c>
      <c r="D51" t="s">
        <v>67</v>
      </c>
      <c r="E51">
        <v>0</v>
      </c>
      <c r="F51">
        <v>0</v>
      </c>
    </row>
    <row r="52" spans="2:6" x14ac:dyDescent="0.25">
      <c r="B52">
        <v>47</v>
      </c>
      <c r="C52" t="s">
        <v>276</v>
      </c>
      <c r="D52" t="s">
        <v>67</v>
      </c>
      <c r="E52">
        <v>0</v>
      </c>
      <c r="F52">
        <v>0</v>
      </c>
    </row>
    <row r="53" spans="2:6" x14ac:dyDescent="0.25">
      <c r="B53">
        <v>48</v>
      </c>
      <c r="C53" t="s">
        <v>277</v>
      </c>
      <c r="D53" t="s">
        <v>67</v>
      </c>
      <c r="E53">
        <v>0</v>
      </c>
      <c r="F53">
        <v>0</v>
      </c>
    </row>
    <row r="54" spans="2:6" x14ac:dyDescent="0.25">
      <c r="B54">
        <v>49</v>
      </c>
      <c r="C54" t="s">
        <v>278</v>
      </c>
      <c r="D54" t="s">
        <v>104</v>
      </c>
      <c r="E54">
        <v>-4</v>
      </c>
      <c r="F54">
        <v>0.25201715741500003</v>
      </c>
    </row>
    <row r="55" spans="2:6" x14ac:dyDescent="0.25">
      <c r="B55">
        <v>50</v>
      </c>
      <c r="C55" t="s">
        <v>108</v>
      </c>
      <c r="D55" t="s">
        <v>67</v>
      </c>
      <c r="E55">
        <v>0.75</v>
      </c>
      <c r="F55">
        <v>0</v>
      </c>
    </row>
    <row r="56" spans="2:6" x14ac:dyDescent="0.25">
      <c r="B56">
        <v>51</v>
      </c>
      <c r="C56" t="s">
        <v>109</v>
      </c>
      <c r="D56" t="s">
        <v>104</v>
      </c>
      <c r="E56">
        <v>-0.49700583154299999</v>
      </c>
      <c r="F56">
        <v>0.149930588088</v>
      </c>
    </row>
    <row r="57" spans="2:6" x14ac:dyDescent="0.25">
      <c r="B57">
        <v>52</v>
      </c>
      <c r="C57" t="s">
        <v>110</v>
      </c>
      <c r="D57" t="s">
        <v>67</v>
      </c>
      <c r="E57">
        <v>0</v>
      </c>
      <c r="F57">
        <v>0</v>
      </c>
    </row>
    <row r="58" spans="2:6" x14ac:dyDescent="0.25">
      <c r="B58">
        <v>53</v>
      </c>
      <c r="C58" t="s">
        <v>111</v>
      </c>
      <c r="D58" t="s">
        <v>104</v>
      </c>
      <c r="E58">
        <v>-0.605690877287</v>
      </c>
      <c r="F58">
        <v>0.14841142226599999</v>
      </c>
    </row>
    <row r="59" spans="2:6" x14ac:dyDescent="0.25">
      <c r="B59">
        <v>54</v>
      </c>
      <c r="C59" t="s">
        <v>112</v>
      </c>
      <c r="D59" t="s">
        <v>67</v>
      </c>
      <c r="E59">
        <v>-30</v>
      </c>
      <c r="F59">
        <v>0</v>
      </c>
    </row>
    <row r="60" spans="2:6" x14ac:dyDescent="0.25">
      <c r="B60">
        <v>55</v>
      </c>
      <c r="C60" t="s">
        <v>113</v>
      </c>
      <c r="D60" t="s">
        <v>104</v>
      </c>
      <c r="E60">
        <v>-0.51316052694199998</v>
      </c>
      <c r="F60">
        <v>0.15278538077000001</v>
      </c>
    </row>
    <row r="61" spans="2:6" x14ac:dyDescent="0.25">
      <c r="B61">
        <v>56</v>
      </c>
      <c r="C61" t="s">
        <v>114</v>
      </c>
      <c r="D61" t="s">
        <v>104</v>
      </c>
      <c r="E61">
        <v>-0.64943027957999999</v>
      </c>
      <c r="F61">
        <v>0.14822211886799999</v>
      </c>
    </row>
    <row r="62" spans="2:6" x14ac:dyDescent="0.25">
      <c r="B62">
        <v>57</v>
      </c>
      <c r="C62" t="s">
        <v>115</v>
      </c>
      <c r="D62" t="s">
        <v>104</v>
      </c>
      <c r="E62">
        <v>-0.29326002292699999</v>
      </c>
      <c r="F62">
        <v>0.142056333733</v>
      </c>
    </row>
    <row r="63" spans="2:6" x14ac:dyDescent="0.25">
      <c r="B63">
        <v>58</v>
      </c>
      <c r="C63" t="s">
        <v>116</v>
      </c>
      <c r="D63" t="s">
        <v>104</v>
      </c>
      <c r="E63">
        <v>-1.5090651052799999</v>
      </c>
      <c r="F63">
        <v>0.21079562856799999</v>
      </c>
    </row>
    <row r="64" spans="2:6" x14ac:dyDescent="0.25">
      <c r="B64">
        <v>59</v>
      </c>
      <c r="C64" t="s">
        <v>117</v>
      </c>
      <c r="D64" t="s">
        <v>104</v>
      </c>
      <c r="E64">
        <v>-1.36938286579</v>
      </c>
      <c r="F64">
        <v>0.25936269265400003</v>
      </c>
    </row>
    <row r="65" spans="2:6" x14ac:dyDescent="0.25">
      <c r="B65">
        <v>60</v>
      </c>
      <c r="C65" t="s">
        <v>118</v>
      </c>
      <c r="D65" t="s">
        <v>104</v>
      </c>
      <c r="E65">
        <v>-0.93751237680199995</v>
      </c>
      <c r="F65">
        <v>0.57435805220699998</v>
      </c>
    </row>
    <row r="66" spans="2:6" x14ac:dyDescent="0.25">
      <c r="B66">
        <v>61</v>
      </c>
      <c r="C66" t="s">
        <v>119</v>
      </c>
      <c r="D66" t="s">
        <v>104</v>
      </c>
      <c r="E66">
        <v>-0.92340114333900003</v>
      </c>
      <c r="F66">
        <v>0.19044677629599999</v>
      </c>
    </row>
    <row r="67" spans="2:6" x14ac:dyDescent="0.25">
      <c r="B67">
        <v>62</v>
      </c>
      <c r="C67" t="s">
        <v>120</v>
      </c>
      <c r="D67" t="s">
        <v>67</v>
      </c>
      <c r="E67">
        <v>-30</v>
      </c>
      <c r="F67">
        <v>0</v>
      </c>
    </row>
    <row r="68" spans="2:6" x14ac:dyDescent="0.25">
      <c r="B68">
        <v>63</v>
      </c>
      <c r="C68" t="s">
        <v>121</v>
      </c>
      <c r="D68" t="s">
        <v>67</v>
      </c>
      <c r="E68">
        <v>-3</v>
      </c>
      <c r="F68">
        <v>0</v>
      </c>
    </row>
    <row r="69" spans="2:6" x14ac:dyDescent="0.25">
      <c r="B69">
        <v>64</v>
      </c>
      <c r="C69" t="s">
        <v>122</v>
      </c>
      <c r="D69" t="s">
        <v>104</v>
      </c>
      <c r="E69">
        <v>-2.1492277890199998</v>
      </c>
      <c r="F69">
        <v>2.85231408871</v>
      </c>
    </row>
    <row r="70" spans="2:6" x14ac:dyDescent="0.25">
      <c r="B70">
        <v>65</v>
      </c>
      <c r="C70" t="s">
        <v>123</v>
      </c>
      <c r="D70" t="s">
        <v>67</v>
      </c>
      <c r="E70">
        <v>-19.9689285352</v>
      </c>
      <c r="F70">
        <v>0</v>
      </c>
    </row>
    <row r="71" spans="2:6" x14ac:dyDescent="0.25">
      <c r="B71">
        <v>66</v>
      </c>
      <c r="C71" t="s">
        <v>124</v>
      </c>
      <c r="D71" t="s">
        <v>104</v>
      </c>
      <c r="E71">
        <v>-0.46116498409599999</v>
      </c>
      <c r="F71">
        <v>0.27821786892</v>
      </c>
    </row>
    <row r="72" spans="2:6" x14ac:dyDescent="0.25">
      <c r="B72">
        <v>67</v>
      </c>
      <c r="C72" t="s">
        <v>125</v>
      </c>
      <c r="D72" t="s">
        <v>104</v>
      </c>
      <c r="E72">
        <v>-0.79765455241399996</v>
      </c>
      <c r="F72">
        <v>0.39838437241199998</v>
      </c>
    </row>
    <row r="73" spans="2:6" x14ac:dyDescent="0.25">
      <c r="B73">
        <v>68</v>
      </c>
      <c r="C73" t="s">
        <v>126</v>
      </c>
      <c r="D73" t="s">
        <v>67</v>
      </c>
      <c r="E73">
        <v>-14.701499999999999</v>
      </c>
      <c r="F73">
        <v>0</v>
      </c>
    </row>
    <row r="74" spans="2:6" x14ac:dyDescent="0.25">
      <c r="B74">
        <v>69</v>
      </c>
      <c r="C74" t="s">
        <v>127</v>
      </c>
      <c r="D74" t="s">
        <v>104</v>
      </c>
      <c r="E74">
        <v>-1.5107843774800001</v>
      </c>
      <c r="F74">
        <v>0.55745234123999998</v>
      </c>
    </row>
    <row r="75" spans="2:6" x14ac:dyDescent="0.25">
      <c r="B75">
        <v>70</v>
      </c>
      <c r="C75" t="s">
        <v>128</v>
      </c>
      <c r="D75" t="s">
        <v>104</v>
      </c>
      <c r="E75">
        <v>-0.96563188399400002</v>
      </c>
      <c r="F75">
        <v>0.57343842027500003</v>
      </c>
    </row>
    <row r="76" spans="2:6" x14ac:dyDescent="0.25">
      <c r="B76">
        <v>71</v>
      </c>
      <c r="C76" t="s">
        <v>129</v>
      </c>
      <c r="D76" t="s">
        <v>104</v>
      </c>
      <c r="E76">
        <v>-26.857069753499999</v>
      </c>
      <c r="F76">
        <v>498365.11683299998</v>
      </c>
    </row>
    <row r="77" spans="2:6" x14ac:dyDescent="0.25">
      <c r="B77">
        <v>72</v>
      </c>
      <c r="C77" t="s">
        <v>130</v>
      </c>
      <c r="D77" t="s">
        <v>104</v>
      </c>
      <c r="E77">
        <v>-2.0562930258900001</v>
      </c>
      <c r="F77">
        <v>0.95427509505599994</v>
      </c>
    </row>
    <row r="78" spans="2:6" x14ac:dyDescent="0.25">
      <c r="B78">
        <v>73</v>
      </c>
      <c r="C78" t="s">
        <v>131</v>
      </c>
      <c r="D78" t="s">
        <v>104</v>
      </c>
      <c r="E78">
        <v>-0.61032158496099997</v>
      </c>
      <c r="F78">
        <v>0.25296368500799998</v>
      </c>
    </row>
    <row r="79" spans="2:6" x14ac:dyDescent="0.25">
      <c r="B79">
        <v>74</v>
      </c>
      <c r="C79" t="s">
        <v>132</v>
      </c>
      <c r="D79" t="s">
        <v>104</v>
      </c>
      <c r="E79">
        <v>-0.83667988805899995</v>
      </c>
      <c r="F79">
        <v>0.61650878029400003</v>
      </c>
    </row>
    <row r="80" spans="2:6" x14ac:dyDescent="0.25">
      <c r="B80">
        <v>75</v>
      </c>
      <c r="C80" t="s">
        <v>133</v>
      </c>
      <c r="D80" t="s">
        <v>67</v>
      </c>
      <c r="E80">
        <v>-4.8688475256299997</v>
      </c>
      <c r="F80">
        <v>0</v>
      </c>
    </row>
    <row r="81" spans="2:11" x14ac:dyDescent="0.25">
      <c r="B81">
        <v>76</v>
      </c>
      <c r="C81" t="s">
        <v>134</v>
      </c>
      <c r="D81" t="s">
        <v>104</v>
      </c>
      <c r="E81">
        <v>-0.88437463824600004</v>
      </c>
      <c r="F81">
        <v>0.57061666079700002</v>
      </c>
    </row>
    <row r="82" spans="2:11" x14ac:dyDescent="0.25">
      <c r="B82">
        <v>77</v>
      </c>
      <c r="C82" t="s">
        <v>135</v>
      </c>
      <c r="D82" t="s">
        <v>67</v>
      </c>
      <c r="E82">
        <v>-11.698399999999999</v>
      </c>
      <c r="F82" s="46">
        <v>0</v>
      </c>
    </row>
    <row r="83" spans="2:11" x14ac:dyDescent="0.25">
      <c r="B83">
        <v>78</v>
      </c>
      <c r="C83" t="s">
        <v>136</v>
      </c>
      <c r="D83" t="s">
        <v>104</v>
      </c>
      <c r="E83">
        <v>-30.3398858485</v>
      </c>
      <c r="F83" s="46">
        <v>2677474.7792199999</v>
      </c>
    </row>
    <row r="84" spans="2:11" x14ac:dyDescent="0.25">
      <c r="B84">
        <v>79</v>
      </c>
      <c r="C84" s="46" t="s">
        <v>137</v>
      </c>
      <c r="D84" s="46" t="s">
        <v>104</v>
      </c>
      <c r="E84" s="46">
        <v>1.40262934456</v>
      </c>
      <c r="F84">
        <v>0.81693056553200005</v>
      </c>
    </row>
    <row r="85" spans="2:11" x14ac:dyDescent="0.25">
      <c r="B85">
        <v>80</v>
      </c>
      <c r="C85" s="46" t="s">
        <v>138</v>
      </c>
      <c r="D85" s="46" t="s">
        <v>67</v>
      </c>
      <c r="E85" s="46">
        <v>0</v>
      </c>
      <c r="F85">
        <v>0</v>
      </c>
    </row>
    <row r="86" spans="2:11" x14ac:dyDescent="0.25">
      <c r="B86">
        <v>89</v>
      </c>
      <c r="C86" t="s">
        <v>279</v>
      </c>
      <c r="D86" t="s">
        <v>67</v>
      </c>
      <c r="E86">
        <v>0</v>
      </c>
      <c r="F86">
        <v>0</v>
      </c>
    </row>
    <row r="87" spans="2:11" x14ac:dyDescent="0.25">
      <c r="B87">
        <v>90</v>
      </c>
      <c r="C87" t="s">
        <v>139</v>
      </c>
      <c r="D87" t="s">
        <v>67</v>
      </c>
      <c r="E87">
        <v>-80</v>
      </c>
      <c r="F87">
        <v>0</v>
      </c>
    </row>
    <row r="88" spans="2:11" x14ac:dyDescent="0.25">
      <c r="B88">
        <v>98</v>
      </c>
      <c r="C88" t="s">
        <v>140</v>
      </c>
      <c r="D88" t="s">
        <v>104</v>
      </c>
      <c r="E88">
        <v>0.247098934499</v>
      </c>
      <c r="F88" s="46">
        <v>1.1983457610600001E-2</v>
      </c>
    </row>
    <row r="89" spans="2:11" x14ac:dyDescent="0.25">
      <c r="B89">
        <v>-1</v>
      </c>
    </row>
    <row r="90" spans="2:11" x14ac:dyDescent="0.25">
      <c r="B90">
        <v>6113</v>
      </c>
      <c r="C90" s="46">
        <v>-5476.7195856300004</v>
      </c>
      <c r="D90" s="46">
        <v>-20880.426957600001</v>
      </c>
      <c r="E90" s="46">
        <v>-18524.231565999999</v>
      </c>
    </row>
    <row r="91" spans="2:11" x14ac:dyDescent="0.25">
      <c r="B91">
        <v>3</v>
      </c>
      <c r="C91" t="s">
        <v>280</v>
      </c>
      <c r="D91" t="s">
        <v>244</v>
      </c>
      <c r="E91">
        <v>17</v>
      </c>
      <c r="F91" t="s">
        <v>274</v>
      </c>
      <c r="G91">
        <v>16</v>
      </c>
    </row>
    <row r="92" spans="2:11" x14ac:dyDescent="0.25">
      <c r="B92">
        <v>0</v>
      </c>
      <c r="C92">
        <v>0</v>
      </c>
      <c r="D92">
        <v>1895</v>
      </c>
      <c r="E92">
        <v>0</v>
      </c>
      <c r="F92">
        <v>987</v>
      </c>
      <c r="G92">
        <v>969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65537</v>
      </c>
      <c r="D93">
        <v>1356</v>
      </c>
      <c r="E93">
        <v>683</v>
      </c>
      <c r="F93">
        <v>0</v>
      </c>
      <c r="G93">
        <v>0</v>
      </c>
      <c r="H93">
        <v>38924</v>
      </c>
      <c r="I93">
        <v>1750</v>
      </c>
      <c r="J93">
        <v>576</v>
      </c>
      <c r="K93">
        <v>0</v>
      </c>
    </row>
    <row r="94" spans="2:11" x14ac:dyDescent="0.25">
      <c r="B94">
        <v>-4790</v>
      </c>
      <c r="C94">
        <v>0</v>
      </c>
      <c r="D94">
        <v>72362</v>
      </c>
      <c r="E94">
        <v>2471</v>
      </c>
      <c r="F94">
        <v>922</v>
      </c>
      <c r="G94">
        <v>0</v>
      </c>
      <c r="H94">
        <v>55152</v>
      </c>
      <c r="I94">
        <v>14173</v>
      </c>
      <c r="J94">
        <v>0</v>
      </c>
      <c r="K94">
        <v>2637</v>
      </c>
    </row>
    <row r="95" spans="2:11" x14ac:dyDescent="0.25">
      <c r="B95">
        <v>85395</v>
      </c>
      <c r="C95">
        <v>906</v>
      </c>
      <c r="D95">
        <v>0</v>
      </c>
      <c r="E95">
        <v>4669</v>
      </c>
      <c r="F95">
        <v>10810</v>
      </c>
      <c r="G95">
        <v>9905</v>
      </c>
      <c r="H95">
        <v>0</v>
      </c>
      <c r="I95">
        <v>1032</v>
      </c>
      <c r="J95">
        <v>941</v>
      </c>
      <c r="K95">
        <v>87999</v>
      </c>
    </row>
    <row r="96" spans="2:11" x14ac:dyDescent="0.25">
      <c r="B96">
        <v>0</v>
      </c>
      <c r="C96">
        <v>1782</v>
      </c>
      <c r="D96">
        <v>3971</v>
      </c>
      <c r="E96">
        <v>3918</v>
      </c>
      <c r="F96">
        <v>3363</v>
      </c>
      <c r="G96">
        <v>0</v>
      </c>
      <c r="H96">
        <v>5537</v>
      </c>
      <c r="I96">
        <v>9476</v>
      </c>
      <c r="J96">
        <v>5235</v>
      </c>
      <c r="K96">
        <v>0</v>
      </c>
    </row>
    <row r="97" spans="2:11" x14ac:dyDescent="0.25">
      <c r="B97">
        <v>1474</v>
      </c>
      <c r="C97">
        <v>-1793</v>
      </c>
      <c r="D97">
        <v>1506</v>
      </c>
      <c r="E97">
        <v>1525</v>
      </c>
      <c r="F97">
        <v>1612</v>
      </c>
      <c r="G97">
        <v>0</v>
      </c>
      <c r="H97">
        <v>2238</v>
      </c>
      <c r="I97">
        <v>-504</v>
      </c>
      <c r="J97">
        <v>-229</v>
      </c>
      <c r="K97">
        <v>0</v>
      </c>
    </row>
    <row r="98" spans="2:11" x14ac:dyDescent="0.25">
      <c r="B98">
        <v>-3487</v>
      </c>
      <c r="C98">
        <v>-13459</v>
      </c>
      <c r="D98">
        <v>-14671</v>
      </c>
      <c r="E98">
        <v>-8701</v>
      </c>
      <c r="F98">
        <v>-4571</v>
      </c>
      <c r="G98">
        <v>6311</v>
      </c>
      <c r="H98">
        <v>0</v>
      </c>
      <c r="I98">
        <v>-310</v>
      </c>
      <c r="J98">
        <v>-1531</v>
      </c>
      <c r="K98">
        <v>581</v>
      </c>
    </row>
    <row r="99" spans="2:11" x14ac:dyDescent="0.25">
      <c r="B99">
        <v>0</v>
      </c>
      <c r="C99">
        <v>-5198</v>
      </c>
      <c r="D99">
        <v>-14002</v>
      </c>
      <c r="E99">
        <v>-19352</v>
      </c>
      <c r="F99">
        <v>-10406</v>
      </c>
      <c r="G99">
        <v>-5639</v>
      </c>
      <c r="H99">
        <v>5854</v>
      </c>
      <c r="I99">
        <v>21373</v>
      </c>
      <c r="J99">
        <v>0</v>
      </c>
      <c r="K99">
        <v>-7671</v>
      </c>
    </row>
    <row r="100" spans="2:11" x14ac:dyDescent="0.25">
      <c r="B100">
        <v>-4398</v>
      </c>
      <c r="C100">
        <v>-1627</v>
      </c>
      <c r="D100">
        <v>0</v>
      </c>
      <c r="E100">
        <v>-13335</v>
      </c>
      <c r="F100">
        <v>-32051</v>
      </c>
      <c r="G100">
        <v>-24823</v>
      </c>
      <c r="H100">
        <v>-26075</v>
      </c>
      <c r="I100">
        <v>-8345</v>
      </c>
      <c r="J100">
        <v>-132</v>
      </c>
      <c r="K100">
        <v>-4609</v>
      </c>
    </row>
    <row r="101" spans="2:11" x14ac:dyDescent="0.25">
      <c r="B101">
        <v>1254</v>
      </c>
      <c r="C101">
        <v>0</v>
      </c>
      <c r="D101">
        <v>-114</v>
      </c>
      <c r="E101">
        <v>-4</v>
      </c>
      <c r="F101">
        <v>5710</v>
      </c>
      <c r="G101">
        <v>0</v>
      </c>
      <c r="H101">
        <v>62</v>
      </c>
      <c r="I101">
        <v>321</v>
      </c>
      <c r="J101">
        <v>159</v>
      </c>
      <c r="K101">
        <v>279</v>
      </c>
    </row>
    <row r="102" spans="2:11" x14ac:dyDescent="0.25">
      <c r="B102">
        <v>-3259</v>
      </c>
      <c r="C102">
        <v>-1266</v>
      </c>
      <c r="D102">
        <v>-1934</v>
      </c>
      <c r="E102">
        <v>260</v>
      </c>
      <c r="F102">
        <v>-61</v>
      </c>
      <c r="G102">
        <v>0</v>
      </c>
      <c r="H102">
        <v>11792</v>
      </c>
      <c r="I102">
        <v>2654</v>
      </c>
      <c r="J102">
        <v>694</v>
      </c>
      <c r="K102">
        <v>0</v>
      </c>
    </row>
    <row r="103" spans="2:11" x14ac:dyDescent="0.25">
      <c r="B103">
        <v>7713</v>
      </c>
      <c r="C103">
        <v>8478</v>
      </c>
      <c r="D103">
        <v>7229</v>
      </c>
      <c r="E103">
        <v>1628</v>
      </c>
      <c r="F103">
        <v>895</v>
      </c>
      <c r="G103">
        <v>2509</v>
      </c>
      <c r="H103">
        <v>1288</v>
      </c>
      <c r="I103">
        <v>-1250</v>
      </c>
      <c r="J103">
        <v>-1789</v>
      </c>
      <c r="K103">
        <v>269</v>
      </c>
    </row>
    <row r="104" spans="2:11" x14ac:dyDescent="0.25">
      <c r="B104">
        <v>0</v>
      </c>
      <c r="C104">
        <v>1939</v>
      </c>
      <c r="D104">
        <v>5942</v>
      </c>
      <c r="E104">
        <v>-613</v>
      </c>
      <c r="F104">
        <v>0</v>
      </c>
      <c r="G104">
        <v>308</v>
      </c>
      <c r="H104">
        <v>1351</v>
      </c>
      <c r="I104">
        <v>1840</v>
      </c>
      <c r="J104">
        <v>6196</v>
      </c>
      <c r="K104">
        <v>-400</v>
      </c>
    </row>
    <row r="105" spans="2:11" x14ac:dyDescent="0.25">
      <c r="B105">
        <v>1857</v>
      </c>
      <c r="C105">
        <v>-835</v>
      </c>
      <c r="D105">
        <v>-510</v>
      </c>
      <c r="E105">
        <v>-1782</v>
      </c>
      <c r="F105">
        <v>-877</v>
      </c>
      <c r="G105">
        <v>16617</v>
      </c>
      <c r="H105">
        <v>0</v>
      </c>
      <c r="I105">
        <v>240</v>
      </c>
      <c r="J105">
        <v>-303</v>
      </c>
      <c r="K105">
        <v>10391</v>
      </c>
    </row>
    <row r="106" spans="2:11" x14ac:dyDescent="0.25">
      <c r="B106">
        <v>0</v>
      </c>
      <c r="C106">
        <v>142</v>
      </c>
      <c r="D106">
        <v>433</v>
      </c>
      <c r="E106">
        <v>257</v>
      </c>
      <c r="F106">
        <v>-366</v>
      </c>
      <c r="G106">
        <v>8608</v>
      </c>
      <c r="H106">
        <v>742</v>
      </c>
      <c r="I106">
        <v>-259</v>
      </c>
      <c r="J106">
        <v>206</v>
      </c>
      <c r="K106">
        <v>-375</v>
      </c>
    </row>
    <row r="107" spans="2:11" x14ac:dyDescent="0.25">
      <c r="B107">
        <v>14553</v>
      </c>
      <c r="C107">
        <v>3942</v>
      </c>
      <c r="D107">
        <v>5144</v>
      </c>
      <c r="E107">
        <v>0</v>
      </c>
      <c r="F107">
        <v>-11981</v>
      </c>
      <c r="G107">
        <v>-1900</v>
      </c>
      <c r="H107">
        <v>-682</v>
      </c>
      <c r="I107">
        <v>0</v>
      </c>
      <c r="J107">
        <v>-8114</v>
      </c>
      <c r="K107">
        <v>-6040</v>
      </c>
    </row>
    <row r="108" spans="2:11" x14ac:dyDescent="0.25">
      <c r="B108">
        <v>-7773</v>
      </c>
      <c r="C108">
        <v>-1807</v>
      </c>
      <c r="D108">
        <v>-637</v>
      </c>
      <c r="E108">
        <v>-1147</v>
      </c>
      <c r="F108">
        <v>-298</v>
      </c>
      <c r="G108">
        <v>166</v>
      </c>
      <c r="H108">
        <v>1254</v>
      </c>
      <c r="I108">
        <v>-385</v>
      </c>
      <c r="J108">
        <v>-11054</v>
      </c>
      <c r="K108">
        <v>-4630</v>
      </c>
    </row>
    <row r="109" spans="2:11" x14ac:dyDescent="0.25">
      <c r="B109">
        <v>-1975</v>
      </c>
      <c r="C109">
        <v>0</v>
      </c>
      <c r="D109">
        <v>-578</v>
      </c>
      <c r="E109">
        <v>-1634</v>
      </c>
      <c r="F109">
        <v>-39</v>
      </c>
      <c r="G109">
        <v>0</v>
      </c>
      <c r="H109">
        <v>436</v>
      </c>
      <c r="I109">
        <v>669</v>
      </c>
      <c r="J109">
        <v>-1283</v>
      </c>
      <c r="K109">
        <v>-1335</v>
      </c>
    </row>
    <row r="110" spans="2:11" x14ac:dyDescent="0.25">
      <c r="B110">
        <v>-103</v>
      </c>
      <c r="C110">
        <v>-400</v>
      </c>
      <c r="D110">
        <v>-39</v>
      </c>
      <c r="E110">
        <v>325</v>
      </c>
      <c r="F110">
        <v>515</v>
      </c>
      <c r="G110">
        <v>1174</v>
      </c>
      <c r="H110">
        <v>-1706</v>
      </c>
      <c r="I110">
        <v>-848</v>
      </c>
      <c r="J110">
        <v>-130</v>
      </c>
      <c r="K110">
        <v>4012</v>
      </c>
    </row>
    <row r="111" spans="2:11" x14ac:dyDescent="0.25">
      <c r="B111">
        <v>0</v>
      </c>
      <c r="C111">
        <v>25</v>
      </c>
      <c r="D111">
        <v>-1</v>
      </c>
      <c r="E111">
        <v>-30</v>
      </c>
      <c r="F111">
        <v>0</v>
      </c>
      <c r="G111">
        <v>-412</v>
      </c>
      <c r="H111">
        <v>319</v>
      </c>
      <c r="I111">
        <v>-958</v>
      </c>
      <c r="J111">
        <v>555</v>
      </c>
      <c r="K111">
        <v>-82</v>
      </c>
    </row>
    <row r="112" spans="2:11" x14ac:dyDescent="0.25">
      <c r="B112">
        <v>-217</v>
      </c>
      <c r="C112">
        <v>353</v>
      </c>
      <c r="D112">
        <v>69</v>
      </c>
      <c r="E112">
        <v>88</v>
      </c>
      <c r="F112">
        <v>340</v>
      </c>
      <c r="G112">
        <v>-15038</v>
      </c>
      <c r="H112">
        <v>-2171</v>
      </c>
      <c r="I112">
        <v>-915</v>
      </c>
      <c r="J112">
        <v>-2957</v>
      </c>
      <c r="K112">
        <v>-1248</v>
      </c>
    </row>
    <row r="113" spans="2:11" x14ac:dyDescent="0.25">
      <c r="B113">
        <v>0</v>
      </c>
      <c r="C113">
        <v>-9511</v>
      </c>
      <c r="D113">
        <v>-4905</v>
      </c>
      <c r="E113">
        <v>-1760</v>
      </c>
      <c r="F113">
        <v>0</v>
      </c>
      <c r="G113">
        <v>-6472</v>
      </c>
      <c r="H113">
        <v>-1703</v>
      </c>
      <c r="I113">
        <v>-7459</v>
      </c>
      <c r="J113">
        <v>-3620</v>
      </c>
      <c r="K113">
        <v>-1524</v>
      </c>
    </row>
    <row r="114" spans="2:11" x14ac:dyDescent="0.25">
      <c r="B114">
        <v>-654</v>
      </c>
      <c r="C114">
        <v>596</v>
      </c>
      <c r="D114">
        <v>198</v>
      </c>
      <c r="E114">
        <v>888</v>
      </c>
      <c r="F114">
        <v>425</v>
      </c>
      <c r="G114">
        <v>-14423</v>
      </c>
      <c r="H114">
        <v>-8919</v>
      </c>
      <c r="I114">
        <v>-2467</v>
      </c>
      <c r="J114">
        <v>10845</v>
      </c>
      <c r="K114">
        <v>-7452</v>
      </c>
    </row>
    <row r="115" spans="2:11" x14ac:dyDescent="0.25">
      <c r="B115">
        <v>1802</v>
      </c>
      <c r="C115">
        <v>0</v>
      </c>
      <c r="D115">
        <v>-3615</v>
      </c>
      <c r="E115">
        <v>-2735</v>
      </c>
      <c r="F115">
        <v>52</v>
      </c>
      <c r="G115">
        <v>0</v>
      </c>
      <c r="H115">
        <v>-1255</v>
      </c>
      <c r="I115">
        <v>-584</v>
      </c>
      <c r="J115">
        <v>-2821</v>
      </c>
      <c r="K115">
        <v>-2030</v>
      </c>
    </row>
    <row r="116" spans="2:11" x14ac:dyDescent="0.25">
      <c r="B116">
        <v>91</v>
      </c>
      <c r="C116">
        <v>16</v>
      </c>
      <c r="D116">
        <v>1155</v>
      </c>
      <c r="E116">
        <v>646</v>
      </c>
      <c r="F116">
        <v>772</v>
      </c>
      <c r="G116">
        <v>-120</v>
      </c>
      <c r="H116">
        <v>-5165</v>
      </c>
      <c r="I116">
        <v>-5990</v>
      </c>
      <c r="J116">
        <v>4086</v>
      </c>
      <c r="K116">
        <v>128</v>
      </c>
    </row>
    <row r="117" spans="2:11" x14ac:dyDescent="0.25">
      <c r="B117">
        <v>-14301</v>
      </c>
      <c r="C117">
        <v>-32923</v>
      </c>
      <c r="D117">
        <v>-12912</v>
      </c>
      <c r="E117">
        <v>0</v>
      </c>
      <c r="F117">
        <v>580</v>
      </c>
      <c r="G117">
        <v>824</v>
      </c>
      <c r="H117">
        <v>404</v>
      </c>
      <c r="I117">
        <v>0</v>
      </c>
      <c r="J117">
        <v>571</v>
      </c>
      <c r="K117">
        <v>-1413</v>
      </c>
    </row>
    <row r="118" spans="2:11" x14ac:dyDescent="0.25">
      <c r="B118">
        <v>2034</v>
      </c>
      <c r="C118">
        <v>327</v>
      </c>
      <c r="D118">
        <v>474</v>
      </c>
      <c r="E118">
        <v>817</v>
      </c>
      <c r="F118">
        <v>1087</v>
      </c>
      <c r="G118">
        <v>853</v>
      </c>
      <c r="H118">
        <v>726</v>
      </c>
      <c r="I118">
        <v>-169</v>
      </c>
      <c r="J118">
        <v>-4345</v>
      </c>
      <c r="K118">
        <v>-3148</v>
      </c>
    </row>
    <row r="119" spans="2:11" x14ac:dyDescent="0.25">
      <c r="B119">
        <v>-2160</v>
      </c>
      <c r="C119">
        <v>-9231</v>
      </c>
      <c r="D119">
        <v>-10848</v>
      </c>
      <c r="E119">
        <v>-27564</v>
      </c>
      <c r="F119">
        <v>-4103</v>
      </c>
      <c r="G119">
        <v>-5588</v>
      </c>
      <c r="H119">
        <v>0</v>
      </c>
      <c r="I119">
        <v>7339</v>
      </c>
      <c r="J119">
        <v>1143</v>
      </c>
      <c r="K119">
        <v>284</v>
      </c>
    </row>
    <row r="120" spans="2:11" x14ac:dyDescent="0.25">
      <c r="B120">
        <v>0</v>
      </c>
      <c r="C120">
        <v>6081</v>
      </c>
      <c r="D120">
        <v>390</v>
      </c>
      <c r="E120">
        <v>5320</v>
      </c>
      <c r="F120">
        <v>740</v>
      </c>
      <c r="G120">
        <v>-506</v>
      </c>
      <c r="H120">
        <v>213</v>
      </c>
      <c r="I120">
        <v>-824</v>
      </c>
      <c r="J120">
        <v>-2441</v>
      </c>
      <c r="K120">
        <v>-1025</v>
      </c>
    </row>
    <row r="121" spans="2:11" x14ac:dyDescent="0.25">
      <c r="B121">
        <v>-1199</v>
      </c>
      <c r="C121">
        <v>-23914</v>
      </c>
      <c r="D121">
        <v>-11351</v>
      </c>
      <c r="E121">
        <v>-6503</v>
      </c>
      <c r="F121">
        <v>-1853</v>
      </c>
      <c r="G121">
        <v>-2170</v>
      </c>
      <c r="H121">
        <v>-36003</v>
      </c>
      <c r="I121">
        <v>-4342</v>
      </c>
      <c r="J121">
        <v>-19831</v>
      </c>
      <c r="K121">
        <v>-2785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412</v>
      </c>
      <c r="I124">
        <v>514</v>
      </c>
      <c r="J124">
        <v>-201</v>
      </c>
      <c r="K124">
        <v>0</v>
      </c>
    </row>
    <row r="125" spans="2:11" x14ac:dyDescent="0.25">
      <c r="B125">
        <v>4546</v>
      </c>
      <c r="C125">
        <v>1089</v>
      </c>
      <c r="D125">
        <v>2169</v>
      </c>
      <c r="E125">
        <v>1583</v>
      </c>
      <c r="F125">
        <v>396</v>
      </c>
      <c r="G125">
        <v>-296</v>
      </c>
      <c r="H125">
        <v>-216</v>
      </c>
      <c r="I125">
        <v>379</v>
      </c>
      <c r="J125">
        <v>-398</v>
      </c>
      <c r="K125">
        <v>188</v>
      </c>
    </row>
    <row r="126" spans="2:11" x14ac:dyDescent="0.25">
      <c r="B126">
        <v>-4695</v>
      </c>
      <c r="C126">
        <v>-3116</v>
      </c>
      <c r="D126">
        <v>1125</v>
      </c>
      <c r="E126">
        <v>-4795</v>
      </c>
      <c r="F126">
        <v>2243</v>
      </c>
      <c r="G126">
        <v>-34167</v>
      </c>
      <c r="H126">
        <v>-26696</v>
      </c>
      <c r="I126">
        <v>-7478</v>
      </c>
      <c r="J126">
        <v>16821</v>
      </c>
      <c r="K126">
        <v>13707</v>
      </c>
    </row>
    <row r="127" spans="2:11" x14ac:dyDescent="0.25">
      <c r="B127">
        <v>0</v>
      </c>
      <c r="C127">
        <v>0</v>
      </c>
      <c r="D127">
        <v>675</v>
      </c>
      <c r="E127">
        <v>5151</v>
      </c>
      <c r="F127">
        <v>4343</v>
      </c>
      <c r="G127">
        <v>0</v>
      </c>
      <c r="H127">
        <v>241</v>
      </c>
      <c r="I127">
        <v>282</v>
      </c>
      <c r="J127">
        <v>439</v>
      </c>
      <c r="K127">
        <v>6214</v>
      </c>
    </row>
    <row r="128" spans="2:11" x14ac:dyDescent="0.25">
      <c r="B128">
        <v>3120</v>
      </c>
      <c r="C128">
        <v>1943</v>
      </c>
      <c r="D128">
        <v>-934</v>
      </c>
      <c r="E128">
        <v>-192</v>
      </c>
      <c r="F128">
        <v>-44</v>
      </c>
      <c r="G128">
        <v>2762</v>
      </c>
      <c r="H128">
        <v>5848</v>
      </c>
      <c r="I128">
        <v>-29889</v>
      </c>
      <c r="J128">
        <v>-8376</v>
      </c>
      <c r="K128">
        <v>-3938</v>
      </c>
    </row>
    <row r="129" spans="2:11" x14ac:dyDescent="0.25">
      <c r="B129">
        <v>3830</v>
      </c>
      <c r="C129">
        <v>-679</v>
      </c>
      <c r="D129">
        <v>-10220</v>
      </c>
      <c r="E129">
        <v>2581</v>
      </c>
      <c r="F129">
        <v>-7867</v>
      </c>
      <c r="G129">
        <v>-3122</v>
      </c>
      <c r="H129">
        <v>0</v>
      </c>
      <c r="I129">
        <v>-2972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1986</v>
      </c>
      <c r="J132">
        <v>-4409</v>
      </c>
      <c r="K132">
        <v>-4038</v>
      </c>
    </row>
    <row r="133" spans="2:11" x14ac:dyDescent="0.25">
      <c r="B133">
        <v>0</v>
      </c>
      <c r="C133">
        <v>2443</v>
      </c>
      <c r="D133">
        <v>1417</v>
      </c>
      <c r="E133">
        <v>1500</v>
      </c>
      <c r="F133">
        <v>-5696</v>
      </c>
      <c r="G133">
        <v>-2922</v>
      </c>
      <c r="H133">
        <v>-1447</v>
      </c>
      <c r="I133">
        <v>1114</v>
      </c>
      <c r="J133">
        <v>571</v>
      </c>
      <c r="K133">
        <v>-16</v>
      </c>
    </row>
    <row r="134" spans="2:11" x14ac:dyDescent="0.25">
      <c r="B134">
        <v>-2612</v>
      </c>
      <c r="C134">
        <v>-10956</v>
      </c>
      <c r="D134">
        <v>30646</v>
      </c>
      <c r="E134">
        <v>8422</v>
      </c>
      <c r="F134">
        <v>-111</v>
      </c>
      <c r="G134">
        <v>-412</v>
      </c>
      <c r="H134">
        <v>-1162</v>
      </c>
      <c r="I134">
        <v>1662</v>
      </c>
      <c r="J134">
        <v>572</v>
      </c>
      <c r="K134">
        <v>-768</v>
      </c>
    </row>
    <row r="135" spans="2:11" x14ac:dyDescent="0.25">
      <c r="B135">
        <v>644</v>
      </c>
      <c r="C135">
        <v>0</v>
      </c>
      <c r="D135">
        <v>-2150</v>
      </c>
      <c r="E135">
        <v>-89012</v>
      </c>
      <c r="F135">
        <v>0</v>
      </c>
      <c r="G135">
        <v>0</v>
      </c>
      <c r="H135">
        <v>-1480</v>
      </c>
      <c r="I135">
        <v>4368</v>
      </c>
      <c r="J135">
        <v>-708</v>
      </c>
      <c r="K135">
        <v>0</v>
      </c>
    </row>
    <row r="136" spans="2:11" x14ac:dyDescent="0.25">
      <c r="B136">
        <v>-1528</v>
      </c>
      <c r="C136">
        <v>245</v>
      </c>
      <c r="D136">
        <v>-840</v>
      </c>
      <c r="E136">
        <v>1644</v>
      </c>
      <c r="F136">
        <v>-12</v>
      </c>
      <c r="G136">
        <v>845</v>
      </c>
      <c r="H136">
        <v>185</v>
      </c>
      <c r="I136">
        <v>417</v>
      </c>
      <c r="J136">
        <v>-620</v>
      </c>
      <c r="K136">
        <v>135</v>
      </c>
    </row>
    <row r="137" spans="2:11" x14ac:dyDescent="0.25">
      <c r="B137">
        <v>12836</v>
      </c>
      <c r="C137">
        <v>-43552</v>
      </c>
      <c r="D137">
        <v>1626</v>
      </c>
      <c r="E137">
        <v>1231</v>
      </c>
      <c r="F137">
        <v>-4542</v>
      </c>
      <c r="G137">
        <v>-4754</v>
      </c>
      <c r="H137">
        <v>-16</v>
      </c>
      <c r="I137">
        <v>-4451</v>
      </c>
      <c r="J137">
        <v>-4250</v>
      </c>
      <c r="K137">
        <v>-13941</v>
      </c>
    </row>
    <row r="138" spans="2:11" x14ac:dyDescent="0.25">
      <c r="B138">
        <v>0</v>
      </c>
      <c r="C138">
        <v>7852</v>
      </c>
      <c r="D138">
        <v>-2131</v>
      </c>
      <c r="E138">
        <v>0</v>
      </c>
      <c r="F138">
        <v>3457</v>
      </c>
      <c r="G138">
        <v>0</v>
      </c>
      <c r="H138">
        <v>93</v>
      </c>
      <c r="I138">
        <v>637</v>
      </c>
      <c r="J138">
        <v>-9118</v>
      </c>
      <c r="K138">
        <v>0</v>
      </c>
    </row>
    <row r="139" spans="2:11" x14ac:dyDescent="0.25">
      <c r="B139">
        <v>-268</v>
      </c>
      <c r="C139">
        <v>138</v>
      </c>
      <c r="D139">
        <v>291</v>
      </c>
      <c r="E139">
        <v>563</v>
      </c>
      <c r="F139">
        <v>-7277</v>
      </c>
      <c r="G139">
        <v>-611</v>
      </c>
      <c r="H139">
        <v>-764</v>
      </c>
      <c r="I139">
        <v>-602</v>
      </c>
      <c r="J139">
        <v>72</v>
      </c>
      <c r="K139">
        <v>-7097</v>
      </c>
    </row>
    <row r="140" spans="2:11" x14ac:dyDescent="0.25">
      <c r="B140">
        <v>4495</v>
      </c>
      <c r="C140">
        <v>1289</v>
      </c>
      <c r="D140">
        <v>-39553</v>
      </c>
      <c r="E140">
        <v>373</v>
      </c>
      <c r="F140">
        <v>11</v>
      </c>
      <c r="G140">
        <v>1447</v>
      </c>
      <c r="H140">
        <v>1720</v>
      </c>
      <c r="I140">
        <v>-14600</v>
      </c>
      <c r="J140">
        <v>654</v>
      </c>
      <c r="K140">
        <v>103</v>
      </c>
    </row>
    <row r="141" spans="2:11" x14ac:dyDescent="0.25">
      <c r="B141">
        <v>0</v>
      </c>
      <c r="C141">
        <v>2597</v>
      </c>
      <c r="D141">
        <v>2873</v>
      </c>
      <c r="E141">
        <v>0</v>
      </c>
      <c r="F141">
        <v>-2643</v>
      </c>
      <c r="G141">
        <v>2835</v>
      </c>
      <c r="H141">
        <v>0</v>
      </c>
      <c r="I141">
        <v>-12</v>
      </c>
      <c r="J141">
        <v>-141</v>
      </c>
      <c r="K141">
        <v>2516</v>
      </c>
    </row>
    <row r="142" spans="2:11" x14ac:dyDescent="0.25">
      <c r="B142">
        <v>0</v>
      </c>
      <c r="C142">
        <v>-475</v>
      </c>
      <c r="D142">
        <v>-252</v>
      </c>
      <c r="E142">
        <v>-200</v>
      </c>
      <c r="F142">
        <v>-683</v>
      </c>
      <c r="G142">
        <v>2759</v>
      </c>
      <c r="H142">
        <v>-225</v>
      </c>
      <c r="I142">
        <v>642</v>
      </c>
      <c r="J142">
        <v>-375</v>
      </c>
      <c r="K142">
        <v>512</v>
      </c>
    </row>
    <row r="143" spans="2:11" x14ac:dyDescent="0.25">
      <c r="B143">
        <v>7698</v>
      </c>
      <c r="C143">
        <v>3226</v>
      </c>
      <c r="D143">
        <v>6037</v>
      </c>
      <c r="E143">
        <v>-21309</v>
      </c>
      <c r="F143">
        <v>-263</v>
      </c>
      <c r="G143">
        <v>-479</v>
      </c>
      <c r="H143">
        <v>-4238</v>
      </c>
      <c r="I143">
        <v>-3306</v>
      </c>
      <c r="J143">
        <v>6572</v>
      </c>
      <c r="K143">
        <v>122</v>
      </c>
    </row>
    <row r="144" spans="2:11" x14ac:dyDescent="0.25">
      <c r="B144">
        <v>-1889</v>
      </c>
      <c r="C144">
        <v>0</v>
      </c>
      <c r="D144">
        <v>-5144</v>
      </c>
      <c r="E144">
        <v>-9064</v>
      </c>
      <c r="F144">
        <v>0</v>
      </c>
      <c r="G144">
        <v>9696</v>
      </c>
      <c r="H144">
        <v>-724</v>
      </c>
      <c r="I144">
        <v>-57191</v>
      </c>
      <c r="J144">
        <v>0</v>
      </c>
      <c r="K144">
        <v>-10099</v>
      </c>
    </row>
    <row r="145" spans="2:11" x14ac:dyDescent="0.25">
      <c r="B145">
        <v>1077</v>
      </c>
      <c r="C145">
        <v>-60</v>
      </c>
      <c r="D145">
        <v>0</v>
      </c>
      <c r="E145">
        <v>-10239</v>
      </c>
      <c r="F145">
        <v>-3685</v>
      </c>
      <c r="G145">
        <v>-7055</v>
      </c>
      <c r="H145">
        <v>1232</v>
      </c>
      <c r="I145">
        <v>381</v>
      </c>
      <c r="J145">
        <v>-2487</v>
      </c>
      <c r="K145">
        <v>-3371</v>
      </c>
    </row>
    <row r="146" spans="2:11" x14ac:dyDescent="0.25">
      <c r="B146">
        <v>945</v>
      </c>
      <c r="C146">
        <v>-637</v>
      </c>
      <c r="D146">
        <v>476</v>
      </c>
      <c r="E146">
        <v>-24384</v>
      </c>
      <c r="F146">
        <v>8583</v>
      </c>
      <c r="G146">
        <v>2234</v>
      </c>
      <c r="H146">
        <v>-2908</v>
      </c>
      <c r="I146">
        <v>-862</v>
      </c>
      <c r="J146">
        <v>6268</v>
      </c>
      <c r="K146">
        <v>-4494</v>
      </c>
    </row>
    <row r="147" spans="2:11" x14ac:dyDescent="0.25">
      <c r="B147">
        <v>-16400</v>
      </c>
      <c r="C147">
        <v>-10766</v>
      </c>
      <c r="D147">
        <v>-19604</v>
      </c>
      <c r="E147">
        <v>0</v>
      </c>
      <c r="F147">
        <v>9423</v>
      </c>
      <c r="G147">
        <v>2306</v>
      </c>
      <c r="H147">
        <v>0</v>
      </c>
      <c r="I147">
        <v>-6884</v>
      </c>
      <c r="J147">
        <v>10057</v>
      </c>
      <c r="K147">
        <v>4768</v>
      </c>
    </row>
    <row r="148" spans="2:11" x14ac:dyDescent="0.25">
      <c r="B148">
        <v>-662</v>
      </c>
      <c r="C148">
        <v>0</v>
      </c>
      <c r="D148">
        <v>27</v>
      </c>
      <c r="E148">
        <v>21</v>
      </c>
      <c r="F148">
        <v>2915</v>
      </c>
      <c r="G148">
        <v>0</v>
      </c>
      <c r="H148">
        <v>59</v>
      </c>
      <c r="I148">
        <v>181</v>
      </c>
      <c r="J148">
        <v>69</v>
      </c>
      <c r="K148">
        <v>19</v>
      </c>
    </row>
    <row r="149" spans="2:11" x14ac:dyDescent="0.25">
      <c r="B149">
        <v>6141</v>
      </c>
      <c r="C149">
        <v>1177</v>
      </c>
      <c r="D149">
        <v>-881</v>
      </c>
      <c r="E149">
        <v>-1013</v>
      </c>
      <c r="F149">
        <v>359</v>
      </c>
      <c r="G149">
        <v>-2651</v>
      </c>
      <c r="H149">
        <v>-71</v>
      </c>
      <c r="I149">
        <v>798</v>
      </c>
      <c r="J149">
        <v>3061</v>
      </c>
      <c r="K149">
        <v>134</v>
      </c>
    </row>
    <row r="150" spans="2:11" x14ac:dyDescent="0.25">
      <c r="B150">
        <v>966</v>
      </c>
      <c r="C150">
        <v>1519</v>
      </c>
      <c r="D150">
        <v>1243</v>
      </c>
      <c r="E150">
        <v>-50</v>
      </c>
      <c r="F150">
        <v>-7312</v>
      </c>
      <c r="G150">
        <v>910</v>
      </c>
      <c r="H150">
        <v>0</v>
      </c>
      <c r="I150">
        <v>-215</v>
      </c>
      <c r="J150">
        <v>-125</v>
      </c>
      <c r="K150">
        <v>0</v>
      </c>
    </row>
    <row r="151" spans="2:11" x14ac:dyDescent="0.25">
      <c r="B151">
        <v>471</v>
      </c>
      <c r="C151">
        <v>-380</v>
      </c>
      <c r="D151">
        <v>1764</v>
      </c>
      <c r="E151">
        <v>-4786</v>
      </c>
      <c r="F151">
        <v>864</v>
      </c>
      <c r="G151">
        <v>0</v>
      </c>
      <c r="H151">
        <v>95</v>
      </c>
      <c r="I151">
        <v>-224</v>
      </c>
      <c r="J151">
        <v>1272</v>
      </c>
      <c r="K151">
        <v>0</v>
      </c>
    </row>
    <row r="152" spans="2:11" x14ac:dyDescent="0.25">
      <c r="B152">
        <v>155</v>
      </c>
      <c r="C152">
        <v>90</v>
      </c>
      <c r="D152">
        <v>144</v>
      </c>
      <c r="E152">
        <v>-44</v>
      </c>
      <c r="F152">
        <v>-80</v>
      </c>
      <c r="G152">
        <v>-2215</v>
      </c>
      <c r="H152">
        <v>266</v>
      </c>
      <c r="I152">
        <v>648</v>
      </c>
      <c r="J152">
        <v>-411</v>
      </c>
      <c r="K152">
        <v>1003</v>
      </c>
    </row>
    <row r="153" spans="2:11" x14ac:dyDescent="0.25">
      <c r="B153">
        <v>823</v>
      </c>
      <c r="C153">
        <v>-46</v>
      </c>
      <c r="D153">
        <v>-10752</v>
      </c>
      <c r="E153">
        <v>-3</v>
      </c>
      <c r="F153">
        <v>-1134</v>
      </c>
      <c r="G153">
        <v>-594</v>
      </c>
      <c r="H153">
        <v>-1418</v>
      </c>
      <c r="I153">
        <v>442</v>
      </c>
      <c r="J153">
        <v>4068</v>
      </c>
      <c r="K153">
        <v>-2152</v>
      </c>
    </row>
    <row r="154" spans="2:11" x14ac:dyDescent="0.25">
      <c r="B154">
        <v>0</v>
      </c>
      <c r="C154">
        <v>991</v>
      </c>
      <c r="D154">
        <v>-1124</v>
      </c>
      <c r="E154">
        <v>0</v>
      </c>
      <c r="F154">
        <v>847</v>
      </c>
      <c r="G154">
        <v>1003</v>
      </c>
      <c r="H154">
        <v>-10167</v>
      </c>
      <c r="I154">
        <v>4024</v>
      </c>
      <c r="J154">
        <v>29</v>
      </c>
      <c r="K154">
        <v>-75958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-7745</v>
      </c>
      <c r="J158">
        <v>19441</v>
      </c>
      <c r="K158">
        <v>-137</v>
      </c>
    </row>
    <row r="159" spans="2:11" x14ac:dyDescent="0.25">
      <c r="B159">
        <v>0</v>
      </c>
      <c r="C159">
        <v>-7404</v>
      </c>
      <c r="D159">
        <v>-2074</v>
      </c>
      <c r="E159">
        <v>-4974</v>
      </c>
      <c r="F159">
        <v>18987</v>
      </c>
      <c r="G159">
        <v>67</v>
      </c>
      <c r="H159">
        <v>1848</v>
      </c>
      <c r="I159">
        <v>-551</v>
      </c>
      <c r="J159">
        <v>-252</v>
      </c>
      <c r="K159">
        <v>-1855</v>
      </c>
    </row>
    <row r="160" spans="2:11" x14ac:dyDescent="0.25">
      <c r="B160">
        <v>-365</v>
      </c>
      <c r="C160">
        <v>-5545</v>
      </c>
      <c r="D160">
        <v>23851</v>
      </c>
      <c r="E160">
        <v>1013</v>
      </c>
      <c r="F160">
        <v>743</v>
      </c>
      <c r="G160">
        <v>1601</v>
      </c>
      <c r="H160">
        <v>284</v>
      </c>
      <c r="I160">
        <v>-787</v>
      </c>
      <c r="J160">
        <v>-1709</v>
      </c>
      <c r="K160">
        <v>-366</v>
      </c>
    </row>
    <row r="161" spans="2:11" x14ac:dyDescent="0.25">
      <c r="B161">
        <v>-1289</v>
      </c>
      <c r="C161">
        <v>0</v>
      </c>
      <c r="D161">
        <v>878</v>
      </c>
      <c r="E161">
        <v>-7960</v>
      </c>
      <c r="F161">
        <v>0</v>
      </c>
      <c r="G161">
        <v>8764</v>
      </c>
      <c r="H161">
        <v>-2610</v>
      </c>
      <c r="I161">
        <v>120</v>
      </c>
      <c r="J161">
        <v>1099</v>
      </c>
      <c r="K161">
        <v>3398</v>
      </c>
    </row>
    <row r="162" spans="2:11" x14ac:dyDescent="0.25">
      <c r="B162">
        <v>521</v>
      </c>
      <c r="C162">
        <v>-633</v>
      </c>
      <c r="D162">
        <v>0</v>
      </c>
      <c r="E162">
        <v>0</v>
      </c>
      <c r="F162">
        <v>-4415</v>
      </c>
      <c r="G162">
        <v>-160</v>
      </c>
      <c r="H162">
        <v>26380</v>
      </c>
      <c r="I162">
        <v>0</v>
      </c>
      <c r="J162">
        <v>-4102</v>
      </c>
      <c r="K162">
        <v>-1359</v>
      </c>
    </row>
    <row r="163" spans="2:11" x14ac:dyDescent="0.25">
      <c r="B163">
        <v>-3016</v>
      </c>
      <c r="C163">
        <v>-97</v>
      </c>
      <c r="D163">
        <v>25820</v>
      </c>
      <c r="E163">
        <v>673</v>
      </c>
      <c r="F163">
        <v>-418</v>
      </c>
      <c r="G163">
        <v>263</v>
      </c>
      <c r="H163">
        <v>-372</v>
      </c>
      <c r="I163">
        <v>11796</v>
      </c>
      <c r="J163">
        <v>-4021</v>
      </c>
      <c r="K163">
        <v>1419</v>
      </c>
    </row>
    <row r="164" spans="2:11" x14ac:dyDescent="0.25">
      <c r="B164">
        <v>36458</v>
      </c>
      <c r="C164">
        <v>269</v>
      </c>
      <c r="D164">
        <v>1823</v>
      </c>
      <c r="E164">
        <v>-18</v>
      </c>
      <c r="F164">
        <v>-217</v>
      </c>
      <c r="G164">
        <v>1161</v>
      </c>
      <c r="H164">
        <v>200</v>
      </c>
      <c r="I164">
        <v>-1210</v>
      </c>
      <c r="J164">
        <v>0</v>
      </c>
      <c r="K164">
        <v>839</v>
      </c>
    </row>
    <row r="165" spans="2:11" x14ac:dyDescent="0.25">
      <c r="B165">
        <v>-3487</v>
      </c>
      <c r="C165">
        <v>0</v>
      </c>
      <c r="D165">
        <v>3795</v>
      </c>
      <c r="E165">
        <v>-423</v>
      </c>
      <c r="F165">
        <v>-14087</v>
      </c>
      <c r="G165">
        <v>-3007</v>
      </c>
      <c r="H165">
        <v>1168</v>
      </c>
      <c r="I165">
        <v>-4712</v>
      </c>
      <c r="J165">
        <v>6685</v>
      </c>
      <c r="K165">
        <v>0</v>
      </c>
    </row>
    <row r="166" spans="2:11" x14ac:dyDescent="0.25">
      <c r="B166">
        <v>16609</v>
      </c>
      <c r="C166">
        <v>0</v>
      </c>
      <c r="D166">
        <v>-439</v>
      </c>
      <c r="E166">
        <v>-807</v>
      </c>
      <c r="F166">
        <v>-435</v>
      </c>
      <c r="G166">
        <v>0</v>
      </c>
      <c r="H166">
        <v>-552</v>
      </c>
      <c r="I166">
        <v>-1395</v>
      </c>
      <c r="J166">
        <v>-1174</v>
      </c>
      <c r="K166">
        <v>-1561</v>
      </c>
    </row>
    <row r="167" spans="2:11" x14ac:dyDescent="0.25">
      <c r="B167">
        <v>-662</v>
      </c>
      <c r="C167">
        <v>-123</v>
      </c>
      <c r="D167">
        <v>23</v>
      </c>
      <c r="E167">
        <v>102</v>
      </c>
      <c r="F167">
        <v>3981</v>
      </c>
      <c r="G167">
        <v>-317</v>
      </c>
      <c r="H167">
        <v>68</v>
      </c>
      <c r="I167">
        <v>-340</v>
      </c>
      <c r="J167">
        <v>-64</v>
      </c>
      <c r="K167">
        <v>108</v>
      </c>
    </row>
    <row r="168" spans="2:11" x14ac:dyDescent="0.25">
      <c r="B168">
        <v>103</v>
      </c>
      <c r="C168">
        <v>-34</v>
      </c>
      <c r="D168">
        <v>96</v>
      </c>
      <c r="E168">
        <v>153</v>
      </c>
      <c r="F168">
        <v>88</v>
      </c>
      <c r="G168">
        <v>55</v>
      </c>
      <c r="H168">
        <v>0</v>
      </c>
      <c r="I168">
        <v>-58</v>
      </c>
      <c r="J168">
        <v>-47</v>
      </c>
      <c r="K168">
        <v>0</v>
      </c>
    </row>
    <row r="169" spans="2:11" x14ac:dyDescent="0.25">
      <c r="B169">
        <v>79</v>
      </c>
      <c r="C169">
        <v>-209</v>
      </c>
      <c r="D169">
        <v>234</v>
      </c>
      <c r="E169">
        <v>-87</v>
      </c>
      <c r="F169">
        <v>-724</v>
      </c>
      <c r="G169">
        <v>146</v>
      </c>
      <c r="H169">
        <v>-501</v>
      </c>
      <c r="I169">
        <v>0</v>
      </c>
      <c r="J169">
        <v>-34648</v>
      </c>
      <c r="K169">
        <v>-11659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1241</v>
      </c>
      <c r="J186">
        <v>-2488</v>
      </c>
      <c r="K186">
        <v>761</v>
      </c>
    </row>
    <row r="187" spans="2:11" x14ac:dyDescent="0.25">
      <c r="B187">
        <v>0</v>
      </c>
      <c r="C187">
        <v>919</v>
      </c>
      <c r="D187">
        <v>452</v>
      </c>
      <c r="E187">
        <v>1110</v>
      </c>
      <c r="F187">
        <v>-1067</v>
      </c>
      <c r="G187">
        <v>395</v>
      </c>
      <c r="H187">
        <v>-413</v>
      </c>
      <c r="I187">
        <v>-811</v>
      </c>
      <c r="J187">
        <v>770</v>
      </c>
      <c r="K187">
        <v>-486</v>
      </c>
    </row>
    <row r="188" spans="2:11" x14ac:dyDescent="0.25">
      <c r="B188">
        <v>-341</v>
      </c>
      <c r="C188">
        <v>3794</v>
      </c>
      <c r="D188">
        <v>3569</v>
      </c>
      <c r="E188">
        <v>2467</v>
      </c>
      <c r="F188">
        <v>458</v>
      </c>
      <c r="G188">
        <v>-631</v>
      </c>
      <c r="H188">
        <v>-8955</v>
      </c>
      <c r="I188">
        <v>13001</v>
      </c>
      <c r="J188">
        <v>-1704</v>
      </c>
      <c r="K188">
        <v>8298</v>
      </c>
    </row>
    <row r="189" spans="2:11" x14ac:dyDescent="0.25">
      <c r="B189">
        <v>-2083</v>
      </c>
      <c r="C189">
        <v>0</v>
      </c>
      <c r="D189">
        <v>-2452</v>
      </c>
      <c r="E189">
        <v>-1175</v>
      </c>
      <c r="F189">
        <v>0</v>
      </c>
      <c r="G189">
        <v>-557</v>
      </c>
      <c r="H189">
        <v>-3200</v>
      </c>
      <c r="I189">
        <v>-341</v>
      </c>
      <c r="J189">
        <v>-2461</v>
      </c>
      <c r="K189">
        <v>-982</v>
      </c>
    </row>
    <row r="190" spans="2:11" x14ac:dyDescent="0.25">
      <c r="B190">
        <v>1637</v>
      </c>
      <c r="C190">
        <v>-377</v>
      </c>
      <c r="D190">
        <v>0</v>
      </c>
      <c r="E190">
        <v>401</v>
      </c>
      <c r="F190">
        <v>1078</v>
      </c>
      <c r="G190">
        <v>-57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1768</v>
      </c>
      <c r="I195">
        <v>-2226</v>
      </c>
      <c r="J195">
        <v>438</v>
      </c>
      <c r="K195">
        <v>0</v>
      </c>
    </row>
    <row r="196" spans="2:11" x14ac:dyDescent="0.25">
      <c r="B196">
        <v>1377</v>
      </c>
      <c r="C196">
        <v>942</v>
      </c>
      <c r="D196">
        <v>1702</v>
      </c>
      <c r="E196">
        <v>-675</v>
      </c>
      <c r="F196">
        <v>124</v>
      </c>
      <c r="G196">
        <v>-95</v>
      </c>
      <c r="H196">
        <v>-1099</v>
      </c>
      <c r="I196">
        <v>366</v>
      </c>
      <c r="J196">
        <v>-762</v>
      </c>
      <c r="K196">
        <v>-409</v>
      </c>
    </row>
    <row r="197" spans="2:11" x14ac:dyDescent="0.25">
      <c r="B197">
        <v>5303</v>
      </c>
      <c r="C197">
        <v>4403</v>
      </c>
      <c r="D197">
        <v>1600</v>
      </c>
      <c r="E197">
        <v>3273</v>
      </c>
      <c r="F197">
        <v>-2380</v>
      </c>
      <c r="G197">
        <v>-4333</v>
      </c>
      <c r="H197">
        <v>13444</v>
      </c>
      <c r="I197">
        <v>-11424</v>
      </c>
      <c r="J197">
        <v>7348</v>
      </c>
      <c r="K197">
        <v>-2078</v>
      </c>
    </row>
    <row r="198" spans="2:11" x14ac:dyDescent="0.25">
      <c r="B198">
        <v>0</v>
      </c>
      <c r="C198">
        <v>-2208</v>
      </c>
      <c r="D198">
        <v>-1288</v>
      </c>
      <c r="E198">
        <v>0</v>
      </c>
      <c r="F198">
        <v>-198</v>
      </c>
      <c r="G198">
        <v>-2994</v>
      </c>
      <c r="H198">
        <v>1582</v>
      </c>
      <c r="I198">
        <v>-2767</v>
      </c>
      <c r="J198">
        <v>475</v>
      </c>
      <c r="K198">
        <v>1749</v>
      </c>
    </row>
    <row r="199" spans="2:11" x14ac:dyDescent="0.25">
      <c r="B199">
        <v>-459</v>
      </c>
      <c r="C199">
        <v>0</v>
      </c>
      <c r="D199">
        <v>371</v>
      </c>
      <c r="E199">
        <v>481</v>
      </c>
      <c r="F199">
        <v>-97</v>
      </c>
      <c r="G199">
        <v>0</v>
      </c>
      <c r="H199">
        <v>0</v>
      </c>
      <c r="I199">
        <v>0</v>
      </c>
      <c r="J199">
        <v>0</v>
      </c>
      <c r="K199">
        <v>57609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1780</v>
      </c>
    </row>
    <row r="205" spans="2:11" x14ac:dyDescent="0.25">
      <c r="B205">
        <v>-370</v>
      </c>
      <c r="C205">
        <v>1429</v>
      </c>
      <c r="D205">
        <v>0</v>
      </c>
      <c r="E205">
        <v>1572</v>
      </c>
      <c r="F205">
        <v>193</v>
      </c>
      <c r="G205">
        <v>1138</v>
      </c>
      <c r="H205">
        <v>-62</v>
      </c>
      <c r="I205">
        <v>1135</v>
      </c>
      <c r="J205">
        <v>-759</v>
      </c>
      <c r="K205">
        <v>-138</v>
      </c>
    </row>
    <row r="206" spans="2:11" x14ac:dyDescent="0.25">
      <c r="B206">
        <v>895</v>
      </c>
      <c r="C206">
        <v>-237</v>
      </c>
      <c r="D206">
        <v>-384</v>
      </c>
      <c r="E206">
        <v>2974</v>
      </c>
      <c r="F206">
        <v>3710</v>
      </c>
      <c r="G206">
        <v>2286</v>
      </c>
      <c r="H206">
        <v>-2897</v>
      </c>
      <c r="I206">
        <v>15</v>
      </c>
      <c r="J206">
        <v>956</v>
      </c>
      <c r="K206">
        <v>13292</v>
      </c>
    </row>
    <row r="207" spans="2:11" x14ac:dyDescent="0.25">
      <c r="B207">
        <v>-2103</v>
      </c>
      <c r="C207">
        <v>5554</v>
      </c>
      <c r="D207">
        <v>-14130</v>
      </c>
      <c r="E207">
        <v>0</v>
      </c>
      <c r="F207">
        <v>-1372</v>
      </c>
      <c r="G207">
        <v>-1416</v>
      </c>
      <c r="H207">
        <v>0</v>
      </c>
      <c r="I207">
        <v>-735</v>
      </c>
      <c r="J207">
        <v>-2809</v>
      </c>
      <c r="K207">
        <v>-124</v>
      </c>
    </row>
    <row r="208" spans="2:11" x14ac:dyDescent="0.25">
      <c r="B208">
        <v>-1700</v>
      </c>
      <c r="C208">
        <v>5622</v>
      </c>
      <c r="D208">
        <v>3303</v>
      </c>
      <c r="E208">
        <v>-1447</v>
      </c>
      <c r="F208">
        <v>0</v>
      </c>
      <c r="G208">
        <v>631</v>
      </c>
      <c r="H208">
        <v>1017</v>
      </c>
      <c r="I208">
        <v>-149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40083</v>
      </c>
      <c r="E209">
        <v>0</v>
      </c>
      <c r="F209">
        <v>43573</v>
      </c>
      <c r="G209">
        <v>0</v>
      </c>
      <c r="H209">
        <v>0</v>
      </c>
      <c r="I209">
        <v>730</v>
      </c>
      <c r="J209">
        <v>-2199</v>
      </c>
      <c r="K209">
        <v>324</v>
      </c>
    </row>
    <row r="210" spans="2:11" x14ac:dyDescent="0.25">
      <c r="B210">
        <v>0</v>
      </c>
      <c r="C210">
        <v>511</v>
      </c>
      <c r="D210">
        <v>52</v>
      </c>
      <c r="E210">
        <v>922</v>
      </c>
      <c r="F210">
        <v>-897</v>
      </c>
      <c r="G210">
        <v>17</v>
      </c>
      <c r="H210">
        <v>-384</v>
      </c>
      <c r="I210">
        <v>-488</v>
      </c>
      <c r="J210">
        <v>728</v>
      </c>
      <c r="K210">
        <v>-244</v>
      </c>
    </row>
    <row r="211" spans="2:11" x14ac:dyDescent="0.25">
      <c r="B211">
        <v>-593</v>
      </c>
      <c r="C211">
        <v>2305</v>
      </c>
      <c r="D211">
        <v>3565</v>
      </c>
      <c r="E211">
        <v>2426</v>
      </c>
      <c r="F211">
        <v>2235</v>
      </c>
      <c r="G211">
        <v>-1674</v>
      </c>
      <c r="H211">
        <v>-6095</v>
      </c>
      <c r="I211">
        <v>13679</v>
      </c>
      <c r="J211">
        <v>-6465</v>
      </c>
      <c r="K211">
        <v>7855</v>
      </c>
    </row>
    <row r="212" spans="2:11" x14ac:dyDescent="0.25">
      <c r="B212">
        <v>-1554</v>
      </c>
      <c r="C212">
        <v>0</v>
      </c>
      <c r="D212">
        <v>327</v>
      </c>
      <c r="E212">
        <v>-869</v>
      </c>
      <c r="F212">
        <v>0</v>
      </c>
      <c r="G212">
        <v>152</v>
      </c>
      <c r="H212">
        <v>-3870</v>
      </c>
      <c r="I212">
        <v>-503</v>
      </c>
      <c r="J212">
        <v>-2920</v>
      </c>
      <c r="K212">
        <v>-576</v>
      </c>
    </row>
    <row r="213" spans="2:11" x14ac:dyDescent="0.25">
      <c r="B213">
        <v>1695</v>
      </c>
      <c r="C213">
        <v>-226</v>
      </c>
      <c r="D213">
        <v>0</v>
      </c>
      <c r="E213">
        <v>531</v>
      </c>
      <c r="F213">
        <v>976</v>
      </c>
      <c r="G213">
        <v>-10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60380</v>
      </c>
      <c r="C214">
        <v>0</v>
      </c>
      <c r="D214">
        <v>57110</v>
      </c>
      <c r="E214">
        <v>0</v>
      </c>
      <c r="F214">
        <v>40362</v>
      </c>
      <c r="G214">
        <v>0</v>
      </c>
      <c r="H214">
        <v>2477</v>
      </c>
      <c r="I214">
        <v>-1972</v>
      </c>
      <c r="J214">
        <v>480</v>
      </c>
      <c r="K214">
        <v>0</v>
      </c>
    </row>
    <row r="215" spans="2:11" x14ac:dyDescent="0.25">
      <c r="B215">
        <v>2369</v>
      </c>
      <c r="C215">
        <v>745</v>
      </c>
      <c r="D215">
        <v>1855</v>
      </c>
      <c r="E215">
        <v>-890</v>
      </c>
      <c r="F215">
        <v>238</v>
      </c>
      <c r="G215">
        <v>-81</v>
      </c>
      <c r="H215">
        <v>-451</v>
      </c>
      <c r="I215">
        <v>-138</v>
      </c>
      <c r="J215">
        <v>-184</v>
      </c>
      <c r="K215">
        <v>-553</v>
      </c>
    </row>
    <row r="216" spans="2:11" x14ac:dyDescent="0.25">
      <c r="B216">
        <v>4324</v>
      </c>
      <c r="C216">
        <v>3661</v>
      </c>
      <c r="D216">
        <v>2663</v>
      </c>
      <c r="E216">
        <v>1237</v>
      </c>
      <c r="F216">
        <v>-953</v>
      </c>
      <c r="G216">
        <v>-1552</v>
      </c>
      <c r="H216">
        <v>12324</v>
      </c>
      <c r="I216">
        <v>-5167</v>
      </c>
      <c r="J216">
        <v>4375</v>
      </c>
      <c r="K216">
        <v>-3882</v>
      </c>
    </row>
    <row r="217" spans="2:11" x14ac:dyDescent="0.25">
      <c r="B217">
        <v>0</v>
      </c>
      <c r="C217">
        <v>-5153</v>
      </c>
      <c r="D217">
        <v>-1653</v>
      </c>
      <c r="E217">
        <v>0</v>
      </c>
      <c r="F217">
        <v>-664</v>
      </c>
      <c r="G217">
        <v>-3072</v>
      </c>
      <c r="H217">
        <v>594</v>
      </c>
      <c r="I217">
        <v>-3748</v>
      </c>
      <c r="J217">
        <v>1627</v>
      </c>
      <c r="K217">
        <v>1946</v>
      </c>
    </row>
    <row r="218" spans="2:11" x14ac:dyDescent="0.25">
      <c r="B218">
        <v>-604</v>
      </c>
      <c r="C218">
        <v>0</v>
      </c>
      <c r="D218">
        <v>143</v>
      </c>
      <c r="E218">
        <v>794</v>
      </c>
      <c r="F218">
        <v>-89</v>
      </c>
      <c r="G218">
        <v>0</v>
      </c>
      <c r="H218">
        <v>0</v>
      </c>
      <c r="I218">
        <v>0</v>
      </c>
      <c r="J218">
        <v>0</v>
      </c>
      <c r="K218">
        <v>48217</v>
      </c>
    </row>
    <row r="219" spans="2:11" x14ac:dyDescent="0.25">
      <c r="B219">
        <v>0</v>
      </c>
      <c r="C219">
        <v>50694</v>
      </c>
      <c r="D219">
        <v>0</v>
      </c>
      <c r="E219">
        <v>49060</v>
      </c>
      <c r="F219">
        <v>49008</v>
      </c>
      <c r="G219">
        <v>0</v>
      </c>
      <c r="H219">
        <v>260</v>
      </c>
      <c r="I219">
        <v>409</v>
      </c>
      <c r="J219">
        <v>1914</v>
      </c>
      <c r="K219">
        <v>0</v>
      </c>
    </row>
    <row r="220" spans="2:11" x14ac:dyDescent="0.25">
      <c r="B220">
        <v>749</v>
      </c>
      <c r="C220">
        <v>78</v>
      </c>
      <c r="D220">
        <v>307</v>
      </c>
      <c r="E220">
        <v>513</v>
      </c>
      <c r="F220">
        <v>146</v>
      </c>
      <c r="G220">
        <v>286</v>
      </c>
      <c r="H220">
        <v>-261</v>
      </c>
      <c r="I220">
        <v>250</v>
      </c>
      <c r="J220">
        <v>94</v>
      </c>
      <c r="K220">
        <v>-128</v>
      </c>
    </row>
    <row r="221" spans="2:11" x14ac:dyDescent="0.25">
      <c r="B221">
        <v>-4099</v>
      </c>
      <c r="C221">
        <v>15916</v>
      </c>
      <c r="D221">
        <v>1359</v>
      </c>
      <c r="E221">
        <v>-453</v>
      </c>
      <c r="F221">
        <v>1497</v>
      </c>
      <c r="G221">
        <v>-1435</v>
      </c>
      <c r="H221">
        <v>11111</v>
      </c>
      <c r="I221">
        <v>-250</v>
      </c>
      <c r="J221">
        <v>6275</v>
      </c>
      <c r="K221">
        <v>-757</v>
      </c>
    </row>
    <row r="222" spans="2:11" x14ac:dyDescent="0.25">
      <c r="B222">
        <v>0</v>
      </c>
      <c r="C222">
        <v>2810</v>
      </c>
      <c r="D222">
        <v>1559</v>
      </c>
      <c r="E222">
        <v>0</v>
      </c>
      <c r="F222">
        <v>-3714</v>
      </c>
      <c r="G222">
        <v>-23118</v>
      </c>
      <c r="H222">
        <v>-1471</v>
      </c>
      <c r="I222">
        <v>3539</v>
      </c>
      <c r="J222">
        <v>-2562</v>
      </c>
      <c r="K222">
        <v>3047</v>
      </c>
    </row>
    <row r="223" spans="2:11" x14ac:dyDescent="0.25">
      <c r="B223">
        <v>-3026</v>
      </c>
      <c r="C223">
        <v>0</v>
      </c>
      <c r="D223">
        <v>4112</v>
      </c>
      <c r="E223">
        <v>2247</v>
      </c>
      <c r="F223">
        <v>15</v>
      </c>
      <c r="G223">
        <v>0</v>
      </c>
      <c r="H223">
        <v>0</v>
      </c>
      <c r="I223">
        <v>0</v>
      </c>
      <c r="J223">
        <v>0</v>
      </c>
      <c r="K223">
        <v>34531</v>
      </c>
    </row>
    <row r="224" spans="2:11" x14ac:dyDescent="0.25">
      <c r="B224">
        <v>0</v>
      </c>
      <c r="C224">
        <v>33420</v>
      </c>
      <c r="D224">
        <v>0</v>
      </c>
      <c r="E224">
        <v>30359</v>
      </c>
      <c r="F224">
        <v>34803</v>
      </c>
      <c r="G224">
        <v>31224</v>
      </c>
      <c r="H224">
        <v>0</v>
      </c>
      <c r="I224">
        <v>5242</v>
      </c>
      <c r="J224">
        <v>227</v>
      </c>
      <c r="K224">
        <v>1240</v>
      </c>
    </row>
    <row r="225" spans="2:11" x14ac:dyDescent="0.25">
      <c r="B225">
        <v>0</v>
      </c>
      <c r="C225">
        <v>2351</v>
      </c>
      <c r="D225">
        <v>2375</v>
      </c>
      <c r="E225">
        <v>3996</v>
      </c>
      <c r="F225">
        <v>415</v>
      </c>
      <c r="G225">
        <v>742</v>
      </c>
      <c r="H225">
        <v>269</v>
      </c>
      <c r="I225">
        <v>-119</v>
      </c>
      <c r="J225">
        <v>-369</v>
      </c>
      <c r="K225">
        <v>-710</v>
      </c>
    </row>
    <row r="226" spans="2:11" x14ac:dyDescent="0.25">
      <c r="B226">
        <v>-33</v>
      </c>
      <c r="C226">
        <v>5724</v>
      </c>
      <c r="D226">
        <v>4181</v>
      </c>
      <c r="E226">
        <v>2392</v>
      </c>
      <c r="F226">
        <v>-2188</v>
      </c>
      <c r="G226">
        <v>-5402</v>
      </c>
      <c r="H226">
        <v>-1636</v>
      </c>
      <c r="I226">
        <v>2913</v>
      </c>
      <c r="J226">
        <v>-1598</v>
      </c>
      <c r="K226">
        <v>9561</v>
      </c>
    </row>
    <row r="227" spans="2:11" x14ac:dyDescent="0.25">
      <c r="B227">
        <v>1003</v>
      </c>
      <c r="C227">
        <v>0</v>
      </c>
      <c r="D227">
        <v>4561</v>
      </c>
      <c r="E227">
        <v>-13635</v>
      </c>
      <c r="F227">
        <v>0</v>
      </c>
      <c r="G227">
        <v>1494</v>
      </c>
      <c r="H227">
        <v>-1684</v>
      </c>
      <c r="I227">
        <v>-232</v>
      </c>
      <c r="J227">
        <v>-1425</v>
      </c>
      <c r="K227">
        <v>2448</v>
      </c>
    </row>
    <row r="228" spans="2:11" x14ac:dyDescent="0.25">
      <c r="B228">
        <v>1293</v>
      </c>
      <c r="C228">
        <v>-266</v>
      </c>
      <c r="D228">
        <v>0</v>
      </c>
      <c r="E228">
        <v>339</v>
      </c>
      <c r="F228">
        <v>791</v>
      </c>
      <c r="G228">
        <v>-102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31929</v>
      </c>
      <c r="C229">
        <v>0</v>
      </c>
      <c r="D229">
        <v>31379</v>
      </c>
      <c r="E229">
        <v>0</v>
      </c>
      <c r="F229">
        <v>26767</v>
      </c>
      <c r="G229">
        <v>31206</v>
      </c>
      <c r="H229">
        <v>29819</v>
      </c>
      <c r="I229">
        <v>19412</v>
      </c>
      <c r="J229">
        <v>0</v>
      </c>
      <c r="K229">
        <v>3954</v>
      </c>
    </row>
    <row r="230" spans="2:11" x14ac:dyDescent="0.25">
      <c r="B230">
        <v>-1557</v>
      </c>
      <c r="C230">
        <v>464</v>
      </c>
      <c r="D230">
        <v>0</v>
      </c>
      <c r="E230">
        <v>2653</v>
      </c>
      <c r="F230">
        <v>1261</v>
      </c>
      <c r="G230">
        <v>3137</v>
      </c>
      <c r="H230">
        <v>-494</v>
      </c>
      <c r="I230">
        <v>186</v>
      </c>
      <c r="J230">
        <v>-53</v>
      </c>
      <c r="K230">
        <v>-749</v>
      </c>
    </row>
    <row r="231" spans="2:11" x14ac:dyDescent="0.25">
      <c r="B231">
        <v>187</v>
      </c>
      <c r="C231">
        <v>-683</v>
      </c>
      <c r="D231">
        <v>-268</v>
      </c>
      <c r="E231">
        <v>847</v>
      </c>
      <c r="F231">
        <v>2678</v>
      </c>
      <c r="G231">
        <v>2278</v>
      </c>
      <c r="H231">
        <v>124</v>
      </c>
      <c r="I231">
        <v>-1554</v>
      </c>
      <c r="J231">
        <v>3355</v>
      </c>
      <c r="K231">
        <v>13746</v>
      </c>
    </row>
    <row r="232" spans="2:11" x14ac:dyDescent="0.25">
      <c r="B232">
        <v>-1626</v>
      </c>
      <c r="C232">
        <v>-14510</v>
      </c>
      <c r="D232">
        <v>-3994</v>
      </c>
      <c r="E232">
        <v>0</v>
      </c>
      <c r="F232">
        <v>-934</v>
      </c>
      <c r="G232">
        <v>-571</v>
      </c>
      <c r="H232">
        <v>0</v>
      </c>
      <c r="I232">
        <v>-859</v>
      </c>
      <c r="J232">
        <v>-1797</v>
      </c>
      <c r="K232">
        <v>-229</v>
      </c>
    </row>
    <row r="233" spans="2:11" x14ac:dyDescent="0.25">
      <c r="B233">
        <v>-2689</v>
      </c>
      <c r="C233">
        <v>5458</v>
      </c>
      <c r="D233">
        <v>3281</v>
      </c>
      <c r="E233">
        <v>-1308</v>
      </c>
      <c r="F233">
        <v>0</v>
      </c>
      <c r="G233">
        <v>15</v>
      </c>
      <c r="H233">
        <v>509</v>
      </c>
      <c r="I233">
        <v>-61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42010</v>
      </c>
      <c r="E234">
        <v>0</v>
      </c>
      <c r="F234">
        <v>44244</v>
      </c>
      <c r="G234">
        <v>0</v>
      </c>
      <c r="H234">
        <v>43581</v>
      </c>
      <c r="I234">
        <v>43263</v>
      </c>
      <c r="J234">
        <v>47895</v>
      </c>
      <c r="K234">
        <v>26187</v>
      </c>
    </row>
    <row r="235" spans="2:11" x14ac:dyDescent="0.25">
      <c r="B235">
        <v>25642</v>
      </c>
      <c r="C235">
        <v>0</v>
      </c>
      <c r="D235">
        <v>3334</v>
      </c>
      <c r="E235">
        <v>-3446</v>
      </c>
      <c r="F235">
        <v>-909</v>
      </c>
      <c r="G235">
        <v>0</v>
      </c>
      <c r="H235">
        <v>1719</v>
      </c>
      <c r="I235">
        <v>1754</v>
      </c>
      <c r="J235">
        <v>2085</v>
      </c>
      <c r="K235">
        <v>-1605</v>
      </c>
    </row>
    <row r="236" spans="2:11" x14ac:dyDescent="0.25">
      <c r="B236">
        <v>-102</v>
      </c>
      <c r="C236">
        <v>-373</v>
      </c>
      <c r="D236">
        <v>-371</v>
      </c>
      <c r="E236">
        <v>538</v>
      </c>
      <c r="F236">
        <v>-710</v>
      </c>
      <c r="G236">
        <v>-288</v>
      </c>
      <c r="H236">
        <v>6429</v>
      </c>
      <c r="I236">
        <v>-9528</v>
      </c>
      <c r="J236">
        <v>1364</v>
      </c>
      <c r="K236">
        <v>-301</v>
      </c>
    </row>
    <row r="237" spans="2:11" x14ac:dyDescent="0.25">
      <c r="B237">
        <v>-1344</v>
      </c>
      <c r="C237">
        <v>-2340</v>
      </c>
      <c r="D237">
        <v>14413</v>
      </c>
      <c r="E237">
        <v>-2909</v>
      </c>
      <c r="F237">
        <v>4284</v>
      </c>
      <c r="G237">
        <v>-4102</v>
      </c>
      <c r="H237">
        <v>0</v>
      </c>
      <c r="I237">
        <v>7596</v>
      </c>
      <c r="J237">
        <v>-4649</v>
      </c>
      <c r="K237">
        <v>0</v>
      </c>
    </row>
    <row r="238" spans="2:11" x14ac:dyDescent="0.25">
      <c r="B238">
        <v>3135</v>
      </c>
      <c r="C238">
        <v>9564</v>
      </c>
      <c r="D238">
        <v>293</v>
      </c>
      <c r="E238">
        <v>-6940</v>
      </c>
      <c r="F238">
        <v>-3457</v>
      </c>
      <c r="G238">
        <v>557</v>
      </c>
      <c r="H238">
        <v>1293</v>
      </c>
      <c r="I238">
        <v>0</v>
      </c>
      <c r="J238">
        <v>-3402</v>
      </c>
      <c r="K238">
        <v>-805</v>
      </c>
    </row>
    <row r="239" spans="2:11" x14ac:dyDescent="0.25">
      <c r="B239">
        <v>-58</v>
      </c>
      <c r="C239">
        <v>0</v>
      </c>
      <c r="D239">
        <v>0</v>
      </c>
      <c r="E239">
        <v>0</v>
      </c>
      <c r="F239">
        <v>0</v>
      </c>
      <c r="G239">
        <v>49250</v>
      </c>
      <c r="H239">
        <v>0</v>
      </c>
      <c r="I239">
        <v>48391</v>
      </c>
      <c r="J239">
        <v>0</v>
      </c>
      <c r="K239">
        <v>35827</v>
      </c>
    </row>
    <row r="240" spans="2:11" x14ac:dyDescent="0.25">
      <c r="B240">
        <v>50201</v>
      </c>
      <c r="C240">
        <v>42172</v>
      </c>
      <c r="D240">
        <v>-20105</v>
      </c>
      <c r="E240">
        <v>26952</v>
      </c>
      <c r="F240">
        <v>39946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2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48</v>
      </c>
      <c r="J251">
        <v>245</v>
      </c>
      <c r="K251">
        <v>2105</v>
      </c>
    </row>
    <row r="252" spans="2:11" x14ac:dyDescent="0.25">
      <c r="B252">
        <v>0</v>
      </c>
      <c r="C252">
        <v>13</v>
      </c>
      <c r="D252">
        <v>-86</v>
      </c>
      <c r="E252">
        <v>-1</v>
      </c>
      <c r="F252">
        <v>99</v>
      </c>
      <c r="G252">
        <v>1781</v>
      </c>
      <c r="H252">
        <v>445</v>
      </c>
      <c r="I252">
        <v>-39</v>
      </c>
      <c r="J252">
        <v>318</v>
      </c>
      <c r="K252">
        <v>-159</v>
      </c>
    </row>
    <row r="253" spans="2:11" x14ac:dyDescent="0.25">
      <c r="B253">
        <v>-1404</v>
      </c>
      <c r="C253">
        <v>-1123</v>
      </c>
      <c r="D253">
        <v>-143</v>
      </c>
      <c r="E253">
        <v>8276</v>
      </c>
      <c r="F253">
        <v>-672</v>
      </c>
      <c r="G253">
        <v>-45</v>
      </c>
      <c r="H253">
        <v>-154</v>
      </c>
      <c r="I253">
        <v>181</v>
      </c>
      <c r="J253">
        <v>1922</v>
      </c>
      <c r="K253">
        <v>938</v>
      </c>
    </row>
    <row r="254" spans="2:11" x14ac:dyDescent="0.25">
      <c r="B254">
        <v>353</v>
      </c>
      <c r="C254">
        <v>0</v>
      </c>
      <c r="D254">
        <v>-537</v>
      </c>
      <c r="E254">
        <v>425</v>
      </c>
      <c r="F254">
        <v>0</v>
      </c>
      <c r="G254">
        <v>-676</v>
      </c>
      <c r="H254">
        <v>-1109</v>
      </c>
      <c r="I254">
        <v>-17068</v>
      </c>
      <c r="J254">
        <v>4003</v>
      </c>
      <c r="K254">
        <v>-649</v>
      </c>
    </row>
    <row r="255" spans="2:11" x14ac:dyDescent="0.25">
      <c r="B255">
        <v>469</v>
      </c>
      <c r="C255">
        <v>1704</v>
      </c>
      <c r="D255">
        <v>0</v>
      </c>
      <c r="E255">
        <v>78</v>
      </c>
      <c r="F255">
        <v>3502</v>
      </c>
      <c r="G255">
        <v>-37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396</v>
      </c>
      <c r="C256">
        <v>0</v>
      </c>
      <c r="D256">
        <v>-11070</v>
      </c>
      <c r="E256">
        <v>0</v>
      </c>
      <c r="F256">
        <v>1640</v>
      </c>
      <c r="G256">
        <v>-369</v>
      </c>
      <c r="H256">
        <v>1214</v>
      </c>
      <c r="I256">
        <v>2797</v>
      </c>
      <c r="J256">
        <v>535</v>
      </c>
      <c r="K256">
        <v>-235</v>
      </c>
    </row>
    <row r="257" spans="2:11" x14ac:dyDescent="0.25">
      <c r="B257">
        <v>-2270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864</v>
      </c>
      <c r="E263">
        <v>-286</v>
      </c>
      <c r="F263">
        <v>305</v>
      </c>
      <c r="G263">
        <v>0</v>
      </c>
      <c r="H263">
        <v>1131</v>
      </c>
      <c r="I263">
        <v>185</v>
      </c>
      <c r="J263">
        <v>610</v>
      </c>
      <c r="K263">
        <v>98</v>
      </c>
    </row>
    <row r="264" spans="2:11" x14ac:dyDescent="0.25">
      <c r="B264">
        <v>91</v>
      </c>
      <c r="C264">
        <v>-986</v>
      </c>
      <c r="D264">
        <v>-626</v>
      </c>
      <c r="E264">
        <v>-298</v>
      </c>
      <c r="F264">
        <v>100</v>
      </c>
      <c r="G264">
        <v>-426</v>
      </c>
      <c r="H264">
        <v>1290</v>
      </c>
      <c r="I264">
        <v>985</v>
      </c>
      <c r="J264">
        <v>759</v>
      </c>
      <c r="K264">
        <v>366</v>
      </c>
    </row>
    <row r="265" spans="2:11" x14ac:dyDescent="0.25">
      <c r="B265">
        <v>-2210</v>
      </c>
      <c r="C265">
        <v>-2024</v>
      </c>
      <c r="D265">
        <v>7963</v>
      </c>
      <c r="E265">
        <v>-4151</v>
      </c>
      <c r="F265">
        <v>2887</v>
      </c>
      <c r="G265">
        <v>-1546</v>
      </c>
      <c r="H265">
        <v>0</v>
      </c>
      <c r="I265">
        <v>493</v>
      </c>
      <c r="J265">
        <v>-34</v>
      </c>
      <c r="K265">
        <v>0</v>
      </c>
    </row>
    <row r="266" spans="2:11" x14ac:dyDescent="0.25">
      <c r="B266">
        <v>-1150</v>
      </c>
      <c r="C266">
        <v>-1776</v>
      </c>
      <c r="D266">
        <v>228</v>
      </c>
      <c r="E266">
        <v>-597</v>
      </c>
      <c r="F266">
        <v>2723</v>
      </c>
      <c r="G266">
        <v>1667</v>
      </c>
      <c r="H266">
        <v>-1288</v>
      </c>
      <c r="I266">
        <v>0</v>
      </c>
      <c r="J266">
        <v>123</v>
      </c>
      <c r="K266">
        <v>188</v>
      </c>
    </row>
    <row r="267" spans="2:11" x14ac:dyDescent="0.25">
      <c r="B267">
        <v>-46</v>
      </c>
      <c r="C267">
        <v>0</v>
      </c>
      <c r="D267">
        <v>0</v>
      </c>
      <c r="E267">
        <v>0</v>
      </c>
      <c r="F267">
        <v>0</v>
      </c>
      <c r="G267">
        <v>13607</v>
      </c>
      <c r="H267">
        <v>0</v>
      </c>
      <c r="I267">
        <v>17956</v>
      </c>
      <c r="J267">
        <v>0</v>
      </c>
      <c r="K267">
        <v>35813</v>
      </c>
    </row>
    <row r="268" spans="2:11" x14ac:dyDescent="0.25">
      <c r="B268">
        <v>-3163</v>
      </c>
      <c r="C268">
        <v>28277</v>
      </c>
      <c r="D268">
        <v>15341</v>
      </c>
      <c r="E268">
        <v>12165</v>
      </c>
      <c r="F268">
        <v>24013</v>
      </c>
      <c r="G268">
        <v>13589</v>
      </c>
      <c r="H268">
        <v>0</v>
      </c>
      <c r="I268">
        <v>0</v>
      </c>
      <c r="J268">
        <v>1308</v>
      </c>
      <c r="K268">
        <v>0</v>
      </c>
    </row>
    <row r="269" spans="2:11" x14ac:dyDescent="0.25">
      <c r="B269">
        <v>0</v>
      </c>
      <c r="C269">
        <v>1555</v>
      </c>
      <c r="D269">
        <v>32</v>
      </c>
      <c r="E269">
        <v>520</v>
      </c>
      <c r="F269">
        <v>0</v>
      </c>
      <c r="G269">
        <v>1253</v>
      </c>
      <c r="H269">
        <v>709</v>
      </c>
      <c r="I269">
        <v>1034</v>
      </c>
      <c r="J269">
        <v>-80</v>
      </c>
      <c r="K269">
        <v>223</v>
      </c>
    </row>
    <row r="270" spans="2:11" x14ac:dyDescent="0.25">
      <c r="B270">
        <v>95</v>
      </c>
      <c r="C270">
        <v>-307</v>
      </c>
      <c r="D270">
        <v>-344</v>
      </c>
      <c r="E270">
        <v>84</v>
      </c>
      <c r="F270">
        <v>113</v>
      </c>
      <c r="G270">
        <v>1412</v>
      </c>
      <c r="H270">
        <v>1599</v>
      </c>
      <c r="I270">
        <v>641</v>
      </c>
      <c r="J270">
        <v>-396</v>
      </c>
      <c r="K270">
        <v>-932</v>
      </c>
    </row>
    <row r="271" spans="2:11" x14ac:dyDescent="0.25">
      <c r="B271">
        <v>-2868</v>
      </c>
      <c r="C271">
        <v>6154</v>
      </c>
      <c r="D271">
        <v>-1151</v>
      </c>
      <c r="E271">
        <v>1905</v>
      </c>
      <c r="F271">
        <v>-1026</v>
      </c>
      <c r="G271">
        <v>0</v>
      </c>
      <c r="H271">
        <v>53</v>
      </c>
      <c r="I271">
        <v>-1293</v>
      </c>
      <c r="J271">
        <v>0</v>
      </c>
      <c r="K271">
        <v>148</v>
      </c>
    </row>
    <row r="272" spans="2:11" x14ac:dyDescent="0.25">
      <c r="B272">
        <v>-303</v>
      </c>
      <c r="C272">
        <v>-393</v>
      </c>
      <c r="D272">
        <v>-314</v>
      </c>
      <c r="E272">
        <v>2027</v>
      </c>
      <c r="F272">
        <v>1073</v>
      </c>
      <c r="G272">
        <v>210</v>
      </c>
      <c r="H272">
        <v>0</v>
      </c>
      <c r="I272">
        <v>405</v>
      </c>
      <c r="J272">
        <v>367</v>
      </c>
      <c r="K272">
        <v>-89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-13474</v>
      </c>
      <c r="G273">
        <v>0</v>
      </c>
      <c r="H273">
        <v>9715</v>
      </c>
      <c r="I273">
        <v>0</v>
      </c>
      <c r="J273">
        <v>27930</v>
      </c>
      <c r="K273">
        <v>6825</v>
      </c>
    </row>
    <row r="274" spans="2:11" x14ac:dyDescent="0.25">
      <c r="B274">
        <v>20912</v>
      </c>
      <c r="C274">
        <v>9563</v>
      </c>
      <c r="D274">
        <v>8696</v>
      </c>
      <c r="E274">
        <v>18546</v>
      </c>
      <c r="F274">
        <v>8593</v>
      </c>
      <c r="G274">
        <v>0</v>
      </c>
      <c r="H274">
        <v>0</v>
      </c>
      <c r="I274">
        <v>2503</v>
      </c>
      <c r="J274">
        <v>0</v>
      </c>
      <c r="K274">
        <v>24624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2:11" x14ac:dyDescent="0.25"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 x14ac:dyDescent="0.2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-238</v>
      </c>
      <c r="E281">
        <v>-588</v>
      </c>
      <c r="F281">
        <v>-404</v>
      </c>
      <c r="G281">
        <v>0</v>
      </c>
      <c r="H281">
        <v>-265</v>
      </c>
      <c r="I281">
        <v>-124</v>
      </c>
      <c r="J281">
        <v>435</v>
      </c>
      <c r="K281">
        <v>-27</v>
      </c>
    </row>
    <row r="282" spans="2:11" x14ac:dyDescent="0.25">
      <c r="B282">
        <v>-506</v>
      </c>
      <c r="C282">
        <v>395</v>
      </c>
      <c r="D282">
        <v>-2403</v>
      </c>
      <c r="E282">
        <v>66</v>
      </c>
      <c r="F282">
        <v>-320</v>
      </c>
      <c r="G282">
        <v>355</v>
      </c>
      <c r="H282">
        <v>-86</v>
      </c>
      <c r="I282">
        <v>1568</v>
      </c>
      <c r="J282">
        <v>660</v>
      </c>
      <c r="K282">
        <v>-596</v>
      </c>
    </row>
    <row r="283" spans="2:11" x14ac:dyDescent="0.25">
      <c r="B283">
        <v>-151</v>
      </c>
      <c r="C283">
        <v>586</v>
      </c>
      <c r="D283">
        <v>3926</v>
      </c>
      <c r="E283">
        <v>-994</v>
      </c>
      <c r="F283">
        <v>1697</v>
      </c>
      <c r="G283">
        <v>-4993</v>
      </c>
      <c r="H283">
        <v>0</v>
      </c>
      <c r="I283">
        <v>-936</v>
      </c>
      <c r="J283">
        <v>-196</v>
      </c>
      <c r="K283">
        <v>0</v>
      </c>
    </row>
    <row r="284" spans="2:11" x14ac:dyDescent="0.25">
      <c r="B284">
        <v>-123</v>
      </c>
      <c r="C284">
        <v>151</v>
      </c>
      <c r="D284">
        <v>487</v>
      </c>
      <c r="E284">
        <v>-1454</v>
      </c>
      <c r="F284">
        <v>2656</v>
      </c>
      <c r="G284">
        <v>-916</v>
      </c>
      <c r="H284">
        <v>1033</v>
      </c>
      <c r="I284">
        <v>0</v>
      </c>
      <c r="J284">
        <v>345</v>
      </c>
      <c r="K284">
        <v>184</v>
      </c>
    </row>
    <row r="285" spans="2:11" x14ac:dyDescent="0.25">
      <c r="B285">
        <v>79</v>
      </c>
      <c r="C285">
        <v>0</v>
      </c>
      <c r="D285">
        <v>0</v>
      </c>
      <c r="E285">
        <v>0</v>
      </c>
      <c r="F285">
        <v>0</v>
      </c>
      <c r="G285">
        <v>19140</v>
      </c>
      <c r="H285">
        <v>0</v>
      </c>
      <c r="I285">
        <v>15707</v>
      </c>
      <c r="J285">
        <v>0</v>
      </c>
      <c r="K285">
        <v>-35055</v>
      </c>
    </row>
    <row r="286" spans="2:11" x14ac:dyDescent="0.25">
      <c r="B286">
        <v>20179</v>
      </c>
      <c r="C286">
        <v>13188</v>
      </c>
      <c r="D286">
        <v>7647</v>
      </c>
      <c r="E286">
        <v>8386</v>
      </c>
      <c r="F286">
        <v>13273</v>
      </c>
      <c r="G286">
        <v>14062</v>
      </c>
      <c r="H286">
        <v>0</v>
      </c>
      <c r="I286">
        <v>0</v>
      </c>
      <c r="J286">
        <v>-468</v>
      </c>
      <c r="K286">
        <v>0</v>
      </c>
    </row>
    <row r="287" spans="2:11" x14ac:dyDescent="0.25">
      <c r="B287">
        <v>-11180</v>
      </c>
      <c r="C287">
        <v>-11056</v>
      </c>
      <c r="D287">
        <v>0</v>
      </c>
      <c r="E287">
        <v>0</v>
      </c>
      <c r="F287">
        <v>-3345</v>
      </c>
      <c r="G287">
        <v>-2523</v>
      </c>
      <c r="H287">
        <v>-614</v>
      </c>
      <c r="I287">
        <v>0</v>
      </c>
      <c r="J287">
        <v>-2808</v>
      </c>
      <c r="K287">
        <v>-979</v>
      </c>
    </row>
    <row r="288" spans="2:11" x14ac:dyDescent="0.25">
      <c r="B288">
        <v>-2273</v>
      </c>
      <c r="C288">
        <v>-1228</v>
      </c>
      <c r="D288">
        <v>-827</v>
      </c>
      <c r="E288">
        <v>-833</v>
      </c>
      <c r="F288">
        <v>-1386</v>
      </c>
      <c r="G288">
        <v>1036</v>
      </c>
      <c r="H288">
        <v>179</v>
      </c>
      <c r="I288">
        <v>-501</v>
      </c>
      <c r="J288">
        <v>-3013</v>
      </c>
      <c r="K288">
        <v>885</v>
      </c>
    </row>
    <row r="289" spans="2:11" x14ac:dyDescent="0.25">
      <c r="B289">
        <v>722</v>
      </c>
      <c r="C289">
        <v>774</v>
      </c>
      <c r="D289">
        <v>2062</v>
      </c>
      <c r="E289">
        <v>-2918</v>
      </c>
      <c r="F289">
        <v>-9929</v>
      </c>
      <c r="G289">
        <v>888</v>
      </c>
      <c r="H289">
        <v>10331</v>
      </c>
      <c r="I289">
        <v>2930</v>
      </c>
      <c r="J289">
        <v>0</v>
      </c>
      <c r="K289">
        <v>275</v>
      </c>
    </row>
    <row r="290" spans="2:11" x14ac:dyDescent="0.25">
      <c r="B290">
        <v>1882</v>
      </c>
      <c r="C290">
        <v>0</v>
      </c>
      <c r="D290">
        <v>533</v>
      </c>
      <c r="E290">
        <v>-3620</v>
      </c>
      <c r="F290">
        <v>-429</v>
      </c>
      <c r="G290">
        <v>-1934</v>
      </c>
      <c r="H290">
        <v>-2115</v>
      </c>
      <c r="I290">
        <v>1045</v>
      </c>
      <c r="J290">
        <v>-209</v>
      </c>
      <c r="K290">
        <v>0</v>
      </c>
    </row>
    <row r="291" spans="2:11" x14ac:dyDescent="0.25">
      <c r="B291">
        <v>802</v>
      </c>
      <c r="C291">
        <v>796</v>
      </c>
      <c r="D291">
        <v>-13</v>
      </c>
      <c r="E291">
        <v>0</v>
      </c>
      <c r="F291">
        <v>0</v>
      </c>
      <c r="G291">
        <v>0</v>
      </c>
      <c r="H291">
        <v>0</v>
      </c>
      <c r="I291">
        <v>57222</v>
      </c>
      <c r="J291">
        <v>0</v>
      </c>
      <c r="K291">
        <v>53765</v>
      </c>
    </row>
    <row r="292" spans="2:11" x14ac:dyDescent="0.25">
      <c r="B292">
        <v>0</v>
      </c>
      <c r="C292">
        <v>33899</v>
      </c>
      <c r="D292">
        <v>56844</v>
      </c>
      <c r="E292">
        <v>41052</v>
      </c>
      <c r="F292">
        <v>31413</v>
      </c>
      <c r="G292">
        <v>22223</v>
      </c>
      <c r="H292">
        <v>34739</v>
      </c>
      <c r="I292">
        <v>45364</v>
      </c>
      <c r="J292">
        <v>0</v>
      </c>
      <c r="K292">
        <v>0</v>
      </c>
    </row>
    <row r="293" spans="2:11" x14ac:dyDescent="0.25">
      <c r="B293">
        <v>-214</v>
      </c>
      <c r="C293">
        <v>0</v>
      </c>
      <c r="D293">
        <v>9313</v>
      </c>
      <c r="E293">
        <v>2538</v>
      </c>
      <c r="F293">
        <v>0</v>
      </c>
      <c r="G293">
        <v>14427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2:11" x14ac:dyDescent="0.25"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1275</v>
      </c>
      <c r="D300">
        <v>-557</v>
      </c>
      <c r="E300">
        <v>141</v>
      </c>
      <c r="F300">
        <v>0</v>
      </c>
      <c r="G300">
        <v>510</v>
      </c>
      <c r="H300">
        <v>517</v>
      </c>
      <c r="I300">
        <v>1208</v>
      </c>
      <c r="J300">
        <v>-197</v>
      </c>
      <c r="K300">
        <v>-123</v>
      </c>
    </row>
    <row r="301" spans="2:11" x14ac:dyDescent="0.25">
      <c r="B301">
        <v>-252</v>
      </c>
      <c r="C301">
        <v>-971</v>
      </c>
      <c r="D301">
        <v>979</v>
      </c>
      <c r="E301">
        <v>-536</v>
      </c>
      <c r="F301">
        <v>281</v>
      </c>
      <c r="G301">
        <v>771</v>
      </c>
      <c r="H301">
        <v>339</v>
      </c>
      <c r="I301">
        <v>510</v>
      </c>
      <c r="J301">
        <v>380</v>
      </c>
      <c r="K301">
        <v>831</v>
      </c>
    </row>
    <row r="302" spans="2:11" x14ac:dyDescent="0.25">
      <c r="B302">
        <v>-1811</v>
      </c>
      <c r="C302">
        <v>664</v>
      </c>
      <c r="D302">
        <v>648</v>
      </c>
      <c r="E302">
        <v>2381</v>
      </c>
      <c r="F302">
        <v>641</v>
      </c>
      <c r="G302">
        <v>0</v>
      </c>
      <c r="H302">
        <v>-1156</v>
      </c>
      <c r="I302">
        <v>459</v>
      </c>
      <c r="J302">
        <v>0</v>
      </c>
      <c r="K302">
        <v>-440</v>
      </c>
    </row>
    <row r="303" spans="2:11" x14ac:dyDescent="0.25">
      <c r="B303">
        <v>-1639</v>
      </c>
      <c r="C303">
        <v>233</v>
      </c>
      <c r="D303">
        <v>-1727</v>
      </c>
      <c r="E303">
        <v>-2471</v>
      </c>
      <c r="F303">
        <v>335</v>
      </c>
      <c r="G303">
        <v>71</v>
      </c>
      <c r="H303">
        <v>0</v>
      </c>
      <c r="I303">
        <v>-264</v>
      </c>
      <c r="J303">
        <v>221</v>
      </c>
      <c r="K303">
        <v>-2</v>
      </c>
    </row>
    <row r="304" spans="2:11" x14ac:dyDescent="0.25">
      <c r="B304">
        <v>0</v>
      </c>
      <c r="C304">
        <v>0</v>
      </c>
      <c r="D304">
        <v>0</v>
      </c>
      <c r="E304">
        <v>0</v>
      </c>
      <c r="F304">
        <v>27242</v>
      </c>
      <c r="G304">
        <v>0</v>
      </c>
      <c r="H304">
        <v>21474</v>
      </c>
      <c r="I304">
        <v>0</v>
      </c>
      <c r="J304">
        <v>1716</v>
      </c>
      <c r="K304">
        <v>26130</v>
      </c>
    </row>
    <row r="305" spans="2:11" x14ac:dyDescent="0.25">
      <c r="B305">
        <v>-33752</v>
      </c>
      <c r="C305">
        <v>9737</v>
      </c>
      <c r="D305">
        <v>9737</v>
      </c>
      <c r="E305">
        <v>4100</v>
      </c>
      <c r="F305">
        <v>20719</v>
      </c>
      <c r="G305">
        <v>0</v>
      </c>
      <c r="H305">
        <v>0</v>
      </c>
      <c r="I305">
        <v>-945</v>
      </c>
      <c r="J305">
        <v>0</v>
      </c>
      <c r="K305">
        <v>-10581</v>
      </c>
    </row>
    <row r="306" spans="2:11" x14ac:dyDescent="0.25">
      <c r="B306">
        <v>-12308</v>
      </c>
      <c r="C306">
        <v>0</v>
      </c>
      <c r="D306">
        <v>5527</v>
      </c>
      <c r="E306">
        <v>31540</v>
      </c>
      <c r="F306">
        <v>0</v>
      </c>
      <c r="G306">
        <v>0</v>
      </c>
      <c r="H306">
        <v>52</v>
      </c>
      <c r="I306">
        <v>-2883</v>
      </c>
      <c r="J306">
        <v>-686</v>
      </c>
      <c r="K306">
        <v>0</v>
      </c>
    </row>
    <row r="307" spans="2:11" x14ac:dyDescent="0.25">
      <c r="B307">
        <v>-530</v>
      </c>
      <c r="C307">
        <v>754</v>
      </c>
      <c r="D307">
        <v>672</v>
      </c>
      <c r="E307">
        <v>-1405</v>
      </c>
      <c r="F307">
        <v>-710</v>
      </c>
      <c r="G307">
        <v>112</v>
      </c>
      <c r="H307">
        <v>-770</v>
      </c>
      <c r="I307">
        <v>-273</v>
      </c>
      <c r="J307">
        <v>-563</v>
      </c>
      <c r="K307">
        <v>-257</v>
      </c>
    </row>
    <row r="308" spans="2:11" x14ac:dyDescent="0.25">
      <c r="B308">
        <v>3769</v>
      </c>
      <c r="C308">
        <v>2121</v>
      </c>
      <c r="D308">
        <v>1267</v>
      </c>
      <c r="E308">
        <v>-2937</v>
      </c>
      <c r="F308">
        <v>418</v>
      </c>
      <c r="G308">
        <v>-1204</v>
      </c>
      <c r="H308">
        <v>7341</v>
      </c>
      <c r="I308">
        <v>1345</v>
      </c>
      <c r="J308">
        <v>7535</v>
      </c>
      <c r="K308">
        <v>-7446</v>
      </c>
    </row>
    <row r="309" spans="2:11" x14ac:dyDescent="0.25">
      <c r="B309">
        <v>0</v>
      </c>
      <c r="C309">
        <v>-3031</v>
      </c>
      <c r="D309">
        <v>-515</v>
      </c>
      <c r="E309">
        <v>0</v>
      </c>
      <c r="F309">
        <v>808</v>
      </c>
      <c r="G309">
        <v>-2370</v>
      </c>
      <c r="H309">
        <v>-749</v>
      </c>
      <c r="I309">
        <v>-1764</v>
      </c>
      <c r="J309">
        <v>-9387</v>
      </c>
      <c r="K309">
        <v>-249</v>
      </c>
    </row>
    <row r="310" spans="2:11" x14ac:dyDescent="0.25">
      <c r="B310">
        <v>974</v>
      </c>
      <c r="C310">
        <v>0</v>
      </c>
      <c r="D310">
        <v>138</v>
      </c>
      <c r="E310">
        <v>510</v>
      </c>
      <c r="F310">
        <v>45</v>
      </c>
      <c r="G310">
        <v>0</v>
      </c>
      <c r="H310">
        <v>0</v>
      </c>
      <c r="I310">
        <v>0</v>
      </c>
      <c r="J310">
        <v>0</v>
      </c>
      <c r="K310">
        <v>53409</v>
      </c>
    </row>
    <row r="311" spans="2:11" x14ac:dyDescent="0.25">
      <c r="B311">
        <v>0</v>
      </c>
      <c r="C311">
        <v>46394</v>
      </c>
      <c r="D311">
        <v>0</v>
      </c>
      <c r="E311">
        <v>-13713</v>
      </c>
      <c r="F311">
        <v>52444</v>
      </c>
      <c r="G311">
        <v>26700</v>
      </c>
      <c r="H311">
        <v>24675</v>
      </c>
      <c r="I311">
        <v>22780</v>
      </c>
      <c r="J311">
        <v>23357</v>
      </c>
      <c r="K311">
        <v>41681</v>
      </c>
    </row>
    <row r="312" spans="2:11" x14ac:dyDescent="0.25">
      <c r="B312">
        <v>0</v>
      </c>
      <c r="C312">
        <v>0</v>
      </c>
      <c r="D312">
        <v>-1296</v>
      </c>
      <c r="E312">
        <v>0</v>
      </c>
      <c r="F312">
        <v>-7954</v>
      </c>
      <c r="G312">
        <v>-12243</v>
      </c>
      <c r="H312">
        <v>0</v>
      </c>
      <c r="I312">
        <v>44511</v>
      </c>
      <c r="J312">
        <v>55285</v>
      </c>
      <c r="K312">
        <v>0</v>
      </c>
    </row>
    <row r="313" spans="2:11" x14ac:dyDescent="0.25">
      <c r="B313">
        <v>39733</v>
      </c>
      <c r="C313">
        <v>0</v>
      </c>
      <c r="D313">
        <v>-104</v>
      </c>
      <c r="E313">
        <v>-1516</v>
      </c>
      <c r="F313">
        <v>-224</v>
      </c>
      <c r="G313">
        <v>0</v>
      </c>
      <c r="H313">
        <v>-528</v>
      </c>
      <c r="I313">
        <v>298</v>
      </c>
      <c r="J313">
        <v>-186</v>
      </c>
      <c r="K313">
        <v>-872</v>
      </c>
    </row>
    <row r="314" spans="2:11" x14ac:dyDescent="0.25">
      <c r="B314">
        <v>-319</v>
      </c>
      <c r="C314">
        <v>-184</v>
      </c>
      <c r="D314">
        <v>97</v>
      </c>
      <c r="E314">
        <v>541</v>
      </c>
      <c r="F314">
        <v>-221</v>
      </c>
      <c r="G314">
        <v>-189</v>
      </c>
      <c r="H314">
        <v>3578</v>
      </c>
      <c r="I314">
        <v>48</v>
      </c>
      <c r="J314">
        <v>379</v>
      </c>
      <c r="K314">
        <v>997</v>
      </c>
    </row>
    <row r="315" spans="2:11" x14ac:dyDescent="0.25">
      <c r="B315">
        <v>987</v>
      </c>
      <c r="C315">
        <v>-2936</v>
      </c>
      <c r="D315">
        <v>3830</v>
      </c>
      <c r="E315">
        <v>2144</v>
      </c>
      <c r="F315">
        <v>3244</v>
      </c>
      <c r="G315">
        <v>479</v>
      </c>
      <c r="H315">
        <v>0</v>
      </c>
      <c r="I315">
        <v>-2237</v>
      </c>
      <c r="J315">
        <v>-259</v>
      </c>
      <c r="K315">
        <v>0</v>
      </c>
    </row>
    <row r="316" spans="2:11" x14ac:dyDescent="0.25">
      <c r="B316">
        <v>563</v>
      </c>
      <c r="C316">
        <v>-2136</v>
      </c>
      <c r="D316">
        <v>-642</v>
      </c>
      <c r="E316">
        <v>-886</v>
      </c>
      <c r="F316">
        <v>-12673</v>
      </c>
      <c r="G316">
        <v>275</v>
      </c>
      <c r="H316">
        <v>82</v>
      </c>
      <c r="I316">
        <v>0</v>
      </c>
      <c r="J316">
        <v>-129</v>
      </c>
      <c r="K316">
        <v>242</v>
      </c>
    </row>
    <row r="317" spans="2:11" x14ac:dyDescent="0.25">
      <c r="B317">
        <v>21</v>
      </c>
      <c r="C317">
        <v>0</v>
      </c>
      <c r="D317">
        <v>0</v>
      </c>
      <c r="E317">
        <v>0</v>
      </c>
      <c r="F317">
        <v>0</v>
      </c>
      <c r="G317">
        <v>29748</v>
      </c>
      <c r="H317">
        <v>0</v>
      </c>
      <c r="I317">
        <v>24859</v>
      </c>
      <c r="J317">
        <v>0</v>
      </c>
      <c r="K317">
        <v>4959</v>
      </c>
    </row>
    <row r="318" spans="2:11" x14ac:dyDescent="0.25">
      <c r="B318">
        <v>28647</v>
      </c>
      <c r="C318">
        <v>8410</v>
      </c>
      <c r="D318">
        <v>13041</v>
      </c>
      <c r="E318">
        <v>11169</v>
      </c>
      <c r="F318">
        <v>-37845</v>
      </c>
      <c r="G318">
        <v>21901</v>
      </c>
      <c r="H318">
        <v>0</v>
      </c>
      <c r="I318">
        <v>0</v>
      </c>
      <c r="J318">
        <v>-810</v>
      </c>
      <c r="K318">
        <v>0</v>
      </c>
    </row>
    <row r="319" spans="2:11" x14ac:dyDescent="0.25">
      <c r="B319">
        <v>-7641</v>
      </c>
      <c r="C319">
        <v>-10566</v>
      </c>
      <c r="D319">
        <v>0</v>
      </c>
      <c r="E319">
        <v>5504</v>
      </c>
      <c r="F319">
        <v>32839</v>
      </c>
      <c r="G319">
        <v>0</v>
      </c>
      <c r="H319">
        <v>30567</v>
      </c>
      <c r="I319">
        <v>41370</v>
      </c>
      <c r="J319">
        <v>0</v>
      </c>
      <c r="K319">
        <v>0</v>
      </c>
    </row>
    <row r="320" spans="2:11" x14ac:dyDescent="0.2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2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2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2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2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2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-1010</v>
      </c>
      <c r="J326">
        <v>1416</v>
      </c>
      <c r="K326">
        <v>51</v>
      </c>
    </row>
    <row r="327" spans="2:11" x14ac:dyDescent="0.25">
      <c r="B327">
        <v>0</v>
      </c>
      <c r="C327">
        <v>-1196</v>
      </c>
      <c r="D327">
        <v>-397</v>
      </c>
      <c r="E327">
        <v>-677</v>
      </c>
      <c r="F327">
        <v>1959</v>
      </c>
      <c r="G327">
        <v>-106</v>
      </c>
      <c r="H327">
        <v>-97</v>
      </c>
      <c r="I327">
        <v>153</v>
      </c>
      <c r="J327">
        <v>-72</v>
      </c>
      <c r="K327">
        <v>4</v>
      </c>
    </row>
    <row r="328" spans="2:11" x14ac:dyDescent="0.25">
      <c r="B328">
        <v>-164</v>
      </c>
      <c r="C328">
        <v>389</v>
      </c>
      <c r="D328">
        <v>2070</v>
      </c>
      <c r="E328">
        <v>86</v>
      </c>
      <c r="F328">
        <v>-38</v>
      </c>
      <c r="G328">
        <v>249</v>
      </c>
      <c r="H328">
        <v>-659</v>
      </c>
      <c r="I328">
        <v>1651</v>
      </c>
      <c r="J328">
        <v>-734</v>
      </c>
      <c r="K328">
        <v>2172</v>
      </c>
    </row>
    <row r="329" spans="2:11" x14ac:dyDescent="0.25">
      <c r="B329">
        <v>-1902</v>
      </c>
      <c r="C329">
        <v>0</v>
      </c>
      <c r="D329">
        <v>-1580</v>
      </c>
      <c r="E329">
        <v>-1792</v>
      </c>
      <c r="F329">
        <v>0</v>
      </c>
      <c r="G329">
        <v>2107</v>
      </c>
      <c r="H329">
        <v>1374</v>
      </c>
      <c r="I329">
        <v>-400</v>
      </c>
      <c r="J329">
        <v>1655</v>
      </c>
      <c r="K329">
        <v>-747</v>
      </c>
    </row>
    <row r="330" spans="2:11" x14ac:dyDescent="0.25">
      <c r="B330">
        <v>258</v>
      </c>
      <c r="C330">
        <v>-184</v>
      </c>
      <c r="D330">
        <v>0</v>
      </c>
      <c r="E330">
        <v>2494</v>
      </c>
      <c r="F330">
        <v>284</v>
      </c>
      <c r="G330">
        <v>100</v>
      </c>
      <c r="H330">
        <v>0</v>
      </c>
      <c r="I330">
        <v>0</v>
      </c>
      <c r="J330">
        <v>0</v>
      </c>
      <c r="K330">
        <v>0</v>
      </c>
    </row>
    <row r="331" spans="2:11" x14ac:dyDescent="0.25">
      <c r="B331">
        <v>10765</v>
      </c>
      <c r="C331">
        <v>0</v>
      </c>
      <c r="D331">
        <v>9585</v>
      </c>
      <c r="E331">
        <v>0</v>
      </c>
      <c r="F331">
        <v>4195</v>
      </c>
      <c r="G331">
        <v>10368</v>
      </c>
      <c r="H331">
        <v>-2059</v>
      </c>
      <c r="I331">
        <v>12732</v>
      </c>
      <c r="J331">
        <v>4986</v>
      </c>
      <c r="K331">
        <v>4468</v>
      </c>
    </row>
    <row r="332" spans="2:11" x14ac:dyDescent="0.25">
      <c r="B332">
        <v>252</v>
      </c>
      <c r="C332">
        <v>0</v>
      </c>
      <c r="D332">
        <v>0</v>
      </c>
      <c r="E332">
        <v>-575</v>
      </c>
      <c r="F332">
        <v>0</v>
      </c>
      <c r="G332">
        <v>-648</v>
      </c>
      <c r="H332">
        <v>-1815</v>
      </c>
      <c r="I332">
        <v>0</v>
      </c>
      <c r="J332">
        <v>7862</v>
      </c>
      <c r="K332">
        <v>10543</v>
      </c>
    </row>
    <row r="333" spans="2:11" x14ac:dyDescent="0.25">
      <c r="B333">
        <v>0</v>
      </c>
      <c r="C333">
        <v>-1833</v>
      </c>
      <c r="D333">
        <v>10928</v>
      </c>
      <c r="E333">
        <v>4303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2:11" x14ac:dyDescent="0.2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2:11" x14ac:dyDescent="0.2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2:11" x14ac:dyDescent="0.2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2:11" x14ac:dyDescent="0.2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2:11" x14ac:dyDescent="0.2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2:11" x14ac:dyDescent="0.2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2:11" x14ac:dyDescent="0.2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2:11" x14ac:dyDescent="0.2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2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2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2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25"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</row>
    <row r="346" spans="2:11" x14ac:dyDescent="0.2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2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-453</v>
      </c>
      <c r="J347">
        <v>178</v>
      </c>
      <c r="K347">
        <v>-31</v>
      </c>
    </row>
    <row r="348" spans="2:11" x14ac:dyDescent="0.25">
      <c r="B348">
        <v>0</v>
      </c>
      <c r="C348">
        <v>-619</v>
      </c>
      <c r="D348">
        <v>-486</v>
      </c>
      <c r="E348">
        <v>228</v>
      </c>
      <c r="F348">
        <v>71</v>
      </c>
      <c r="G348">
        <v>-68</v>
      </c>
      <c r="H348">
        <v>-30</v>
      </c>
      <c r="I348">
        <v>-246</v>
      </c>
      <c r="J348">
        <v>-252</v>
      </c>
      <c r="K348">
        <v>859</v>
      </c>
    </row>
    <row r="349" spans="2:11" x14ac:dyDescent="0.25">
      <c r="B349">
        <v>44</v>
      </c>
      <c r="C349">
        <v>360</v>
      </c>
      <c r="D349">
        <v>-173</v>
      </c>
      <c r="E349">
        <v>-96</v>
      </c>
      <c r="F349">
        <v>961</v>
      </c>
      <c r="G349">
        <v>833</v>
      </c>
      <c r="H349">
        <v>-227</v>
      </c>
      <c r="I349">
        <v>235</v>
      </c>
      <c r="J349">
        <v>-259</v>
      </c>
      <c r="K349">
        <v>-12</v>
      </c>
    </row>
    <row r="350" spans="2:11" x14ac:dyDescent="0.25">
      <c r="B350">
        <v>-148</v>
      </c>
      <c r="C350">
        <v>0</v>
      </c>
      <c r="D350">
        <v>168</v>
      </c>
      <c r="E350">
        <v>-59</v>
      </c>
      <c r="F350">
        <v>0</v>
      </c>
      <c r="G350">
        <v>-102</v>
      </c>
      <c r="H350">
        <v>471</v>
      </c>
      <c r="I350">
        <v>46</v>
      </c>
      <c r="J350">
        <v>83</v>
      </c>
      <c r="K350">
        <v>5</v>
      </c>
    </row>
    <row r="351" spans="2:11" x14ac:dyDescent="0.25">
      <c r="B351">
        <v>-29</v>
      </c>
      <c r="C351">
        <v>113</v>
      </c>
      <c r="D351">
        <v>0</v>
      </c>
      <c r="E351">
        <v>-341</v>
      </c>
      <c r="F351">
        <v>-813</v>
      </c>
      <c r="G351">
        <v>-66</v>
      </c>
      <c r="H351">
        <v>0</v>
      </c>
      <c r="I351">
        <v>0</v>
      </c>
      <c r="J351">
        <v>0</v>
      </c>
      <c r="K351">
        <v>0</v>
      </c>
    </row>
    <row r="352" spans="2:11" x14ac:dyDescent="0.25">
      <c r="B352">
        <v>1004</v>
      </c>
      <c r="C352">
        <v>0</v>
      </c>
      <c r="D352">
        <v>950</v>
      </c>
      <c r="E352">
        <v>0</v>
      </c>
      <c r="F352">
        <v>548</v>
      </c>
      <c r="G352">
        <v>998</v>
      </c>
      <c r="H352">
        <v>308</v>
      </c>
      <c r="I352">
        <v>866</v>
      </c>
      <c r="J352">
        <v>533</v>
      </c>
      <c r="K352">
        <v>586</v>
      </c>
    </row>
    <row r="353" spans="2:11" x14ac:dyDescent="0.25">
      <c r="B353">
        <v>499</v>
      </c>
      <c r="C353">
        <v>0</v>
      </c>
      <c r="D353">
        <v>0</v>
      </c>
      <c r="E353">
        <v>-53</v>
      </c>
      <c r="F353">
        <v>0</v>
      </c>
      <c r="G353">
        <v>127</v>
      </c>
      <c r="H353">
        <v>20</v>
      </c>
      <c r="I353">
        <v>0</v>
      </c>
      <c r="J353">
        <v>505</v>
      </c>
      <c r="K353">
        <v>971</v>
      </c>
    </row>
    <row r="354" spans="2:11" x14ac:dyDescent="0.25">
      <c r="B354">
        <v>0</v>
      </c>
      <c r="C354">
        <v>60</v>
      </c>
      <c r="D354">
        <v>860</v>
      </c>
      <c r="E354">
        <v>400</v>
      </c>
      <c r="F354">
        <v>0</v>
      </c>
      <c r="G354">
        <v>5232</v>
      </c>
      <c r="H354">
        <v>0</v>
      </c>
      <c r="I354">
        <v>0</v>
      </c>
      <c r="J354">
        <v>0</v>
      </c>
      <c r="K354">
        <v>0</v>
      </c>
    </row>
    <row r="355" spans="2:11" x14ac:dyDescent="0.25"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2:11" x14ac:dyDescent="0.25"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</row>
    <row r="357" spans="2:11" x14ac:dyDescent="0.25"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</row>
    <row r="358" spans="2:11" x14ac:dyDescent="0.25"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</row>
    <row r="359" spans="2:11" x14ac:dyDescent="0.25"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</row>
    <row r="360" spans="2:11" x14ac:dyDescent="0.25"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</row>
    <row r="361" spans="2:11" x14ac:dyDescent="0.25"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</row>
    <row r="362" spans="2:11" x14ac:dyDescent="0.25"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</row>
    <row r="363" spans="2:11" x14ac:dyDescent="0.25"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</row>
    <row r="364" spans="2:11" x14ac:dyDescent="0.25"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</row>
    <row r="365" spans="2:11" x14ac:dyDescent="0.25"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</row>
    <row r="366" spans="2:11" x14ac:dyDescent="0.25"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</row>
    <row r="367" spans="2:11" x14ac:dyDescent="0.25"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</row>
    <row r="368" spans="2:11" x14ac:dyDescent="0.25"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</row>
    <row r="369" spans="2:11" x14ac:dyDescent="0.25"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</row>
    <row r="370" spans="2:11" x14ac:dyDescent="0.25"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</row>
    <row r="371" spans="2:11" x14ac:dyDescent="0.25"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</row>
    <row r="372" spans="2:11" x14ac:dyDescent="0.25"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</row>
    <row r="373" spans="2:11" x14ac:dyDescent="0.25"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</row>
    <row r="374" spans="2:11" x14ac:dyDescent="0.25"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</row>
    <row r="375" spans="2:11" x14ac:dyDescent="0.25"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</row>
    <row r="376" spans="2:11" x14ac:dyDescent="0.25"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</row>
    <row r="377" spans="2:11" x14ac:dyDescent="0.25">
      <c r="B377">
        <v>0</v>
      </c>
      <c r="C377">
        <v>-15297</v>
      </c>
      <c r="D377">
        <v>-775</v>
      </c>
      <c r="E377">
        <v>-668</v>
      </c>
      <c r="F377">
        <v>0</v>
      </c>
      <c r="G377">
        <v>-14492</v>
      </c>
      <c r="H377">
        <v>-6591</v>
      </c>
      <c r="I377">
        <v>-11466</v>
      </c>
      <c r="J377">
        <v>-1364</v>
      </c>
      <c r="K377">
        <v>-673</v>
      </c>
    </row>
    <row r="378" spans="2:11" x14ac:dyDescent="0.25">
      <c r="B378">
        <v>-913</v>
      </c>
      <c r="C378">
        <v>-463</v>
      </c>
      <c r="D378">
        <v>287</v>
      </c>
      <c r="E378">
        <v>3579</v>
      </c>
      <c r="F378">
        <v>-737</v>
      </c>
      <c r="G378">
        <v>-15394</v>
      </c>
      <c r="H378">
        <v>-2315</v>
      </c>
      <c r="I378">
        <v>-634</v>
      </c>
      <c r="J378">
        <v>4047</v>
      </c>
      <c r="K378">
        <v>-12349</v>
      </c>
    </row>
    <row r="379" spans="2:11" x14ac:dyDescent="0.25">
      <c r="B379">
        <v>2759</v>
      </c>
      <c r="C379">
        <v>2714</v>
      </c>
      <c r="D379">
        <v>4112</v>
      </c>
      <c r="E379">
        <v>1599</v>
      </c>
      <c r="F379">
        <v>994</v>
      </c>
      <c r="G379">
        <v>0</v>
      </c>
      <c r="H379">
        <v>-3308</v>
      </c>
      <c r="I379">
        <v>-761</v>
      </c>
      <c r="J379">
        <v>0</v>
      </c>
      <c r="K379">
        <v>2192</v>
      </c>
    </row>
    <row r="380" spans="2:11" x14ac:dyDescent="0.25">
      <c r="B380">
        <v>-585</v>
      </c>
      <c r="C380">
        <v>-247</v>
      </c>
      <c r="D380">
        <v>88</v>
      </c>
      <c r="E380">
        <v>1298</v>
      </c>
      <c r="F380">
        <v>268</v>
      </c>
      <c r="G380">
        <v>-1340</v>
      </c>
      <c r="H380">
        <v>0</v>
      </c>
      <c r="I380">
        <v>18904</v>
      </c>
      <c r="J380">
        <v>14540</v>
      </c>
      <c r="K380">
        <v>54872</v>
      </c>
    </row>
    <row r="381" spans="2:11" x14ac:dyDescent="0.25">
      <c r="B381">
        <v>0</v>
      </c>
      <c r="C381">
        <v>0</v>
      </c>
      <c r="D381">
        <v>0</v>
      </c>
      <c r="E381">
        <v>0</v>
      </c>
      <c r="F381">
        <v>-6163</v>
      </c>
      <c r="G381">
        <v>0</v>
      </c>
      <c r="H381">
        <v>-6123</v>
      </c>
      <c r="I381">
        <v>0</v>
      </c>
      <c r="J381">
        <v>-5346</v>
      </c>
      <c r="K381">
        <v>-5820</v>
      </c>
    </row>
    <row r="382" spans="2:11" x14ac:dyDescent="0.25">
      <c r="B382">
        <v>-6004</v>
      </c>
      <c r="C382">
        <v>-3188</v>
      </c>
      <c r="D382">
        <v>-4894</v>
      </c>
      <c r="E382">
        <v>-5374</v>
      </c>
      <c r="F382">
        <v>-6861</v>
      </c>
      <c r="G382">
        <v>0</v>
      </c>
      <c r="H382">
        <v>0</v>
      </c>
      <c r="I382">
        <v>137</v>
      </c>
      <c r="J382">
        <v>0</v>
      </c>
      <c r="K382">
        <v>-2225</v>
      </c>
    </row>
    <row r="383" spans="2:11" x14ac:dyDescent="0.25">
      <c r="B383">
        <v>-1848</v>
      </c>
      <c r="C383">
        <v>0</v>
      </c>
      <c r="D383">
        <v>-1216</v>
      </c>
      <c r="E383">
        <v>-4367</v>
      </c>
      <c r="F383">
        <v>0</v>
      </c>
      <c r="G383">
        <v>-2194</v>
      </c>
      <c r="H383">
        <v>-4192</v>
      </c>
      <c r="I383">
        <v>-2209</v>
      </c>
      <c r="J383">
        <v>0</v>
      </c>
      <c r="K383">
        <v>-455</v>
      </c>
    </row>
    <row r="384" spans="2:11" x14ac:dyDescent="0.25">
      <c r="B384">
        <v>0</v>
      </c>
      <c r="C384">
        <v>0</v>
      </c>
      <c r="D384">
        <v>-4019</v>
      </c>
      <c r="E384">
        <v>0</v>
      </c>
      <c r="F384">
        <v>0</v>
      </c>
      <c r="G384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AE80"/>
  <sheetViews>
    <sheetView topLeftCell="H1" workbookViewId="0">
      <selection activeCell="S7" sqref="S7"/>
    </sheetView>
  </sheetViews>
  <sheetFormatPr defaultRowHeight="15" x14ac:dyDescent="0.25"/>
  <cols>
    <col min="1" max="1" width="12.7109375" bestFit="1" customWidth="1" collapsed="1"/>
    <col min="2" max="2" width="11.5703125" bestFit="1" customWidth="1" collapsed="1"/>
    <col min="3" max="4" width="10.5703125" bestFit="1" customWidth="1" collapsed="1"/>
    <col min="5" max="5" width="11.5703125" bestFit="1" customWidth="1" collapsed="1"/>
    <col min="7" max="7" width="12.7109375" bestFit="1" customWidth="1" collapsed="1"/>
    <col min="8" max="8" width="11.5703125" bestFit="1" customWidth="1" collapsed="1"/>
    <col min="9" max="10" width="10.5703125" bestFit="1" customWidth="1" collapsed="1"/>
    <col min="11" max="11" width="11.5703125" bestFit="1" customWidth="1" collapsed="1"/>
    <col min="13" max="13" width="10.85546875" bestFit="1" customWidth="1" collapsed="1"/>
    <col min="14" max="14" width="16.42578125" bestFit="1" customWidth="1" collapsed="1"/>
    <col min="15" max="15" width="9.42578125" bestFit="1" customWidth="1" collapsed="1"/>
    <col min="16" max="16" width="5.5703125" customWidth="1" collapsed="1"/>
    <col min="17" max="17" width="16.42578125" bestFit="1" customWidth="1" collapsed="1"/>
    <col min="21" max="21" width="10" bestFit="1" customWidth="1" collapsed="1"/>
    <col min="22" max="23" width="17.5703125" bestFit="1" customWidth="1" collapsed="1"/>
  </cols>
  <sheetData>
    <row r="1" spans="1:31" x14ac:dyDescent="0.25">
      <c r="M1" s="49"/>
      <c r="T1" s="49" t="s">
        <v>296</v>
      </c>
      <c r="Z1" s="49" t="s">
        <v>295</v>
      </c>
    </row>
    <row r="2" spans="1:31" x14ac:dyDescent="0.25">
      <c r="V2" s="59" t="s">
        <v>250</v>
      </c>
      <c r="W2" s="59" t="s">
        <v>251</v>
      </c>
      <c r="Z2" s="97"/>
      <c r="AA2" s="49" t="s">
        <v>282</v>
      </c>
      <c r="AC2" s="97"/>
      <c r="AD2" s="97"/>
      <c r="AE2" s="97"/>
    </row>
    <row r="3" spans="1:31" x14ac:dyDescent="0.25">
      <c r="T3">
        <f>WorkLocationCoefficients!B11</f>
        <v>1</v>
      </c>
      <c r="U3" t="str">
        <f>WorkLocationCoefficients!C11</f>
        <v>Beta00001</v>
      </c>
      <c r="V3" s="53">
        <f>WorkLocationCoefficients!E11</f>
        <v>1</v>
      </c>
      <c r="W3" s="58">
        <f>_xlfn.IFNA(VLOOKUP(T3,$M$13:$Q$31,5,FALSE),V3)</f>
        <v>1</v>
      </c>
      <c r="Z3">
        <v>1</v>
      </c>
      <c r="AA3" s="41" t="s">
        <v>289</v>
      </c>
      <c r="AC3" s="97"/>
      <c r="AD3" s="97"/>
      <c r="AE3" s="97"/>
    </row>
    <row r="4" spans="1:31" x14ac:dyDescent="0.25">
      <c r="C4" s="11" t="s">
        <v>213</v>
      </c>
      <c r="I4" s="11" t="s">
        <v>230</v>
      </c>
      <c r="T4">
        <f>WorkLocationCoefficients!B12</f>
        <v>2</v>
      </c>
      <c r="U4" t="str">
        <f>WorkLocationCoefficients!C12</f>
        <v>Beta00002</v>
      </c>
      <c r="V4" s="53">
        <f>WorkLocationCoefficients!E12</f>
        <v>2.14949839843</v>
      </c>
      <c r="W4" s="58">
        <f t="shared" ref="W4:W67" si="0">_xlfn.IFNA(VLOOKUP(T4,$M$13:$Q$31,5,FALSE),V4)</f>
        <v>2.14949839843</v>
      </c>
      <c r="Z4">
        <v>2</v>
      </c>
      <c r="AA4" s="41" t="s">
        <v>290</v>
      </c>
      <c r="AC4" s="97"/>
      <c r="AD4" s="97"/>
      <c r="AE4" s="97"/>
    </row>
    <row r="5" spans="1:31" ht="15.75" thickBot="1" x14ac:dyDescent="0.3">
      <c r="A5" s="49" t="s">
        <v>231</v>
      </c>
      <c r="M5" s="71"/>
      <c r="N5" s="43"/>
      <c r="O5" s="43"/>
      <c r="P5" s="43"/>
      <c r="Q5" s="43"/>
      <c r="T5">
        <f>WorkLocationCoefficients!B13</f>
        <v>3</v>
      </c>
      <c r="U5" t="str">
        <f>WorkLocationCoefficients!C13</f>
        <v>Beta00003</v>
      </c>
      <c r="V5" s="53">
        <f>WorkLocationCoefficients!E13</f>
        <v>1.88565401973</v>
      </c>
      <c r="W5" s="58">
        <f t="shared" si="0"/>
        <v>1.88565401973</v>
      </c>
      <c r="Z5">
        <v>3</v>
      </c>
      <c r="AA5" s="97" t="s">
        <v>292</v>
      </c>
      <c r="AB5" s="97"/>
      <c r="AC5" s="97"/>
      <c r="AD5" s="97"/>
      <c r="AE5" s="97"/>
    </row>
    <row r="6" spans="1:31" x14ac:dyDescent="0.25">
      <c r="A6" s="5" t="s">
        <v>3</v>
      </c>
      <c r="B6" s="5" t="s">
        <v>9</v>
      </c>
      <c r="C6" s="5" t="s">
        <v>10</v>
      </c>
      <c r="D6" s="5" t="s">
        <v>11</v>
      </c>
      <c r="E6" s="5" t="s">
        <v>229</v>
      </c>
      <c r="G6" s="5" t="s">
        <v>3</v>
      </c>
      <c r="H6" s="5" t="s">
        <v>9</v>
      </c>
      <c r="I6" s="5" t="s">
        <v>10</v>
      </c>
      <c r="J6" s="5" t="s">
        <v>11</v>
      </c>
      <c r="K6" s="5" t="s">
        <v>229</v>
      </c>
      <c r="M6" s="72"/>
      <c r="N6" s="72"/>
      <c r="O6" s="72"/>
      <c r="P6" s="72"/>
      <c r="Q6" s="72"/>
      <c r="T6">
        <f>WorkLocationCoefficients!B14</f>
        <v>4</v>
      </c>
      <c r="U6" t="str">
        <f>WorkLocationCoefficients!C14</f>
        <v>Beta00004</v>
      </c>
      <c r="V6" s="53">
        <f>WorkLocationCoefficients!E14</f>
        <v>1.8034780813</v>
      </c>
      <c r="W6" s="58">
        <f t="shared" si="0"/>
        <v>1.8034780813</v>
      </c>
      <c r="Z6">
        <v>4</v>
      </c>
      <c r="AA6" s="97" t="s">
        <v>294</v>
      </c>
      <c r="AB6" s="97"/>
      <c r="AC6" s="97"/>
      <c r="AD6" s="97"/>
      <c r="AE6" s="97"/>
    </row>
    <row r="7" spans="1:31" x14ac:dyDescent="0.25">
      <c r="A7" s="48" t="s">
        <v>225</v>
      </c>
      <c r="B7" s="77">
        <f>SUM(TLFD!B11:B13)+0.5*(TLFD!B14)</f>
        <v>84610.939050000001</v>
      </c>
      <c r="C7" s="77">
        <f>SUM(TLFD!C11:C13)+0.5*(TLFD!C14)</f>
        <v>27581.903699999999</v>
      </c>
      <c r="D7" s="77">
        <f>SUM(TLFD!D11:D13)+0.5*(TLFD!D14)</f>
        <v>2735.6057499999997</v>
      </c>
      <c r="E7" s="77">
        <f>SUM(B7:D7)</f>
        <v>114928.4485</v>
      </c>
      <c r="G7" s="48" t="s">
        <v>225</v>
      </c>
      <c r="H7" s="77">
        <f>SUM(TLFD!H11:H13)+0.5*(TLFD!H14)</f>
        <v>169077.96434672168</v>
      </c>
      <c r="I7" s="77">
        <f>SUM(TLFD!I11:I13)+0.5*(TLFD!I14)</f>
        <v>79822.332075445694</v>
      </c>
      <c r="J7" s="77">
        <f>SUM(TLFD!J11:J13)+0.5*(TLFD!J14)</f>
        <v>23894.779589568483</v>
      </c>
      <c r="K7" s="77">
        <f>SUM(H7:J7)</f>
        <v>272795.07601173589</v>
      </c>
      <c r="M7" s="43"/>
      <c r="N7" s="63"/>
      <c r="O7" s="64"/>
      <c r="P7" s="64"/>
      <c r="Q7" s="63"/>
      <c r="T7">
        <f>WorkLocationCoefficients!B15</f>
        <v>5</v>
      </c>
      <c r="U7" t="str">
        <f>WorkLocationCoefficients!C15</f>
        <v>Beta00005</v>
      </c>
      <c r="V7" s="53">
        <f>WorkLocationCoefficients!E15</f>
        <v>0</v>
      </c>
      <c r="W7" s="58">
        <f t="shared" si="0"/>
        <v>0</v>
      </c>
      <c r="Z7" s="97">
        <v>5</v>
      </c>
      <c r="AA7" s="97" t="s">
        <v>283</v>
      </c>
      <c r="AB7" s="97"/>
      <c r="AC7" s="97"/>
      <c r="AD7" s="97"/>
      <c r="AE7" s="97"/>
    </row>
    <row r="8" spans="1:31" x14ac:dyDescent="0.25">
      <c r="A8" s="48" t="s">
        <v>226</v>
      </c>
      <c r="B8" s="77">
        <f>0.5*(TLFD!B14)+SUM(TLFD!B15:B20)</f>
        <v>523706.89454999991</v>
      </c>
      <c r="C8" s="77">
        <f>0.5*(TLFD!C14)+SUM(TLFD!C15:C20)</f>
        <v>136265.06459999998</v>
      </c>
      <c r="D8" s="77">
        <f>0.5*(TLFD!D14)+SUM(TLFD!D15:D20)</f>
        <v>24457.180849999997</v>
      </c>
      <c r="E8" s="77">
        <f>SUM(B8:D8)</f>
        <v>684429.1399999999</v>
      </c>
      <c r="G8" s="48" t="s">
        <v>226</v>
      </c>
      <c r="H8" s="77">
        <f>0.5*(TLFD!H14)+SUM(TLFD!H15:H20)</f>
        <v>477596.19234903151</v>
      </c>
      <c r="I8" s="77">
        <f>0.5*(TLFD!I14)+SUM(TLFD!I15:I20)</f>
        <v>131748.47911802554</v>
      </c>
      <c r="J8" s="77">
        <f>0.5*(TLFD!J14)+SUM(TLFD!J15:J20)</f>
        <v>38815.597760859622</v>
      </c>
      <c r="K8" s="77">
        <f>SUM(H8:J8)</f>
        <v>648160.26922791672</v>
      </c>
      <c r="M8" s="96" t="s">
        <v>257</v>
      </c>
      <c r="N8" s="63"/>
      <c r="O8" s="64"/>
      <c r="P8" s="64"/>
      <c r="Q8" s="63"/>
      <c r="T8" s="94">
        <f>WorkLocationCoefficients!B16</f>
        <v>6</v>
      </c>
      <c r="U8" s="94" t="str">
        <f>WorkLocationCoefficients!C16</f>
        <v>Beta00006</v>
      </c>
      <c r="V8" s="95">
        <f>WorkLocationCoefficients!E16</f>
        <v>1.1024115210600001</v>
      </c>
      <c r="W8" s="95">
        <f t="shared" si="0"/>
        <v>1.1024115210600001</v>
      </c>
      <c r="Z8" s="97"/>
      <c r="AA8" s="97"/>
      <c r="AB8" s="97"/>
      <c r="AC8" s="97"/>
      <c r="AD8" s="97"/>
      <c r="AE8" s="97"/>
    </row>
    <row r="9" spans="1:31" x14ac:dyDescent="0.25">
      <c r="A9" s="65" t="s">
        <v>227</v>
      </c>
      <c r="B9" s="79">
        <f>SUM(TLFD!B21:B101)</f>
        <v>776231.90599999973</v>
      </c>
      <c r="C9" s="79">
        <f>SUM(TLFD!C21:C101)</f>
        <v>173196.10349999994</v>
      </c>
      <c r="D9" s="79">
        <f>SUM(TLFD!D21:D101)</f>
        <v>34484.741099999999</v>
      </c>
      <c r="E9" s="79">
        <f>SUM(B9:D9)</f>
        <v>983912.75059999968</v>
      </c>
      <c r="G9" s="65" t="s">
        <v>227</v>
      </c>
      <c r="H9" s="79">
        <f>SUM(TLFD!H21:H101)</f>
        <v>763548.22255837079</v>
      </c>
      <c r="I9" s="79">
        <f>SUM(TLFD!I21:I101)</f>
        <v>119016.98290666362</v>
      </c>
      <c r="J9" s="79">
        <f>SUM(TLFD!J21:J101)</f>
        <v>28285.053646985438</v>
      </c>
      <c r="K9" s="79">
        <f>SUM(H9:J9)</f>
        <v>910850.25911201979</v>
      </c>
      <c r="M9" s="43" t="s">
        <v>258</v>
      </c>
      <c r="N9" s="63"/>
      <c r="O9" s="64"/>
      <c r="P9" s="64"/>
      <c r="Q9" s="63"/>
      <c r="T9" s="94">
        <f>WorkLocationCoefficients!B17</f>
        <v>7</v>
      </c>
      <c r="U9" s="94" t="str">
        <f>WorkLocationCoefficients!C17</f>
        <v>Beta00007</v>
      </c>
      <c r="V9" s="95">
        <f>WorkLocationCoefficients!E17</f>
        <v>-0.11176778012499999</v>
      </c>
      <c r="W9" s="95">
        <f t="shared" si="0"/>
        <v>0.67269517116604749</v>
      </c>
      <c r="Z9" s="97"/>
      <c r="AA9" s="98" t="s">
        <v>284</v>
      </c>
      <c r="AB9" s="97"/>
      <c r="AC9" s="97"/>
      <c r="AD9" s="97"/>
      <c r="AE9" s="97"/>
    </row>
    <row r="10" spans="1:31" ht="15.75" thickBot="1" x14ac:dyDescent="0.3">
      <c r="A10" s="67" t="s">
        <v>4</v>
      </c>
      <c r="B10" s="80">
        <f>SUM(B7:B9)</f>
        <v>1384549.7395999995</v>
      </c>
      <c r="C10" s="80">
        <f t="shared" ref="C10:E10" si="1">SUM(C7:C9)</f>
        <v>337043.07179999992</v>
      </c>
      <c r="D10" s="80">
        <f t="shared" si="1"/>
        <v>61677.527699999991</v>
      </c>
      <c r="E10" s="80">
        <f t="shared" si="1"/>
        <v>1783270.3390999995</v>
      </c>
      <c r="F10" s="43"/>
      <c r="G10" s="67" t="s">
        <v>4</v>
      </c>
      <c r="H10" s="80">
        <f>SUM(H7:H9)</f>
        <v>1410222.3792541241</v>
      </c>
      <c r="I10" s="80">
        <f t="shared" ref="I10:K10" si="2">SUM(I7:I9)</f>
        <v>330587.79410013487</v>
      </c>
      <c r="J10" s="80">
        <f t="shared" si="2"/>
        <v>90995.430997413539</v>
      </c>
      <c r="K10" s="80">
        <f t="shared" si="2"/>
        <v>1831805.6043516723</v>
      </c>
      <c r="L10" s="43"/>
      <c r="M10" s="43" t="s">
        <v>259</v>
      </c>
      <c r="N10" s="43"/>
      <c r="O10" s="43"/>
      <c r="P10" s="43"/>
      <c r="Q10" s="43"/>
      <c r="T10" s="94">
        <f>WorkLocationCoefficients!B18</f>
        <v>8</v>
      </c>
      <c r="U10" s="94" t="str">
        <f>WorkLocationCoefficients!C18</f>
        <v>Beta00008</v>
      </c>
      <c r="V10" s="95">
        <f>WorkLocationCoefficients!E18</f>
        <v>-0.16334177843100001</v>
      </c>
      <c r="W10" s="95">
        <f t="shared" si="0"/>
        <v>0.43489064169645558</v>
      </c>
      <c r="Z10" s="97">
        <v>1</v>
      </c>
      <c r="AA10" s="41" t="s">
        <v>289</v>
      </c>
      <c r="AB10" s="97"/>
      <c r="AC10" s="97"/>
      <c r="AD10" s="97"/>
      <c r="AE10" s="97"/>
    </row>
    <row r="11" spans="1:31" x14ac:dyDescent="0.25">
      <c r="T11">
        <f>WorkLocationCoefficients!B19</f>
        <v>9</v>
      </c>
      <c r="U11" t="str">
        <f>WorkLocationCoefficients!C19</f>
        <v>Beta00009</v>
      </c>
      <c r="V11" s="53">
        <f>WorkLocationCoefficients!E19</f>
        <v>-1.5661461968899999</v>
      </c>
      <c r="W11" s="58">
        <f t="shared" si="0"/>
        <v>-1.5661461968899999</v>
      </c>
      <c r="Z11" s="97">
        <v>2</v>
      </c>
      <c r="AA11" s="97" t="s">
        <v>285</v>
      </c>
      <c r="AB11" s="97"/>
      <c r="AC11" s="97"/>
      <c r="AD11" s="97"/>
      <c r="AE11" s="97"/>
    </row>
    <row r="12" spans="1:31" ht="15.75" thickBot="1" x14ac:dyDescent="0.3">
      <c r="A12" s="60" t="s">
        <v>255</v>
      </c>
      <c r="M12" s="11" t="s">
        <v>236</v>
      </c>
      <c r="T12">
        <f>WorkLocationCoefficients!B20</f>
        <v>10</v>
      </c>
      <c r="U12" t="str">
        <f>WorkLocationCoefficients!C20</f>
        <v>Beta00010</v>
      </c>
      <c r="V12" s="53">
        <f>WorkLocationCoefficients!E20</f>
        <v>-0.66779675448800002</v>
      </c>
      <c r="W12" s="58">
        <f t="shared" si="0"/>
        <v>-0.66779675448800002</v>
      </c>
      <c r="Z12" s="97">
        <v>3</v>
      </c>
      <c r="AA12" s="97" t="s">
        <v>286</v>
      </c>
      <c r="AB12" s="97"/>
      <c r="AC12" s="97"/>
      <c r="AD12" s="97"/>
      <c r="AE12" s="97"/>
    </row>
    <row r="13" spans="1:31" x14ac:dyDescent="0.25">
      <c r="A13" s="5" t="s">
        <v>3</v>
      </c>
      <c r="B13" s="5" t="s">
        <v>9</v>
      </c>
      <c r="C13" s="5" t="s">
        <v>10</v>
      </c>
      <c r="D13" s="5" t="s">
        <v>11</v>
      </c>
      <c r="E13" s="5" t="s">
        <v>229</v>
      </c>
      <c r="G13" s="5" t="s">
        <v>3</v>
      </c>
      <c r="H13" s="5" t="s">
        <v>9</v>
      </c>
      <c r="I13" s="5" t="s">
        <v>10</v>
      </c>
      <c r="J13" s="5" t="s">
        <v>11</v>
      </c>
      <c r="K13" s="5" t="s">
        <v>229</v>
      </c>
      <c r="M13" s="5" t="s">
        <v>237</v>
      </c>
      <c r="N13" s="5" t="s">
        <v>234</v>
      </c>
      <c r="O13" s="5" t="s">
        <v>232</v>
      </c>
      <c r="P13" s="5" t="s">
        <v>233</v>
      </c>
      <c r="Q13" s="5" t="s">
        <v>235</v>
      </c>
      <c r="T13">
        <f>WorkLocationCoefficients!B21</f>
        <v>11</v>
      </c>
      <c r="U13" t="str">
        <f>WorkLocationCoefficients!C21</f>
        <v>Beta00011</v>
      </c>
      <c r="V13" s="53">
        <f>WorkLocationCoefficients!E21</f>
        <v>1.5169080773200001</v>
      </c>
      <c r="W13" s="58">
        <f t="shared" si="0"/>
        <v>1.5169080773200001</v>
      </c>
      <c r="Z13" s="97">
        <v>4</v>
      </c>
      <c r="AA13" s="97" t="s">
        <v>287</v>
      </c>
      <c r="AB13" s="97"/>
      <c r="AC13" s="97"/>
      <c r="AD13" s="97"/>
      <c r="AE13" s="97"/>
    </row>
    <row r="14" spans="1:31" x14ac:dyDescent="0.25">
      <c r="A14" s="48" t="s">
        <v>225</v>
      </c>
      <c r="B14" s="76">
        <f>B7/B$10</f>
        <v>6.1110797705573476E-2</v>
      </c>
      <c r="C14" s="68">
        <f t="shared" ref="C14:E14" si="3">C7/C$10</f>
        <v>8.1834952288730015E-2</v>
      </c>
      <c r="D14" s="68">
        <f t="shared" si="3"/>
        <v>4.4353362594331099E-2</v>
      </c>
      <c r="E14" s="68">
        <f t="shared" si="3"/>
        <v>6.4448135529469611E-2</v>
      </c>
      <c r="G14" s="48" t="s">
        <v>225</v>
      </c>
      <c r="H14" s="76">
        <f>H7/H$10</f>
        <v>0.11989454062993109</v>
      </c>
      <c r="I14" s="68">
        <f t="shared" ref="I14:K14" si="4">I7/I$10</f>
        <v>0.24145577513750419</v>
      </c>
      <c r="J14" s="68">
        <f t="shared" si="4"/>
        <v>0.26259317998337378</v>
      </c>
      <c r="K14" s="68">
        <f t="shared" si="4"/>
        <v>0.14892141140068504</v>
      </c>
      <c r="M14">
        <v>6</v>
      </c>
      <c r="N14" s="55">
        <f>V8</f>
        <v>1.1024115210600001</v>
      </c>
      <c r="O14" s="9">
        <f>B14/H14</f>
        <v>0.50970459025485826</v>
      </c>
      <c r="P14" s="9">
        <f>LN(O14)-LN(O$14)</f>
        <v>0</v>
      </c>
      <c r="Q14" s="54">
        <f>N14+P14</f>
        <v>1.1024115210600001</v>
      </c>
      <c r="T14">
        <f>WorkLocationCoefficients!B22</f>
        <v>12</v>
      </c>
      <c r="U14" t="str">
        <f>WorkLocationCoefficients!C22</f>
        <v>Beta00012</v>
      </c>
      <c r="V14" s="53">
        <f>WorkLocationCoefficients!E22</f>
        <v>9.6281119029700005E-2</v>
      </c>
      <c r="W14" s="58">
        <f t="shared" si="0"/>
        <v>9.6281119029700005E-2</v>
      </c>
      <c r="Z14" s="97">
        <v>5</v>
      </c>
      <c r="AA14" s="97" t="s">
        <v>291</v>
      </c>
      <c r="AB14" s="97"/>
      <c r="AC14" s="97"/>
      <c r="AD14" s="97"/>
      <c r="AE14" s="97"/>
    </row>
    <row r="15" spans="1:31" x14ac:dyDescent="0.25">
      <c r="A15" s="48" t="s">
        <v>226</v>
      </c>
      <c r="B15" s="76">
        <f t="shared" ref="B15:E15" si="5">B8/B$10</f>
        <v>0.37825069014949247</v>
      </c>
      <c r="C15" s="68">
        <f t="shared" si="5"/>
        <v>0.40429569987084368</v>
      </c>
      <c r="D15" s="68">
        <f t="shared" si="5"/>
        <v>0.3965330933652193</v>
      </c>
      <c r="E15" s="68">
        <f t="shared" si="5"/>
        <v>0.38380559862024349</v>
      </c>
      <c r="G15" s="48" t="s">
        <v>226</v>
      </c>
      <c r="H15" s="76">
        <f t="shared" ref="H15:K15" si="6">H8/H$10</f>
        <v>0.33866729061670064</v>
      </c>
      <c r="I15" s="68">
        <f t="shared" si="6"/>
        <v>0.3985279598015618</v>
      </c>
      <c r="J15" s="68">
        <f t="shared" si="6"/>
        <v>0.42656644773695196</v>
      </c>
      <c r="K15" s="68">
        <f t="shared" si="6"/>
        <v>0.35383681963202579</v>
      </c>
      <c r="M15">
        <v>7</v>
      </c>
      <c r="N15" s="55">
        <f t="shared" ref="N15:N16" si="7">V9</f>
        <v>-0.11176778012499999</v>
      </c>
      <c r="O15" s="9">
        <f>B15/H15</f>
        <v>1.1168799013944095</v>
      </c>
      <c r="P15" s="9">
        <f t="shared" ref="P15" si="8">LN(O15)-LN(O$14)</f>
        <v>0.78446295129104748</v>
      </c>
      <c r="Q15" s="54">
        <f>N15+P15</f>
        <v>0.67269517116604749</v>
      </c>
      <c r="T15">
        <f>WorkLocationCoefficients!B23</f>
        <v>13</v>
      </c>
      <c r="U15" t="str">
        <f>WorkLocationCoefficients!C23</f>
        <v>Beta00013</v>
      </c>
      <c r="V15" s="53">
        <f>WorkLocationCoefficients!E23</f>
        <v>8.7280108952199995E-2</v>
      </c>
      <c r="W15" s="58">
        <f t="shared" si="0"/>
        <v>8.7280108952199995E-2</v>
      </c>
      <c r="Z15" s="97">
        <v>6</v>
      </c>
      <c r="AA15" s="97" t="s">
        <v>293</v>
      </c>
      <c r="AB15" s="97"/>
      <c r="AC15" s="97"/>
      <c r="AD15" s="97"/>
      <c r="AE15" s="97"/>
    </row>
    <row r="16" spans="1:31" x14ac:dyDescent="0.25">
      <c r="A16" s="65" t="s">
        <v>227</v>
      </c>
      <c r="B16" s="76">
        <f t="shared" ref="B16:E16" si="9">B9/B$10</f>
        <v>0.5606385121449341</v>
      </c>
      <c r="C16" s="68">
        <f t="shared" si="9"/>
        <v>0.51386934784042626</v>
      </c>
      <c r="D16" s="68">
        <f t="shared" si="9"/>
        <v>0.55911354404044966</v>
      </c>
      <c r="E16" s="68">
        <f t="shared" si="9"/>
        <v>0.55174626585028697</v>
      </c>
      <c r="G16" s="65" t="s">
        <v>227</v>
      </c>
      <c r="H16" s="76">
        <f t="shared" ref="H16:K16" si="10">H9/H$10</f>
        <v>0.54143816875336814</v>
      </c>
      <c r="I16" s="68">
        <f t="shared" si="10"/>
        <v>0.36001626506093398</v>
      </c>
      <c r="J16" s="68">
        <f t="shared" si="10"/>
        <v>0.31084037227967426</v>
      </c>
      <c r="K16" s="68">
        <f t="shared" si="10"/>
        <v>0.49724176896728917</v>
      </c>
      <c r="L16" s="43"/>
      <c r="M16" s="6">
        <v>8</v>
      </c>
      <c r="N16" s="56">
        <f t="shared" si="7"/>
        <v>-0.16334177843100001</v>
      </c>
      <c r="O16" s="14">
        <f>B16/H16</f>
        <v>1.0354617470648102</v>
      </c>
      <c r="P16" s="14">
        <f>LN(O16)-LN(O15)-LN(O$14)</f>
        <v>0.59823242012745559</v>
      </c>
      <c r="Q16" s="57">
        <f>N16+P16</f>
        <v>0.43489064169645558</v>
      </c>
      <c r="T16">
        <f>WorkLocationCoefficients!B24</f>
        <v>14</v>
      </c>
      <c r="U16" t="str">
        <f>WorkLocationCoefficients!C24</f>
        <v>Beta00014</v>
      </c>
      <c r="V16" s="53">
        <f>WorkLocationCoefficients!E24</f>
        <v>-0.65321648326299997</v>
      </c>
      <c r="W16" s="58">
        <f t="shared" si="0"/>
        <v>-0.65321648326299997</v>
      </c>
      <c r="Z16" s="97">
        <v>7</v>
      </c>
      <c r="AA16" s="97" t="s">
        <v>294</v>
      </c>
      <c r="AB16" s="97"/>
      <c r="AC16" s="97"/>
      <c r="AD16" s="97"/>
      <c r="AE16" s="97"/>
    </row>
    <row r="17" spans="1:31" ht="15.75" thickBot="1" x14ac:dyDescent="0.3">
      <c r="A17" s="67" t="s">
        <v>4</v>
      </c>
      <c r="B17" s="69">
        <f t="shared" ref="B17" si="11">B10/B$10</f>
        <v>1</v>
      </c>
      <c r="C17" s="69">
        <f t="shared" ref="C17" si="12">SUM(C14:C16)</f>
        <v>1</v>
      </c>
      <c r="D17" s="69">
        <f t="shared" ref="D17" si="13">SUM(D14:D16)</f>
        <v>1</v>
      </c>
      <c r="E17" s="69">
        <f t="shared" ref="E17" si="14">SUM(E14:E16)</f>
        <v>1</v>
      </c>
      <c r="F17" s="43"/>
      <c r="G17" s="67" t="s">
        <v>4</v>
      </c>
      <c r="H17" s="69">
        <f>SUM(H14:H16)</f>
        <v>0.99999999999999989</v>
      </c>
      <c r="I17" s="69">
        <f t="shared" ref="I17" si="15">SUM(I14:I16)</f>
        <v>1</v>
      </c>
      <c r="J17" s="69">
        <f t="shared" ref="J17" si="16">SUM(J14:J16)</f>
        <v>1</v>
      </c>
      <c r="K17" s="69">
        <f t="shared" ref="K17" si="17">SUM(K14:K16)</f>
        <v>1</v>
      </c>
      <c r="L17" s="43"/>
      <c r="M17" s="43"/>
      <c r="N17" s="63"/>
      <c r="O17" s="64"/>
      <c r="P17" s="64"/>
      <c r="Q17" s="63"/>
      <c r="T17">
        <f>WorkLocationCoefficients!B25</f>
        <v>15</v>
      </c>
      <c r="U17" t="str">
        <f>WorkLocationCoefficients!C25</f>
        <v>Beta00015</v>
      </c>
      <c r="V17" s="53">
        <f>WorkLocationCoefficients!E25</f>
        <v>-2.0836558474400002</v>
      </c>
      <c r="W17" s="58">
        <f t="shared" si="0"/>
        <v>-2.0836558474400002</v>
      </c>
      <c r="Z17" s="97">
        <v>8</v>
      </c>
      <c r="AA17" s="97" t="s">
        <v>288</v>
      </c>
      <c r="AB17" s="97"/>
      <c r="AC17" s="97"/>
      <c r="AD17" s="97"/>
      <c r="AE17" s="97"/>
    </row>
    <row r="18" spans="1:31" x14ac:dyDescent="0.25">
      <c r="A18" s="61"/>
      <c r="B18" s="62"/>
      <c r="C18" s="62"/>
      <c r="D18" s="62"/>
      <c r="E18" s="62"/>
      <c r="F18" s="43"/>
      <c r="G18" s="61"/>
      <c r="H18" s="62"/>
      <c r="I18" s="62"/>
      <c r="J18" s="62"/>
      <c r="K18" s="62"/>
      <c r="L18" s="43"/>
      <c r="M18" s="43"/>
      <c r="N18" s="63"/>
      <c r="O18" s="64"/>
      <c r="P18" s="64"/>
      <c r="Q18" s="63"/>
      <c r="T18">
        <f>WorkLocationCoefficients!B26</f>
        <v>16</v>
      </c>
      <c r="U18" t="str">
        <f>WorkLocationCoefficients!C26</f>
        <v>Beta00016</v>
      </c>
      <c r="V18" s="53">
        <f>WorkLocationCoefficients!E26</f>
        <v>0.12841955786000001</v>
      </c>
      <c r="W18" s="58">
        <f t="shared" si="0"/>
        <v>0.12841955786000001</v>
      </c>
    </row>
    <row r="19" spans="1:31" x14ac:dyDescent="0.25">
      <c r="A19" s="61"/>
      <c r="B19" s="62"/>
      <c r="C19" s="62"/>
      <c r="D19" s="62"/>
      <c r="E19" s="62"/>
      <c r="F19" s="43"/>
      <c r="G19" s="61"/>
      <c r="H19" s="62"/>
      <c r="I19" s="62"/>
      <c r="J19" s="62"/>
      <c r="K19" s="62"/>
      <c r="L19" s="43"/>
      <c r="M19" s="43"/>
      <c r="N19" s="63"/>
      <c r="O19" s="64"/>
      <c r="P19" s="64"/>
      <c r="Q19" s="63"/>
      <c r="R19" s="7"/>
      <c r="T19">
        <f>WorkLocationCoefficients!B27</f>
        <v>17</v>
      </c>
      <c r="U19" t="str">
        <f>WorkLocationCoefficients!C27</f>
        <v>Beta00017</v>
      </c>
      <c r="V19" s="53">
        <f>WorkLocationCoefficients!E27</f>
        <v>5.0032634056299999E-2</v>
      </c>
      <c r="W19" s="58">
        <f t="shared" si="0"/>
        <v>5.0032634056299999E-2</v>
      </c>
    </row>
    <row r="20" spans="1:31" x14ac:dyDescent="0.25">
      <c r="A20" s="43"/>
      <c r="B20" s="62"/>
      <c r="C20" s="62"/>
      <c r="D20" s="62"/>
      <c r="E20" s="62"/>
      <c r="F20" s="43"/>
      <c r="G20" s="43"/>
      <c r="H20" s="62"/>
      <c r="I20" s="62"/>
      <c r="J20" s="62"/>
      <c r="K20" s="62"/>
      <c r="L20" s="43"/>
      <c r="M20" s="43"/>
      <c r="N20" s="43"/>
      <c r="O20" s="43"/>
      <c r="P20" s="43"/>
      <c r="Q20" s="43"/>
      <c r="T20">
        <f>WorkLocationCoefficients!B28</f>
        <v>18</v>
      </c>
      <c r="U20" t="str">
        <f>WorkLocationCoefficients!C28</f>
        <v>Beta00018</v>
      </c>
      <c r="V20" s="53">
        <f>WorkLocationCoefficients!E28</f>
        <v>3.4162126485399999E-2</v>
      </c>
      <c r="W20" s="58">
        <f t="shared" si="0"/>
        <v>3.4162126485399999E-2</v>
      </c>
    </row>
    <row r="21" spans="1:31" x14ac:dyDescent="0.25">
      <c r="T21">
        <f>WorkLocationCoefficients!B29</f>
        <v>19</v>
      </c>
      <c r="U21" t="str">
        <f>WorkLocationCoefficients!C29</f>
        <v>Beta00019</v>
      </c>
      <c r="V21" s="53">
        <f>WorkLocationCoefficients!E29</f>
        <v>2.06192780063E-2</v>
      </c>
      <c r="W21" s="58">
        <f t="shared" si="0"/>
        <v>2.06192780063E-2</v>
      </c>
    </row>
    <row r="22" spans="1:31" x14ac:dyDescent="0.25">
      <c r="N22" s="50"/>
      <c r="Q22" s="51"/>
      <c r="T22">
        <f>WorkLocationCoefficients!B30</f>
        <v>20</v>
      </c>
      <c r="U22" t="str">
        <f>WorkLocationCoefficients!C30</f>
        <v>Beta00020</v>
      </c>
      <c r="V22" s="53">
        <f>WorkLocationCoefficients!E30</f>
        <v>0.70980117649899999</v>
      </c>
      <c r="W22" s="58">
        <f t="shared" si="0"/>
        <v>0.70980117649899999</v>
      </c>
    </row>
    <row r="23" spans="1:31" x14ac:dyDescent="0.25">
      <c r="A23" s="60" t="s">
        <v>254</v>
      </c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T23">
        <f>WorkLocationCoefficients!B31</f>
        <v>21</v>
      </c>
      <c r="U23" t="str">
        <f>WorkLocationCoefficients!C31</f>
        <v>Beta00021</v>
      </c>
      <c r="V23" s="53">
        <f>WorkLocationCoefficients!E31</f>
        <v>-0.21233099600700001</v>
      </c>
      <c r="W23" s="58">
        <f t="shared" si="0"/>
        <v>-0.21233099600700001</v>
      </c>
    </row>
    <row r="24" spans="1:31" ht="15.75" thickBot="1" x14ac:dyDescent="0.3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T24">
        <f>WorkLocationCoefficients!B32</f>
        <v>22</v>
      </c>
      <c r="U24" t="str">
        <f>WorkLocationCoefficients!C32</f>
        <v>Beta00022</v>
      </c>
      <c r="V24" s="53">
        <f>WorkLocationCoefficients!E32</f>
        <v>-0.100909331694</v>
      </c>
      <c r="W24" s="58">
        <f t="shared" si="0"/>
        <v>-0.100909331694</v>
      </c>
    </row>
    <row r="25" spans="1:31" x14ac:dyDescent="0.25">
      <c r="A25" s="5"/>
      <c r="B25" s="5" t="s">
        <v>256</v>
      </c>
      <c r="C25" s="70"/>
      <c r="D25" s="70"/>
      <c r="E25" s="70"/>
      <c r="G25" s="5"/>
      <c r="H25" s="5" t="s">
        <v>256</v>
      </c>
      <c r="I25" s="70"/>
      <c r="J25" s="70"/>
      <c r="K25" s="70"/>
      <c r="M25" s="72"/>
      <c r="N25" s="72"/>
      <c r="O25" s="72"/>
      <c r="P25" s="72"/>
      <c r="Q25" s="72"/>
      <c r="T25">
        <f>WorkLocationCoefficients!B33</f>
        <v>23</v>
      </c>
      <c r="U25" t="str">
        <f>WorkLocationCoefficients!C33</f>
        <v>Beta00023</v>
      </c>
      <c r="V25" s="53">
        <f>WorkLocationCoefficients!E33</f>
        <v>4.2307356465000001E-2</v>
      </c>
      <c r="W25" s="58">
        <f t="shared" si="0"/>
        <v>4.2307356465000001E-2</v>
      </c>
    </row>
    <row r="26" spans="1:31" x14ac:dyDescent="0.25">
      <c r="A26" s="66" t="s">
        <v>228</v>
      </c>
      <c r="B26" s="89">
        <f>WorkAtHome!E14</f>
        <v>4404.1235999999999</v>
      </c>
      <c r="C26" s="73"/>
      <c r="D26" s="73"/>
      <c r="E26" s="73"/>
      <c r="G26" s="66" t="s">
        <v>228</v>
      </c>
      <c r="H26" s="89">
        <f>WorkAtHome!L14</f>
        <v>72588.819316634967</v>
      </c>
      <c r="I26" s="73"/>
      <c r="J26" s="73"/>
      <c r="K26" s="73"/>
      <c r="L26" s="43"/>
      <c r="M26" s="43"/>
      <c r="N26" s="63"/>
      <c r="O26" s="64"/>
      <c r="P26" s="64"/>
      <c r="Q26" s="63"/>
      <c r="T26">
        <f>WorkLocationCoefficients!B34</f>
        <v>24</v>
      </c>
      <c r="U26" t="str">
        <f>WorkLocationCoefficients!C34</f>
        <v>Beta00024</v>
      </c>
      <c r="V26" s="53">
        <f>WorkLocationCoefficients!E34</f>
        <v>3.0386300234600001E-2</v>
      </c>
      <c r="W26" s="58">
        <f t="shared" si="0"/>
        <v>3.0386300234600001E-2</v>
      </c>
    </row>
    <row r="27" spans="1:31" ht="15.75" thickBot="1" x14ac:dyDescent="0.3">
      <c r="A27" s="67" t="s">
        <v>4</v>
      </c>
      <c r="B27" s="80">
        <f>WorkAtHome!E25</f>
        <v>1817236.162</v>
      </c>
      <c r="G27" s="67" t="s">
        <v>4</v>
      </c>
      <c r="H27" s="80">
        <f>WorkAtHome!L25</f>
        <v>1831805.6043516726</v>
      </c>
      <c r="I27" s="7"/>
      <c r="J27" s="7"/>
      <c r="K27" s="7"/>
      <c r="M27" s="43"/>
      <c r="N27" s="43"/>
      <c r="O27" s="43"/>
      <c r="P27" s="43"/>
      <c r="Q27" s="43"/>
      <c r="T27">
        <f>WorkLocationCoefficients!B35</f>
        <v>25</v>
      </c>
      <c r="U27" t="str">
        <f>WorkLocationCoefficients!C35</f>
        <v>Beta00025</v>
      </c>
      <c r="V27" s="53">
        <f>WorkLocationCoefficients!E35</f>
        <v>0.21754461703899999</v>
      </c>
      <c r="W27" s="58">
        <f t="shared" si="0"/>
        <v>0.21754461703899999</v>
      </c>
    </row>
    <row r="28" spans="1:31" x14ac:dyDescent="0.25">
      <c r="T28">
        <f>WorkLocationCoefficients!B36</f>
        <v>26</v>
      </c>
      <c r="U28" t="str">
        <f>WorkLocationCoefficients!C36</f>
        <v>Beta00026</v>
      </c>
      <c r="V28" s="53">
        <f>WorkLocationCoefficients!E36</f>
        <v>0</v>
      </c>
      <c r="W28" s="58">
        <f t="shared" si="0"/>
        <v>0</v>
      </c>
    </row>
    <row r="29" spans="1:31" ht="15.75" thickBot="1" x14ac:dyDescent="0.3">
      <c r="A29" t="s">
        <v>255</v>
      </c>
      <c r="T29">
        <f>WorkLocationCoefficients!B37</f>
        <v>27</v>
      </c>
      <c r="U29" t="str">
        <f>WorkLocationCoefficients!C37</f>
        <v>Beta00027</v>
      </c>
      <c r="V29" s="53">
        <f>WorkLocationCoefficients!E37</f>
        <v>-9.1127176217099995E-2</v>
      </c>
      <c r="W29" s="58">
        <f t="shared" si="0"/>
        <v>-9.1127176217099995E-2</v>
      </c>
    </row>
    <row r="30" spans="1:31" x14ac:dyDescent="0.25">
      <c r="A30" s="5"/>
      <c r="B30" s="5" t="s">
        <v>256</v>
      </c>
      <c r="C30" s="70"/>
      <c r="D30" s="70"/>
      <c r="E30" s="70"/>
      <c r="G30" s="5"/>
      <c r="H30" s="5" t="s">
        <v>256</v>
      </c>
      <c r="I30" s="70"/>
      <c r="J30" s="70"/>
      <c r="K30" s="70"/>
      <c r="M30" s="5" t="s">
        <v>237</v>
      </c>
      <c r="N30" s="5" t="s">
        <v>234</v>
      </c>
      <c r="O30" s="5" t="s">
        <v>232</v>
      </c>
      <c r="P30" s="5" t="s">
        <v>233</v>
      </c>
      <c r="Q30" s="5" t="s">
        <v>235</v>
      </c>
      <c r="T30">
        <f>WorkLocationCoefficients!B38</f>
        <v>28</v>
      </c>
      <c r="U30" t="str">
        <f>WorkLocationCoefficients!C38</f>
        <v>Beta00028</v>
      </c>
      <c r="V30" s="53">
        <f>WorkLocationCoefficients!E38</f>
        <v>4.6096337213499997E-2</v>
      </c>
      <c r="W30" s="58">
        <f t="shared" si="0"/>
        <v>4.6096337213499997E-2</v>
      </c>
    </row>
    <row r="31" spans="1:31" x14ac:dyDescent="0.25">
      <c r="A31" s="66" t="s">
        <v>228</v>
      </c>
      <c r="B31" s="75">
        <f>B26/B27</f>
        <v>2.4235284835807708E-3</v>
      </c>
      <c r="C31" s="73"/>
      <c r="D31" s="73"/>
      <c r="E31" s="73"/>
      <c r="G31" s="66" t="s">
        <v>228</v>
      </c>
      <c r="H31" s="75">
        <f>H26/H27</f>
        <v>3.9626922826413224E-2</v>
      </c>
      <c r="I31" s="73"/>
      <c r="J31" s="73"/>
      <c r="K31" s="73"/>
      <c r="M31" s="6">
        <v>41</v>
      </c>
      <c r="N31" s="56">
        <f>V39</f>
        <v>2.5</v>
      </c>
      <c r="O31" s="14">
        <f>B31/H31</f>
        <v>6.1158634350618163E-2</v>
      </c>
      <c r="P31" s="14">
        <f>LN(O31)</f>
        <v>-2.7942842272971573</v>
      </c>
      <c r="Q31" s="57">
        <f t="shared" ref="Q31" si="18">N31+P31</f>
        <v>-0.29428422729715731</v>
      </c>
      <c r="T31">
        <f>WorkLocationCoefficients!B39</f>
        <v>29</v>
      </c>
      <c r="U31" t="str">
        <f>WorkLocationCoefficients!C39</f>
        <v>Beta00029</v>
      </c>
      <c r="V31" s="53">
        <f>WorkLocationCoefficients!E39</f>
        <v>0</v>
      </c>
      <c r="W31" s="58">
        <f t="shared" si="0"/>
        <v>0</v>
      </c>
    </row>
    <row r="32" spans="1:31" ht="15.75" thickBot="1" x14ac:dyDescent="0.3">
      <c r="A32" s="67" t="s">
        <v>4</v>
      </c>
      <c r="B32" s="74">
        <f>B27/B27</f>
        <v>1</v>
      </c>
      <c r="G32" s="67" t="s">
        <v>4</v>
      </c>
      <c r="H32" s="74">
        <f>H27/H27</f>
        <v>1</v>
      </c>
      <c r="T32">
        <f>WorkLocationCoefficients!B40</f>
        <v>30</v>
      </c>
      <c r="U32" t="str">
        <f>WorkLocationCoefficients!C40</f>
        <v>Beta00030</v>
      </c>
      <c r="V32" s="53">
        <f>WorkLocationCoefficients!E40</f>
        <v>-6.3121901013000001E-3</v>
      </c>
      <c r="W32" s="58">
        <f t="shared" si="0"/>
        <v>-6.3121901013000001E-3</v>
      </c>
    </row>
    <row r="33" spans="20:23" x14ac:dyDescent="0.25">
      <c r="T33">
        <f>WorkLocationCoefficients!B41</f>
        <v>31</v>
      </c>
      <c r="U33" t="str">
        <f>WorkLocationCoefficients!C41</f>
        <v>Beta00031</v>
      </c>
      <c r="V33" s="53">
        <f>WorkLocationCoefficients!E41</f>
        <v>-0.13401376001099999</v>
      </c>
      <c r="W33" s="58">
        <f t="shared" si="0"/>
        <v>-0.13401376001099999</v>
      </c>
    </row>
    <row r="34" spans="20:23" x14ac:dyDescent="0.25">
      <c r="T34">
        <f>WorkLocationCoefficients!B42</f>
        <v>32</v>
      </c>
      <c r="U34" t="str">
        <f>WorkLocationCoefficients!C42</f>
        <v>Beta00032</v>
      </c>
      <c r="V34" s="53">
        <f>WorkLocationCoefficients!E42</f>
        <v>0.15253604736900001</v>
      </c>
      <c r="W34" s="58">
        <f t="shared" si="0"/>
        <v>0.15253604736900001</v>
      </c>
    </row>
    <row r="35" spans="20:23" x14ac:dyDescent="0.25">
      <c r="T35">
        <f>WorkLocationCoefficients!B43</f>
        <v>33</v>
      </c>
      <c r="U35" t="str">
        <f>WorkLocationCoefficients!C43</f>
        <v>Beta00033</v>
      </c>
      <c r="V35" s="53">
        <f>WorkLocationCoefficients!E43</f>
        <v>-0.25509812605400001</v>
      </c>
      <c r="W35" s="58">
        <f t="shared" si="0"/>
        <v>-0.25509812605400001</v>
      </c>
    </row>
    <row r="36" spans="20:23" x14ac:dyDescent="0.25">
      <c r="T36">
        <f>WorkLocationCoefficients!B44</f>
        <v>34</v>
      </c>
      <c r="U36" t="str">
        <f>WorkLocationCoefficients!C44</f>
        <v>Beta00034</v>
      </c>
      <c r="V36" s="53">
        <f>WorkLocationCoefficients!E44</f>
        <v>0.16041234343999999</v>
      </c>
      <c r="W36" s="58">
        <f t="shared" si="0"/>
        <v>0.16041234343999999</v>
      </c>
    </row>
    <row r="37" spans="20:23" x14ac:dyDescent="0.25">
      <c r="T37">
        <f>WorkLocationCoefficients!B45</f>
        <v>35</v>
      </c>
      <c r="U37" t="str">
        <f>WorkLocationCoefficients!C45</f>
        <v>Beta00035</v>
      </c>
      <c r="V37" s="53">
        <f>WorkLocationCoefficients!E45</f>
        <v>0.15648588405700001</v>
      </c>
      <c r="W37" s="58">
        <f t="shared" si="0"/>
        <v>0.15648588405700001</v>
      </c>
    </row>
    <row r="38" spans="20:23" x14ac:dyDescent="0.25">
      <c r="T38">
        <f>WorkLocationCoefficients!B46</f>
        <v>36</v>
      </c>
      <c r="U38" t="str">
        <f>WorkLocationCoefficients!C46</f>
        <v>Beta00036</v>
      </c>
      <c r="V38" s="53">
        <f>WorkLocationCoefficients!E46</f>
        <v>-0.21178599557</v>
      </c>
      <c r="W38" s="58">
        <f t="shared" si="0"/>
        <v>-0.21178599557</v>
      </c>
    </row>
    <row r="39" spans="20:23" x14ac:dyDescent="0.25">
      <c r="T39" s="94">
        <f>WorkLocationCoefficients!B47</f>
        <v>41</v>
      </c>
      <c r="U39" s="94" t="str">
        <f>WorkLocationCoefficients!C47</f>
        <v>Beta00041</v>
      </c>
      <c r="V39" s="95">
        <f>WorkLocationCoefficients!E47</f>
        <v>2.5</v>
      </c>
      <c r="W39" s="95">
        <f t="shared" si="0"/>
        <v>-0.29428422729715731</v>
      </c>
    </row>
    <row r="40" spans="20:23" x14ac:dyDescent="0.25">
      <c r="T40">
        <f>WorkLocationCoefficients!B48</f>
        <v>42</v>
      </c>
      <c r="U40" t="str">
        <f>WorkLocationCoefficients!C48</f>
        <v>Beta00042</v>
      </c>
      <c r="V40" s="53">
        <f>WorkLocationCoefficients!E48</f>
        <v>1.73714658904</v>
      </c>
      <c r="W40" s="58">
        <f t="shared" si="0"/>
        <v>1.73714658904</v>
      </c>
    </row>
    <row r="41" spans="20:23" x14ac:dyDescent="0.25">
      <c r="T41">
        <f>WorkLocationCoefficients!B49</f>
        <v>43</v>
      </c>
      <c r="U41" t="str">
        <f>WorkLocationCoefficients!C49</f>
        <v>Beta00043</v>
      </c>
      <c r="V41" s="53">
        <f>WorkLocationCoefficients!E49</f>
        <v>2.4212998718800001</v>
      </c>
      <c r="W41" s="58">
        <f t="shared" si="0"/>
        <v>2.4212998718800001</v>
      </c>
    </row>
    <row r="42" spans="20:23" x14ac:dyDescent="0.25">
      <c r="T42">
        <f>WorkLocationCoefficients!B50</f>
        <v>44</v>
      </c>
      <c r="U42" t="str">
        <f>WorkLocationCoefficients!C50</f>
        <v>Beta00044</v>
      </c>
      <c r="V42" s="53">
        <f>WorkLocationCoefficients!E50</f>
        <v>-0.66840803487400002</v>
      </c>
      <c r="W42" s="58">
        <f t="shared" si="0"/>
        <v>-0.66840803487400002</v>
      </c>
    </row>
    <row r="43" spans="20:23" x14ac:dyDescent="0.25">
      <c r="T43">
        <f>WorkLocationCoefficients!B51</f>
        <v>46</v>
      </c>
      <c r="U43" t="str">
        <f>WorkLocationCoefficients!C51</f>
        <v>Distover20</v>
      </c>
      <c r="V43" s="53">
        <f>WorkLocationCoefficients!E51</f>
        <v>0</v>
      </c>
      <c r="W43" s="58">
        <f t="shared" si="0"/>
        <v>0</v>
      </c>
    </row>
    <row r="44" spans="20:23" x14ac:dyDescent="0.25">
      <c r="T44">
        <f>WorkLocationCoefficients!B52</f>
        <v>47</v>
      </c>
      <c r="U44" t="str">
        <f>WorkLocationCoefficients!C52</f>
        <v>Distover30</v>
      </c>
      <c r="V44" s="53">
        <f>WorkLocationCoefficients!E52</f>
        <v>0</v>
      </c>
      <c r="W44" s="58">
        <f t="shared" si="0"/>
        <v>0</v>
      </c>
    </row>
    <row r="45" spans="20:23" x14ac:dyDescent="0.25">
      <c r="T45">
        <f>WorkLocationCoefficients!B53</f>
        <v>48</v>
      </c>
      <c r="U45" t="str">
        <f>WorkLocationCoefficients!C53</f>
        <v>Distover40</v>
      </c>
      <c r="V45" s="53">
        <f>WorkLocationCoefficients!E53</f>
        <v>0</v>
      </c>
      <c r="W45" s="58">
        <f t="shared" si="0"/>
        <v>0</v>
      </c>
    </row>
    <row r="46" spans="20:23" x14ac:dyDescent="0.25">
      <c r="T46">
        <f>WorkLocationCoefficients!B54</f>
        <v>49</v>
      </c>
      <c r="U46" t="str">
        <f>WorkLocationCoefficients!C54</f>
        <v>Beta00049</v>
      </c>
      <c r="V46" s="53">
        <f>WorkLocationCoefficients!E54</f>
        <v>-4</v>
      </c>
      <c r="W46" s="58">
        <f t="shared" si="0"/>
        <v>-4</v>
      </c>
    </row>
    <row r="47" spans="20:23" x14ac:dyDescent="0.25">
      <c r="T47">
        <f>WorkLocationCoefficients!B55</f>
        <v>50</v>
      </c>
      <c r="U47" t="str">
        <f>WorkLocationCoefficients!C55</f>
        <v>LSM_050</v>
      </c>
      <c r="V47" s="53">
        <f>WorkLocationCoefficients!E55</f>
        <v>0.75</v>
      </c>
      <c r="W47" s="58">
        <f t="shared" si="0"/>
        <v>0.75</v>
      </c>
    </row>
    <row r="48" spans="20:23" x14ac:dyDescent="0.25">
      <c r="T48">
        <f>WorkLocationCoefficients!B56</f>
        <v>51</v>
      </c>
      <c r="U48" t="str">
        <f>WorkLocationCoefficients!C56</f>
        <v>Gamma51</v>
      </c>
      <c r="V48" s="53">
        <f>WorkLocationCoefficients!E56</f>
        <v>-0.49700583154299999</v>
      </c>
      <c r="W48" s="58">
        <f t="shared" si="0"/>
        <v>-0.49700583154299999</v>
      </c>
    </row>
    <row r="49" spans="20:23" x14ac:dyDescent="0.25">
      <c r="T49">
        <f>WorkLocationCoefficients!B57</f>
        <v>52</v>
      </c>
      <c r="U49" t="str">
        <f>WorkLocationCoefficients!C57</f>
        <v>Gamma52</v>
      </c>
      <c r="V49" s="53">
        <f>WorkLocationCoefficients!E57</f>
        <v>0</v>
      </c>
      <c r="W49" s="58">
        <f t="shared" si="0"/>
        <v>0</v>
      </c>
    </row>
    <row r="50" spans="20:23" x14ac:dyDescent="0.25">
      <c r="T50">
        <f>WorkLocationCoefficients!B58</f>
        <v>53</v>
      </c>
      <c r="U50" t="str">
        <f>WorkLocationCoefficients!C58</f>
        <v>Gamma53</v>
      </c>
      <c r="V50" s="53">
        <f>WorkLocationCoefficients!E58</f>
        <v>-0.605690877287</v>
      </c>
      <c r="W50" s="58">
        <f t="shared" si="0"/>
        <v>-0.605690877287</v>
      </c>
    </row>
    <row r="51" spans="20:23" x14ac:dyDescent="0.25">
      <c r="T51">
        <f>WorkLocationCoefficients!B59</f>
        <v>54</v>
      </c>
      <c r="U51" t="str">
        <f>WorkLocationCoefficients!C59</f>
        <v>Gamma54</v>
      </c>
      <c r="V51" s="53">
        <f>WorkLocationCoefficients!E59</f>
        <v>-30</v>
      </c>
      <c r="W51" s="58">
        <f t="shared" si="0"/>
        <v>-30</v>
      </c>
    </row>
    <row r="52" spans="20:23" x14ac:dyDescent="0.25">
      <c r="T52">
        <f>WorkLocationCoefficients!B60</f>
        <v>55</v>
      </c>
      <c r="U52" t="str">
        <f>WorkLocationCoefficients!C60</f>
        <v>Gamma55</v>
      </c>
      <c r="V52" s="53">
        <f>WorkLocationCoefficients!E60</f>
        <v>-0.51316052694199998</v>
      </c>
      <c r="W52" s="58">
        <f t="shared" si="0"/>
        <v>-0.51316052694199998</v>
      </c>
    </row>
    <row r="53" spans="20:23" x14ac:dyDescent="0.25">
      <c r="T53">
        <f>WorkLocationCoefficients!B61</f>
        <v>56</v>
      </c>
      <c r="U53" t="str">
        <f>WorkLocationCoefficients!C61</f>
        <v>Gamma56</v>
      </c>
      <c r="V53" s="53">
        <f>WorkLocationCoefficients!E61</f>
        <v>-0.64943027957999999</v>
      </c>
      <c r="W53" s="58">
        <f t="shared" si="0"/>
        <v>-0.64943027957999999</v>
      </c>
    </row>
    <row r="54" spans="20:23" x14ac:dyDescent="0.25">
      <c r="T54">
        <f>WorkLocationCoefficients!B62</f>
        <v>57</v>
      </c>
      <c r="U54" t="str">
        <f>WorkLocationCoefficients!C62</f>
        <v>Gamma57</v>
      </c>
      <c r="V54" s="53">
        <f>WorkLocationCoefficients!E62</f>
        <v>-0.29326002292699999</v>
      </c>
      <c r="W54" s="58">
        <f t="shared" si="0"/>
        <v>-0.29326002292699999</v>
      </c>
    </row>
    <row r="55" spans="20:23" x14ac:dyDescent="0.25">
      <c r="T55">
        <f>WorkLocationCoefficients!B63</f>
        <v>58</v>
      </c>
      <c r="U55" t="str">
        <f>WorkLocationCoefficients!C63</f>
        <v>Gamma58</v>
      </c>
      <c r="V55" s="53">
        <f>WorkLocationCoefficients!E63</f>
        <v>-1.5090651052799999</v>
      </c>
      <c r="W55" s="58">
        <f t="shared" si="0"/>
        <v>-1.5090651052799999</v>
      </c>
    </row>
    <row r="56" spans="20:23" x14ac:dyDescent="0.25">
      <c r="T56">
        <f>WorkLocationCoefficients!B64</f>
        <v>59</v>
      </c>
      <c r="U56" t="str">
        <f>WorkLocationCoefficients!C64</f>
        <v>Gamma59</v>
      </c>
      <c r="V56" s="53">
        <f>WorkLocationCoefficients!E64</f>
        <v>-1.36938286579</v>
      </c>
      <c r="W56" s="58">
        <f t="shared" si="0"/>
        <v>-1.36938286579</v>
      </c>
    </row>
    <row r="57" spans="20:23" x14ac:dyDescent="0.25">
      <c r="T57">
        <f>WorkLocationCoefficients!B65</f>
        <v>60</v>
      </c>
      <c r="U57" t="str">
        <f>WorkLocationCoefficients!C65</f>
        <v>Gamma60</v>
      </c>
      <c r="V57" s="53">
        <f>WorkLocationCoefficients!E65</f>
        <v>-0.93751237680199995</v>
      </c>
      <c r="W57" s="58">
        <f t="shared" si="0"/>
        <v>-0.93751237680199995</v>
      </c>
    </row>
    <row r="58" spans="20:23" x14ac:dyDescent="0.25">
      <c r="T58">
        <f>WorkLocationCoefficients!B66</f>
        <v>61</v>
      </c>
      <c r="U58" t="str">
        <f>WorkLocationCoefficients!C66</f>
        <v>Gamma61</v>
      </c>
      <c r="V58" s="53">
        <f>WorkLocationCoefficients!E66</f>
        <v>-0.92340114333900003</v>
      </c>
      <c r="W58" s="58">
        <f t="shared" si="0"/>
        <v>-0.92340114333900003</v>
      </c>
    </row>
    <row r="59" spans="20:23" x14ac:dyDescent="0.25">
      <c r="T59">
        <f>WorkLocationCoefficients!B67</f>
        <v>62</v>
      </c>
      <c r="U59" t="str">
        <f>WorkLocationCoefficients!C67</f>
        <v>Gamma62</v>
      </c>
      <c r="V59" s="53">
        <f>WorkLocationCoefficients!E67</f>
        <v>-30</v>
      </c>
      <c r="W59" s="58">
        <f t="shared" si="0"/>
        <v>-30</v>
      </c>
    </row>
    <row r="60" spans="20:23" x14ac:dyDescent="0.25">
      <c r="T60">
        <f>WorkLocationCoefficients!B68</f>
        <v>63</v>
      </c>
      <c r="U60" t="str">
        <f>WorkLocationCoefficients!C68</f>
        <v>Gamma63</v>
      </c>
      <c r="V60" s="53">
        <f>WorkLocationCoefficients!E68</f>
        <v>-3</v>
      </c>
      <c r="W60" s="58">
        <f t="shared" si="0"/>
        <v>-3</v>
      </c>
    </row>
    <row r="61" spans="20:23" x14ac:dyDescent="0.25">
      <c r="T61">
        <f>WorkLocationCoefficients!B69</f>
        <v>64</v>
      </c>
      <c r="U61" t="str">
        <f>WorkLocationCoefficients!C69</f>
        <v>Gamma64</v>
      </c>
      <c r="V61" s="53">
        <f>WorkLocationCoefficients!E69</f>
        <v>-2.1492277890199998</v>
      </c>
      <c r="W61" s="58">
        <f t="shared" si="0"/>
        <v>-2.1492277890199998</v>
      </c>
    </row>
    <row r="62" spans="20:23" x14ac:dyDescent="0.25">
      <c r="T62">
        <f>WorkLocationCoefficients!B70</f>
        <v>65</v>
      </c>
      <c r="U62" t="str">
        <f>WorkLocationCoefficients!C70</f>
        <v>Gamma65</v>
      </c>
      <c r="V62" s="53">
        <f>WorkLocationCoefficients!E70</f>
        <v>-19.9689285352</v>
      </c>
      <c r="W62" s="58">
        <f t="shared" si="0"/>
        <v>-19.9689285352</v>
      </c>
    </row>
    <row r="63" spans="20:23" x14ac:dyDescent="0.25">
      <c r="T63">
        <f>WorkLocationCoefficients!B71</f>
        <v>66</v>
      </c>
      <c r="U63" t="str">
        <f>WorkLocationCoefficients!C71</f>
        <v>Gamma66</v>
      </c>
      <c r="V63" s="53">
        <f>WorkLocationCoefficients!E71</f>
        <v>-0.46116498409599999</v>
      </c>
      <c r="W63" s="58">
        <f t="shared" si="0"/>
        <v>-0.46116498409599999</v>
      </c>
    </row>
    <row r="64" spans="20:23" x14ac:dyDescent="0.25">
      <c r="T64">
        <f>WorkLocationCoefficients!B72</f>
        <v>67</v>
      </c>
      <c r="U64" t="str">
        <f>WorkLocationCoefficients!C72</f>
        <v>Gamma67</v>
      </c>
      <c r="V64" s="53">
        <f>WorkLocationCoefficients!E72</f>
        <v>-0.79765455241399996</v>
      </c>
      <c r="W64" s="58">
        <f t="shared" si="0"/>
        <v>-0.79765455241399996</v>
      </c>
    </row>
    <row r="65" spans="20:23" x14ac:dyDescent="0.25">
      <c r="T65">
        <f>WorkLocationCoefficients!B73</f>
        <v>68</v>
      </c>
      <c r="U65" t="str">
        <f>WorkLocationCoefficients!C73</f>
        <v>Gamma68</v>
      </c>
      <c r="V65" s="53">
        <f>WorkLocationCoefficients!E73</f>
        <v>-14.701499999999999</v>
      </c>
      <c r="W65" s="58">
        <f t="shared" si="0"/>
        <v>-14.701499999999999</v>
      </c>
    </row>
    <row r="66" spans="20:23" x14ac:dyDescent="0.25">
      <c r="T66">
        <f>WorkLocationCoefficients!B74</f>
        <v>69</v>
      </c>
      <c r="U66" t="str">
        <f>WorkLocationCoefficients!C74</f>
        <v>Gamma69</v>
      </c>
      <c r="V66" s="53">
        <f>WorkLocationCoefficients!E74</f>
        <v>-1.5107843774800001</v>
      </c>
      <c r="W66" s="58">
        <f t="shared" si="0"/>
        <v>-1.5107843774800001</v>
      </c>
    </row>
    <row r="67" spans="20:23" x14ac:dyDescent="0.25">
      <c r="T67">
        <f>WorkLocationCoefficients!B75</f>
        <v>70</v>
      </c>
      <c r="U67" t="str">
        <f>WorkLocationCoefficients!C75</f>
        <v>Gamma70</v>
      </c>
      <c r="V67" s="53">
        <f>WorkLocationCoefficients!E75</f>
        <v>-0.96563188399400002</v>
      </c>
      <c r="W67" s="58">
        <f t="shared" si="0"/>
        <v>-0.96563188399400002</v>
      </c>
    </row>
    <row r="68" spans="20:23" x14ac:dyDescent="0.25">
      <c r="T68">
        <f>WorkLocationCoefficients!B76</f>
        <v>71</v>
      </c>
      <c r="U68" t="str">
        <f>WorkLocationCoefficients!C76</f>
        <v>Gamma71</v>
      </c>
      <c r="V68" s="53">
        <f>WorkLocationCoefficients!E76</f>
        <v>-26.857069753499999</v>
      </c>
      <c r="W68" s="58">
        <f t="shared" ref="W68:W80" si="19">_xlfn.IFNA(VLOOKUP(T68,$M$13:$Q$31,5,FALSE),V68)</f>
        <v>-26.857069753499999</v>
      </c>
    </row>
    <row r="69" spans="20:23" x14ac:dyDescent="0.25">
      <c r="T69">
        <f>WorkLocationCoefficients!B77</f>
        <v>72</v>
      </c>
      <c r="U69" t="str">
        <f>WorkLocationCoefficients!C77</f>
        <v>Gamma72</v>
      </c>
      <c r="V69" s="53">
        <f>WorkLocationCoefficients!E77</f>
        <v>-2.0562930258900001</v>
      </c>
      <c r="W69" s="58">
        <f t="shared" si="19"/>
        <v>-2.0562930258900001</v>
      </c>
    </row>
    <row r="70" spans="20:23" x14ac:dyDescent="0.25">
      <c r="T70">
        <f>WorkLocationCoefficients!B78</f>
        <v>73</v>
      </c>
      <c r="U70" t="str">
        <f>WorkLocationCoefficients!C78</f>
        <v>Gamma73</v>
      </c>
      <c r="V70" s="53">
        <f>WorkLocationCoefficients!E78</f>
        <v>-0.61032158496099997</v>
      </c>
      <c r="W70" s="58">
        <f t="shared" si="19"/>
        <v>-0.61032158496099997</v>
      </c>
    </row>
    <row r="71" spans="20:23" x14ac:dyDescent="0.25">
      <c r="T71">
        <f>WorkLocationCoefficients!B79</f>
        <v>74</v>
      </c>
      <c r="U71" t="str">
        <f>WorkLocationCoefficients!C79</f>
        <v>Gamma74</v>
      </c>
      <c r="V71" s="53">
        <f>WorkLocationCoefficients!E79</f>
        <v>-0.83667988805899995</v>
      </c>
      <c r="W71" s="58">
        <f t="shared" si="19"/>
        <v>-0.83667988805899995</v>
      </c>
    </row>
    <row r="72" spans="20:23" x14ac:dyDescent="0.25">
      <c r="T72">
        <f>WorkLocationCoefficients!B80</f>
        <v>75</v>
      </c>
      <c r="U72" t="str">
        <f>WorkLocationCoefficients!C80</f>
        <v>Gamma75</v>
      </c>
      <c r="V72" s="53">
        <f>WorkLocationCoefficients!E80</f>
        <v>-4.8688475256299997</v>
      </c>
      <c r="W72" s="58">
        <f t="shared" si="19"/>
        <v>-4.8688475256299997</v>
      </c>
    </row>
    <row r="73" spans="20:23" x14ac:dyDescent="0.25">
      <c r="T73">
        <f>WorkLocationCoefficients!B81</f>
        <v>76</v>
      </c>
      <c r="U73" t="str">
        <f>WorkLocationCoefficients!C81</f>
        <v>Gamma76</v>
      </c>
      <c r="V73" s="53">
        <f>WorkLocationCoefficients!E81</f>
        <v>-0.88437463824600004</v>
      </c>
      <c r="W73" s="58">
        <f t="shared" si="19"/>
        <v>-0.88437463824600004</v>
      </c>
    </row>
    <row r="74" spans="20:23" x14ac:dyDescent="0.25">
      <c r="T74">
        <f>WorkLocationCoefficients!B82</f>
        <v>77</v>
      </c>
      <c r="U74" t="str">
        <f>WorkLocationCoefficients!C82</f>
        <v>Gamma77</v>
      </c>
      <c r="V74" s="53">
        <f>WorkLocationCoefficients!E82</f>
        <v>-11.698399999999999</v>
      </c>
      <c r="W74" s="58">
        <f t="shared" si="19"/>
        <v>-11.698399999999999</v>
      </c>
    </row>
    <row r="75" spans="20:23" x14ac:dyDescent="0.25">
      <c r="T75">
        <f>WorkLocationCoefficients!B83</f>
        <v>78</v>
      </c>
      <c r="U75" t="str">
        <f>WorkLocationCoefficients!C83</f>
        <v>Gamma78</v>
      </c>
      <c r="V75" s="53">
        <f>WorkLocationCoefficients!E83</f>
        <v>-30.3398858485</v>
      </c>
      <c r="W75" s="58">
        <f t="shared" si="19"/>
        <v>-30.3398858485</v>
      </c>
    </row>
    <row r="76" spans="20:23" x14ac:dyDescent="0.25">
      <c r="T76">
        <f>WorkLocationCoefficients!B84</f>
        <v>79</v>
      </c>
      <c r="U76" t="str">
        <f>WorkLocationCoefficients!C84</f>
        <v>Gamma79</v>
      </c>
      <c r="V76" s="53">
        <f>WorkLocationCoefficients!E84</f>
        <v>1.40262934456</v>
      </c>
      <c r="W76" s="58">
        <f t="shared" si="19"/>
        <v>1.40262934456</v>
      </c>
    </row>
    <row r="77" spans="20:23" x14ac:dyDescent="0.25">
      <c r="T77">
        <f>WorkLocationCoefficients!B85</f>
        <v>80</v>
      </c>
      <c r="U77" t="str">
        <f>WorkLocationCoefficients!C85</f>
        <v>Gamma80</v>
      </c>
      <c r="V77" s="53">
        <f>WorkLocationCoefficients!E85</f>
        <v>0</v>
      </c>
      <c r="W77" s="58">
        <f t="shared" si="19"/>
        <v>0</v>
      </c>
    </row>
    <row r="78" spans="20:23" x14ac:dyDescent="0.25">
      <c r="T78">
        <f>WorkLocationCoefficients!B86</f>
        <v>89</v>
      </c>
      <c r="U78" t="str">
        <f>WorkLocationCoefficients!C86</f>
        <v>Gamma89</v>
      </c>
      <c r="V78" s="53">
        <f>WorkLocationCoefficients!E86</f>
        <v>0</v>
      </c>
      <c r="W78" s="58">
        <f t="shared" si="19"/>
        <v>0</v>
      </c>
    </row>
    <row r="79" spans="20:23" x14ac:dyDescent="0.25">
      <c r="T79">
        <f>WorkLocationCoefficients!B87</f>
        <v>90</v>
      </c>
      <c r="U79" t="str">
        <f>WorkLocationCoefficients!C87</f>
        <v>Gamma90</v>
      </c>
      <c r="V79" s="53">
        <f>WorkLocationCoefficients!E87</f>
        <v>-80</v>
      </c>
      <c r="W79" s="58">
        <f t="shared" si="19"/>
        <v>-80</v>
      </c>
    </row>
    <row r="80" spans="20:23" x14ac:dyDescent="0.25">
      <c r="T80">
        <f>WorkLocationCoefficients!B88</f>
        <v>98</v>
      </c>
      <c r="U80" t="str">
        <f>WorkLocationCoefficients!C88</f>
        <v>Nest</v>
      </c>
      <c r="V80" s="53">
        <f>WorkLocationCoefficients!E88</f>
        <v>0.247098934499</v>
      </c>
      <c r="W80" s="58">
        <f t="shared" si="19"/>
        <v>0.247098934499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TLFD</vt:lpstr>
      <vt:lpstr>TDFD</vt:lpstr>
      <vt:lpstr>TDFD_Agg</vt:lpstr>
      <vt:lpstr>County_Flow</vt:lpstr>
      <vt:lpstr>WorkAtHome</vt:lpstr>
      <vt:lpstr>Documentation</vt:lpstr>
      <vt:lpstr>CoeffDef</vt:lpstr>
      <vt:lpstr>WorkLocationCoefficients</vt:lpstr>
      <vt:lpstr>calibration</vt:lpstr>
      <vt:lpstr>athm</vt:lpstr>
      <vt:lpstr>avgdist</vt:lpstr>
      <vt:lpstr>avgtime</vt:lpstr>
      <vt:lpstr>flows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tot</vt:lpstr>
      <vt:lpstr>Wrk_dist</vt:lpstr>
      <vt:lpstr>Wrk_time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Nagendra Dhakar</cp:lastModifiedBy>
  <dcterms:created xsi:type="dcterms:W3CDTF">2011-01-31T15:16:09Z</dcterms:created>
  <dcterms:modified xsi:type="dcterms:W3CDTF">2017-06-23T18:05:15Z</dcterms:modified>
</cp:coreProperties>
</file>