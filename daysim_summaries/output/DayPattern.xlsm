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ate1904="1" defaultThemeVersion="124226"/>
  <mc:AlternateContent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tabRatio="884" windowHeight="11700" windowWidth="13815" xWindow="4635" yWindow="-90"/>
  </bookViews>
  <sheets>
    <sheet name="Summary" r:id="rId1" sheetId="16"/>
    <sheet name="NumberOfTours" r:id="rId2" sheetId="1"/>
    <sheet name="TourStopCombos" r:id="rId3" sheetId="3"/>
    <sheet name="Tours&amp;StopsByPurpose" r:id="rId4" sheetId="2"/>
    <sheet name="ExactToursByPurpose (if&gt;0)" r:id="rId5" sheetId="6"/>
    <sheet name="ExactToursByPurpose" r:id="rId6" sheetId="15"/>
    <sheet name="ExactSubtours" r:id="rId7" sheetId="13"/>
    <sheet name="StopsByTourPurpose" r:id="rId8" sheetId="9"/>
    <sheet name="ToursByTourPurpose" r:id="rId9" sheetId="10"/>
    <sheet name="StopsByStopPurpose" r:id="rId10" sheetId="11"/>
    <sheet name="TripsByDestinationPurpose" r:id="rId11" sheetId="12"/>
    <sheet name="output" r:id="rId12" sheetId="20"/>
    <sheet name="output_NHTS" r:id="rId13" sheetId="21"/>
    <sheet name="CoeffDef_DayPattern" r:id="rId14" sheetId="22"/>
    <sheet name="CoeffDef_WBSubtour" r:id="rId15" sheetId="27"/>
    <sheet name="input_stops" r:id="rId16" sheetId="26"/>
    <sheet name="DayPatternCoefficients" r:id="rId17" sheetId="23"/>
    <sheet name="WorkbasedSubtourGenerationCoeff" r:id="rId18" sheetId="25"/>
    <sheet name="calibration" r:id="rId19" sheetId="24"/>
  </sheets>
  <definedNames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9">output_NHTS!$O$80:$V$83</definedName>
    <definedName name="out21">output_NHTS!$O$87:$V$90</definedName>
    <definedName name="out23">output_NHTS!$O$94:$V$97</definedName>
    <definedName name="out25">output_NHTS!$O$101:$V$104</definedName>
    <definedName name="out27">output_NHTS!$O$108:$V$111</definedName>
    <definedName name="out29">output_NHTS!$O$115:$V$118</definedName>
    <definedName name="out31">output_NHTS!$O$122:$V$125</definedName>
    <definedName name="out33">output_NHTS!$O$222:$V$222</definedName>
    <definedName name="out35">output_NHTS!$O$223:$V$223</definedName>
    <definedName name="out37">output_NHTS!$O$224:$V$224</definedName>
    <definedName name="out39">output_NHTS!$O$225:$V$225</definedName>
    <definedName name="out41">output_NHTS!$O$226:$V$226</definedName>
    <definedName name="out43">output_NHTS!$O$227:$V$227</definedName>
    <definedName name="out45">output_NHTS!$O$228:$V$228</definedName>
    <definedName name="out47">output_NHTS!$O$232:$R$232</definedName>
    <definedName name="out49">output_NHTS!$O$233:$R$233</definedName>
    <definedName name="out51">output_NHTS!$O$234:$R$234</definedName>
    <definedName name="out53">output_NHTS!$O$235:$R$235</definedName>
    <definedName name="out55">output_NHTS!$O$236:$R$236</definedName>
    <definedName name="out57">output_NHTS!$O$237:$R$237</definedName>
    <definedName name="out59">output_NHTS!$O$238:$R$238</definedName>
    <definedName name="out61">output_NHTS!$O$242:$R$242</definedName>
    <definedName name="out63">output_NHTS!$O$243:$R$243</definedName>
    <definedName name="out65">output_NHTS!$O$244:$R$244</definedName>
    <definedName name="out67">output_NHTS!$O$245:$R$245</definedName>
    <definedName name="out69">output_NHTS!$O$246:$R$246</definedName>
    <definedName name="out71">output_NHTS!$O$247:$R$247</definedName>
    <definedName name="out73">output_NHTS!$O$248:$R$248</definedName>
    <definedName name="out75">output_NHTS!$O$252:$U$252</definedName>
    <definedName name="out77">output_NHTS!$O$253:$U$253</definedName>
    <definedName name="out79">output_NHTS!$O$254:$U$254</definedName>
    <definedName name="out81">output_NHTS!$O$255:$U$255</definedName>
    <definedName name="out83">output_NHTS!$O$256:$U$256</definedName>
    <definedName name="out85">output_NHTS!$O$257:$U$257</definedName>
    <definedName name="out87">output_NHTS!$O$258:$U$258</definedName>
    <definedName name="out89">output_NHTS!$O$306:$O$313</definedName>
    <definedName name="out91">output_NHTS!$O$317:$O$320</definedName>
    <definedName name="out93">output_NHTS!$O$324:$O$327</definedName>
    <definedName name="out95">output_NHTS!$O$331:$O$337</definedName>
    <definedName name="out9">output_NHTS!$O$168:$U$174</definedName>
    <definedName name="out11">output_NHTS!$O$178:$V$185</definedName>
    <definedName name="out13">output_NHTS!$O$189:$R$196</definedName>
    <definedName name="out15">output_NHTS!$O$200:$R$207</definedName>
    <definedName name="out17">output_NHTS!$O$211:$U$218</definedName>
    <definedName name="out1">output_NHTS!$O$262:$V$269</definedName>
    <definedName name="out3">output_NHTS!$O$273:$R$280</definedName>
    <definedName name="out5">output_NHTS!$O$284:$R$291</definedName>
    <definedName name="out7">output_NHTS!$O$295:$U$302</definedName>
    <definedName name="out20">output!$O$80:$V$83</definedName>
    <definedName name="out22">output!$O$87:$V$90</definedName>
    <definedName name="out24">output!$O$94:$V$97</definedName>
    <definedName name="out26">output!$O$101:$V$104</definedName>
    <definedName name="out28">output!$O$108:$V$111</definedName>
    <definedName name="out30">output!$O$115:$V$118</definedName>
    <definedName name="out32">output!$O$122:$V$125</definedName>
    <definedName name="out34">output!$O$222:$V$222</definedName>
    <definedName name="out36">output!$O$223:$V$223</definedName>
    <definedName name="out38">output!$O$224:$V$224</definedName>
    <definedName name="out40">output!$O$225:$V$225</definedName>
    <definedName name="out42">output!$O$226:$V$226</definedName>
    <definedName name="out44">output!$O$227:$V$227</definedName>
    <definedName name="out46">output!$O$228:$V$228</definedName>
    <definedName name="out48">output!$O$232:$R$232</definedName>
    <definedName name="out50">output!$O$233:$R$233</definedName>
    <definedName name="out52">output!$O$234:$R$234</definedName>
    <definedName name="out54">output!$O$235:$R$235</definedName>
    <definedName name="out56">output!$O$236:$R$236</definedName>
    <definedName name="out58">output!$O$237:$R$237</definedName>
    <definedName name="out60">output!$O$238:$R$238</definedName>
    <definedName name="out62">output!$O$242:$R$242</definedName>
    <definedName name="out64">output!$O$243:$R$243</definedName>
    <definedName name="out66">output!$O$244:$R$244</definedName>
    <definedName name="out68">output!$O$245:$R$245</definedName>
    <definedName name="out70">output!$O$246:$R$246</definedName>
    <definedName name="out72">output!$O$247:$R$247</definedName>
    <definedName name="out74">output!$O$248:$R$248</definedName>
    <definedName name="out76">output!$O$252:$U$252</definedName>
    <definedName name="out78">output!$O$253:$U$253</definedName>
    <definedName name="out80">output!$O$254:$U$254</definedName>
    <definedName name="out82">output!$O$255:$U$255</definedName>
    <definedName name="out84">output!$O$256:$U$256</definedName>
    <definedName name="out86">output!$O$257:$U$257</definedName>
    <definedName name="out88">output!$O$258:$U$258</definedName>
    <definedName name="out90">output!$O$306:$O$313</definedName>
    <definedName name="out92">output!$O$317:$O$320</definedName>
    <definedName name="out94">output!$O$324:$O$327</definedName>
    <definedName name="out96">output!$O$331:$O$337</definedName>
    <definedName name="out10">output!$O$168:$U$174</definedName>
    <definedName name="out12">output!$O$178:$V$185</definedName>
    <definedName name="out14">output!$O$189:$R$196</definedName>
    <definedName name="out16">output!$O$200:$R$207</definedName>
    <definedName name="out18">output!$O$211:$U$218</definedName>
    <definedName name="out2">output!$O$262:$V$269</definedName>
    <definedName name="out4">output!$O$273:$R$280</definedName>
    <definedName name="out6">output!$O$284:$R$291</definedName>
    <definedName name="out8">output!$O$295:$U$302</definedName>
  </definedNames>
  <calcPr calcId="171027"/>
</workbook>
</file>

<file path=xl/calcChain.xml><?xml version="1.0" encoding="utf-8"?>
<calcChain xmlns="http://schemas.openxmlformats.org/spreadsheetml/2006/main">
  <c i="16" l="1" r="J6"/>
  <c i="16" r="K6"/>
  <c i="16" r="L6"/>
  <c i="16" r="M6"/>
  <c i="16" r="N6"/>
  <c i="16" r="O6"/>
  <c i="16" r="P6"/>
  <c i="16" r="J7"/>
  <c i="16" r="K7"/>
  <c i="16" r="L7"/>
  <c i="16" r="M7"/>
  <c i="16" r="N7"/>
  <c i="16" r="O7"/>
  <c i="16" r="P7"/>
  <c i="16" r="J8"/>
  <c i="16" r="K8"/>
  <c i="16" r="L8"/>
  <c i="16" r="M8"/>
  <c i="16" r="N8"/>
  <c i="16" r="O8"/>
  <c i="16" r="P8"/>
  <c i="16" r="J9"/>
  <c i="16" r="K9"/>
  <c i="16" r="L9"/>
  <c i="16" r="M9"/>
  <c i="16" r="N9"/>
  <c i="16" r="O9"/>
  <c i="16" r="P9"/>
  <c i="16" r="J10"/>
  <c i="16" r="K10"/>
  <c i="16" r="L10"/>
  <c i="16" r="M10"/>
  <c i="16" r="N10"/>
  <c i="16" r="O10"/>
  <c i="16" r="P10"/>
  <c i="16" r="J11"/>
  <c i="16" r="K11"/>
  <c i="16" r="L11"/>
  <c i="16" r="M11"/>
  <c i="16" r="N11"/>
  <c i="16" r="O11"/>
  <c i="16" r="P11"/>
  <c i="16" r="J12"/>
  <c i="16" r="K12"/>
  <c i="16" r="L12"/>
  <c i="16" r="M12"/>
  <c i="16" r="N12"/>
  <c i="16" r="O12"/>
  <c i="16" r="P12"/>
  <c i="16" r="K5"/>
  <c i="16" r="L5"/>
  <c i="16" r="M5"/>
  <c i="16" r="N5"/>
  <c i="16" r="O5"/>
  <c i="16" r="P5"/>
  <c i="16" r="J5"/>
  <c i="16" r="J19"/>
  <c i="16" r="Q19" s="1"/>
  <c i="16" r="K19"/>
  <c i="16" r="L19"/>
  <c i="16" r="M19"/>
  <c i="16" r="N19"/>
  <c i="16" r="O19"/>
  <c i="16" r="P19"/>
  <c i="16" r="J20"/>
  <c i="16" r="K20"/>
  <c i="16" r="L20"/>
  <c i="16" r="M20"/>
  <c i="16" r="N20"/>
  <c i="16" r="O20"/>
  <c i="16" r="P20"/>
  <c i="16" r="J21"/>
  <c i="16" r="K21"/>
  <c i="16" r="L21"/>
  <c i="16" r="M21"/>
  <c i="16" r="N21"/>
  <c i="16" r="O21"/>
  <c i="16" r="P21"/>
  <c i="16" r="J22"/>
  <c i="16" r="K22"/>
  <c i="16" r="L22"/>
  <c i="16" r="M22"/>
  <c i="16" r="N22"/>
  <c i="16" r="O22"/>
  <c i="16" r="P22"/>
  <c i="16" r="J23"/>
  <c i="16" r="K23"/>
  <c i="16" r="L23"/>
  <c i="16" r="M23"/>
  <c i="16" r="N23"/>
  <c i="16" r="O23"/>
  <c i="16" r="P23"/>
  <c i="16" r="J24"/>
  <c i="16" r="K24"/>
  <c i="16" r="L24"/>
  <c i="16" r="M24"/>
  <c i="16" r="N24"/>
  <c i="16" r="O24"/>
  <c i="16" r="P24"/>
  <c i="16" r="J25"/>
  <c i="16" r="K25"/>
  <c i="16" r="L25"/>
  <c i="16" r="M25"/>
  <c i="16" r="N25"/>
  <c i="16" r="O25"/>
  <c i="16" r="P25"/>
  <c i="16" r="K18"/>
  <c i="16" r="L18"/>
  <c i="16" r="M18"/>
  <c i="16" r="N18"/>
  <c i="16" r="O18"/>
  <c i="16" r="P18"/>
  <c i="16" r="J18"/>
  <c i="16" r="I18"/>
  <c i="16" r="I19"/>
  <c i="16" r="I20"/>
  <c i="16" r="I21"/>
  <c i="16" r="I22"/>
  <c i="16" r="I23"/>
  <c i="16" r="I24"/>
  <c i="16" r="I25"/>
  <c i="16" r="I26"/>
  <c i="16" r="I17"/>
  <c i="24" r="D41"/>
  <c i="24" r="D34"/>
  <c i="24" r="D35"/>
  <c i="24" r="D36"/>
  <c i="24" r="D37"/>
  <c i="24" r="D38"/>
  <c i="24" r="D39"/>
  <c i="24" r="D33"/>
  <c i="24" r="D20"/>
  <c i="24" r="D21"/>
  <c i="24" r="D22"/>
  <c i="24" r="D23"/>
  <c i="24" r="D24"/>
  <c i="24" r="D25"/>
  <c i="24" r="D26"/>
  <c i="24" r="D19"/>
  <c i="16" l="1" r="Q20"/>
  <c i="16" r="Q23"/>
  <c i="16" r="M26"/>
  <c i="16" r="L26"/>
  <c i="16" r="Q21"/>
  <c i="16" r="Q8"/>
  <c i="16" r="Q18"/>
  <c i="16" r="P26"/>
  <c i="16" r="O26"/>
  <c i="16" r="N26"/>
  <c i="16" r="Q7"/>
  <c i="16" r="Q10"/>
  <c i="16" r="K26"/>
  <c i="16" r="Q22"/>
  <c i="16" r="Q6"/>
  <c i="16" r="Q25"/>
  <c i="16" r="Q24"/>
  <c i="16" r="Q26" s="1"/>
  <c i="16" r="L13"/>
  <c i="16" r="K13"/>
  <c i="16" r="J26"/>
  <c i="16" r="Q12"/>
  <c i="16" r="N13"/>
  <c i="16" r="P13"/>
  <c i="16" r="O13"/>
  <c i="16" r="Q11"/>
  <c i="16" r="M13"/>
  <c i="16" r="Q9"/>
  <c i="16" r="Q5"/>
  <c i="16" r="J13"/>
  <c i="24" r="J82"/>
  <c i="24" r="J81"/>
  <c i="24" r="J80"/>
  <c i="24" r="J79"/>
  <c i="24" r="J78"/>
  <c i="24" r="J77"/>
  <c i="24" r="I82"/>
  <c i="24" r="I81"/>
  <c i="24" r="I80"/>
  <c i="24" r="I79"/>
  <c i="24" r="I78"/>
  <c i="24" r="I77"/>
  <c i="24" r="G76"/>
  <c i="24" r="F79"/>
  <c i="24" r="C77"/>
  <c i="23" r="D464"/>
  <c i="23" r="D518"/>
  <c i="23" r="D548"/>
  <c i="23" r="D549"/>
  <c i="23" r="B628"/>
  <c i="23" r="D634"/>
  <c i="23" r="D644"/>
  <c i="23" r="D680"/>
  <c i="23" r="D689"/>
  <c i="23" r="D722"/>
  <c i="23" r="D723"/>
  <c i="23" r="B793"/>
  <c i="23" r="B799"/>
  <c i="23" r="B808"/>
  <c i="23" r="D808"/>
  <c i="23" r="D809"/>
  <c i="23" r="D856"/>
  <c i="23" r="D857"/>
  <c i="23" r="D859"/>
  <c i="23" r="D867"/>
  <c i="23" r="D868"/>
  <c i="23" r="B882"/>
  <c i="23" r="D886"/>
  <c i="23" r="D887"/>
  <c i="23" r="D892"/>
  <c i="23" r="D910"/>
  <c i="23" r="D912"/>
  <c i="23" r="D916"/>
  <c i="23" r="D917"/>
  <c i="23" r="B918"/>
  <c i="23" r="D918"/>
  <c i="23" r="D966"/>
  <c i="23" r="D1038"/>
  <c i="23" r="D1041"/>
  <c i="23" r="D1057"/>
  <c i="23" r="D1073"/>
  <c i="23" r="D1088"/>
  <c i="23" r="B1105"/>
  <c i="23" r="D1141"/>
  <c i="23" r="D1154"/>
  <c i="23" r="B1186"/>
  <c i="23" r="D1264"/>
  <c i="23" r="D1352"/>
  <c i="23" r="D1360"/>
  <c i="23" r="D1402"/>
  <c i="23" r="D1405"/>
  <c i="23" r="B1408"/>
  <c i="23" r="D1410"/>
  <c i="23" r="B1419"/>
  <c i="23" r="D1478"/>
  <c i="23" r="B1493"/>
  <c i="23" r="D1534"/>
  <c i="23" r="D1569"/>
  <c i="23" r="D1607"/>
  <c i="23" r="D1613"/>
  <c i="23" r="B1616"/>
  <c i="23" r="D1616"/>
  <c i="23" r="D1642"/>
  <c i="23" r="D1646"/>
  <c i="23" r="B1650"/>
  <c i="23" r="D1651"/>
  <c i="23" r="D1674"/>
  <c i="23" r="B1872"/>
  <c i="23" r="B1881"/>
  <c i="23" r="D1994"/>
  <c i="23" r="D1999"/>
  <c i="23" r="D2003"/>
  <c i="23" r="D2008"/>
  <c i="23" r="D2017"/>
  <c i="23" r="D2026"/>
  <c i="23" r="D2036"/>
  <c i="23" r="D2039"/>
  <c i="23" r="D2050"/>
  <c i="23" r="D2067"/>
  <c i="23" r="D2204"/>
  <c i="23" r="D2206"/>
  <c i="23" r="B2208"/>
  <c i="23" r="B2268"/>
  <c i="23" r="D2355"/>
  <c i="23" r="D2364"/>
  <c i="23" r="D2375"/>
  <c i="23" r="D2380"/>
  <c i="23" r="D2384"/>
  <c i="23" r="D2389"/>
  <c i="23" r="D2394"/>
  <c i="23" r="B2442"/>
  <c i="23" r="D2465"/>
  <c i="23" r="D2496"/>
  <c i="23" r="D2527"/>
  <c i="23" r="D2528"/>
  <c i="23" r="D2692"/>
  <c i="23" r="D2744"/>
  <c i="23" r="D2779"/>
  <c i="23" r="D2788"/>
  <c i="23" r="D2801"/>
  <c i="23" r="D2804"/>
  <c i="23" r="D2870"/>
  <c i="23" r="B2871"/>
  <c i="23" r="B2880"/>
  <c i="23" r="B3068"/>
  <c i="23" r="D3080"/>
  <c i="23" r="D3108"/>
  <c i="23" r="B3495"/>
  <c i="23" r="D3614"/>
  <c i="23" r="D3636"/>
  <c i="23" r="D3688"/>
  <c i="23" r="D3691"/>
  <c i="23" r="D3694"/>
  <c i="23" r="D3713"/>
  <c i="23" r="B3717"/>
  <c i="23" r="B3720"/>
  <c i="23" r="D3763"/>
  <c i="23" r="B3795"/>
  <c i="23" r="D3798"/>
  <c i="23" r="D3816"/>
  <c i="23" r="D3819"/>
  <c i="23" r="D3831"/>
  <c i="23" r="D3949"/>
  <c i="23" r="B4005"/>
  <c i="23" r="B4031"/>
  <c i="23" r="D4034"/>
  <c i="23" r="D4044"/>
  <c i="23" r="B4087"/>
  <c i="23" r="D4087"/>
  <c i="23" r="D4090"/>
  <c i="23" r="D4167"/>
  <c i="23" r="D4185"/>
  <c i="23" r="D4193"/>
  <c i="23" r="B4196"/>
  <c i="23" r="B4200"/>
  <c i="23" r="D4221"/>
  <c i="23" r="D4226"/>
  <c i="23" r="D4272"/>
  <c i="23" r="D4298"/>
  <c i="23" r="D4300"/>
  <c i="23" r="D4304"/>
  <c i="23" r="D4333"/>
  <c i="23" r="D4335"/>
  <c i="23" r="D4346"/>
  <c i="23" r="D4391"/>
  <c i="23" r="D4411"/>
  <c i="23" r="D4413"/>
  <c i="23" r="B4477"/>
  <c i="23" r="B4499"/>
  <c i="23" r="D4504"/>
  <c i="23" r="D4507"/>
  <c i="23" r="D4517"/>
  <c i="23" r="D4532"/>
  <c i="23" r="B4539"/>
  <c i="23" r="B4623"/>
  <c i="23" r="D4649"/>
  <c i="23" r="D4686"/>
  <c i="23" r="D4697"/>
  <c i="23" r="D4722"/>
  <c i="23" r="B4726"/>
  <c i="23" r="D4792"/>
  <c i="23" r="D4798"/>
  <c i="23" r="D4834"/>
  <c i="23" r="D4850"/>
  <c i="23" r="D4859"/>
  <c i="23" r="D4875"/>
  <c i="23" r="D4880"/>
  <c i="23" r="D4894"/>
  <c i="23" r="D5000"/>
  <c i="23" r="B5011"/>
  <c i="23" r="D5015"/>
  <c i="23" r="B5029"/>
  <c i="23" r="D5033"/>
  <c i="23" r="B5039"/>
  <c i="23" r="D5059"/>
  <c i="23" r="D5061"/>
  <c i="23" r="B5073"/>
  <c i="23" r="B5093"/>
  <c i="23" r="D5101"/>
  <c i="23" r="D5125"/>
  <c i="23" r="B5130"/>
  <c i="23" r="D5187"/>
  <c i="23" r="B5226"/>
  <c i="23" r="B5255"/>
  <c i="23" r="B5256"/>
  <c i="23" r="B5281"/>
  <c i="23" r="D5284"/>
  <c i="23" r="D5287"/>
  <c i="23" r="D5293"/>
  <c i="23" r="B5318"/>
  <c i="23" r="B5330"/>
  <c i="23" r="D5336"/>
  <c i="23" r="D5342"/>
  <c i="23" r="D5347"/>
  <c i="23" r="D5370"/>
  <c i="23" r="D5381"/>
  <c i="23" r="D5401"/>
  <c i="23" r="D5414"/>
  <c i="23" r="D5430"/>
  <c i="23" r="D5442"/>
  <c i="23" r="D5451"/>
  <c i="23" r="B5468"/>
  <c i="23" r="D5468"/>
  <c i="23" r="D5469"/>
  <c i="23" r="D5474"/>
  <c i="23" r="D5500"/>
  <c i="23" r="D5501"/>
  <c i="23" r="D5506"/>
  <c i="23" r="D5529"/>
  <c i="23" r="D5538"/>
  <c i="23" r="D5539"/>
  <c i="23" r="D5541"/>
  <c i="23" r="B5542"/>
  <c i="23" r="D5547"/>
  <c i="23" r="D5594"/>
  <c i="23" r="B5604"/>
  <c i="23" r="D5605"/>
  <c i="23" r="B5606"/>
  <c i="23" r="D5626"/>
  <c i="23" r="D5631"/>
  <c i="23" r="D5637"/>
  <c i="23" r="D5682"/>
  <c i="23" r="D5734"/>
  <c i="23" r="D5766"/>
  <c i="23" r="B5767"/>
  <c i="23" r="D5768"/>
  <c i="23" r="D5822"/>
  <c i="23" r="D5855"/>
  <c i="23" r="D5867"/>
  <c i="23" r="B5893"/>
  <c i="23" r="D5921"/>
  <c i="23" r="D5931"/>
  <c i="23" r="B5935"/>
  <c i="23" r="D5940"/>
  <c i="23" r="D5992"/>
  <c i="23" r="D5993"/>
  <c i="23" r="D5998"/>
  <c i="23" r="D6034"/>
  <c i="23" r="B6055"/>
  <c i="23" r="D6055"/>
  <c i="23" r="D6062"/>
  <c i="23" r="D6066"/>
  <c i="23" r="D6069"/>
  <c i="23" r="D6074"/>
  <c i="23" r="B6100"/>
  <c i="23" r="D6100"/>
  <c i="23" r="D6102"/>
  <c i="23" r="D6108"/>
  <c i="23" r="D6127"/>
  <c i="23" r="D6136"/>
  <c i="23" r="D6142"/>
  <c i="23" r="D6162"/>
  <c i="23" r="D6169"/>
  <c i="23" r="D6170"/>
  <c i="23" r="D6179"/>
  <c i="23" r="D6193"/>
  <c i="23" r="B6205"/>
  <c i="23" r="D6210"/>
  <c i="23" r="B6227"/>
  <c i="23" r="B6228"/>
  <c i="23" r="D6228"/>
  <c i="23" r="D6229"/>
  <c i="23" r="D6239"/>
  <c i="23" r="D6241"/>
  <c i="23" r="D6244"/>
  <c i="23" r="D6290"/>
  <c i="23" r="B6291"/>
  <c i="23" r="D6298"/>
  <c i="23" r="D6299"/>
  <c i="23" r="D6353"/>
  <c i="23" r="B6358"/>
  <c i="23" r="D6363"/>
  <c i="23" r="B6389"/>
  <c i="23" r="D6395"/>
  <c i="23" r="D6431"/>
  <c i="23" r="D6435"/>
  <c i="23" r="D6448"/>
  <c i="16" l="1" r="Q13"/>
  <c i="24" r="N144"/>
  <c i="24" r="N145"/>
  <c i="24" r="N146"/>
  <c i="24" r="N147"/>
  <c i="24" r="N148"/>
  <c i="24" r="N149"/>
  <c i="24" r="N143"/>
  <c i="24" l="1" r="N20"/>
  <c i="24" r="N21"/>
  <c i="24" r="N22"/>
  <c i="24" r="N23"/>
  <c i="24" r="N24"/>
  <c i="24" r="N25"/>
  <c i="24" r="N6"/>
  <c i="24" r="N7"/>
  <c i="24" r="N8"/>
  <c i="24" r="N9"/>
  <c i="24" r="N10"/>
  <c i="24" r="N11"/>
  <c i="24" r="N19"/>
  <c i="24" r="N5"/>
  <c i="24" r="V3"/>
  <c i="24" r="V4"/>
  <c i="24" r="V5"/>
  <c i="24" r="V6"/>
  <c i="24" r="V7"/>
  <c i="24" r="V8"/>
  <c i="24" r="V9"/>
  <c i="24" r="V10"/>
  <c i="24" r="V11"/>
  <c i="24" r="V12"/>
  <c i="24" r="V13"/>
  <c i="24" r="V14"/>
  <c i="24" r="V15"/>
  <c i="24" r="V16"/>
  <c i="24" r="V17"/>
  <c i="24" r="V18"/>
  <c i="24" r="V19"/>
  <c i="24" r="V20"/>
  <c i="24" r="V21"/>
  <c i="24" r="V22"/>
  <c i="24" r="V23"/>
  <c i="24" r="V24"/>
  <c i="24" r="V25"/>
  <c i="24" r="V26"/>
  <c i="24" r="V27"/>
  <c i="24" r="V28"/>
  <c i="24" r="V29"/>
  <c i="24" r="P34"/>
  <c i="24" r="P35"/>
  <c i="24" r="P36"/>
  <c i="24" r="P37"/>
  <c i="24" r="P38"/>
  <c i="24" r="P39"/>
  <c i="24" r="P33"/>
  <c i="24" r="Q64"/>
  <c i="24" r="Q65"/>
  <c i="24" r="Q66"/>
  <c i="24" r="Q67"/>
  <c i="24" r="Q68"/>
  <c i="24" r="Q69"/>
  <c i="24" r="Q70"/>
  <c i="24" r="Q71"/>
  <c i="24" r="Q72"/>
  <c i="24" r="Q73"/>
  <c i="24" r="Q74"/>
  <c i="24" r="Q75"/>
  <c i="24" r="Q76"/>
  <c i="24" r="Q77"/>
  <c i="24" r="Q78"/>
  <c i="24" r="Q79"/>
  <c i="24" r="Q80"/>
  <c i="24" r="Q81"/>
  <c i="24" r="Q82"/>
  <c i="24" r="Q83"/>
  <c i="24" r="Q84"/>
  <c i="24" r="Q85"/>
  <c i="24" r="Q86"/>
  <c i="24" r="Q87"/>
  <c i="24" r="Q88"/>
  <c i="24" r="Q89"/>
  <c i="24" r="Q90"/>
  <c i="24" r="Q91"/>
  <c i="24" r="Q92"/>
  <c i="24" r="Q93"/>
  <c i="24" r="Q94"/>
  <c i="24" r="Q95"/>
  <c i="24" r="Q96"/>
  <c i="24" r="Q97"/>
  <c i="24" r="Q98"/>
  <c i="24" r="Q99"/>
  <c i="24" r="Q100"/>
  <c i="24" r="Q101"/>
  <c i="24" r="Q102"/>
  <c i="24" r="Q103"/>
  <c i="24" r="Q104"/>
  <c i="24" r="Q105"/>
  <c i="24" r="Q106"/>
  <c i="24" r="Q107"/>
  <c i="24" r="Q108"/>
  <c i="24" r="Q109"/>
  <c i="24" r="Q110"/>
  <c i="24" r="Q111"/>
  <c i="24" r="Q63"/>
  <c i="24" r="J62"/>
  <c i="24" r="T47"/>
  <c i="24" r="J88"/>
  <c i="24" r="J101" s="1"/>
  <c i="24" r="J114" s="1"/>
  <c i="24" r="J127" s="1"/>
  <c i="24" r="H77"/>
  <c i="24" r="G77"/>
  <c i="24" r="H76"/>
  <c i="24" r="D78"/>
  <c i="24" r="E78"/>
  <c i="24" r="G78"/>
  <c i="24" r="H78"/>
  <c i="24" r="D79"/>
  <c i="24" r="E79"/>
  <c i="24" r="G79"/>
  <c i="24" r="H79"/>
  <c i="24" r="D80"/>
  <c i="24" r="E80"/>
  <c i="24" r="G80"/>
  <c i="24" r="H80"/>
  <c i="24" r="D81"/>
  <c i="24" r="E81"/>
  <c i="24" r="G81"/>
  <c i="24" r="H81"/>
  <c i="24" r="D82"/>
  <c i="24" r="E82"/>
  <c i="24" r="F82"/>
  <c i="24" r="G82"/>
  <c i="24" r="H82"/>
  <c i="24" r="C82"/>
  <c i="24" l="1" r="F22"/>
  <c i="24" r="F23"/>
  <c i="24" r="F25"/>
  <c i="24" l="1" r="C152"/>
  <c i="24" r="C154" s="1"/>
  <c i="24" l="1" r="F7"/>
  <c i="24" r="F8"/>
  <c i="24" r="F9"/>
  <c i="24" r="F10"/>
  <c i="24" r="F11"/>
  <c i="24" r="F5"/>
  <c i="24" l="1" r="C20"/>
  <c i="24" r="C21"/>
  <c i="24" r="C22"/>
  <c i="24" r="C23"/>
  <c i="24" r="C24"/>
  <c i="24" r="C25"/>
  <c i="24" r="C26"/>
  <c i="24" r="C19"/>
  <c i="24" r="C41"/>
  <c i="24" r="C39"/>
  <c i="24" r="C34"/>
  <c i="24" r="C35"/>
  <c i="24" r="C36"/>
  <c i="24" r="C37"/>
  <c i="24" r="C38"/>
  <c i="24" r="C33"/>
  <c i="24" l="1" r="E39"/>
  <c i="24" r="E33"/>
  <c i="24" r="E38"/>
  <c i="24" r="E37"/>
  <c i="24" r="E36"/>
  <c i="24" r="E35"/>
  <c i="24" r="E34"/>
  <c i="24" r="F37"/>
  <c i="24" r="G37" s="1"/>
  <c i="24" r="L37" s="1"/>
  <c i="24" r="F39"/>
  <c i="24" r="G39" s="1"/>
  <c i="24" r="L39" s="1"/>
  <c i="24" r="E26"/>
  <c i="24" r="F36"/>
  <c i="24" r="G36" s="1"/>
  <c i="24" r="L36" s="1"/>
  <c i="24" r="F35"/>
  <c i="24" r="F34"/>
  <c i="24" r="G34" s="1"/>
  <c i="24" r="L34" s="1"/>
  <c i="24" r="F38"/>
  <c i="24" r="G38" s="1"/>
  <c i="24" r="L38" s="1"/>
  <c i="24" r="F33"/>
  <c i="24" r="G33" s="1"/>
  <c i="24" r="L33" s="1"/>
  <c i="24" l="1" r="G35"/>
  <c i="24" r="L35" s="1"/>
  <c i="12" r="T123"/>
  <c i="12" r="H123"/>
  <c i="12" r="T106"/>
  <c i="11" r="T116"/>
  <c i="11" r="H116"/>
  <c i="11" r="T100"/>
  <c i="10" r="T107"/>
  <c i="20" r="V296"/>
  <c i="20" r="I296" s="1"/>
  <c i="20" r="V297"/>
  <c i="20" r="I297" s="1"/>
  <c i="20" r="V298"/>
  <c i="20" r="I298" s="1"/>
  <c i="20" r="V299"/>
  <c i="20" r="I299" s="1"/>
  <c i="20" r="V300"/>
  <c i="20" r="I300" s="1"/>
  <c i="20" r="V301"/>
  <c i="20" r="I301" s="1"/>
  <c i="20" r="V302"/>
  <c i="20" r="I302" s="1"/>
  <c i="20" r="V295"/>
  <c i="20" r="I295" s="1"/>
  <c i="20" r="V253"/>
  <c i="20" r="I253" s="1"/>
  <c i="20" r="V254"/>
  <c i="20" r="I254" s="1"/>
  <c i="20" r="V255"/>
  <c i="20" r="I255" s="1"/>
  <c i="20" r="V256"/>
  <c i="20" r="I256" s="1"/>
  <c i="20" r="V257"/>
  <c i="20" r="I257" s="1"/>
  <c i="20" r="V258"/>
  <c i="20" r="I258" s="1"/>
  <c i="20" r="V252"/>
  <c i="20" r="I252" s="1"/>
  <c i="20" r="V212"/>
  <c i="20" r="I212" s="1"/>
  <c i="20" r="V213"/>
  <c i="20" r="I213" s="1"/>
  <c i="20" r="V214"/>
  <c i="20" r="I214" s="1"/>
  <c i="20" r="V215"/>
  <c i="20" r="I215" s="1"/>
  <c i="20" r="V216"/>
  <c i="20" r="I216" s="1"/>
  <c i="20" r="V217"/>
  <c i="20" r="I217" s="1"/>
  <c i="20" r="V218"/>
  <c i="20" r="I218" s="1"/>
  <c i="20" r="V211"/>
  <c i="20" r="I211" s="1"/>
  <c i="20" r="B337"/>
  <c i="10" r="T118" s="1"/>
  <c i="21" r="B337"/>
  <c i="10" r="H118" s="1"/>
  <c i="21" r="B331"/>
  <c i="21" r="V296"/>
  <c i="21" r="I296" s="1"/>
  <c i="21" r="V297"/>
  <c i="21" r="I297" s="1"/>
  <c i="21" r="V298"/>
  <c i="21" r="I298" s="1"/>
  <c i="21" r="V299"/>
  <c i="21" r="I299" s="1"/>
  <c i="21" r="V300"/>
  <c i="21" r="I300" s="1"/>
  <c i="21" r="V301"/>
  <c i="21" r="I301" s="1"/>
  <c i="21" r="V302"/>
  <c i="21" r="I302" s="1"/>
  <c i="21" r="V295"/>
  <c i="21" r="I295" s="1"/>
  <c i="21" r="V253"/>
  <c i="21" r="I253" s="1"/>
  <c i="21" r="V254"/>
  <c i="21" r="I254" s="1"/>
  <c i="21" r="V255"/>
  <c i="21" r="I255" s="1"/>
  <c i="21" r="V256"/>
  <c i="21" r="I256" s="1"/>
  <c i="21" r="V257"/>
  <c i="21" r="I257" s="1"/>
  <c i="21" r="V258"/>
  <c i="21" r="I258" s="1"/>
  <c i="21" r="V252"/>
  <c i="21" r="I252" s="1"/>
  <c i="21" r="V212"/>
  <c i="21" r="I212" s="1"/>
  <c i="21" r="V213"/>
  <c i="21" r="I213" s="1"/>
  <c i="21" r="V214"/>
  <c i="21" r="I214" s="1"/>
  <c i="21" r="V215"/>
  <c i="21" r="I215" s="1"/>
  <c i="21" r="V216"/>
  <c i="21" r="I216" s="1"/>
  <c i="21" r="V217"/>
  <c i="21" r="I217" s="1"/>
  <c i="21" r="V218"/>
  <c i="21" r="I218" s="1"/>
  <c i="21" r="V211"/>
  <c i="21" r="I211" s="1"/>
  <c i="16" l="1" r="B10"/>
  <c i="12" r="H117"/>
  <c i="16" r="C10"/>
  <c i="12" r="T117"/>
  <c i="24" r="Y13"/>
  <c i="24" r="W13"/>
  <c i="24" r="X13"/>
  <c i="24" r="Y14"/>
  <c i="24" r="W14"/>
  <c i="24" r="X14"/>
  <c i="24" r="Y15"/>
  <c i="24" r="W15"/>
  <c i="24" r="X15"/>
  <c i="24" r="Y16"/>
  <c i="24" r="W16"/>
  <c i="24" r="X16"/>
  <c i="24" r="X4"/>
  <c i="24" r="X5"/>
  <c i="24" r="X6"/>
  <c i="24" r="X7"/>
  <c i="24" r="X8"/>
  <c i="24" r="Y8" s="1"/>
  <c i="24" r="X9"/>
  <c i="24" r="X10"/>
  <c i="24" r="Y10" s="1"/>
  <c i="24" r="X11"/>
  <c i="24" r="X12"/>
  <c i="24" r="X17"/>
  <c i="24" r="X18"/>
  <c i="24" r="X19"/>
  <c i="24" r="X20"/>
  <c i="24" r="X21"/>
  <c i="24" r="Y21" s="1"/>
  <c i="24" r="X22"/>
  <c i="24" r="X23"/>
  <c i="24" r="X24"/>
  <c i="24" r="X25"/>
  <c i="24" r="X26"/>
  <c i="24" r="X27"/>
  <c i="24" r="X28"/>
  <c i="24" r="X29"/>
  <c i="24" r="X30"/>
  <c i="24" r="X31"/>
  <c i="24" r="X32"/>
  <c i="24" r="X33"/>
  <c i="24" r="X34"/>
  <c i="24" r="X35"/>
  <c i="24" r="X36"/>
  <c i="24" r="X37"/>
  <c i="24" r="X38"/>
  <c i="24" r="X39"/>
  <c i="24" r="X40"/>
  <c i="24" r="X41"/>
  <c i="24" r="X42"/>
  <c i="24" r="X43"/>
  <c i="24" r="X44"/>
  <c i="24" r="X45"/>
  <c i="24" r="X46"/>
  <c i="24" r="X47"/>
  <c i="24" r="X48"/>
  <c i="24" r="X49"/>
  <c i="24" r="X50"/>
  <c i="24" r="X51"/>
  <c i="24" r="X52"/>
  <c i="24" r="X53"/>
  <c i="24" r="X54"/>
  <c i="24" r="X55"/>
  <c i="24" r="X56"/>
  <c i="24" r="X57"/>
  <c i="24" r="X58"/>
  <c i="24" r="X59"/>
  <c i="24" r="X60"/>
  <c i="24" r="X61"/>
  <c i="24" r="X62"/>
  <c i="24" r="X63"/>
  <c i="24" r="X64"/>
  <c i="24" r="X65"/>
  <c i="24" r="X66"/>
  <c i="24" r="X67"/>
  <c i="24" r="X68"/>
  <c i="24" r="X69"/>
  <c i="24" r="X70"/>
  <c i="24" r="X71"/>
  <c i="24" r="X72"/>
  <c i="24" r="X73"/>
  <c i="24" r="X74"/>
  <c i="24" r="X75"/>
  <c i="24" r="X76"/>
  <c i="24" r="X77"/>
  <c i="24" r="X78"/>
  <c i="24" r="X79"/>
  <c i="24" r="X80"/>
  <c i="24" r="X81"/>
  <c i="24" r="X82"/>
  <c i="24" r="X83"/>
  <c i="24" r="X84"/>
  <c i="24" r="X85"/>
  <c i="24" r="X86"/>
  <c i="24" r="X87"/>
  <c i="24" r="X88"/>
  <c i="24" r="X89"/>
  <c i="24" r="X90"/>
  <c i="24" r="X91"/>
  <c i="24" r="X92"/>
  <c i="24" r="X93"/>
  <c i="24" r="X94"/>
  <c i="24" r="X95"/>
  <c i="24" r="X96"/>
  <c i="24" r="X97"/>
  <c i="24" r="X98"/>
  <c i="24" r="X99"/>
  <c i="24" r="X100"/>
  <c i="24" r="X101"/>
  <c i="24" r="X102"/>
  <c i="24" r="X103"/>
  <c i="24" r="X104"/>
  <c i="24" r="X105"/>
  <c i="24" r="X106"/>
  <c i="24" r="X107"/>
  <c i="24" r="X108"/>
  <c i="24" r="X109"/>
  <c i="24" r="X110"/>
  <c i="24" r="X111"/>
  <c i="24" r="X112"/>
  <c i="24" r="X113"/>
  <c i="24" r="X114"/>
  <c i="24" r="X115"/>
  <c i="24" r="X116"/>
  <c i="24" r="X117"/>
  <c i="24" r="X118"/>
  <c i="24" r="X119"/>
  <c i="24" r="X120"/>
  <c i="24" r="X121"/>
  <c i="24" r="X122"/>
  <c i="24" r="X123"/>
  <c i="24" r="X124"/>
  <c i="24" r="X125"/>
  <c i="24" r="X126"/>
  <c i="24" r="X127"/>
  <c i="24" r="X128"/>
  <c i="24" r="X129"/>
  <c i="24" r="X130"/>
  <c i="24" r="X131"/>
  <c i="24" r="X132"/>
  <c i="24" r="X133"/>
  <c i="24" r="X134"/>
  <c i="24" r="X135"/>
  <c i="24" r="X136"/>
  <c i="24" r="X137"/>
  <c i="24" r="X138"/>
  <c i="24" r="X139"/>
  <c i="24" r="X140"/>
  <c i="24" r="X141"/>
  <c i="24" r="X142"/>
  <c i="24" r="X143"/>
  <c i="24" r="X144"/>
  <c i="24" r="X145"/>
  <c i="24" r="X146"/>
  <c i="24" r="X147"/>
  <c i="24" r="X148"/>
  <c i="24" r="X149"/>
  <c i="24" r="X150"/>
  <c i="24" r="X151"/>
  <c i="24" r="X152"/>
  <c i="24" r="X153"/>
  <c i="24" r="X154"/>
  <c i="24" r="X155"/>
  <c i="24" r="X156"/>
  <c i="24" r="X157"/>
  <c i="24" r="X158"/>
  <c i="24" r="X159"/>
  <c i="24" r="X160"/>
  <c i="24" r="X161"/>
  <c i="24" r="X162"/>
  <c i="24" r="X163"/>
  <c i="24" r="X164"/>
  <c i="24" r="X165"/>
  <c i="24" r="X166"/>
  <c i="24" r="X167"/>
  <c i="24" r="X168"/>
  <c i="24" r="X169"/>
  <c i="24" r="X170"/>
  <c i="24" r="X171"/>
  <c i="24" r="X172"/>
  <c i="24" r="X173"/>
  <c i="24" r="X174"/>
  <c i="24" r="X175"/>
  <c i="24" r="X176"/>
  <c i="24" r="X177"/>
  <c i="24" r="X178"/>
  <c i="24" r="X179"/>
  <c i="24" r="X180"/>
  <c i="24" r="X181"/>
  <c i="24" r="X182"/>
  <c i="24" r="X183"/>
  <c i="24" r="X184"/>
  <c i="24" r="X185"/>
  <c i="24" r="X186"/>
  <c i="24" r="X187"/>
  <c i="24" r="X188"/>
  <c i="24" r="X189"/>
  <c i="24" r="X190"/>
  <c i="24" r="X191"/>
  <c i="24" r="X192"/>
  <c i="24" r="X193"/>
  <c i="24" r="X194"/>
  <c i="24" r="X195"/>
  <c i="24" r="X196"/>
  <c i="24" r="X197"/>
  <c i="24" r="X198"/>
  <c i="24" r="X199"/>
  <c i="24" r="X200"/>
  <c i="24" r="X201"/>
  <c i="24" r="X202"/>
  <c i="24" r="X203"/>
  <c i="24" r="X204"/>
  <c i="24" r="X205"/>
  <c i="24" r="X206"/>
  <c i="24" r="X207"/>
  <c i="24" r="X208"/>
  <c i="24" r="X209"/>
  <c i="24" r="X210"/>
  <c i="24" r="X211"/>
  <c i="24" r="X212"/>
  <c i="24" r="X213"/>
  <c i="24" r="X214"/>
  <c i="24" r="X215"/>
  <c i="24" r="X216"/>
  <c i="24" r="X217"/>
  <c i="24" r="X218"/>
  <c i="24" r="X219"/>
  <c i="24" r="X220"/>
  <c i="24" r="X221"/>
  <c i="24" r="X222"/>
  <c i="24" r="X223"/>
  <c i="24" r="X224"/>
  <c i="24" r="X225"/>
  <c i="24" r="X226"/>
  <c i="24" r="X227"/>
  <c i="24" r="X228"/>
  <c i="24" r="X229"/>
  <c i="24" r="X230"/>
  <c i="24" r="X231"/>
  <c i="24" r="X232"/>
  <c i="24" r="X233"/>
  <c i="24" r="X234"/>
  <c i="24" r="X235"/>
  <c i="24" r="X236"/>
  <c i="24" r="X237"/>
  <c i="24" r="X238"/>
  <c i="24" r="X239"/>
  <c i="24" r="X240"/>
  <c i="24" r="X241"/>
  <c i="24" r="X242"/>
  <c i="24" r="X243"/>
  <c i="24" r="X244"/>
  <c i="24" r="X245"/>
  <c i="24" r="X246"/>
  <c i="24" r="X247"/>
  <c i="24" r="X248"/>
  <c i="24" r="X249"/>
  <c i="24" r="X250"/>
  <c i="24" r="X251"/>
  <c i="24" r="X252"/>
  <c i="24" r="X253"/>
  <c i="24" r="X254"/>
  <c i="24" r="X255"/>
  <c i="24" r="X256"/>
  <c i="24" r="X257"/>
  <c i="24" r="X258"/>
  <c i="24" r="X259"/>
  <c i="24" r="X260"/>
  <c i="24" r="X261"/>
  <c i="24" r="X262"/>
  <c i="24" r="X263"/>
  <c i="24" r="X264"/>
  <c i="24" r="X265"/>
  <c i="24" r="X266"/>
  <c i="24" r="X267"/>
  <c i="24" r="X268"/>
  <c i="24" r="X269"/>
  <c i="24" r="X270"/>
  <c i="24" r="X271"/>
  <c i="24" r="X272"/>
  <c i="24" r="X273"/>
  <c i="24" r="X274"/>
  <c i="24" r="X275"/>
  <c i="24" r="X276"/>
  <c i="24" r="X277"/>
  <c i="24" r="X278"/>
  <c i="24" r="X279"/>
  <c i="24" r="X280"/>
  <c i="24" r="X281"/>
  <c i="24" r="X282"/>
  <c i="24" r="X283"/>
  <c i="24" r="X284"/>
  <c i="24" r="X285"/>
  <c i="24" r="X286"/>
  <c i="24" r="X287"/>
  <c i="24" r="X288"/>
  <c i="24" r="X289"/>
  <c i="24" r="X290"/>
  <c i="24" r="X291"/>
  <c i="24" r="X292"/>
  <c i="24" r="X293"/>
  <c i="24" r="X294"/>
  <c i="24" r="X295"/>
  <c i="24" r="X296"/>
  <c i="24" r="X297"/>
  <c i="24" r="X298"/>
  <c i="24" r="X299"/>
  <c i="24" r="X300"/>
  <c i="24" r="X301"/>
  <c i="24" r="X302"/>
  <c i="24" r="X303"/>
  <c i="24" r="X304"/>
  <c i="24" r="X305"/>
  <c i="24" r="X306"/>
  <c i="24" r="X307"/>
  <c i="24" r="X308"/>
  <c i="24" r="X309"/>
  <c i="24" r="X310"/>
  <c i="24" r="X311"/>
  <c i="24" r="X312"/>
  <c i="24" r="X313"/>
  <c i="24" r="X314"/>
  <c i="24" r="X315"/>
  <c i="24" r="X316"/>
  <c i="24" r="X317"/>
  <c i="24" r="X318"/>
  <c i="24" r="X319"/>
  <c i="24" r="X320"/>
  <c i="24" r="X321"/>
  <c i="24" r="X322"/>
  <c i="24" r="X323"/>
  <c i="24" r="X324"/>
  <c i="24" r="X325"/>
  <c i="24" r="X326"/>
  <c i="24" r="X327"/>
  <c i="24" r="X328"/>
  <c i="24" r="X329"/>
  <c i="24" r="X330"/>
  <c i="24" r="X331"/>
  <c i="24" r="X332"/>
  <c i="24" r="X333"/>
  <c i="24" r="X334"/>
  <c i="24" r="X335"/>
  <c i="24" r="X336"/>
  <c i="24" r="X337"/>
  <c i="24" r="X338"/>
  <c i="24" r="X339"/>
  <c i="24" r="X340"/>
  <c i="24" r="X341"/>
  <c i="24" r="X342"/>
  <c i="24" r="X343"/>
  <c i="24" r="X344"/>
  <c i="24" r="X345"/>
  <c i="24" r="X346"/>
  <c i="24" r="X347"/>
  <c i="24" r="X348"/>
  <c i="24" r="X349"/>
  <c i="24" r="X350"/>
  <c i="24" r="X351"/>
  <c i="24" r="X352"/>
  <c i="24" r="X3"/>
  <c i="24" r="W3"/>
  <c i="24" r="Y12"/>
  <c i="24" r="Y17"/>
  <c i="24" r="Y18"/>
  <c i="24" r="Y19"/>
  <c i="24" r="Y20"/>
  <c i="24" r="Y22"/>
  <c i="24" r="Y23"/>
  <c i="24" r="Y24"/>
  <c i="24" r="Y25"/>
  <c i="24" r="Y26"/>
  <c i="24" r="Y27"/>
  <c i="24" r="V30"/>
  <c i="24" r="V31"/>
  <c i="24" r="V32"/>
  <c i="24" r="V33"/>
  <c i="24" r="V34"/>
  <c i="24" r="V35"/>
  <c i="24" r="V36"/>
  <c i="24" r="V37"/>
  <c i="24" r="V38"/>
  <c i="24" r="Y38" s="1"/>
  <c i="24" r="V39"/>
  <c i="24" r="V40"/>
  <c i="24" r="Y40" s="1"/>
  <c i="24" r="V41"/>
  <c i="24" r="Y41" s="1"/>
  <c i="24" r="V42"/>
  <c i="24" r="Y42" s="1"/>
  <c i="24" r="V43"/>
  <c i="24" r="Y43" s="1"/>
  <c i="24" r="V44"/>
  <c i="24" r="Y44" s="1"/>
  <c i="24" r="V45"/>
  <c i="24" r="V46"/>
  <c i="24" r="Y46" s="1"/>
  <c i="24" r="V47"/>
  <c i="24" r="Y47" s="1"/>
  <c i="24" r="V48"/>
  <c i="24" r="Y48" s="1"/>
  <c i="24" r="V49"/>
  <c i="24" r="Y49" s="1"/>
  <c i="24" r="V50"/>
  <c i="24" r="Y50" s="1"/>
  <c i="24" r="V51"/>
  <c i="24" r="Y51" s="1"/>
  <c i="24" r="V52"/>
  <c i="24" r="Y52" s="1"/>
  <c i="24" r="V53"/>
  <c i="24" r="Y53" s="1"/>
  <c i="24" r="V54"/>
  <c i="24" r="Y54" s="1"/>
  <c i="24" r="V55"/>
  <c i="24" r="V56"/>
  <c i="24" r="V57"/>
  <c i="24" r="V58"/>
  <c i="24" r="V59"/>
  <c i="24" r="V60"/>
  <c i="24" r="V61"/>
  <c i="24" r="V62"/>
  <c i="24" r="V63"/>
  <c i="24" r="V64"/>
  <c i="24" r="V65"/>
  <c i="24" r="Y65" s="1"/>
  <c i="24" r="V66"/>
  <c i="24" r="Y66" s="1"/>
  <c i="24" r="V67"/>
  <c i="24" r="Y67" s="1"/>
  <c i="24" r="V68"/>
  <c i="24" r="Y68" s="1"/>
  <c i="24" r="V69"/>
  <c i="24" r="V70"/>
  <c i="24" r="Y70" s="1"/>
  <c i="24" r="V71"/>
  <c i="24" r="Y71" s="1"/>
  <c i="24" r="V72"/>
  <c i="24" r="Y72" s="1"/>
  <c i="24" r="V73"/>
  <c i="24" r="Y73" s="1"/>
  <c i="24" r="V74"/>
  <c i="24" r="Y74" s="1"/>
  <c i="24" r="V75"/>
  <c i="24" r="Y75" s="1"/>
  <c i="24" r="V76"/>
  <c i="24" r="Y76" s="1"/>
  <c i="24" r="V77"/>
  <c i="24" r="Y77" s="1"/>
  <c i="24" r="V78"/>
  <c i="24" r="Y78" s="1"/>
  <c i="24" r="V79"/>
  <c i="24" r="V80"/>
  <c i="24" r="Y80" s="1"/>
  <c i="24" r="V81"/>
  <c i="24" r="Y81" s="1"/>
  <c i="24" r="V82"/>
  <c i="24" r="V83"/>
  <c i="24" r="V84"/>
  <c i="24" r="V85"/>
  <c i="24" r="V86"/>
  <c i="24" r="V87"/>
  <c i="24" r="V88"/>
  <c i="24" r="V89"/>
  <c i="24" r="V90"/>
  <c i="24" r="V91"/>
  <c i="24" r="V92"/>
  <c i="24" r="V93"/>
  <c i="24" r="V94"/>
  <c i="24" r="V95"/>
  <c i="24" r="Y95" s="1"/>
  <c i="24" r="V96"/>
  <c i="24" r="V97"/>
  <c i="24" r="Y97" s="1"/>
  <c i="24" r="V98"/>
  <c i="24" r="Y98" s="1"/>
  <c i="24" r="V99"/>
  <c i="24" r="Y99" s="1"/>
  <c i="24" r="V100"/>
  <c i="24" r="Y100" s="1"/>
  <c i="24" r="V101"/>
  <c i="24" r="Y101" s="1"/>
  <c i="24" r="V102"/>
  <c i="24" r="Y102" s="1"/>
  <c i="24" r="V103"/>
  <c i="24" r="V104"/>
  <c i="24" r="Y104" s="1"/>
  <c i="24" r="V105"/>
  <c i="24" r="Y105" s="1"/>
  <c i="24" r="V106"/>
  <c i="24" r="V107"/>
  <c i="24" r="V108"/>
  <c i="24" r="V109"/>
  <c i="24" r="V110"/>
  <c i="24" r="Y110" s="1"/>
  <c i="24" r="V111"/>
  <c i="24" r="V112"/>
  <c i="24" r="Y112" s="1"/>
  <c i="24" r="V113"/>
  <c i="24" r="Y113" s="1"/>
  <c i="24" r="V114"/>
  <c i="24" r="Y114" s="1"/>
  <c i="24" r="V115"/>
  <c i="24" r="V116"/>
  <c i="24" r="V117"/>
  <c i="24" r="V118"/>
  <c i="24" r="V119"/>
  <c i="24" r="V120"/>
  <c i="24" r="V121"/>
  <c i="24" r="V122"/>
  <c i="24" r="V123"/>
  <c i="24" r="V124"/>
  <c i="24" r="V125"/>
  <c i="24" r="Y125" s="1"/>
  <c i="24" r="V126"/>
  <c i="24" r="Y126" s="1"/>
  <c i="24" r="V127"/>
  <c i="24" r="V128"/>
  <c i="24" r="Y128" s="1"/>
  <c i="24" r="V129"/>
  <c i="24" r="Y129" s="1"/>
  <c i="24" r="V130"/>
  <c i="24" r="V131"/>
  <c i="24" r="V132"/>
  <c i="24" r="V133"/>
  <c i="24" r="V134"/>
  <c i="24" r="Y134" s="1"/>
  <c i="24" r="V135"/>
  <c i="24" r="V136"/>
  <c i="24" r="Y136" s="1"/>
  <c i="24" r="V137"/>
  <c i="24" r="Y137" s="1"/>
  <c i="24" r="V138"/>
  <c i="24" r="Y138" s="1"/>
  <c i="24" r="V139"/>
  <c i="24" r="Y139" s="1"/>
  <c i="24" r="V140"/>
  <c i="24" r="Y140" s="1"/>
  <c i="24" r="V141"/>
  <c i="24" r="V142"/>
  <c i="24" r="Y142" s="1"/>
  <c i="24" r="V143"/>
  <c i="24" r="Y143" s="1"/>
  <c i="24" r="V144"/>
  <c i="24" r="V145"/>
  <c i="24" r="V146"/>
  <c i="24" r="V147"/>
  <c i="24" r="V148"/>
  <c i="24" r="V149"/>
  <c i="24" r="V150"/>
  <c i="24" r="V151"/>
  <c i="24" r="V152"/>
  <c i="24" r="V153"/>
  <c i="24" r="V154"/>
  <c i="24" r="V155"/>
  <c i="24" r="V156"/>
  <c i="24" r="V157"/>
  <c i="24" r="V158"/>
  <c i="24" r="Y158" s="1"/>
  <c i="24" r="V159"/>
  <c i="24" r="V160"/>
  <c i="24" r="Y160" s="1"/>
  <c i="24" r="V161"/>
  <c i="24" r="Y161" s="1"/>
  <c i="24" r="V162"/>
  <c i="24" r="Y162" s="1"/>
  <c i="24" r="V163"/>
  <c i="24" r="Y163" s="1"/>
  <c i="24" r="V164"/>
  <c i="24" r="Y164" s="1"/>
  <c i="24" r="V165"/>
  <c i="24" r="V166"/>
  <c i="24" r="Y166" s="1"/>
  <c i="24" r="V167"/>
  <c i="24" r="Y167" s="1"/>
  <c i="24" r="V168"/>
  <c i="24" r="V169"/>
  <c i="24" r="Y169" s="1"/>
  <c i="24" r="V170"/>
  <c i="24" r="Y170" s="1"/>
  <c i="24" r="V171"/>
  <c i="24" r="Y171" s="1"/>
  <c i="24" r="V172"/>
  <c i="24" r="Y172" s="1"/>
  <c i="24" r="V173"/>
  <c i="24" r="Y173" s="1"/>
  <c i="24" r="V174"/>
  <c i="24" r="Y174" s="1"/>
  <c i="24" r="V175"/>
  <c i="24" r="V176"/>
  <c i="24" r="V177"/>
  <c i="24" r="V178"/>
  <c i="24" r="V179"/>
  <c i="24" r="V180"/>
  <c i="24" r="V181"/>
  <c i="24" r="V182"/>
  <c i="24" r="V183"/>
  <c i="24" r="V184"/>
  <c i="24" r="V185"/>
  <c i="24" r="Y185" s="1"/>
  <c i="24" r="V186"/>
  <c i="24" r="Y186" s="1"/>
  <c i="24" r="V187"/>
  <c i="24" r="Y187" s="1"/>
  <c i="24" r="V188"/>
  <c i="24" r="Y188" s="1"/>
  <c i="24" r="V189"/>
  <c i="24" r="V190"/>
  <c i="24" r="Y190" s="1"/>
  <c i="24" r="V191"/>
  <c i="24" r="Y191" s="1"/>
  <c i="24" r="V192"/>
  <c i="24" r="V193"/>
  <c i="24" r="Y193" s="1"/>
  <c i="24" r="V194"/>
  <c i="24" r="Y194" s="1"/>
  <c i="24" r="V195"/>
  <c i="24" r="Y195" s="1"/>
  <c i="24" r="V196"/>
  <c i="24" r="Y196" s="1"/>
  <c i="24" r="V197"/>
  <c i="24" r="Y197" s="1"/>
  <c i="24" r="V198"/>
  <c i="24" r="Y198" s="1"/>
  <c i="24" r="V199"/>
  <c i="24" r="V200"/>
  <c i="24" r="Y200" s="1"/>
  <c i="24" r="V201"/>
  <c i="24" r="Y201" s="1"/>
  <c i="24" r="V202"/>
  <c i="24" r="V203"/>
  <c i="24" r="V204"/>
  <c i="24" r="V205"/>
  <c i="24" r="V206"/>
  <c i="24" r="Y206" s="1"/>
  <c i="24" r="V207"/>
  <c i="24" r="V208"/>
  <c i="24" r="Y208" s="1"/>
  <c i="24" r="V209"/>
  <c i="24" r="Y209" s="1"/>
  <c i="24" r="V210"/>
  <c i="24" r="Y210" s="1"/>
  <c i="24" r="V211"/>
  <c i="24" r="Y211" s="1"/>
  <c i="24" r="V212"/>
  <c i="24" r="Y212" s="1"/>
  <c i="24" r="V213"/>
  <c i="24" r="V214"/>
  <c i="24" r="Y214" s="1"/>
  <c i="24" r="V215"/>
  <c i="24" r="Y215" s="1"/>
  <c i="24" r="V216"/>
  <c i="24" r="V217"/>
  <c i="24" r="Y217" s="1"/>
  <c i="24" r="V218"/>
  <c i="24" r="Y218" s="1"/>
  <c i="24" r="V219"/>
  <c i="24" r="Y219" s="1"/>
  <c i="24" r="V220"/>
  <c i="24" r="Y220" s="1"/>
  <c i="24" r="V221"/>
  <c i="24" r="Y221" s="1"/>
  <c i="24" r="V222"/>
  <c i="24" r="Y222" s="1"/>
  <c i="24" r="V223"/>
  <c i="24" r="V224"/>
  <c i="24" r="Y224" s="1"/>
  <c i="24" r="V225"/>
  <c i="24" r="Y225" s="1"/>
  <c i="24" r="V226"/>
  <c i="24" r="V227"/>
  <c i="24" r="V228"/>
  <c i="24" r="Y228" s="1"/>
  <c i="24" r="V229"/>
  <c i="24" r="V230"/>
  <c i="24" r="Y230" s="1"/>
  <c i="24" r="V231"/>
  <c i="24" r="V232"/>
  <c i="24" r="Y232" s="1"/>
  <c i="24" r="V233"/>
  <c i="24" r="Y233" s="1"/>
  <c i="24" r="V234"/>
  <c i="24" r="Y234" s="1"/>
  <c i="24" r="V235"/>
  <c i="24" r="Y235" s="1"/>
  <c i="24" r="V236"/>
  <c i="24" r="Y236" s="1"/>
  <c i="24" r="V237"/>
  <c i="24" r="V238"/>
  <c i="24" r="Y238" s="1"/>
  <c i="24" r="V239"/>
  <c i="24" r="Y239" s="1"/>
  <c i="24" r="V240"/>
  <c i="24" r="V241"/>
  <c i="24" r="Y241" s="1"/>
  <c i="24" r="V242"/>
  <c i="24" r="Y242" s="1"/>
  <c i="24" r="V243"/>
  <c i="24" r="Y243" s="1"/>
  <c i="24" r="V244"/>
  <c i="24" r="Y244" s="1"/>
  <c i="24" r="V245"/>
  <c i="24" r="Y245" s="1"/>
  <c i="24" r="V246"/>
  <c i="24" r="Y246" s="1"/>
  <c i="24" r="V247"/>
  <c i="24" r="V248"/>
  <c i="24" r="Y248" s="1"/>
  <c i="24" r="V249"/>
  <c i="24" r="Y249" s="1"/>
  <c i="24" r="V250"/>
  <c i="24" r="V251"/>
  <c i="24" r="V252"/>
  <c i="24" r="Y252" s="1"/>
  <c i="24" r="V253"/>
  <c i="24" r="V254"/>
  <c i="24" r="Y254" s="1"/>
  <c i="24" r="V255"/>
  <c i="24" r="V256"/>
  <c i="24" r="Y256" s="1"/>
  <c i="24" r="V257"/>
  <c i="24" r="Y257" s="1"/>
  <c i="24" r="V258"/>
  <c i="24" r="Y258" s="1"/>
  <c i="24" r="V259"/>
  <c i="24" r="Y259" s="1"/>
  <c i="24" r="V260"/>
  <c i="24" r="Y260" s="1"/>
  <c i="24" r="V261"/>
  <c i="24" r="V262"/>
  <c i="24" r="Y262" s="1"/>
  <c i="24" r="V263"/>
  <c i="24" r="Y263" s="1"/>
  <c i="24" r="V264"/>
  <c i="24" r="V265"/>
  <c i="24" r="Y265" s="1"/>
  <c i="24" r="V266"/>
  <c i="24" r="Y266" s="1"/>
  <c i="24" r="V267"/>
  <c i="24" r="Y267" s="1"/>
  <c i="24" r="V268"/>
  <c i="24" r="Y268" s="1"/>
  <c i="24" r="V269"/>
  <c i="24" r="Y269" s="1"/>
  <c i="24" r="V270"/>
  <c i="24" r="Y270" s="1"/>
  <c i="24" r="V271"/>
  <c i="24" r="V272"/>
  <c i="24" r="Y272" s="1"/>
  <c i="24" r="V273"/>
  <c i="24" r="Y273" s="1"/>
  <c i="24" r="V274"/>
  <c i="24" r="V275"/>
  <c i="24" r="V276"/>
  <c i="24" r="Y276" s="1"/>
  <c i="24" r="V277"/>
  <c i="24" r="V278"/>
  <c i="24" r="Y278" s="1"/>
  <c i="24" r="V279"/>
  <c i="24" r="V280"/>
  <c i="24" r="Y280" s="1"/>
  <c i="24" r="V281"/>
  <c i="24" r="Y281" s="1"/>
  <c i="24" r="V282"/>
  <c i="24" r="Y282" s="1"/>
  <c i="24" r="V283"/>
  <c i="24" r="Y283" s="1"/>
  <c i="24" r="V284"/>
  <c i="24" r="Y284" s="1"/>
  <c i="24" r="V285"/>
  <c i="24" r="V286"/>
  <c i="24" r="Y286" s="1"/>
  <c i="24" r="V287"/>
  <c i="24" r="Y287" s="1"/>
  <c i="24" r="V288"/>
  <c i="24" r="V289"/>
  <c i="24" r="Y289" s="1"/>
  <c i="24" r="V290"/>
  <c i="24" r="Y290" s="1"/>
  <c i="24" r="V291"/>
  <c i="24" r="Y291" s="1"/>
  <c i="24" r="V292"/>
  <c i="24" r="Y292" s="1"/>
  <c i="24" r="V293"/>
  <c i="24" r="Y293" s="1"/>
  <c i="24" r="V294"/>
  <c i="24" r="Y294" s="1"/>
  <c i="24" r="V295"/>
  <c i="24" r="V296"/>
  <c i="24" r="Y296" s="1"/>
  <c i="24" r="V297"/>
  <c i="24" r="Y297" s="1"/>
  <c i="24" r="V298"/>
  <c i="24" r="V299"/>
  <c i="24" r="V300"/>
  <c i="24" r="Y300" s="1"/>
  <c i="24" r="V301"/>
  <c i="24" r="V302"/>
  <c i="24" r="Y302" s="1"/>
  <c i="24" r="V303"/>
  <c i="24" r="V304"/>
  <c i="24" r="Y304" s="1"/>
  <c i="24" r="V305"/>
  <c i="24" r="Y305" s="1"/>
  <c i="24" r="V306"/>
  <c i="24" r="Y306" s="1"/>
  <c i="24" r="V307"/>
  <c i="24" r="Y307" s="1"/>
  <c i="24" r="V308"/>
  <c i="24" r="Y308" s="1"/>
  <c i="24" r="V309"/>
  <c i="24" r="V310"/>
  <c i="24" r="Y310" s="1"/>
  <c i="24" r="V311"/>
  <c i="24" r="Y311" s="1"/>
  <c i="24" r="V312"/>
  <c i="24" r="Y312" s="1"/>
  <c i="24" r="V313"/>
  <c i="24" r="Y313" s="1"/>
  <c i="24" r="V314"/>
  <c i="24" r="Y314" s="1"/>
  <c i="24" r="V315"/>
  <c i="24" r="Y315" s="1"/>
  <c i="24" r="V316"/>
  <c i="24" r="Y316" s="1"/>
  <c i="24" r="V317"/>
  <c i="24" r="Y317" s="1"/>
  <c i="24" r="V318"/>
  <c i="24" r="Y318" s="1"/>
  <c i="24" r="V319"/>
  <c i="24" r="V320"/>
  <c i="24" r="Y320" s="1"/>
  <c i="24" r="V321"/>
  <c i="24" r="Y321" s="1"/>
  <c i="24" r="V322"/>
  <c i="24" r="V323"/>
  <c i="24" r="V324"/>
  <c i="24" r="Y324" s="1"/>
  <c i="24" r="V325"/>
  <c i="24" r="V326"/>
  <c i="24" r="Y326" s="1"/>
  <c i="24" r="V327"/>
  <c i="24" r="V328"/>
  <c i="24" r="Y328" s="1"/>
  <c i="24" r="V329"/>
  <c i="24" r="Y329" s="1"/>
  <c i="24" r="V330"/>
  <c i="24" r="Y330" s="1"/>
  <c i="24" r="V331"/>
  <c i="24" r="Y331" s="1"/>
  <c i="24" r="V332"/>
  <c i="24" r="Y332" s="1"/>
  <c i="24" r="V333"/>
  <c i="24" r="Y333" s="1"/>
  <c i="24" r="V334"/>
  <c i="24" r="Y334" s="1"/>
  <c i="24" r="V335"/>
  <c i="24" r="Y335" s="1"/>
  <c i="24" r="V336"/>
  <c i="24" r="Y336" s="1"/>
  <c i="24" r="V337"/>
  <c i="24" r="Y337" s="1"/>
  <c i="24" r="V338"/>
  <c i="24" r="Y338" s="1"/>
  <c i="24" r="V339"/>
  <c i="24" r="Y339" s="1"/>
  <c i="24" r="V340"/>
  <c i="24" r="Y340" s="1"/>
  <c i="24" r="V341"/>
  <c i="24" r="Y341" s="1"/>
  <c i="24" r="V342"/>
  <c i="24" r="Y342" s="1"/>
  <c i="24" r="V343"/>
  <c i="24" r="V344"/>
  <c i="24" r="Y344" s="1"/>
  <c i="24" r="V345"/>
  <c i="24" r="Y345" s="1"/>
  <c i="24" r="V346"/>
  <c i="24" r="V347"/>
  <c i="24" r="V348"/>
  <c i="24" r="Y348" s="1"/>
  <c i="24" r="V349"/>
  <c i="24" r="V350"/>
  <c i="24" r="Y350" s="1"/>
  <c i="24" r="V351"/>
  <c i="24" r="V352"/>
  <c i="24" r="Y352" s="1"/>
  <c i="24" l="1" r="Y288"/>
  <c i="24" r="Y264"/>
  <c i="24" r="Y240"/>
  <c i="24" r="Y216"/>
  <c i="24" r="Y192"/>
  <c i="24" r="Y168"/>
  <c i="24" r="Y144"/>
  <c i="24" r="Y96"/>
  <c i="24" r="Y309"/>
  <c i="24" r="Y285"/>
  <c i="24" r="Y261"/>
  <c i="24" r="Y237"/>
  <c i="24" r="Y213"/>
  <c i="24" r="Y189"/>
  <c i="24" r="Y165"/>
  <c i="24" r="Y141"/>
  <c i="24" r="Y69"/>
  <c i="24" r="Y45"/>
  <c i="24" r="Y156"/>
  <c i="24" r="Y108"/>
  <c i="24" r="Y36"/>
  <c i="24" r="Y347"/>
  <c i="24" r="Y323"/>
  <c i="24" r="Y299"/>
  <c i="24" r="Y275"/>
  <c i="24" r="Y251"/>
  <c i="24" r="Y227"/>
  <c i="24" r="Y203"/>
  <c i="24" r="Y155"/>
  <c i="24" r="Y131"/>
  <c i="24" r="Y107"/>
  <c i="24" r="Y83"/>
  <c i="24" r="Y35"/>
  <c i="24" r="Y204"/>
  <c i="24" r="Y132"/>
  <c i="24" r="Y84"/>
  <c i="24" r="Y346"/>
  <c i="24" r="Y322"/>
  <c i="24" r="Y298"/>
  <c i="24" r="Y274"/>
  <c i="24" r="Y250"/>
  <c i="24" r="Y226"/>
  <c i="24" r="Y202"/>
  <c i="24" r="Y130"/>
  <c i="24" r="Y106"/>
  <c i="24" r="Y82"/>
  <c i="24" r="Y343"/>
  <c i="24" r="Y319"/>
  <c i="24" r="Y295"/>
  <c i="24" r="Y271"/>
  <c i="24" r="Y247"/>
  <c i="24" r="Y223"/>
  <c i="24" r="Y199"/>
  <c i="24" r="Y127"/>
  <c i="24" r="Y103"/>
  <c i="24" r="Y79"/>
  <c i="24" r="Y351"/>
  <c i="24" r="Y327"/>
  <c i="24" r="Y303"/>
  <c i="24" r="Y279"/>
  <c i="24" r="Y255"/>
  <c i="24" r="Y231"/>
  <c i="24" r="Y207"/>
  <c i="24" r="Y159"/>
  <c i="24" r="Y135"/>
  <c i="24" r="Y111"/>
  <c i="24" r="Y39"/>
  <c i="24" r="Y11"/>
  <c i="24" r="Y349"/>
  <c i="24" r="Y325"/>
  <c i="24" r="Y301"/>
  <c i="24" r="Y277"/>
  <c i="24" r="Y253"/>
  <c i="24" r="Y229"/>
  <c i="24" r="Y157"/>
  <c i="24" r="Y133"/>
  <c i="24" r="Y109"/>
  <c i="24" r="Y37"/>
  <c i="24" r="Y9"/>
  <c i="24" r="J105"/>
  <c i="24" r="J102"/>
  <c i="24" r="J103"/>
  <c i="24" r="J104"/>
  <c i="24" r="J106"/>
  <c i="24" r="J107"/>
  <c i="24" r="J108"/>
  <c i="24" r="C103"/>
  <c i="24" r="F106"/>
  <c i="24" r="C102"/>
  <c i="24" r="F103"/>
  <c i="24" r="C107"/>
  <c i="24" r="I103"/>
  <c i="24" r="D103"/>
  <c i="24" r="G106"/>
  <c i="24" r="I106"/>
  <c i="24" r="D107"/>
  <c i="24" r="E103"/>
  <c i="24" r="H106"/>
  <c i="24" r="G103"/>
  <c i="24" r="H103"/>
  <c i="24" r="E107"/>
  <c i="24" r="E106"/>
  <c i="24" r="I102"/>
  <c i="24" r="C104"/>
  <c i="24" r="F107"/>
  <c i="24" r="D104"/>
  <c i="24" r="G107"/>
  <c i="24" r="E104"/>
  <c i="24" r="H107"/>
  <c i="24" r="D106"/>
  <c i="24" r="F104"/>
  <c i="24" r="I107"/>
  <c i="24" r="G104"/>
  <c i="24" r="C108"/>
  <c i="24" r="H102"/>
  <c i="24" r="H104"/>
  <c i="24" r="D108"/>
  <c i="24" r="I104"/>
  <c i="24" r="E108"/>
  <c i="24" r="C105"/>
  <c i="24" r="F108"/>
  <c i="24" r="D105"/>
  <c i="24" r="G108"/>
  <c i="24" r="E102"/>
  <c i="24" r="E105"/>
  <c i="24" r="H108"/>
  <c i="24" r="D102"/>
  <c i="24" r="F102"/>
  <c i="24" r="C106"/>
  <c i="24" r="F105"/>
  <c i="24" r="I108"/>
  <c i="24" r="G105"/>
  <c i="24" r="H105"/>
  <c i="24" r="I105"/>
  <c i="24" r="G102"/>
  <c i="24" r="K39"/>
  <c i="24" r="M39" s="1"/>
  <c i="24" r="K33"/>
  <c i="24" r="M33" s="1"/>
  <c i="24" r="K36"/>
  <c i="24" r="M36" s="1"/>
  <c i="24" r="K34"/>
  <c i="24" r="M34" s="1"/>
  <c i="24" r="K37"/>
  <c i="24" r="M37" s="1"/>
  <c i="24" r="K35"/>
  <c i="24" r="M35" s="1"/>
  <c i="24" r="K38"/>
  <c i="24" r="M38" s="1"/>
  <c i="24" r="I24"/>
  <c i="24" r="I22"/>
  <c i="24" r="I20"/>
  <c i="24" r="I23"/>
  <c i="24" r="I21"/>
  <c i="24" r="I5"/>
  <c i="24" r="I11"/>
  <c i="24" r="I10"/>
  <c i="24" r="I9"/>
  <c i="24" r="I8"/>
  <c i="24" r="I7"/>
  <c i="24" r="I6"/>
  <c i="24" r="I19"/>
  <c i="24" r="I25"/>
  <c i="24" l="1" r="W4"/>
  <c i="24" r="W5"/>
  <c i="24" r="M70" s="1"/>
  <c i="24" r="W6"/>
  <c i="24" r="M86" s="1"/>
  <c i="24" r="W7"/>
  <c i="24" r="M93" s="1"/>
  <c i="24" r="W8"/>
  <c i="24" r="W9"/>
  <c i="24" r="W10"/>
  <c i="24" r="W11"/>
  <c i="24" r="W12"/>
  <c i="24" r="W17"/>
  <c i="24" r="W18"/>
  <c i="24" r="W19"/>
  <c i="24" r="W20"/>
  <c i="24" r="W21"/>
  <c i="24" r="W22"/>
  <c i="24" r="W23"/>
  <c i="24" r="W24"/>
  <c i="24" r="W25"/>
  <c i="24" r="W26"/>
  <c i="24" r="W27"/>
  <c i="24" r="W28"/>
  <c i="24" r="M63" s="1"/>
  <c i="24" r="W29"/>
  <c i="24" r="W30"/>
  <c i="24" r="W31"/>
  <c i="24" r="M87" s="1"/>
  <c i="24" r="W32"/>
  <c i="24" r="M94" s="1"/>
  <c i="24" r="W33"/>
  <c i="24" r="M100" s="1"/>
  <c i="24" r="W34"/>
  <c i="24" r="M106" s="1"/>
  <c i="24" r="W35"/>
  <c i="24" r="W36"/>
  <c i="24" r="W37"/>
  <c i="24" r="W38"/>
  <c i="24" r="W39"/>
  <c i="24" r="W40"/>
  <c i="24" r="W41"/>
  <c i="24" r="W42"/>
  <c i="24" r="W43"/>
  <c i="24" r="W44"/>
  <c i="24" r="W45"/>
  <c i="24" r="W46"/>
  <c i="24" r="W47"/>
  <c i="24" r="W48"/>
  <c i="24" r="W49"/>
  <c i="24" r="W50"/>
  <c i="24" r="W51"/>
  <c i="24" r="W52"/>
  <c i="24" r="W53"/>
  <c i="24" r="W54"/>
  <c i="24" r="W55"/>
  <c i="24" r="M64" s="1"/>
  <c i="24" r="W56"/>
  <c i="24" r="W57"/>
  <c i="24" r="W58"/>
  <c i="24" r="M71" s="1"/>
  <c i="24" r="W59"/>
  <c i="24" r="M76" s="1"/>
  <c i="24" r="W60"/>
  <c i="24" r="M81" s="1"/>
  <c i="24" r="W61"/>
  <c i="24" r="M88" s="1"/>
  <c i="24" r="W62"/>
  <c i="24" r="M95" s="1"/>
  <c i="24" r="W63"/>
  <c i="24" r="M101" s="1"/>
  <c i="24" r="W64"/>
  <c i="24" r="M107" s="1"/>
  <c i="24" r="W65"/>
  <c i="24" r="W66"/>
  <c i="24" r="W67"/>
  <c i="24" r="W68"/>
  <c i="24" r="W69"/>
  <c i="24" r="W70"/>
  <c i="24" r="W71"/>
  <c i="24" r="W72"/>
  <c i="24" r="W73"/>
  <c i="24" r="W74"/>
  <c i="24" r="W75"/>
  <c i="24" r="W76"/>
  <c i="24" r="W77"/>
  <c i="24" r="W78"/>
  <c i="24" r="W79"/>
  <c i="24" r="W80"/>
  <c i="24" r="W81"/>
  <c i="24" r="W82"/>
  <c i="24" r="W83"/>
  <c i="24" r="W84"/>
  <c i="24" r="W85"/>
  <c i="24" r="M65" s="1"/>
  <c i="24" r="W86"/>
  <c i="24" r="W87"/>
  <c i="24" r="W88"/>
  <c i="24" r="M72" s="1"/>
  <c i="24" r="W89"/>
  <c i="24" r="M77" s="1"/>
  <c i="24" r="W90"/>
  <c i="24" r="M82" s="1"/>
  <c i="24" r="W91"/>
  <c i="24" r="M89" s="1"/>
  <c i="24" r="W92"/>
  <c i="24" r="M96" s="1"/>
  <c i="24" r="W93"/>
  <c i="24" r="M102" s="1"/>
  <c i="24" r="W94"/>
  <c i="24" r="M108" s="1"/>
  <c i="24" r="W95"/>
  <c i="24" r="W96"/>
  <c i="24" r="W97"/>
  <c i="24" r="W98"/>
  <c i="24" r="W99"/>
  <c i="24" r="W100"/>
  <c i="24" r="W101"/>
  <c i="24" r="W102"/>
  <c i="24" r="W103"/>
  <c i="24" r="W104"/>
  <c i="24" r="W105"/>
  <c i="24" r="W106"/>
  <c i="24" r="W107"/>
  <c i="24" r="W108"/>
  <c i="24" r="W109"/>
  <c i="24" r="W110"/>
  <c i="24" r="W111"/>
  <c i="24" r="W112"/>
  <c i="24" r="W113"/>
  <c i="24" r="W114"/>
  <c i="24" r="W115"/>
  <c i="24" r="M66" s="1"/>
  <c i="24" r="W116"/>
  <c i="24" r="W117"/>
  <c i="24" r="W118"/>
  <c i="24" r="M73" s="1"/>
  <c i="24" r="W119"/>
  <c i="24" r="M78" s="1"/>
  <c i="24" r="W120"/>
  <c i="24" r="M83" s="1"/>
  <c i="24" r="W121"/>
  <c i="24" r="M90" s="1"/>
  <c i="24" r="W122"/>
  <c i="24" r="M97" s="1"/>
  <c i="24" r="W123"/>
  <c i="24" r="M103" s="1"/>
  <c i="24" r="W124"/>
  <c i="24" r="M109" s="1"/>
  <c i="24" r="W125"/>
  <c i="24" r="W126"/>
  <c i="24" r="W127"/>
  <c i="24" r="W128"/>
  <c i="24" r="W129"/>
  <c i="24" r="W130"/>
  <c i="24" r="W131"/>
  <c i="24" r="W132"/>
  <c i="24" r="W133"/>
  <c i="24" r="W134"/>
  <c i="24" r="W135"/>
  <c i="24" r="W136"/>
  <c i="24" r="W137"/>
  <c i="24" r="W138"/>
  <c i="24" r="W139"/>
  <c i="24" r="W140"/>
  <c i="24" r="W141"/>
  <c i="24" r="W142"/>
  <c i="24" r="W143"/>
  <c i="24" r="W144"/>
  <c i="24" r="W145"/>
  <c i="24" r="M67" s="1"/>
  <c i="24" r="W146"/>
  <c i="24" r="W147"/>
  <c i="24" r="W148"/>
  <c i="24" r="M74" s="1"/>
  <c i="24" r="W149"/>
  <c i="24" r="M79" s="1"/>
  <c i="24" r="W150"/>
  <c i="24" r="M84" s="1"/>
  <c i="24" r="W151"/>
  <c i="24" r="M91" s="1"/>
  <c i="24" r="W152"/>
  <c i="24" r="M98" s="1"/>
  <c i="24" r="W153"/>
  <c i="24" r="M104" s="1"/>
  <c i="24" r="W154"/>
  <c i="24" r="M110" s="1"/>
  <c i="24" r="W155"/>
  <c i="24" r="W156"/>
  <c i="24" r="W157"/>
  <c i="24" r="W158"/>
  <c i="24" r="W159"/>
  <c i="24" r="W160"/>
  <c i="24" r="W161"/>
  <c i="24" r="W162"/>
  <c i="24" r="W163"/>
  <c i="24" r="W164"/>
  <c i="24" r="W165"/>
  <c i="24" r="W166"/>
  <c i="24" r="W167"/>
  <c i="24" r="W168"/>
  <c i="24" r="W169"/>
  <c i="24" r="W170"/>
  <c i="24" r="W171"/>
  <c i="24" r="W172"/>
  <c i="24" r="W173"/>
  <c i="24" r="W174"/>
  <c i="24" r="W175"/>
  <c i="24" r="M68" s="1"/>
  <c i="24" r="W176"/>
  <c i="24" r="W177"/>
  <c i="24" r="W178"/>
  <c i="24" r="M75" s="1"/>
  <c i="24" r="W179"/>
  <c i="24" r="M80" s="1"/>
  <c i="24" r="W180"/>
  <c i="24" r="M85" s="1"/>
  <c i="24" r="W181"/>
  <c i="24" r="M92" s="1"/>
  <c i="24" r="W182"/>
  <c i="24" r="M99" s="1"/>
  <c i="24" r="W183"/>
  <c i="24" r="M105" s="1"/>
  <c i="24" r="W184"/>
  <c i="24" r="M111" s="1"/>
  <c i="24" r="W185"/>
  <c i="24" r="W186"/>
  <c i="24" r="W187"/>
  <c i="24" r="W188"/>
  <c i="24" r="W189"/>
  <c i="24" r="W190"/>
  <c i="24" r="W191"/>
  <c i="24" r="W192"/>
  <c i="24" r="W193"/>
  <c i="24" r="W194"/>
  <c i="24" r="W195"/>
  <c i="24" r="W196"/>
  <c i="24" r="W197"/>
  <c i="24" r="W198"/>
  <c i="24" r="W199"/>
  <c i="24" r="W200"/>
  <c i="24" r="W201"/>
  <c i="24" r="W202"/>
  <c i="24" r="W203"/>
  <c i="24" r="W204"/>
  <c i="24" r="W205"/>
  <c i="24" r="M69" s="1"/>
  <c i="24" r="W206"/>
  <c i="24" r="W207"/>
  <c i="24" r="W208"/>
  <c i="24" r="W209"/>
  <c i="24" r="W210"/>
  <c i="24" r="W211"/>
  <c i="24" r="W212"/>
  <c i="24" r="W213"/>
  <c i="24" r="W214"/>
  <c i="24" r="W215"/>
  <c i="24" r="W216"/>
  <c i="24" r="W217"/>
  <c i="24" r="W218"/>
  <c i="24" r="W219"/>
  <c i="24" r="W220"/>
  <c i="24" r="W221"/>
  <c i="24" r="W222"/>
  <c i="24" r="W223"/>
  <c i="24" r="W224"/>
  <c i="24" r="W225"/>
  <c i="24" r="W226"/>
  <c i="24" r="W227"/>
  <c i="24" r="W228"/>
  <c i="24" r="W229"/>
  <c i="24" r="W230"/>
  <c i="24" r="W231"/>
  <c i="24" r="W232"/>
  <c i="24" r="W233"/>
  <c i="24" r="W234"/>
  <c i="24" r="W235"/>
  <c i="24" r="W236"/>
  <c i="24" r="W237"/>
  <c i="24" r="W238"/>
  <c i="24" r="W239"/>
  <c i="24" r="W240"/>
  <c i="24" r="W241"/>
  <c i="24" r="W242"/>
  <c i="24" r="W243"/>
  <c i="24" r="W244"/>
  <c i="24" r="W245"/>
  <c i="24" r="W246"/>
  <c i="24" r="W247"/>
  <c i="24" r="W248"/>
  <c i="24" r="W249"/>
  <c i="24" r="W250"/>
  <c i="24" r="W251"/>
  <c i="24" r="W252"/>
  <c i="24" r="W253"/>
  <c i="24" r="W254"/>
  <c i="24" r="W255"/>
  <c i="24" r="W256"/>
  <c i="24" r="W257"/>
  <c i="24" r="W258"/>
  <c i="24" r="W259"/>
  <c i="24" r="W260"/>
  <c i="24" r="W261"/>
  <c i="24" r="W262"/>
  <c i="24" r="W263"/>
  <c i="24" r="W264"/>
  <c i="24" r="W265"/>
  <c i="24" r="W266"/>
  <c i="24" r="W267"/>
  <c i="24" r="W268"/>
  <c i="24" r="W269"/>
  <c i="24" r="W270"/>
  <c i="24" r="W271"/>
  <c i="24" r="W272"/>
  <c i="24" r="W273"/>
  <c i="24" r="W274"/>
  <c i="24" r="W275"/>
  <c i="24" r="W276"/>
  <c i="24" r="W277"/>
  <c i="24" r="W278"/>
  <c i="24" r="W279"/>
  <c i="24" r="W280"/>
  <c i="24" r="W281"/>
  <c i="24" r="W282"/>
  <c i="24" r="W283"/>
  <c i="24" r="W284"/>
  <c i="24" r="W285"/>
  <c i="24" r="W286"/>
  <c i="24" r="W287"/>
  <c i="24" r="W288"/>
  <c i="24" r="W289"/>
  <c i="24" r="W290"/>
  <c i="24" r="W291"/>
  <c i="24" r="W292"/>
  <c i="24" r="W293"/>
  <c i="24" r="W294"/>
  <c i="24" r="W295"/>
  <c i="24" r="W296"/>
  <c i="24" r="W297"/>
  <c i="24" r="W298"/>
  <c i="24" r="W299"/>
  <c i="24" r="W300"/>
  <c i="24" r="W301"/>
  <c i="24" r="W302"/>
  <c i="24" r="W303"/>
  <c i="24" r="W304"/>
  <c i="24" r="W305"/>
  <c i="24" r="W306"/>
  <c i="24" r="W307"/>
  <c i="24" r="W308"/>
  <c i="24" r="W309"/>
  <c i="24" r="W310"/>
  <c i="24" r="W311"/>
  <c i="24" r="W312"/>
  <c i="24" r="W313"/>
  <c i="24" r="W314"/>
  <c i="24" r="W315"/>
  <c i="24" r="W316"/>
  <c i="24" r="W317"/>
  <c i="24" r="W318"/>
  <c i="24" r="W319"/>
  <c i="24" r="W320"/>
  <c i="24" r="W321"/>
  <c i="24" r="W322"/>
  <c i="24" r="W323"/>
  <c i="24" r="W324"/>
  <c i="24" r="W325"/>
  <c i="24" r="W326"/>
  <c i="24" r="W327"/>
  <c i="24" r="W328"/>
  <c i="24" r="W329"/>
  <c i="24" r="W330"/>
  <c i="24" r="W331"/>
  <c i="24" r="W332"/>
  <c i="24" r="W333"/>
  <c i="24" r="W334"/>
  <c i="24" r="W335"/>
  <c i="24" r="W336"/>
  <c i="24" r="W337"/>
  <c i="24" r="W338"/>
  <c i="24" r="W339"/>
  <c i="24" r="W340"/>
  <c i="24" r="W341"/>
  <c i="24" r="W342"/>
  <c i="24" r="W343"/>
  <c i="24" r="W344"/>
  <c i="24" r="W345"/>
  <c i="24" r="W346"/>
  <c i="24" r="W347"/>
  <c i="24" r="W348"/>
  <c i="24" r="W349"/>
  <c i="24" r="W350"/>
  <c i="24" r="W351"/>
  <c i="24" r="W352"/>
  <c i="20" l="1" r="F253"/>
  <c i="20" r="F254"/>
  <c i="20" r="F255"/>
  <c i="20" r="F256"/>
  <c i="20" r="F257"/>
  <c i="20" r="F258"/>
  <c i="20" r="F252"/>
  <c i="20" r="S291"/>
  <c i="20" r="S290"/>
  <c i="20" r="S289"/>
  <c i="20" r="S288"/>
  <c i="20" r="S287"/>
  <c i="20" r="S286"/>
  <c i="20" r="S285"/>
  <c i="20" r="S284"/>
  <c i="20" r="S280"/>
  <c i="20" r="S279"/>
  <c i="20" r="S278"/>
  <c i="20" r="S277"/>
  <c i="20" r="S276"/>
  <c i="20" r="S275"/>
  <c i="20" r="S274"/>
  <c i="20" r="S273"/>
  <c i="20" r="W269"/>
  <c i="20" r="W268"/>
  <c i="20" r="W267"/>
  <c i="20" r="W266"/>
  <c i="20" r="W265"/>
  <c i="20" r="W264"/>
  <c i="20" r="W263"/>
  <c i="20" r="W262"/>
  <c i="20" r="S248"/>
  <c i="20" r="S247"/>
  <c i="20" r="S246"/>
  <c i="20" r="S245"/>
  <c i="20" r="S244"/>
  <c i="20" r="S243"/>
  <c i="20" r="S242"/>
  <c i="20" r="S238"/>
  <c i="20" r="S237"/>
  <c i="20" r="S236"/>
  <c i="20" r="S235"/>
  <c i="20" r="S234"/>
  <c i="20" r="S233"/>
  <c i="20" r="S232"/>
  <c i="20" r="W228"/>
  <c i="20" r="W227"/>
  <c i="20" r="W226"/>
  <c i="20" r="W225"/>
  <c i="20" r="W224"/>
  <c i="20" r="W223"/>
  <c i="20" r="W222"/>
  <c i="20" r="S207"/>
  <c i="20" r="S206"/>
  <c i="20" r="S205"/>
  <c i="20" r="S204"/>
  <c i="20" r="S203"/>
  <c i="20" r="S202"/>
  <c i="20" r="S201"/>
  <c i="20" r="S200"/>
  <c i="20" r="S196"/>
  <c i="20" r="S195"/>
  <c i="20" r="S194"/>
  <c i="20" r="S193"/>
  <c i="20" r="S192"/>
  <c i="20" r="S191"/>
  <c i="20" r="S190"/>
  <c i="20" r="S189"/>
  <c i="20" r="W185"/>
  <c i="20" r="W184"/>
  <c i="20" r="W183"/>
  <c i="20" r="W182"/>
  <c i="20" r="W181"/>
  <c i="20" r="W180"/>
  <c i="20" r="W179"/>
  <c i="20" r="W178"/>
  <c i="20" r="V174"/>
  <c i="20" r="V173"/>
  <c i="20" r="V172"/>
  <c i="20" r="V171"/>
  <c i="20" r="V170"/>
  <c i="20" r="V169"/>
  <c i="20" r="V168"/>
  <c i="20" r="V164"/>
  <c i="20" r="V163"/>
  <c i="20" r="V162"/>
  <c i="20" r="V161"/>
  <c i="20" r="V160"/>
  <c i="20" r="V159"/>
  <c i="20" r="V158"/>
  <c i="20" r="V154"/>
  <c i="20" r="V153"/>
  <c i="20" r="V152"/>
  <c i="20" r="V151"/>
  <c i="20" r="V150"/>
  <c i="20" r="V149"/>
  <c i="20" r="V148"/>
  <c i="20" r="Q142"/>
  <c i="20" r="Q141"/>
  <c i="20" r="Q140"/>
  <c i="20" r="Q139"/>
  <c i="20" r="Q138"/>
  <c i="20" r="Q137"/>
  <c i="20" r="Q136"/>
  <c i="20" r="Q132"/>
  <c i="20" r="Q131"/>
  <c i="20" r="Q130"/>
  <c i="20" r="Q129"/>
  <c i="20" r="W125"/>
  <c i="20" r="W124"/>
  <c i="20" r="W123"/>
  <c i="20" r="W122"/>
  <c i="20" r="W118"/>
  <c i="20" r="W117"/>
  <c i="20" r="W116"/>
  <c i="20" r="W115"/>
  <c i="20" r="W111"/>
  <c i="20" r="W110"/>
  <c i="20" r="W109"/>
  <c i="20" r="W108"/>
  <c i="20" r="W104"/>
  <c i="20" r="W103"/>
  <c i="20" r="W102"/>
  <c i="20" r="W101"/>
  <c i="20" r="W97"/>
  <c i="20" r="W96"/>
  <c i="20" r="W95"/>
  <c i="20" r="W94"/>
  <c i="20" r="W90"/>
  <c i="20" r="W89"/>
  <c i="20" r="W88"/>
  <c i="20" r="W87"/>
  <c i="20" r="W83"/>
  <c i="20" r="W82"/>
  <c i="20" r="W81"/>
  <c i="20" r="W80"/>
  <c i="20" r="W74"/>
  <c i="20" r="W73"/>
  <c i="20" r="W72"/>
  <c i="20" r="W71"/>
  <c i="20" r="W67"/>
  <c i="20" r="W66"/>
  <c i="20" r="W65"/>
  <c i="20" r="W64"/>
  <c i="20" r="W60"/>
  <c i="20" r="W59"/>
  <c i="20" r="W58"/>
  <c i="20" r="W57"/>
  <c i="20" r="W53"/>
  <c i="20" r="W52"/>
  <c i="20" r="W51"/>
  <c i="20" r="W50"/>
  <c i="20" r="W46"/>
  <c i="20" r="W45"/>
  <c i="20" r="W44"/>
  <c i="20" r="W43"/>
  <c i="20" r="W39"/>
  <c i="20" r="W38"/>
  <c i="20" r="W37"/>
  <c i="20" r="W36"/>
  <c i="20" r="W32"/>
  <c i="20" r="W31"/>
  <c i="20" r="W30"/>
  <c i="20" r="W29"/>
  <c i="20" r="W23"/>
  <c i="20" r="W22"/>
  <c i="20" r="W21"/>
  <c i="20" r="W20"/>
  <c i="20" r="W19"/>
  <c i="20" r="W18"/>
  <c i="20" r="W17"/>
  <c i="20" r="W16"/>
  <c i="20" r="W15"/>
  <c i="20" r="W14"/>
  <c i="20" r="W13"/>
  <c i="20" r="W12"/>
  <c i="20" r="W11"/>
  <c i="20" r="W7"/>
  <c i="20" r="W6"/>
  <c i="20" r="W5"/>
  <c i="20" r="W4"/>
  <c i="21" r="S291"/>
  <c i="21" r="S290"/>
  <c i="21" r="S289"/>
  <c i="21" r="S288"/>
  <c i="21" r="S287"/>
  <c i="21" r="S286"/>
  <c i="21" r="S285"/>
  <c i="21" r="S284"/>
  <c i="21" r="S280"/>
  <c i="21" r="S279"/>
  <c i="21" r="S278"/>
  <c i="21" r="S277"/>
  <c i="21" r="S276"/>
  <c i="21" r="S275"/>
  <c i="21" r="S274"/>
  <c i="21" r="S273"/>
  <c i="21" r="W269"/>
  <c i="21" r="J269" s="1"/>
  <c i="21" r="W268"/>
  <c i="21" r="J268" s="1"/>
  <c i="21" r="W267"/>
  <c i="21" r="J267" s="1"/>
  <c i="21" r="W266"/>
  <c i="21" r="J266" s="1"/>
  <c i="21" r="W265"/>
  <c i="21" r="J265" s="1"/>
  <c i="21" r="W264"/>
  <c i="21" r="J264" s="1"/>
  <c i="21" r="W263"/>
  <c i="21" r="W262"/>
  <c i="21" r="S248"/>
  <c i="21" r="S247"/>
  <c i="21" r="S246"/>
  <c i="21" r="S245"/>
  <c i="21" r="S244"/>
  <c i="21" r="S243"/>
  <c i="21" r="S242"/>
  <c i="21" r="S238"/>
  <c i="21" r="S237"/>
  <c i="21" r="S236"/>
  <c i="21" r="S235"/>
  <c i="21" r="S234"/>
  <c i="21" r="S233"/>
  <c i="21" r="S232"/>
  <c i="21" r="W228"/>
  <c i="21" r="W227"/>
  <c i="21" r="W226"/>
  <c i="21" r="W225"/>
  <c i="21" r="W224"/>
  <c i="21" r="W223"/>
  <c i="21" r="W222"/>
  <c i="21" r="S207"/>
  <c i="21" r="S206"/>
  <c i="21" r="S205"/>
  <c i="21" r="S204"/>
  <c i="21" r="S203"/>
  <c i="21" r="S202"/>
  <c i="21" r="S201"/>
  <c i="21" r="S200"/>
  <c i="21" r="S196"/>
  <c i="21" r="S195"/>
  <c i="21" r="S194"/>
  <c i="21" r="S193"/>
  <c i="21" r="S192"/>
  <c i="21" r="S191"/>
  <c i="21" r="S190"/>
  <c i="21" r="S189"/>
  <c i="21" r="W185"/>
  <c i="21" r="W184"/>
  <c i="21" r="W183"/>
  <c i="21" r="W182"/>
  <c i="21" r="W181"/>
  <c i="21" r="W180"/>
  <c i="21" r="W179"/>
  <c i="21" r="W178"/>
  <c i="21" r="V174"/>
  <c i="21" r="V173"/>
  <c i="21" r="V172"/>
  <c i="21" r="V171"/>
  <c i="21" r="V170"/>
  <c i="21" r="V169"/>
  <c i="21" r="V168"/>
  <c i="21" r="V164"/>
  <c i="21" r="V163"/>
  <c i="21" r="V162"/>
  <c i="21" r="V161"/>
  <c i="21" r="V160"/>
  <c i="21" r="V159"/>
  <c i="21" r="V158"/>
  <c i="21" r="V154"/>
  <c i="21" r="V153"/>
  <c i="21" r="V152"/>
  <c i="21" r="V151"/>
  <c i="21" r="V150"/>
  <c i="21" r="V149"/>
  <c i="21" r="V148"/>
  <c i="21" r="Q142"/>
  <c i="21" r="Q141"/>
  <c i="21" r="Q140"/>
  <c i="21" r="Q139"/>
  <c i="21" r="Q138"/>
  <c i="21" r="Q137"/>
  <c i="21" r="Q136"/>
  <c i="21" r="Q132"/>
  <c i="21" r="Q131"/>
  <c i="21" r="Q130"/>
  <c i="21" r="Q129"/>
  <c i="21" r="W125"/>
  <c i="21" r="W124"/>
  <c i="21" r="W123"/>
  <c i="21" r="W122"/>
  <c i="21" r="W118"/>
  <c i="21" r="W117"/>
  <c i="21" r="W116"/>
  <c i="21" r="W115"/>
  <c i="21" r="W111"/>
  <c i="21" r="W110"/>
  <c i="21" r="W109"/>
  <c i="21" r="W108"/>
  <c i="21" r="W104"/>
  <c i="21" r="W103"/>
  <c i="21" r="W102"/>
  <c i="21" r="W101"/>
  <c i="21" r="W97"/>
  <c i="21" r="W96"/>
  <c i="21" r="W95"/>
  <c i="21" r="W94"/>
  <c i="21" r="W90"/>
  <c i="21" r="W89"/>
  <c i="21" r="W88"/>
  <c i="21" r="W87"/>
  <c i="21" r="W83"/>
  <c i="21" r="W82"/>
  <c i="21" r="W81"/>
  <c i="21" r="W80"/>
  <c i="21" r="W74"/>
  <c i="21" r="W73"/>
  <c i="21" r="W72"/>
  <c i="21" r="W71"/>
  <c i="21" r="W67"/>
  <c i="21" r="W66"/>
  <c i="21" r="W65"/>
  <c i="21" r="W64"/>
  <c i="21" r="W60"/>
  <c i="21" r="W59"/>
  <c i="21" r="W58"/>
  <c i="21" r="W57"/>
  <c i="21" r="W53"/>
  <c i="21" r="W52"/>
  <c i="21" r="W51"/>
  <c i="21" r="W50"/>
  <c i="21" r="W46"/>
  <c i="21" r="W45"/>
  <c i="21" r="W44"/>
  <c i="21" r="W43"/>
  <c i="21" r="W39"/>
  <c i="21" r="W38"/>
  <c i="21" r="W37"/>
  <c i="21" r="W36"/>
  <c i="21" r="W32"/>
  <c i="21" r="W31"/>
  <c i="21" r="W30"/>
  <c i="21" r="W29"/>
  <c i="21" r="W23"/>
  <c i="21" r="W22"/>
  <c i="21" r="W21"/>
  <c i="21" r="W20"/>
  <c i="21" r="W19"/>
  <c i="21" r="W18"/>
  <c i="21" r="W17"/>
  <c i="21" r="W16"/>
  <c i="21" r="W15"/>
  <c i="21" r="W14"/>
  <c i="21" r="W13"/>
  <c i="21" r="W12"/>
  <c i="21" r="W11"/>
  <c i="21" r="W7"/>
  <c i="21" r="W6"/>
  <c i="21" r="W5"/>
  <c i="21" r="W4"/>
  <c i="24" l="1" r="AC4"/>
  <c i="24" r="I144" s="1"/>
  <c i="24" r="AC5"/>
  <c i="24" r="I145" s="1"/>
  <c i="24" r="AC6"/>
  <c i="24" r="I146" s="1"/>
  <c i="24" r="AC7"/>
  <c i="24" r="I147" s="1"/>
  <c i="24" r="AC8"/>
  <c i="24" r="I148" s="1"/>
  <c i="24" r="AC9"/>
  <c i="24" r="I149" s="1"/>
  <c i="24" r="AC10"/>
  <c i="24" r="AC11"/>
  <c i="24" r="AC12"/>
  <c i="24" r="AC13"/>
  <c i="24" r="AC14"/>
  <c i="24" r="AC15"/>
  <c i="24" r="AC16"/>
  <c i="24" r="AC17"/>
  <c i="24" r="AC3"/>
  <c i="24" r="I143" s="1"/>
  <c i="24" l="1" r="AD17"/>
  <c i="24" r="AD16"/>
  <c i="24" r="AD15"/>
  <c i="24" r="AD14"/>
  <c i="24" r="AD13"/>
  <c i="24" r="AD12"/>
  <c i="24" r="AD11"/>
  <c i="24" r="AD10"/>
  <c i="24" l="1" r="L56"/>
  <c i="24" r="L55"/>
  <c i="24" r="L54"/>
  <c i="24" r="L53"/>
  <c i="24" r="L52"/>
  <c i="24" r="L51"/>
  <c i="24" r="L50"/>
  <c i="24" r="L49"/>
  <c i="24" r="L48"/>
  <c i="24" r="S47"/>
  <c i="24" r="R47"/>
  <c i="24" r="Q47"/>
  <c i="24" r="P47"/>
  <c i="24" r="O47"/>
  <c i="24" r="N47"/>
  <c i="24" r="M47"/>
  <c i="24" r="L47"/>
  <c i="24" r="L45"/>
  <c i="24" r="L44"/>
  <c i="24" r="B56"/>
  <c i="24" r="B55"/>
  <c i="24" r="B54"/>
  <c i="24" r="B53"/>
  <c i="24" r="B52"/>
  <c i="24" r="B51"/>
  <c i="24" r="B50"/>
  <c i="24" r="B49"/>
  <c i="24" r="B48"/>
  <c i="24" r="I47"/>
  <c i="24" r="H47"/>
  <c i="24" r="G47"/>
  <c i="24" r="F47"/>
  <c i="24" r="E47"/>
  <c i="24" r="D47"/>
  <c i="24" r="C47"/>
  <c i="24" r="B47"/>
  <c i="24" r="B45"/>
  <c i="24" r="B44"/>
  <c i="24" l="1" r="E18"/>
  <c i="24" r="G32" s="1"/>
  <c i="24" r="B4"/>
  <c i="24" r="B18" s="1"/>
  <c i="24" r="B32" s="1"/>
  <c i="24" r="D4"/>
  <c i="24" r="D18" s="1"/>
  <c i="24" r="D32" s="1"/>
  <c i="24" r="F32" s="1"/>
  <c i="24" r="C4"/>
  <c i="24" r="C18" s="1"/>
  <c i="24" r="C32" s="1"/>
  <c i="24" r="E32" s="1"/>
  <c i="24" r="B6"/>
  <c i="24" r="B20" s="1"/>
  <c i="24" r="B34" s="1"/>
  <c i="24" r="B7"/>
  <c i="24" r="B21" s="1"/>
  <c i="24" r="B35" s="1"/>
  <c i="24" r="B8"/>
  <c i="24" r="B22" s="1"/>
  <c i="24" r="B36" s="1"/>
  <c i="24" r="B9"/>
  <c i="24" r="B23" s="1"/>
  <c i="24" r="B37" s="1"/>
  <c i="24" r="B10"/>
  <c i="24" r="B24" s="1"/>
  <c i="24" r="B38" s="1"/>
  <c i="24" r="B11"/>
  <c i="24" r="B25" s="1"/>
  <c i="24" r="B39" s="1"/>
  <c i="24" r="B12"/>
  <c i="24" r="B13"/>
  <c i="24" r="B27" s="1"/>
  <c i="24" r="B41" s="1"/>
  <c i="24" r="B5"/>
  <c i="24" r="B19" s="1"/>
  <c i="24" r="B33" s="1"/>
  <c i="10" l="1" r="AA124"/>
  <c i="10" r="AB124"/>
  <c i="10" r="AC124"/>
  <c i="10" r="AD124"/>
  <c i="10" r="AE124"/>
  <c i="10" r="AF124"/>
  <c i="10" r="AA107"/>
  <c i="10" r="AB107"/>
  <c i="10" r="AC107"/>
  <c i="10" r="AD107"/>
  <c i="10" r="AE107"/>
  <c i="10" r="AF107"/>
  <c i="10" r="Z124"/>
  <c i="10" r="Z107"/>
  <c i="10" r="O124"/>
  <c i="10" r="P124"/>
  <c i="10" r="Q124"/>
  <c i="10" r="R124"/>
  <c i="10" r="S124"/>
  <c i="10" r="T124"/>
  <c i="10" r="O107"/>
  <c i="10" r="P107"/>
  <c i="10" r="Q107"/>
  <c i="10" r="R107"/>
  <c i="10" r="S107"/>
  <c i="10" r="N124"/>
  <c i="10" r="N107"/>
  <c i="10" r="C124"/>
  <c i="10" r="D124"/>
  <c i="10" r="E124"/>
  <c i="10" r="F124"/>
  <c i="10" r="G124"/>
  <c i="10" r="H124"/>
  <c i="10" r="B124"/>
  <c i="11" r="AA116"/>
  <c i="11" r="AB116"/>
  <c i="11" r="AC116"/>
  <c i="11" r="AD116"/>
  <c i="11" r="AE116"/>
  <c i="11" r="AF116"/>
  <c i="11" r="AA100"/>
  <c i="11" r="AB100"/>
  <c i="11" r="AC100"/>
  <c i="11" r="AD100"/>
  <c i="11" r="AE100"/>
  <c i="11" r="AF100"/>
  <c i="11" r="Z116"/>
  <c i="11" r="Z100"/>
  <c i="11" r="O116"/>
  <c i="11" r="P116"/>
  <c i="11" r="Q116"/>
  <c i="11" r="R116"/>
  <c i="11" r="S116"/>
  <c i="11" r="O100"/>
  <c i="11" r="P100"/>
  <c i="11" r="Q100"/>
  <c i="11" r="R100"/>
  <c i="11" r="S100"/>
  <c i="11" r="N116"/>
  <c i="11" r="N100"/>
  <c i="11" r="C116"/>
  <c i="11" r="D116"/>
  <c i="11" r="E116"/>
  <c i="11" r="F116"/>
  <c i="11" r="G116"/>
  <c i="11" r="B116"/>
  <c i="12" r="AA123"/>
  <c i="12" r="AB123"/>
  <c i="12" r="AC123"/>
  <c i="12" r="AD123"/>
  <c i="12" r="AE123"/>
  <c i="12" r="AF123"/>
  <c i="12" r="Z123"/>
  <c i="12" r="AA106"/>
  <c i="12" r="AB106"/>
  <c i="12" r="AC106"/>
  <c i="12" r="AD106"/>
  <c i="12" r="AE106"/>
  <c i="12" r="AF106"/>
  <c i="12" r="Z106"/>
  <c i="12" r="O123"/>
  <c i="12" r="P123"/>
  <c i="12" r="Q123"/>
  <c i="12" r="R123"/>
  <c i="12" r="S123"/>
  <c i="12" r="N123"/>
  <c i="12" r="O106"/>
  <c i="12" r="P106"/>
  <c i="12" r="Q106"/>
  <c i="12" r="R106"/>
  <c i="12" r="S106"/>
  <c i="12" r="N106"/>
  <c i="12" r="C123"/>
  <c i="12" r="D123"/>
  <c i="12" r="E123"/>
  <c i="12" r="F123"/>
  <c i="12" r="G123"/>
  <c i="12" r="B123"/>
  <c i="10" l="1" r="AF118"/>
  <c i="12" r="AF117"/>
  <c i="21" r="F296"/>
  <c i="12" r="F108" s="1"/>
  <c i="21" r="F297"/>
  <c i="12" r="F109" s="1"/>
  <c i="21" r="F298"/>
  <c i="12" r="F110" s="1"/>
  <c i="21" r="F299"/>
  <c i="12" r="F111" s="1"/>
  <c i="21" r="F300"/>
  <c i="12" r="F112" s="1"/>
  <c i="21" r="F301"/>
  <c i="12" r="F113" s="1"/>
  <c i="21" r="F302"/>
  <c i="12" r="F114" s="1"/>
  <c i="21" r="F295"/>
  <c i="12" r="F107" s="1"/>
  <c i="21" r="G218"/>
  <c i="10" r="G115" s="1"/>
  <c i="21" r="F218"/>
  <c i="10" r="F115" s="1"/>
  <c i="21" r="G217"/>
  <c i="10" r="G114" s="1"/>
  <c i="21" r="F217"/>
  <c i="10" r="F114" s="1"/>
  <c i="21" r="G216"/>
  <c i="10" r="G113" s="1"/>
  <c i="21" r="F216"/>
  <c i="10" r="F113" s="1"/>
  <c i="21" r="G215"/>
  <c i="10" r="G112" s="1"/>
  <c i="21" r="F215"/>
  <c i="10" r="F112" s="1"/>
  <c i="21" r="G214"/>
  <c i="10" r="G111" s="1"/>
  <c i="21" r="F214"/>
  <c i="10" r="F111" s="1"/>
  <c i="21" r="G213"/>
  <c i="10" r="G110" s="1"/>
  <c i="21" r="F213"/>
  <c i="10" r="F110" s="1"/>
  <c i="21" r="G212"/>
  <c i="10" r="G109" s="1"/>
  <c i="21" r="F212"/>
  <c i="10" r="F109" s="1"/>
  <c i="21" r="G211"/>
  <c i="10" r="G108" s="1"/>
  <c i="21" r="F211"/>
  <c i="10" r="F108" s="1"/>
  <c i="21" r="H212" s="1"/>
  <c i="21" r="F253"/>
  <c i="11" r="F102" s="1"/>
  <c i="21" r="G253"/>
  <c i="11" r="G102" s="1"/>
  <c i="21" r="F254"/>
  <c i="11" r="F103" s="1"/>
  <c i="21" r="G254"/>
  <c i="11" r="G103" s="1"/>
  <c i="21" r="F255"/>
  <c i="11" r="F104" s="1"/>
  <c i="21" r="G255"/>
  <c i="11" r="G104" s="1"/>
  <c i="21" r="F256"/>
  <c i="11" r="F105" s="1"/>
  <c i="21" r="G256"/>
  <c i="11" r="G105" s="1"/>
  <c i="21" r="F257"/>
  <c i="11" r="F106" s="1"/>
  <c i="21" r="G257"/>
  <c i="11" r="G106" s="1"/>
  <c i="21" r="F258"/>
  <c i="11" r="F107" s="1"/>
  <c i="21" r="G258"/>
  <c i="11" r="G107" s="1"/>
  <c i="21" r="G252"/>
  <c i="11" r="G101" s="1"/>
  <c i="21" r="F252"/>
  <c i="11" r="F101" s="1"/>
  <c i="21" r="H253" s="1"/>
  <c i="21" r="G302"/>
  <c i="12" r="G114" s="1"/>
  <c i="21" r="G301"/>
  <c i="12" r="G113" s="1"/>
  <c i="21" r="G300"/>
  <c i="12" r="G112" s="1"/>
  <c i="21" r="G299"/>
  <c i="12" r="G111" s="1"/>
  <c i="21" r="G298"/>
  <c i="12" r="G110" s="1"/>
  <c i="21" r="G297"/>
  <c i="12" r="G109" s="1"/>
  <c i="21" r="G296"/>
  <c i="12" r="G108" s="1"/>
  <c i="21" r="G295"/>
  <c i="12" r="G107" s="1"/>
  <c i="20" r="F296"/>
  <c i="12" r="R108" s="1"/>
  <c i="20" r="F297"/>
  <c i="12" r="R109" s="1"/>
  <c i="20" r="F298"/>
  <c i="12" r="R110" s="1"/>
  <c i="20" r="F299"/>
  <c i="12" r="R111" s="1"/>
  <c i="20" r="F300"/>
  <c i="12" r="R112" s="1"/>
  <c i="20" r="F301"/>
  <c i="12" r="R113" s="1"/>
  <c i="20" r="F302"/>
  <c i="12" r="R114" s="1"/>
  <c i="20" r="F295"/>
  <c i="12" r="R107" s="1"/>
  <c i="21" r="B335"/>
  <c i="10" r="F118" s="1"/>
  <c i="16" r="B8" s="1"/>
  <c i="21" r="B336"/>
  <c i="10" r="G118" s="1"/>
  <c i="11" r="G110" s="1"/>
  <c i="20" r="B335"/>
  <c i="10" r="R118" s="1"/>
  <c i="16" r="C8" s="1"/>
  <c i="20" r="B336"/>
  <c i="10" r="S118" s="1"/>
  <c i="11" r="S110" s="1"/>
  <c i="20" r="H296" s="1"/>
  <c i="12" r="T108" s="1"/>
  <c i="20" r="G302"/>
  <c i="12" r="S114" s="1"/>
  <c i="20" r="G301"/>
  <c i="12" r="S113" s="1"/>
  <c i="20" r="G300"/>
  <c i="12" r="S112" s="1"/>
  <c i="20" r="G299"/>
  <c i="12" r="S111" s="1"/>
  <c i="20" r="G298"/>
  <c i="12" r="S110" s="1"/>
  <c i="20" r="G297"/>
  <c i="12" r="S109" s="1"/>
  <c i="20" r="G296"/>
  <c i="12" r="S108" s="1"/>
  <c i="20" r="G295"/>
  <c i="12" r="S107" s="1"/>
  <c i="20" r="H253" s="1"/>
  <c i="11" r="T102" s="1"/>
  <c i="20" r="G258"/>
  <c i="11" r="S107" s="1"/>
  <c i="20" r="G257"/>
  <c i="11" r="S106" s="1"/>
  <c i="20" r="G256"/>
  <c i="11" r="S105" s="1"/>
  <c i="20" r="G255"/>
  <c i="11" r="S104" s="1"/>
  <c i="20" r="G254"/>
  <c i="11" r="S103" s="1"/>
  <c i="20" r="G253"/>
  <c i="11" r="S102" s="1"/>
  <c i="20" r="G252"/>
  <c i="11" r="S101" s="1"/>
  <c i="20" r="G218"/>
  <c i="10" r="S115" s="1"/>
  <c i="20" r="F218"/>
  <c i="10" r="R115" s="1"/>
  <c i="20" r="G217"/>
  <c i="10" r="S114" s="1"/>
  <c i="20" r="F217"/>
  <c i="10" r="R114" s="1"/>
  <c i="20" r="G216"/>
  <c i="10" r="S113" s="1"/>
  <c i="20" r="F216"/>
  <c i="10" r="R113" s="1"/>
  <c i="20" r="G215"/>
  <c i="10" r="S112" s="1"/>
  <c i="20" r="F215"/>
  <c i="10" r="R112" s="1"/>
  <c i="20" r="G214"/>
  <c i="10" r="S111" s="1"/>
  <c i="20" r="F214"/>
  <c i="10" r="R111" s="1"/>
  <c i="20" r="G213"/>
  <c i="10" r="S110" s="1"/>
  <c i="20" r="F213"/>
  <c i="10" r="R110" s="1"/>
  <c i="20" r="G212"/>
  <c i="10" r="S109" s="1"/>
  <c i="20" r="F212"/>
  <c i="10" r="R109" s="1"/>
  <c i="20" r="G211"/>
  <c i="10" r="S108" s="1"/>
  <c i="20" r="F211"/>
  <c i="10" r="R108" s="1"/>
  <c i="20" r="H212" s="1"/>
  <c i="10" r="T109" s="1"/>
  <c i="21" r="I148"/>
  <c i="9" r="I5" s="1"/>
  <c i="21" r="I149"/>
  <c i="9" r="I6" s="1"/>
  <c i="21" r="I150"/>
  <c i="9" r="I7" s="1"/>
  <c i="21" r="I151"/>
  <c i="9" r="I8" s="1"/>
  <c i="21" r="I152"/>
  <c i="9" r="I9" s="1"/>
  <c i="21" r="I153"/>
  <c i="9" r="I10" s="1"/>
  <c i="21" r="I154"/>
  <c i="9" r="I11" s="1"/>
  <c i="21" r="D129"/>
  <c i="10" r="F48"/>
  <c i="10" r="F61" s="1"/>
  <c i="20" r="H255"/>
  <c i="11" r="T104" s="1"/>
  <c i="20" r="H215"/>
  <c i="10" r="T112" s="1"/>
  <c i="20" r="C137"/>
  <c i="20" r="C138"/>
  <c i="20" r="C139"/>
  <c i="20" r="C140"/>
  <c i="20" r="C141"/>
  <c i="20" r="C142"/>
  <c i="20" r="B137"/>
  <c i="20" r="B138"/>
  <c i="20" r="B139"/>
  <c i="20" r="B140"/>
  <c i="20" r="B141"/>
  <c i="20" r="B142"/>
  <c i="21" r="C130"/>
  <c i="21" r="C131"/>
  <c i="21" r="C132"/>
  <c i="21" r="B130"/>
  <c i="21" r="B131"/>
  <c i="21" r="B132"/>
  <c i="21" r="C137"/>
  <c i="21" r="C138"/>
  <c i="21" r="C139"/>
  <c i="21" r="C140"/>
  <c i="21" r="C141"/>
  <c i="21" r="C142"/>
  <c i="21" r="B137"/>
  <c i="21" r="B138"/>
  <c i="21" r="B139"/>
  <c i="21" r="B140"/>
  <c i="21" r="B141"/>
  <c i="21" r="B142"/>
  <c i="21" r="F291"/>
  <c i="12" r="F80" s="1"/>
  <c i="16" r="B70" s="1"/>
  <c i="21" r="F290"/>
  <c i="12" r="F79" s="1"/>
  <c i="16" r="B69" s="1"/>
  <c i="21" r="F289"/>
  <c i="12" r="F78" s="1"/>
  <c i="16" r="B68" s="1"/>
  <c i="21" r="F288"/>
  <c i="12" r="F77" s="1"/>
  <c i="16" r="B67" s="1"/>
  <c i="21" r="F287"/>
  <c i="12" r="F76" s="1"/>
  <c i="16" r="B66" s="1"/>
  <c i="21" r="F285"/>
  <c i="12" r="F74" s="1"/>
  <c i="16" r="B64" s="1"/>
  <c i="21" r="F284"/>
  <c i="12" r="F73" s="1"/>
  <c i="16" r="B63" s="1"/>
  <c i="21" r="F280"/>
  <c i="12" r="K12"/>
  <c i="21" r="F274"/>
  <c i="21" r="F275"/>
  <c i="21" r="F276"/>
  <c i="21" r="F277"/>
  <c i="21" r="F278"/>
  <c i="21" r="F279"/>
  <c i="21" r="F273"/>
  <c i="21" r="J263"/>
  <c i="12" r="K6" s="1"/>
  <c i="21" r="J262"/>
  <c i="12" r="K5" s="1"/>
  <c i="21" r="F248"/>
  <c i="11" r="F75" s="1"/>
  <c i="21" r="F247"/>
  <c i="11" r="F74" s="1"/>
  <c i="21" r="F246"/>
  <c i="11" r="F73" s="1"/>
  <c i="21" r="F245"/>
  <c i="11" r="F72" s="1"/>
  <c i="21" r="F244"/>
  <c i="11" r="F71" s="1"/>
  <c i="21" r="F243"/>
  <c i="11" r="F70" s="1"/>
  <c i="21" r="F242"/>
  <c i="11" r="F69" s="1"/>
  <c i="21" r="F233"/>
  <c i="21" r="F234"/>
  <c i="21" r="F235"/>
  <c i="21" r="F236"/>
  <c i="21" r="F237"/>
  <c i="21" r="F238"/>
  <c i="21" r="F232"/>
  <c i="21" r="F207"/>
  <c i="10" r="F81" s="1"/>
  <c i="21" r="F206"/>
  <c i="10" r="F80" s="1"/>
  <c i="21" r="F205"/>
  <c i="10" r="F79" s="1"/>
  <c i="21" r="F204"/>
  <c i="10" r="F78" s="1"/>
  <c i="21" r="F203"/>
  <c i="10" r="F77" s="1"/>
  <c i="21" r="F202"/>
  <c i="10" r="F76" s="1"/>
  <c i="21" r="F201"/>
  <c i="10" r="F75" s="1"/>
  <c i="21" r="F200"/>
  <c i="10" r="F74" s="1"/>
  <c i="21" r="F190"/>
  <c i="21" r="F191"/>
  <c i="21" r="F192"/>
  <c i="21" r="F193"/>
  <c i="21" r="F194"/>
  <c i="21" r="F195"/>
  <c i="21" r="F196"/>
  <c i="21" r="F189"/>
  <c i="21" r="J179"/>
  <c i="10" r="K6" s="1"/>
  <c i="21" r="J185"/>
  <c i="10" r="K12" s="1"/>
  <c i="21" r="J178"/>
  <c i="10" r="K5" s="1"/>
  <c i="21" r="I174"/>
  <c i="9" r="I71" s="1"/>
  <c i="21" r="I173"/>
  <c i="9" r="I70" s="1"/>
  <c i="21" r="I172"/>
  <c i="9" r="I69" s="1"/>
  <c i="21" r="I171"/>
  <c i="9" r="I68" s="1"/>
  <c i="21" r="I170"/>
  <c i="9" r="I67" s="1"/>
  <c i="21" r="I169"/>
  <c i="9" r="I66" s="1"/>
  <c i="21" r="I168"/>
  <c i="9" r="I65" s="1"/>
  <c i="21" r="I164"/>
  <c i="9" r="I41" s="1"/>
  <c i="21" r="I163"/>
  <c i="9" r="I40" s="1"/>
  <c i="21" r="I162"/>
  <c i="9" r="I39" s="1"/>
  <c i="21" r="I161"/>
  <c i="9" r="I38" s="1"/>
  <c i="21" r="I160"/>
  <c i="9" r="I37" s="1"/>
  <c i="21" r="I159"/>
  <c i="9" r="I36" s="1"/>
  <c i="21" r="I158"/>
  <c i="9" r="I35" s="1"/>
  <c i="21" r="D137"/>
  <c i="24" r="C144" s="1"/>
  <c i="21" r="D138"/>
  <c i="24" r="C145" s="1"/>
  <c i="21" r="D139"/>
  <c i="24" r="C146" s="1"/>
  <c i="21" r="D140"/>
  <c i="24" r="C147" s="1"/>
  <c i="21" r="D141"/>
  <c i="24" r="C148" s="1"/>
  <c i="21" r="D142"/>
  <c i="24" r="C149" s="1"/>
  <c i="20" r="F291"/>
  <c i="12" r="R80" s="1"/>
  <c i="20" r="F290"/>
  <c i="12" r="R79" s="1"/>
  <c i="20" r="F289"/>
  <c i="12" r="R78" s="1"/>
  <c i="20" r="F288"/>
  <c i="12" r="R77" s="1"/>
  <c i="20" r="F287"/>
  <c i="12" r="R76" s="1"/>
  <c i="20" r="F286"/>
  <c i="12" r="R75" s="1"/>
  <c i="20" r="F285"/>
  <c i="12" r="R74" s="1"/>
  <c i="20" r="F284"/>
  <c i="12" r="R73" s="1"/>
  <c i="20" r="F274"/>
  <c i="20" r="F275"/>
  <c i="20" r="F276"/>
  <c i="20" r="F277"/>
  <c i="20" r="F278"/>
  <c i="20" r="F279"/>
  <c i="20" r="F280"/>
  <c i="20" r="F273"/>
  <c i="20" r="J263"/>
  <c i="12" r="W6" s="1"/>
  <c i="16" r="C64" s="1"/>
  <c i="20" r="J264"/>
  <c i="12" r="W7" s="1"/>
  <c i="20" r="J265"/>
  <c i="12" r="W8" s="1"/>
  <c i="20" r="J266"/>
  <c i="12" r="W9" s="1"/>
  <c i="20" r="J267"/>
  <c i="12" r="W10" s="1"/>
  <c i="16" r="C68" s="1"/>
  <c i="20" r="J268"/>
  <c i="12" r="W11" s="1"/>
  <c i="16" r="C69" s="1"/>
  <c i="20" r="J269"/>
  <c i="12" r="W12" s="1"/>
  <c i="16" r="C70" s="1"/>
  <c i="20" r="J262"/>
  <c i="12" r="W5" s="1"/>
  <c i="20" r="F248"/>
  <c i="11" r="R75" s="1"/>
  <c i="20" r="F247"/>
  <c i="11" r="R74" s="1"/>
  <c i="20" r="F246"/>
  <c i="11" r="R73" s="1"/>
  <c i="20" r="F245"/>
  <c i="11" r="R72" s="1"/>
  <c i="20" r="F244"/>
  <c i="11" r="R71" s="1"/>
  <c i="20" r="F243"/>
  <c i="11" r="R70" s="1"/>
  <c i="20" r="F242"/>
  <c i="11" r="R69" s="1"/>
  <c i="20" r="F233"/>
  <c i="20" r="F234"/>
  <c i="20" r="F235"/>
  <c i="20" r="F236"/>
  <c i="20" r="F237"/>
  <c i="20" r="F238"/>
  <c i="20" r="F232"/>
  <c i="20" r="F207"/>
  <c i="10" r="R81" s="1"/>
  <c i="24" r="D12" s="1"/>
  <c i="20" r="F206"/>
  <c i="10" r="R80" s="1"/>
  <c i="24" r="D11" s="1"/>
  <c i="20" r="F205"/>
  <c i="10" r="R79" s="1"/>
  <c i="24" r="D10" s="1"/>
  <c i="20" r="F204"/>
  <c i="10" r="R78" s="1"/>
  <c i="24" r="D9" s="1"/>
  <c i="20" r="F203"/>
  <c i="10" r="R77" s="1"/>
  <c i="24" r="D8" s="1"/>
  <c i="20" r="F202"/>
  <c i="10" r="R76" s="1"/>
  <c i="24" r="D7" s="1"/>
  <c i="20" r="F201"/>
  <c i="10" r="R75" s="1"/>
  <c i="24" r="D6" s="1"/>
  <c i="20" r="F200"/>
  <c i="10" r="R74" s="1"/>
  <c i="24" r="D5" s="1"/>
  <c i="20" r="F190"/>
  <c i="20" r="F192"/>
  <c i="20" r="F193"/>
  <c i="20" r="F194"/>
  <c i="20" r="F195"/>
  <c i="20" r="F196"/>
  <c i="20" r="F189"/>
  <c i="20" r="J185"/>
  <c i="10" r="W12" s="1"/>
  <c i="20" r="I174"/>
  <c i="9" r="S71" s="1"/>
  <c i="20" r="I173"/>
  <c i="9" r="S70" s="1"/>
  <c i="20" r="I172"/>
  <c i="9" r="S69" s="1"/>
  <c i="20" r="I171"/>
  <c i="9" r="S68" s="1"/>
  <c i="20" r="I170"/>
  <c i="9" r="S67" s="1"/>
  <c i="20" r="I169"/>
  <c i="9" r="S66" s="1"/>
  <c i="20" r="I168"/>
  <c i="9" r="S65" s="1"/>
  <c i="20" r="I159"/>
  <c i="9" r="S36" s="1"/>
  <c i="20" r="I160"/>
  <c i="9" r="S37" s="1"/>
  <c i="20" r="I161"/>
  <c i="9" r="S38" s="1"/>
  <c i="20" r="I162"/>
  <c i="9" r="S39" s="1"/>
  <c i="20" r="I163"/>
  <c i="9" r="S40" s="1"/>
  <c i="20" r="I164"/>
  <c i="9" r="S41" s="1"/>
  <c i="20" r="I158"/>
  <c i="9" r="S35" s="1"/>
  <c i="20" r="I149"/>
  <c i="9" r="S6" s="1"/>
  <c i="20" r="I150"/>
  <c i="9" r="S7" s="1"/>
  <c i="20" r="I151"/>
  <c i="9" r="S8" s="1"/>
  <c i="20" r="I152"/>
  <c i="9" r="S9" s="1"/>
  <c i="20" r="I153"/>
  <c i="9" r="S10" s="1"/>
  <c i="20" r="I154"/>
  <c i="9" r="S11" s="1"/>
  <c i="20" r="I148"/>
  <c i="9" r="S5" s="1"/>
  <c i="20" r="J179"/>
  <c i="10" r="W6" s="1"/>
  <c i="16" r="C34" s="1"/>
  <c i="20" r="J180"/>
  <c i="10" r="W7" s="1"/>
  <c i="16" r="C35" s="1"/>
  <c i="20" r="J181"/>
  <c i="10" r="W8" s="1"/>
  <c i="20" r="J182"/>
  <c i="10" r="W9" s="1"/>
  <c i="16" r="C37" s="1"/>
  <c i="20" r="J183"/>
  <c i="10" r="W10" s="1"/>
  <c i="20" r="J184"/>
  <c i="10" r="W11" s="1"/>
  <c i="10" r="AM11" s="1"/>
  <c i="20" r="J178"/>
  <c i="10" r="W5" s="1"/>
  <c i="12" r="F64"/>
  <c i="12" r="F63"/>
  <c i="12" r="F62"/>
  <c i="12" r="F61"/>
  <c i="12" r="F60"/>
  <c i="12" r="F59"/>
  <c i="12" r="F58"/>
  <c i="12" r="F57"/>
  <c i="12" r="F56"/>
  <c i="21" r="D136"/>
  <c i="24" r="C143" s="1"/>
  <c i="21" r="B334"/>
  <c i="10" r="E118" s="1"/>
  <c i="16" r="B7" s="1"/>
  <c i="21" r="B333"/>
  <c i="10" r="D118" s="1"/>
  <c i="21" r="B332"/>
  <c i="10" r="C118" s="1"/>
  <c i="10" r="B118"/>
  <c i="21" r="B327"/>
  <c i="10" r="E84" s="1"/>
  <c i="21" r="B326"/>
  <c i="10" r="D84" s="1"/>
  <c i="12" r="D83" s="1"/>
  <c i="21" r="B325"/>
  <c i="10" r="C84" s="1"/>
  <c i="11" r="C78" s="1"/>
  <c i="21" r="B324"/>
  <c i="10" r="B84" s="1"/>
  <c i="21" r="B320"/>
  <c i="10" r="E50" s="1"/>
  <c i="21" r="B319"/>
  <c i="10" r="D50" s="1"/>
  <c i="21" r="B318"/>
  <c i="10" r="C50" s="1"/>
  <c i="21" r="B317"/>
  <c i="10" r="B50" s="1"/>
  <c i="21" r="B313"/>
  <c i="10" r="J15" s="1"/>
  <c i="21" r="B312"/>
  <c i="10" r="I15" s="1"/>
  <c i="21" r="B311"/>
  <c i="10" r="G15" s="1"/>
  <c i="21" r="B310"/>
  <c i="10" r="F15" s="1"/>
  <c i="21" r="B309"/>
  <c i="10" r="E15" s="1"/>
  <c i="21" r="B308"/>
  <c i="10" r="D15" s="1"/>
  <c i="21" r="B307"/>
  <c i="10" r="C15" s="1"/>
  <c i="11" r="C14" s="1"/>
  <c i="21" r="B306"/>
  <c i="10" r="B15" s="1"/>
  <c i="21" r="E302"/>
  <c i="12" r="E114" s="1"/>
  <c i="21" r="D302"/>
  <c i="12" r="D114" s="1"/>
  <c i="21" r="C302"/>
  <c i="12" r="C114" s="1"/>
  <c i="21" r="B302"/>
  <c i="12" r="B114" s="1"/>
  <c i="21" r="E301"/>
  <c i="12" r="E113" s="1"/>
  <c i="21" r="D301"/>
  <c i="12" r="D113" s="1"/>
  <c i="21" r="C301"/>
  <c i="12" r="C113" s="1"/>
  <c i="21" r="B301"/>
  <c i="12" r="B113" s="1"/>
  <c i="21" r="E300"/>
  <c i="12" r="E112" s="1"/>
  <c i="21" r="D300"/>
  <c i="12" r="D112" s="1"/>
  <c i="21" r="C300"/>
  <c i="12" r="C112" s="1"/>
  <c i="21" r="B300"/>
  <c i="12" r="B112" s="1"/>
  <c i="21" r="E299"/>
  <c i="12" r="E111" s="1"/>
  <c i="21" r="D299"/>
  <c i="12" r="D111" s="1"/>
  <c i="21" r="C299"/>
  <c i="12" r="C111" s="1"/>
  <c i="21" r="B299"/>
  <c i="12" r="B111" s="1"/>
  <c i="21" r="E298"/>
  <c i="12" r="E110" s="1"/>
  <c i="21" r="D298"/>
  <c i="12" r="D110" s="1"/>
  <c i="21" r="C298"/>
  <c i="12" r="C110" s="1"/>
  <c i="21" r="B298"/>
  <c i="12" r="B110" s="1"/>
  <c i="21" r="E297"/>
  <c i="12" r="E109" s="1"/>
  <c i="21" r="D297"/>
  <c i="12" r="D109" s="1"/>
  <c i="21" r="C297"/>
  <c i="12" r="C109" s="1"/>
  <c i="21" r="B297"/>
  <c i="12" r="B109" s="1"/>
  <c i="21" r="E296"/>
  <c i="12" r="E108" s="1"/>
  <c i="21" r="D296"/>
  <c i="12" r="D108" s="1"/>
  <c i="21" r="C296"/>
  <c i="12" r="C108" s="1"/>
  <c i="21" r="B296"/>
  <c i="12" r="B108" s="1"/>
  <c i="21" r="E295"/>
  <c i="12" r="E107" s="1"/>
  <c i="21" r="D295"/>
  <c i="12" r="D107" s="1"/>
  <c i="21" r="C295"/>
  <c i="12" r="C107" s="1"/>
  <c i="21" r="B295"/>
  <c i="12" r="B107" s="1"/>
  <c i="21" r="E291"/>
  <c i="12" r="E80" s="1"/>
  <c i="21" r="D291"/>
  <c i="12" r="D80" s="1"/>
  <c i="21" r="C291"/>
  <c i="12" r="C80" s="1"/>
  <c i="21" r="B291"/>
  <c i="12" r="B80" s="1"/>
  <c i="21" r="E290"/>
  <c i="12" r="E79" s="1"/>
  <c i="21" r="D290"/>
  <c i="12" r="D79" s="1"/>
  <c i="21" r="C290"/>
  <c i="12" r="C79" s="1"/>
  <c i="21" r="B290"/>
  <c i="12" r="B79" s="1"/>
  <c i="21" r="E289"/>
  <c i="12" r="E78" s="1"/>
  <c i="21" r="D289"/>
  <c i="12" r="D78" s="1"/>
  <c i="21" r="C289"/>
  <c i="12" r="C78" s="1"/>
  <c i="21" r="B289"/>
  <c i="12" r="B78" s="1"/>
  <c i="21" r="E288"/>
  <c i="12" r="E77" s="1"/>
  <c i="21" r="D288"/>
  <c i="12" r="D77" s="1"/>
  <c i="21" r="C288"/>
  <c i="12" r="C77" s="1"/>
  <c i="21" r="B288"/>
  <c i="12" r="B77" s="1"/>
  <c i="21" r="E287"/>
  <c i="12" r="E76" s="1"/>
  <c i="21" r="D287"/>
  <c i="12" r="D76" s="1"/>
  <c i="21" r="C287"/>
  <c i="12" r="C76" s="1"/>
  <c i="21" r="B287"/>
  <c i="12" r="B76" s="1"/>
  <c i="21" r="F286"/>
  <c i="12" r="F75" s="1"/>
  <c i="16" r="B65" s="1"/>
  <c i="21" r="E286"/>
  <c i="12" r="E75" s="1"/>
  <c i="21" r="D286"/>
  <c i="12" r="D75" s="1"/>
  <c i="21" r="C286"/>
  <c i="12" r="C75" s="1"/>
  <c i="21" r="B286"/>
  <c i="12" r="B75" s="1"/>
  <c i="21" r="E285"/>
  <c i="12" r="E74" s="1"/>
  <c i="21" r="D285"/>
  <c i="12" r="D74" s="1"/>
  <c i="21" r="C285"/>
  <c i="12" r="C74" s="1"/>
  <c i="21" r="B285"/>
  <c i="12" r="B74" s="1"/>
  <c i="21" r="E284"/>
  <c i="12" r="E73" s="1"/>
  <c i="21" r="D284"/>
  <c i="12" r="D73" s="1"/>
  <c i="21" r="C284"/>
  <c i="12" r="C73" s="1"/>
  <c i="21" r="B284"/>
  <c i="12" r="B73" s="1"/>
  <c i="21" r="E280"/>
  <c i="12" r="E46" s="1"/>
  <c i="21" r="D280"/>
  <c i="12" r="D46" s="1"/>
  <c i="21" r="C280"/>
  <c i="12" r="C46" s="1"/>
  <c i="21" r="B280"/>
  <c i="12" r="B46" s="1"/>
  <c i="21" r="E279"/>
  <c i="12" r="E45" s="1"/>
  <c i="21" r="D279"/>
  <c i="12" r="D45" s="1"/>
  <c i="21" r="C279"/>
  <c i="12" r="C45" s="1"/>
  <c i="21" r="B279"/>
  <c i="12" r="B45" s="1"/>
  <c i="21" r="E278"/>
  <c i="12" r="E44" s="1"/>
  <c i="21" r="D278"/>
  <c i="12" r="D44" s="1"/>
  <c i="21" r="C278"/>
  <c i="12" r="C44" s="1"/>
  <c i="21" r="B278"/>
  <c i="12" r="B44" s="1"/>
  <c i="21" r="E277"/>
  <c i="12" r="E43" s="1"/>
  <c i="21" r="D277"/>
  <c i="12" r="D43" s="1"/>
  <c i="21" r="C277"/>
  <c i="12" r="C43" s="1"/>
  <c i="21" r="B277"/>
  <c i="12" r="B43" s="1"/>
  <c i="21" r="E276"/>
  <c i="12" r="E42" s="1"/>
  <c i="21" r="D276"/>
  <c i="12" r="D42" s="1"/>
  <c i="21" r="C276"/>
  <c i="12" r="C42" s="1"/>
  <c i="21" r="B276"/>
  <c i="12" r="B42" s="1"/>
  <c i="21" r="E275"/>
  <c i="12" r="E41" s="1"/>
  <c i="21" r="D275"/>
  <c i="12" r="D41" s="1"/>
  <c i="21" r="C275"/>
  <c i="12" r="C41" s="1"/>
  <c i="21" r="B275"/>
  <c i="12" r="B41" s="1"/>
  <c i="21" r="E274"/>
  <c i="12" r="E40" s="1"/>
  <c i="21" r="D274"/>
  <c i="12" r="D40" s="1"/>
  <c i="21" r="C274"/>
  <c i="12" r="C40" s="1"/>
  <c i="21" r="B274"/>
  <c i="12" r="B40" s="1"/>
  <c i="21" r="E273"/>
  <c i="12" r="E39" s="1"/>
  <c i="21" r="D273"/>
  <c i="12" r="D39" s="1"/>
  <c i="21" r="C273"/>
  <c i="12" r="C39" s="1"/>
  <c i="21" r="B273"/>
  <c i="12" r="B39" s="1"/>
  <c i="21" r="I269"/>
  <c i="12" r="J12" s="1"/>
  <c i="21" r="H269"/>
  <c i="12" r="I12" s="1"/>
  <c i="21" r="G269"/>
  <c i="12" r="G12" s="1"/>
  <c i="21" r="F269"/>
  <c i="12" r="F12" s="1"/>
  <c i="21" r="E269"/>
  <c i="12" r="E12" s="1"/>
  <c i="21" r="D269"/>
  <c i="12" r="D12" s="1"/>
  <c i="21" r="C269"/>
  <c i="12" r="C12" s="1"/>
  <c i="21" r="B269"/>
  <c i="12" r="B12" s="1"/>
  <c i="21" r="I268"/>
  <c i="12" r="J11" s="1"/>
  <c i="21" r="H268"/>
  <c i="12" r="I11" s="1"/>
  <c i="21" r="G268"/>
  <c i="12" r="G11" s="1"/>
  <c i="21" r="F268"/>
  <c i="12" r="F11" s="1"/>
  <c i="21" r="E268"/>
  <c i="12" r="E11" s="1"/>
  <c i="21" r="D268"/>
  <c i="12" r="D11" s="1"/>
  <c i="21" r="C268"/>
  <c i="12" r="C11" s="1"/>
  <c i="21" r="B268"/>
  <c i="12" r="B11" s="1"/>
  <c i="21" r="I267"/>
  <c i="12" r="J10" s="1"/>
  <c i="21" r="H267"/>
  <c i="12" r="I10" s="1"/>
  <c i="21" r="G267"/>
  <c i="12" r="G10" s="1"/>
  <c i="21" r="F267"/>
  <c i="12" r="F10" s="1"/>
  <c i="21" r="E267"/>
  <c i="12" r="E10" s="1"/>
  <c i="21" r="D267"/>
  <c i="12" r="D10" s="1"/>
  <c i="21" r="C267"/>
  <c i="12" r="C10" s="1"/>
  <c i="21" r="B267"/>
  <c i="12" r="B10" s="1"/>
  <c i="21" r="I266"/>
  <c i="12" r="J9" s="1"/>
  <c i="21" r="H266"/>
  <c i="12" r="I9" s="1"/>
  <c i="21" r="G266"/>
  <c i="12" r="G9" s="1"/>
  <c i="21" r="F266"/>
  <c i="12" r="F9" s="1"/>
  <c i="21" r="E266"/>
  <c i="12" r="E9" s="1"/>
  <c i="21" r="D266"/>
  <c i="12" r="D9" s="1"/>
  <c i="21" r="C266"/>
  <c i="12" r="C9" s="1"/>
  <c i="21" r="B266"/>
  <c i="12" r="B9" s="1"/>
  <c i="21" r="I265"/>
  <c i="12" r="J8" s="1"/>
  <c i="21" r="H265"/>
  <c i="12" r="I8" s="1"/>
  <c i="21" r="G265"/>
  <c i="12" r="G8" s="1"/>
  <c i="21" r="F265"/>
  <c i="12" r="F8" s="1"/>
  <c i="21" r="E265"/>
  <c i="12" r="E8" s="1"/>
  <c i="21" r="D265"/>
  <c i="12" r="D8" s="1"/>
  <c i="21" r="C265"/>
  <c i="12" r="C8" s="1"/>
  <c i="21" r="B265"/>
  <c i="12" r="B8" s="1"/>
  <c i="21" r="I264"/>
  <c i="12" r="J7" s="1"/>
  <c i="21" r="H264"/>
  <c i="12" r="I7" s="1"/>
  <c i="21" r="G264"/>
  <c i="12" r="G7" s="1"/>
  <c i="21" r="F264"/>
  <c i="12" r="F7" s="1"/>
  <c i="21" r="E264"/>
  <c i="12" r="E7" s="1"/>
  <c i="21" r="D264"/>
  <c i="12" r="D7" s="1"/>
  <c i="21" r="C264"/>
  <c i="12" r="C7" s="1"/>
  <c i="21" r="B264"/>
  <c i="12" r="B7" s="1"/>
  <c i="21" r="I263"/>
  <c i="12" r="J6" s="1"/>
  <c i="21" r="H263"/>
  <c i="12" r="I6" s="1"/>
  <c i="21" r="G263"/>
  <c i="12" r="G6" s="1"/>
  <c i="21" r="F263"/>
  <c i="12" r="F6" s="1"/>
  <c i="21" r="E263"/>
  <c i="12" r="E6" s="1"/>
  <c i="21" r="D263"/>
  <c i="12" r="D6" s="1"/>
  <c i="21" r="C263"/>
  <c i="12" r="C6" s="1"/>
  <c i="21" r="B263"/>
  <c i="12" r="B6" s="1"/>
  <c i="21" r="I262"/>
  <c i="12" r="J5" s="1"/>
  <c i="21" r="H262"/>
  <c i="12" r="I5" s="1"/>
  <c i="21" r="G262"/>
  <c i="12" r="G5" s="1"/>
  <c i="21" r="F262"/>
  <c i="12" r="F5" s="1"/>
  <c i="21" r="E262"/>
  <c i="12" r="E5" s="1"/>
  <c i="21" r="D262"/>
  <c i="12" r="D5" s="1"/>
  <c i="21" r="C262"/>
  <c i="12" r="C5" s="1"/>
  <c i="21" r="B262"/>
  <c i="12" r="B5" s="1"/>
  <c i="21" r="E258"/>
  <c i="11" r="E107" s="1"/>
  <c i="21" r="D258"/>
  <c i="11" r="D107" s="1"/>
  <c i="21" r="C258"/>
  <c i="11" r="C107" s="1"/>
  <c i="21" r="B258"/>
  <c i="11" r="B107" s="1"/>
  <c i="21" r="E257"/>
  <c i="11" r="E106" s="1"/>
  <c i="21" r="D257"/>
  <c i="11" r="D106" s="1"/>
  <c i="21" r="C257"/>
  <c i="11" r="C106" s="1"/>
  <c i="21" r="B257"/>
  <c i="11" r="B106" s="1"/>
  <c i="21" r="E256"/>
  <c i="11" r="E105" s="1"/>
  <c i="21" r="D256"/>
  <c i="11" r="D105" s="1"/>
  <c i="21" r="C256"/>
  <c i="11" r="C105" s="1"/>
  <c i="21" r="B256"/>
  <c i="11" r="B105" s="1"/>
  <c i="21" r="E255"/>
  <c i="11" r="E104" s="1"/>
  <c i="21" r="D255"/>
  <c i="11" r="D104" s="1"/>
  <c i="21" r="C255"/>
  <c i="11" r="C104" s="1"/>
  <c i="21" r="B255"/>
  <c i="11" r="B104" s="1"/>
  <c i="21" r="E254"/>
  <c i="11" r="E103" s="1"/>
  <c i="21" r="D254"/>
  <c i="11" r="D103" s="1"/>
  <c i="21" r="C254"/>
  <c i="11" r="C103" s="1"/>
  <c i="21" r="B254"/>
  <c i="11" r="B103" s="1"/>
  <c i="21" r="E253"/>
  <c i="11" r="E102" s="1"/>
  <c i="21" r="D253"/>
  <c i="11" r="D102" s="1"/>
  <c i="21" r="C253"/>
  <c i="11" r="C102" s="1"/>
  <c i="21" r="B253"/>
  <c i="11" r="B102" s="1"/>
  <c i="21" r="E252"/>
  <c i="11" r="E101" s="1"/>
  <c i="21" r="D252"/>
  <c i="11" r="D101" s="1"/>
  <c i="21" r="C252"/>
  <c i="11" r="C101" s="1"/>
  <c i="21" r="B252"/>
  <c i="11" r="B101" s="1"/>
  <c i="21" r="E248"/>
  <c i="11" r="E75" s="1"/>
  <c i="21" r="D248"/>
  <c i="11" r="D75" s="1"/>
  <c i="21" r="C248"/>
  <c i="11" r="C75" s="1"/>
  <c i="21" r="B248"/>
  <c i="11" r="B75" s="1"/>
  <c i="21" r="E247"/>
  <c i="11" r="E74" s="1"/>
  <c i="21" r="D247"/>
  <c i="11" r="D74" s="1"/>
  <c i="21" r="C247"/>
  <c i="11" r="C74" s="1"/>
  <c i="21" r="B247"/>
  <c i="11" r="B74" s="1"/>
  <c i="21" r="E246"/>
  <c i="11" r="E73" s="1"/>
  <c i="21" r="D246"/>
  <c i="11" r="D73" s="1"/>
  <c i="21" r="C246"/>
  <c i="11" r="C73" s="1"/>
  <c i="21" r="B246"/>
  <c i="11" r="B73" s="1"/>
  <c i="21" r="E245"/>
  <c i="11" r="E72" s="1"/>
  <c i="21" r="D245"/>
  <c i="11" r="D72" s="1"/>
  <c i="21" r="C245"/>
  <c i="11" r="C72" s="1"/>
  <c i="21" r="B245"/>
  <c i="11" r="B72" s="1"/>
  <c i="21" r="E244"/>
  <c i="11" r="E71" s="1"/>
  <c i="21" r="D244"/>
  <c i="11" r="D71" s="1"/>
  <c i="21" r="C244"/>
  <c i="11" r="C71" s="1"/>
  <c i="21" r="B244"/>
  <c i="11" r="B71" s="1"/>
  <c i="21" r="E243"/>
  <c i="11" r="E70" s="1"/>
  <c i="21" r="D243"/>
  <c i="11" r="D70" s="1"/>
  <c i="21" r="C243"/>
  <c i="11" r="C70" s="1"/>
  <c i="21" r="B243"/>
  <c i="11" r="B70" s="1"/>
  <c i="21" r="E242"/>
  <c i="11" r="E69" s="1"/>
  <c i="21" r="D242"/>
  <c i="11" r="D69" s="1"/>
  <c i="21" r="C242"/>
  <c i="11" r="C69" s="1"/>
  <c i="21" r="B242"/>
  <c i="11" r="B69" s="1"/>
  <c i="21" r="E238"/>
  <c i="11" r="E43" s="1"/>
  <c i="21" r="D238"/>
  <c i="11" r="D43" s="1"/>
  <c i="21" r="C238"/>
  <c i="11" r="C43" s="1"/>
  <c i="21" r="B238"/>
  <c i="11" r="B43" s="1"/>
  <c i="21" r="E237"/>
  <c i="11" r="E42" s="1"/>
  <c i="21" r="D237"/>
  <c i="11" r="D42" s="1"/>
  <c i="21" r="C237"/>
  <c i="11" r="C42" s="1"/>
  <c i="21" r="B237"/>
  <c i="11" r="B42" s="1"/>
  <c i="21" r="E236"/>
  <c i="11" r="E41" s="1"/>
  <c i="21" r="D236"/>
  <c i="11" r="D41" s="1"/>
  <c i="21" r="C236"/>
  <c i="11" r="C41" s="1"/>
  <c i="21" r="B236"/>
  <c i="11" r="B41" s="1"/>
  <c i="21" r="E235"/>
  <c i="11" r="E40" s="1"/>
  <c i="21" r="D235"/>
  <c i="11" r="D40" s="1"/>
  <c i="21" r="C235"/>
  <c i="11" r="C40" s="1"/>
  <c i="21" r="B235"/>
  <c i="11" r="B40" s="1"/>
  <c i="21" r="E234"/>
  <c i="11" r="E39" s="1"/>
  <c i="21" r="D234"/>
  <c i="11" r="D39" s="1"/>
  <c i="21" r="C234"/>
  <c i="11" r="C39" s="1"/>
  <c i="21" r="B234"/>
  <c i="11" r="B39" s="1"/>
  <c i="21" r="E233"/>
  <c i="11" r="E38" s="1"/>
  <c i="21" r="D233"/>
  <c i="11" r="D38" s="1"/>
  <c i="21" r="C233"/>
  <c i="11" r="C38" s="1"/>
  <c i="21" r="B233"/>
  <c i="11" r="B38" s="1"/>
  <c i="21" r="E232"/>
  <c i="11" r="E37" s="1"/>
  <c i="21" r="D232"/>
  <c i="11" r="D37" s="1"/>
  <c i="21" r="C232"/>
  <c i="11" r="C37" s="1"/>
  <c i="21" r="B232"/>
  <c i="11" r="B37" s="1"/>
  <c i="21" r="I228"/>
  <c i="11" r="J11" s="1"/>
  <c i="21" r="H228"/>
  <c i="11" r="I11" s="1"/>
  <c i="21" r="G228"/>
  <c i="11" r="G11" s="1"/>
  <c i="21" r="F228"/>
  <c i="11" r="F11" s="1"/>
  <c i="21" r="E228"/>
  <c i="11" r="E11" s="1"/>
  <c i="21" r="D228"/>
  <c i="11" r="D11" s="1"/>
  <c i="21" r="C228"/>
  <c i="11" r="C11" s="1"/>
  <c i="21" r="B228"/>
  <c i="11" r="B11" s="1"/>
  <c i="21" r="I227"/>
  <c i="11" r="J10" s="1"/>
  <c i="21" r="H227"/>
  <c i="11" r="I10" s="1"/>
  <c i="21" r="G227"/>
  <c i="11" r="G10" s="1"/>
  <c i="21" r="F227"/>
  <c i="11" r="F10" s="1"/>
  <c i="21" r="E227"/>
  <c i="11" r="E10" s="1"/>
  <c i="21" r="D227"/>
  <c i="11" r="D10" s="1"/>
  <c i="21" r="C227"/>
  <c i="11" r="C10" s="1"/>
  <c i="21" r="B227"/>
  <c i="11" r="B10" s="1"/>
  <c i="21" r="I226"/>
  <c i="11" r="J9" s="1"/>
  <c i="21" r="H226"/>
  <c i="11" r="I9" s="1"/>
  <c i="21" r="G226"/>
  <c i="11" r="G9" s="1"/>
  <c i="21" r="F226"/>
  <c i="11" r="F9" s="1"/>
  <c i="21" r="E226"/>
  <c i="11" r="E9" s="1"/>
  <c i="21" r="D226"/>
  <c i="11" r="D9" s="1"/>
  <c i="21" r="C226"/>
  <c i="11" r="C9" s="1"/>
  <c i="21" r="B226"/>
  <c i="11" r="B9" s="1"/>
  <c i="21" r="I225"/>
  <c i="11" r="J8" s="1"/>
  <c i="21" r="H225"/>
  <c i="11" r="I8" s="1"/>
  <c i="21" r="G225"/>
  <c i="11" r="G8" s="1"/>
  <c i="21" r="F225"/>
  <c i="11" r="F8" s="1"/>
  <c i="21" r="E225"/>
  <c i="11" r="E8" s="1"/>
  <c i="21" r="D225"/>
  <c i="11" r="D8" s="1"/>
  <c i="21" r="C225"/>
  <c i="11" r="C8" s="1"/>
  <c i="21" r="B225"/>
  <c i="11" r="B8" s="1"/>
  <c i="21" r="I224"/>
  <c i="11" r="J7" s="1"/>
  <c i="21" r="H224"/>
  <c i="11" r="I7" s="1"/>
  <c i="21" r="G224"/>
  <c i="11" r="G7" s="1"/>
  <c i="21" r="F224"/>
  <c i="11" r="F7" s="1"/>
  <c i="21" r="E224"/>
  <c i="11" r="E7" s="1"/>
  <c i="21" r="D224"/>
  <c i="11" r="D7" s="1"/>
  <c i="21" r="C224"/>
  <c i="11" r="C7" s="1"/>
  <c i="21" r="B224"/>
  <c i="11" r="B7" s="1"/>
  <c i="21" r="I223"/>
  <c i="11" r="J6" s="1"/>
  <c i="21" r="H223"/>
  <c i="11" r="I6" s="1"/>
  <c i="21" r="G223"/>
  <c i="11" r="G6" s="1"/>
  <c i="21" r="F223"/>
  <c i="11" r="F6" s="1"/>
  <c i="21" r="E223"/>
  <c i="11" r="E6" s="1"/>
  <c i="21" r="D223"/>
  <c i="11" r="D6" s="1"/>
  <c i="21" r="C223"/>
  <c i="11" r="C6" s="1"/>
  <c i="21" r="B223"/>
  <c i="11" r="B6" s="1"/>
  <c i="21" r="I222"/>
  <c i="11" r="J5" s="1"/>
  <c i="21" r="H222"/>
  <c i="11" r="I5" s="1"/>
  <c i="21" r="G222"/>
  <c i="11" r="G5" s="1"/>
  <c i="21" r="F222"/>
  <c i="11" r="F5" s="1"/>
  <c i="21" r="E222"/>
  <c i="11" r="E5" s="1"/>
  <c i="21" r="D222"/>
  <c i="11" r="D5" s="1"/>
  <c i="21" r="C222"/>
  <c i="11" r="C5" s="1"/>
  <c i="21" r="B222"/>
  <c i="11" r="B5" s="1"/>
  <c i="21" r="E218"/>
  <c i="10" r="E115" s="1"/>
  <c i="21" r="D218"/>
  <c i="10" r="D115" s="1"/>
  <c i="21" r="C218"/>
  <c i="10" r="C115" s="1"/>
  <c i="21" r="B218"/>
  <c i="10" r="B115" s="1"/>
  <c i="21" r="E217"/>
  <c i="10" r="E114" s="1"/>
  <c i="21" r="D217"/>
  <c i="10" r="D114" s="1"/>
  <c i="21" r="C217"/>
  <c i="10" r="C114" s="1"/>
  <c i="21" r="B217"/>
  <c i="10" r="B114" s="1"/>
  <c i="21" r="E216"/>
  <c i="10" r="E113" s="1"/>
  <c i="21" r="D216"/>
  <c i="10" r="D113" s="1"/>
  <c i="21" r="C216"/>
  <c i="10" r="C113" s="1"/>
  <c i="21" r="B216"/>
  <c i="10" r="B113" s="1"/>
  <c i="21" r="E215"/>
  <c i="10" r="E112" s="1"/>
  <c i="21" r="D215"/>
  <c i="10" r="D112" s="1"/>
  <c i="21" r="C215"/>
  <c i="10" r="C112" s="1"/>
  <c i="21" r="B215"/>
  <c i="10" r="B112" s="1"/>
  <c i="21" r="E214"/>
  <c i="10" r="E111" s="1"/>
  <c i="21" r="D214"/>
  <c i="10" r="D111" s="1"/>
  <c i="21" r="C214"/>
  <c i="10" r="C111" s="1"/>
  <c i="21" r="B214"/>
  <c i="10" r="B111" s="1"/>
  <c i="21" r="E213"/>
  <c i="10" r="E110" s="1"/>
  <c i="21" r="D213"/>
  <c i="10" r="D110" s="1"/>
  <c i="21" r="C213"/>
  <c i="10" r="C110" s="1"/>
  <c i="21" r="B213"/>
  <c i="10" r="B110" s="1"/>
  <c i="21" r="E212"/>
  <c i="10" r="E109" s="1"/>
  <c i="21" r="D212"/>
  <c i="10" r="D109" s="1"/>
  <c i="21" r="C212"/>
  <c i="10" r="C109" s="1"/>
  <c i="21" r="B212"/>
  <c i="10" r="B109" s="1"/>
  <c i="21" r="E211"/>
  <c i="10" r="E108" s="1"/>
  <c i="21" r="D211"/>
  <c i="10" r="D108" s="1"/>
  <c i="21" r="C211"/>
  <c i="10" r="C108" s="1"/>
  <c i="21" r="B211"/>
  <c i="10" r="B108" s="1"/>
  <c i="21" r="E207"/>
  <c i="10" r="E81" s="1"/>
  <c i="21" r="D207"/>
  <c i="10" r="D81" s="1"/>
  <c i="21" r="C207"/>
  <c i="10" r="C81" s="1"/>
  <c i="21" r="B207"/>
  <c i="10" r="B81" s="1"/>
  <c i="21" r="E206"/>
  <c i="10" r="E80" s="1"/>
  <c i="21" r="D206"/>
  <c i="10" r="D80" s="1"/>
  <c i="21" r="C206"/>
  <c i="10" r="C80" s="1"/>
  <c i="21" r="B206"/>
  <c i="10" r="B80" s="1"/>
  <c i="21" r="E205"/>
  <c i="10" r="E79" s="1"/>
  <c i="21" r="D205"/>
  <c i="10" r="D79" s="1"/>
  <c i="21" r="C205"/>
  <c i="10" r="C79" s="1"/>
  <c i="21" r="B205"/>
  <c i="10" r="B79" s="1"/>
  <c i="21" r="E204"/>
  <c i="10" r="E78" s="1"/>
  <c i="21" r="D204"/>
  <c i="10" r="D78" s="1"/>
  <c i="21" r="C204"/>
  <c i="10" r="C78" s="1"/>
  <c i="21" r="B204"/>
  <c i="10" r="B78" s="1"/>
  <c i="21" r="E203"/>
  <c i="10" r="E77" s="1"/>
  <c i="21" r="D203"/>
  <c i="10" r="D77" s="1"/>
  <c i="21" r="C203"/>
  <c i="10" r="C77" s="1"/>
  <c i="21" r="B203"/>
  <c i="10" r="B77" s="1"/>
  <c i="21" r="E202"/>
  <c i="10" r="E76" s="1"/>
  <c i="21" r="D202"/>
  <c i="10" r="D76" s="1"/>
  <c i="21" r="C202"/>
  <c i="10" r="C76" s="1"/>
  <c i="21" r="B202"/>
  <c i="10" r="B76" s="1"/>
  <c i="21" r="E201"/>
  <c i="10" r="E75" s="1"/>
  <c i="21" r="D201"/>
  <c i="10" r="D75" s="1"/>
  <c i="21" r="C201"/>
  <c i="10" r="C75" s="1"/>
  <c i="21" r="B201"/>
  <c i="10" r="B75" s="1"/>
  <c i="21" r="E200"/>
  <c i="10" r="E74" s="1"/>
  <c i="21" r="D200"/>
  <c i="10" r="D74" s="1"/>
  <c i="21" r="C200"/>
  <c i="10" r="C74" s="1"/>
  <c i="21" r="B200"/>
  <c i="10" r="B74" s="1"/>
  <c i="21" r="E196"/>
  <c i="10" r="E47" s="1"/>
  <c i="21" r="D196"/>
  <c i="10" r="D47" s="1"/>
  <c i="21" r="C196"/>
  <c i="10" r="C47" s="1"/>
  <c i="21" r="B196"/>
  <c i="10" r="B47" s="1"/>
  <c i="21" r="E195"/>
  <c i="10" r="E46" s="1"/>
  <c i="21" r="D195"/>
  <c i="10" r="D46" s="1"/>
  <c i="21" r="C195"/>
  <c i="10" r="C46" s="1"/>
  <c i="21" r="B195"/>
  <c i="10" r="B46" s="1"/>
  <c i="21" r="E194"/>
  <c i="10" r="E45" s="1"/>
  <c i="21" r="D194"/>
  <c i="10" r="D45" s="1"/>
  <c i="21" r="C194"/>
  <c i="10" r="C45" s="1"/>
  <c i="21" r="B194"/>
  <c i="10" r="B45" s="1"/>
  <c i="21" r="E193"/>
  <c i="10" r="E44" s="1"/>
  <c i="21" r="D193"/>
  <c i="10" r="D44" s="1"/>
  <c i="21" r="C193"/>
  <c i="10" r="C44" s="1"/>
  <c i="21" r="B193"/>
  <c i="10" r="B44" s="1"/>
  <c i="21" r="E192"/>
  <c i="10" r="E43" s="1"/>
  <c i="21" r="D192"/>
  <c i="10" r="D43" s="1"/>
  <c i="21" r="C192"/>
  <c i="10" r="C43" s="1"/>
  <c i="21" r="B192"/>
  <c i="10" r="B43" s="1"/>
  <c i="21" r="E191"/>
  <c i="10" r="E42" s="1"/>
  <c i="21" r="D191"/>
  <c i="10" r="D42" s="1"/>
  <c i="21" r="C191"/>
  <c i="10" r="C42" s="1"/>
  <c i="21" r="B191"/>
  <c i="10" r="B42" s="1"/>
  <c i="21" r="E190"/>
  <c i="10" r="E41" s="1"/>
  <c i="21" r="D190"/>
  <c i="10" r="D41" s="1"/>
  <c i="21" r="C190"/>
  <c i="10" r="C41" s="1"/>
  <c i="21" r="B190"/>
  <c i="10" r="B41" s="1"/>
  <c i="21" r="E189"/>
  <c i="10" r="E40" s="1"/>
  <c i="21" r="D189"/>
  <c i="10" r="D40" s="1"/>
  <c i="21" r="C189"/>
  <c i="10" r="C40" s="1"/>
  <c i="21" r="B189"/>
  <c i="10" r="B40" s="1"/>
  <c i="21" r="I185"/>
  <c i="10" r="J12" s="1"/>
  <c i="24" r="J55" s="1"/>
  <c i="21" r="H185"/>
  <c i="10" r="I12" s="1"/>
  <c i="24" r="I55" s="1"/>
  <c i="21" r="G185"/>
  <c i="10" r="G12" s="1"/>
  <c i="24" r="H55" s="1"/>
  <c i="21" r="F185"/>
  <c i="10" r="F12" s="1"/>
  <c i="24" r="G55" s="1"/>
  <c i="21" r="E185"/>
  <c i="10" r="E12" s="1"/>
  <c i="24" r="F55" s="1"/>
  <c i="21" r="D185"/>
  <c i="10" r="D12" s="1"/>
  <c i="24" r="E55" s="1"/>
  <c i="21" r="C185"/>
  <c i="10" r="C12" s="1"/>
  <c i="24" r="D55" s="1"/>
  <c i="21" r="B185"/>
  <c i="10" r="B12" s="1"/>
  <c i="24" r="C55" s="1"/>
  <c i="21" r="I184"/>
  <c i="10" r="J11" s="1"/>
  <c i="24" r="J54" s="1"/>
  <c i="21" r="H184"/>
  <c i="10" r="I11" s="1"/>
  <c i="24" r="I54" s="1"/>
  <c i="21" r="G184"/>
  <c i="10" r="G11" s="1"/>
  <c i="24" r="H54" s="1"/>
  <c i="21" r="F184"/>
  <c i="10" r="F11" s="1"/>
  <c i="24" r="G54" s="1"/>
  <c i="21" r="E184"/>
  <c i="10" r="E11" s="1"/>
  <c i="24" r="F54" s="1"/>
  <c i="21" r="D184"/>
  <c i="10" r="D11" s="1"/>
  <c i="24" r="E54" s="1"/>
  <c i="21" r="C184"/>
  <c i="10" r="C11" s="1"/>
  <c i="24" r="D54" s="1"/>
  <c i="21" r="B184"/>
  <c i="10" r="B11" s="1"/>
  <c i="24" r="C54" s="1"/>
  <c i="21" r="I183"/>
  <c i="10" r="J10" s="1"/>
  <c i="24" r="J53" s="1"/>
  <c i="21" r="H183"/>
  <c i="10" r="I10" s="1"/>
  <c i="24" r="I53" s="1"/>
  <c i="21" r="G183"/>
  <c i="10" r="G10" s="1"/>
  <c i="24" r="H53" s="1"/>
  <c i="21" r="F183"/>
  <c i="10" r="F10" s="1"/>
  <c i="24" r="G53" s="1"/>
  <c i="21" r="E183"/>
  <c i="10" r="E10" s="1"/>
  <c i="24" r="F53" s="1"/>
  <c i="21" r="D183"/>
  <c i="10" r="D10" s="1"/>
  <c i="24" r="E53" s="1"/>
  <c i="21" r="C183"/>
  <c i="10" r="C10" s="1"/>
  <c i="24" r="D53" s="1"/>
  <c i="21" r="B183"/>
  <c i="10" r="B10" s="1"/>
  <c i="24" r="C53" s="1"/>
  <c i="21" r="I182"/>
  <c i="10" r="J9" s="1"/>
  <c i="24" r="J52" s="1"/>
  <c i="21" r="H182"/>
  <c i="10" r="I9" s="1"/>
  <c i="24" r="I52" s="1"/>
  <c i="21" r="G182"/>
  <c i="10" r="G9" s="1"/>
  <c i="24" r="H52" s="1"/>
  <c i="21" r="F182"/>
  <c i="10" r="F9" s="1"/>
  <c i="24" r="G52" s="1"/>
  <c i="21" r="E182"/>
  <c i="10" r="E9" s="1"/>
  <c i="24" r="F52" s="1"/>
  <c i="21" r="D182"/>
  <c i="10" r="D9" s="1"/>
  <c i="24" r="E52" s="1"/>
  <c i="21" r="C182"/>
  <c i="10" r="C9" s="1"/>
  <c i="24" r="D52" s="1"/>
  <c i="21" r="B182"/>
  <c i="10" r="B9" s="1"/>
  <c i="24" r="C52" s="1"/>
  <c i="21" r="I181"/>
  <c i="10" r="J8" s="1"/>
  <c i="24" r="J51" s="1"/>
  <c i="21" r="H181"/>
  <c i="10" r="I8" s="1"/>
  <c i="24" r="I51" s="1"/>
  <c i="21" r="G181"/>
  <c i="10" r="G8" s="1"/>
  <c i="24" r="H51" s="1"/>
  <c i="21" r="F181"/>
  <c i="10" r="F8" s="1"/>
  <c i="24" r="G51" s="1"/>
  <c i="21" r="E181"/>
  <c i="10" r="E8" s="1"/>
  <c i="24" r="F51" s="1"/>
  <c i="21" r="D181"/>
  <c i="10" r="D8" s="1"/>
  <c i="24" r="E51" s="1"/>
  <c i="21" r="C181"/>
  <c i="10" r="C8" s="1"/>
  <c i="24" r="D51" s="1"/>
  <c i="21" r="B181"/>
  <c i="10" r="B8" s="1"/>
  <c i="24" r="C51" s="1"/>
  <c i="21" r="I180"/>
  <c i="10" r="J7" s="1"/>
  <c i="24" r="J50" s="1"/>
  <c i="21" r="H180"/>
  <c i="10" r="I7" s="1"/>
  <c i="24" r="I50" s="1"/>
  <c i="21" r="G180"/>
  <c i="10" r="G7" s="1"/>
  <c i="24" r="H50" s="1"/>
  <c i="21" r="F180"/>
  <c i="10" r="F7" s="1"/>
  <c i="24" r="G50" s="1"/>
  <c i="21" r="E180"/>
  <c i="10" r="E7" s="1"/>
  <c i="24" r="F50" s="1"/>
  <c i="21" r="D180"/>
  <c i="10" r="D7" s="1"/>
  <c i="24" r="E50" s="1"/>
  <c i="21" r="C180"/>
  <c i="10" r="C7" s="1"/>
  <c i="24" r="D50" s="1"/>
  <c i="21" r="B180"/>
  <c i="10" r="B7" s="1"/>
  <c i="24" r="C50" s="1"/>
  <c i="21" r="I179"/>
  <c i="10" r="J6" s="1"/>
  <c i="24" r="J49" s="1"/>
  <c i="21" r="H179"/>
  <c i="10" r="I6" s="1"/>
  <c i="24" r="I49" s="1"/>
  <c i="21" r="G179"/>
  <c i="10" r="G6" s="1"/>
  <c i="24" r="H49" s="1"/>
  <c i="21" r="F179"/>
  <c i="10" r="F6" s="1"/>
  <c i="24" r="G49" s="1"/>
  <c i="21" r="E179"/>
  <c i="10" r="E6" s="1"/>
  <c i="24" r="F49" s="1"/>
  <c i="21" r="D179"/>
  <c i="10" r="D6" s="1"/>
  <c i="24" r="E49" s="1"/>
  <c i="21" r="C179"/>
  <c i="10" r="C6" s="1"/>
  <c i="24" r="D49" s="1"/>
  <c i="21" r="B179"/>
  <c i="10" r="B6" s="1"/>
  <c i="24" r="C49" s="1"/>
  <c i="21" r="I178"/>
  <c i="10" r="J5" s="1"/>
  <c i="24" r="J48" s="1"/>
  <c i="21" r="H178"/>
  <c i="10" r="I5" s="1"/>
  <c i="24" r="I48" s="1"/>
  <c i="21" r="G178"/>
  <c i="10" r="G5" s="1"/>
  <c i="24" r="H48" s="1"/>
  <c i="21" r="F178"/>
  <c i="10" r="F5" s="1"/>
  <c i="24" r="G48" s="1"/>
  <c i="21" r="E178"/>
  <c i="10" r="E5" s="1"/>
  <c i="24" r="F48" s="1"/>
  <c i="21" r="D178"/>
  <c i="10" r="D5" s="1"/>
  <c i="24" r="E48" s="1"/>
  <c i="21" r="C178"/>
  <c i="10" r="C5" s="1"/>
  <c i="24" r="D48" s="1"/>
  <c i="21" r="B178"/>
  <c i="10" r="B5" s="1"/>
  <c i="24" r="C48" s="1"/>
  <c i="21" r="H174"/>
  <c i="9" r="H71" s="1"/>
  <c i="21" r="G174"/>
  <c i="9" r="G71" s="1"/>
  <c i="21" r="F174"/>
  <c i="9" r="F71" s="1"/>
  <c i="21" r="E174"/>
  <c i="9" r="E71" s="1"/>
  <c i="21" r="D174"/>
  <c i="9" r="D71" s="1"/>
  <c i="21" r="C174"/>
  <c i="9" r="C71" s="1"/>
  <c i="21" r="B174"/>
  <c i="9" r="B71" s="1"/>
  <c i="21" r="H173"/>
  <c i="9" r="H70" s="1"/>
  <c i="21" r="G173"/>
  <c i="9" r="G70" s="1"/>
  <c i="21" r="F173"/>
  <c i="9" r="F70" s="1"/>
  <c i="21" r="E173"/>
  <c i="9" r="E70" s="1"/>
  <c i="21" r="D173"/>
  <c i="9" r="D70" s="1"/>
  <c i="21" r="C173"/>
  <c i="9" r="C70" s="1"/>
  <c i="21" r="B173"/>
  <c i="9" r="B70" s="1"/>
  <c i="21" r="H172"/>
  <c i="9" r="H69" s="1"/>
  <c i="21" r="G172"/>
  <c i="9" r="G69" s="1"/>
  <c i="21" r="F172"/>
  <c i="9" r="F69" s="1"/>
  <c i="21" r="E172"/>
  <c i="9" r="E69" s="1"/>
  <c i="21" r="D172"/>
  <c i="9" r="D69" s="1"/>
  <c i="21" r="C172"/>
  <c i="9" r="C69" s="1"/>
  <c i="21" r="B172"/>
  <c i="9" r="B69" s="1"/>
  <c i="21" r="H171"/>
  <c i="9" r="H68" s="1"/>
  <c i="21" r="G171"/>
  <c i="9" r="G68" s="1"/>
  <c i="21" r="F171"/>
  <c i="9" r="F68" s="1"/>
  <c i="21" r="E171"/>
  <c i="9" r="E68" s="1"/>
  <c i="21" r="D171"/>
  <c i="9" r="D68" s="1"/>
  <c i="21" r="C171"/>
  <c i="9" r="C68" s="1"/>
  <c i="21" r="B171"/>
  <c i="9" r="B68" s="1"/>
  <c i="21" r="H170"/>
  <c i="9" r="H67" s="1"/>
  <c i="21" r="G170"/>
  <c i="9" r="G67" s="1"/>
  <c i="21" r="F170"/>
  <c i="9" r="F67" s="1"/>
  <c i="21" r="E170"/>
  <c i="9" r="E67" s="1"/>
  <c i="21" r="D170"/>
  <c i="9" r="D67" s="1"/>
  <c i="21" r="C170"/>
  <c i="9" r="C67" s="1"/>
  <c i="21" r="B170"/>
  <c i="9" r="B67" s="1"/>
  <c i="21" r="H169"/>
  <c i="9" r="H66" s="1"/>
  <c i="21" r="G169"/>
  <c i="9" r="G66" s="1"/>
  <c i="21" r="F169"/>
  <c i="9" r="F66" s="1"/>
  <c i="21" r="E169"/>
  <c i="9" r="E66" s="1"/>
  <c i="21" r="D169"/>
  <c i="9" r="D66" s="1"/>
  <c i="21" r="C169"/>
  <c i="9" r="C66" s="1"/>
  <c i="21" r="B169"/>
  <c i="9" r="B66" s="1"/>
  <c i="21" r="H168"/>
  <c i="9" r="H65" s="1"/>
  <c i="21" r="G168"/>
  <c i="9" r="G65" s="1"/>
  <c i="21" r="F168"/>
  <c i="9" r="F65" s="1"/>
  <c i="21" r="E168"/>
  <c i="9" r="E65" s="1"/>
  <c i="21" r="D168"/>
  <c i="9" r="D65" s="1"/>
  <c i="21" r="C168"/>
  <c i="9" r="C65" s="1"/>
  <c i="21" r="B168"/>
  <c i="9" r="B65" s="1"/>
  <c i="21" r="H164"/>
  <c i="9" r="H41" s="1"/>
  <c i="21" r="G164"/>
  <c i="9" r="G41" s="1"/>
  <c i="21" r="F164"/>
  <c i="9" r="F41" s="1"/>
  <c i="21" r="E164"/>
  <c i="9" r="E41" s="1"/>
  <c i="21" r="D164"/>
  <c i="9" r="D41" s="1"/>
  <c i="21" r="C164"/>
  <c i="9" r="C41" s="1"/>
  <c i="21" r="B164"/>
  <c i="9" r="B41" s="1"/>
  <c i="21" r="H163"/>
  <c i="9" r="H40" s="1"/>
  <c i="21" r="G163"/>
  <c i="9" r="G40" s="1"/>
  <c i="21" r="F163"/>
  <c i="9" r="F40" s="1"/>
  <c i="21" r="E163"/>
  <c i="9" r="E40" s="1"/>
  <c i="21" r="D163"/>
  <c i="9" r="D40" s="1"/>
  <c i="21" r="C163"/>
  <c i="9" r="C40" s="1"/>
  <c i="21" r="B163"/>
  <c i="9" r="B40" s="1"/>
  <c i="21" r="H162"/>
  <c i="9" r="H39" s="1"/>
  <c i="21" r="G162"/>
  <c i="9" r="G39" s="1"/>
  <c i="21" r="F162"/>
  <c i="9" r="F39" s="1"/>
  <c i="21" r="E162"/>
  <c i="9" r="E39" s="1"/>
  <c i="21" r="D162"/>
  <c i="9" r="D39" s="1"/>
  <c i="21" r="C162"/>
  <c i="9" r="C39" s="1"/>
  <c i="21" r="B162"/>
  <c i="9" r="B39" s="1"/>
  <c i="21" r="H161"/>
  <c i="9" r="H38" s="1"/>
  <c i="21" r="G161"/>
  <c i="9" r="G38" s="1"/>
  <c i="21" r="F161"/>
  <c i="9" r="F38" s="1"/>
  <c i="21" r="E161"/>
  <c i="9" r="E38" s="1"/>
  <c i="21" r="D161"/>
  <c i="9" r="D38" s="1"/>
  <c i="21" r="C161"/>
  <c i="9" r="C38" s="1"/>
  <c i="21" r="B161"/>
  <c i="9" r="B38" s="1"/>
  <c i="21" r="H160"/>
  <c i="9" r="H37" s="1"/>
  <c i="21" r="G160"/>
  <c i="9" r="G37" s="1"/>
  <c i="21" r="F160"/>
  <c i="9" r="F37" s="1"/>
  <c i="21" r="E160"/>
  <c i="9" r="E37" s="1"/>
  <c i="21" r="D160"/>
  <c i="9" r="D37" s="1"/>
  <c i="21" r="C160"/>
  <c i="9" r="C37" s="1"/>
  <c i="21" r="B160"/>
  <c i="9" r="B37" s="1"/>
  <c i="21" r="H159"/>
  <c i="9" r="H36" s="1"/>
  <c i="21" r="G159"/>
  <c i="9" r="G36" s="1"/>
  <c i="21" r="F159"/>
  <c i="9" r="F36" s="1"/>
  <c i="21" r="E159"/>
  <c i="9" r="E36" s="1"/>
  <c i="21" r="D159"/>
  <c i="9" r="D36" s="1"/>
  <c i="21" r="C159"/>
  <c i="9" r="C36" s="1"/>
  <c i="21" r="B159"/>
  <c i="9" r="B36" s="1"/>
  <c i="21" r="H158"/>
  <c i="9" r="H35" s="1"/>
  <c i="21" r="G158"/>
  <c i="9" r="G35" s="1"/>
  <c i="21" r="F158"/>
  <c i="9" r="F35" s="1"/>
  <c i="21" r="E158"/>
  <c i="9" r="E35" s="1"/>
  <c i="21" r="D158"/>
  <c i="9" r="D35" s="1"/>
  <c i="21" r="C158"/>
  <c i="9" r="C35" s="1"/>
  <c i="21" r="B158"/>
  <c i="9" r="B35" s="1"/>
  <c i="21" r="H154"/>
  <c i="9" r="H11" s="1"/>
  <c i="21" r="G154"/>
  <c i="9" r="G11" s="1"/>
  <c i="21" r="F154"/>
  <c i="9" r="F11" s="1"/>
  <c i="21" r="E154"/>
  <c i="9" r="E11" s="1"/>
  <c i="21" r="D154"/>
  <c i="9" r="D11" s="1"/>
  <c i="21" r="C154"/>
  <c i="9" r="C11" s="1"/>
  <c i="21" r="B154"/>
  <c i="9" r="B11" s="1"/>
  <c i="21" r="H153"/>
  <c i="9" r="H10" s="1"/>
  <c i="21" r="G153"/>
  <c i="9" r="G10" s="1"/>
  <c i="21" r="F153"/>
  <c i="9" r="F10" s="1"/>
  <c i="21" r="E153"/>
  <c i="9" r="E10" s="1"/>
  <c i="21" r="D153"/>
  <c i="9" r="D10" s="1"/>
  <c i="21" r="C153"/>
  <c i="9" r="C10" s="1"/>
  <c i="21" r="B153"/>
  <c i="9" r="B10" s="1"/>
  <c i="21" r="H152"/>
  <c i="9" r="H9" s="1"/>
  <c i="21" r="G152"/>
  <c i="9" r="G9" s="1"/>
  <c i="21" r="F152"/>
  <c i="9" r="F9" s="1"/>
  <c i="21" r="E152"/>
  <c i="9" r="E9" s="1"/>
  <c i="21" r="D152"/>
  <c i="9" r="D9" s="1"/>
  <c i="21" r="C152"/>
  <c i="9" r="C9" s="1"/>
  <c i="21" r="B152"/>
  <c i="9" r="B9" s="1"/>
  <c i="21" r="H151"/>
  <c i="9" r="H8" s="1"/>
  <c i="21" r="G151"/>
  <c i="9" r="G8" s="1"/>
  <c i="21" r="F151"/>
  <c i="9" r="F8" s="1"/>
  <c i="21" r="E151"/>
  <c i="9" r="E8" s="1"/>
  <c i="21" r="D151"/>
  <c i="9" r="D8" s="1"/>
  <c i="21" r="C151"/>
  <c i="9" r="C8" s="1"/>
  <c i="21" r="B151"/>
  <c i="9" r="B8" s="1"/>
  <c i="21" r="H150"/>
  <c i="9" r="H7" s="1"/>
  <c i="21" r="G150"/>
  <c i="9" r="G7" s="1"/>
  <c i="21" r="F150"/>
  <c i="9" r="F7" s="1"/>
  <c i="21" r="E150"/>
  <c i="9" r="E7" s="1"/>
  <c i="21" r="D150"/>
  <c i="9" r="D7" s="1"/>
  <c i="21" r="C150"/>
  <c i="9" r="C7" s="1"/>
  <c i="21" r="B150"/>
  <c i="9" r="B7" s="1"/>
  <c i="21" r="H149"/>
  <c i="9" r="H6" s="1"/>
  <c i="21" r="G149"/>
  <c i="9" r="G6" s="1"/>
  <c i="21" r="F149"/>
  <c i="9" r="F6" s="1"/>
  <c i="21" r="E149"/>
  <c i="9" r="E6" s="1"/>
  <c i="21" r="D149"/>
  <c i="9" r="D6" s="1"/>
  <c i="21" r="C149"/>
  <c i="9" r="C6" s="1"/>
  <c i="21" r="B149"/>
  <c i="9" r="B6" s="1"/>
  <c i="21" r="H148"/>
  <c i="9" r="H5" s="1"/>
  <c i="21" r="G148"/>
  <c i="9" r="G5" s="1"/>
  <c i="21" r="F148"/>
  <c i="9" r="F5" s="1"/>
  <c i="21" r="E148"/>
  <c i="9" r="E5" s="1"/>
  <c i="21" r="D148"/>
  <c i="9" r="D5" s="1"/>
  <c i="21" r="C148"/>
  <c i="9" r="C5" s="1"/>
  <c i="21" r="B148"/>
  <c i="9" r="B5" s="1"/>
  <c i="21" r="C136"/>
  <c i="21" r="B136"/>
  <c i="21" r="D132"/>
  <c i="21" r="D131"/>
  <c i="21" r="D130"/>
  <c i="21" r="C129"/>
  <c i="21" r="B129"/>
  <c i="21" r="J125"/>
  <c i="21" r="I125"/>
  <c i="21" r="H125"/>
  <c i="21" r="G125"/>
  <c i="21" r="F125"/>
  <c i="21" r="E125"/>
  <c i="21" r="D125"/>
  <c i="21" r="C125"/>
  <c i="21" r="B125"/>
  <c i="21" r="J124"/>
  <c i="21" r="I124"/>
  <c i="21" r="H124"/>
  <c i="21" r="G124"/>
  <c i="21" r="F124"/>
  <c i="21" r="E124"/>
  <c i="21" r="D124"/>
  <c i="21" r="C124"/>
  <c i="21" r="B124"/>
  <c i="21" r="J123"/>
  <c i="21" r="I123"/>
  <c i="21" r="H123"/>
  <c i="21" r="G123"/>
  <c i="21" r="F123"/>
  <c i="21" r="E123"/>
  <c i="21" r="D123"/>
  <c i="21" r="C123"/>
  <c i="21" r="B123"/>
  <c i="21" r="J122"/>
  <c i="21" r="I122"/>
  <c i="21" r="H122"/>
  <c i="21" r="G122"/>
  <c i="21" r="F122"/>
  <c i="21" r="E122"/>
  <c i="21" r="D122"/>
  <c i="21" r="C122"/>
  <c i="21" r="B122"/>
  <c i="21" r="J118"/>
  <c i="21" r="I118"/>
  <c i="21" r="H118"/>
  <c i="21" r="G118"/>
  <c i="21" r="F118"/>
  <c i="21" r="E118"/>
  <c i="21" r="D118"/>
  <c i="21" r="C118"/>
  <c i="21" r="B118"/>
  <c i="21" r="J117"/>
  <c i="21" r="I117"/>
  <c i="21" r="H117"/>
  <c i="21" r="G117"/>
  <c i="21" r="F117"/>
  <c i="21" r="E117"/>
  <c i="21" r="D117"/>
  <c i="21" r="C117"/>
  <c i="21" r="B117"/>
  <c i="21" r="J116"/>
  <c i="21" r="I116"/>
  <c i="21" r="H116"/>
  <c i="21" r="G116"/>
  <c i="21" r="F116"/>
  <c i="21" r="E116"/>
  <c i="21" r="D116"/>
  <c i="21" r="C116"/>
  <c i="21" r="B116"/>
  <c i="21" r="J115"/>
  <c i="21" r="I115"/>
  <c i="21" r="H115"/>
  <c i="21" r="G115"/>
  <c i="21" r="F115"/>
  <c i="21" r="E115"/>
  <c i="21" r="D115"/>
  <c i="21" r="C115"/>
  <c i="21" r="B115"/>
  <c i="21" r="J111"/>
  <c i="21" r="I111"/>
  <c i="21" r="H111"/>
  <c i="21" r="G111"/>
  <c i="21" r="F111"/>
  <c i="21" r="E111"/>
  <c i="21" r="D111"/>
  <c i="21" r="C111"/>
  <c i="21" r="B111"/>
  <c i="21" r="J110"/>
  <c i="21" r="I110"/>
  <c i="21" r="H110"/>
  <c i="21" r="G110"/>
  <c i="21" r="F110"/>
  <c i="21" r="E110"/>
  <c i="21" r="D110"/>
  <c i="21" r="C110"/>
  <c i="21" r="B110"/>
  <c i="21" r="J109"/>
  <c i="21" r="I109"/>
  <c i="21" r="H109"/>
  <c i="21" r="G109"/>
  <c i="21" r="F109"/>
  <c i="21" r="E109"/>
  <c i="21" r="D109"/>
  <c i="21" r="C109"/>
  <c i="21" r="B109"/>
  <c i="21" r="J108"/>
  <c i="21" r="I108"/>
  <c i="21" r="H108"/>
  <c i="21" r="G108"/>
  <c i="21" r="F108"/>
  <c i="21" r="E108"/>
  <c i="21" r="D108"/>
  <c i="21" r="C108"/>
  <c i="21" r="B108"/>
  <c i="21" r="J104"/>
  <c i="21" r="I104"/>
  <c i="21" r="H104"/>
  <c i="21" r="G104"/>
  <c i="21" r="F104"/>
  <c i="21" r="E104"/>
  <c i="21" r="D104"/>
  <c i="21" r="C104"/>
  <c i="21" r="B104"/>
  <c i="21" r="J103"/>
  <c i="21" r="I103"/>
  <c i="21" r="H103"/>
  <c i="21" r="G103"/>
  <c i="21" r="F103"/>
  <c i="21" r="E103"/>
  <c i="21" r="D103"/>
  <c i="21" r="C103"/>
  <c i="21" r="B103"/>
  <c i="21" r="J102"/>
  <c i="21" r="I102"/>
  <c i="21" r="H102"/>
  <c i="21" r="G102"/>
  <c i="21" r="F102"/>
  <c i="21" r="E102"/>
  <c i="21" r="D102"/>
  <c i="21" r="C102"/>
  <c i="21" r="B102"/>
  <c i="21" r="J101"/>
  <c i="21" r="I101"/>
  <c i="21" r="H101"/>
  <c i="21" r="G101"/>
  <c i="21" r="F101"/>
  <c i="21" r="E101"/>
  <c i="21" r="D101"/>
  <c i="21" r="C101"/>
  <c i="21" r="B101"/>
  <c i="21" r="J97"/>
  <c i="21" r="I97"/>
  <c i="21" r="H97"/>
  <c i="21" r="G97"/>
  <c i="21" r="F97"/>
  <c i="21" r="E97"/>
  <c i="21" r="D97"/>
  <c i="21" r="C97"/>
  <c i="21" r="B97"/>
  <c i="21" r="J96"/>
  <c i="21" r="I96"/>
  <c i="21" r="H96"/>
  <c i="21" r="G96"/>
  <c i="21" r="F96"/>
  <c i="21" r="E96"/>
  <c i="21" r="D96"/>
  <c i="21" r="C96"/>
  <c i="21" r="B96"/>
  <c i="21" r="J95"/>
  <c i="21" r="I95"/>
  <c i="21" r="H95"/>
  <c i="21" r="G95"/>
  <c i="21" r="F95"/>
  <c i="21" r="E95"/>
  <c i="21" r="D95"/>
  <c i="21" r="C95"/>
  <c i="21" r="B95"/>
  <c i="21" r="J94"/>
  <c i="21" r="I94"/>
  <c i="21" r="H94"/>
  <c i="21" r="G94"/>
  <c i="21" r="F94"/>
  <c i="21" r="E94"/>
  <c i="21" r="D94"/>
  <c i="21" r="C94"/>
  <c i="21" r="B94"/>
  <c i="21" r="J90"/>
  <c i="21" r="I90"/>
  <c i="21" r="H90"/>
  <c i="21" r="G90"/>
  <c i="21" r="F90"/>
  <c i="21" r="E90"/>
  <c i="21" r="D90"/>
  <c i="21" r="C90"/>
  <c i="21" r="B90"/>
  <c i="21" r="J89"/>
  <c i="21" r="I89"/>
  <c i="21" r="H89"/>
  <c i="21" r="G89"/>
  <c i="21" r="F89"/>
  <c i="21" r="E89"/>
  <c i="21" r="D89"/>
  <c i="21" r="C89"/>
  <c i="21" r="B89"/>
  <c i="21" r="J88"/>
  <c i="21" r="I88"/>
  <c i="21" r="H88"/>
  <c i="21" r="G88"/>
  <c i="21" r="F88"/>
  <c i="21" r="E88"/>
  <c i="21" r="D88"/>
  <c i="21" r="C88"/>
  <c i="21" r="B88"/>
  <c i="21" r="J87"/>
  <c i="21" r="I87"/>
  <c i="21" r="H87"/>
  <c i="21" r="G87"/>
  <c i="21" r="F87"/>
  <c i="21" r="E87"/>
  <c i="21" r="D87"/>
  <c i="21" r="C87"/>
  <c i="21" r="B87"/>
  <c i="21" r="J83"/>
  <c i="21" r="I83"/>
  <c i="21" r="H83"/>
  <c i="21" r="G83"/>
  <c i="21" r="F83"/>
  <c i="21" r="E83"/>
  <c i="21" r="D83"/>
  <c i="21" r="C83"/>
  <c i="21" r="B83"/>
  <c i="21" r="J82"/>
  <c i="21" r="I82"/>
  <c i="21" r="H82"/>
  <c i="21" r="G82"/>
  <c i="21" r="F82"/>
  <c i="21" r="E82"/>
  <c i="21" r="D82"/>
  <c i="21" r="C82"/>
  <c i="21" r="B82"/>
  <c i="21" r="J81"/>
  <c i="21" r="I81"/>
  <c i="21" r="H81"/>
  <c i="21" r="G81"/>
  <c i="21" r="F81"/>
  <c i="21" r="E81"/>
  <c i="21" r="D81"/>
  <c i="21" r="C81"/>
  <c i="21" r="B81"/>
  <c i="21" r="J80"/>
  <c i="21" r="I80"/>
  <c i="21" r="H80"/>
  <c i="21" r="G80"/>
  <c i="21" r="F80"/>
  <c i="21" r="E80"/>
  <c i="21" r="D80"/>
  <c i="21" r="C80"/>
  <c i="21" r="B80"/>
  <c i="21" r="J74"/>
  <c i="21" r="I74"/>
  <c i="21" r="H74"/>
  <c i="21" r="G74"/>
  <c i="21" r="F74"/>
  <c i="21" r="E74"/>
  <c i="21" r="D74"/>
  <c i="21" r="C74"/>
  <c i="21" r="B74"/>
  <c i="21" r="J73"/>
  <c i="21" r="I73"/>
  <c i="21" r="H73"/>
  <c i="21" r="G73"/>
  <c i="21" r="F73"/>
  <c i="21" r="E73"/>
  <c i="21" r="D73"/>
  <c i="21" r="C73"/>
  <c i="21" r="B73"/>
  <c i="21" r="J72"/>
  <c i="21" r="I72"/>
  <c i="21" r="H72"/>
  <c i="21" r="G72"/>
  <c i="21" r="F72"/>
  <c i="21" r="E72"/>
  <c i="21" r="D72"/>
  <c i="21" r="C72"/>
  <c i="21" r="B72"/>
  <c i="21" r="J71"/>
  <c i="21" r="I71"/>
  <c i="21" r="H71"/>
  <c i="21" r="G71"/>
  <c i="21" r="F71"/>
  <c i="21" r="E71"/>
  <c i="21" r="D71"/>
  <c i="21" r="C71"/>
  <c i="21" r="B71"/>
  <c i="21" r="J67"/>
  <c i="21" r="I67"/>
  <c i="21" r="H67"/>
  <c i="21" r="G67"/>
  <c i="21" r="F67"/>
  <c i="21" r="E67"/>
  <c i="21" r="D67"/>
  <c i="21" r="C67"/>
  <c i="21" r="B67"/>
  <c i="21" r="J66"/>
  <c i="21" r="I66"/>
  <c i="21" r="H66"/>
  <c i="21" r="G66"/>
  <c i="21" r="F66"/>
  <c i="21" r="E66"/>
  <c i="21" r="D66"/>
  <c i="21" r="C66"/>
  <c i="21" r="B66"/>
  <c i="21" r="J65"/>
  <c i="21" r="I65"/>
  <c i="21" r="H65"/>
  <c i="21" r="G65"/>
  <c i="21" r="F65"/>
  <c i="21" r="E65"/>
  <c i="21" r="D65"/>
  <c i="21" r="C65"/>
  <c i="21" r="B65"/>
  <c i="21" r="J64"/>
  <c i="21" r="I64"/>
  <c i="21" r="H64"/>
  <c i="21" r="G64"/>
  <c i="21" r="F64"/>
  <c i="21" r="E64"/>
  <c i="21" r="D64"/>
  <c i="21" r="C64"/>
  <c i="21" r="B64"/>
  <c i="21" r="J60"/>
  <c i="21" r="I60"/>
  <c i="21" r="H60"/>
  <c i="21" r="G60"/>
  <c i="21" r="F60"/>
  <c i="21" r="E60"/>
  <c i="21" r="D60"/>
  <c i="21" r="C60"/>
  <c i="21" r="B60"/>
  <c i="21" r="J59"/>
  <c i="21" r="I59"/>
  <c i="21" r="H59"/>
  <c i="21" r="G59"/>
  <c i="21" r="F59"/>
  <c i="21" r="E59"/>
  <c i="21" r="D59"/>
  <c i="21" r="C59"/>
  <c i="21" r="B59"/>
  <c i="21" r="J58"/>
  <c i="21" r="I58"/>
  <c i="21" r="H58"/>
  <c i="21" r="G58"/>
  <c i="21" r="F58"/>
  <c i="21" r="E58"/>
  <c i="21" r="D58"/>
  <c i="21" r="C58"/>
  <c i="21" r="B58"/>
  <c i="21" r="J57"/>
  <c i="21" r="I57"/>
  <c i="21" r="H57"/>
  <c i="21" r="G57"/>
  <c i="21" r="F57"/>
  <c i="21" r="E57"/>
  <c i="21" r="D57"/>
  <c i="21" r="C57"/>
  <c i="21" r="B57"/>
  <c i="21" r="J53"/>
  <c i="21" r="I53"/>
  <c i="21" r="H53"/>
  <c i="21" r="G53"/>
  <c i="21" r="F53"/>
  <c i="21" r="E53"/>
  <c i="21" r="D53"/>
  <c i="21" r="C53"/>
  <c i="21" r="B53"/>
  <c i="21" r="J52"/>
  <c i="21" r="I52"/>
  <c i="21" r="H52"/>
  <c i="21" r="G52"/>
  <c i="21" r="F52"/>
  <c i="21" r="E52"/>
  <c i="21" r="D52"/>
  <c i="21" r="C52"/>
  <c i="21" r="B52"/>
  <c i="21" r="J51"/>
  <c i="21" r="I51"/>
  <c i="21" r="H51"/>
  <c i="21" r="G51"/>
  <c i="21" r="F51"/>
  <c i="21" r="E51"/>
  <c i="21" r="D51"/>
  <c i="21" r="C51"/>
  <c i="21" r="B51"/>
  <c i="21" r="J50"/>
  <c i="21" r="I50"/>
  <c i="21" r="H50"/>
  <c i="21" r="G50"/>
  <c i="21" r="F50"/>
  <c i="21" r="E50"/>
  <c i="21" r="D50"/>
  <c i="21" r="C50"/>
  <c i="21" r="B50"/>
  <c i="21" r="J46"/>
  <c i="21" r="I46"/>
  <c i="21" r="H46"/>
  <c i="21" r="G46"/>
  <c i="21" r="F46"/>
  <c i="21" r="E46"/>
  <c i="21" r="D46"/>
  <c i="21" r="C46"/>
  <c i="21" r="B46"/>
  <c i="21" r="J45"/>
  <c i="21" r="I45"/>
  <c i="21" r="H45"/>
  <c i="21" r="G45"/>
  <c i="21" r="F45"/>
  <c i="21" r="E45"/>
  <c i="21" r="D45"/>
  <c i="21" r="C45"/>
  <c i="21" r="B45"/>
  <c i="21" r="J44"/>
  <c i="21" r="I44"/>
  <c i="21" r="H44"/>
  <c i="21" r="G44"/>
  <c i="21" r="F44"/>
  <c i="21" r="E44"/>
  <c i="21" r="D44"/>
  <c i="21" r="C44"/>
  <c i="21" r="B44"/>
  <c i="21" r="J43"/>
  <c i="21" r="I43"/>
  <c i="21" r="H43"/>
  <c i="21" r="G43"/>
  <c i="21" r="F43"/>
  <c i="21" r="E43"/>
  <c i="21" r="D43"/>
  <c i="21" r="C43"/>
  <c i="21" r="B43"/>
  <c i="21" r="J39"/>
  <c i="21" r="I39"/>
  <c i="21" r="H39"/>
  <c i="21" r="G39"/>
  <c i="21" r="F39"/>
  <c i="21" r="E39"/>
  <c i="21" r="D39"/>
  <c i="21" r="C39"/>
  <c i="21" r="B39"/>
  <c i="21" r="J38"/>
  <c i="21" r="I38"/>
  <c i="21" r="H38"/>
  <c i="21" r="G38"/>
  <c i="21" r="F38"/>
  <c i="21" r="E38"/>
  <c i="21" r="D38"/>
  <c i="21" r="C38"/>
  <c i="21" r="B38"/>
  <c i="21" r="J37"/>
  <c i="21" r="I37"/>
  <c i="21" r="H37"/>
  <c i="21" r="G37"/>
  <c i="21" r="F37"/>
  <c i="21" r="E37"/>
  <c i="21" r="D37"/>
  <c i="21" r="C37"/>
  <c i="21" r="B37"/>
  <c i="21" r="J36"/>
  <c i="21" r="I36"/>
  <c i="21" r="H36"/>
  <c i="21" r="G36"/>
  <c i="21" r="F36"/>
  <c i="21" r="E36"/>
  <c i="21" r="D36"/>
  <c i="21" r="C36"/>
  <c i="21" r="B36"/>
  <c i="21" r="J32"/>
  <c i="21" r="I32"/>
  <c i="21" r="H32"/>
  <c i="21" r="G32"/>
  <c i="21" r="F32"/>
  <c i="21" r="E32"/>
  <c i="21" r="D32"/>
  <c i="21" r="C32"/>
  <c i="21" r="B32"/>
  <c i="21" r="J31"/>
  <c i="21" r="I31"/>
  <c i="21" r="H31"/>
  <c i="21" r="G31"/>
  <c i="21" r="F31"/>
  <c i="21" r="E31"/>
  <c i="21" r="D31"/>
  <c i="21" r="C31"/>
  <c i="21" r="B31"/>
  <c i="21" r="J30"/>
  <c i="21" r="I30"/>
  <c i="21" r="H30"/>
  <c i="21" r="G30"/>
  <c i="21" r="F30"/>
  <c i="21" r="E30"/>
  <c i="21" r="D30"/>
  <c i="21" r="C30"/>
  <c i="21" r="B30"/>
  <c i="21" r="J29"/>
  <c i="21" r="I29"/>
  <c i="21" r="H29"/>
  <c i="21" r="G29"/>
  <c i="21" r="F29"/>
  <c i="21" r="E29"/>
  <c i="21" r="D29"/>
  <c i="21" r="C29"/>
  <c i="21" r="B29"/>
  <c i="21" r="J23"/>
  <c i="21" r="I23"/>
  <c i="21" r="H23"/>
  <c i="21" r="G23"/>
  <c i="21" r="F23"/>
  <c i="21" r="E23"/>
  <c i="21" r="D23"/>
  <c i="21" r="C23"/>
  <c i="21" r="B23"/>
  <c i="21" r="J22"/>
  <c i="21" r="I22"/>
  <c i="21" r="H22"/>
  <c i="21" r="G22"/>
  <c i="21" r="F22"/>
  <c i="21" r="E22"/>
  <c i="21" r="D22"/>
  <c i="21" r="C22"/>
  <c i="21" r="B22"/>
  <c i="21" r="J21"/>
  <c i="21" r="I21"/>
  <c i="21" r="H21"/>
  <c i="21" r="G21"/>
  <c i="21" r="F21"/>
  <c i="21" r="E21"/>
  <c i="21" r="D21"/>
  <c i="21" r="C21"/>
  <c i="21" r="B21"/>
  <c i="21" r="J20"/>
  <c i="21" r="I20"/>
  <c i="21" r="H20"/>
  <c i="21" r="G20"/>
  <c i="21" r="F20"/>
  <c i="21" r="E20"/>
  <c i="21" r="D20"/>
  <c i="21" r="C20"/>
  <c i="21" r="B20"/>
  <c i="21" r="J19"/>
  <c i="21" r="I19"/>
  <c i="21" r="H19"/>
  <c i="21" r="G19"/>
  <c i="21" r="F19"/>
  <c i="21" r="E19"/>
  <c i="21" r="D19"/>
  <c i="21" r="C19"/>
  <c i="21" r="B19"/>
  <c i="21" r="J18"/>
  <c i="21" r="I18"/>
  <c i="21" r="H18"/>
  <c i="21" r="G18"/>
  <c i="21" r="F18"/>
  <c i="21" r="E18"/>
  <c i="21" r="D18"/>
  <c i="21" r="C18"/>
  <c i="21" r="B18"/>
  <c i="21" r="J17"/>
  <c i="21" r="I17"/>
  <c i="21" r="H17"/>
  <c i="21" r="G17"/>
  <c i="21" r="F17"/>
  <c i="21" r="E17"/>
  <c i="21" r="D17"/>
  <c i="21" r="C17"/>
  <c i="21" r="B17"/>
  <c i="21" r="J16"/>
  <c i="21" r="I16"/>
  <c i="21" r="H16"/>
  <c i="21" r="G16"/>
  <c i="21" r="F16"/>
  <c i="21" r="E16"/>
  <c i="21" r="D16"/>
  <c i="21" r="C16"/>
  <c i="21" r="B16"/>
  <c i="21" r="J15"/>
  <c i="21" r="I15"/>
  <c i="21" r="H15"/>
  <c i="21" r="G15"/>
  <c i="21" r="F15"/>
  <c i="21" r="E15"/>
  <c i="21" r="D15"/>
  <c i="21" r="C15"/>
  <c i="21" r="B15"/>
  <c i="21" r="J14"/>
  <c i="21" r="I14"/>
  <c i="21" r="H14"/>
  <c i="21" r="G14"/>
  <c i="21" r="F14"/>
  <c i="21" r="E14"/>
  <c i="21" r="D14"/>
  <c i="21" r="C14"/>
  <c i="21" r="B14"/>
  <c i="21" r="J13"/>
  <c i="21" r="I13"/>
  <c i="21" r="H13"/>
  <c i="21" r="G13"/>
  <c i="21" r="F13"/>
  <c i="21" r="E13"/>
  <c i="21" r="D13"/>
  <c i="21" r="C13"/>
  <c i="21" r="B13"/>
  <c i="21" r="J12"/>
  <c i="21" r="I12"/>
  <c i="21" r="H12"/>
  <c i="21" r="G12"/>
  <c i="21" r="F12"/>
  <c i="21" r="E12"/>
  <c i="21" r="D12"/>
  <c i="21" r="C12"/>
  <c i="21" r="B12"/>
  <c i="21" r="J11"/>
  <c i="21" r="I11"/>
  <c i="21" r="H11"/>
  <c i="21" r="G11"/>
  <c i="21" r="F11"/>
  <c i="21" r="E11"/>
  <c i="21" r="D11"/>
  <c i="21" r="C11"/>
  <c i="21" r="B11"/>
  <c i="21" r="J7"/>
  <c i="21" r="I7"/>
  <c i="21" r="H7"/>
  <c i="21" r="G7"/>
  <c i="21" r="F7"/>
  <c i="21" r="E7"/>
  <c i="21" r="D7"/>
  <c i="21" r="C7"/>
  <c i="21" r="B7"/>
  <c i="21" r="J6"/>
  <c i="21" r="I6"/>
  <c i="21" r="H6"/>
  <c i="21" r="G6"/>
  <c i="21" r="F6"/>
  <c i="21" r="E6"/>
  <c i="21" r="D6"/>
  <c i="21" r="C6"/>
  <c i="21" r="B6"/>
  <c i="21" r="J5"/>
  <c i="21" r="I5"/>
  <c i="21" r="H5"/>
  <c i="21" r="G5"/>
  <c i="21" r="F5"/>
  <c i="21" r="E5"/>
  <c i="21" r="D5"/>
  <c i="21" r="C5"/>
  <c i="21" r="B5"/>
  <c i="21" r="J4"/>
  <c i="21" r="I4"/>
  <c i="21" r="H4"/>
  <c i="21" r="G4"/>
  <c i="21" r="F4"/>
  <c i="21" r="E4"/>
  <c i="21" r="D4"/>
  <c i="21" r="C4"/>
  <c i="21" r="B4"/>
  <c i="20" r="C130"/>
  <c i="20" r="C131"/>
  <c i="20" r="C132"/>
  <c i="20" r="C129"/>
  <c i="20" r="B130"/>
  <c i="20" r="B131"/>
  <c i="20" r="B132"/>
  <c i="20" r="B129"/>
  <c i="20" r="D137"/>
  <c i="24" r="D144" s="1"/>
  <c i="20" r="D138"/>
  <c i="24" r="D145" s="1"/>
  <c i="20" r="D139"/>
  <c i="24" r="D146" s="1"/>
  <c i="20" r="D140"/>
  <c i="24" r="D147" s="1"/>
  <c i="20" r="D141"/>
  <c i="24" r="D148" s="1"/>
  <c i="20" r="D142"/>
  <c i="24" r="D149" s="1"/>
  <c i="20" r="D136"/>
  <c i="24" r="D143" s="1"/>
  <c i="20" r="D130"/>
  <c i="20" r="D131"/>
  <c i="20" r="D132"/>
  <c i="20" r="D129"/>
  <c i="20" r="J123"/>
  <c i="20" r="J124"/>
  <c i="20" r="J125"/>
  <c i="20" r="J122"/>
  <c i="20" r="J116"/>
  <c i="20" r="J117"/>
  <c i="20" r="J118"/>
  <c i="20" r="J115"/>
  <c i="20" r="J109"/>
  <c i="20" r="J110"/>
  <c i="20" r="J111"/>
  <c i="20" r="J108"/>
  <c i="20" r="J102"/>
  <c i="20" r="J103"/>
  <c i="20" r="J104"/>
  <c i="20" r="J101"/>
  <c i="20" r="J95"/>
  <c i="20" r="J96"/>
  <c i="20" r="J97"/>
  <c i="20" r="J94"/>
  <c i="20" r="J88"/>
  <c i="20" r="J89"/>
  <c i="20" r="J90"/>
  <c i="20" r="J87"/>
  <c i="20" r="J81"/>
  <c i="20" r="J82"/>
  <c i="20" r="J83"/>
  <c i="20" r="J80"/>
  <c i="20" r="J72"/>
  <c i="20" r="J73"/>
  <c i="20" r="J74"/>
  <c i="20" r="J71"/>
  <c i="20" r="J65"/>
  <c i="20" r="J66"/>
  <c i="20" r="J67"/>
  <c i="20" r="J64"/>
  <c i="20" r="J58"/>
  <c i="20" r="J59"/>
  <c i="20" r="J60"/>
  <c i="20" r="J57"/>
  <c i="20" r="J51"/>
  <c i="20" r="J52"/>
  <c i="20" r="J53"/>
  <c i="20" r="J50"/>
  <c i="20" r="J44"/>
  <c i="20" r="J45"/>
  <c i="20" r="J46"/>
  <c i="20" r="J43"/>
  <c i="20" r="J37"/>
  <c i="20" r="J38"/>
  <c i="20" r="J39"/>
  <c i="20" r="J36"/>
  <c i="20" r="J29"/>
  <c i="20" r="J30"/>
  <c i="20" r="J31"/>
  <c i="20" r="J32"/>
  <c i="20" r="J12"/>
  <c i="20" r="J13"/>
  <c i="20" r="J14"/>
  <c i="20" r="J15"/>
  <c i="20" r="J16"/>
  <c i="20" r="J17"/>
  <c i="20" r="J18"/>
  <c i="20" r="J19"/>
  <c i="20" r="J20"/>
  <c i="20" r="J21"/>
  <c i="20" r="J22"/>
  <c i="20" r="J23"/>
  <c i="20" r="J11"/>
  <c i="20" r="J5"/>
  <c i="20" r="J6"/>
  <c i="20" r="J7"/>
  <c i="20" r="J4"/>
  <c i="20" r="B252"/>
  <c i="11" r="N101" s="1"/>
  <c i="20" r="C252"/>
  <c i="11" r="O101" s="1"/>
  <c i="10" r="AD40"/>
  <c i="10" r="AD41"/>
  <c i="10" r="AD42"/>
  <c i="10" r="AD43"/>
  <c i="10" r="AD44"/>
  <c i="10" r="AD45"/>
  <c i="10" r="AD46"/>
  <c i="10" r="AD47"/>
  <c i="10" r="AD50"/>
  <c i="10" r="R57"/>
  <c i="10" r="R58"/>
  <c i="10" r="R59"/>
  <c i="10" r="R60"/>
  <c i="10" r="R61"/>
  <c i="10" r="R62"/>
  <c i="10" r="R63"/>
  <c i="10" r="R64"/>
  <c i="10" r="R65"/>
  <c i="10" r="AD65" s="1"/>
  <c i="11" r="AD37"/>
  <c i="11" r="AD38"/>
  <c i="11" r="AD39"/>
  <c i="11" r="AD40"/>
  <c i="11" r="AD41"/>
  <c i="11" r="AD42"/>
  <c i="11" r="AD43"/>
  <c i="11" r="AD44"/>
  <c i="11" r="R46"/>
  <c i="11" r="R47" s="1"/>
  <c i="11" r="F47"/>
  <c i="11" r="F53"/>
  <c i="11" r="R53"/>
  <c i="11" r="F54"/>
  <c i="11" r="R54"/>
  <c i="11" r="F55"/>
  <c i="11" r="R55"/>
  <c i="11" r="F56"/>
  <c i="11" r="R56"/>
  <c i="11" r="F57"/>
  <c i="11" r="R57"/>
  <c i="11" r="F58"/>
  <c i="11" r="R58"/>
  <c i="11" r="F59"/>
  <c i="11" r="R59"/>
  <c i="11" r="F60"/>
  <c i="11" r="R60"/>
  <c i="12" r="AD39"/>
  <c i="12" r="AD40"/>
  <c i="12" r="AD41"/>
  <c i="12" r="AD42"/>
  <c i="12" r="AD43"/>
  <c i="12" r="AD44"/>
  <c i="12" r="AD45"/>
  <c i="12" r="AD46"/>
  <c i="12" r="AD47"/>
  <c i="12" r="R49"/>
  <c i="12" r="R50" s="1"/>
  <c i="12" r="F50"/>
  <c i="12" r="R56"/>
  <c i="12" r="R57"/>
  <c i="12" r="R58"/>
  <c i="12" r="R59"/>
  <c i="12" r="R60"/>
  <c i="12" r="R61"/>
  <c i="12" r="R62"/>
  <c i="12" r="R63"/>
  <c i="12" r="R64"/>
  <c i="20" r="B4"/>
  <c i="20" r="C4"/>
  <c i="20" r="D4"/>
  <c i="20" r="E4"/>
  <c i="20" r="F4"/>
  <c i="20" r="G4"/>
  <c i="20" r="H4"/>
  <c i="20" r="I4"/>
  <c i="20" r="B5"/>
  <c i="20" r="C5"/>
  <c i="20" r="D5"/>
  <c i="20" r="E5"/>
  <c i="20" r="F5"/>
  <c i="20" r="G5"/>
  <c i="20" r="H5"/>
  <c i="20" r="I5"/>
  <c i="20" r="B6"/>
  <c i="20" r="C6"/>
  <c i="20" r="D6"/>
  <c i="20" r="E6"/>
  <c i="20" r="F6"/>
  <c i="20" r="G6"/>
  <c i="20" r="H6"/>
  <c i="20" r="I6"/>
  <c i="20" r="B7"/>
  <c i="20" r="C7"/>
  <c i="20" r="D7"/>
  <c i="20" r="E7"/>
  <c i="20" r="F7"/>
  <c i="20" r="G7"/>
  <c i="20" r="H7"/>
  <c i="20" r="I7"/>
  <c i="20" r="B11"/>
  <c i="20" r="C11"/>
  <c i="20" r="D11"/>
  <c i="20" r="E11"/>
  <c i="20" r="F11"/>
  <c i="20" r="G11"/>
  <c i="20" r="H11"/>
  <c i="20" r="I11"/>
  <c i="20" r="B12"/>
  <c i="20" r="C12"/>
  <c i="20" r="D12"/>
  <c i="20" r="E12"/>
  <c i="20" r="F12"/>
  <c i="20" r="G12"/>
  <c i="20" r="H12"/>
  <c i="20" r="I12"/>
  <c i="20" r="B13"/>
  <c i="20" r="C13"/>
  <c i="20" r="D13"/>
  <c i="20" r="E13"/>
  <c i="20" r="F13"/>
  <c i="20" r="G13"/>
  <c i="20" r="H13"/>
  <c i="20" r="I13"/>
  <c i="20" r="B14"/>
  <c i="20" r="C14"/>
  <c i="20" r="D14"/>
  <c i="20" r="E14"/>
  <c i="20" r="F14"/>
  <c i="20" r="G14"/>
  <c i="20" r="H14"/>
  <c i="20" r="I14"/>
  <c i="20" r="B15"/>
  <c i="20" r="C15"/>
  <c i="20" r="D15"/>
  <c i="20" r="E15"/>
  <c i="20" r="F15"/>
  <c i="20" r="G15"/>
  <c i="20" r="H15"/>
  <c i="20" r="I15"/>
  <c i="20" r="B16"/>
  <c i="20" r="C16"/>
  <c i="20" r="D16"/>
  <c i="20" r="E16"/>
  <c i="20" r="F16"/>
  <c i="20" r="G16"/>
  <c i="20" r="H16"/>
  <c i="20" r="I16"/>
  <c i="20" r="B17"/>
  <c i="20" r="C17"/>
  <c i="20" r="D17"/>
  <c i="20" r="E17"/>
  <c i="20" r="F17"/>
  <c i="20" r="G17"/>
  <c i="20" r="H17"/>
  <c i="20" r="I17"/>
  <c i="20" r="B18"/>
  <c i="20" r="C18"/>
  <c i="20" r="D18"/>
  <c i="20" r="E18"/>
  <c i="20" r="F18"/>
  <c i="20" r="G18"/>
  <c i="20" r="H18"/>
  <c i="20" r="I18"/>
  <c i="20" r="B19"/>
  <c i="20" r="C19"/>
  <c i="20" r="D19"/>
  <c i="20" r="E19"/>
  <c i="20" r="F19"/>
  <c i="20" r="G19"/>
  <c i="20" r="H19"/>
  <c i="20" r="I19"/>
  <c i="20" r="B20"/>
  <c i="20" r="C20"/>
  <c i="20" r="D20"/>
  <c i="20" r="E20"/>
  <c i="20" r="F20"/>
  <c i="20" r="G20"/>
  <c i="20" r="H20"/>
  <c i="20" r="I20"/>
  <c i="20" r="B21"/>
  <c i="20" r="C21"/>
  <c i="20" r="D21"/>
  <c i="20" r="E21"/>
  <c i="20" r="F21"/>
  <c i="20" r="G21"/>
  <c i="20" r="H21"/>
  <c i="20" r="I21"/>
  <c i="20" r="B22"/>
  <c i="20" r="C22"/>
  <c i="20" r="D22"/>
  <c i="20" r="E22"/>
  <c i="20" r="F22"/>
  <c i="20" r="G22"/>
  <c i="20" r="H22"/>
  <c i="20" r="I22"/>
  <c i="20" r="B23"/>
  <c i="20" r="C23"/>
  <c i="20" r="D23"/>
  <c i="20" r="E23"/>
  <c i="20" r="F23"/>
  <c i="20" r="G23"/>
  <c i="20" r="H23"/>
  <c i="20" r="I23"/>
  <c i="20" r="B29"/>
  <c i="20" r="C29"/>
  <c i="20" r="D29"/>
  <c i="20" r="E29"/>
  <c i="20" r="F29"/>
  <c i="20" r="G29"/>
  <c i="20" r="H29"/>
  <c i="20" r="I29"/>
  <c i="20" r="B30"/>
  <c i="20" r="C30"/>
  <c i="20" r="D30"/>
  <c i="20" r="E30"/>
  <c i="20" r="F30"/>
  <c i="20" r="G30"/>
  <c i="20" r="H30"/>
  <c i="20" r="I30"/>
  <c i="20" r="B31"/>
  <c i="20" r="C31"/>
  <c i="20" r="D31"/>
  <c i="20" r="E31"/>
  <c i="20" r="F31"/>
  <c i="20" r="G31"/>
  <c i="20" r="H31"/>
  <c i="20" r="I31"/>
  <c i="20" r="B32"/>
  <c i="20" r="C32"/>
  <c i="20" r="D32"/>
  <c i="20" r="E32"/>
  <c i="20" r="F32"/>
  <c i="20" r="G32"/>
  <c i="20" r="H32"/>
  <c i="20" r="I32"/>
  <c i="20" r="B36"/>
  <c i="20" r="C36"/>
  <c i="20" r="D36"/>
  <c i="20" r="E36"/>
  <c i="20" r="F36"/>
  <c i="20" r="G36"/>
  <c i="20" r="H36"/>
  <c i="20" r="I36"/>
  <c i="20" r="B37"/>
  <c i="20" r="C37"/>
  <c i="20" r="D37"/>
  <c i="20" r="E37"/>
  <c i="20" r="F37"/>
  <c i="20" r="G37"/>
  <c i="20" r="H37"/>
  <c i="20" r="I37"/>
  <c i="20" r="B38"/>
  <c i="20" r="C38"/>
  <c i="20" r="D38"/>
  <c i="20" r="E38"/>
  <c i="20" r="F38"/>
  <c i="20" r="G38"/>
  <c i="20" r="H38"/>
  <c i="20" r="I38"/>
  <c i="20" r="B39"/>
  <c i="20" r="C39"/>
  <c i="20" r="D39"/>
  <c i="20" r="E39"/>
  <c i="20" r="F39"/>
  <c i="20" r="G39"/>
  <c i="20" r="H39"/>
  <c i="20" r="I39"/>
  <c i="20" r="B43"/>
  <c i="20" r="C43"/>
  <c i="20" r="D43"/>
  <c i="20" r="E43"/>
  <c i="20" r="F43"/>
  <c i="20" r="G43"/>
  <c i="20" r="H43"/>
  <c i="20" r="I43"/>
  <c i="20" r="B44"/>
  <c i="20" r="C44"/>
  <c i="20" r="D44"/>
  <c i="20" r="E44"/>
  <c i="20" r="F44"/>
  <c i="20" r="G44"/>
  <c i="20" r="H44"/>
  <c i="20" r="I44"/>
  <c i="20" r="B45"/>
  <c i="20" r="C45"/>
  <c i="20" r="D45"/>
  <c i="20" r="E45"/>
  <c i="20" r="F45"/>
  <c i="20" r="G45"/>
  <c i="20" r="H45"/>
  <c i="20" r="I45"/>
  <c i="20" r="B46"/>
  <c i="20" r="C46"/>
  <c i="20" r="D46"/>
  <c i="20" r="E46"/>
  <c i="20" r="F46"/>
  <c i="20" r="G46"/>
  <c i="20" r="H46"/>
  <c i="20" r="I46"/>
  <c i="20" r="B50"/>
  <c i="20" r="C50"/>
  <c i="20" r="D50"/>
  <c i="20" r="E50"/>
  <c i="20" r="F50"/>
  <c i="20" r="G50"/>
  <c i="20" r="H50"/>
  <c i="20" r="I50"/>
  <c i="20" r="B51"/>
  <c i="20" r="C51"/>
  <c i="20" r="D51"/>
  <c i="20" r="E51"/>
  <c i="20" r="F51"/>
  <c i="20" r="G51"/>
  <c i="20" r="H51"/>
  <c i="20" r="I51"/>
  <c i="20" r="B52"/>
  <c i="20" r="C52"/>
  <c i="20" r="D52"/>
  <c i="20" r="E52"/>
  <c i="20" r="F52"/>
  <c i="20" r="G52"/>
  <c i="20" r="H52"/>
  <c i="20" r="I52"/>
  <c i="20" r="B53"/>
  <c i="20" r="C53"/>
  <c i="20" r="D53"/>
  <c i="20" r="E53"/>
  <c i="20" r="F53"/>
  <c i="20" r="G53"/>
  <c i="20" r="H53"/>
  <c i="20" r="I53"/>
  <c i="20" r="B57"/>
  <c i="20" r="C57"/>
  <c i="20" r="D57"/>
  <c i="20" r="E57"/>
  <c i="20" r="F57"/>
  <c i="20" r="G57"/>
  <c i="20" r="H57"/>
  <c i="20" r="I57"/>
  <c i="20" r="B58"/>
  <c i="20" r="C58"/>
  <c i="20" r="D58"/>
  <c i="20" r="E58"/>
  <c i="20" r="F58"/>
  <c i="20" r="G58"/>
  <c i="20" r="H58"/>
  <c i="20" r="I58"/>
  <c i="20" r="B59"/>
  <c i="20" r="C59"/>
  <c i="20" r="D59"/>
  <c i="20" r="E59"/>
  <c i="20" r="F59"/>
  <c i="20" r="G59"/>
  <c i="20" r="H59"/>
  <c i="20" r="I59"/>
  <c i="20" r="B60"/>
  <c i="20" r="C60"/>
  <c i="20" r="D60"/>
  <c i="20" r="E60"/>
  <c i="20" r="F60"/>
  <c i="20" r="G60"/>
  <c i="20" r="H60"/>
  <c i="20" r="I60"/>
  <c i="20" r="B64"/>
  <c i="20" r="C64"/>
  <c i="20" r="D64"/>
  <c i="20" r="E64"/>
  <c i="20" r="F64"/>
  <c i="20" r="G64"/>
  <c i="20" r="H64"/>
  <c i="20" r="I64"/>
  <c i="20" r="B65"/>
  <c i="20" r="C65"/>
  <c i="20" r="D65"/>
  <c i="20" r="E65"/>
  <c i="20" r="F65"/>
  <c i="20" r="G65"/>
  <c i="20" r="H65"/>
  <c i="20" r="I65"/>
  <c i="20" r="B66"/>
  <c i="20" r="C66"/>
  <c i="20" r="D66"/>
  <c i="20" r="E66"/>
  <c i="20" r="F66"/>
  <c i="20" r="G66"/>
  <c i="20" r="H66"/>
  <c i="20" r="I66"/>
  <c i="20" r="B67"/>
  <c i="20" r="C67"/>
  <c i="20" r="D67"/>
  <c i="20" r="E67"/>
  <c i="20" r="F67"/>
  <c i="20" r="G67"/>
  <c i="20" r="H67"/>
  <c i="20" r="I67"/>
  <c i="20" r="B71"/>
  <c i="20" r="C71"/>
  <c i="20" r="D71"/>
  <c i="20" r="E71"/>
  <c i="20" r="F71"/>
  <c i="20" r="G71"/>
  <c i="20" r="H71"/>
  <c i="20" r="I71"/>
  <c i="20" r="B72"/>
  <c i="20" r="C72"/>
  <c i="20" r="D72"/>
  <c i="20" r="E72"/>
  <c i="20" r="F72"/>
  <c i="20" r="G72"/>
  <c i="20" r="H72"/>
  <c i="20" r="I72"/>
  <c i="20" r="B73"/>
  <c i="20" r="C73"/>
  <c i="20" r="D73"/>
  <c i="20" r="E73"/>
  <c i="20" r="F73"/>
  <c i="20" r="G73"/>
  <c i="20" r="H73"/>
  <c i="20" r="I73"/>
  <c i="20" r="B74"/>
  <c i="20" r="C74"/>
  <c i="20" r="D74"/>
  <c i="20" r="E74"/>
  <c i="20" r="F74"/>
  <c i="20" r="G74"/>
  <c i="20" r="H74"/>
  <c i="20" r="I74"/>
  <c i="20" r="B80"/>
  <c i="20" r="C80"/>
  <c i="20" r="D80"/>
  <c i="20" r="E80"/>
  <c i="20" r="F80"/>
  <c i="20" r="G80"/>
  <c i="20" r="H80"/>
  <c i="20" r="I80"/>
  <c i="20" r="B81"/>
  <c i="20" r="C81"/>
  <c i="20" r="D81"/>
  <c i="20" r="E81"/>
  <c i="20" r="F81"/>
  <c i="20" r="G81"/>
  <c i="20" r="H81"/>
  <c i="20" r="I81"/>
  <c i="20" r="B82"/>
  <c i="20" r="C82"/>
  <c i="20" r="D82"/>
  <c i="20" r="E82"/>
  <c i="20" r="F82"/>
  <c i="20" r="G82"/>
  <c i="20" r="H82"/>
  <c i="20" r="I82"/>
  <c i="20" r="B83"/>
  <c i="20" r="C83"/>
  <c i="20" r="D83"/>
  <c i="20" r="E83"/>
  <c i="20" r="F83"/>
  <c i="20" r="G83"/>
  <c i="20" r="H83"/>
  <c i="20" r="I83"/>
  <c i="20" r="B87"/>
  <c i="20" r="C87"/>
  <c i="20" r="D87"/>
  <c i="20" r="E87"/>
  <c i="20" r="F87"/>
  <c i="20" r="G87"/>
  <c i="20" r="H87"/>
  <c i="20" r="I87"/>
  <c i="20" r="B88"/>
  <c i="20" r="C88"/>
  <c i="20" r="D88"/>
  <c i="20" r="E88"/>
  <c i="20" r="F88"/>
  <c i="20" r="G88"/>
  <c i="20" r="H88"/>
  <c i="20" r="I88"/>
  <c i="20" r="B89"/>
  <c i="20" r="C89"/>
  <c i="20" r="D89"/>
  <c i="20" r="E89"/>
  <c i="20" r="F89"/>
  <c i="20" r="G89"/>
  <c i="20" r="H89"/>
  <c i="20" r="I89"/>
  <c i="20" r="B90"/>
  <c i="20" r="C90"/>
  <c i="20" r="D90"/>
  <c i="20" r="E90"/>
  <c i="20" r="F90"/>
  <c i="20" r="G90"/>
  <c i="20" r="H90"/>
  <c i="20" r="I90"/>
  <c i="20" r="B94"/>
  <c i="20" r="C94"/>
  <c i="20" r="D94"/>
  <c i="20" r="E94"/>
  <c i="20" r="F94"/>
  <c i="20" r="G94"/>
  <c i="20" r="H94"/>
  <c i="20" r="I94"/>
  <c i="20" r="B95"/>
  <c i="20" r="C95"/>
  <c i="20" r="D95"/>
  <c i="20" r="E95"/>
  <c i="20" r="F95"/>
  <c i="20" r="G95"/>
  <c i="20" r="H95"/>
  <c i="20" r="I95"/>
  <c i="20" r="B96"/>
  <c i="20" r="C96"/>
  <c i="20" r="D96"/>
  <c i="20" r="E96"/>
  <c i="20" r="F96"/>
  <c i="20" r="G96"/>
  <c i="20" r="H96"/>
  <c i="20" r="I96"/>
  <c i="20" r="B97"/>
  <c i="20" r="C97"/>
  <c i="20" r="D97"/>
  <c i="20" r="E97"/>
  <c i="20" r="F97"/>
  <c i="20" r="G97"/>
  <c i="20" r="H97"/>
  <c i="20" r="I97"/>
  <c i="20" r="B101"/>
  <c i="20" r="C101"/>
  <c i="20" r="D101"/>
  <c i="20" r="E101"/>
  <c i="20" r="F101"/>
  <c i="20" r="G101"/>
  <c i="20" r="H101"/>
  <c i="20" r="I101"/>
  <c i="20" r="B102"/>
  <c i="20" r="C102"/>
  <c i="20" r="D102"/>
  <c i="20" r="E102"/>
  <c i="20" r="F102"/>
  <c i="20" r="G102"/>
  <c i="20" r="H102"/>
  <c i="20" r="I102"/>
  <c i="20" r="B103"/>
  <c i="20" r="C103"/>
  <c i="20" r="D103"/>
  <c i="20" r="E103"/>
  <c i="20" r="F103"/>
  <c i="20" r="G103"/>
  <c i="20" r="H103"/>
  <c i="20" r="I103"/>
  <c i="20" r="B104"/>
  <c i="20" r="C104"/>
  <c i="20" r="D104"/>
  <c i="20" r="E104"/>
  <c i="20" r="F104"/>
  <c i="20" r="G104"/>
  <c i="20" r="H104"/>
  <c i="20" r="I104"/>
  <c i="20" r="B108"/>
  <c i="20" r="C108"/>
  <c i="20" r="D108"/>
  <c i="20" r="E108"/>
  <c i="20" r="F108"/>
  <c i="20" r="G108"/>
  <c i="20" r="H108"/>
  <c i="20" r="I108"/>
  <c i="20" r="B109"/>
  <c i="20" r="C109"/>
  <c i="20" r="D109"/>
  <c i="20" r="E109"/>
  <c i="20" r="F109"/>
  <c i="20" r="G109"/>
  <c i="20" r="H109"/>
  <c i="20" r="I109"/>
  <c i="20" r="B110"/>
  <c i="20" r="C110"/>
  <c i="20" r="D110"/>
  <c i="20" r="E110"/>
  <c i="20" r="F110"/>
  <c i="20" r="G110"/>
  <c i="20" r="H110"/>
  <c i="20" r="I110"/>
  <c i="20" r="B111"/>
  <c i="20" r="C111"/>
  <c i="20" r="D111"/>
  <c i="20" r="E111"/>
  <c i="20" r="F111"/>
  <c i="20" r="G111"/>
  <c i="20" r="H111"/>
  <c i="20" r="I111"/>
  <c i="20" r="B115"/>
  <c i="20" r="C115"/>
  <c i="20" r="D115"/>
  <c i="20" r="E115"/>
  <c i="20" r="F115"/>
  <c i="20" r="G115"/>
  <c i="20" r="H115"/>
  <c i="20" r="I115"/>
  <c i="20" r="B116"/>
  <c i="20" r="C116"/>
  <c i="20" r="D116"/>
  <c i="20" r="E116"/>
  <c i="20" r="F116"/>
  <c i="20" r="G116"/>
  <c i="20" r="H116"/>
  <c i="20" r="I116"/>
  <c i="20" r="B117"/>
  <c i="20" r="C117"/>
  <c i="20" r="D117"/>
  <c i="20" r="E117"/>
  <c i="20" r="F117"/>
  <c i="20" r="G117"/>
  <c i="20" r="H117"/>
  <c i="20" r="I117"/>
  <c i="20" r="B118"/>
  <c i="20" r="C118"/>
  <c i="20" r="D118"/>
  <c i="20" r="E118"/>
  <c i="20" r="F118"/>
  <c i="20" r="G118"/>
  <c i="20" r="H118"/>
  <c i="20" r="I118"/>
  <c i="20" r="B122"/>
  <c i="20" r="C122"/>
  <c i="20" r="D122"/>
  <c i="20" r="E122"/>
  <c i="20" r="F122"/>
  <c i="20" r="G122"/>
  <c i="20" r="H122"/>
  <c i="20" r="I122"/>
  <c i="20" r="B123"/>
  <c i="20" r="C123"/>
  <c i="20" r="D123"/>
  <c i="20" r="E123"/>
  <c i="20" r="F123"/>
  <c i="20" r="G123"/>
  <c i="20" r="H123"/>
  <c i="20" r="I123"/>
  <c i="20" r="B124"/>
  <c i="20" r="C124"/>
  <c i="20" r="D124"/>
  <c i="20" r="E124"/>
  <c i="20" r="F124"/>
  <c i="20" r="G124"/>
  <c i="20" r="H124"/>
  <c i="20" r="I124"/>
  <c i="20" r="B125"/>
  <c i="20" r="C125"/>
  <c i="20" r="D125"/>
  <c i="20" r="E125"/>
  <c i="20" r="F125"/>
  <c i="20" r="G125"/>
  <c i="20" r="H125"/>
  <c i="20" r="I125"/>
  <c i="20" r="B136"/>
  <c i="20" r="C136"/>
  <c i="20" r="B148"/>
  <c i="9" r="L5" s="1"/>
  <c i="20" r="C148"/>
  <c i="9" r="M5" s="1"/>
  <c i="20" r="D148"/>
  <c i="9" r="N5" s="1"/>
  <c i="20" r="E148"/>
  <c i="9" r="O5" s="1"/>
  <c i="20" r="F148"/>
  <c i="9" r="P5" s="1"/>
  <c i="20" r="G148"/>
  <c i="9" r="Q5" s="1"/>
  <c i="20" r="H148"/>
  <c i="9" r="R5" s="1"/>
  <c i="20" r="B149"/>
  <c i="9" r="L6" s="1"/>
  <c i="20" r="C149"/>
  <c i="9" r="M6" s="1"/>
  <c i="20" r="D149"/>
  <c i="9" r="N6" s="1"/>
  <c i="20" r="E149"/>
  <c i="9" r="O6" s="1"/>
  <c i="20" r="F149"/>
  <c i="9" r="P6" s="1"/>
  <c i="20" r="G149"/>
  <c i="9" r="Q6" s="1"/>
  <c i="20" r="H149"/>
  <c i="9" r="R6" s="1"/>
  <c i="20" r="B150"/>
  <c i="9" r="L7" s="1"/>
  <c i="20" r="C150"/>
  <c i="9" r="M7" s="1"/>
  <c i="20" r="D150"/>
  <c i="9" r="N7" s="1"/>
  <c i="20" r="E150"/>
  <c i="9" r="O7" s="1"/>
  <c i="20" r="F150"/>
  <c i="9" r="P7" s="1"/>
  <c i="20" r="G150"/>
  <c i="9" r="Q7" s="1"/>
  <c i="20" r="H150"/>
  <c i="9" r="R7" s="1"/>
  <c i="20" r="B151"/>
  <c i="9" r="L8" s="1"/>
  <c i="20" r="C151"/>
  <c i="9" r="M8" s="1"/>
  <c i="20" r="D151"/>
  <c i="9" r="N8" s="1"/>
  <c i="20" r="E151"/>
  <c i="9" r="O8" s="1"/>
  <c i="20" r="F151"/>
  <c i="9" r="P8" s="1"/>
  <c i="20" r="G151"/>
  <c i="9" r="Q8" s="1"/>
  <c i="20" r="H151"/>
  <c i="9" r="R8" s="1"/>
  <c i="20" r="B152"/>
  <c i="9" r="L9" s="1"/>
  <c i="20" r="C152"/>
  <c i="9" r="M9" s="1"/>
  <c i="20" r="D152"/>
  <c i="9" r="N9" s="1"/>
  <c i="20" r="E152"/>
  <c i="9" r="O9" s="1"/>
  <c i="20" r="F152"/>
  <c i="9" r="P9" s="1"/>
  <c i="20" r="G152"/>
  <c i="9" r="Q9" s="1"/>
  <c i="20" r="H152"/>
  <c i="9" r="R9" s="1"/>
  <c i="20" r="B153"/>
  <c i="9" r="L10" s="1"/>
  <c i="20" r="C153"/>
  <c i="9" r="M10" s="1"/>
  <c i="20" r="D153"/>
  <c i="9" r="N10" s="1"/>
  <c i="20" r="E153"/>
  <c i="9" r="O10" s="1"/>
  <c i="20" r="F153"/>
  <c i="9" r="P10" s="1"/>
  <c i="20" r="G153"/>
  <c i="9" r="Q10" s="1"/>
  <c i="20" r="H153"/>
  <c i="9" r="R10" s="1"/>
  <c i="20" r="B154"/>
  <c i="9" r="L11" s="1"/>
  <c i="20" r="C154"/>
  <c i="9" r="M11" s="1"/>
  <c i="20" r="D154"/>
  <c i="9" r="N11" s="1"/>
  <c i="20" r="E154"/>
  <c i="9" r="O11" s="1"/>
  <c i="20" r="F154"/>
  <c i="9" r="P11" s="1"/>
  <c i="20" r="G154"/>
  <c i="9" r="Q11" s="1"/>
  <c i="20" r="H154"/>
  <c i="9" r="R11" s="1"/>
  <c i="20" r="B158"/>
  <c i="9" r="L35" s="1"/>
  <c i="20" r="C158"/>
  <c i="9" r="M35" s="1"/>
  <c i="20" r="D158"/>
  <c i="9" r="N35" s="1"/>
  <c i="20" r="E158"/>
  <c i="9" r="O35" s="1"/>
  <c i="20" r="F158"/>
  <c i="9" r="P35" s="1"/>
  <c i="20" r="G158"/>
  <c i="9" r="Q35" s="1"/>
  <c i="20" r="H158"/>
  <c i="9" r="R35" s="1"/>
  <c i="20" r="B159"/>
  <c i="9" r="L36" s="1"/>
  <c i="20" r="C159"/>
  <c i="9" r="M36" s="1"/>
  <c i="20" r="D159"/>
  <c i="9" r="N36" s="1"/>
  <c i="20" r="E159"/>
  <c i="9" r="O36" s="1"/>
  <c i="20" r="F159"/>
  <c i="9" r="P36" s="1"/>
  <c i="20" r="G159"/>
  <c i="9" r="Q36" s="1"/>
  <c i="20" r="H159"/>
  <c i="9" r="R36" s="1"/>
  <c i="20" r="B160"/>
  <c i="9" r="L37" s="1"/>
  <c i="20" r="C160"/>
  <c i="9" r="M37" s="1"/>
  <c i="20" r="D160"/>
  <c i="9" r="N37" s="1"/>
  <c i="20" r="E160"/>
  <c i="9" r="O37" s="1"/>
  <c i="20" r="F160"/>
  <c i="9" r="P37" s="1"/>
  <c i="20" r="G160"/>
  <c i="9" r="Q37" s="1"/>
  <c i="20" r="H160"/>
  <c i="9" r="R37" s="1"/>
  <c i="20" r="B161"/>
  <c i="9" r="L38" s="1"/>
  <c i="20" r="C161"/>
  <c i="9" r="M38" s="1"/>
  <c i="20" r="D161"/>
  <c i="9" r="N38" s="1"/>
  <c i="20" r="E161"/>
  <c i="9" r="O38" s="1"/>
  <c i="20" r="F161"/>
  <c i="9" r="P38" s="1"/>
  <c i="20" r="G161"/>
  <c i="9" r="Q38" s="1"/>
  <c i="20" r="H161"/>
  <c i="9" r="R38" s="1"/>
  <c i="20" r="B162"/>
  <c i="9" r="L39" s="1"/>
  <c i="20" r="C162"/>
  <c i="9" r="M39" s="1"/>
  <c i="20" r="D162"/>
  <c i="9" r="N39" s="1"/>
  <c i="20" r="E162"/>
  <c i="9" r="O39" s="1"/>
  <c i="20" r="F162"/>
  <c i="9" r="P39" s="1"/>
  <c i="20" r="G162"/>
  <c i="9" r="Q39" s="1"/>
  <c i="20" r="H162"/>
  <c i="9" r="R39" s="1"/>
  <c i="20" r="B163"/>
  <c i="9" r="L40" s="1"/>
  <c i="20" r="C163"/>
  <c i="9" r="M40" s="1"/>
  <c i="20" r="D163"/>
  <c i="9" r="N40" s="1"/>
  <c i="20" r="E163"/>
  <c i="9" r="O40" s="1"/>
  <c i="20" r="F163"/>
  <c i="9" r="P40" s="1"/>
  <c i="20" r="G163"/>
  <c i="9" r="Q40" s="1"/>
  <c i="20" r="H163"/>
  <c i="9" r="R40" s="1"/>
  <c i="20" r="B164"/>
  <c i="9" r="L41" s="1"/>
  <c i="20" r="C164"/>
  <c i="9" r="M41" s="1"/>
  <c i="20" r="D164"/>
  <c i="9" r="N41" s="1"/>
  <c i="20" r="E164"/>
  <c i="9" r="O41" s="1"/>
  <c i="20" r="F164"/>
  <c i="9" r="P41" s="1"/>
  <c i="20" r="G164"/>
  <c i="9" r="Q41" s="1"/>
  <c i="20" r="H164"/>
  <c i="9" r="R41" s="1"/>
  <c i="20" r="B168"/>
  <c i="9" r="L65" s="1"/>
  <c i="20" r="C168"/>
  <c i="9" r="M65" s="1"/>
  <c i="20" r="D168"/>
  <c i="9" r="N65" s="1"/>
  <c i="20" r="E168"/>
  <c i="9" r="O65" s="1"/>
  <c i="20" r="F168"/>
  <c i="9" r="P65" s="1"/>
  <c i="20" r="G168"/>
  <c i="9" r="Q65" s="1"/>
  <c i="20" r="H168"/>
  <c i="9" r="R65" s="1"/>
  <c i="20" r="B169"/>
  <c i="9" r="L66" s="1"/>
  <c i="20" r="C169"/>
  <c i="9" r="M66" s="1"/>
  <c i="20" r="D169"/>
  <c i="9" r="N66" s="1"/>
  <c i="20" r="E169"/>
  <c i="9" r="O66" s="1"/>
  <c i="20" r="F169"/>
  <c i="9" r="P66" s="1"/>
  <c i="20" r="G169"/>
  <c i="9" r="Q66" s="1"/>
  <c i="20" r="H169"/>
  <c i="9" r="R66" s="1"/>
  <c i="20" r="B170"/>
  <c i="9" r="L67" s="1"/>
  <c i="20" r="C170"/>
  <c i="9" r="M67" s="1"/>
  <c i="20" r="D170"/>
  <c i="9" r="N67" s="1"/>
  <c i="20" r="E170"/>
  <c i="9" r="O67" s="1"/>
  <c i="20" r="F170"/>
  <c i="9" r="P67" s="1"/>
  <c i="20" r="G170"/>
  <c i="9" r="Q67" s="1"/>
  <c i="20" r="H170"/>
  <c i="9" r="R67" s="1"/>
  <c i="20" r="B171"/>
  <c i="9" r="L68" s="1"/>
  <c i="20" r="C171"/>
  <c i="9" r="M68" s="1"/>
  <c i="20" r="D171"/>
  <c i="9" r="N68" s="1"/>
  <c i="20" r="E171"/>
  <c i="9" r="O68" s="1"/>
  <c i="20" r="F171"/>
  <c i="9" r="P68" s="1"/>
  <c i="20" r="G171"/>
  <c i="9" r="Q68" s="1"/>
  <c i="20" r="H171"/>
  <c i="9" r="R68" s="1"/>
  <c i="20" r="B172"/>
  <c i="9" r="L69" s="1"/>
  <c i="20" r="C172"/>
  <c i="9" r="M69" s="1"/>
  <c i="20" r="D172"/>
  <c i="9" r="N69" s="1"/>
  <c i="20" r="E172"/>
  <c i="9" r="O69" s="1"/>
  <c i="20" r="F172"/>
  <c i="9" r="P69" s="1"/>
  <c i="20" r="G172"/>
  <c i="9" r="Q69" s="1"/>
  <c i="20" r="H172"/>
  <c i="9" r="R69" s="1"/>
  <c i="20" r="B173"/>
  <c i="9" r="L70" s="1"/>
  <c i="20" r="C173"/>
  <c i="9" r="M70" s="1"/>
  <c i="20" r="D173"/>
  <c i="9" r="N70" s="1"/>
  <c i="20" r="E173"/>
  <c i="9" r="O70" s="1"/>
  <c i="20" r="F173"/>
  <c i="9" r="P70" s="1"/>
  <c i="20" r="G173"/>
  <c i="9" r="Q70" s="1"/>
  <c i="20" r="H173"/>
  <c i="9" r="R70" s="1"/>
  <c i="20" r="B174"/>
  <c i="9" r="L71" s="1"/>
  <c i="20" r="C174"/>
  <c i="9" r="M71" s="1"/>
  <c i="20" r="D174"/>
  <c i="9" r="N71" s="1"/>
  <c i="20" r="E174"/>
  <c i="9" r="O71" s="1"/>
  <c i="20" r="F174"/>
  <c i="9" r="P71" s="1"/>
  <c i="20" r="G174"/>
  <c i="9" r="Q71" s="1"/>
  <c i="20" r="H174"/>
  <c i="9" r="R71" s="1"/>
  <c i="20" r="B178"/>
  <c i="10" r="N5" s="1"/>
  <c i="24" r="M48" s="1"/>
  <c i="20" r="C178"/>
  <c i="10" r="O5" s="1"/>
  <c i="24" r="N48" s="1"/>
  <c i="20" r="D178"/>
  <c i="10" r="P5" s="1"/>
  <c i="24" r="O48" s="1"/>
  <c i="20" r="E178"/>
  <c i="10" r="Q5" s="1"/>
  <c i="24" r="P48" s="1"/>
  <c i="20" r="F178"/>
  <c i="10" r="R5" s="1"/>
  <c i="24" r="Q48" s="1"/>
  <c i="20" r="G178"/>
  <c i="10" r="S5" s="1"/>
  <c i="24" r="R48" s="1"/>
  <c i="20" r="H178"/>
  <c i="10" r="U5" s="1"/>
  <c i="24" r="S48" s="1"/>
  <c i="20" r="I178"/>
  <c i="10" r="V5" s="1"/>
  <c i="24" r="T48" s="1"/>
  <c i="20" r="B179"/>
  <c i="10" r="N6" s="1"/>
  <c i="24" r="M49" s="1"/>
  <c i="20" r="C179"/>
  <c i="10" r="O6" s="1"/>
  <c i="24" r="N49" s="1"/>
  <c i="20" r="D179"/>
  <c i="10" r="P6" s="1"/>
  <c i="24" r="O49" s="1"/>
  <c i="20" r="E179"/>
  <c i="10" r="Q6" s="1"/>
  <c i="24" r="P49" s="1"/>
  <c i="20" r="F179"/>
  <c i="10" r="R6" s="1"/>
  <c i="24" r="Q49" s="1"/>
  <c i="20" r="G179"/>
  <c i="10" r="S6" s="1"/>
  <c i="24" r="R49" s="1"/>
  <c i="20" r="H179"/>
  <c i="10" r="U6" s="1"/>
  <c i="24" r="S49" s="1"/>
  <c i="20" r="I179"/>
  <c i="10" r="V6" s="1"/>
  <c i="24" r="T49" s="1"/>
  <c i="20" r="B180"/>
  <c i="10" r="N7" s="1"/>
  <c i="24" r="M50" s="1"/>
  <c i="20" r="C180"/>
  <c i="10" r="O7" s="1"/>
  <c i="24" r="N50" s="1"/>
  <c i="20" r="D180"/>
  <c i="10" r="P7" s="1"/>
  <c i="24" r="O50" s="1"/>
  <c i="20" r="E180"/>
  <c i="10" r="Q7" s="1"/>
  <c i="24" r="P50" s="1"/>
  <c i="20" r="F180"/>
  <c i="10" r="R7" s="1"/>
  <c i="24" r="Q50" s="1"/>
  <c i="20" r="G180"/>
  <c i="10" r="S7" s="1"/>
  <c i="24" r="R50" s="1"/>
  <c i="20" r="H180"/>
  <c i="10" r="U7" s="1"/>
  <c i="24" r="S50" s="1"/>
  <c i="20" r="I180"/>
  <c i="10" r="V7" s="1"/>
  <c i="24" r="T50" s="1"/>
  <c i="20" r="B181"/>
  <c i="10" r="N8" s="1"/>
  <c i="24" r="M51" s="1"/>
  <c i="20" r="C181"/>
  <c i="10" r="O8" s="1"/>
  <c i="24" r="N51" s="1"/>
  <c i="20" r="D181"/>
  <c i="10" r="P8" s="1"/>
  <c i="24" r="O51" s="1"/>
  <c i="20" r="E181"/>
  <c i="10" r="Q8" s="1"/>
  <c i="24" r="P51" s="1"/>
  <c i="20" r="F181"/>
  <c i="10" r="R8" s="1"/>
  <c i="24" r="Q51" s="1"/>
  <c i="20" r="G181"/>
  <c i="10" r="S8" s="1"/>
  <c i="24" r="R51" s="1"/>
  <c i="20" r="H181"/>
  <c i="10" r="U8" s="1"/>
  <c i="24" r="S51" s="1"/>
  <c i="20" r="I181"/>
  <c i="10" r="V8" s="1"/>
  <c i="24" r="T51" s="1"/>
  <c i="20" r="B182"/>
  <c i="10" r="N9" s="1"/>
  <c i="24" r="M52" s="1"/>
  <c i="20" r="C182"/>
  <c i="10" r="O9" s="1"/>
  <c i="24" r="N52" s="1"/>
  <c i="20" r="D182"/>
  <c i="10" r="P9" s="1"/>
  <c i="24" r="O52" s="1"/>
  <c i="20" r="E182"/>
  <c i="10" r="Q9" s="1"/>
  <c i="24" r="P52" s="1"/>
  <c i="20" r="F182"/>
  <c i="10" r="R9" s="1"/>
  <c i="24" r="Q52" s="1"/>
  <c i="20" r="G182"/>
  <c i="10" r="S9" s="1"/>
  <c i="24" r="R52" s="1"/>
  <c i="20" r="H182"/>
  <c i="10" r="U9" s="1"/>
  <c i="24" r="S52" s="1"/>
  <c i="20" r="I182"/>
  <c i="10" r="V9" s="1"/>
  <c i="24" r="T52" s="1"/>
  <c i="20" r="B183"/>
  <c i="10" r="N10" s="1"/>
  <c i="24" r="M53" s="1"/>
  <c i="20" r="C183"/>
  <c i="10" r="O10" s="1"/>
  <c i="24" r="N53" s="1"/>
  <c i="20" r="D183"/>
  <c i="10" r="P10" s="1"/>
  <c i="24" r="O53" s="1"/>
  <c i="20" r="E183"/>
  <c i="10" r="Q10" s="1"/>
  <c i="24" r="P53" s="1"/>
  <c i="20" r="F183"/>
  <c i="10" r="R10" s="1"/>
  <c i="24" r="Q53" s="1"/>
  <c i="20" r="G183"/>
  <c i="10" r="S10" s="1"/>
  <c i="24" r="R53" s="1"/>
  <c i="20" r="H183"/>
  <c i="10" r="U10" s="1"/>
  <c i="24" r="S53" s="1"/>
  <c i="20" r="I183"/>
  <c i="10" r="V10" s="1"/>
  <c i="24" r="T53" s="1"/>
  <c i="20" r="B184"/>
  <c i="10" r="N11" s="1"/>
  <c i="24" r="M54" s="1"/>
  <c i="20" r="C184"/>
  <c i="10" r="O11" s="1"/>
  <c i="24" r="N54" s="1"/>
  <c i="20" r="D184"/>
  <c i="10" r="P11" s="1"/>
  <c i="24" r="O54" s="1"/>
  <c i="20" r="E184"/>
  <c i="10" r="Q11" s="1"/>
  <c i="24" r="P54" s="1"/>
  <c i="20" r="F184"/>
  <c i="10" r="R11" s="1"/>
  <c i="24" r="Q54" s="1"/>
  <c i="20" r="G184"/>
  <c i="10" r="S11" s="1"/>
  <c i="24" r="R54" s="1"/>
  <c i="20" r="H184"/>
  <c i="10" r="U11" s="1"/>
  <c i="24" r="S54" s="1"/>
  <c i="20" r="I184"/>
  <c i="10" r="V11" s="1"/>
  <c i="24" r="T54" s="1"/>
  <c i="20" r="B185"/>
  <c i="10" r="N12" s="1"/>
  <c i="24" r="M55" s="1"/>
  <c i="20" r="C185"/>
  <c i="10" r="O12" s="1"/>
  <c i="24" r="N55" s="1"/>
  <c i="20" r="D185"/>
  <c i="10" r="P12" s="1"/>
  <c i="24" r="O55" s="1"/>
  <c i="20" r="E185"/>
  <c i="10" r="Q12" s="1"/>
  <c i="24" r="P55" s="1"/>
  <c i="20" r="F185"/>
  <c i="10" r="R12" s="1"/>
  <c i="24" r="Q55" s="1"/>
  <c i="20" r="G185"/>
  <c i="10" r="S12" s="1"/>
  <c i="24" r="R55" s="1"/>
  <c i="20" r="H185"/>
  <c i="10" r="U12" s="1"/>
  <c i="24" r="S55" s="1"/>
  <c i="20" r="I185"/>
  <c i="10" r="V12" s="1"/>
  <c i="24" r="T55" s="1"/>
  <c i="20" r="B189"/>
  <c i="10" r="N40" s="1"/>
  <c i="20" r="C189"/>
  <c i="10" r="O40" s="1"/>
  <c i="20" r="D189"/>
  <c i="10" r="P40" s="1"/>
  <c i="20" r="E189"/>
  <c i="10" r="Q40" s="1"/>
  <c i="20" r="B190"/>
  <c i="10" r="N41" s="1"/>
  <c i="20" r="C190"/>
  <c i="10" r="O41" s="1"/>
  <c i="20" r="D190"/>
  <c i="10" r="P41" s="1"/>
  <c i="20" r="E190"/>
  <c i="10" r="Q41" s="1"/>
  <c i="20" r="B191"/>
  <c i="10" r="N42" s="1"/>
  <c i="20" r="C191"/>
  <c i="10" r="O42" s="1"/>
  <c i="20" r="D191"/>
  <c i="10" r="P42" s="1"/>
  <c i="20" r="E191"/>
  <c i="10" r="Q42" s="1"/>
  <c i="20" r="F191"/>
  <c i="20" r="B192"/>
  <c i="10" r="N43" s="1"/>
  <c i="20" r="C192"/>
  <c i="10" r="O43" s="1"/>
  <c i="20" r="D192"/>
  <c i="10" r="P43" s="1"/>
  <c i="20" r="E192"/>
  <c i="10" r="Q43" s="1"/>
  <c i="20" r="B193"/>
  <c i="10" r="N44" s="1"/>
  <c i="20" r="C193"/>
  <c i="10" r="O44" s="1"/>
  <c i="20" r="D193"/>
  <c i="10" r="P44" s="1"/>
  <c i="20" r="E193"/>
  <c i="10" r="Q44" s="1"/>
  <c i="20" r="B194"/>
  <c i="10" r="N45" s="1"/>
  <c i="20" r="C194"/>
  <c i="10" r="O45" s="1"/>
  <c i="20" r="D194"/>
  <c i="10" r="P45" s="1"/>
  <c i="20" r="E194"/>
  <c i="10" r="Q45" s="1"/>
  <c i="20" r="B195"/>
  <c i="10" r="N46" s="1"/>
  <c i="20" r="C195"/>
  <c i="10" r="O46" s="1"/>
  <c i="20" r="D195"/>
  <c i="10" r="P46" s="1"/>
  <c i="20" r="E195"/>
  <c i="10" r="Q46" s="1"/>
  <c i="20" r="B196"/>
  <c i="10" r="N47" s="1"/>
  <c i="20" r="C196"/>
  <c i="10" r="O47" s="1"/>
  <c i="20" r="D196"/>
  <c i="10" r="P47" s="1"/>
  <c i="20" r="E196"/>
  <c i="10" r="Q47" s="1"/>
  <c i="20" r="B200"/>
  <c i="10" r="N74" s="1"/>
  <c i="20" r="C200"/>
  <c i="10" r="O74" s="1"/>
  <c i="20" r="D200"/>
  <c i="10" r="P74" s="1"/>
  <c i="20" r="E200"/>
  <c i="10" r="Q74" s="1"/>
  <c i="20" r="B201"/>
  <c i="10" r="N75" s="1"/>
  <c i="20" r="C201"/>
  <c i="10" r="O75" s="1"/>
  <c i="20" r="D201"/>
  <c i="10" r="P75" s="1"/>
  <c i="20" r="E201"/>
  <c i="10" r="Q75" s="1"/>
  <c i="20" r="B202"/>
  <c i="10" r="N76" s="1"/>
  <c i="20" r="C202"/>
  <c i="10" r="O76" s="1"/>
  <c i="20" r="D202"/>
  <c i="10" r="P76" s="1"/>
  <c i="20" r="E202"/>
  <c i="10" r="Q76" s="1"/>
  <c i="20" r="B203"/>
  <c i="10" r="N77" s="1"/>
  <c i="20" r="C203"/>
  <c i="10" r="O77" s="1"/>
  <c i="20" r="D203"/>
  <c i="10" r="P77" s="1"/>
  <c i="20" r="E203"/>
  <c i="10" r="Q77" s="1"/>
  <c i="20" r="B204"/>
  <c i="10" r="N78" s="1"/>
  <c i="20" r="C204"/>
  <c i="10" r="O78" s="1"/>
  <c i="20" r="D204"/>
  <c i="10" r="P78" s="1"/>
  <c i="20" r="E204"/>
  <c i="10" r="Q78" s="1"/>
  <c i="20" r="B205"/>
  <c i="10" r="N79" s="1"/>
  <c i="20" r="C205"/>
  <c i="10" r="O79" s="1"/>
  <c i="20" r="D205"/>
  <c i="10" r="P79" s="1"/>
  <c i="20" r="E205"/>
  <c i="10" r="Q79" s="1"/>
  <c i="20" r="B206"/>
  <c i="10" r="N80" s="1"/>
  <c i="20" r="C206"/>
  <c i="10" r="O80" s="1"/>
  <c i="20" r="D206"/>
  <c i="10" r="P80" s="1"/>
  <c i="20" r="E206"/>
  <c i="10" r="Q80" s="1"/>
  <c i="20" r="B207"/>
  <c i="10" r="N81" s="1"/>
  <c i="20" r="C207"/>
  <c i="10" r="O81" s="1"/>
  <c i="20" r="D207"/>
  <c i="10" r="P81" s="1"/>
  <c i="20" r="E207"/>
  <c i="10" r="Q81" s="1"/>
  <c i="20" r="B211"/>
  <c i="10" r="N108" s="1"/>
  <c i="20" r="C211"/>
  <c i="10" r="O108" s="1"/>
  <c i="20" r="D211"/>
  <c i="10" r="P108" s="1"/>
  <c i="20" r="E211"/>
  <c i="10" r="Q108" s="1"/>
  <c i="20" r="B212"/>
  <c i="10" r="N109" s="1"/>
  <c i="20" r="C212"/>
  <c i="10" r="O109" s="1"/>
  <c i="20" r="D212"/>
  <c i="10" r="P109" s="1"/>
  <c i="20" r="E212"/>
  <c i="10" r="Q109" s="1"/>
  <c i="20" r="B213"/>
  <c i="10" r="N110" s="1"/>
  <c i="20" r="C213"/>
  <c i="10" r="O110" s="1"/>
  <c i="20" r="D213"/>
  <c i="10" r="P110" s="1"/>
  <c i="20" r="E213"/>
  <c i="10" r="Q110" s="1"/>
  <c i="20" r="B214"/>
  <c i="10" r="N111" s="1"/>
  <c i="20" r="C214"/>
  <c i="10" r="O111" s="1"/>
  <c i="20" r="D214"/>
  <c i="10" r="P111" s="1"/>
  <c i="20" r="E214"/>
  <c i="10" r="Q111" s="1"/>
  <c i="20" r="B215"/>
  <c i="10" r="N112" s="1"/>
  <c i="20" r="C215"/>
  <c i="10" r="O112" s="1"/>
  <c i="20" r="D215"/>
  <c i="10" r="P112" s="1"/>
  <c i="20" r="E215"/>
  <c i="10" r="Q112" s="1"/>
  <c i="20" r="B216"/>
  <c i="10" r="N113" s="1"/>
  <c i="20" r="C216"/>
  <c i="10" r="O113" s="1"/>
  <c i="20" r="D216"/>
  <c i="10" r="P113" s="1"/>
  <c i="20" r="E216"/>
  <c i="10" r="Q113" s="1"/>
  <c i="20" r="B217"/>
  <c i="10" r="N114" s="1"/>
  <c i="20" r="C217"/>
  <c i="10" r="O114" s="1"/>
  <c i="20" r="D217"/>
  <c i="10" r="P114" s="1"/>
  <c i="20" r="E217"/>
  <c i="10" r="Q114" s="1"/>
  <c i="20" r="B218"/>
  <c i="10" r="N115" s="1"/>
  <c i="20" r="C218"/>
  <c i="10" r="O115" s="1"/>
  <c i="20" r="D218"/>
  <c i="10" r="P115" s="1"/>
  <c i="20" r="E218"/>
  <c i="10" r="Q115" s="1"/>
  <c i="20" r="B222"/>
  <c i="11" r="N5" s="1"/>
  <c i="20" r="C222"/>
  <c i="11" r="O5" s="1"/>
  <c i="20" r="D222"/>
  <c i="11" r="P5" s="1"/>
  <c i="20" r="E222"/>
  <c i="11" r="Q5" s="1"/>
  <c i="20" r="F222"/>
  <c i="11" r="R5" s="1"/>
  <c i="20" r="G222"/>
  <c i="11" r="S5" s="1"/>
  <c i="20" r="H222"/>
  <c i="11" r="U5" s="1"/>
  <c i="20" r="I222"/>
  <c i="11" r="V5" s="1"/>
  <c i="20" r="B223"/>
  <c i="11" r="N6" s="1"/>
  <c i="20" r="C223"/>
  <c i="11" r="O6" s="1"/>
  <c i="20" r="D223"/>
  <c i="11" r="P6" s="1"/>
  <c i="20" r="E223"/>
  <c i="11" r="Q6" s="1"/>
  <c i="20" r="F223"/>
  <c i="11" r="R6" s="1"/>
  <c i="20" r="G223"/>
  <c i="11" r="S6" s="1"/>
  <c i="20" r="H223"/>
  <c i="11" r="U6" s="1"/>
  <c i="20" r="I223"/>
  <c i="11" r="V6" s="1"/>
  <c i="20" r="B224"/>
  <c i="11" r="N7" s="1"/>
  <c i="20" r="C224"/>
  <c i="11" r="O7" s="1"/>
  <c i="20" r="D224"/>
  <c i="11" r="P7" s="1"/>
  <c i="20" r="E224"/>
  <c i="11" r="Q7" s="1"/>
  <c i="20" r="F224"/>
  <c i="11" r="R7" s="1"/>
  <c i="20" r="G224"/>
  <c i="11" r="S7" s="1"/>
  <c i="20" r="H224"/>
  <c i="11" r="U7" s="1"/>
  <c i="20" r="I224"/>
  <c i="11" r="V7" s="1"/>
  <c i="20" r="B225"/>
  <c i="11" r="N8" s="1"/>
  <c i="20" r="C225"/>
  <c i="11" r="O8" s="1"/>
  <c i="20" r="D225"/>
  <c i="11" r="P8" s="1"/>
  <c i="20" r="E225"/>
  <c i="11" r="Q8" s="1"/>
  <c i="20" r="F225"/>
  <c i="11" r="R8" s="1"/>
  <c i="20" r="G225"/>
  <c i="11" r="S8" s="1"/>
  <c i="20" r="H225"/>
  <c i="11" r="U8" s="1"/>
  <c i="20" r="I225"/>
  <c i="11" r="V8" s="1"/>
  <c i="20" r="B226"/>
  <c i="11" r="N9" s="1"/>
  <c i="20" r="C226"/>
  <c i="11" r="O9" s="1"/>
  <c i="20" r="D226"/>
  <c i="11" r="P9" s="1"/>
  <c i="20" r="E226"/>
  <c i="11" r="Q9" s="1"/>
  <c i="20" r="F226"/>
  <c i="11" r="R9" s="1"/>
  <c i="20" r="G226"/>
  <c i="11" r="S9" s="1"/>
  <c i="20" r="H226"/>
  <c i="11" r="U9" s="1"/>
  <c i="20" r="I226"/>
  <c i="11" r="V9" s="1"/>
  <c i="20" r="B227"/>
  <c i="11" r="N10" s="1"/>
  <c i="20" r="C227"/>
  <c i="11" r="O10" s="1"/>
  <c i="20" r="D227"/>
  <c i="11" r="P10" s="1"/>
  <c i="20" r="E227"/>
  <c i="11" r="Q10" s="1"/>
  <c i="20" r="F227"/>
  <c i="11" r="R10" s="1"/>
  <c i="20" r="G227"/>
  <c i="11" r="S10" s="1"/>
  <c i="20" r="H227"/>
  <c i="11" r="U10" s="1"/>
  <c i="20" r="I227"/>
  <c i="11" r="V10" s="1"/>
  <c i="20" r="B228"/>
  <c i="11" r="N11" s="1"/>
  <c i="20" r="C228"/>
  <c i="11" r="O11" s="1"/>
  <c i="20" r="D228"/>
  <c i="11" r="P11" s="1"/>
  <c i="20" r="E228"/>
  <c i="11" r="Q11" s="1"/>
  <c i="20" r="F228"/>
  <c i="11" r="R11" s="1"/>
  <c i="20" r="G228"/>
  <c i="11" r="S11" s="1"/>
  <c i="20" r="H228"/>
  <c i="11" r="U11" s="1"/>
  <c i="20" r="I228"/>
  <c i="11" r="V11" s="1"/>
  <c i="20" r="B232"/>
  <c i="11" r="N37" s="1"/>
  <c i="20" r="C232"/>
  <c i="11" r="O37" s="1"/>
  <c i="20" r="D232"/>
  <c i="11" r="P37" s="1"/>
  <c i="20" r="E232"/>
  <c i="11" r="Q37" s="1"/>
  <c i="20" r="B233"/>
  <c i="11" r="N38" s="1"/>
  <c i="20" r="C233"/>
  <c i="11" r="O38" s="1"/>
  <c i="20" r="D233"/>
  <c i="11" r="P38" s="1"/>
  <c i="20" r="E233"/>
  <c i="11" r="Q38" s="1"/>
  <c i="20" r="B234"/>
  <c i="11" r="N39" s="1"/>
  <c i="20" r="C234"/>
  <c i="11" r="O39" s="1"/>
  <c i="20" r="D234"/>
  <c i="11" r="P39" s="1"/>
  <c i="20" r="E234"/>
  <c i="11" r="Q39" s="1"/>
  <c i="20" r="B235"/>
  <c i="11" r="N40" s="1"/>
  <c i="20" r="C235"/>
  <c i="11" r="O40" s="1"/>
  <c i="20" r="D235"/>
  <c i="11" r="P40" s="1"/>
  <c i="20" r="E235"/>
  <c i="11" r="Q40" s="1"/>
  <c i="20" r="B236"/>
  <c i="11" r="N41" s="1"/>
  <c i="20" r="C236"/>
  <c i="11" r="O41" s="1"/>
  <c i="20" r="D236"/>
  <c i="11" r="P41" s="1"/>
  <c i="20" r="E236"/>
  <c i="11" r="Q41" s="1"/>
  <c i="20" r="B237"/>
  <c i="11" r="N42" s="1"/>
  <c i="20" r="C237"/>
  <c i="11" r="O42" s="1"/>
  <c i="20" r="D237"/>
  <c i="11" r="P42" s="1"/>
  <c i="20" r="E237"/>
  <c i="11" r="Q42" s="1"/>
  <c i="20" r="B238"/>
  <c i="11" r="N43" s="1"/>
  <c i="20" r="C238"/>
  <c i="11" r="O43" s="1"/>
  <c i="20" r="D238"/>
  <c i="11" r="P43" s="1"/>
  <c i="20" r="E238"/>
  <c i="11" r="Q43" s="1"/>
  <c i="20" r="B242"/>
  <c i="11" r="N69" s="1"/>
  <c i="20" r="C242"/>
  <c i="11" r="O69" s="1"/>
  <c i="20" r="D242"/>
  <c i="11" r="P69" s="1"/>
  <c i="20" r="E242"/>
  <c i="11" r="Q69" s="1"/>
  <c i="20" r="B243"/>
  <c i="11" r="N70" s="1"/>
  <c i="20" r="C243"/>
  <c i="11" r="O70" s="1"/>
  <c i="20" r="D243"/>
  <c i="11" r="P70" s="1"/>
  <c i="20" r="E243"/>
  <c i="11" r="Q70" s="1"/>
  <c i="20" r="B244"/>
  <c i="11" r="N71" s="1"/>
  <c i="20" r="C244"/>
  <c i="11" r="O71" s="1"/>
  <c i="20" r="D244"/>
  <c i="11" r="P71" s="1"/>
  <c i="20" r="E244"/>
  <c i="11" r="Q71" s="1"/>
  <c i="20" r="B245"/>
  <c i="11" r="N72" s="1"/>
  <c i="20" r="C245"/>
  <c i="11" r="O72" s="1"/>
  <c i="20" r="D245"/>
  <c i="11" r="P72" s="1"/>
  <c i="20" r="E245"/>
  <c i="11" r="Q72" s="1"/>
  <c i="20" r="B246"/>
  <c i="11" r="N73" s="1"/>
  <c i="20" r="C246"/>
  <c i="11" r="O73" s="1"/>
  <c i="20" r="D246"/>
  <c i="11" r="P73" s="1"/>
  <c i="20" r="E246"/>
  <c i="11" r="Q73" s="1"/>
  <c i="20" r="B247"/>
  <c i="11" r="N74" s="1"/>
  <c i="20" r="C247"/>
  <c i="11" r="O74" s="1"/>
  <c i="20" r="D247"/>
  <c i="11" r="P74" s="1"/>
  <c i="20" r="E247"/>
  <c i="11" r="Q74" s="1"/>
  <c i="20" r="B248"/>
  <c i="11" r="N75" s="1"/>
  <c i="20" r="C248"/>
  <c i="11" r="O75" s="1"/>
  <c i="20" r="D248"/>
  <c i="11" r="P75" s="1"/>
  <c i="20" r="E248"/>
  <c i="11" r="Q75" s="1"/>
  <c i="20" r="D252"/>
  <c i="11" r="P101" s="1"/>
  <c i="20" r="E252"/>
  <c i="11" r="Q101" s="1"/>
  <c i="20" r="B253"/>
  <c i="11" r="N102" s="1"/>
  <c i="20" r="C253"/>
  <c i="11" r="O102" s="1"/>
  <c i="20" r="D253"/>
  <c i="11" r="P102" s="1"/>
  <c i="20" r="E253"/>
  <c i="11" r="Q102" s="1"/>
  <c i="20" r="B254"/>
  <c i="11" r="N103" s="1"/>
  <c i="20" r="C254"/>
  <c i="11" r="O103" s="1"/>
  <c i="20" r="D254"/>
  <c i="11" r="P103" s="1"/>
  <c i="20" r="E254"/>
  <c i="11" r="Q103" s="1"/>
  <c i="20" r="B255"/>
  <c i="11" r="N104" s="1"/>
  <c i="20" r="C255"/>
  <c i="11" r="O104" s="1"/>
  <c i="20" r="D255"/>
  <c i="11" r="P104" s="1"/>
  <c i="20" r="E255"/>
  <c i="11" r="Q104" s="1"/>
  <c i="20" r="B256"/>
  <c i="11" r="N105" s="1"/>
  <c i="20" r="C256"/>
  <c i="11" r="O105" s="1"/>
  <c i="20" r="D256"/>
  <c i="11" r="P105" s="1"/>
  <c i="20" r="E256"/>
  <c i="11" r="Q105" s="1"/>
  <c i="20" r="B257"/>
  <c i="11" r="N106" s="1"/>
  <c i="20" r="C257"/>
  <c i="11" r="O106" s="1"/>
  <c i="20" r="D257"/>
  <c i="11" r="P106" s="1"/>
  <c i="20" r="E257"/>
  <c i="11" r="Q106" s="1"/>
  <c i="20" r="B258"/>
  <c i="11" r="N107" s="1"/>
  <c i="20" r="C258"/>
  <c i="11" r="O107" s="1"/>
  <c i="20" r="D258"/>
  <c i="11" r="P107" s="1"/>
  <c i="20" r="E258"/>
  <c i="11" r="Q107" s="1"/>
  <c i="20" r="B262"/>
  <c i="12" r="N5" s="1"/>
  <c i="20" r="C262"/>
  <c i="12" r="O5" s="1"/>
  <c i="20" r="D262"/>
  <c i="12" r="P5" s="1"/>
  <c i="20" r="E262"/>
  <c i="12" r="Q5" s="1"/>
  <c i="20" r="F262"/>
  <c i="12" r="R5" s="1"/>
  <c i="20" r="G262"/>
  <c i="12" r="S5" s="1"/>
  <c i="20" r="H262"/>
  <c i="12" r="U5" s="1"/>
  <c i="20" r="I262"/>
  <c i="12" r="V5" s="1"/>
  <c i="20" r="B263"/>
  <c i="12" r="N6" s="1"/>
  <c i="20" r="C263"/>
  <c i="12" r="O6" s="1"/>
  <c i="20" r="D263"/>
  <c i="12" r="P6" s="1"/>
  <c i="20" r="E263"/>
  <c i="12" r="Q6" s="1"/>
  <c i="20" r="F263"/>
  <c i="12" r="R6" s="1"/>
  <c i="20" r="G263"/>
  <c i="12" r="S6" s="1"/>
  <c i="20" r="H263"/>
  <c i="12" r="U6" s="1"/>
  <c i="20" r="I263"/>
  <c i="12" r="V6" s="1"/>
  <c i="20" r="B264"/>
  <c i="12" r="N7" s="1"/>
  <c i="20" r="C264"/>
  <c i="12" r="O7" s="1"/>
  <c i="20" r="D264"/>
  <c i="12" r="P7" s="1"/>
  <c i="20" r="E264"/>
  <c i="12" r="Q7" s="1"/>
  <c i="20" r="F264"/>
  <c i="12" r="R7" s="1"/>
  <c i="20" r="G264"/>
  <c i="12" r="S7" s="1"/>
  <c i="20" r="H264"/>
  <c i="12" r="U7" s="1"/>
  <c i="20" r="I264"/>
  <c i="12" r="V7" s="1"/>
  <c i="20" r="B265"/>
  <c i="12" r="N8" s="1"/>
  <c i="20" r="C265"/>
  <c i="12" r="O8" s="1"/>
  <c i="20" r="D265"/>
  <c i="12" r="P8" s="1"/>
  <c i="20" r="E265"/>
  <c i="12" r="Q8" s="1"/>
  <c i="20" r="F265"/>
  <c i="12" r="R8" s="1"/>
  <c i="20" r="G265"/>
  <c i="12" r="S8" s="1"/>
  <c i="20" r="H265"/>
  <c i="12" r="U8" s="1"/>
  <c i="20" r="I265"/>
  <c i="12" r="V8" s="1"/>
  <c i="20" r="B266"/>
  <c i="12" r="N9" s="1"/>
  <c i="20" r="C266"/>
  <c i="12" r="O9" s="1"/>
  <c i="20" r="D266"/>
  <c i="12" r="P9" s="1"/>
  <c i="20" r="E266"/>
  <c i="12" r="Q9" s="1"/>
  <c i="20" r="F266"/>
  <c i="12" r="R9" s="1"/>
  <c i="20" r="G266"/>
  <c i="12" r="S9" s="1"/>
  <c i="20" r="H266"/>
  <c i="12" r="U9" s="1"/>
  <c i="20" r="I266"/>
  <c i="12" r="V9" s="1"/>
  <c i="20" r="B267"/>
  <c i="12" r="N10" s="1"/>
  <c i="20" r="C267"/>
  <c i="12" r="O10" s="1"/>
  <c i="20" r="D267"/>
  <c i="12" r="P10" s="1"/>
  <c i="20" r="E267"/>
  <c i="12" r="Q10" s="1"/>
  <c i="20" r="F267"/>
  <c i="12" r="R10" s="1"/>
  <c i="20" r="G267"/>
  <c i="12" r="S10" s="1"/>
  <c i="20" r="H267"/>
  <c i="12" r="U10" s="1"/>
  <c i="20" r="I267"/>
  <c i="12" r="V10" s="1"/>
  <c i="20" r="B268"/>
  <c i="12" r="N11" s="1"/>
  <c i="20" r="C268"/>
  <c i="12" r="O11" s="1"/>
  <c i="20" r="D268"/>
  <c i="12" r="P11" s="1"/>
  <c i="20" r="E268"/>
  <c i="12" r="Q11" s="1"/>
  <c i="20" r="F268"/>
  <c i="12" r="R11" s="1"/>
  <c i="20" r="G268"/>
  <c i="12" r="S11" s="1"/>
  <c i="20" r="H268"/>
  <c i="12" r="U11" s="1"/>
  <c i="20" r="I268"/>
  <c i="12" r="V11" s="1"/>
  <c i="20" r="B269"/>
  <c i="12" r="N12" s="1"/>
  <c i="20" r="C269"/>
  <c i="12" r="O12" s="1"/>
  <c i="20" r="D269"/>
  <c i="12" r="P12" s="1"/>
  <c i="20" r="E269"/>
  <c i="12" r="Q12" s="1"/>
  <c i="20" r="F269"/>
  <c i="12" r="R12" s="1"/>
  <c i="20" r="G269"/>
  <c i="12" r="S12" s="1"/>
  <c i="20" r="H269"/>
  <c i="12" r="U12" s="1"/>
  <c i="20" r="I269"/>
  <c i="12" r="V12" s="1"/>
  <c i="20" r="B273"/>
  <c i="12" r="N39" s="1"/>
  <c i="20" r="C273"/>
  <c i="12" r="O39" s="1"/>
  <c i="20" r="D273"/>
  <c i="12" r="P39" s="1"/>
  <c i="20" r="E273"/>
  <c i="12" r="Q39" s="1"/>
  <c i="20" r="B274"/>
  <c i="12" r="N40" s="1"/>
  <c i="20" r="C274"/>
  <c i="12" r="O40" s="1"/>
  <c i="20" r="D274"/>
  <c i="12" r="P40" s="1"/>
  <c i="20" r="E274"/>
  <c i="12" r="Q40" s="1"/>
  <c i="20" r="B275"/>
  <c i="12" r="N41" s="1"/>
  <c i="20" r="C275"/>
  <c i="12" r="O41" s="1"/>
  <c i="20" r="D275"/>
  <c i="12" r="P41" s="1"/>
  <c i="20" r="E275"/>
  <c i="12" r="Q41" s="1"/>
  <c i="20" r="B276"/>
  <c i="12" r="N42" s="1"/>
  <c i="20" r="C276"/>
  <c i="12" r="O42" s="1"/>
  <c i="20" r="D276"/>
  <c i="12" r="P42" s="1"/>
  <c i="20" r="E276"/>
  <c i="12" r="Q42" s="1"/>
  <c i="20" r="B277"/>
  <c i="12" r="N43" s="1"/>
  <c i="20" r="C277"/>
  <c i="12" r="O43" s="1"/>
  <c i="20" r="D277"/>
  <c i="12" r="P43" s="1"/>
  <c i="20" r="E277"/>
  <c i="12" r="Q43" s="1"/>
  <c i="20" r="B278"/>
  <c i="12" r="N44" s="1"/>
  <c i="20" r="C278"/>
  <c i="12" r="O44" s="1"/>
  <c i="20" r="D278"/>
  <c i="12" r="P44" s="1"/>
  <c i="20" r="E278"/>
  <c i="12" r="Q44" s="1"/>
  <c i="20" r="B279"/>
  <c i="12" r="N45" s="1"/>
  <c i="20" r="C279"/>
  <c i="12" r="O45" s="1"/>
  <c i="20" r="D279"/>
  <c i="12" r="P45" s="1"/>
  <c i="20" r="E279"/>
  <c i="12" r="Q45" s="1"/>
  <c i="20" r="B280"/>
  <c i="12" r="N46" s="1"/>
  <c i="20" r="C280"/>
  <c i="12" r="O46" s="1"/>
  <c i="20" r="D280"/>
  <c i="12" r="P46" s="1"/>
  <c i="20" r="E280"/>
  <c i="12" r="Q46" s="1"/>
  <c i="20" r="B284"/>
  <c i="12" r="N73" s="1"/>
  <c i="20" r="C284"/>
  <c i="12" r="O73" s="1"/>
  <c i="20" r="D284"/>
  <c i="12" r="P73" s="1"/>
  <c i="20" r="E284"/>
  <c i="12" r="Q73" s="1"/>
  <c i="20" r="B285"/>
  <c i="12" r="N74" s="1"/>
  <c i="20" r="C285"/>
  <c i="12" r="O74" s="1"/>
  <c i="20" r="D285"/>
  <c i="12" r="P74" s="1"/>
  <c i="20" r="E285"/>
  <c i="12" r="Q74" s="1"/>
  <c i="20" r="B286"/>
  <c i="12" r="N75" s="1"/>
  <c i="20" r="C286"/>
  <c i="12" r="O75" s="1"/>
  <c i="20" r="D286"/>
  <c i="12" r="P75" s="1"/>
  <c i="20" r="E286"/>
  <c i="12" r="Q75" s="1"/>
  <c i="20" r="B287"/>
  <c i="12" r="N76" s="1"/>
  <c i="20" r="C287"/>
  <c i="12" r="O76" s="1"/>
  <c i="20" r="D287"/>
  <c i="12" r="P76" s="1"/>
  <c i="20" r="E287"/>
  <c i="12" r="Q76" s="1"/>
  <c i="20" r="B288"/>
  <c i="12" r="N77" s="1"/>
  <c i="20" r="C288"/>
  <c i="12" r="O77" s="1"/>
  <c i="20" r="D288"/>
  <c i="12" r="P77" s="1"/>
  <c i="20" r="E288"/>
  <c i="12" r="Q77" s="1"/>
  <c i="20" r="B289"/>
  <c i="12" r="N78" s="1"/>
  <c i="20" r="C289"/>
  <c i="12" r="O78" s="1"/>
  <c i="20" r="D289"/>
  <c i="12" r="P78" s="1"/>
  <c i="20" r="E289"/>
  <c i="12" r="Q78" s="1"/>
  <c i="20" r="B290"/>
  <c i="12" r="N79" s="1"/>
  <c i="20" r="C290"/>
  <c i="12" r="O79" s="1"/>
  <c i="20" r="D290"/>
  <c i="12" r="P79" s="1"/>
  <c i="20" r="E290"/>
  <c i="12" r="Q79" s="1"/>
  <c i="20" r="B291"/>
  <c i="12" r="N80" s="1"/>
  <c i="20" r="C291"/>
  <c i="12" r="O80" s="1"/>
  <c i="20" r="D291"/>
  <c i="12" r="P80" s="1"/>
  <c i="20" r="E291"/>
  <c i="12" r="Q80" s="1"/>
  <c i="20" r="B295"/>
  <c i="12" r="N107" s="1"/>
  <c i="20" r="C295"/>
  <c i="12" r="O107" s="1"/>
  <c i="20" r="D295"/>
  <c i="12" r="P107" s="1"/>
  <c i="20" r="E295"/>
  <c i="12" r="Q107" s="1"/>
  <c i="20" r="B296"/>
  <c i="12" r="N108" s="1"/>
  <c i="20" r="C296"/>
  <c i="12" r="O108" s="1"/>
  <c i="20" r="D296"/>
  <c i="12" r="P108" s="1"/>
  <c i="20" r="E296"/>
  <c i="12" r="Q108" s="1"/>
  <c i="20" r="B297"/>
  <c i="12" r="N109" s="1"/>
  <c i="20" r="C297"/>
  <c i="12" r="O109" s="1"/>
  <c i="20" r="D297"/>
  <c i="12" r="P109" s="1"/>
  <c i="20" r="E297"/>
  <c i="12" r="Q109" s="1"/>
  <c i="20" r="B298"/>
  <c i="12" r="N110" s="1"/>
  <c i="20" r="C298"/>
  <c i="12" r="O110" s="1"/>
  <c i="20" r="D298"/>
  <c i="12" r="P110" s="1"/>
  <c i="20" r="E298"/>
  <c i="12" r="Q110" s="1"/>
  <c i="20" r="B299"/>
  <c i="12" r="N111" s="1"/>
  <c i="20" r="C299"/>
  <c i="12" r="O111" s="1"/>
  <c i="20" r="D299"/>
  <c i="12" r="P111" s="1"/>
  <c i="20" r="E299"/>
  <c i="12" r="Q111" s="1"/>
  <c i="20" r="B300"/>
  <c i="12" r="N112" s="1"/>
  <c i="20" r="C300"/>
  <c i="12" r="O112" s="1"/>
  <c i="20" r="D300"/>
  <c i="12" r="P112" s="1"/>
  <c i="20" r="E300"/>
  <c i="12" r="Q112" s="1"/>
  <c i="20" r="B301"/>
  <c i="12" r="N113" s="1"/>
  <c i="20" r="C301"/>
  <c i="12" r="O113" s="1"/>
  <c i="20" r="D301"/>
  <c i="12" r="P113" s="1"/>
  <c i="20" r="E301"/>
  <c i="12" r="Q113" s="1"/>
  <c i="20" r="B302"/>
  <c i="12" r="N114" s="1"/>
  <c i="20" r="C302"/>
  <c i="12" r="O114" s="1"/>
  <c i="20" r="D302"/>
  <c i="12" r="P114" s="1"/>
  <c i="20" r="E302"/>
  <c i="12" r="Q114" s="1"/>
  <c i="20" r="B306"/>
  <c i="10" r="N15" s="1"/>
  <c i="12" r="N15" s="1"/>
  <c i="20" r="B307"/>
  <c i="10" r="O15" s="1"/>
  <c i="20" r="B308"/>
  <c i="10" r="P15" s="1"/>
  <c i="12" r="P15" s="1"/>
  <c i="20" r="B309"/>
  <c i="10" r="Q15" s="1"/>
  <c i="11" r="Q14" s="1"/>
  <c i="20" r="B310"/>
  <c i="10" r="R15" s="1"/>
  <c i="12" r="R15" s="1"/>
  <c i="20" r="B311"/>
  <c i="10" r="S15" s="1"/>
  <c i="20" r="B312"/>
  <c i="10" r="U15" s="1"/>
  <c i="12" r="U15" s="1"/>
  <c i="20" r="B313"/>
  <c i="10" r="V15" s="1"/>
  <c i="11" r="V14" s="1"/>
  <c i="20" r="B317"/>
  <c i="10" r="N50" s="1"/>
  <c i="20" r="B318"/>
  <c i="10" r="O50" s="1"/>
  <c i="12" r="O49" s="1"/>
  <c i="20" r="B319"/>
  <c i="10" r="P50" s="1"/>
  <c i="12" r="P49" s="1"/>
  <c i="20" r="B320"/>
  <c i="10" r="Q50" s="1"/>
  <c i="12" r="Q49" s="1"/>
  <c i="20" r="B324"/>
  <c i="10" r="N84" s="1"/>
  <c i="12" r="N83" s="1"/>
  <c i="20" r="B325"/>
  <c i="10" r="O84" s="1"/>
  <c i="20" r="B326"/>
  <c i="10" r="P84" s="1"/>
  <c i="12" r="P83" s="1"/>
  <c i="20" r="B327"/>
  <c i="10" r="Q84" s="1"/>
  <c i="11" r="Q78" s="1"/>
  <c i="20" r="B331"/>
  <c i="10" r="N118" s="1"/>
  <c i="20" r="B332"/>
  <c i="10" r="O118" s="1"/>
  <c i="11" r="O110" s="1"/>
  <c i="20" r="B333"/>
  <c i="10" r="P118" s="1"/>
  <c i="16" r="C6" s="1"/>
  <c i="20" r="B334"/>
  <c i="10" r="Q118" s="1"/>
  <c i="16" r="C7" s="1"/>
  <c i="24" l="1" r="J64"/>
  <c i="24" r="J67"/>
  <c i="24" r="J65"/>
  <c i="24" r="J68"/>
  <c i="24" r="J66"/>
  <c i="24" r="J69"/>
  <c i="24" r="G64"/>
  <c i="24" r="C64"/>
  <c i="24" r="C67"/>
  <c i="24" r="D67"/>
  <c i="24" r="F67"/>
  <c i="24" r="D65"/>
  <c i="24" r="D68"/>
  <c i="24" r="E65"/>
  <c i="24" r="E68"/>
  <c i="24" r="F65"/>
  <c i="24" r="F68"/>
  <c i="24" r="I67"/>
  <c i="24" r="G65"/>
  <c i="24" r="G68"/>
  <c i="24" r="H65"/>
  <c i="24" r="H68"/>
  <c i="24" r="H120"/>
  <c i="24" r="I65"/>
  <c i="24" r="I68"/>
  <c i="24" r="C63"/>
  <c i="24" r="C66"/>
  <c i="24" r="C69"/>
  <c i="24" r="D63"/>
  <c i="24" r="D66"/>
  <c i="24" r="D69"/>
  <c i="24" r="G67"/>
  <c i="24" r="C65"/>
  <c i="24" r="E66"/>
  <c i="24" r="E69"/>
  <c i="24" r="F66"/>
  <c i="24" r="F69"/>
  <c i="24" r="G63"/>
  <c i="24" r="G66"/>
  <c i="24" r="G69"/>
  <c i="24" r="I64"/>
  <c i="24" r="C68"/>
  <c i="24" r="H63"/>
  <c i="24" r="H66"/>
  <c i="24" r="H69"/>
  <c i="24" r="E67"/>
  <c i="24" r="H67"/>
  <c i="24" r="I66"/>
  <c i="24" r="I69"/>
  <c i="24" r="H64"/>
  <c i="24" r="D150"/>
  <c i="16" r="M64"/>
  <c i="21" r="H254"/>
  <c i="11" r="H102"/>
  <c i="11" r="I102" s="1"/>
  <c i="21" r="H213"/>
  <c i="10" r="H109"/>
  <c i="10" r="I109" s="1"/>
  <c i="24" r="E147"/>
  <c i="24" r="E146"/>
  <c i="21" r="J222"/>
  <c i="11" r="K5" s="1"/>
  <c i="21" r="J228"/>
  <c i="11" r="K11" s="1"/>
  <c i="21" r="J227"/>
  <c i="11" r="K10" s="1"/>
  <c i="21" r="J226"/>
  <c i="11" r="K9" s="1"/>
  <c i="21" r="J225"/>
  <c i="11" r="K8" s="1"/>
  <c i="21" r="J224"/>
  <c i="11" r="K7" s="1"/>
  <c i="21" r="J223"/>
  <c i="11" r="K6" s="1"/>
  <c i="20" r="J222"/>
  <c i="11" r="W5" s="1"/>
  <c i="11" r="AL5" s="1"/>
  <c i="20" r="J228"/>
  <c i="11" r="W11" s="1"/>
  <c i="11" r="AL11" s="1"/>
  <c i="20" r="J227"/>
  <c i="11" r="W10" s="1"/>
  <c i="20" r="J226"/>
  <c i="11" r="W9" s="1"/>
  <c i="11" r="AL9" s="1"/>
  <c i="20" r="J225"/>
  <c i="11" r="W8" s="1"/>
  <c i="11" r="AL8" s="1"/>
  <c i="20" r="J224"/>
  <c i="11" r="W7" s="1"/>
  <c i="11" r="AL7" s="1"/>
  <c i="20" r="J223"/>
  <c i="11" r="W6" s="1"/>
  <c i="24" r="E149"/>
  <c i="24" r="E148"/>
  <c i="24" r="E145"/>
  <c i="24" r="E144"/>
  <c i="24" r="C5"/>
  <c i="16" r="B33"/>
  <c i="16" r="L63" s="1"/>
  <c i="24" r="C6"/>
  <c i="16" r="B34"/>
  <c i="16" r="L64" s="1"/>
  <c i="24" r="C7"/>
  <c i="16" r="B35"/>
  <c i="16" r="L65" s="1"/>
  <c i="24" r="C8"/>
  <c i="16" r="B36"/>
  <c i="16" r="L66" s="1"/>
  <c i="24" r="C9"/>
  <c i="16" r="B37"/>
  <c i="16" r="L67" s="1"/>
  <c i="24" r="C10"/>
  <c i="16" r="B38"/>
  <c i="16" r="L68" s="1"/>
  <c i="24" r="C11"/>
  <c i="16" r="B39"/>
  <c i="16" r="L69" s="1"/>
  <c i="24" r="C12"/>
  <c i="16" r="B40"/>
  <c i="16" r="B71"/>
  <c i="9" r="C74"/>
  <c i="9" r="D74"/>
  <c i="9" r="E74"/>
  <c i="9" r="F74"/>
  <c i="9" r="B74"/>
  <c i="9" r="G74"/>
  <c i="9" r="H74"/>
  <c i="10" r="U112"/>
  <c i="10" r="I118"/>
  <c i="11" r="I110" s="1"/>
  <c i="20" r="H254"/>
  <c i="11" r="T103" s="1"/>
  <c i="9" r="Y6"/>
  <c i="20" r="H297"/>
  <c i="12" r="T109" s="1"/>
  <c i="12" r="U108"/>
  <c i="20" r="H213"/>
  <c i="10" r="T110" s="1"/>
  <c i="10" r="U109"/>
  <c i="10" r="AE113"/>
  <c i="10" r="U118"/>
  <c i="10" r="AD114"/>
  <c i="20" r="H252"/>
  <c i="11" r="T101" s="1"/>
  <c i="21" r="J184"/>
  <c i="10" r="K11" s="1"/>
  <c i="21" r="J183"/>
  <c i="10" r="K10" s="1"/>
  <c i="21" r="J182"/>
  <c i="10" r="K9" s="1"/>
  <c i="21" r="J181"/>
  <c i="10" r="K8" s="1"/>
  <c i="21" r="J180"/>
  <c i="10" r="K7" s="1"/>
  <c i="20" r="H257"/>
  <c i="11" r="T106" s="1"/>
  <c i="12" r="K11"/>
  <c i="12" r="K10"/>
  <c i="12" r="K8"/>
  <c i="12" r="K9"/>
  <c i="12" r="K7"/>
  <c i="10" r="AD48"/>
  <c i="10" r="AE112"/>
  <c i="12" r="AD112"/>
  <c i="12" r="S117"/>
  <c i="11" r="R110"/>
  <c i="12" r="AE112"/>
  <c i="12" r="E117"/>
  <c i="11" r="AE106"/>
  <c i="10" r="AE111"/>
  <c i="11" r="F110"/>
  <c i="10" r="AD109"/>
  <c i="11" r="AD9"/>
  <c i="11" r="AD5"/>
  <c i="10" r="Z109"/>
  <c i="6" r="Q51"/>
  <c i="6" r="R6"/>
  <c i="2" r="S18"/>
  <c i="12" r="AC113"/>
  <c i="10" r="AG9"/>
  <c i="10" r="AG5"/>
  <c i="6" r="Q16"/>
  <c i="9" r="X68"/>
  <c i="6" r="N39"/>
  <c i="11" r="S108"/>
  <c i="11" r="S111" s="1"/>
  <c i="12" r="AA78"/>
  <c i="12" r="AB44"/>
  <c i="15" r="M77"/>
  <c i="12" r="AC114"/>
  <c i="12" r="AE11"/>
  <c i="12" r="AE7"/>
  <c i="12" r="Z44"/>
  <c i="12" r="AD11"/>
  <c i="10" r="AE114"/>
  <c i="12" r="AD113"/>
  <c i="12" r="AE113"/>
  <c i="12" r="AD114"/>
  <c i="10" r="AD110"/>
  <c i="12" r="AE108"/>
  <c i="2" r="I17"/>
  <c i="12" r="AC112"/>
  <c i="12" r="AE110"/>
  <c i="11" r="AE103"/>
  <c i="6" r="N28"/>
  <c i="6" r="O6"/>
  <c i="20" r="H256"/>
  <c i="11" r="T105" s="1"/>
  <c i="12" r="AD109"/>
  <c i="11" r="AD75"/>
  <c i="12" r="AD108"/>
  <c i="11" r="AE104"/>
  <c i="10" r="AB78"/>
  <c i="10" r="AC44"/>
  <c i="12" r="AC108"/>
  <c i="10" r="AE110"/>
  <c i="11" r="AB101"/>
  <c i="11" r="R102"/>
  <c i="11" r="U102" s="1"/>
  <c i="10" r="AD111"/>
  <c i="12" r="AA74"/>
  <c i="12" r="AE9"/>
  <c i="12" r="AE5"/>
  <c i="10" r="AC111"/>
  <c i="10" r="AC77"/>
  <c i="9" r="V38"/>
  <c i="11" r="R103"/>
  <c i="11" r="AD103" s="1"/>
  <c i="12" r="AC109"/>
  <c i="10" r="AA112"/>
  <c i="11" r="F108"/>
  <c i="11" r="F124" s="1"/>
  <c i="12" r="Z74"/>
  <c i="6" r="I29"/>
  <c i="11" r="AE107"/>
  <c i="10" r="AE118"/>
  <c i="10" r="AA78"/>
  <c i="12" r="AC110"/>
  <c i="10" r="AD118"/>
  <c i="11" r="R107"/>
  <c i="11" r="AD107" s="1"/>
  <c i="10" r="AD115"/>
  <c i="11" r="AA7"/>
  <c i="16" r="C9"/>
  <c i="11" r="AE105"/>
  <c i="10" r="AD113"/>
  <c i="12" r="AC111"/>
  <c i="16" r="B9"/>
  <c i="10" r="AC118"/>
  <c i="12" r="G115"/>
  <c i="12" r="G127" s="1"/>
  <c i="12" r="AE107"/>
  <c i="12" r="AE114"/>
  <c i="12" r="F115"/>
  <c i="12" r="F127" s="1"/>
  <c i="12" r="AE111"/>
  <c i="12" r="AD111"/>
  <c i="11" r="G108"/>
  <c i="11" r="G124" s="1"/>
  <c i="11" r="AE101"/>
  <c i="11" r="AA105"/>
  <c i="11" r="AB72"/>
  <c i="11" r="AB39"/>
  <c i="10" r="AE109"/>
  <c i="10" r="AD112"/>
  <c i="10" r="AE115"/>
  <c i="10" r="AD108"/>
  <c i="10" r="F116"/>
  <c i="10" r="F133" s="1"/>
  <c i="15" r="F68"/>
  <c i="6" r="B60"/>
  <c i="15" r="E55"/>
  <c i="6" r="D50"/>
  <c i="6" r="H40"/>
  <c i="15" r="G17"/>
  <c i="6" r="G7"/>
  <c i="2" r="F78"/>
  <c i="2" r="E56"/>
  <c i="2" r="B44"/>
  <c i="2" r="J17"/>
  <c i="2" r="D20"/>
  <c i="12" r="AD110"/>
  <c i="11" r="AE102"/>
  <c i="12" r="AE109"/>
  <c i="10" r="R116"/>
  <c i="10" r="R125" s="1"/>
  <c i="10" r="S116"/>
  <c i="10" r="S125" s="1"/>
  <c i="10" r="G116"/>
  <c i="10" r="G119" s="1"/>
  <c i="12" r="R115"/>
  <c i="12" r="R129" s="1"/>
  <c i="12" r="S115"/>
  <c i="10" r="AE108"/>
  <c i="12" r="AD107"/>
  <c i="12" r="G117"/>
  <c i="11" r="AE110"/>
  <c i="9" r="Z70"/>
  <c i="9" r="V66"/>
  <c i="12" r="Z6"/>
  <c i="12" r="Z10"/>
  <c i="11" r="Z102"/>
  <c i="12" r="AA108"/>
  <c i="10" r="AD74"/>
  <c i="11" r="AD73"/>
  <c i="9" r="X6"/>
  <c i="10" r="AD7"/>
  <c i="10" r="AB11"/>
  <c i="9" r="AB10"/>
  <c i="9" r="Y70"/>
  <c i="9" r="X70"/>
  <c i="12" r="AD9"/>
  <c i="12" r="AD5"/>
  <c i="10" r="Z76"/>
  <c i="11" r="AB75"/>
  <c i="10" r="AC109"/>
  <c i="10" r="AA6"/>
  <c i="10" r="Z78"/>
  <c i="11" r="AA40"/>
  <c i="9" r="Z65"/>
  <c i="11" r="AH6"/>
  <c i="9" r="W6"/>
  <c i="10" r="AA44"/>
  <c i="21" r="H300"/>
  <c i="12" r="H112" s="1"/>
  <c i="21" r="H301"/>
  <c i="12" r="AC9"/>
  <c i="11" r="AA75"/>
  <c i="10" r="Z11"/>
  <c i="10" r="AA7"/>
  <c i="9" r="X10"/>
  <c i="12" r="AB73"/>
  <c i="10" r="Z7"/>
  <c i="9" r="Z37"/>
  <c i="9" r="Y5"/>
  <c i="9" r="V70"/>
  <c i="12" r="AB107"/>
  <c i="10" r="Z77"/>
  <c i="9" r="W65"/>
  <c i="12" r="AA73"/>
  <c i="12" r="AA39"/>
  <c i="12" r="AA9"/>
  <c i="12" r="AA5"/>
  <c i="11" r="AC74"/>
  <c i="11" r="AC41"/>
  <c i="11" r="AC10"/>
  <c i="10" r="AC110"/>
  <c i="10" r="AD76"/>
  <c i="10" r="AG10"/>
  <c i="9" r="V65"/>
  <c i="12" r="Z73"/>
  <c i="12" r="Z9"/>
  <c i="12" r="Z5"/>
  <c i="11" r="AB41"/>
  <c i="11" r="AB6"/>
  <c i="10" r="AB110"/>
  <c i="10" r="AE10"/>
  <c i="10" r="AG6"/>
  <c i="9" r="Y69"/>
  <c i="9" r="AB41"/>
  <c i="11" r="AA10"/>
  <c i="10" r="AA110"/>
  <c i="12" r="AA114"/>
  <c i="12" r="AA80"/>
  <c i="12" r="AG12"/>
  <c i="12" r="AG8"/>
  <c i="11" r="AB107"/>
  <c i="11" r="Z6"/>
  <c i="10" r="AA76"/>
  <c i="10" r="AC10"/>
  <c i="9" r="W69"/>
  <c i="9" r="Y9"/>
  <c i="12" r="Z39"/>
  <c i="12" r="AC46"/>
  <c i="11" r="AC73"/>
  <c i="11" r="AH5"/>
  <c i="10" r="AB10"/>
  <c i="12" r="AD12"/>
  <c i="12" r="AD8"/>
  <c i="11" r="AB73"/>
  <c i="11" r="AB40"/>
  <c i="11" r="AG6"/>
  <c i="12" r="AB80"/>
  <c i="12" r="AE12"/>
  <c i="12" r="AC45"/>
  <c i="11" r="AE5"/>
  <c i="10" r="AC43"/>
  <c i="11" r="AC107"/>
  <c i="12" r="Z114"/>
  <c i="12" r="AA113"/>
  <c i="12" r="AB8"/>
  <c i="11" r="Z40"/>
  <c i="12" r="AB114"/>
  <c i="11" r="AA41"/>
  <c i="11" r="AA107"/>
  <c i="12" r="AA79"/>
  <c i="12" r="AA12"/>
  <c i="11" r="AA106"/>
  <c i="11" r="AC72"/>
  <c i="10" r="AC108"/>
  <c i="12" r="AC78"/>
  <c i="12" r="Z12"/>
  <c i="11" r="Z106"/>
  <c i="12" r="Z45"/>
  <c i="12" r="Z8"/>
  <c i="12" r="AB78"/>
  <c i="12" r="AH11"/>
  <c i="10" r="AA11"/>
  <c i="12" r="AG7"/>
  <c i="12" r="AB108"/>
  <c i="12" r="AC74"/>
  <c i="12" r="AH9"/>
  <c i="12" r="AH5"/>
  <c i="10" r="AE7"/>
  <c i="9" r="AC11"/>
  <c i="10" r="AD80"/>
  <c i="9" r="AC39"/>
  <c i="12" r="AD74"/>
  <c i="10" r="Z74"/>
  <c i="9" r="W8"/>
  <c i="9" r="AC65"/>
  <c i="9" r="AC66"/>
  <c i="12" r="AC43"/>
  <c i="12" r="AC11"/>
  <c i="10" r="Z40"/>
  <c i="9" r="AB7"/>
  <c i="12" r="AB77"/>
  <c i="9" r="X35"/>
  <c i="10" r="Z118"/>
  <c i="12" r="AA77"/>
  <c i="11" r="AA104"/>
  <c i="10" r="Z47"/>
  <c i="9" r="X67"/>
  <c i="9" r="AA39"/>
  <c i="11" r="AB37"/>
  <c i="10" r="AE12"/>
  <c i="9" r="Z39"/>
  <c i="9" r="Y7"/>
  <c i="11" r="AB8"/>
  <c i="12" r="AB83"/>
  <c i="9" r="AB11"/>
  <c i="9" r="X7"/>
  <c i="12" r="AB76"/>
  <c i="11" r="Z37"/>
  <c i="10" r="Z114"/>
  <c i="10" r="Z80"/>
  <c i="10" r="AA46"/>
  <c i="10" r="AC12"/>
  <c i="10" r="AD8"/>
  <c i="9" r="Y71"/>
  <c i="9" r="AA11"/>
  <c i="9" r="W7"/>
  <c i="12" r="AA76"/>
  <c i="10" r="Z46"/>
  <c i="9" r="AA66"/>
  <c i="12" r="AB11"/>
  <c i="11" r="AA103"/>
  <c i="9" r="X71"/>
  <c i="11" r="Z103"/>
  <c i="11" r="AB69"/>
  <c i="10" r="AB113"/>
  <c i="10" r="AB79"/>
  <c i="10" r="AA12"/>
  <c i="9" r="V39"/>
  <c i="9" r="Y11"/>
  <c i="12" r="AC75"/>
  <c i="11" r="AE7"/>
  <c i="10" r="AA79"/>
  <c i="10" r="AB45"/>
  <c i="10" r="Z12"/>
  <c i="11" r="AA101"/>
  <c i="12" r="AB10"/>
  <c i="11" r="AD11"/>
  <c i="11" r="AD7"/>
  <c i="10" r="Z8"/>
  <c i="9" r="AA38"/>
  <c i="9" r="Z6"/>
  <c i="11" r="Z101"/>
  <c i="10" r="Z50"/>
  <c i="10" r="AG11"/>
  <c i="10" r="AH7"/>
  <c i="9" r="W66"/>
  <c i="9" r="Z38"/>
  <c i="20" r="H301"/>
  <c i="12" r="T113" s="1"/>
  <c i="10" r="AM7"/>
  <c i="11" r="AD71"/>
  <c i="12" r="AD80"/>
  <c i="2" r="P80"/>
  <c i="6" r="R39"/>
  <c i="6" r="T28"/>
  <c i="15" r="T80"/>
  <c i="6" r="S27"/>
  <c i="2" r="M8"/>
  <c i="15" r="P78"/>
  <c i="2" r="T7"/>
  <c i="6" r="M16"/>
  <c i="12" r="AA10"/>
  <c i="6" r="S29"/>
  <c i="15" r="M5"/>
  <c i="6" r="P73"/>
  <c i="6" r="P61"/>
  <c i="2" r="T5"/>
  <c i="2" r="R32"/>
  <c i="10" r="AM9"/>
  <c i="2" r="R19"/>
  <c i="6" r="M72"/>
  <c i="6" r="M50"/>
  <c i="6" r="M28"/>
  <c i="6" r="M6"/>
  <c i="10" r="S44"/>
  <c i="15" r="P67"/>
  <c i="15" r="N66"/>
  <c i="6" r="P18"/>
  <c i="15" r="Q7"/>
  <c i="15" r="S29"/>
  <c i="11" r="AA102"/>
  <c i="13" r="G21"/>
  <c i="11" r="AA38"/>
  <c i="10" r="AB5"/>
  <c i="12" r="AA110"/>
  <c i="12" r="AD76"/>
  <c i="10" r="AC115"/>
  <c i="11" r="Z104"/>
  <c i="9" r="V68"/>
  <c i="10" r="AA108"/>
  <c i="11" r="Z5"/>
  <c i="6" r="N61"/>
  <c i="15" r="N18"/>
  <c i="6" r="N7"/>
  <c i="2" r="O68"/>
  <c i="9" r="Z40"/>
  <c i="10" r="AC74"/>
  <c i="6" r="S61"/>
  <c i="15" r="S56"/>
  <c i="6" r="T39"/>
  <c i="1" r="R5"/>
  <c i="6" r="T17"/>
  <c i="2" r="M80"/>
  <c i="1" r="Q7"/>
  <c i="11" r="AD69"/>
  <c i="6" r="R5"/>
  <c i="15" r="P79"/>
  <c i="6" r="R17"/>
  <c i="9" r="AA68"/>
  <c i="6" r="O72"/>
  <c i="15" r="O66"/>
  <c i="6" r="O50"/>
  <c i="6" r="P39"/>
  <c i="6" r="Q28"/>
  <c i="15" r="Q19"/>
  <c i="15" r="R7"/>
  <c i="2" r="S32"/>
  <c i="6" r="P17"/>
  <c i="9" r="V37"/>
  <c i="6" r="O28"/>
  <c i="10" r="Z84"/>
  <c i="15" r="P80"/>
  <c i="15" r="T78"/>
  <c i="6" r="T61"/>
  <c i="6" r="R60"/>
  <c i="6" r="R38"/>
  <c i="15" r="Q66"/>
  <c i="16" r="C39"/>
  <c i="16" r="M69" s="1"/>
  <c i="15" r="P77"/>
  <c i="6" r="P62"/>
  <c i="6" r="R27"/>
  <c i="6" r="R16"/>
  <c i="15" r="S6"/>
  <c i="15" r="Q78"/>
  <c i="10" r="AB50"/>
  <c i="15" r="P41"/>
  <c i="15" r="Q8"/>
  <c i="15" r="M78"/>
  <c i="6" r="N38"/>
  <c i="15" r="T77"/>
  <c i="6" r="N29"/>
  <c i="15" r="O6"/>
  <c i="6" r="P71"/>
  <c i="9" r="AA7"/>
  <c i="6" r="R71"/>
  <c i="15" r="M20"/>
  <c i="2" r="N78"/>
  <c i="6" r="Q39"/>
  <c i="9" r="N72"/>
  <c i="9" r="N83" s="1"/>
  <c i="15" r="M68"/>
  <c i="9" r="G12"/>
  <c i="9" r="G23" s="1"/>
  <c i="6" r="T38"/>
  <c i="15" r="N19"/>
  <c i="2" r="E55"/>
  <c i="6" r="T16"/>
  <c i="15" r="I31"/>
  <c i="15" r="O30"/>
  <c i="2" r="E66"/>
  <c i="6" r="E71"/>
  <c i="12" r="Z43"/>
  <c i="12" r="AA11"/>
  <c i="10" r="AB108"/>
  <c i="9" r="V69"/>
  <c i="9" r="X5"/>
  <c i="2" r="M78"/>
  <c i="15" r="F19"/>
  <c i="15" r="B29"/>
  <c i="12" r="Z11"/>
  <c i="12" r="AA7"/>
  <c i="11" r="Z71"/>
  <c i="9" r="Y41"/>
  <c i="9" r="AA9"/>
  <c i="2" r="T78"/>
  <c i="9" r="AC71"/>
  <c i="6" r="P72"/>
  <c i="15" r="N42"/>
  <c i="10" r="AH9"/>
  <c i="10" r="Z6"/>
  <c i="9" r="X41"/>
  <c i="15" r="R17"/>
  <c i="2" r="T41"/>
  <c i="6" r="F61"/>
  <c i="15" r="T67"/>
  <c i="9" r="P42"/>
  <c i="9" r="P49" s="1"/>
  <c i="12" r="AG10"/>
  <c i="12" r="AH6"/>
  <c i="11" r="AB70"/>
  <c i="9" r="AB36"/>
  <c i="13" r="H17"/>
  <c i="15" r="Q17"/>
  <c i="15" r="R6"/>
  <c i="2" r="T32"/>
  <c i="15" r="I20"/>
  <c i="6" r="F39"/>
  <c i="6" r="B50"/>
  <c i="15" r="N8"/>
  <c i="12" r="AG6"/>
  <c i="15" r="P19"/>
  <c i="2" r="D44"/>
  <c i="2" r="H56"/>
  <c i="2" r="I77"/>
  <c i="15" r="G44"/>
  <c i="6" r="C49"/>
  <c i="6" r="H60"/>
  <c i="12" r="AA109"/>
  <c i="12" r="AD10"/>
  <c i="11" r="AE8"/>
  <c i="10" r="AC40"/>
  <c i="9" r="Z36"/>
  <c i="9" r="W9"/>
  <c i="6" r="T73"/>
  <c i="6" r="T62"/>
  <c i="6" r="T51"/>
  <c i="15" r="M41"/>
  <c i="15" r="O32"/>
  <c i="6" r="N16"/>
  <c i="6" r="N19" s="1"/>
  <c i="15" r="R44"/>
  <c i="12" r="AC10"/>
  <c i="12" r="AD6"/>
  <c i="10" r="Z115"/>
  <c i="10" r="AA81"/>
  <c i="10" r="AC9"/>
  <c i="10" r="AD5"/>
  <c i="9" r="Y36"/>
  <c i="15" r="S80"/>
  <c i="6" r="T40"/>
  <c i="3" r="S8"/>
  <c i="9" r="AA40"/>
  <c i="15" r="R41"/>
  <c i="12" r="AB41"/>
  <c i="10" r="Z81"/>
  <c i="10" r="AC5"/>
  <c i="9" r="AB8"/>
  <c i="15" r="R77"/>
  <c i="6" r="R62"/>
  <c i="12" r="AB9"/>
  <c i="6" r="P38"/>
  <c i="15" r="M8"/>
  <c i="2" r="B19"/>
  <c i="15" r="H77"/>
  <c i="9" r="AB70"/>
  <c i="10" r="Z79"/>
  <c i="12" r="AC41"/>
  <c i="12" r="Z41"/>
  <c i="11" r="AA8"/>
  <c i="10" r="AA114"/>
  <c i="10" r="AB80"/>
  <c i="10" r="AH12"/>
  <c i="9" r="V36"/>
  <c i="6" r="S5"/>
  <c i="6" r="S8" s="1"/>
  <c i="6" r="F16"/>
  <c i="9" r="AC38"/>
  <c i="12" r="AB75"/>
  <c i="6" r="P60"/>
  <c i="6" r="M61"/>
  <c i="10" r="Z5"/>
  <c i="9" r="W40"/>
  <c i="6" r="P40"/>
  <c i="6" r="O61"/>
  <c i="12" r="Q115"/>
  <c i="12" r="Q132" s="1"/>
  <c i="6" r="Q18"/>
  <c i="15" r="N68"/>
  <c i="10" r="AE8"/>
  <c i="6" r="M62"/>
  <c i="15" r="N44"/>
  <c i="15" r="N32"/>
  <c i="6" r="P16"/>
  <c i="6" r="P19" s="1"/>
  <c i="1" r="O7"/>
  <c i="15" r="T79"/>
  <c i="6" r="O7"/>
  <c i="2" r="Q32"/>
  <c i="3" r="T12"/>
  <c i="9" r="V8"/>
  <c i="16" r="C25"/>
  <c i="15" r="P65"/>
  <c i="9" r="Z35"/>
  <c i="9" r="V40"/>
  <c i="10" r="AC114"/>
  <c i="12" r="AC6"/>
  <c i="6" r="T71"/>
  <c i="6" r="T72"/>
  <c i="12" r="Q15"/>
  <c i="15" r="T41"/>
  <c i="12" r="N49"/>
  <c i="10" r="AA74"/>
  <c i="9" r="Z68"/>
  <c i="15" r="M17"/>
  <c i="6" r="T18"/>
  <c i="12" r="Q83"/>
  <c i="10" r="AD9"/>
  <c i="9" r="Y68"/>
  <c i="15" r="N65"/>
  <c i="15" r="T17"/>
  <c i="10" r="AB9"/>
  <c i="15" r="Q31"/>
  <c i="10" r="AB40"/>
  <c i="15" r="P44"/>
  <c i="15" r="S18"/>
  <c i="9" r="Z8"/>
  <c i="9" r="W36"/>
  <c i="9" r="W68"/>
  <c i="11" r="AA71"/>
  <c i="15" r="M53"/>
  <c i="15" r="N41"/>
  <c i="15" r="P29"/>
  <c i="2" r="S65"/>
  <c i="10" r="AB74"/>
  <c i="9" r="AC35"/>
  <c i="10" r="AH5"/>
  <c i="15" r="Q80"/>
  <c i="15" r="Q6"/>
  <c i="9" r="V41"/>
  <c i="11" r="Q110"/>
  <c i="15" r="M31"/>
  <c i="2" r="P77"/>
  <c i="12" r="AC7"/>
  <c i="12" r="AA43"/>
  <c i="15" r="P43"/>
  <c i="6" r="R40"/>
  <c i="15" r="R30"/>
  <c i="2" r="O80"/>
  <c i="10" r="AC41"/>
  <c i="12" r="AB43"/>
  <c i="15" r="M42"/>
  <c i="15" r="Q43"/>
  <c i="1" r="R8"/>
  <c i="6" r="N71"/>
  <c i="6" r="N62"/>
  <c i="6" r="N50"/>
  <c i="2" r="N77"/>
  <c i="2" r="P42"/>
  <c i="2" r="R17"/>
  <c i="2" r="I53"/>
  <c i="6" r="F17"/>
  <c i="9" r="V5"/>
  <c i="10" r="AB6"/>
  <c i="15" r="B18"/>
  <c i="10" r="AC6"/>
  <c i="15" r="M80"/>
  <c i="2" r="P29"/>
  <c i="2" r="Q20"/>
  <c i="15" r="P17"/>
  <c i="10" r="AC112"/>
  <c i="6" r="R18"/>
  <c i="2" r="M54"/>
  <c i="2" r="P5"/>
  <c i="3" r="R14"/>
  <c i="9" r="X69"/>
  <c i="10" r="Z110"/>
  <c i="11" r="Z73"/>
  <c i="12" r="AH7"/>
  <c i="12" r="Z78"/>
  <c i="6" r="O49"/>
  <c i="15" r="O55"/>
  <c i="9" r="R72"/>
  <c i="9" r="R80" s="1"/>
  <c i="15" r="S55"/>
  <c i="2" r="R80"/>
  <c i="2" r="R68"/>
  <c i="2" r="M32"/>
  <c i="2" r="N17"/>
  <c i="6" r="B40"/>
  <c i="9" r="Z5"/>
  <c i="2" r="M18"/>
  <c i="2" r="H17"/>
  <c i="2" r="I41"/>
  <c i="15" r="C43"/>
  <c i="6" r="H51"/>
  <c i="15" r="I78"/>
  <c i="9" r="AA69"/>
  <c i="10" r="AH6"/>
  <c i="2" r="T20"/>
  <c i="15" r="D67"/>
  <c i="15" r="R65"/>
  <c i="12" r="AB79"/>
  <c i="6" r="N18"/>
  <c i="2" r="R29"/>
  <c i="2" r="S20"/>
  <c i="9" r="AB69"/>
  <c i="10" r="Z111"/>
  <c i="12" r="AE8"/>
  <c i="3" r="T17"/>
  <c i="9" r="V6"/>
  <c i="12" r="AB113"/>
  <c i="6" r="T60"/>
  <c i="12" r="AC79"/>
  <c i="6" r="P28"/>
  <c i="2" r="N31"/>
  <c i="9" r="Y38"/>
  <c i="9" r="AB65"/>
  <c i="10" r="Z112"/>
  <c i="11" r="Z75"/>
  <c i="12" r="AA46"/>
  <c i="6" r="Q17"/>
  <c i="10" r="AD11"/>
  <c i="10" r="AB44"/>
  <c i="6" r="R61"/>
  <c i="15" r="O31"/>
  <c i="15" r="S53"/>
  <c i="6" r="Q6"/>
  <c i="12" r="AH12"/>
  <c i="10" r="AC78"/>
  <c i="3" r="O5"/>
  <c i="9" r="V7"/>
  <c i="10" r="Z113"/>
  <c i="15" r="O7"/>
  <c i="6" r="P51"/>
  <c i="15" r="R42"/>
  <c i="2" r="O67"/>
  <c i="6" r="N60"/>
  <c i="10" r="AB8"/>
  <c i="15" r="O53"/>
  <c i="11" r="AC38"/>
  <c i="6" r="D7"/>
  <c i="6" r="I18"/>
  <c i="15" r="E32"/>
  <c i="15" r="B67"/>
  <c i="11" r="AG11"/>
  <c i="11" r="Z69"/>
  <c i="12" r="AC107"/>
  <c i="12" r="P115"/>
  <c i="15" r="T65"/>
  <c i="15" r="R18"/>
  <c i="9" r="Y39"/>
  <c i="10" r="AC113"/>
  <c i="12" r="Z108"/>
  <c i="6" r="N17"/>
  <c i="15" r="S66"/>
  <c i="2" r="S66"/>
  <c i="15" r="R20"/>
  <c i="12" r="AC42"/>
  <c i="12" r="AH10"/>
  <c i="11" r="AA5"/>
  <c i="15" r="R66"/>
  <c i="10" r="AD12"/>
  <c i="6" r="R51"/>
  <c i="6" r="R49"/>
  <c i="15" r="R53"/>
  <c i="15" r="R54"/>
  <c i="15" r="Q42"/>
  <c i="15" r="Q41"/>
  <c i="12" r="Z112"/>
  <c i="12" r="Z109"/>
  <c i="16" r="C67"/>
  <c i="16" r="M67" s="1"/>
  <c i="15" r="R8"/>
  <c i="6" r="R7"/>
  <c i="6" r="N6"/>
  <c i="15" r="N5"/>
  <c i="15" r="N7"/>
  <c i="15" r="N6"/>
  <c i="6" r="N5"/>
  <c i="15" r="S7"/>
  <c i="6" r="S6"/>
  <c i="6" r="O5"/>
  <c i="6" r="O8" s="1"/>
  <c i="15" r="O5"/>
  <c i="2" r="Q78"/>
  <c i="2" r="Q80"/>
  <c i="2" r="S42"/>
  <c i="2" r="S44"/>
  <c i="16" r="C66"/>
  <c i="3" r="M11"/>
  <c i="6" r="N51"/>
  <c i="15" r="R68"/>
  <c i="6" r="R50"/>
  <c i="11" r="N14"/>
  <c i="11" r="N78"/>
  <c i="16" r="C18"/>
  <c i="9" r="Y66"/>
  <c i="9" r="X65"/>
  <c i="9" r="AA41"/>
  <c i="15" r="S32"/>
  <c i="6" r="O29"/>
  <c i="15" r="S5"/>
  <c i="2" r="M79"/>
  <c i="2" r="M77"/>
  <c i="2" r="O30"/>
  <c i="2" r="T19"/>
  <c i="2" r="P19"/>
  <c i="2" r="T17"/>
  <c i="2" r="U18"/>
  <c i="3" r="S7"/>
  <c i="3" r="T11"/>
  <c i="1" r="Q8"/>
  <c i="2" r="E67"/>
  <c i="2" r="U65"/>
  <c i="13" r="H8"/>
  <c i="1" r="D8"/>
  <c i="2" r="H5"/>
  <c i="15" r="I55"/>
  <c i="15" r="G55"/>
  <c i="13" r="H16"/>
  <c i="15" r="Q44"/>
  <c i="6" r="Q40"/>
  <c i="11" r="N110"/>
  <c i="12" r="N117"/>
  <c i="10" r="AD15"/>
  <c i="11" r="R14"/>
  <c i="6" r="Q62"/>
  <c i="15" r="Q68"/>
  <c i="15" r="Q67"/>
  <c i="6" r="Q61"/>
  <c i="6" r="Q60"/>
  <c i="15" r="Q65"/>
  <c i="6" r="M60"/>
  <c i="15" r="M66"/>
  <c i="15" r="M65"/>
  <c i="2" r="N66"/>
  <c i="2" r="N68"/>
  <c i="6" r="M38"/>
  <c i="15" r="O54"/>
  <c i="15" r="R67"/>
  <c i="12" r="Z80"/>
  <c i="6" r="N49"/>
  <c i="15" r="N54"/>
  <c i="6" r="S50"/>
  <c i="6" r="Q38"/>
  <c i="11" r="N46"/>
  <c i="16" r="C22"/>
  <c i="11" r="AC5"/>
  <c i="10" r="Q116"/>
  <c i="10" r="Q126" s="1"/>
  <c i="6" r="Q72"/>
  <c i="15" r="M67"/>
  <c i="6" r="S7"/>
  <c i="15" r="O8"/>
  <c i="2" r="R66"/>
  <c i="2" r="N65"/>
  <c i="2" r="M20"/>
  <c i="9" r="O42"/>
  <c i="9" r="O52" s="1"/>
  <c i="9" r="Y35"/>
  <c i="6" r="S49"/>
  <c i="15" r="S54"/>
  <c i="15" r="M44"/>
  <c i="6" r="M40"/>
  <c i="6" r="M39"/>
  <c i="15" r="M43"/>
  <c i="3" r="P17"/>
  <c i="3" r="P7"/>
  <c i="12" r="Z107"/>
  <c i="12" r="N115"/>
  <c i="12" r="N131" s="1"/>
  <c i="9" r="AC69"/>
  <c i="9" r="AB66"/>
  <c i="6" r="R28"/>
  <c i="15" r="R32"/>
  <c i="6" r="R29"/>
  <c i="15" r="N30"/>
  <c i="6" r="N27"/>
  <c i="15" r="S31"/>
  <c i="6" r="S28"/>
  <c i="6" r="O27"/>
  <c i="15" r="O29"/>
  <c i="15" r="Q18"/>
  <c i="15" r="Q20"/>
  <c i="15" r="M18"/>
  <c i="6" r="M18"/>
  <c i="15" r="M19"/>
  <c i="6" r="M17"/>
  <c i="2" r="I32"/>
  <c i="2" r="I29"/>
  <c i="15" r="B42"/>
  <c i="15" r="B43"/>
  <c i="6" r="I51"/>
  <c i="6" r="I50"/>
  <c i="12" r="E83"/>
  <c i="11" r="E78"/>
  <c i="11" r="AC78" s="1"/>
  <c i="2" r="S6"/>
  <c i="15" r="N67"/>
  <c i="12" r="Z110"/>
  <c i="9" r="Z71"/>
  <c i="9" r="V71"/>
  <c i="9" r="V35"/>
  <c i="9" r="AA8"/>
  <c i="15" r="T55"/>
  <c i="15" r="S30"/>
  <c i="3" r="R17"/>
  <c i="3" r="N5"/>
  <c i="1" r="Q5"/>
  <c i="11" r="AG5"/>
  <c i="12" r="AD77"/>
  <c i="12" r="Z76"/>
  <c i="11" r="AC103"/>
  <c i="11" r="AD72"/>
  <c i="11" r="AB7"/>
  <c i="10" r="AA75"/>
  <c i="9" r="V67"/>
  <c i="9" r="V11"/>
  <c i="9" r="R12"/>
  <c i="9" r="R20" s="1"/>
  <c i="13" r="G22"/>
  <c i="6" r="S51"/>
  <c i="2" r="N80"/>
  <c i="3" r="N6"/>
  <c i="9" r="Y67"/>
  <c i="10" r="AB115"/>
  <c i="11" r="AA42"/>
  <c i="6" r="N40"/>
  <c i="15" r="M29"/>
  <c i="15" r="M7"/>
  <c i="15" r="N20"/>
  <c i="15" r="S8"/>
  <c i="15" r="R19"/>
  <c i="11" r="S40"/>
  <c i="11" r="N108"/>
  <c i="11" r="N119" s="1"/>
  <c i="11" r="P110"/>
  <c i="2" r="N20"/>
  <c i="2" r="M30"/>
  <c i="10" r="AC84"/>
  <c i="10" r="AC50"/>
  <c i="12" r="Z79"/>
  <c i="12" r="AB45"/>
  <c i="12" r="AG11"/>
  <c i="11" r="AD8"/>
  <c i="11" r="Z8"/>
  <c i="11" r="AA6"/>
  <c i="10" r="AC81"/>
  <c i="10" r="AC42"/>
  <c i="10" r="Z41"/>
  <c i="10" r="AE11"/>
  <c i="9" r="AB38"/>
  <c i="9" r="X37"/>
  <c i="2" r="Q42"/>
  <c i="2" r="R43"/>
  <c i="2" r="Q8"/>
  <c i="1" r="T6"/>
  <c i="1" r="T5"/>
  <c i="2" r="U55"/>
  <c i="6" r="U72"/>
  <c i="13" r="G8"/>
  <c i="13" r="H5"/>
  <c i="1" r="F8"/>
  <c i="3" r="E5"/>
  <c i="3" r="F17"/>
  <c i="2" r="D7"/>
  <c i="2" r="H7"/>
  <c i="2" r="C5"/>
  <c i="2" r="E8"/>
  <c i="2" r="I8"/>
  <c i="9" r="W35"/>
  <c i="9" r="AA35"/>
  <c i="9" r="Y37"/>
  <c i="9" r="AB68"/>
  <c i="10" r="AA42"/>
  <c i="10" r="Z44"/>
  <c i="10" r="AB75"/>
  <c i="10" r="AC79"/>
  <c i="11" r="AC6"/>
  <c i="11" r="AA37"/>
  <c i="11" r="AB71"/>
  <c i="11" r="AA72"/>
  <c i="12" r="Z77"/>
  <c i="12" r="AB40"/>
  <c i="12" r="AC5"/>
  <c i="11" r="AC104"/>
  <c i="11" r="Z72"/>
  <c i="11" r="AA70"/>
  <c i="11" r="AG7"/>
  <c i="9" r="Z67"/>
  <c i="9" r="Z11"/>
  <c i="9" r="Y10"/>
  <c i="9" r="X9"/>
  <c i="6" r="O51"/>
  <c i="2" r="S68"/>
  <c i="3" r="R15"/>
  <c i="3" r="R13"/>
  <c i="3" r="R7"/>
  <c i="9" r="X66"/>
  <c i="10" r="AB114"/>
  <c i="11" r="AB5"/>
  <c i="12" r="AA42"/>
  <c i="12" r="AC77"/>
  <c i="9" r="O12"/>
  <c i="9" r="O23" s="1"/>
  <c i="15" r="O56"/>
  <c i="10" r="AA50"/>
  <c i="10" r="AB84"/>
  <c i="12" r="Q81"/>
  <c i="12" r="Q98" s="1"/>
  <c i="10" r="AB47"/>
  <c i="10" r="S46"/>
  <c i="9" r="O72"/>
  <c i="9" r="O86" s="1"/>
  <c i="9" r="Y40"/>
  <c i="9" r="X39"/>
  <c i="6" r="S72"/>
  <c i="6" r="S73"/>
  <c i="6" r="O73"/>
  <c i="15" r="O80"/>
  <c i="15" r="S67"/>
  <c i="15" r="O67"/>
  <c i="6" r="T50"/>
  <c i="15" r="P56"/>
  <c i="6" r="U49"/>
  <c i="15" r="Q55"/>
  <c i="15" r="M55"/>
  <c i="15" r="R55"/>
  <c i="15" r="N53"/>
  <c i="15" r="S44"/>
  <c i="15" r="O44"/>
  <c i="15" r="S43"/>
  <c i="15" r="O43"/>
  <c i="6" r="S38"/>
  <c i="15" r="T29"/>
  <c i="15" r="P32"/>
  <c i="15" r="Q32"/>
  <c i="15" r="M32"/>
  <c i="15" r="R31"/>
  <c i="15" r="N31"/>
  <c i="6" r="S17"/>
  <c i="6" r="O16"/>
  <c i="6" r="O19" s="1"/>
  <c i="15" r="T7"/>
  <c i="15" r="P5"/>
  <c i="6" r="Q7"/>
  <c i="6" r="M7"/>
  <c i="15" r="R5"/>
  <c i="2" r="S80"/>
  <c i="2" r="S79"/>
  <c i="2" r="O79"/>
  <c i="2" r="S78"/>
  <c i="2" r="O78"/>
  <c i="2" r="T68"/>
  <c i="2" r="P68"/>
  <c i="2" r="T67"/>
  <c i="2" r="T65"/>
  <c i="2" r="P66"/>
  <c i="2" r="Q66"/>
  <c i="2" r="M65"/>
  <c i="2" r="R55"/>
  <c i="2" r="O44"/>
  <c i="2" r="R20"/>
  <c i="3" r="O11"/>
  <c i="3" r="S13"/>
  <c i="3" r="O10"/>
  <c i="3" r="T8"/>
  <c i="3" r="T7"/>
  <c i="3" r="T5"/>
  <c i="3" r="P11"/>
  <c i="3" r="Q8"/>
  <c i="1" r="R6"/>
  <c i="1" r="S5"/>
  <c i="1" r="O8"/>
  <c i="11" r="D78"/>
  <c i="6" r="J17"/>
  <c i="6" r="B39"/>
  <c i="6" r="C73"/>
  <c i="15" r="G77"/>
  <c i="13" r="C6"/>
  <c i="9" r="Y8"/>
  <c i="9" r="AB71"/>
  <c i="10" r="AD10"/>
  <c i="10" r="AG12"/>
  <c i="10" r="AC75"/>
  <c i="10" r="AB76"/>
  <c i="10" r="AA77"/>
  <c i="11" r="AD6"/>
  <c i="11" r="AC8"/>
  <c i="11" r="Z43"/>
  <c i="11" r="AC70"/>
  <c i="12" r="AB109"/>
  <c i="12" r="AB112"/>
  <c i="9" r="S72"/>
  <c i="9" r="S80" s="1"/>
  <c i="10" r="AD77"/>
  <c i="10" r="AD81"/>
  <c i="13" r="G18"/>
  <c i="13" r="H22"/>
  <c i="12" r="AB12"/>
  <c i="12" r="AA8"/>
  <c i="12" r="O13"/>
  <c i="12" r="O25" s="1"/>
  <c i="12" r="AB6"/>
  <c i="12" r="P13"/>
  <c i="12" r="P30" s="1"/>
  <c i="10" r="AA84"/>
  <c i="11" r="O78"/>
  <c i="11" r="AA78" s="1"/>
  <c i="10" r="R84"/>
  <c i="12" r="R83" s="1"/>
  <c i="12" r="S15"/>
  <c i="11" r="S14"/>
  <c i="16" r="C23"/>
  <c i="11" r="O14"/>
  <c i="11" r="AA14" s="1"/>
  <c i="12" r="O15"/>
  <c i="16" r="C19"/>
  <c i="12" r="AA112"/>
  <c i="12" r="AA111"/>
  <c i="12" r="O115"/>
  <c i="12" r="O130" s="1"/>
  <c i="12" r="AA107"/>
  <c i="12" r="AA75"/>
  <c i="12" r="O81"/>
  <c i="12" r="O94" s="1"/>
  <c i="12" r="P81"/>
  <c i="12" r="P94" s="1"/>
  <c i="12" r="AB74"/>
  <c i="11" r="AC106"/>
  <c i="11" r="AC105"/>
  <c i="11" r="AC102"/>
  <c i="11" r="Q108"/>
  <c i="11" r="Q123" s="1"/>
  <c i="11" r="AC101"/>
  <c i="11" r="AC42"/>
  <c i="11" r="S42"/>
  <c i="11" r="S41"/>
  <c i="11" r="Z41"/>
  <c i="10" r="AM10"/>
  <c i="16" r="C38"/>
  <c i="16" r="M68" s="1"/>
  <c i="9" r="AC70"/>
  <c i="12" r="AI5"/>
  <c i="16" r="C63"/>
  <c i="12" r="R81"/>
  <c i="12" r="R97" s="1"/>
  <c i="12" r="AD73"/>
  <c i="16" r="D70"/>
  <c i="16" r="E70" s="1"/>
  <c i="12" r="AI12"/>
  <c i="15" r="S68"/>
  <c i="6" r="M49"/>
  <c i="15" r="O42"/>
  <c i="6" r="S18"/>
  <c i="2" r="O5"/>
  <c i="3" r="M13"/>
  <c i="2" r="G56"/>
  <c i="15" r="S17"/>
  <c i="15" r="S41"/>
  <c i="15" r="S65"/>
  <c i="13" r="G7"/>
  <c i="13" r="H21"/>
  <c i="6" r="P5"/>
  <c i="6" r="P8" s="1"/>
  <c i="6" r="T5"/>
  <c i="6" r="T8" s="1"/>
  <c i="6" r="P7"/>
  <c i="6" r="T7"/>
  <c i="15" r="P20"/>
  <c i="6" r="P27"/>
  <c i="6" r="T27"/>
  <c i="6" r="P29"/>
  <c i="6" r="T29"/>
  <c i="6" r="O39"/>
  <c i="6" r="S39"/>
  <c i="6" r="P49"/>
  <c i="6" r="T49"/>
  <c i="6" r="Q50"/>
  <c i="15" r="T56"/>
  <c i="15" r="P66"/>
  <c i="15" r="T66"/>
  <c i="15" r="P68"/>
  <c i="15" r="T68"/>
  <c i="10" r="AC46"/>
  <c i="15" r="T5"/>
  <c i="15" r="N29"/>
  <c i="15" r="P53"/>
  <c i="13" r="H7"/>
  <c i="13" r="H20"/>
  <c i="6" r="P6"/>
  <c i="6" r="T6"/>
  <c i="15" r="T19"/>
  <c i="15" r="P31"/>
  <c i="15" r="T31"/>
  <c i="6" r="O38"/>
  <c i="15" r="T43"/>
  <c i="6" r="O40"/>
  <c i="15" r="M54"/>
  <c i="6" r="O71"/>
  <c i="9" r="N12"/>
  <c i="9" r="N19" s="1"/>
  <c i="1" r="S8"/>
  <c i="2" r="O8"/>
  <c i="2" r="P32"/>
  <c i="3" r="O17"/>
  <c i="2" r="M66"/>
  <c i="2" r="T77"/>
  <c i="2" r="Q68"/>
  <c i="2" r="Q65"/>
  <c i="2" r="T66"/>
  <c i="2" r="O77"/>
  <c i="1" r="O5"/>
  <c i="3" r="M5"/>
  <c i="3" r="M7"/>
  <c i="3" r="S9"/>
  <c i="3" r="R12"/>
  <c i="3" r="P14"/>
  <c i="2" r="P31"/>
  <c i="2" r="R53"/>
  <c i="2" r="T79"/>
  <c i="1" r="T7"/>
  <c i="3" r="Q6"/>
  <c i="3" r="S14"/>
  <c i="2" r="R44"/>
  <c i="12" r="AB110"/>
  <c i="12" r="N81"/>
  <c i="12" r="N94" s="1"/>
  <c i="12" r="AB39"/>
  <c i="12" r="AC12"/>
  <c i="2" r="P78"/>
  <c i="2" r="Q77"/>
  <c i="2" r="S55"/>
  <c i="2" r="O56"/>
  <c i="2" r="P55"/>
  <c i="2" r="U53"/>
  <c i="2" r="Q56"/>
  <c i="2" r="M56"/>
  <c i="3" r="S12"/>
  <c i="3" r="O12"/>
  <c i="3" r="P10"/>
  <c i="3" r="M9"/>
  <c i="15" r="F20"/>
  <c i="6" r="I16"/>
  <c i="6" r="I27"/>
  <c i="15" r="B44"/>
  <c i="6" r="E50"/>
  <c i="15" r="I53"/>
  <c i="12" r="G43"/>
  <c i="6" r="E49"/>
  <c i="2" r="U20"/>
  <c i="2" r="U44"/>
  <c i="2" r="U68"/>
  <c i="2" r="J5"/>
  <c i="2" r="D8"/>
  <c i="2" r="B32"/>
  <c i="2" r="E65"/>
  <c i="15" r="E17"/>
  <c i="15" r="C19"/>
  <c i="6" r="B18"/>
  <c i="6" r="H27"/>
  <c i="6" r="F40"/>
  <c i="9" r="X8"/>
  <c i="9" r="AB67"/>
  <c i="10" r="AH10"/>
  <c i="11" r="Z74"/>
  <c i="11" r="AC75"/>
  <c i="10" r="P116"/>
  <c i="10" r="P125" s="1"/>
  <c i="9" r="S42"/>
  <c i="9" r="S51" s="1"/>
  <c i="15" r="S78"/>
  <c i="15" r="O68"/>
  <c i="6" r="Q49"/>
  <c i="6" r="O17"/>
  <c i="2" r="O6"/>
  <c i="3" r="N14"/>
  <c i="3" r="P6"/>
  <c i="15" r="Q5"/>
  <c i="15" r="Q29"/>
  <c i="15" r="Q53"/>
  <c i="13" r="H6"/>
  <c i="13" r="H19"/>
  <c i="15" r="P6"/>
  <c i="15" r="T6"/>
  <c i="15" r="P8"/>
  <c i="15" r="T8"/>
  <c i="15" r="P18"/>
  <c i="15" r="T18"/>
  <c i="15" r="O19"/>
  <c i="15" r="T20"/>
  <c i="15" r="P30"/>
  <c i="15" r="T30"/>
  <c i="15" r="T32"/>
  <c i="15" r="P42"/>
  <c i="15" r="T42"/>
  <c i="15" r="T44"/>
  <c i="15" r="P54"/>
  <c i="15" r="T54"/>
  <c i="15" r="N56"/>
  <c i="9" r="Y65"/>
  <c i="13" r="G6"/>
  <c i="13" r="H18"/>
  <c i="15" r="P7"/>
  <c i="6" r="M27"/>
  <c i="6" r="Q27"/>
  <c i="6" r="M29"/>
  <c i="6" r="Q29"/>
  <c i="6" r="S40"/>
  <c i="15" r="Q54"/>
  <c i="15" r="P55"/>
  <c i="6" r="M51"/>
  <c i="9" r="AB5"/>
  <c i="9" r="L72"/>
  <c i="9" r="L80" s="1"/>
  <c i="9" r="P72"/>
  <c i="9" r="P83" s="1"/>
  <c i="2" r="N32"/>
  <c i="2" r="Q44"/>
  <c i="3" r="M17"/>
  <c i="2" r="O32"/>
  <c i="2" r="T80"/>
  <c i="1" r="S7"/>
  <c i="3" r="T6"/>
  <c i="3" r="N12"/>
  <c i="3" r="T16"/>
  <c i="2" r="Q18"/>
  <c i="1" r="O6"/>
  <c i="3" r="M6"/>
  <c i="3" r="T13"/>
  <c i="12" r="AC80"/>
  <c i="11" r="AC40"/>
  <c i="10" r="AC11"/>
  <c i="10" r="AE9"/>
  <c i="10" r="AA9"/>
  <c i="9" r="V9"/>
  <c i="2" r="M6"/>
  <c i="3" r="Q11"/>
  <c i="3" r="Q10"/>
  <c i="3" r="R10"/>
  <c i="3" r="N9"/>
  <c i="3" r="R5"/>
  <c i="3" r="N16"/>
  <c i="1" r="P5"/>
  <c i="1" r="Q6"/>
  <c i="1" r="M7"/>
  <c i="1" r="N7"/>
  <c i="1" r="R7"/>
  <c i="1" r="N8"/>
  <c i="10" r="F51"/>
  <c i="10" r="AD51" s="1"/>
  <c i="2" r="D5"/>
  <c i="6" r="I17"/>
  <c i="15" r="E54"/>
  <c i="15" r="I54"/>
  <c i="15" r="H65"/>
  <c i="6" r="I73"/>
  <c i="15" r="G6"/>
  <c i="3" r="U13"/>
  <c i="2" r="E68"/>
  <c i="2" r="D77"/>
  <c i="2" r="B77"/>
  <c i="2" r="F79"/>
  <c i="6" r="E5"/>
  <c i="15" r="H17"/>
  <c i="6" r="C16"/>
  <c i="15" r="G18"/>
  <c i="15" r="B20"/>
  <c i="15" r="F18"/>
  <c i="6" r="E18"/>
  <c i="6" r="C29"/>
  <c i="15" r="G31"/>
  <c i="15" r="F42"/>
  <c i="15" r="C53"/>
  <c i="15" r="E56"/>
  <c i="15" r="D79"/>
  <c i="15" r="H78"/>
  <c i="15" r="F77"/>
  <c i="15" r="D80"/>
  <c i="6" r="H73"/>
  <c i="9" r="AB37"/>
  <c i="9" r="R42"/>
  <c i="9" r="R56" s="1"/>
  <c i="15" r="O78"/>
  <c i="15" r="S42"/>
  <c i="6" r="O18"/>
  <c i="3" r="Q5"/>
  <c i="10" r="B13"/>
  <c i="16" r="B48" s="1"/>
  <c i="15" r="O17"/>
  <c i="15" r="O41"/>
  <c i="15" r="O65"/>
  <c i="13" r="G5"/>
  <c i="15" r="S19"/>
  <c i="15" r="R56"/>
  <c i="9" r="AC40"/>
  <c i="10" r="AM6"/>
  <c i="15" r="R29"/>
  <c i="15" r="T53"/>
  <c i="13" r="G17"/>
  <c i="15" r="M6"/>
  <c i="6" r="Q5"/>
  <c i="15" r="O18"/>
  <c i="6" r="S16"/>
  <c i="15" r="M30"/>
  <c i="15" r="Q30"/>
  <c i="6" r="O60"/>
  <c i="6" r="S60"/>
  <c i="6" r="S71"/>
  <c i="1" r="T8"/>
  <c i="2" r="Q67"/>
  <c i="3" r="R8"/>
  <c i="3" r="Q13"/>
  <c i="3" r="Q15"/>
  <c i="3" r="M10"/>
  <c i="12" r="AC76"/>
  <c i="12" r="AD75"/>
  <c i="12" r="S13"/>
  <c i="12" r="S23" s="1"/>
  <c i="12" r="U13"/>
  <c i="12" r="U24" s="1"/>
  <c i="11" r="AA74"/>
  <c i="11" r="Q76"/>
  <c i="11" r="Q86" s="1"/>
  <c i="11" r="R76"/>
  <c i="11" r="R86" s="1"/>
  <c i="11" r="AH8"/>
  <c i="10" r="AC80"/>
  <c i="10" r="Z75"/>
  <c i="10" r="N82"/>
  <c i="10" r="N93" s="1"/>
  <c i="10" r="AA43"/>
  <c i="10" r="AG7"/>
  <c i="9" r="N42"/>
  <c i="9" r="N54" s="1"/>
  <c i="15" r="U80"/>
  <c i="15" r="R79"/>
  <c i="15" r="N79"/>
  <c i="6" r="R73"/>
  <c i="15" r="N77"/>
  <c i="6" r="P50"/>
  <c i="15" r="R43"/>
  <c i="15" r="N43"/>
  <c i="15" r="N17"/>
  <c i="15" r="S20"/>
  <c i="15" r="O20"/>
  <c i="2" r="R77"/>
  <c i="2" r="S77"/>
  <c i="2" r="S67"/>
  <c i="2" r="O66"/>
  <c i="2" r="P65"/>
  <c i="2" r="P43"/>
  <c i="2" r="P41"/>
  <c i="2" r="Q41"/>
  <c i="2" r="M44"/>
  <c i="2" r="S17"/>
  <c i="2" r="P20"/>
  <c i="2" r="U8"/>
  <c i="2" r="R7"/>
  <c i="2" r="N7"/>
  <c i="2" r="N5"/>
  <c i="3" r="P16"/>
  <c i="3" r="M15"/>
  <c i="3" r="M14"/>
  <c i="3" r="S5"/>
  <c i="3" r="O8"/>
  <c i="3" r="O7"/>
  <c i="3" r="S6"/>
  <c i="3" r="P9"/>
  <c i="10" r="AD61"/>
  <c i="11" r="O108"/>
  <c i="11" r="O123" s="1"/>
  <c i="2" r="E7"/>
  <c i="2" r="D43"/>
  <c i="15" r="I56"/>
  <c i="2" r="H20"/>
  <c i="2" r="F77"/>
  <c i="15" r="C5"/>
  <c i="15" r="E19"/>
  <c i="15" r="F41"/>
  <c i="15" r="D44"/>
  <c i="6" r="E72"/>
  <c i="13" r="B6"/>
  <c i="9" r="C12"/>
  <c i="9" r="C79" s="1"/>
  <c i="10" r="AH8"/>
  <c i="10" r="AB118"/>
  <c i="10" r="AA118"/>
  <c i="12" r="P117"/>
  <c i="12" r="O83"/>
  <c i="11" r="P78"/>
  <c i="10" r="S50"/>
  <c i="11" r="O46"/>
  <c i="11" r="P46"/>
  <c i="11" r="Q46"/>
  <c i="11" r="P14"/>
  <c i="10" r="AG15"/>
  <c i="11" r="U14"/>
  <c i="10" r="W15"/>
  <c i="10" r="AA15"/>
  <c i="16" r="C20"/>
  <c i="16" r="C21"/>
  <c i="12" r="V15"/>
  <c i="10" r="AB15"/>
  <c i="16" r="C24"/>
  <c i="12" r="AB111"/>
  <c i="12" r="Z111"/>
  <c i="12" r="Z113"/>
  <c i="12" r="Z75"/>
  <c i="12" r="AD79"/>
  <c i="12" r="AD78"/>
  <c i="12" r="AC73"/>
  <c i="12" r="AC8"/>
  <c i="12" r="AI6"/>
  <c i="12" r="AB7"/>
  <c i="12" r="AE6"/>
  <c i="12" r="AD7"/>
  <c i="11" r="AB103"/>
  <c i="11" r="AB105"/>
  <c i="11" r="Z105"/>
  <c i="11" r="Z107"/>
  <c i="11" r="AC69"/>
  <c i="11" r="AD70"/>
  <c i="11" r="AB74"/>
  <c i="11" r="Z38"/>
  <c i="11" r="Z42"/>
  <c i="11" r="AB42"/>
  <c i="10" r="AB109"/>
  <c i="10" r="AB111"/>
  <c i="10" r="AB112"/>
  <c i="10" r="AA80"/>
  <c i="10" r="AD78"/>
  <c i="10" r="AA40"/>
  <c i="10" r="Z42"/>
  <c i="10" r="AB46"/>
  <c i="10" r="AC7"/>
  <c i="10" r="Q13"/>
  <c i="10" r="AM5"/>
  <c i="10" r="AI5"/>
  <c i="16" r="C33"/>
  <c i="10" r="W13"/>
  <c i="10" r="W26" s="1"/>
  <c i="10" r="AM8"/>
  <c i="16" r="C36"/>
  <c i="10" r="AM12"/>
  <c i="16" r="C40"/>
  <c i="10" r="AI12"/>
  <c i="10" r="Z10"/>
  <c i="10" r="N13"/>
  <c i="10" r="P13"/>
  <c i="24" r="O56" s="1"/>
  <c i="10" r="AB7"/>
  <c i="10" r="AB12"/>
  <c i="10" r="AE6"/>
  <c i="10" r="AA8"/>
  <c i="10" r="AC8"/>
  <c i="10" r="AA10"/>
  <c i="9" r="Z69"/>
  <c i="9" r="AC67"/>
  <c i="9" r="Z66"/>
  <c i="9" r="AC68"/>
  <c i="9" r="X36"/>
  <c i="9" r="AC36"/>
  <c i="9" r="X38"/>
  <c i="9" r="AB39"/>
  <c i="9" r="X40"/>
  <c i="9" r="AB40"/>
  <c i="9" r="AB35"/>
  <c i="9" r="AC37"/>
  <c i="9" r="AC41"/>
  <c i="9" r="AC6"/>
  <c i="9" r="S12"/>
  <c i="9" r="S20" s="1"/>
  <c i="9" r="Z9"/>
  <c i="9" r="AC9"/>
  <c i="9" r="AC5"/>
  <c i="9" r="AB6"/>
  <c i="9" r="AC10"/>
  <c i="9" r="AB9"/>
  <c i="9" r="AC7"/>
  <c i="9" r="X11"/>
  <c i="13" r="G16"/>
  <c i="13" r="G20"/>
  <c i="13" r="G19"/>
  <c i="15" r="U79"/>
  <c i="15" r="U78"/>
  <c i="15" r="U77"/>
  <c i="15" r="O77"/>
  <c i="15" r="O79"/>
  <c i="15" r="S79"/>
  <c i="15" r="N80"/>
  <c i="15" r="R80"/>
  <c i="6" r="M71"/>
  <c i="6" r="Q71"/>
  <c i="6" r="U71"/>
  <c i="15" r="S77"/>
  <c i="15" r="N78"/>
  <c i="15" r="R78"/>
  <c i="15" r="M79"/>
  <c i="15" r="Q79"/>
  <c i="6" r="N72"/>
  <c i="6" r="R72"/>
  <c i="6" r="M73"/>
  <c i="6" r="Q73"/>
  <c i="6" r="U73"/>
  <c i="15" r="Q77"/>
  <c i="6" r="N73"/>
  <c i="15" r="U66"/>
  <c i="6" r="U60"/>
  <c i="15" r="U67"/>
  <c i="15" r="U65"/>
  <c i="6" r="U61"/>
  <c i="15" r="U68"/>
  <c i="6" r="U62"/>
  <c i="6" r="O62"/>
  <c i="6" r="S62"/>
  <c i="15" r="U53"/>
  <c i="15" r="U56"/>
  <c i="6" r="U50"/>
  <c i="6" r="U51"/>
  <c i="15" r="U54"/>
  <c i="15" r="N55"/>
  <c i="15" r="M56"/>
  <c i="15" r="Q56"/>
  <c i="15" r="U55"/>
  <c i="6" r="U39"/>
  <c i="6" r="U40"/>
  <c i="15" r="U41"/>
  <c i="15" r="U42"/>
  <c i="6" r="U38"/>
  <c i="15" r="U43"/>
  <c i="15" r="U44"/>
  <c i="6" r="U29"/>
  <c i="15" r="U31"/>
  <c i="15" r="U30"/>
  <c i="6" r="U28"/>
  <c i="6" r="U27"/>
  <c i="15" r="U29"/>
  <c i="15" r="U32"/>
  <c i="15" r="U18"/>
  <c i="15" r="U17"/>
  <c i="6" r="U16"/>
  <c i="15" r="U19"/>
  <c i="6" r="U17"/>
  <c i="15" r="U20"/>
  <c i="6" r="U18"/>
  <c i="6" r="U5"/>
  <c i="15" r="U8"/>
  <c i="6" r="U7"/>
  <c i="15" r="U7"/>
  <c i="15" r="U5"/>
  <c i="15" r="U6"/>
  <c i="6" r="U6"/>
  <c i="2" r="U77"/>
  <c i="2" r="U78"/>
  <c i="2" r="U79"/>
  <c i="2" r="U80"/>
  <c i="2" r="R78"/>
  <c i="2" r="Q79"/>
  <c i="2" r="U67"/>
  <c i="2" r="U66"/>
  <c i="2" r="R65"/>
  <c i="2" r="M68"/>
  <c i="2" r="O65"/>
  <c i="2" r="M67"/>
  <c i="2" r="R67"/>
  <c i="2" r="U54"/>
  <c i="2" r="U56"/>
  <c i="2" r="S54"/>
  <c i="2" r="S56"/>
  <c i="2" r="S53"/>
  <c i="2" r="Q55"/>
  <c i="2" r="U32"/>
  <c i="2" r="U29"/>
  <c i="2" r="U30"/>
  <c i="2" r="M29"/>
  <c i="2" r="U7"/>
  <c i="2" r="U6"/>
  <c i="3" r="U5"/>
  <c i="3" r="U17"/>
  <c i="3" r="U14"/>
  <c i="3" r="U15"/>
  <c i="3" r="U9"/>
  <c i="3" r="U7"/>
  <c i="3" r="U6"/>
  <c i="3" r="U12"/>
  <c i="3" r="U11"/>
  <c i="3" r="S17"/>
  <c i="3" r="R6"/>
  <c i="3" r="Q7"/>
  <c i="3" r="P8"/>
  <c i="3" r="Q9"/>
  <c i="3" r="O15"/>
  <c i="3" r="N11"/>
  <c i="3" r="N17"/>
  <c i="3" r="Q17"/>
  <c i="3" r="N8"/>
  <c i="1" r="P8"/>
  <c i="1" r="P6"/>
  <c i="1" r="M8"/>
  <c i="1" r="M5"/>
  <c i="1" r="N6"/>
  <c i="11" r="J14"/>
  <c i="11" r="AH14" s="1"/>
  <c i="10" r="AH15"/>
  <c i="16" r="B19"/>
  <c i="12" r="C15"/>
  <c i="11" r="G43"/>
  <c i="10" r="AC47"/>
  <c i="10" r="AB41"/>
  <c i="10" r="AI6"/>
  <c i="9" r="AA71"/>
  <c i="9" r="AA67"/>
  <c i="9" r="AA65"/>
  <c i="6" r="F71"/>
  <c i="6" r="E51"/>
  <c i="6" r="D49"/>
  <c i="15" r="E53"/>
  <c i="6" r="B38"/>
  <c i="6" r="F38"/>
  <c i="15" r="F43"/>
  <c i="6" r="C28"/>
  <c i="6" r="B27"/>
  <c i="15" r="C32"/>
  <c i="15" r="B17"/>
  <c i="15" r="F17"/>
  <c i="15" r="B19"/>
  <c i="6" r="B17"/>
  <c i="15" r="E18"/>
  <c i="6" r="F18"/>
  <c i="6" r="E16"/>
  <c i="6" r="E17"/>
  <c i="2" r="C77"/>
  <c i="2" r="G77"/>
  <c i="2" r="F80"/>
  <c i="2" r="E79"/>
  <c i="2" r="D80"/>
  <c i="2" r="D66"/>
  <c i="2" r="F54"/>
  <c i="2" r="D42"/>
  <c i="2" r="F29"/>
  <c i="2" r="D19"/>
  <c i="2" r="H8"/>
  <c i="3" r="B13"/>
  <c i="3" r="G6"/>
  <c i="1" r="E7"/>
  <c i="1" r="D6"/>
  <c i="1" r="G5"/>
  <c i="1" r="F7"/>
  <c i="1" r="J7"/>
  <c i="1" r="C8"/>
  <c i="11" r="AB43"/>
  <c i="11" r="P44"/>
  <c i="11" r="P56" s="1"/>
  <c i="6" r="J7"/>
  <c i="6" r="J5"/>
  <c i="12" r="E15"/>
  <c i="16" r="B21"/>
  <c i="11" r="E14"/>
  <c i="11" r="AC14" s="1"/>
  <c i="10" r="AC15"/>
  <c i="1" r="U7"/>
  <c i="1" r="U8"/>
  <c i="1" r="U6"/>
  <c i="1" r="U5"/>
  <c i="12" r="G15"/>
  <c i="16" r="B23"/>
  <c i="10" r="AE15"/>
  <c i="11" r="G14"/>
  <c i="9" r="F12"/>
  <c i="9" r="F85" s="1"/>
  <c i="9" r="Z7"/>
  <c i="11" r="B14"/>
  <c i="12" r="B15"/>
  <c i="12" r="Z15" s="1"/>
  <c i="10" r="Z15"/>
  <c i="16" r="B18"/>
  <c i="11" r="E46"/>
  <c i="12" r="E49"/>
  <c i="12" r="AC49" s="1"/>
  <c i="12" r="Q117"/>
  <c i="11" r="AE10"/>
  <c i="2" r="I19"/>
  <c i="2" r="H6"/>
  <c i="2" r="C7"/>
  <c i="2" r="G5"/>
  <c i="6" r="B16"/>
  <c i="15" r="E78"/>
  <c i="15" r="I77"/>
  <c i="11" r="Z11"/>
  <c i="3" r="B15"/>
  <c i="2" r="I55"/>
  <c i="2" r="C66"/>
  <c i="2" r="B65"/>
  <c i="2" r="F67"/>
  <c i="15" r="J29"/>
  <c i="11" r="Z9"/>
  <c i="13" r="B8"/>
  <c i="11" r="AB106"/>
  <c i="3" r="R9"/>
  <c i="3" r="N13"/>
  <c i="1" r="C7"/>
  <c i="11" r="AE6"/>
  <c i="10" r="S40"/>
  <c i="2" r="R54"/>
  <c i="2" r="J7"/>
  <c i="2" r="E5"/>
  <c i="2" r="I5"/>
  <c i="2" r="C32"/>
  <c i="2" r="D41"/>
  <c i="6" r="I39"/>
  <c i="15" r="C55"/>
  <c i="15" r="G53"/>
  <c i="6" r="C51"/>
  <c i="11" r="Z7"/>
  <c i="11" r="AG9"/>
  <c i="11" r="G12"/>
  <c i="11" r="G28" s="1"/>
  <c i="11" r="AB11"/>
  <c i="11" r="AB9"/>
  <c i="3" r="B6"/>
  <c i="3" r="B16"/>
  <c i="3" r="F5"/>
  <c i="3" r="F16"/>
  <c i="2" r="D18"/>
  <c i="2" r="D17"/>
  <c i="2" r="H18"/>
  <c i="2" r="H19"/>
  <c i="2" r="G19"/>
  <c i="2" r="G17"/>
  <c i="2" r="G18"/>
  <c i="2" r="J42"/>
  <c i="2" r="J43"/>
  <c i="2" r="E43"/>
  <c i="2" r="E42"/>
  <c i="6" r="B62"/>
  <c i="15" r="B68"/>
  <c i="6" r="B61"/>
  <c i="6" r="F62"/>
  <c i="6" r="F60"/>
  <c i="6" r="C71"/>
  <c i="6" r="C72"/>
  <c i="15" r="C77"/>
  <c i="15" r="G79"/>
  <c i="15" r="G80"/>
  <c i="6" r="G71"/>
  <c i="15" r="B77"/>
  <c i="6" r="B71"/>
  <c i="6" r="B73"/>
  <c i="15" r="B80"/>
  <c i="6" r="B72"/>
  <c i="15" r="B79"/>
  <c i="15" r="B78"/>
  <c i="15" r="F78"/>
  <c i="6" r="F73"/>
  <c i="15" r="F79"/>
  <c i="6" r="F72"/>
  <c i="15" r="F80"/>
  <c i="15" r="J77"/>
  <c i="6" r="J71"/>
  <c i="15" r="J78"/>
  <c i="15" r="J79"/>
  <c i="6" r="J72"/>
  <c i="15" r="D78"/>
  <c i="15" r="D77"/>
  <c i="6" r="D71"/>
  <c i="6" r="D72"/>
  <c i="6" r="D73"/>
  <c i="6" r="H72"/>
  <c i="15" r="H79"/>
  <c i="6" r="H71"/>
  <c i="15" r="H80"/>
  <c i="16" r="B22"/>
  <c i="12" r="F15"/>
  <c i="12" r="AD15" s="1"/>
  <c i="11" r="F14"/>
  <c i="12" r="J15"/>
  <c i="16" r="B25"/>
  <c i="3" r="B11"/>
  <c i="2" r="G79"/>
  <c i="3" r="E6"/>
  <c i="2" r="B8"/>
  <c i="2" r="F8"/>
  <c i="2" r="H44"/>
  <c i="11" r="D76"/>
  <c i="11" r="D90" s="1"/>
  <c i="2" r="J18"/>
  <c i="2" r="J19"/>
  <c i="2" r="B54"/>
  <c i="2" r="B53"/>
  <c i="2" r="E53"/>
  <c i="2" r="E54"/>
  <c i="2" r="I54"/>
  <c i="2" r="I56"/>
  <c i="2" r="C53"/>
  <c i="2" r="C56"/>
  <c i="2" r="G54"/>
  <c i="2" r="G55"/>
  <c i="2" r="G53"/>
  <c i="2" r="G65"/>
  <c i="2" r="G68"/>
  <c i="2" r="G67"/>
  <c i="2" r="J66"/>
  <c i="2" r="J67"/>
  <c i="2" r="J65"/>
  <c i="15" r="D19"/>
  <c i="6" r="D17"/>
  <c i="6" r="D16"/>
  <c i="6" r="D18"/>
  <c i="15" r="H19"/>
  <c i="6" r="H17"/>
  <c i="6" r="H16"/>
  <c i="15" r="C20"/>
  <c i="6" r="C18"/>
  <c i="15" r="G20"/>
  <c i="6" r="G18"/>
  <c i="15" r="E31"/>
  <c i="15" r="E29"/>
  <c i="6" r="E28"/>
  <c i="6" r="E29"/>
  <c i="15" r="E30"/>
  <c i="6" r="E27"/>
  <c i="15" r="I29"/>
  <c i="15" r="I32"/>
  <c i="6" r="I28"/>
  <c i="12" r="D115"/>
  <c i="11" r="B78"/>
  <c i="12" r="B83"/>
  <c i="12" r="Z83" s="1"/>
  <c i="13" r="C19"/>
  <c i="13" r="C18"/>
  <c i="13" r="C17"/>
  <c i="13" r="C20"/>
  <c i="13" r="C16"/>
  <c i="3" r="F12"/>
  <c i="3" r="C15"/>
  <c i="13" r="B16"/>
  <c i="3" r="Q16"/>
  <c i="3" r="Q14"/>
  <c i="1" r="B6"/>
  <c i="1" r="B5"/>
  <c i="1" r="B7"/>
  <c i="1" r="B8"/>
  <c i="1" r="F6"/>
  <c i="1" r="F5"/>
  <c i="1" r="D7"/>
  <c i="1" r="D5"/>
  <c i="1" r="H5"/>
  <c i="1" r="H6"/>
  <c i="1" r="H7"/>
  <c i="1" r="H8"/>
  <c i="1" r="G8"/>
  <c i="1" r="G6"/>
  <c i="2" r="E29"/>
  <c i="2" r="E31"/>
  <c i="2" r="E30"/>
  <c i="2" r="E32"/>
  <c i="2" r="I30"/>
  <c i="2" r="I31"/>
  <c i="2" r="J79"/>
  <c i="2" r="J80"/>
  <c i="2" r="J77"/>
  <c i="2" r="I79"/>
  <c i="2" r="I78"/>
  <c i="2" r="H77"/>
  <c i="2" r="H78"/>
  <c i="2" r="H80"/>
  <c i="15" r="E7"/>
  <c i="15" r="E6"/>
  <c i="15" r="E8"/>
  <c i="15" r="E5"/>
  <c i="6" r="E6"/>
  <c i="6" r="E7"/>
  <c i="15" r="I5"/>
  <c i="6" r="I5"/>
  <c i="6" r="I7"/>
  <c i="15" r="I7"/>
  <c i="15" r="I8"/>
  <c i="6" r="I6"/>
  <c i="15" r="C30"/>
  <c i="15" r="C29"/>
  <c i="6" r="C27"/>
  <c i="15" r="C31"/>
  <c i="15" r="G30"/>
  <c i="15" r="G32"/>
  <c i="6" r="G29"/>
  <c i="6" r="G28"/>
  <c i="15" r="G29"/>
  <c i="6" r="G27"/>
  <c i="15" r="D43"/>
  <c i="15" r="D42"/>
  <c i="15" r="D41"/>
  <c i="15" r="H43"/>
  <c i="15" r="H42"/>
  <c i="15" r="H41"/>
  <c i="6" r="C39"/>
  <c i="15" r="C44"/>
  <c i="15" r="G42"/>
  <c i="15" r="G43"/>
  <c i="6" r="G39"/>
  <c i="11" r="E110"/>
  <c i="3" r="M12"/>
  <c i="3" r="U10"/>
  <c i="3" r="D17"/>
  <c i="3" r="H17"/>
  <c i="2" r="J6"/>
  <c i="2" r="F31"/>
  <c i="2" r="C80"/>
  <c i="9" r="D42"/>
  <c i="12" r="D81"/>
  <c i="12" r="D94" s="1"/>
  <c i="1" r="E5"/>
  <c i="1" r="E8"/>
  <c i="1" r="I5"/>
  <c i="1" r="I6"/>
  <c i="1" r="I7"/>
  <c i="1" r="I8"/>
  <c i="3" r="D11"/>
  <c i="3" r="D15"/>
  <c i="3" r="D12"/>
  <c i="3" r="H8"/>
  <c i="3" r="H9"/>
  <c i="3" r="H15"/>
  <c i="2" r="B7"/>
  <c i="2" r="B5"/>
  <c i="2" r="F5"/>
  <c i="2" r="F7"/>
  <c i="2" r="F6"/>
  <c i="2" r="H43"/>
  <c i="2" r="H41"/>
  <c i="2" r="H42"/>
  <c i="2" r="C43"/>
  <c i="2" r="C41"/>
  <c i="2" r="C42"/>
  <c i="15" r="C6"/>
  <c i="6" r="C7"/>
  <c i="15" r="C7"/>
  <c i="15" r="C8"/>
  <c i="6" r="C6"/>
  <c i="6" r="C5"/>
  <c i="6" r="G6"/>
  <c i="15" r="G7"/>
  <c i="15" r="G8"/>
  <c i="15" r="G5"/>
  <c i="6" r="G5"/>
  <c i="15" r="D20"/>
  <c i="15" r="D18"/>
  <c i="15" r="D17"/>
  <c i="15" r="H20"/>
  <c i="15" r="H18"/>
  <c i="15" r="C18"/>
  <c i="6" r="C17"/>
  <c i="15" r="C17"/>
  <c i="15" r="G19"/>
  <c i="6" r="G16"/>
  <c i="6" r="G17"/>
  <c i="6" r="D40"/>
  <c i="6" r="D38"/>
  <c i="15" r="H44"/>
  <c i="6" r="H38"/>
  <c i="15" r="B56"/>
  <c i="6" r="B49"/>
  <c i="15" r="B53"/>
  <c i="15" r="B55"/>
  <c i="6" r="F50"/>
  <c i="15" r="F56"/>
  <c i="15" r="F53"/>
  <c i="6" r="D51"/>
  <c i="15" r="D54"/>
  <c i="6" r="H50"/>
  <c i="6" r="H49"/>
  <c i="6" r="G49"/>
  <c i="6" r="G51"/>
  <c i="15" r="B65"/>
  <c i="15" r="B66"/>
  <c i="15" r="F65"/>
  <c i="15" r="F67"/>
  <c i="15" r="F66"/>
  <c i="15" r="D68"/>
  <c i="15" r="D66"/>
  <c i="6" r="D61"/>
  <c i="6" r="D62"/>
  <c i="6" r="H61"/>
  <c i="15" r="H67"/>
  <c i="15" r="H66"/>
  <c i="6" r="H62"/>
  <c i="9" r="G42"/>
  <c i="10" r="O82"/>
  <c i="10" r="O97" s="1"/>
  <c i="9" r="L42"/>
  <c i="9" r="L52" s="1"/>
  <c i="2" r="J20"/>
  <c i="10" r="K15"/>
  <c i="12" r="K15" s="1"/>
  <c i="9" r="W10"/>
  <c i="3" r="D13"/>
  <c i="3" r="H13"/>
  <c i="2" r="G66"/>
  <c i="2" r="H79"/>
  <c i="15" r="I6"/>
  <c i="15" r="I30"/>
  <c i="15" r="H68"/>
  <c i="15" r="C80"/>
  <c i="6" r="G73"/>
  <c i="1" r="G7"/>
  <c i="3" r="B14"/>
  <c i="3" r="F14"/>
  <c i="2" r="D6"/>
  <c i="2" r="C19"/>
  <c i="2" r="B41"/>
  <c i="2" r="G43"/>
  <c i="2" r="I80"/>
  <c i="15" r="E20"/>
  <c i="15" r="B41"/>
  <c i="15" r="F44"/>
  <c i="9" r="C42"/>
  <c i="12" r="AE10"/>
  <c i="12" r="AG9"/>
  <c i="12" r="V13"/>
  <c i="12" r="V29" s="1"/>
  <c i="12" r="Q13"/>
  <c i="16" r="C81" s="1"/>
  <c i="12" r="R13"/>
  <c i="12" r="R16" s="1"/>
  <c i="12" r="Z7"/>
  <c i="12" r="AA6"/>
  <c i="12" r="AG5"/>
  <c i="12" r="AB5"/>
  <c i="11" r="AB104"/>
  <c i="11" r="AB102"/>
  <c i="11" r="P108"/>
  <c i="11" r="P117" s="1"/>
  <c i="6" r="M5"/>
  <c i="2" r="P79"/>
  <c i="2" r="R79"/>
  <c i="2" r="N79"/>
  <c i="2" r="P67"/>
  <c i="2" r="N67"/>
  <c i="2" r="Q53"/>
  <c i="2" r="R56"/>
  <c i="2" r="O55"/>
  <c i="2" r="P44"/>
  <c i="2" r="Q43"/>
  <c i="2" r="T30"/>
  <c i="2" r="P30"/>
  <c i="2" r="U31"/>
  <c i="2" r="M31"/>
  <c i="2" r="T18"/>
  <c i="2" r="P17"/>
  <c i="2" r="R18"/>
  <c i="2" r="S19"/>
  <c i="2" r="U5"/>
  <c i="2" r="M5"/>
  <c i="2" r="N8"/>
  <c i="2" r="O7"/>
  <c i="3" r="T15"/>
  <c i="3" r="U16"/>
  <c i="3" r="M16"/>
  <c i="3" r="N15"/>
  <c i="3" r="O14"/>
  <c i="1" r="M6"/>
  <c i="1" r="N5"/>
  <c i="1" r="S6"/>
  <c i="1" r="P7"/>
  <c i="2" r="H31"/>
  <c i="2" r="H55"/>
  <c i="9" r="B42"/>
  <c i="9" r="E42"/>
  <c i="9" r="H42"/>
  <c i="11" r="B108"/>
  <c i="11" r="B123" s="1"/>
  <c i="12" r="G41"/>
  <c i="12" r="E81"/>
  <c i="12" r="E97" s="1"/>
  <c i="12" r="C115"/>
  <c i="12" r="C132" s="1"/>
  <c i="9" r="I42"/>
  <c i="13" r="D6"/>
  <c i="13" r="D7"/>
  <c i="13" r="D5"/>
  <c i="9" r="AC8"/>
  <c i="11" r="AD74"/>
  <c i="11" r="AA73"/>
  <c i="11" r="P76"/>
  <c i="11" r="AC71"/>
  <c i="11" r="Z70"/>
  <c i="11" r="N76"/>
  <c i="11" r="N90" s="1"/>
  <c i="11" r="O76"/>
  <c i="11" r="AA69"/>
  <c i="11" r="S38"/>
  <c i="11" r="AB38"/>
  <c i="11" r="AC37"/>
  <c i="11" r="S37"/>
  <c i="10" r="N116"/>
  <c i="10" r="Z108"/>
  <c i="10" r="Z9"/>
  <c i="9" r="Z41"/>
  <c i="9" r="P12"/>
  <c i="9" r="Z10"/>
  <c i="9" r="V10"/>
  <c i="9" r="L12"/>
  <c i="9" r="L24" s="1"/>
  <c i="2" r="T56"/>
  <c i="2" r="T53"/>
  <c i="2" r="T54"/>
  <c i="2" r="P54"/>
  <c i="2" r="P56"/>
  <c i="2" r="M55"/>
  <c i="2" r="M53"/>
  <c i="2" r="N56"/>
  <c i="2" r="N54"/>
  <c i="2" r="N55"/>
  <c i="2" r="T42"/>
  <c i="2" r="T43"/>
  <c i="2" r="T44"/>
  <c i="2" r="U43"/>
  <c i="2" r="U41"/>
  <c i="2" r="M41"/>
  <c i="2" r="M43"/>
  <c i="2" r="R41"/>
  <c i="2" r="R42"/>
  <c i="2" r="N43"/>
  <c i="2" r="N44"/>
  <c i="2" r="N42"/>
  <c i="2" r="S43"/>
  <c i="2" r="S41"/>
  <c i="2" r="O42"/>
  <c i="2" r="O41"/>
  <c i="2" r="Q29"/>
  <c i="2" r="Q31"/>
  <c i="2" r="R31"/>
  <c i="2" r="R30"/>
  <c i="2" r="N29"/>
  <c i="2" r="N30"/>
  <c i="2" r="S30"/>
  <c i="2" r="S29"/>
  <c i="2" r="O31"/>
  <c i="2" r="O29"/>
  <c i="2" r="U19"/>
  <c i="2" r="U17"/>
  <c i="2" r="Q17"/>
  <c i="2" r="Q19"/>
  <c i="2" r="M19"/>
  <c i="2" r="M17"/>
  <c i="2" r="N19"/>
  <c i="2" r="N18"/>
  <c i="2" r="O20"/>
  <c i="2" r="O17"/>
  <c i="2" r="O18"/>
  <c i="2" r="T8"/>
  <c i="2" r="T6"/>
  <c i="2" r="P7"/>
  <c i="2" r="P8"/>
  <c i="2" r="P6"/>
  <c i="2" r="Q7"/>
  <c i="2" r="Q6"/>
  <c i="2" r="Q5"/>
  <c i="2" r="R6"/>
  <c i="2" r="R5"/>
  <c i="2" r="R8"/>
  <c i="2" r="S5"/>
  <c i="2" r="S8"/>
  <c i="2" r="S7"/>
  <c i="3" r="N7"/>
  <c i="3" r="N10"/>
  <c i="3" r="S15"/>
  <c i="3" r="S11"/>
  <c i="3" r="S16"/>
  <c i="3" r="O6"/>
  <c i="3" r="O13"/>
  <c i="3" r="O9"/>
  <c i="3" r="O16"/>
  <c i="3" r="T14"/>
  <c i="3" r="T10"/>
  <c i="3" r="P5"/>
  <c i="3" r="P12"/>
  <c i="3" r="P15"/>
  <c i="1" r="J6"/>
  <c i="1" r="J5"/>
  <c i="1" r="J8"/>
  <c i="3" r="E8"/>
  <c i="3" r="E16"/>
  <c i="3" r="E13"/>
  <c i="3" r="E11"/>
  <c i="3" r="E10"/>
  <c i="3" r="E14"/>
  <c i="3" r="E12"/>
  <c i="3" r="E17"/>
  <c i="3" r="E9"/>
  <c i="3" r="I11"/>
  <c i="3" r="I9"/>
  <c i="3" r="I6"/>
  <c i="3" r="I16"/>
  <c i="3" r="I10"/>
  <c i="3" r="I13"/>
  <c i="3" r="I14"/>
  <c i="3" r="I17"/>
  <c i="3" r="I8"/>
  <c i="3" r="C7"/>
  <c i="3" r="C14"/>
  <c i="3" r="C5"/>
  <c i="3" r="C12"/>
  <c i="3" r="C13"/>
  <c i="3" r="C10"/>
  <c i="3" r="C17"/>
  <c i="3" r="C9"/>
  <c i="3" r="C6"/>
  <c i="3" r="C16"/>
  <c i="3" r="G10"/>
  <c i="3" r="G13"/>
  <c i="3" r="G17"/>
  <c i="3" r="G9"/>
  <c i="3" r="G7"/>
  <c i="3" r="G14"/>
  <c i="3" r="G12"/>
  <c i="3" r="G16"/>
  <c i="3" r="G5"/>
  <c i="3" r="G8"/>
  <c i="3" r="G15"/>
  <c i="3" r="J8"/>
  <c i="3" r="J7"/>
  <c i="3" r="J9"/>
  <c i="3" r="J15"/>
  <c i="3" r="J17"/>
  <c i="3" r="J11"/>
  <c i="3" r="J6"/>
  <c i="2" r="G8"/>
  <c i="2" r="G6"/>
  <c i="2" r="J29"/>
  <c i="2" r="J31"/>
  <c i="2" r="J32"/>
  <c i="2" r="D31"/>
  <c i="2" r="D30"/>
  <c i="2" r="J55"/>
  <c i="2" r="J54"/>
  <c i="2" r="D55"/>
  <c i="2" r="D56"/>
  <c i="15" r="B7"/>
  <c i="6" r="B5"/>
  <c i="6" r="B7"/>
  <c i="15" r="B6"/>
  <c i="15" r="B5"/>
  <c i="6" r="B6"/>
  <c i="15" r="F7"/>
  <c i="15" r="F5"/>
  <c i="15" r="F6"/>
  <c i="6" r="F6"/>
  <c i="6" r="F5"/>
  <c i="15" r="F8"/>
  <c i="15" r="J6"/>
  <c i="15" r="J8"/>
  <c i="6" r="J6"/>
  <c i="15" r="J5"/>
  <c i="15" r="J7"/>
  <c i="6" r="D6"/>
  <c i="6" r="D5"/>
  <c i="15" r="D6"/>
  <c i="15" r="D7"/>
  <c i="15" r="H7"/>
  <c i="6" r="H5"/>
  <c i="6" r="H6"/>
  <c i="6" r="H7"/>
  <c i="15" r="B30"/>
  <c i="6" r="B29"/>
  <c i="15" r="B31"/>
  <c i="6" r="B28"/>
  <c i="15" r="F30"/>
  <c i="15" r="F31"/>
  <c i="6" r="F28"/>
  <c i="15" r="F29"/>
  <c i="15" r="F32"/>
  <c i="6" r="F27"/>
  <c i="6" r="J27"/>
  <c i="15" r="J32"/>
  <c i="15" r="J30"/>
  <c i="6" r="J28"/>
  <c i="15" r="J31"/>
  <c i="6" r="J29"/>
  <c i="6" r="D28"/>
  <c i="15" r="D31"/>
  <c i="6" r="D27"/>
  <c i="15" r="D29"/>
  <c i="6" r="D29"/>
  <c i="6" r="H28"/>
  <c i="6" r="H29"/>
  <c i="15" r="H31"/>
  <c i="15" r="E44"/>
  <c i="6" r="E40"/>
  <c i="6" r="E38"/>
  <c i="15" r="E43"/>
  <c i="15" r="I44"/>
  <c i="6" r="I40"/>
  <c i="15" r="I41"/>
  <c i="6" r="I38"/>
  <c i="15" r="D56"/>
  <c i="15" r="D55"/>
  <c i="15" r="H56"/>
  <c i="15" r="H54"/>
  <c i="15" r="H53"/>
  <c i="6" r="J61"/>
  <c i="6" r="J60"/>
  <c i="6" r="E62"/>
  <c i="6" r="E60"/>
  <c i="15" r="E65"/>
  <c i="15" r="E67"/>
  <c i="6" r="E61"/>
  <c i="15" r="I67"/>
  <c i="6" r="I62"/>
  <c i="6" r="I60"/>
  <c i="6" r="I61"/>
  <c i="15" r="C66"/>
  <c i="15" r="C67"/>
  <c i="15" r="C68"/>
  <c i="6" r="C60"/>
  <c i="6" r="C61"/>
  <c i="6" r="G61"/>
  <c i="15" r="G68"/>
  <c i="15" r="G66"/>
  <c i="6" r="G60"/>
  <c i="15" r="G67"/>
  <c i="15" r="G65"/>
  <c i="6" r="G62"/>
  <c i="13" r="B18"/>
  <c i="13" r="B19"/>
  <c i="13" r="B22"/>
  <c i="13" r="B17"/>
  <c i="13" r="B20"/>
  <c i="9" r="D12"/>
  <c i="9" r="D19" s="1"/>
  <c i="9" r="H12"/>
  <c i="9" r="H82" s="1"/>
  <c i="10" r="D13"/>
  <c i="16" r="B50" s="1"/>
  <c i="10" r="E116"/>
  <c i="10" r="E125" s="1"/>
  <c i="10" r="D116"/>
  <c i="12" r="D13"/>
  <c i="12" r="D29" s="1"/>
  <c i="12" r="E13"/>
  <c i="12" r="E25" s="1"/>
  <c i="12" r="C47"/>
  <c i="12" r="C62" s="1"/>
  <c i="12" r="G39"/>
  <c i="12" r="G45"/>
  <c i="12" r="B115"/>
  <c i="12" r="B125" s="1"/>
  <c i="11" r="C110"/>
  <c i="11" r="AA110" s="1"/>
  <c i="16" r="B5"/>
  <c i="12" r="C117"/>
  <c i="3" r="P13"/>
  <c i="3" r="Q12"/>
  <c i="3" r="R11"/>
  <c i="3" r="S10"/>
  <c i="3" r="T9"/>
  <c i="3" r="U8"/>
  <c i="3" r="M8"/>
  <c i="3" r="R16"/>
  <c i="12" r="W13"/>
  <c i="16" r="C65"/>
  <c i="16" r="M65" s="1"/>
  <c i="12" r="AH8"/>
  <c i="2" r="T29"/>
  <c i="2" r="N41"/>
  <c i="2" r="P53"/>
  <c i="2" r="Q54"/>
  <c i="2" r="M7"/>
  <c i="2" r="O19"/>
  <c i="2" r="S31"/>
  <c i="2" r="O53"/>
  <c i="3" r="J16"/>
  <c i="15" r="B8"/>
  <c i="15" r="H30"/>
  <c i="12" r="N13"/>
  <c i="12" r="N23" s="1"/>
  <c i="2" r="Q30"/>
  <c i="2" r="T31"/>
  <c i="2" r="M42"/>
  <c i="2" r="U42"/>
  <c i="2" r="N53"/>
  <c i="2" r="O54"/>
  <c i="2" r="T55"/>
  <c i="2" r="N6"/>
  <c i="2" r="P18"/>
  <c i="2" r="O43"/>
  <c i="3" r="J14"/>
  <c i="15" r="B32"/>
  <c i="15" r="D53"/>
  <c i="6" r="C62"/>
  <c i="15" r="C65"/>
  <c i="15" r="H32"/>
  <c i="2" r="E19"/>
  <c i="2" r="E20"/>
  <c i="2" r="E18"/>
  <c i="2" r="I18"/>
  <c i="2" r="I20"/>
  <c i="2" r="B20"/>
  <c i="2" r="B17"/>
  <c i="2" r="B18"/>
  <c i="2" r="F17"/>
  <c i="2" r="F20"/>
  <c i="2" r="F19"/>
  <c i="2" r="F18"/>
  <c i="2" r="D29"/>
  <c i="2" r="D32"/>
  <c i="2" r="H29"/>
  <c i="2" r="H32"/>
  <c i="2" r="H30"/>
  <c i="2" r="C31"/>
  <c i="2" r="C29"/>
  <c i="2" r="C30"/>
  <c i="2" r="G29"/>
  <c i="2" r="G30"/>
  <c i="2" r="G32"/>
  <c i="2" r="G31"/>
  <c i="2" r="E41"/>
  <c i="2" r="E44"/>
  <c i="2" r="I42"/>
  <c i="2" r="I43"/>
  <c i="2" r="I44"/>
  <c i="2" r="B43"/>
  <c i="2" r="B42"/>
  <c i="2" r="F44"/>
  <c i="2" r="F43"/>
  <c i="2" r="F42"/>
  <c i="2" r="D53"/>
  <c i="2" r="D54"/>
  <c i="2" r="H54"/>
  <c i="2" r="H53"/>
  <c i="2" r="C54"/>
  <c i="2" r="C55"/>
  <c i="2" r="E78"/>
  <c i="2" r="E77"/>
  <c i="2" r="E80"/>
  <c i="2" r="AA80" s="1"/>
  <c i="15" r="D5"/>
  <c i="15" r="D8"/>
  <c i="15" r="H8"/>
  <c i="15" r="H6"/>
  <c i="15" r="H5"/>
  <c i="15" r="I17"/>
  <c i="15" r="I19"/>
  <c i="15" r="D32"/>
  <c i="15" r="D30"/>
  <c i="6" r="E39"/>
  <c i="15" r="E41"/>
  <c i="15" r="I42"/>
  <c i="15" r="I43"/>
  <c i="6" r="C40"/>
  <c i="6" r="C38"/>
  <c i="6" r="G38"/>
  <c i="6" r="G40"/>
  <c i="15" r="J80"/>
  <c i="6" r="J73"/>
  <c i="13" r="C21"/>
  <c i="13" r="C22"/>
  <c i="13" r="B7"/>
  <c i="13" r="B5"/>
  <c i="3" r="E15"/>
  <c i="3" r="I15"/>
  <c i="3" r="B17"/>
  <c i="15" r="H29"/>
  <c i="9" r="B72"/>
  <c i="11" r="D108"/>
  <c i="13" r="B21"/>
  <c i="3" r="B10"/>
  <c i="3" r="B9"/>
  <c i="3" r="B12"/>
  <c i="3" r="B7"/>
  <c i="3" r="B5"/>
  <c i="3" r="F6"/>
  <c i="3" r="F10"/>
  <c i="3" r="F9"/>
  <c i="3" r="F8"/>
  <c i="3" r="F15"/>
  <c i="3" r="F7"/>
  <c i="3" r="F13"/>
  <c i="3" r="F11"/>
  <c i="3" r="D16"/>
  <c i="3" r="D5"/>
  <c i="3" r="D14"/>
  <c i="3" r="D6"/>
  <c i="3" r="D9"/>
  <c i="3" r="D7"/>
  <c i="3" r="D10"/>
  <c i="3" r="D8"/>
  <c i="3" r="H10"/>
  <c i="3" r="H12"/>
  <c i="3" r="H7"/>
  <c i="3" r="H11"/>
  <c i="3" r="H16"/>
  <c i="3" r="H5"/>
  <c i="3" r="H14"/>
  <c i="2" r="C6"/>
  <c i="2" r="C8"/>
  <c i="2" r="B30"/>
  <c i="2" r="B29"/>
  <c i="2" r="B31"/>
  <c i="2" r="F32"/>
  <c i="2" r="F30"/>
  <c i="2" r="B56"/>
  <c i="2" r="B55"/>
  <c i="2" r="F56"/>
  <c i="2" r="F55"/>
  <c i="2" r="F53"/>
  <c i="2" r="D65"/>
  <c i="2" r="D68"/>
  <c i="2" r="D67"/>
  <c i="2" r="H68"/>
  <c i="2" r="H67"/>
  <c i="2" r="H66"/>
  <c i="2" r="H65"/>
  <c i="6" r="B51"/>
  <c i="15" r="B54"/>
  <c i="15" r="F55"/>
  <c i="6" r="F49"/>
  <c i="15" r="F54"/>
  <c i="6" r="F51"/>
  <c i="15" r="C56"/>
  <c i="6" r="C50"/>
  <c i="15" r="C54"/>
  <c i="15" r="G56"/>
  <c i="6" r="G50"/>
  <c i="15" r="G54"/>
  <c i="15" r="E80"/>
  <c i="15" r="E77"/>
  <c i="15" r="C78"/>
  <c i="15" r="C79"/>
  <c i="6" r="G72"/>
  <c i="15" r="G78"/>
  <c i="13" r="C5"/>
  <c i="13" r="C8"/>
  <c i="13" r="C7"/>
  <c i="3" r="E7"/>
  <c i="3" r="I5"/>
  <c i="3" r="C8"/>
  <c i="3" r="C11"/>
  <c i="3" r="G11"/>
  <c i="2" r="J8"/>
  <c i="2" r="E6"/>
  <c i="2" r="I7"/>
  <c i="2" r="G7"/>
  <c i="6" r="F7"/>
  <c i="6" r="F29"/>
  <c i="15" r="H55"/>
  <c i="6" r="J62"/>
  <c i="15" r="I80"/>
  <c i="9" r="F42"/>
  <c i="12" r="E115"/>
  <c i="1" r="C6"/>
  <c i="1" r="C5"/>
  <c i="2" r="C20"/>
  <c i="2" r="C17"/>
  <c i="2" r="C18"/>
  <c i="2" r="G42"/>
  <c i="2" r="G41"/>
  <c i="2" r="G44"/>
  <c i="2" r="B67"/>
  <c i="2" r="B66"/>
  <c i="2" r="B68"/>
  <c i="2" r="F66"/>
  <c i="2" r="F68"/>
  <c i="2" r="F65"/>
  <c i="2" r="I66"/>
  <c i="2" r="I65"/>
  <c i="2" r="I68"/>
  <c i="2" r="I67"/>
  <c i="2" r="C67"/>
  <c i="2" r="C65"/>
  <c i="2" r="C68"/>
  <c i="2" r="B79"/>
  <c i="2" r="B80"/>
  <c i="2" r="B78"/>
  <c i="2" r="D79"/>
  <c i="2" r="D78"/>
  <c i="2" r="C78"/>
  <c i="2" r="C79"/>
  <c i="2" r="G78"/>
  <c i="2" r="G80"/>
  <c i="15" r="C41"/>
  <c i="15" r="C42"/>
  <c i="15" r="E66"/>
  <c i="15" r="E68"/>
  <c i="15" r="I68"/>
  <c i="15" r="I66"/>
  <c i="15" r="I65"/>
  <c i="6" r="D60"/>
  <c i="15" r="D65"/>
  <c i="6" r="E73"/>
  <c i="15" r="E79"/>
  <c i="6" r="I71"/>
  <c i="6" r="I72"/>
  <c i="15" r="I79"/>
  <c i="3" r="B8"/>
  <c i="2" r="E17"/>
  <c i="13" r="I21"/>
  <c i="1" r="E6"/>
  <c i="3" r="I12"/>
  <c i="2" r="G20"/>
  <c i="2" r="C44"/>
  <c i="15" r="G41"/>
  <c i="9" r="B12"/>
  <c i="13" r="D8"/>
  <c i="3" r="H6"/>
  <c i="3" r="J12"/>
  <c i="2" r="F41"/>
  <c i="9" r="H72"/>
  <c i="11" r="C12"/>
  <c i="11" r="B12"/>
  <c i="11" r="B21" s="1"/>
  <c i="11" r="B76"/>
  <c i="12" r="C13"/>
  <c i="12" r="B13"/>
  <c i="12" r="J13"/>
  <c i="12" r="I13"/>
  <c i="12" r="E47"/>
  <c i="12" r="E61" s="1"/>
  <c i="3" r="J5"/>
  <c i="2" r="J41"/>
  <c i="2" r="J68"/>
  <c i="15" r="I18"/>
  <c i="6" r="H18"/>
  <c i="6" r="D39"/>
  <c i="6" r="H39"/>
  <c i="6" r="I49"/>
  <c i="9" r="D72"/>
  <c i="11" r="G40"/>
  <c i="12" r="G13"/>
  <c i="12" r="G23" s="1"/>
  <c i="10" r="F63"/>
  <c i="10" r="AD63" s="1"/>
  <c i="2" r="B6"/>
  <c i="2" r="I6"/>
  <c i="2" r="J30"/>
  <c i="15" r="E42"/>
  <c i="9" r="I12"/>
  <c i="9" r="I22" s="1"/>
  <c i="9" r="I72"/>
  <c i="12" r="S41"/>
  <c i="12" r="S39"/>
  <c i="9" r="G72"/>
  <c i="10" r="F13"/>
  <c i="10" r="E48"/>
  <c i="10" r="G42"/>
  <c i="10" r="G46"/>
  <c i="10" r="B82"/>
  <c i="10" r="B95" s="1"/>
  <c i="10" r="B116"/>
  <c i="11" r="F12"/>
  <c i="11" r="G42"/>
  <c i="11" r="F76"/>
  <c i="11" r="C108"/>
  <c i="12" r="F13"/>
  <c i="12" r="B81"/>
  <c i="9" r="F72"/>
  <c i="12" r="S43"/>
  <c i="11" r="E76"/>
  <c i="11" r="C76"/>
  <c i="12" r="F81"/>
  <c i="12" r="S45"/>
  <c i="9" r="E12"/>
  <c i="9" r="E23" s="1"/>
  <c i="9" r="E72"/>
  <c i="10" r="C82"/>
  <c i="10" r="C93" s="1"/>
  <c i="12" r="D47"/>
  <c i="12" r="G42"/>
  <c i="12" r="G46"/>
  <c i="12" r="C81"/>
  <c i="12" r="AB46"/>
  <c i="12" r="AA44"/>
  <c i="12" r="S44"/>
  <c i="12" r="AC40"/>
  <c i="12" r="Q47"/>
  <c i="12" r="Q61" s="1"/>
  <c i="12" r="Z40"/>
  <c i="12" r="N47"/>
  <c i="12" r="S40"/>
  <c i="12" r="S46"/>
  <c i="12" r="Z46"/>
  <c i="12" r="P47"/>
  <c i="12" r="P63" s="1"/>
  <c i="12" r="AB42"/>
  <c i="12" r="AA40"/>
  <c i="12" r="O47"/>
  <c i="12" r="O58" s="1"/>
  <c i="12" r="S42"/>
  <c i="12" r="Z42"/>
  <c i="12" r="AC44"/>
  <c i="12" r="AC39"/>
  <c i="12" r="AA41"/>
  <c i="12" r="AA45"/>
  <c i="11" r="AA43"/>
  <c i="11" r="S43"/>
  <c i="11" r="Q44"/>
  <c i="11" r="Q55" s="1"/>
  <c i="11" r="AC39"/>
  <c i="11" r="S39"/>
  <c i="11" r="Z39"/>
  <c i="11" r="N44"/>
  <c i="11" r="AA39"/>
  <c i="11" r="O44"/>
  <c i="11" r="O55" s="1"/>
  <c i="11" r="AC43"/>
  <c i="11" r="AH11"/>
  <c i="11" r="P12"/>
  <c i="11" r="AB10"/>
  <c i="11" r="AE9"/>
  <c i="11" r="S12"/>
  <c i="11" r="AG8"/>
  <c i="11" r="U12"/>
  <c i="11" r="U24" s="1"/>
  <c i="11" r="AE11"/>
  <c i="11" r="Z10"/>
  <c i="11" r="N12"/>
  <c i="11" r="AC9"/>
  <c i="11" r="AC11"/>
  <c i="11" r="AG10"/>
  <c i="11" r="AA9"/>
  <c i="11" r="O12"/>
  <c i="11" r="O25" s="1"/>
  <c i="11" r="AA11"/>
  <c i="11" r="AH10"/>
  <c i="11" r="AD10"/>
  <c i="11" r="R12"/>
  <c i="11" r="AH9"/>
  <c i="11" r="AH7"/>
  <c i="11" r="V12"/>
  <c i="11" r="V23" s="1"/>
  <c i="11" r="Q12"/>
  <c i="11" r="Q27" s="1"/>
  <c i="11" r="AC7"/>
  <c i="10" r="AA109"/>
  <c i="10" r="O116"/>
  <c i="10" r="O128" s="1"/>
  <c i="10" r="AA111"/>
  <c i="10" r="AA113"/>
  <c i="10" r="AA115"/>
  <c i="10" r="AB81"/>
  <c i="10" r="P82"/>
  <c i="10" r="P94" s="1"/>
  <c i="10" r="AB77"/>
  <c i="10" r="AC76"/>
  <c i="10" r="Q82"/>
  <c i="10" r="Q93" s="1"/>
  <c i="10" r="R82"/>
  <c i="10" r="R96" s="1"/>
  <c i="10" r="AD75"/>
  <c i="10" r="AD79"/>
  <c i="10" r="AA45"/>
  <c i="10" r="S47"/>
  <c i="10" r="AA47"/>
  <c i="10" r="AB43"/>
  <c i="10" r="S43"/>
  <c i="10" r="N48"/>
  <c i="10" r="Z43"/>
  <c i="10" r="Q48"/>
  <c i="10" r="Q62" s="1"/>
  <c i="10" r="AC45"/>
  <c i="10" r="S45"/>
  <c i="10" r="Z45"/>
  <c i="10" r="AB42"/>
  <c i="10" r="S42"/>
  <c i="10" r="P48"/>
  <c i="10" r="P59" s="1"/>
  <c i="10" r="AA41"/>
  <c i="10" r="O48"/>
  <c i="10" r="O62" s="1"/>
  <c i="10" r="S41"/>
  <c i="10" r="U13"/>
  <c i="10" r="AG8"/>
  <c i="10" r="AD6"/>
  <c i="10" r="R13"/>
  <c i="10" r="AH11"/>
  <c i="10" r="V13"/>
  <c i="10" r="AE5"/>
  <c i="10" r="S13"/>
  <c i="10" r="O13"/>
  <c i="10" r="AA5"/>
  <c i="9" r="W67"/>
  <c i="9" r="M72"/>
  <c i="9" r="M81" s="1"/>
  <c i="9" r="W71"/>
  <c i="9" r="Q72"/>
  <c i="9" r="Q84" s="1"/>
  <c i="9" r="AA70"/>
  <c i="9" r="W70"/>
  <c i="9" r="W41"/>
  <c i="9" r="W38"/>
  <c i="9" r="AA37"/>
  <c i="9" r="M42"/>
  <c i="9" r="M51" s="1"/>
  <c i="9" r="W37"/>
  <c i="9" r="Q42"/>
  <c i="9" r="Q51" s="1"/>
  <c i="9" r="AA36"/>
  <c i="9" r="W39"/>
  <c i="9" r="W11"/>
  <c i="9" r="AA10"/>
  <c i="9" r="Q12"/>
  <c i="9" r="AA5"/>
  <c i="9" r="M12"/>
  <c i="9" r="W5"/>
  <c i="9" r="AA6"/>
  <c i="13" r="I20"/>
  <c i="13" r="I17"/>
  <c i="13" r="I16"/>
  <c i="13" r="I22"/>
  <c i="13" r="I18"/>
  <c i="13" r="I19"/>
  <c i="13" r="I6"/>
  <c i="13" r="I7"/>
  <c i="13" r="I8"/>
  <c i="13" r="I5"/>
  <c i="16" r="C4"/>
  <c i="12" r="O117"/>
  <c i="16" r="C5"/>
  <c i="6" r="J16"/>
  <c i="15" r="J19"/>
  <c i="15" r="J17"/>
  <c i="15" r="J18"/>
  <c i="15" r="J20"/>
  <c i="15" r="J43"/>
  <c i="6" r="J38"/>
  <c i="15" r="J41"/>
  <c i="15" r="J44"/>
  <c i="6" r="J39"/>
  <c i="15" r="J42"/>
  <c i="6" r="J40"/>
  <c i="15" r="J66"/>
  <c i="15" r="J65"/>
  <c i="15" r="J67"/>
  <c i="15" r="J68"/>
  <c i="11" r="D44"/>
  <c i="11" r="D53" s="1"/>
  <c i="12" r="D15"/>
  <c i="16" r="B20"/>
  <c i="11" r="D14"/>
  <c i="12" r="D49"/>
  <c i="11" r="D46"/>
  <c i="11" r="D110"/>
  <c i="12" r="D117"/>
  <c i="16" r="B6"/>
  <c i="10" r="C13"/>
  <c i="16" r="B49" s="1"/>
  <c i="10" r="F82"/>
  <c i="16" r="B41" s="1"/>
  <c i="10" r="C48"/>
  <c i="10" r="G41"/>
  <c i="10" r="G43"/>
  <c i="11" r="I14"/>
  <c i="12" r="I15"/>
  <c i="16" r="B24"/>
  <c i="11" r="C46"/>
  <c i="12" r="C49"/>
  <c i="13" r="D19"/>
  <c i="13" r="D21"/>
  <c i="13" r="D22"/>
  <c i="13" r="D17"/>
  <c i="13" r="D16"/>
  <c i="13" r="D18"/>
  <c i="13" r="D20"/>
  <c i="10" r="E13"/>
  <c i="10" r="G45"/>
  <c i="10" r="G47"/>
  <c i="10" r="C116"/>
  <c i="10" r="C126" s="1"/>
  <c i="11" r="E12"/>
  <c i="11" r="E25" s="1"/>
  <c i="11" r="D12"/>
  <c i="10" r="G13"/>
  <c i="16" r="B53" s="1"/>
  <c i="10" r="G40"/>
  <c i="10" r="B48"/>
  <c i="10" r="B60" s="1"/>
  <c i="10" r="G44"/>
  <c i="10" r="E82"/>
  <c i="10" r="E92" s="1"/>
  <c i="11" r="G38"/>
  <c i="11" r="C44"/>
  <c i="11" r="B46"/>
  <c i="10" r="G50"/>
  <c i="12" r="B49"/>
  <c i="2" r="J53"/>
  <c i="2" r="J56"/>
  <c i="15" r="J54"/>
  <c i="15" r="J53"/>
  <c i="15" r="J55"/>
  <c i="6" r="J49"/>
  <c i="15" r="J56"/>
  <c i="6" r="J51"/>
  <c i="6" r="J50"/>
  <c i="11" r="G37"/>
  <c i="11" r="B44"/>
  <c i="12" r="G40"/>
  <c i="12" r="B47"/>
  <c i="12" r="C83"/>
  <c i="10" r="F84"/>
  <c i="12" r="B117"/>
  <c i="16" r="B4"/>
  <c i="11" r="B110"/>
  <c i="3" r="J10"/>
  <c i="3" r="J13"/>
  <c i="2" r="J44"/>
  <c i="6" r="J18"/>
  <c i="2" r="J78"/>
  <c i="9" r="C72"/>
  <c i="10" r="J13"/>
  <c i="24" r="J56" s="1"/>
  <c i="10" r="I13"/>
  <c i="24" r="I56" s="1"/>
  <c i="10" r="D48"/>
  <c i="10" r="D82"/>
  <c i="11" r="J12"/>
  <c i="11" r="I12"/>
  <c i="11" r="I26" s="1"/>
  <c i="11" r="E44"/>
  <c i="11" r="G39"/>
  <c i="11" r="G41"/>
  <c i="11" r="E108"/>
  <c i="11" r="E118" s="1"/>
  <c i="12" r="G44"/>
  <c i="10" r="F62"/>
  <c i="10" r="AD62" s="1"/>
  <c i="10" r="F58"/>
  <c i="10" r="AD58" s="1"/>
  <c i="10" r="F59"/>
  <c i="10" r="AD59" s="1"/>
  <c i="3" r="I7"/>
  <c i="10" r="F64"/>
  <c i="10" r="AD64" s="1"/>
  <c i="10" r="F60"/>
  <c i="10" r="AD60" s="1"/>
  <c i="10" r="F57"/>
  <c i="10" r="AD57" s="1"/>
  <c i="10" l="1" r="V29"/>
  <c i="24" r="T56"/>
  <c i="2" r="AD32"/>
  <c i="13" r="L21"/>
  <c i="16" r="H81"/>
  <c i="11" r="K12"/>
  <c i="11" r="K22" s="1"/>
  <c i="16" r="M66"/>
  <c i="16" r="M63"/>
  <c i="6" r="Y39"/>
  <c i="6" r="T63"/>
  <c i="16" r="L71"/>
  <c i="16" r="C26"/>
  <c i="16" r="H39" s="1"/>
  <c i="16" r="B26"/>
  <c i="21" r="H214"/>
  <c i="10" r="H110"/>
  <c i="10" r="I110" s="1"/>
  <c i="11" r="AI10"/>
  <c i="6" r="T74"/>
  <c i="21" r="H255"/>
  <c i="11" r="H103"/>
  <c i="11" r="I103" s="1"/>
  <c i="12" r="H113"/>
  <c i="12" r="AF113" s="1"/>
  <c i="11" r="U103"/>
  <c i="6" r="T52"/>
  <c i="6" r="I30"/>
  <c i="6" r="I19"/>
  <c i="6" r="I63"/>
  <c i="2" r="I21"/>
  <c i="11" r="AI5"/>
  <c i="24" r="J144"/>
  <c i="24" r="K144" s="1"/>
  <c i="24" r="J146"/>
  <c i="24" r="K146" s="1"/>
  <c i="24" r="J145"/>
  <c i="24" r="K145" s="1"/>
  <c i="24" r="J147"/>
  <c i="24" r="K147" s="1"/>
  <c i="24" r="J148"/>
  <c i="24" r="K148" s="1"/>
  <c i="24" r="J149"/>
  <c i="24" r="K149" s="1"/>
  <c i="11" r="AI6"/>
  <c i="15" r="Z7"/>
  <c i="11" r="AI11"/>
  <c i="11" r="AI8"/>
  <c i="6" r="AC17"/>
  <c i="11" r="AI7"/>
  <c i="11" r="AI9"/>
  <c i="15" r="Y66"/>
  <c i="11" r="AL10"/>
  <c i="11" r="W12"/>
  <c i="11" r="W26" s="1"/>
  <c i="6" r="X6"/>
  <c i="11" r="AL6"/>
  <c i="10" r="AE44"/>
  <c i="24" r="F56"/>
  <c i="16" r="B51"/>
  <c i="12" r="B25"/>
  <c i="16" r="B78"/>
  <c i="16" r="G78" s="1"/>
  <c i="24" r="G56"/>
  <c i="16" r="B52"/>
  <c i="16" r="G52" s="1"/>
  <c i="24" r="E20"/>
  <c i="24" r="J20" s="1"/>
  <c i="10" r="B27"/>
  <c i="24" r="C56"/>
  <c i="10" r="S23"/>
  <c i="24" r="R56"/>
  <c i="16" r="D63"/>
  <c i="16" r="E63" s="1"/>
  <c i="10" r="N28"/>
  <c i="24" r="M56"/>
  <c i="10" r="R24"/>
  <c i="24" r="Q56"/>
  <c i="10" r="D30"/>
  <c i="24" r="E56"/>
  <c i="10" r="C30"/>
  <c i="24" r="D56"/>
  <c i="10" r="U26"/>
  <c i="24" r="S56"/>
  <c i="10" r="G23"/>
  <c i="24" r="H56"/>
  <c i="10" r="O23"/>
  <c i="24" r="N56"/>
  <c i="10" r="Q30"/>
  <c i="24" r="P56"/>
  <c i="16" r="D40"/>
  <c i="16" r="E40" s="1"/>
  <c i="24" r="E12"/>
  <c i="16" r="D33"/>
  <c i="16" r="E33" s="1"/>
  <c i="15" r="Y42"/>
  <c i="2" r="Y78"/>
  <c i="6" r="N30"/>
  <c i="6" r="AA39"/>
  <c i="15" r="AA67"/>
  <c i="6" r="AC71"/>
  <c i="16" r="D34"/>
  <c i="16" r="E34" s="1"/>
  <c i="6" r="N63"/>
  <c i="6" r="N52"/>
  <c i="15" r="T69"/>
  <c i="15" r="T45"/>
  <c i="15" r="T21"/>
  <c i="2" r="T9"/>
  <c i="15" r="T9"/>
  <c i="15" r="I57"/>
  <c i="6" r="T19"/>
  <c i="3" r="T18"/>
  <c i="15" r="T33"/>
  <c i="6" r="T41"/>
  <c i="2" r="T45"/>
  <c i="1" r="T9"/>
  <c i="2" r="T69"/>
  <c i="2" r="I33"/>
  <c i="2" r="I45"/>
  <c i="2" r="I57"/>
  <c i="15" r="T81"/>
  <c i="2" r="I81"/>
  <c i="6" r="H8"/>
  <c i="6" r="AD8" s="1"/>
  <c i="15" r="Y68"/>
  <c i="6" r="AE72"/>
  <c i="1" r="AB7"/>
  <c i="15" r="AB53"/>
  <c i="10" r="AG109"/>
  <c i="10" r="AG118"/>
  <c i="11" r="AG102"/>
  <c i="2" r="AE7"/>
  <c i="6" r="Y7"/>
  <c i="6" r="B63"/>
  <c i="6" r="Y61"/>
  <c i="15" r="AA55"/>
  <c i="6" r="AC7"/>
  <c i="2" r="AD77"/>
  <c i="6" r="U41"/>
  <c i="11" r="P59"/>
  <c i="15" r="X77"/>
  <c i="16" r="B11"/>
  <c i="3" r="X11"/>
  <c i="6" r="Q41"/>
  <c i="11" r="AF102"/>
  <c i="6" r="AC49"/>
  <c i="6" r="Y51"/>
  <c i="15" r="P81"/>
  <c i="15" r="M21"/>
  <c i="2" r="N69"/>
  <c i="10" r="AF109"/>
  <c i="6" r="R63"/>
  <c i="6" r="M19"/>
  <c i="20" r="H214"/>
  <c i="10" r="T111" s="1"/>
  <c i="12" r="U117"/>
  <c i="15" r="Q9"/>
  <c i="6" r="AB16"/>
  <c i="6" r="M8"/>
  <c i="2" r="S81"/>
  <c i="15" r="M69"/>
  <c i="6" r="S74"/>
  <c i="20" r="H298"/>
  <c i="12" r="T110" s="1"/>
  <c i="2" r="AB80"/>
  <c i="12" r="U113"/>
  <c i="6" r="Q63"/>
  <c i="16" r="C11"/>
  <c i="10" r="S127"/>
  <c i="10" r="S132"/>
  <c i="10" r="S131"/>
  <c i="10" r="S130"/>
  <c i="10" r="S129"/>
  <c i="10" r="S128"/>
  <c i="10" r="S126"/>
  <c i="15" r="Q21"/>
  <c i="6" r="Q30"/>
  <c i="11" r="S122"/>
  <c i="2" r="X80"/>
  <c i="12" r="I117"/>
  <c i="2" r="U81"/>
  <c i="6" r="M52"/>
  <c i="15" r="M81"/>
  <c i="6" r="M30"/>
  <c i="11" r="S118"/>
  <c i="6" r="AC6"/>
  <c i="15" r="S33"/>
  <c i="6" r="O52"/>
  <c i="2" r="AE79"/>
  <c i="2" r="S57"/>
  <c i="6" r="AF73"/>
  <c i="15" r="AB68"/>
  <c i="15" r="Z29"/>
  <c i="15" r="AD55"/>
  <c i="6" r="Z28"/>
  <c i="6" r="AE61"/>
  <c i="6" r="AB7"/>
  <c i="2" r="AC32"/>
  <c i="2" r="X44"/>
  <c i="15" r="P9"/>
  <c i="15" r="M9"/>
  <c i="1" r="Q9"/>
  <c i="15" r="R9"/>
  <c i="6" r="P63"/>
  <c i="6" r="R41"/>
  <c i="15" r="Q57"/>
  <c i="15" r="O33"/>
  <c i="15" r="U33"/>
  <c i="15" r="Q81"/>
  <c i="6" r="U30"/>
  <c i="11" r="U110"/>
  <c i="11" r="AG110" s="1"/>
  <c i="6" r="Q8"/>
  <c i="6" r="U52"/>
  <c i="6" r="O74"/>
  <c i="6" r="Z50"/>
  <c i="6" r="AD27"/>
  <c i="6" r="AA61"/>
  <c i="6" r="AA62"/>
  <c i="15" r="N33"/>
  <c i="6" r="R30"/>
  <c i="15" r="U57"/>
  <c i="2" r="S21"/>
  <c i="6" r="N8"/>
  <c i="6" r="Z6"/>
  <c i="15" r="U69"/>
  <c i="15" r="Q33"/>
  <c i="1" r="O9"/>
  <c i="6" r="M41"/>
  <c i="6" r="AB51"/>
  <c i="2" r="U33"/>
  <c i="6" r="U19"/>
  <c i="2" r="O81"/>
  <c i="15" r="O57"/>
  <c i="2" r="P81"/>
  <c i="15" r="U21"/>
  <c i="6" r="U63"/>
  <c i="1" r="N9"/>
  <c i="1" r="Y7"/>
  <c i="2" r="Q69"/>
  <c i="6" r="P52"/>
  <c i="15" r="Z78"/>
  <c i="15" r="S9"/>
  <c i="6" r="S30"/>
  <c i="6" r="O63"/>
  <c i="11" r="AD110"/>
  <c i="15" r="N21"/>
  <c i="6" r="Q52"/>
  <c i="15" r="Q69"/>
  <c i="15" r="M45"/>
  <c i="15" r="N57"/>
  <c i="15" r="R57"/>
  <c i="15" r="R69"/>
  <c i="6" r="S19"/>
  <c i="6" r="R52"/>
  <c i="15" r="R21"/>
  <c i="2" r="AD18"/>
  <c i="6" r="P30"/>
  <c i="2" r="M69"/>
  <c i="13" r="H9"/>
  <c i="15" r="M33"/>
  <c i="15" r="P69"/>
  <c i="3" r="AB13"/>
  <c i="15" r="N81"/>
  <c i="2" r="U57"/>
  <c i="2" r="S69"/>
  <c i="2" r="O69"/>
  <c i="2" r="AA66"/>
  <c i="6" r="S52"/>
  <c i="15" r="P33"/>
  <c i="6" r="R74"/>
  <c i="15" r="Z30"/>
  <c i="15" r="AB17"/>
  <c i="15" r="N45"/>
  <c i="2" r="R69"/>
  <c i="15" r="M57"/>
  <c i="6" r="P74"/>
  <c i="15" r="R33"/>
  <c i="15" r="S57"/>
  <c i="13" r="G23"/>
  <c i="10" r="Q31"/>
  <c i="15" r="U45"/>
  <c i="15" r="S81"/>
  <c i="6" r="AA5"/>
  <c i="6" r="P41"/>
  <c i="6" r="Y28"/>
  <c i="6" r="O41"/>
  <c i="15" r="AB66"/>
  <c i="6" r="Q74"/>
  <c i="6" r="N41"/>
  <c i="15" r="AE6"/>
  <c i="6" r="M74"/>
  <c i="15" r="S45"/>
  <c i="13" r="H23"/>
  <c i="2" r="N81"/>
  <c i="6" r="R8"/>
  <c i="15" r="S21"/>
  <c i="2" r="AA56"/>
  <c i="15" r="P45"/>
  <c i="11" r="S117"/>
  <c i="15" r="O69"/>
  <c i="15" r="AC6"/>
  <c i="6" r="N74"/>
  <c i="6" r="Q19"/>
  <c i="15" r="O45"/>
  <c i="15" r="O9"/>
  <c i="11" r="R78"/>
  <c i="11" r="R79" s="1"/>
  <c i="15" r="O21"/>
  <c i="15" r="R45"/>
  <c i="1" r="R9"/>
  <c i="15" r="U9"/>
  <c i="15" r="O81"/>
  <c i="15" r="P57"/>
  <c i="6" r="O30"/>
  <c i="2" r="U69"/>
  <c i="15" r="N69"/>
  <c i="6" r="R19"/>
  <c i="12" r="AI7"/>
  <c i="12" r="K13"/>
  <c i="12" r="AI9"/>
  <c i="12" r="AI8"/>
  <c i="12" r="AI10"/>
  <c i="12" r="AI11"/>
  <c i="10" r="K13"/>
  <c i="10" r="K24" s="1"/>
  <c i="10" r="AI7"/>
  <c i="10" r="AI8"/>
  <c i="10" r="AI9"/>
  <c i="10" r="AI10"/>
  <c i="10" r="AI11"/>
  <c i="15" r="AE7"/>
  <c i="15" r="AA8"/>
  <c i="15" r="AD68"/>
  <c i="11" r="F117"/>
  <c i="11" r="F119"/>
  <c i="2" r="AC17"/>
  <c i="11" r="F123"/>
  <c i="11" r="F122"/>
  <c i="12" r="Q92"/>
  <c i="12" r="Q93"/>
  <c i="6" r="X60"/>
  <c i="12" r="F132"/>
  <c i="12" r="Q96"/>
  <c i="15" r="AF43"/>
  <c i="15" r="Z67"/>
  <c i="6" r="G8"/>
  <c i="1" r="AA5"/>
  <c i="11" r="N120"/>
  <c i="11" r="N123"/>
  <c i="11" r="Z123" s="1"/>
  <c i="12" r="F125"/>
  <c i="12" r="F126"/>
  <c i="6" r="AD29"/>
  <c i="6" r="AC39"/>
  <c i="2" r="AB78"/>
  <c i="15" r="X53"/>
  <c i="15" r="X68"/>
  <c i="9" r="G83"/>
  <c i="12" r="F124"/>
  <c i="6" r="AB6"/>
  <c i="6" r="AD73"/>
  <c i="11" r="G121"/>
  <c i="2" r="Z79"/>
  <c i="15" r="AB6"/>
  <c i="6" r="AE62"/>
  <c i="10" r="F119"/>
  <c i="2" r="Z68"/>
  <c i="15" r="AE67"/>
  <c i="15" r="AF42"/>
  <c i="11" r="G111"/>
  <c i="11" r="AE111" s="1"/>
  <c i="11" r="S123"/>
  <c i="11" r="S119"/>
  <c i="11" r="S124"/>
  <c i="11" r="AE124" s="1"/>
  <c i="15" r="Y19"/>
  <c i="11" r="AD102"/>
  <c i="11" r="S120"/>
  <c i="11" r="F118"/>
  <c i="11" r="S121"/>
  <c i="11" r="F121"/>
  <c i="11" r="F120"/>
  <c i="12" r="R127"/>
  <c i="12" r="AD127" s="1"/>
  <c i="12" r="R128"/>
  <c i="12" r="Q84"/>
  <c i="3" r="X7"/>
  <c i="15" r="Z8"/>
  <c i="15" r="AD53"/>
  <c i="2" r="AB20"/>
  <c i="6" r="AE29"/>
  <c i="9" r="N82"/>
  <c i="2" r="AE56"/>
  <c i="12" r="R96"/>
  <c i="11" r="P58"/>
  <c i="11" r="F111"/>
  <c i="15" r="AD7"/>
  <c i="3" r="AC8"/>
  <c i="12" r="G126"/>
  <c i="12" r="G128"/>
  <c i="11" r="G120"/>
  <c i="11" r="G118"/>
  <c i="11" r="G122"/>
  <c i="12" r="G130"/>
  <c i="12" r="G125"/>
  <c i="12" r="G124"/>
  <c i="11" r="G123"/>
  <c i="11" r="G117"/>
  <c i="12" r="G118"/>
  <c i="11" r="AE108"/>
  <c i="15" r="AA80"/>
  <c i="2" r="X20"/>
  <c i="6" r="AE28"/>
  <c i="2" r="AE20"/>
  <c i="6" r="AD7"/>
  <c i="2" r="X5"/>
  <c i="15" r="AB80"/>
  <c i="12" r="R94"/>
  <c i="2" r="AA31"/>
  <c i="6" r="AB72"/>
  <c i="15" r="AA18"/>
  <c i="12" r="R95"/>
  <c i="2" r="AA29"/>
  <c i="6" r="X17"/>
  <c i="10" r="F131"/>
  <c i="15" r="AE66"/>
  <c i="2" r="AB42"/>
  <c i="12" r="R91"/>
  <c i="12" r="G129"/>
  <c i="15" r="AA68"/>
  <c i="9" r="N86"/>
  <c i="15" r="AA66"/>
  <c i="9" r="N80"/>
  <c i="11" r="G119"/>
  <c i="9" r="N84"/>
  <c i="6" r="Y62"/>
  <c i="15" r="AC5"/>
  <c i="15" r="P21"/>
  <c i="12" r="F131"/>
  <c i="15" r="AE80"/>
  <c i="15" r="AC68"/>
  <c i="2" r="AD43"/>
  <c i="2" r="X8"/>
  <c i="10" r="Q128"/>
  <c i="10" r="AE46"/>
  <c i="6" r="AC61"/>
  <c i="15" r="AA78"/>
  <c i="9" r="R49"/>
  <c i="10" r="Q133"/>
  <c i="6" r="Y16"/>
  <c i="6" r="AC51"/>
  <c i="2" r="Y80"/>
  <c i="6" r="X16"/>
  <c i="12" r="F128"/>
  <c i="12" r="F130"/>
  <c i="12" r="F129"/>
  <c i="12" r="AD129" s="1"/>
  <c i="12" r="G132"/>
  <c i="12" r="G131"/>
  <c i="10" r="F132"/>
  <c i="10" r="F130"/>
  <c i="10" r="F129"/>
  <c i="10" r="F128"/>
  <c i="10" r="F127"/>
  <c i="10" r="F126"/>
  <c i="10" r="F125"/>
  <c i="10" r="AD125" s="1"/>
  <c i="6" r="AD40"/>
  <c i="15" r="X18"/>
  <c i="3" r="Y16"/>
  <c i="12" r="S132"/>
  <c i="12" r="S125"/>
  <c i="12" r="S126"/>
  <c i="12" r="S127"/>
  <c i="12" r="AE127" s="1"/>
  <c i="12" r="S128"/>
  <c i="12" r="S129"/>
  <c i="12" r="AE115"/>
  <c i="12" r="S124"/>
  <c i="11" r="Q120"/>
  <c i="12" r="R132"/>
  <c i="12" r="R125"/>
  <c i="12" r="R126"/>
  <c i="12" r="R130"/>
  <c i="12" r="R131"/>
  <c i="12" r="AD115"/>
  <c i="12" r="R124"/>
  <c i="12" r="D131"/>
  <c i="12" r="D124"/>
  <c i="10" r="G132"/>
  <c i="10" r="G131"/>
  <c i="10" r="G130"/>
  <c i="10" r="G129"/>
  <c i="10" r="G125"/>
  <c i="10" r="AE125" s="1"/>
  <c i="10" r="G133"/>
  <c i="12" r="S130"/>
  <c i="11" r="Q121"/>
  <c i="10" r="G126"/>
  <c i="12" r="S131"/>
  <c i="11" r="Q122"/>
  <c i="10" r="S119"/>
  <c i="10" r="S133"/>
  <c i="10" r="AE116"/>
  <c i="12" r="E127"/>
  <c i="12" r="E128"/>
  <c i="12" r="E124"/>
  <c i="12" r="E132"/>
  <c i="12" r="AC132" s="1"/>
  <c i="12" r="E125"/>
  <c i="12" r="E126"/>
  <c i="10" r="AD116"/>
  <c i="10" r="R126"/>
  <c i="10" r="R119"/>
  <c i="10" r="R133"/>
  <c i="10" r="AD133" s="1"/>
  <c i="10" r="R132"/>
  <c i="10" r="R131"/>
  <c i="10" r="R130"/>
  <c i="10" r="R128"/>
  <c i="10" r="R127"/>
  <c i="15" r="X67"/>
  <c i="10" r="R129"/>
  <c i="10" r="G128"/>
  <c i="3" r="AA6"/>
  <c i="15" r="AB8"/>
  <c i="10" r="Q127"/>
  <c i="12" r="E129"/>
  <c i="3" r="AB7"/>
  <c i="1" r="AB8"/>
  <c i="10" r="G127"/>
  <c i="12" r="E130"/>
  <c i="3" r="AC6"/>
  <c i="2" r="Y32"/>
  <c i="15" r="AA17"/>
  <c i="12" r="E131"/>
  <c i="2" r="AE66"/>
  <c i="12" r="S118"/>
  <c i="6" r="AD51"/>
  <c i="9" r="F50"/>
  <c i="11" r="Q119"/>
  <c i="11" r="E119"/>
  <c i="11" r="E120"/>
  <c i="11" r="E121"/>
  <c i="11" r="E122"/>
  <c i="11" r="E123"/>
  <c i="11" r="Q118"/>
  <c i="12" r="AE117"/>
  <c i="11" r="AC110"/>
  <c i="11" r="Z14"/>
  <c i="16" r="D19"/>
  <c i="16" r="E19" s="1"/>
  <c i="11" r="Z46"/>
  <c i="1" r="Z8"/>
  <c i="15" r="AE20"/>
  <c i="2" r="AF67"/>
  <c i="12" r="AE43"/>
  <c i="9" r="G19"/>
  <c i="9" r="G51"/>
  <c i="9" r="AA51" s="1"/>
  <c i="12" r="AE45"/>
  <c i="9" r="G84"/>
  <c i="9" r="AA84" s="1"/>
  <c i="6" r="E74"/>
  <c i="2" r="Y5"/>
  <c i="9" r="G56"/>
  <c i="2" r="D9"/>
  <c i="9" r="G82"/>
  <c i="3" r="AB16"/>
  <c i="3" r="Z13"/>
  <c i="2" r="AA54"/>
  <c i="2" r="AE54"/>
  <c i="12" r="E64"/>
  <c i="12" r="E58"/>
  <c i="9" r="C85"/>
  <c i="12" r="D84"/>
  <c i="2" r="Z44"/>
  <c i="12" r="D95"/>
  <c i="2" r="X54"/>
  <c i="11" r="B111"/>
  <c i="12" r="D96"/>
  <c i="9" r="H86"/>
  <c i="12" r="D97"/>
  <c i="2" r="AD7"/>
  <c i="2" r="AF5"/>
  <c i="9" r="C56"/>
  <c i="9" r="G49"/>
  <c i="15" r="AB42"/>
  <c i="12" r="D90"/>
  <c i="12" r="D93"/>
  <c i="12" r="D91"/>
  <c i="6" r="AE6"/>
  <c i="6" r="AE50"/>
  <c i="6" r="F19"/>
  <c i="3" r="AC16"/>
  <c i="6" r="AF17"/>
  <c i="9" r="F79"/>
  <c i="2" r="AC54"/>
  <c i="6" r="AF72"/>
  <c i="2" r="AF7"/>
  <c i="13" r="L19"/>
  <c i="3" r="Y12"/>
  <c i="15" r="G81"/>
  <c i="2" r="AA8"/>
  <c i="15" r="AC44"/>
  <c i="6" r="G74"/>
  <c i="6" r="Z73"/>
  <c i="2" r="AE8"/>
  <c i="2" r="AD56"/>
  <c i="9" r="I20"/>
  <c i="9" r="AC20" s="1"/>
  <c i="15" r="G57"/>
  <c i="2" r="X7"/>
  <c i="2" r="AA65"/>
  <c i="13" r="N8"/>
  <c i="2" r="J69"/>
  <c i="15" r="E33"/>
  <c i="9" r="F51"/>
  <c i="2" r="AC67"/>
  <c i="6" r="AB39"/>
  <c i="2" r="AB6"/>
  <c i="9" r="F19"/>
  <c i="15" r="AB19"/>
  <c i="13" r="N6"/>
  <c i="3" r="AB17"/>
  <c i="2" r="E69"/>
  <c i="13" r="N7"/>
  <c i="2" r="Y56"/>
  <c i="6" r="AD50"/>
  <c i="2" r="AE30"/>
  <c i="6" r="AD60"/>
  <c i="3" r="Y14"/>
  <c i="12" r="E93"/>
  <c i="2" r="D21"/>
  <c i="15" r="AA56"/>
  <c i="15" r="Z80"/>
  <c i="15" r="AE78"/>
  <c i="1" r="Y8"/>
  <c i="6" r="X18"/>
  <c i="15" r="AB20"/>
  <c i="6" r="AB17"/>
  <c i="15" r="F21"/>
  <c i="15" r="AD18"/>
  <c i="9" r="G79"/>
  <c i="9" r="G54"/>
  <c i="15" r="Y43"/>
  <c i="15" r="AB30"/>
  <c i="6" r="Z17"/>
  <c i="2" r="X32"/>
  <c i="6" r="B52"/>
  <c i="9" r="G85"/>
  <c i="12" r="AH15"/>
  <c i="6" r="AC29"/>
  <c i="2" r="AC68"/>
  <c i="2" r="Y19"/>
  <c i="2" r="AA67"/>
  <c i="9" r="G80"/>
  <c i="6" r="AA50"/>
  <c i="15" r="AC32"/>
  <c i="9" r="G21"/>
  <c i="15" r="AD78"/>
  <c i="3" r="Z17"/>
  <c i="9" r="G86"/>
  <c i="11" r="B119"/>
  <c i="11" r="Z119" s="1"/>
  <c i="2" r="X19"/>
  <c i="9" r="G24"/>
  <c i="9" r="G55"/>
  <c i="13" r="M18"/>
  <c i="15" r="Y5"/>
  <c i="15" r="X42"/>
  <c i="11" r="B124"/>
  <c i="9" r="G53"/>
  <c i="15" r="X6"/>
  <c i="13" r="L6"/>
  <c i="2" r="Z8"/>
  <c i="3" r="AE8"/>
  <c i="11" r="B120"/>
  <c i="9" r="G26"/>
  <c i="15" r="X56"/>
  <c i="15" r="X78"/>
  <c i="9" r="G81"/>
  <c i="10" r="B16"/>
  <c i="3" r="AF9"/>
  <c i="15" r="AD79"/>
  <c i="2" r="AA55"/>
  <c i="6" r="AE7"/>
  <c i="12" r="E60"/>
  <c i="2" r="AF19"/>
  <c i="9" r="G22"/>
  <c i="16" r="G48"/>
  <c i="15" r="Z79"/>
  <c i="15" r="Z44"/>
  <c i="15" r="AA19"/>
  <c i="9" r="G52"/>
  <c i="10" r="B24"/>
  <c i="2" r="AD55"/>
  <c i="11" r="G27"/>
  <c i="9" r="G20"/>
  <c i="9" r="C49"/>
  <c i="15" r="AF8"/>
  <c i="9" r="G50"/>
  <c i="2" r="AB77"/>
  <c i="6" r="Z29"/>
  <c i="6" r="AE18"/>
  <c i="15" r="AB78"/>
  <c i="15" r="AD20"/>
  <c i="2" r="AC56"/>
  <c i="11" r="G15"/>
  <c i="9" r="C84"/>
  <c i="6" r="AF5"/>
  <c i="15" r="AF77"/>
  <c i="15" r="Y67"/>
  <c i="6" r="X39"/>
  <c i="6" r="Z61"/>
  <c i="11" r="G24"/>
  <c i="3" r="X15"/>
  <c i="6" r="X40"/>
  <c i="9" r="G25"/>
  <c i="2" r="B9"/>
  <c i="3" r="AD15"/>
  <c i="3" r="X16"/>
  <c i="10" r="B30"/>
  <c i="11" r="AB78"/>
  <c i="15" r="AE31"/>
  <c i="15" r="X44"/>
  <c i="6" r="AB61"/>
  <c i="12" r="P118"/>
  <c i="2" r="AB44"/>
  <c i="15" r="X80"/>
  <c i="15" r="AF30"/>
  <c i="12" r="Q91"/>
  <c i="12" r="S16"/>
  <c i="6" r="AA71"/>
  <c i="12" r="AC15"/>
  <c i="15" r="X29"/>
  <c i="15" r="Y20"/>
  <c i="6" r="X73"/>
  <c i="15" r="AB7"/>
  <c i="15" r="Z66"/>
  <c i="2" r="AF80"/>
  <c i="3" r="AF12"/>
  <c i="2" r="AD68"/>
  <c i="2" r="Z67"/>
  <c i="11" r="O124"/>
  <c i="9" r="O54"/>
  <c i="15" r="AC18"/>
  <c i="2" r="Y68"/>
  <c i="3" r="AB8"/>
  <c i="12" r="S29"/>
  <c i="2" r="Y31"/>
  <c i="16" r="C83"/>
  <c i="16" r="H83" s="1"/>
  <c i="12" r="S25"/>
  <c i="15" r="AD42"/>
  <c i="15" r="Z55"/>
  <c i="1" r="AE7"/>
  <c i="11" r="AD14"/>
  <c i="15" r="AC53"/>
  <c i="12" r="S22"/>
  <c i="15" r="Z20"/>
  <c i="9" r="Y42"/>
  <c i="12" r="Q95"/>
  <c i="6" r="AE40"/>
  <c i="6" r="AC27"/>
  <c i="12" r="Q94"/>
  <c i="2" r="AE68"/>
  <c i="9" r="O51"/>
  <c i="9" r="O56"/>
  <c i="15" r="AD29"/>
  <c i="15" r="AA44"/>
  <c i="6" r="Z7"/>
  <c i="3" r="AB6"/>
  <c i="15" r="U81"/>
  <c i="3" r="X12"/>
  <c i="3" r="Y13"/>
  <c i="3" r="AC13"/>
  <c i="11" r="Q90"/>
  <c i="6" r="AA40"/>
  <c i="11" r="Q79"/>
  <c i="1" r="AE8"/>
  <c i="2" r="AF77"/>
  <c i="3" r="AF15"/>
  <c i="10" r="O96"/>
  <c i="15" r="Z17"/>
  <c i="15" r="AD43"/>
  <c i="15" r="Z68"/>
  <c i="15" r="Z18"/>
  <c i="1" r="AE6"/>
  <c i="6" r="M63"/>
  <c i="15" r="Z42"/>
  <c i="6" r="X38"/>
  <c i="15" r="AB67"/>
  <c i="3" r="AA17"/>
  <c i="1" r="AC5"/>
  <c i="11" r="AE42"/>
  <c i="3" r="Z8"/>
  <c i="3" r="Z10"/>
  <c i="10" r="Q26"/>
  <c i="2" r="AA5"/>
  <c i="11" r="Q92"/>
  <c i="3" r="AC7"/>
  <c i="15" r="Y8"/>
  <c i="15" r="Z54"/>
  <c i="15" r="Y7"/>
  <c i="3" r="AE12"/>
  <c i="15" r="Y77"/>
  <c i="15" r="AF68"/>
  <c i="15" r="Z43"/>
  <c i="15" r="Z19"/>
  <c i="15" r="AF67"/>
  <c i="2" r="AC80"/>
  <c i="15" r="AB55"/>
  <c i="6" r="AC40"/>
  <c i="15" r="X32"/>
  <c i="3" r="AA11"/>
  <c i="15" r="AB65"/>
  <c i="2" r="AA32"/>
  <c i="6" r="AE39"/>
  <c i="12" r="N97"/>
  <c i="3" r="AC14"/>
  <c i="15" r="X65"/>
  <c i="6" r="AC28"/>
  <c i="2" r="AF66"/>
  <c i="6" r="AB62"/>
  <c i="12" r="Q90"/>
  <c i="1" r="Y6"/>
  <c i="15" r="AE43"/>
  <c i="3" r="AE7"/>
  <c i="3" r="AC17"/>
  <c i="6" r="AD49"/>
  <c i="6" r="Y6"/>
  <c i="15" r="AC30"/>
  <c i="1" r="AC8"/>
  <c i="11" r="Z78"/>
  <c i="15" r="AF32"/>
  <c i="6" r="AF51"/>
  <c i="2" r="X79"/>
  <c i="12" r="W15"/>
  <c i="12" r="W16" s="1"/>
  <c i="15" r="Y29"/>
  <c i="15" r="AE19"/>
  <c i="15" r="AA42"/>
  <c i="6" r="AB28"/>
  <c i="15" r="AD32"/>
  <c i="3" r="AE11"/>
  <c i="15" r="AD6"/>
  <c i="3" r="Y17"/>
  <c i="10" r="AI15"/>
  <c i="12" r="R25"/>
  <c i="1" r="Z7"/>
  <c i="12" r="O92"/>
  <c i="2" r="X56"/>
  <c i="11" r="W14"/>
  <c i="12" r="Q29"/>
  <c i="12" r="P96"/>
  <c i="16" r="C85"/>
  <c i="16" r="H85" s="1"/>
  <c i="2" r="AC19"/>
  <c i="6" r="AE17"/>
  <c i="12" r="Z49"/>
  <c i="6" r="X28"/>
  <c i="12" r="V22"/>
  <c i="10" r="Q23"/>
  <c i="12" r="N125"/>
  <c i="12" r="Z125" s="1"/>
  <c i="2" r="AB68"/>
  <c i="15" r="AD56"/>
  <c i="15" r="X31"/>
  <c i="2" r="Z30"/>
  <c i="12" r="V23"/>
  <c i="10" r="Q27"/>
  <c i="9" r="R54"/>
  <c i="10" r="N97"/>
  <c i="2" r="AE32"/>
  <c i="6" r="X29"/>
  <c i="12" r="V24"/>
  <c i="10" r="Q25"/>
  <c i="10" r="N95"/>
  <c i="10" r="Z95" s="1"/>
  <c i="12" r="O84"/>
  <c i="15" r="X30"/>
  <c i="10" r="Q28"/>
  <c i="6" r="AA72"/>
  <c i="6" r="AD39"/>
  <c i="15" r="AD30"/>
  <c i="10" r="Q16"/>
  <c i="11" r="R92"/>
  <c i="10" r="Q24"/>
  <c i="12" r="N92"/>
  <c i="15" r="AF18"/>
  <c i="15" r="AA79"/>
  <c i="2" r="X67"/>
  <c i="15" r="X8"/>
  <c i="11" r="R87"/>
  <c i="16" r="C51"/>
  <c i="16" r="H51" s="1"/>
  <c i="12" r="N91"/>
  <c i="10" r="N31"/>
  <c i="10" r="Q29"/>
  <c i="16" r="C48"/>
  <c i="16" r="H48" s="1"/>
  <c i="10" r="N23"/>
  <c i="6" r="AC18"/>
  <c i="2" r="X65"/>
  <c i="15" r="AD17"/>
  <c i="15" r="Z6"/>
  <c i="10" r="N25"/>
  <c i="3" r="AD8"/>
  <c i="15" r="AC42"/>
  <c i="6" r="X72"/>
  <c i="2" r="AD20"/>
  <c i="12" r="Q124"/>
  <c i="12" r="R29"/>
  <c i="15" r="AC67"/>
  <c i="3" r="AE6"/>
  <c i="15" r="Y44"/>
  <c i="2" r="AA42"/>
  <c i="2" r="X68"/>
  <c i="2" r="AC77"/>
  <c i="9" r="R53"/>
  <c i="9" r="R51"/>
  <c i="6" r="AB73"/>
  <c i="9" r="R55"/>
  <c i="15" r="AF29"/>
  <c i="9" r="R52"/>
  <c i="9" r="R50"/>
  <c i="10" r="N29"/>
  <c i="15" r="AC43"/>
  <c i="15" r="X79"/>
  <c i="12" r="AA15"/>
  <c i="10" r="N92"/>
  <c i="12" r="O93"/>
  <c i="6" r="AE73"/>
  <c i="12" r="AC83"/>
  <c i="16" r="D21"/>
  <c i="16" r="E21" s="1"/>
  <c i="15" r="AC17"/>
  <c i="6" r="AC73"/>
  <c i="12" r="N130"/>
  <c i="6" r="AF28"/>
  <c i="6" r="X7"/>
  <c i="12" r="R98"/>
  <c i="12" r="R84"/>
  <c i="13" r="M20"/>
  <c i="2" r="AF65"/>
  <c i="2" r="AE19"/>
  <c i="15" r="AC7"/>
  <c i="15" r="Y56"/>
  <c i="13" r="M22"/>
  <c i="6" r="U8"/>
  <c i="2" r="AD17"/>
  <c i="6" r="AB18"/>
  <c i="15" r="X20"/>
  <c i="12" r="Q125"/>
  <c i="12" r="Q131"/>
  <c i="3" r="AA7"/>
  <c i="11" r="Q91"/>
  <c i="10" r="N24"/>
  <c i="6" r="Z72"/>
  <c i="12" r="Q118"/>
  <c i="15" r="Y53"/>
  <c i="12" r="N96"/>
  <c i="6" r="X50"/>
  <c i="13" r="M7"/>
  <c i="15" r="AD8"/>
  <c i="2" r="Z32"/>
  <c i="2" r="AA43"/>
  <c i="12" r="N93"/>
  <c i="12" r="Q126"/>
  <c i="15" r="Y30"/>
  <c i="6" r="Z49"/>
  <c i="15" r="AB32"/>
  <c i="9" r="Y23"/>
  <c i="2" r="AB32"/>
  <c i="2" r="AB18"/>
  <c i="15" r="X7"/>
  <c i="3" r="Y9"/>
  <c i="10" r="Z13"/>
  <c i="2" r="AE80"/>
  <c i="12" r="N95"/>
  <c i="6" r="AB50"/>
  <c i="6" r="AA51"/>
  <c i="15" r="X55"/>
  <c i="15" r="AE8"/>
  <c i="11" r="Q88"/>
  <c i="11" r="AE40"/>
  <c i="2" r="Z56"/>
  <c i="15" r="AE79"/>
  <c i="2" r="AB66"/>
  <c i="2" r="X29"/>
  <c i="15" r="AB31"/>
  <c i="10" r="N30"/>
  <c i="1" r="AB5"/>
  <c i="2" r="X30"/>
  <c i="2" r="AA78"/>
  <c i="2" r="Z66"/>
  <c i="15" r="AD54"/>
  <c i="2" r="AF55"/>
  <c i="15" r="AE32"/>
  <c i="11" r="Q124"/>
  <c i="2" r="Q45"/>
  <c i="9" r="S84"/>
  <c i="2" r="AC44"/>
  <c i="3" r="AD14"/>
  <c i="3" r="X17"/>
  <c i="9" r="X19"/>
  <c i="15" r="AC77"/>
  <c i="6" r="AA6"/>
  <c i="15" r="AA30"/>
  <c i="9" r="S79"/>
  <c i="3" r="AF13"/>
  <c i="15" r="AE18"/>
  <c i="3" r="AE15"/>
  <c i="2" r="AD54"/>
  <c i="2" r="AF32"/>
  <c i="6" r="Z40"/>
  <c i="15" r="AB79"/>
  <c i="2" r="Y77"/>
  <c i="11" r="O119"/>
  <c i="6" r="S41"/>
  <c i="9" r="S85"/>
  <c i="9" r="O53"/>
  <c i="6" r="AD6"/>
  <c i="3" r="AE17"/>
  <c i="15" r="N9"/>
  <c i="2" r="AF18"/>
  <c i="3" r="AB5"/>
  <c i="6" r="Y29"/>
  <c i="15" r="Y54"/>
  <c i="3" r="AD7"/>
  <c i="2" r="AA20"/>
  <c i="11" r="Q89"/>
  <c i="9" r="AB42"/>
  <c i="15" r="AA6"/>
  <c i="6" r="AA17"/>
  <c i="6" r="AA18"/>
  <c i="11" r="Q85"/>
  <c i="2" r="Y20"/>
  <c i="2" r="AA19"/>
  <c i="13" r="L18"/>
  <c i="13" r="L16"/>
  <c i="15" r="AA31"/>
  <c i="3" r="X6"/>
  <c i="15" r="R81"/>
  <c i="15" r="Z56"/>
  <c i="12" r="P27"/>
  <c i="9" r="P50"/>
  <c i="12" r="P25"/>
  <c i="12" r="O16"/>
  <c i="16" r="D22"/>
  <c i="16" r="E22" s="1"/>
  <c i="15" r="AD31"/>
  <c i="2" r="AD66"/>
  <c i="9" r="P55"/>
  <c i="15" r="Z31"/>
  <c i="10" r="O91"/>
  <c i="12" r="S28"/>
  <c i="9" r="P51"/>
  <c i="2" r="AD42"/>
  <c i="3" r="AD17"/>
  <c i="9" r="O22"/>
  <c i="12" r="N98"/>
  <c i="15" r="Z32"/>
  <c i="9" r="P52"/>
  <c i="9" r="P54"/>
  <c i="12" r="Q127"/>
  <c i="3" r="AC9"/>
  <c i="12" r="S26"/>
  <c i="12" r="AC81"/>
  <c i="6" r="AD38"/>
  <c i="6" r="AE51"/>
  <c i="12" r="Q128"/>
  <c i="2" r="AB56"/>
  <c i="6" r="AA27"/>
  <c i="13" r="M8"/>
  <c i="16" r="D25"/>
  <c i="16" r="E25" s="1"/>
  <c i="9" r="P56"/>
  <c i="15" r="AA7"/>
  <c i="11" r="AB46"/>
  <c i="15" r="Y79"/>
  <c i="6" r="AF61"/>
  <c i="11" r="Q87"/>
  <c i="12" r="R90"/>
  <c i="2" r="AD79"/>
  <c i="15" r="AC20"/>
  <c i="2" r="AD44"/>
  <c i="9" r="S86"/>
  <c i="15" r="Y18"/>
  <c i="9" r="P53"/>
  <c i="15" r="X66"/>
  <c i="15" r="AE68"/>
  <c i="15" r="Y32"/>
  <c i="9" r="P81"/>
  <c i="9" r="P79"/>
  <c i="12" r="N118"/>
  <c i="9" r="P82"/>
  <c i="9" r="P85"/>
  <c i="9" r="Z85" s="1"/>
  <c i="6" r="Y40"/>
  <c i="6" r="AC62"/>
  <c i="3" r="AF6"/>
  <c i="15" r="AF56"/>
  <c i="2" r="AD67"/>
  <c i="3" r="AB11"/>
  <c i="15" r="AE42"/>
  <c i="3" r="AF11"/>
  <c i="3" r="AE16"/>
  <c i="12" r="P22"/>
  <c i="12" r="P91"/>
  <c i="3" r="X13"/>
  <c i="9" r="N26"/>
  <c i="11" r="N122"/>
  <c i="12" r="Q129"/>
  <c i="3" r="AB15"/>
  <c i="12" r="P16"/>
  <c i="12" r="R28"/>
  <c i="1" r="AC7"/>
  <c i="15" r="AD44"/>
  <c i="1" r="X7"/>
  <c i="9" r="O24"/>
  <c i="16" r="D18"/>
  <c i="16" r="E18" s="1"/>
  <c i="12" r="Q97"/>
  <c i="12" r="AC97" s="1"/>
  <c i="12" r="O97"/>
  <c i="9" r="N85"/>
  <c i="6" r="Y49"/>
  <c i="12" r="P26"/>
  <c i="12" r="Q25"/>
  <c i="12" r="AC25" s="1"/>
  <c i="6" r="AA7"/>
  <c i="9" r="O50"/>
  <c i="9" r="N81"/>
  <c i="10" r="W16"/>
  <c i="2" r="Z80"/>
  <c i="15" r="Y17"/>
  <c i="12" r="Q130"/>
  <c i="3" r="X9"/>
  <c i="10" r="O92"/>
  <c i="2" r="P69"/>
  <c i="12" r="R92"/>
  <c i="13" r="L8"/>
  <c i="16" r="D23"/>
  <c i="16" r="E23" s="1"/>
  <c i="12" r="N132"/>
  <c i="2" r="X31"/>
  <c i="3" r="X10"/>
  <c i="15" r="AF31"/>
  <c i="3" r="AA8"/>
  <c i="10" r="O85"/>
  <c i="12" r="R93"/>
  <c i="3" r="AD13"/>
  <c i="3" r="Z11"/>
  <c i="12" r="AE15"/>
  <c i="2" r="AE78"/>
  <c i="9" r="L51"/>
  <c i="12" r="AC117"/>
  <c i="9" r="C19"/>
  <c i="1" r="Z6"/>
  <c i="11" r="AC46"/>
  <c i="15" r="AB41"/>
  <c i="6" r="H63"/>
  <c i="6" r="AA29"/>
  <c i="2" r="AD80"/>
  <c i="11" r="N111"/>
  <c i="3" r="Y6"/>
  <c i="6" r="AB40"/>
  <c i="15" r="AA54"/>
  <c i="15" r="AB18"/>
  <c i="6" r="AD17"/>
  <c i="9" r="N50"/>
  <c i="11" r="AE14"/>
  <c i="9" r="N53"/>
  <c i="15" r="AC31"/>
  <c i="9" r="N51"/>
  <c i="9" r="N49"/>
  <c i="15" r="AC56"/>
  <c i="2" r="D57"/>
  <c i="13" r="L22"/>
  <c i="2" r="P45"/>
  <c i="3" r="X14"/>
  <c i="6" r="D52"/>
  <c i="6" r="Z18"/>
  <c i="2" r="Q81"/>
  <c i="2" r="AB67"/>
  <c i="10" r="N94"/>
  <c i="12" r="N124"/>
  <c i="9" r="N79"/>
  <c i="15" r="C9"/>
  <c i="6" r="E19"/>
  <c i="6" r="AA19" s="1"/>
  <c i="6" r="AB71"/>
  <c i="10" r="N85"/>
  <c i="6" r="AD61"/>
  <c i="2" r="Z55"/>
  <c i="9" r="F84"/>
  <c i="3" r="AD12"/>
  <c i="13" r="L7"/>
  <c i="2" r="AB43"/>
  <c i="15" r="AE44"/>
  <c i="3" r="AE13"/>
  <c i="6" r="E52"/>
  <c i="15" r="AB56"/>
  <c i="9" r="F83"/>
  <c i="9" r="Z83" s="1"/>
  <c i="10" r="N96"/>
  <c i="15" r="AE55"/>
  <c i="11" r="AB14"/>
  <c i="12" r="B118"/>
  <c i="1" r="G9"/>
  <c i="15" r="AA43"/>
  <c i="2" r="AD8"/>
  <c i="9" r="X42"/>
  <c i="10" r="N98"/>
  <c i="12" r="U30"/>
  <c i="12" r="AB94"/>
  <c i="2" r="AF31"/>
  <c i="1" r="AD7"/>
  <c i="10" r="N99"/>
  <c i="16" r="C84"/>
  <c i="16" r="H84" s="1"/>
  <c i="15" r="C69"/>
  <c i="15" r="Y80"/>
  <c i="6" r="B19"/>
  <c i="9" r="C26"/>
  <c i="10" r="N91"/>
  <c i="12" r="U22"/>
  <c i="15" r="C45"/>
  <c i="3" r="Z7"/>
  <c i="15" r="Y55"/>
  <c i="12" r="U29"/>
  <c i="9" r="F56"/>
  <c i="15" r="J81"/>
  <c i="2" r="Z42"/>
  <c i="15" r="AC66"/>
  <c i="15" r="AF7"/>
  <c i="16" r="C79"/>
  <c i="16" r="H79" s="1"/>
  <c i="15" r="AE30"/>
  <c i="10" r="B25"/>
  <c i="15" r="AD80"/>
  <c i="6" r="Y72"/>
  <c i="10" r="Q132"/>
  <c i="12" r="U16"/>
  <c i="13" r="M6"/>
  <c i="6" r="AA28"/>
  <c i="15" r="AB43"/>
  <c i="2" r="D45"/>
  <c i="6" r="AF7"/>
  <c i="12" r="U27"/>
  <c i="2" r="X77"/>
  <c i="13" r="N21"/>
  <c i="6" r="H30"/>
  <c i="11" r="P47"/>
  <c i="12" r="U25"/>
  <c i="3" r="AF14"/>
  <c i="10" r="W24"/>
  <c i="6" r="AF50"/>
  <c i="15" r="AF44"/>
  <c i="3" r="AC15"/>
  <c i="2" r="AB7"/>
  <c i="11" r="P55"/>
  <c i="11" r="R91"/>
  <c i="2" r="AC66"/>
  <c i="6" r="Z38"/>
  <c i="9" r="C23"/>
  <c i="2" r="AC53"/>
  <c i="6" r="AD72"/>
  <c i="15" r="X19"/>
  <c i="9" r="O55"/>
  <c i="12" r="U28"/>
  <c i="12" r="C50"/>
  <c i="6" r="X62"/>
  <c i="2" r="Y7"/>
  <c i="12" r="U26"/>
  <c i="9" r="R24"/>
  <c i="3" r="AF16"/>
  <c i="9" r="C53"/>
  <c i="12" r="S30"/>
  <c i="2" r="AA68"/>
  <c i="2" r="AE18"/>
  <c i="2" r="U9"/>
  <c i="2" r="F81"/>
  <c i="9" r="C81"/>
  <c i="9" r="W81" s="1"/>
  <c i="6" r="B41"/>
  <c i="6" r="AF71"/>
  <c i="9" r="O49"/>
  <c i="2" r="Y66"/>
  <c i="12" r="AE23"/>
  <c i="9" r="V72"/>
  <c i="12" r="P29"/>
  <c i="12" r="AB29" s="1"/>
  <c i="6" r="AD18"/>
  <c i="9" r="R84"/>
  <c i="15" r="D69"/>
  <c i="9" r="R83"/>
  <c i="9" r="R82"/>
  <c i="9" r="AB82" s="1"/>
  <c i="3" r="AF5"/>
  <c i="15" r="AD77"/>
  <c i="9" r="R86"/>
  <c i="12" r="C131"/>
  <c i="12" r="C118"/>
  <c i="2" r="M81"/>
  <c i="9" r="R85"/>
  <c i="6" r="C52"/>
  <c i="12" r="C129"/>
  <c i="9" r="R81"/>
  <c i="12" r="C127"/>
  <c i="9" r="R79"/>
  <c i="9" r="L84"/>
  <c i="6" r="AF40"/>
  <c i="12" r="C130"/>
  <c i="12" r="AA130" s="1"/>
  <c i="15" r="AF55"/>
  <c i="6" r="AF39"/>
  <c i="9" r="D82"/>
  <c i="12" r="C126"/>
  <c i="3" r="AA9"/>
  <c i="6" r="U74"/>
  <c i="12" r="O27"/>
  <c i="9" r="L85"/>
  <c i="6" r="X49"/>
  <c i="2" r="AF6"/>
  <c i="6" r="Y18"/>
  <c i="2" r="AB8"/>
  <c i="9" r="C54"/>
  <c i="9" r="R21"/>
  <c i="12" r="N84"/>
  <c i="11" r="AA46"/>
  <c i="6" r="AF62"/>
  <c i="15" r="B57"/>
  <c i="6" r="G41"/>
  <c i="12" r="C124"/>
  <c i="6" r="J8"/>
  <c i="2" r="Y42"/>
  <c i="11" r="P60"/>
  <c i="11" r="R90"/>
  <c i="12" r="O23"/>
  <c i="9" r="R23"/>
  <c i="10" r="Q131"/>
  <c i="9" r="O84"/>
  <c i="15" r="AA32"/>
  <c i="15" r="AF54"/>
  <c i="2" r="AA44"/>
  <c i="12" r="E84"/>
  <c i="10" r="P133"/>
  <c i="12" r="O24"/>
  <c i="6" r="X61"/>
  <c i="9" r="O83"/>
  <c i="9" r="C21"/>
  <c i="6" r="Y73"/>
  <c i="9" r="R25"/>
  <c i="9" r="S55"/>
  <c i="12" r="N90"/>
  <c i="9" r="O82"/>
  <c i="2" r="AF56"/>
  <c i="9" r="AB72"/>
  <c i="6" r="AB29"/>
  <c i="3" r="AF8"/>
  <c i="12" r="E95"/>
  <c i="3" r="AA14"/>
  <c i="2" r="Y43"/>
  <c i="10" r="P129"/>
  <c i="12" r="O26"/>
  <c i="1" r="AC6"/>
  <c i="13" r="M16"/>
  <c i="9" r="O85"/>
  <c i="9" r="S52"/>
  <c i="10" r="Q129"/>
  <c i="9" r="O80"/>
  <c i="11" r="AG14"/>
  <c i="2" r="F45"/>
  <c i="2" r="Z43"/>
  <c i="3" r="AE9"/>
  <c i="12" r="E91"/>
  <c i="3" r="AA10"/>
  <c i="10" r="P131"/>
  <c i="11" r="O111"/>
  <c i="15" r="AD19"/>
  <c i="9" r="S49"/>
  <c i="10" r="P127"/>
  <c i="9" r="O81"/>
  <c i="9" r="L86"/>
  <c i="2" r="AC7"/>
  <c i="12" r="E92"/>
  <c i="2" r="AA7"/>
  <c i="10" r="P128"/>
  <c i="11" r="O122"/>
  <c i="15" r="Y31"/>
  <c i="1" r="AD8"/>
  <c i="9" r="N21"/>
  <c i="9" r="S53"/>
  <c i="10" r="P130"/>
  <c i="12" r="O132"/>
  <c i="12" r="AA132" s="1"/>
  <c i="12" r="E63"/>
  <c i="3" r="AD6"/>
  <c i="2" r="N9"/>
  <c i="3" r="AC12"/>
  <c i="10" r="P126"/>
  <c i="6" r="AD16"/>
  <c i="11" r="O118"/>
  <c i="2" r="AF20"/>
  <c i="6" r="D19"/>
  <c i="6" r="Z19" s="1"/>
  <c i="6" r="X27"/>
  <c i="2" r="Z77"/>
  <c i="9" r="N23"/>
  <c i="9" r="S56"/>
  <c i="10" r="P132"/>
  <c i="12" r="S24"/>
  <c i="10" r="Q130"/>
  <c i="12" r="E59"/>
  <c i="2" r="E9"/>
  <c i="2" r="AE55"/>
  <c i="3" r="AB12"/>
  <c i="3" r="AA16"/>
  <c i="10" r="P119"/>
  <c i="11" r="O120"/>
  <c i="15" r="Q45"/>
  <c i="15" r="F45"/>
  <c i="15" r="C33"/>
  <c i="13" r="M19"/>
  <c i="9" r="C83"/>
  <c i="2" r="AB79"/>
  <c i="9" r="N25"/>
  <c i="9" r="S50"/>
  <c i="12" r="S27"/>
  <c i="10" r="Q119"/>
  <c i="15" r="AF19"/>
  <c i="2" r="E33"/>
  <c i="15" r="B69"/>
  <c i="11" r="P123"/>
  <c i="11" r="O121"/>
  <c i="15" r="B45"/>
  <c i="6" r="AD62"/>
  <c i="15" r="G21"/>
  <c i="3" r="AD9"/>
  <c i="9" r="S54"/>
  <c i="10" r="Q125"/>
  <c i="10" r="AC125" s="1"/>
  <c i="9" r="B56"/>
  <c i="6" r="E30"/>
  <c i="1" r="AF8"/>
  <c i="2" r="AF43"/>
  <c i="11" r="P119"/>
  <c i="11" r="O117"/>
  <c i="15" r="AA20"/>
  <c i="12" r="P97"/>
  <c i="6" r="X71"/>
  <c i="12" r="O126"/>
  <c i="9" r="O25"/>
  <c i="9" r="O19"/>
  <c i="15" r="AC55"/>
  <c i="15" r="AF20"/>
  <c i="3" r="Y11"/>
  <c i="2" r="AF42"/>
  <c i="15" r="AA29"/>
  <c i="9" r="L50"/>
  <c i="16" r="C80"/>
  <c i="16" r="H80" s="1"/>
  <c i="6" r="S63"/>
  <c i="2" r="J21"/>
  <c i="11" r="P124"/>
  <c i="15" r="AD67"/>
  <c i="6" r="C19"/>
  <c i="6" r="Y19" s="1"/>
  <c i="3" r="Z12"/>
  <c i="9" r="N55"/>
  <c i="12" r="P93"/>
  <c i="9" r="O79"/>
  <c i="11" r="N117"/>
  <c i="9" r="O21"/>
  <c i="12" r="P124"/>
  <c i="12" r="P126"/>
  <c i="12" r="P128"/>
  <c i="12" r="P130"/>
  <c i="12" r="P131"/>
  <c i="12" r="P132"/>
  <c i="12" r="P129"/>
  <c i="2" r="AF30"/>
  <c i="2" r="C45"/>
  <c i="2" r="Y67"/>
  <c i="3" r="Y8"/>
  <c i="2" r="AB55"/>
  <c i="3" r="AB10"/>
  <c i="11" r="B121"/>
  <c i="12" r="P23"/>
  <c i="11" r="P120"/>
  <c i="11" r="R85"/>
  <c i="2" r="M33"/>
  <c i="2" r="AC43"/>
  <c i="9" r="N52"/>
  <c i="12" r="P84"/>
  <c i="9" r="O26"/>
  <c i="2" r="AE41"/>
  <c i="12" r="P125"/>
  <c i="12" r="P127"/>
  <c i="12" r="C128"/>
  <c i="6" r="AF18"/>
  <c i="2" r="AE67"/>
  <c i="2" r="AE31"/>
  <c i="11" r="B117"/>
  <c i="3" r="AC10"/>
  <c i="12" r="P28"/>
  <c i="11" r="R89"/>
  <c i="6" r="Z62"/>
  <c i="1" r="AB6"/>
  <c i="9" r="N56"/>
  <c i="9" r="O20"/>
  <c i="6" r="F52"/>
  <c i="10" r="N27"/>
  <c i="11" r="R88"/>
  <c i="9" r="AC42"/>
  <c i="1" r="X8"/>
  <c i="15" r="AC79"/>
  <c i="12" r="P24"/>
  <c i="12" r="N128"/>
  <c i="6" r="AA16"/>
  <c i="12" r="U23"/>
  <c i="9" r="S81"/>
  <c i="9" r="S82"/>
  <c i="15" r="X43"/>
  <c i="12" r="N126"/>
  <c i="12" r="N127"/>
  <c i="9" r="R19"/>
  <c i="9" r="R26"/>
  <c i="9" r="R22"/>
  <c i="2" r="AE17"/>
  <c i="2" r="T21"/>
  <c i="11" r="N118"/>
  <c i="11" r="N124"/>
  <c i="11" r="N121"/>
  <c i="9" r="D85"/>
  <c i="10" r="B23"/>
  <c i="9" r="S83"/>
  <c i="12" r="N129"/>
  <c i="12" r="O90"/>
  <c i="12" r="O96"/>
  <c i="12" r="O91"/>
  <c i="12" r="O98"/>
  <c i="12" r="O95"/>
  <c i="12" r="O131"/>
  <c i="12" r="O125"/>
  <c i="10" r="W23"/>
  <c i="13" r="G9"/>
  <c i="9" r="N22"/>
  <c i="12" r="O129"/>
  <c i="10" r="B31"/>
  <c i="10" r="B26"/>
  <c i="10" r="B29"/>
  <c i="10" r="B28"/>
  <c i="11" r="Q117"/>
  <c i="11" r="Q111"/>
  <c i="12" r="P90"/>
  <c i="12" r="P95"/>
  <c i="12" r="P98"/>
  <c i="12" r="P92"/>
  <c i="1" r="AF6"/>
  <c i="9" r="C51"/>
  <c i="9" r="W51" s="1"/>
  <c i="2" r="Z5"/>
  <c i="9" r="P80"/>
  <c i="12" r="O124"/>
  <c i="15" r="T57"/>
  <c i="15" r="AE53"/>
  <c i="9" r="L79"/>
  <c i="9" r="L82"/>
  <c i="6" r="T30"/>
  <c i="6" r="AE27"/>
  <c i="15" r="AE54"/>
  <c i="15" r="AE56"/>
  <c i="6" r="AE16"/>
  <c i="9" r="L81"/>
  <c i="9" r="C52"/>
  <c i="9" r="C22"/>
  <c i="9" r="C55"/>
  <c i="9" r="C82"/>
  <c i="9" r="C50"/>
  <c i="9" r="C20"/>
  <c i="9" r="P86"/>
  <c i="9" r="P84"/>
  <c i="2" r="T81"/>
  <c i="2" r="AE77"/>
  <c i="15" r="S69"/>
  <c i="15" r="AD65"/>
  <c i="12" r="O22"/>
  <c i="12" r="O30"/>
  <c i="12" r="O29"/>
  <c i="12" r="O28"/>
  <c i="2" r="AF79"/>
  <c i="15" r="AF79"/>
  <c i="10" r="W30"/>
  <c i="9" r="C80"/>
  <c i="6" r="AA49"/>
  <c i="9" r="N20"/>
  <c i="9" r="C24"/>
  <c i="9" r="L83"/>
  <c i="12" r="O127"/>
  <c i="12" r="O128"/>
  <c i="9" r="N24"/>
  <c i="9" r="C25"/>
  <c i="12" r="S49"/>
  <c i="11" r="S46"/>
  <c i="12" r="AE39"/>
  <c i="12" r="R23"/>
  <c i="12" r="Q27"/>
  <c i="10" r="P23"/>
  <c i="10" r="P31"/>
  <c i="10" r="P24"/>
  <c i="16" r="C50"/>
  <c i="16" r="H50" s="1"/>
  <c i="10" r="P29"/>
  <c i="10" r="P30"/>
  <c i="10" r="P27"/>
  <c i="10" r="P28"/>
  <c i="10" r="P16"/>
  <c i="10" r="P25"/>
  <c i="10" r="N16"/>
  <c i="10" r="N26"/>
  <c i="10" r="P26"/>
  <c i="10" r="W28"/>
  <c i="10" r="AM13"/>
  <c i="10" r="W27"/>
  <c i="16" r="C56"/>
  <c i="10" r="W31"/>
  <c i="16" r="C41"/>
  <c i="10" r="W29"/>
  <c i="10" r="W25"/>
  <c i="9" r="L56"/>
  <c i="9" r="L55"/>
  <c i="9" r="S23"/>
  <c i="9" r="S22"/>
  <c i="9" r="AC22" s="1"/>
  <c i="9" r="S19"/>
  <c i="9" r="S25"/>
  <c i="9" r="S26"/>
  <c i="9" r="S21"/>
  <c i="9" r="S24"/>
  <c i="13" r="L20"/>
  <c i="15" r="AF78"/>
  <c i="15" r="AC80"/>
  <c i="15" r="AB77"/>
  <c i="15" r="AF66"/>
  <c i="6" r="AF29"/>
  <c i="15" r="AF6"/>
  <c i="2" r="Y79"/>
  <c i="2" r="AA79"/>
  <c i="2" r="AF54"/>
  <c i="2" r="Y8"/>
  <c i="3" r="AF17"/>
  <c i="3" r="Z14"/>
  <c i="3" r="AB9"/>
  <c i="3" r="AF7"/>
  <c i="3" r="Z15"/>
  <c i="1" r="AA8"/>
  <c i="11" r="K14"/>
  <c i="11" r="K15" s="1"/>
  <c i="12" r="D130"/>
  <c i="12" r="D128"/>
  <c i="12" r="E96"/>
  <c i="12" r="AE41"/>
  <c i="12" r="D23"/>
  <c i="11" r="G23"/>
  <c i="9" r="F26"/>
  <c i="9" r="F24"/>
  <c i="9" r="F20"/>
  <c i="9" r="F81"/>
  <c i="9" r="F21"/>
  <c i="9" r="F82"/>
  <c i="13" r="C23"/>
  <c i="6" r="Z51"/>
  <c i="15" r="E57"/>
  <c i="15" r="AA53"/>
  <c i="6" r="G52"/>
  <c i="6" r="F41"/>
  <c i="6" r="AB38"/>
  <c i="6" r="D41"/>
  <c i="6" r="G30"/>
  <c i="15" r="B21"/>
  <c i="15" r="X17"/>
  <c i="15" r="AC19"/>
  <c i="6" r="AC5"/>
  <c i="2" r="C57"/>
  <c i="2" r="AD31"/>
  <c i="2" r="AB31"/>
  <c i="2" r="AD19"/>
  <c i="2" r="Z19"/>
  <c i="3" r="AA13"/>
  <c i="3" r="Y15"/>
  <c i="1" r="AF7"/>
  <c i="1" r="E9"/>
  <c i="2" r="AD6"/>
  <c i="2" r="H9"/>
  <c i="2" r="H21"/>
  <c i="15" r="I81"/>
  <c i="15" r="AE77"/>
  <c i="11" r="P54"/>
  <c i="11" r="P53"/>
  <c i="11" r="AB53" s="1"/>
  <c i="11" r="P57"/>
  <c i="2" r="I9"/>
  <c i="2" r="AE5"/>
  <c i="9" r="F54"/>
  <c i="9" r="F23"/>
  <c i="9" r="F52"/>
  <c i="9" r="F25"/>
  <c i="9" r="F49"/>
  <c i="9" r="Z49" s="1"/>
  <c i="9" r="F80"/>
  <c i="9" r="F55"/>
  <c i="9" r="F53"/>
  <c i="9" r="F22"/>
  <c i="13" r="N22"/>
  <c i="10" r="AE43"/>
  <c i="10" r="O132"/>
  <c i="10" r="O130"/>
  <c i="9" r="I86"/>
  <c i="2" r="F69"/>
  <c i="2" r="B69"/>
  <c i="13" r="C9"/>
  <c i="15" r="C81"/>
  <c i="9" r="H56"/>
  <c i="9" r="AB56" s="1"/>
  <c i="6" r="H52"/>
  <c i="15" r="H21"/>
  <c i="2" r="H45"/>
  <c i="2" r="F9"/>
  <c i="1" r="F9"/>
  <c i="12" r="D127"/>
  <c i="6" r="F74"/>
  <c i="11" r="N86"/>
  <c i="15" r="H81"/>
  <c i="1" r="U9"/>
  <c i="11" r="G26"/>
  <c i="11" r="G22"/>
  <c i="11" r="G21"/>
  <c i="11" r="G25"/>
  <c i="11" r="V25"/>
  <c i="11" r="V26"/>
  <c i="11" r="V27"/>
  <c i="2" r="AC18"/>
  <c i="2" r="R21"/>
  <c i="9" r="L49"/>
  <c i="9" r="L53"/>
  <c i="9" r="L54"/>
  <c i="9" r="V42"/>
  <c i="6" r="G19"/>
  <c i="6" r="AC16"/>
  <c i="6" r="Y27"/>
  <c i="6" r="C30"/>
  <c i="15" r="I9"/>
  <c i="15" r="AE5"/>
  <c i="15" r="I33"/>
  <c i="15" r="AE29"/>
  <c i="6" r="D74"/>
  <c i="6" r="Z71"/>
  <c i="2" r="G45"/>
  <c i="6" r="C41"/>
  <c i="9" r="H85"/>
  <c i="9" r="H54"/>
  <c i="9" r="H19"/>
  <c i="15" r="G9"/>
  <c i="2" r="H81"/>
  <c i="2" r="E57"/>
  <c i="2" r="AD78"/>
  <c i="6" r="Z16"/>
  <c i="15" r="F81"/>
  <c i="12" r="E98"/>
  <c i="12" r="AC98" s="1"/>
  <c i="12" r="E94"/>
  <c i="12" r="E90"/>
  <c i="1" r="AD6"/>
  <c i="1" r="S9"/>
  <c i="2" r="Z7"/>
  <c i="2" r="O9"/>
  <c i="2" r="AC79"/>
  <c i="2" r="R81"/>
  <c i="12" r="V16"/>
  <c i="12" r="V30"/>
  <c i="12" r="V26"/>
  <c i="12" r="V28"/>
  <c i="12" r="V25"/>
  <c i="12" r="V27"/>
  <c i="6" r="C8"/>
  <c i="6" r="Y5"/>
  <c i="12" r="AB81"/>
  <c i="12" r="D98"/>
  <c i="12" r="D92"/>
  <c i="15" r="H45"/>
  <c i="15" r="AD41"/>
  <c i="6" r="I8"/>
  <c i="6" r="AE8" s="1"/>
  <c i="6" r="AE5"/>
  <c i="15" r="E9"/>
  <c i="15" r="AA5"/>
  <c i="1" r="D9"/>
  <c i="1" r="Z5"/>
  <c i="2" r="G69"/>
  <c i="2" r="AC65"/>
  <c i="6" r="H74"/>
  <c i="6" r="AD71"/>
  <c i="2" r="H33"/>
  <c i="2" r="G9"/>
  <c i="15" r="E21"/>
  <c i="15" r="F69"/>
  <c i="15" r="D21"/>
  <c i="3" r="AB14"/>
  <c i="15" r="Y6"/>
  <c i="15" r="AB44"/>
  <c i="6" r="Y17"/>
  <c i="6" r="B74"/>
  <c i="15" r="B81"/>
  <c i="12" r="AA115"/>
  <c i="12" r="C125"/>
  <c i="1" r="AA7"/>
  <c i="1" r="P9"/>
  <c i="11" r="P118"/>
  <c i="11" r="P122"/>
  <c i="11" r="P111"/>
  <c i="11" r="P121"/>
  <c i="12" r="Q22"/>
  <c i="12" r="Q28"/>
  <c i="12" r="Q16"/>
  <c i="12" r="Q23"/>
  <c i="12" r="Q26"/>
  <c i="12" r="Q24"/>
  <c i="12" r="Q30"/>
  <c i="15" r="Z41"/>
  <c i="15" r="D45"/>
  <c i="15" r="G33"/>
  <c i="15" r="AC29"/>
  <c i="1" r="H9"/>
  <c i="1" r="AD5"/>
  <c i="12" r="D132"/>
  <c i="12" r="D126"/>
  <c i="12" r="D129"/>
  <c i="12" r="D125"/>
  <c i="12" r="AB115"/>
  <c i="11" r="D86"/>
  <c i="11" r="D79"/>
  <c i="11" r="D87"/>
  <c i="11" r="D85"/>
  <c i="11" r="D91"/>
  <c i="11" r="D89"/>
  <c i="11" r="D88"/>
  <c i="11" r="D92"/>
  <c i="6" r="F63"/>
  <c i="6" r="AB60"/>
  <c i="2" r="B57"/>
  <c i="15" r="D9"/>
  <c i="15" r="J33"/>
  <c i="15" r="H69"/>
  <c i="15" r="C21"/>
  <c i="2" r="R57"/>
  <c i="6" r="E8"/>
  <c i="6" r="AA8" s="1"/>
  <c i="15" r="AD66"/>
  <c i="11" r="B122"/>
  <c i="11" r="B118"/>
  <c i="11" r="Z108"/>
  <c i="1" r="M9"/>
  <c i="1" r="X6"/>
  <c i="2" r="AA30"/>
  <c i="2" r="P33"/>
  <c i="12" r="R22"/>
  <c i="12" r="R30"/>
  <c i="12" r="R27"/>
  <c i="12" r="R24"/>
  <c i="16" r="C82"/>
  <c i="16" r="H82" s="1"/>
  <c i="12" r="R26"/>
  <c i="10" r="O98"/>
  <c i="10" r="O93"/>
  <c i="10" r="AA93" s="1"/>
  <c i="10" r="O99"/>
  <c i="10" r="O94"/>
  <c i="10" r="O95"/>
  <c i="1" r="AE5"/>
  <c i="1" r="I9"/>
  <c i="1" r="X5"/>
  <c i="1" r="B9"/>
  <c i="2" r="G57"/>
  <c i="2" r="AC55"/>
  <c i="15" r="Z77"/>
  <c i="15" r="D81"/>
  <c i="6" r="C74"/>
  <c i="6" r="Y71"/>
  <c i="15" r="AC8"/>
  <c i="15" r="X41"/>
  <c i="16" r="B85"/>
  <c i="12" r="J16"/>
  <c i="12" r="J24"/>
  <c i="12" r="J30"/>
  <c i="12" r="J23"/>
  <c i="12" r="J29"/>
  <c i="12" r="AH29" s="1"/>
  <c i="12" r="J25"/>
  <c i="12" r="J28"/>
  <c i="12" r="J26"/>
  <c i="12" r="J22"/>
  <c i="11" r="B92"/>
  <c i="11" r="B87"/>
  <c i="11" r="B91"/>
  <c i="11" r="B85"/>
  <c i="11" r="B89"/>
  <c i="11" r="B86"/>
  <c i="11" r="B90"/>
  <c i="11" r="Z90" s="1"/>
  <c i="2" r="G21"/>
  <c i="2" r="AC20"/>
  <c i="2" r="AA17"/>
  <c i="2" r="E21"/>
  <c i="2" r="H69"/>
  <c i="2" r="AD65"/>
  <c i="3" r="H18"/>
  <c i="3" r="AD5"/>
  <c i="3" r="D18"/>
  <c i="3" r="Z5"/>
  <c i="11" r="D117"/>
  <c i="11" r="AB117" s="1"/>
  <c i="11" r="D122"/>
  <c i="11" r="D118"/>
  <c i="11" r="D123"/>
  <c i="11" r="D121"/>
  <c i="11" r="D120"/>
  <c i="11" r="D124"/>
  <c i="11" r="AB108"/>
  <c i="2" r="AA18"/>
  <c i="2" r="P21"/>
  <c i="2" r="N57"/>
  <c i="2" r="Y53"/>
  <c i="2" r="P57"/>
  <c i="2" r="AA53"/>
  <c i="3" r="AC11"/>
  <c i="3" r="R18"/>
  <c i="12" r="C63"/>
  <c i="12" r="C58"/>
  <c i="12" r="AA58" s="1"/>
  <c i="12" r="C57"/>
  <c i="12" r="C64"/>
  <c i="12" r="C59"/>
  <c i="12" r="C60"/>
  <c i="12" r="C61"/>
  <c i="10" r="D125"/>
  <c i="10" r="AB125" s="1"/>
  <c i="10" r="D129"/>
  <c i="10" r="D133"/>
  <c i="10" r="D119"/>
  <c i="10" r="D128"/>
  <c i="10" r="D132"/>
  <c i="10" r="D130"/>
  <c i="10" r="D127"/>
  <c i="10" r="D131"/>
  <c i="16" r="G50"/>
  <c i="10" r="D23"/>
  <c i="10" r="D27"/>
  <c i="10" r="D28"/>
  <c i="10" r="D31"/>
  <c i="10" r="AB13"/>
  <c i="10" r="D16"/>
  <c i="10" r="D29"/>
  <c i="10" r="D26"/>
  <c i="10" r="D25"/>
  <c i="15" r="E69"/>
  <c i="15" r="AA65"/>
  <c i="6" r="F30"/>
  <c i="6" r="AB27"/>
  <c i="6" r="D8"/>
  <c i="6" r="Z8" s="1"/>
  <c i="6" r="Z5"/>
  <c i="6" r="F8"/>
  <c i="6" r="AB5"/>
  <c i="3" r="Y7"/>
  <c i="3" r="N18"/>
  <c i="2" r="Z17"/>
  <c i="2" r="O21"/>
  <c i="2" r="M21"/>
  <c i="2" r="X17"/>
  <c i="2" r="U21"/>
  <c i="2" r="AF17"/>
  <c i="2" r="AC30"/>
  <c i="2" r="R33"/>
  <c i="2" r="O45"/>
  <c i="2" r="Z41"/>
  <c i="2" r="R45"/>
  <c i="2" r="AC41"/>
  <c i="2" r="AE53"/>
  <c i="2" r="T57"/>
  <c i="9" r="P25"/>
  <c i="9" r="Z12"/>
  <c i="9" r="P20"/>
  <c i="9" r="P21"/>
  <c i="9" r="P22"/>
  <c i="9" r="P23"/>
  <c i="9" r="P24"/>
  <c i="9" r="P19"/>
  <c i="9" r="P26"/>
  <c i="10" r="N132"/>
  <c i="10" r="N130"/>
  <c i="10" r="N126"/>
  <c i="10" r="N128"/>
  <c i="10" r="N131"/>
  <c i="10" r="N133"/>
  <c i="10" r="N125"/>
  <c i="10" r="N127"/>
  <c i="10" r="N129"/>
  <c i="10" r="N119"/>
  <c i="11" r="P87"/>
  <c i="11" r="AB76"/>
  <c i="11" r="P85"/>
  <c i="11" r="P79"/>
  <c i="11" r="P86"/>
  <c i="11" r="P91"/>
  <c i="11" r="P90"/>
  <c i="11" r="AB90" s="1"/>
  <c i="11" r="P89"/>
  <c i="11" r="P92"/>
  <c i="12" r="O57"/>
  <c i="12" r="P59"/>
  <c i="2" r="F33"/>
  <c i="11" r="B79"/>
  <c i="2" r="B45"/>
  <c i="2" r="C33"/>
  <c i="6" r="H41"/>
  <c i="2" r="C81"/>
  <c i="2" r="AB30"/>
  <c i="6" r="AC50"/>
  <c i="2" r="AF68"/>
  <c i="15" r="X54"/>
  <c i="6" r="Z39"/>
  <c i="11" r="B27"/>
  <c i="9" r="B51"/>
  <c i="3" r="X8"/>
  <c i="15" r="AF80"/>
  <c i="13" r="B23"/>
  <c i="3" r="AA12"/>
  <c i="3" r="Z16"/>
  <c i="3" r="AD16"/>
  <c i="2" r="AC8"/>
  <c i="2" r="AD29"/>
  <c i="2" r="Y55"/>
  <c i="2" r="X55"/>
  <c i="2" r="M9"/>
  <c i="6" r="AA73"/>
  <c i="6" r="AF6"/>
  <c i="6" r="AD5"/>
  <c i="13" r="M5"/>
  <c i="3" r="M18"/>
  <c i="3" r="Q18"/>
  <c i="2" r="AB65"/>
  <c i="6" r="AB49"/>
  <c i="6" r="AC38"/>
  <c i="6" r="AD28"/>
  <c i="12" r="G25"/>
  <c i="12" r="G28"/>
  <c i="12" r="G22"/>
  <c i="12" r="G29"/>
  <c i="12" r="G24"/>
  <c i="12" r="G27"/>
  <c i="12" r="G16"/>
  <c i="12" r="G26"/>
  <c i="16" r="B83"/>
  <c i="16" r="G83" s="1"/>
  <c i="12" r="G30"/>
  <c i="16" r="B84"/>
  <c i="16" r="G84" s="1"/>
  <c i="12" r="I26"/>
  <c i="12" r="I22"/>
  <c i="12" r="I30"/>
  <c i="12" r="I27"/>
  <c i="12" r="AG13"/>
  <c i="12" r="I24"/>
  <c i="12" r="AG24" s="1"/>
  <c i="12" r="I23"/>
  <c i="12" r="I25"/>
  <c i="16" r="B79"/>
  <c i="16" r="G79" s="1"/>
  <c i="12" r="C28"/>
  <c i="12" r="C24"/>
  <c i="12" r="C16"/>
  <c i="12" r="C25"/>
  <c i="12" r="AA25" s="1"/>
  <c i="12" r="C29"/>
  <c i="12" r="C26"/>
  <c i="12" r="C23"/>
  <c i="12" r="C30"/>
  <c i="12" r="C22"/>
  <c i="12" r="C27"/>
  <c i="2" r="C69"/>
  <c i="2" r="Y65"/>
  <c i="2" r="I69"/>
  <c i="2" r="AE65"/>
  <c i="2" r="C21"/>
  <c i="2" r="Y17"/>
  <c i="12" r="E118"/>
  <c i="12" r="AC115"/>
  <c i="2" r="F57"/>
  <c i="2" r="AB53"/>
  <c i="2" r="B21"/>
  <c i="2" r="X18"/>
  <c i="12" r="N28"/>
  <c i="12" r="N29"/>
  <c i="12" r="N22"/>
  <c i="12" r="N24"/>
  <c i="16" r="C78"/>
  <c i="16" r="H78" s="1"/>
  <c i="12" r="N26"/>
  <c i="12" r="N16"/>
  <c i="12" r="N27"/>
  <c i="12" r="N25"/>
  <c i="12" r="Z13"/>
  <c i="12" r="N30"/>
  <c i="2" r="AB54"/>
  <c i="2" r="Q57"/>
  <c i="3" r="AD10"/>
  <c i="3" r="S18"/>
  <c i="12" r="D27"/>
  <c i="16" r="B80"/>
  <c i="16" r="G80" s="1"/>
  <c i="12" r="D26"/>
  <c i="12" r="D25"/>
  <c i="12" r="D30"/>
  <c i="12" r="AB30" s="1"/>
  <c i="12" r="D24"/>
  <c i="12" r="D22"/>
  <c i="12" r="D28"/>
  <c i="9" r="D21"/>
  <c i="9" r="D49"/>
  <c i="9" r="D55"/>
  <c i="9" r="D81"/>
  <c i="9" r="D50"/>
  <c i="9" r="D22"/>
  <c i="9" r="D53"/>
  <c i="9" r="D54"/>
  <c i="9" r="X54" s="1"/>
  <c i="9" r="D20"/>
  <c i="9" r="D25"/>
  <c i="9" r="D56"/>
  <c i="9" r="D51"/>
  <c i="9" r="D84"/>
  <c i="9" r="D80"/>
  <c i="9" r="D26"/>
  <c i="9" r="D79"/>
  <c i="9" r="D52"/>
  <c i="9" r="D24"/>
  <c i="9" r="D83"/>
  <c i="9" r="X83" s="1"/>
  <c i="9" r="X12"/>
  <c i="9" r="D23"/>
  <c i="15" r="G69"/>
  <c i="15" r="AC65"/>
  <c i="6" r="J63"/>
  <c i="6" r="AF60"/>
  <c i="15" r="I45"/>
  <c i="15" r="AE41"/>
  <c i="6" r="E41"/>
  <c i="6" r="AA38"/>
  <c i="6" r="D30"/>
  <c i="6" r="Z27"/>
  <c i="6" r="J30"/>
  <c i="6" r="AF27"/>
  <c i="15" r="J9"/>
  <c i="15" r="AF5"/>
  <c i="2" r="J33"/>
  <c i="2" r="AF29"/>
  <c i="3" r="G18"/>
  <c i="3" r="AC5"/>
  <c i="3" r="Z6"/>
  <c i="3" r="O18"/>
  <c i="2" r="S9"/>
  <c i="2" r="AD5"/>
  <c i="2" r="AB5"/>
  <c i="2" r="Q9"/>
  <c i="2" r="AB17"/>
  <c i="2" r="Q21"/>
  <c i="2" r="N33"/>
  <c i="2" r="Y29"/>
  <c i="2" r="AB29"/>
  <c i="2" r="Q33"/>
  <c i="2" r="U45"/>
  <c i="2" r="AF41"/>
  <c i="2" r="M57"/>
  <c i="2" r="X53"/>
  <c i="11" r="N91"/>
  <c i="11" r="Z76"/>
  <c i="11" r="N92"/>
  <c i="11" r="N89"/>
  <c i="11" r="N79"/>
  <c i="11" r="N88"/>
  <c i="11" r="N85"/>
  <c i="11" r="N87"/>
  <c i="10" r="B61"/>
  <c i="12" r="O62"/>
  <c i="12" r="AA62" s="1"/>
  <c i="2" r="B81"/>
  <c i="15" r="C57"/>
  <c i="15" r="F57"/>
  <c i="2" r="B33"/>
  <c i="15" r="H9"/>
  <c i="6" r="J74"/>
  <c i="3" r="F18"/>
  <c i="2" r="Z54"/>
  <c i="6" r="X51"/>
  <c i="15" r="AC54"/>
  <c i="2" r="S33"/>
  <c i="15" r="AB54"/>
  <c i="12" r="I29"/>
  <c i="11" r="B88"/>
  <c i="9" r="B53"/>
  <c i="15" r="AD5"/>
  <c i="12" r="C56"/>
  <c i="10" r="D126"/>
  <c i="10" r="D24"/>
  <c i="15" r="F9"/>
  <c i="3" r="C18"/>
  <c i="3" r="AA15"/>
  <c i="3" r="AE14"/>
  <c i="3" r="Y10"/>
  <c i="2" r="Z31"/>
  <c i="2" r="AC42"/>
  <c i="2" r="AE42"/>
  <c i="9" r="AC72"/>
  <c i="6" r="AE60"/>
  <c i="3" r="U18"/>
  <c i="12" r="AE13"/>
  <c i="10" r="AB116"/>
  <c i="12" r="AH13"/>
  <c i="2" r="X78"/>
  <c i="12" r="AA13"/>
  <c i="13" r="D9"/>
  <c i="6" r="I52"/>
  <c i="6" r="AE49"/>
  <c i="12" r="E56"/>
  <c i="12" r="E57"/>
  <c i="12" r="E62"/>
  <c i="12" r="E50"/>
  <c i="12" r="B22"/>
  <c i="12" r="B28"/>
  <c i="12" r="B27"/>
  <c i="12" r="B30"/>
  <c i="12" r="B24"/>
  <c i="12" r="B23"/>
  <c i="12" r="Z23" s="1"/>
  <c i="12" r="B16"/>
  <c i="12" r="B29"/>
  <c i="12" r="B26"/>
  <c i="11" r="C23"/>
  <c i="11" r="C28"/>
  <c i="11" r="C24"/>
  <c i="11" r="C22"/>
  <c i="11" r="C15"/>
  <c i="11" r="C27"/>
  <c i="11" r="C25"/>
  <c i="11" r="AA25" s="1"/>
  <c i="11" r="C21"/>
  <c i="11" r="C26"/>
  <c i="15" r="G45"/>
  <c i="15" r="AC41"/>
  <c i="15" r="I69"/>
  <c i="15" r="AE65"/>
  <c i="15" r="E81"/>
  <c i="15" r="AA77"/>
  <c i="2" r="D69"/>
  <c i="2" r="Z65"/>
  <c i="15" r="I21"/>
  <c i="15" r="AE17"/>
  <c i="2" r="E45"/>
  <c i="2" r="AA41"/>
  <c i="2" r="G33"/>
  <c i="2" r="AC29"/>
  <c i="15" r="D57"/>
  <c i="15" r="Z53"/>
  <c i="2" r="Z53"/>
  <c i="2" r="O57"/>
  <c i="2" r="AE29"/>
  <c i="2" r="T33"/>
  <c i="12" r="W28"/>
  <c i="12" r="W23"/>
  <c i="12" r="W27"/>
  <c i="16" r="C71"/>
  <c i="12" r="W25"/>
  <c i="12" r="W22"/>
  <c i="12" r="W24"/>
  <c i="12" r="W30"/>
  <c i="12" r="W26"/>
  <c i="12" r="W29"/>
  <c i="16" r="B81"/>
  <c i="16" r="G81" s="1"/>
  <c i="12" r="E16"/>
  <c i="12" r="E27"/>
  <c i="12" r="E26"/>
  <c i="12" r="E28"/>
  <c i="12" r="E22"/>
  <c i="12" r="E23"/>
  <c i="12" r="E24"/>
  <c i="12" r="E29"/>
  <c i="12" r="E30"/>
  <c i="10" r="E119"/>
  <c i="10" r="E132"/>
  <c i="10" r="E128"/>
  <c i="10" r="E133"/>
  <c i="10" r="E129"/>
  <c i="10" r="E131"/>
  <c i="10" r="E127"/>
  <c i="10" r="E130"/>
  <c i="10" r="AC116"/>
  <c i="10" r="E126"/>
  <c i="10" r="AC126" s="1"/>
  <c i="9" r="H22"/>
  <c i="9" r="H26"/>
  <c i="9" r="H51"/>
  <c i="9" r="H55"/>
  <c i="9" r="H21"/>
  <c i="9" r="H25"/>
  <c i="9" r="H50"/>
  <c i="9" r="H81"/>
  <c i="9" r="H23"/>
  <c i="9" r="H52"/>
  <c i="9" r="H79"/>
  <c i="9" r="H83"/>
  <c i="9" r="H53"/>
  <c i="9" r="AB12"/>
  <c i="9" r="H49"/>
  <c i="9" r="H20"/>
  <c i="9" r="AB20" s="1"/>
  <c i="9" r="H80"/>
  <c i="9" r="AB80" s="1"/>
  <c i="9" r="H84"/>
  <c i="9" r="H24"/>
  <c i="6" r="C63"/>
  <c i="6" r="Y60"/>
  <c i="6" r="I41"/>
  <c i="6" r="AE38"/>
  <c i="15" r="AB29"/>
  <c i="15" r="F33"/>
  <c i="15" r="B9"/>
  <c i="15" r="X5"/>
  <c i="2" r="Y18"/>
  <c i="2" r="N21"/>
  <c i="2" r="Z29"/>
  <c i="2" r="O33"/>
  <c i="2" r="AD41"/>
  <c i="2" r="S45"/>
  <c i="2" r="X41"/>
  <c i="2" r="M45"/>
  <c i="11" r="O85"/>
  <c i="11" r="O88"/>
  <c i="11" r="O92"/>
  <c i="11" r="O79"/>
  <c i="11" r="O86"/>
  <c i="11" r="O91"/>
  <c i="11" r="O87"/>
  <c i="11" r="O90"/>
  <c i="13" r="N20"/>
  <c i="2" r="G81"/>
  <c i="2" r="C9"/>
  <c i="3" r="B18"/>
  <c i="2" r="D33"/>
  <c i="2" r="F21"/>
  <c i="2" r="X42"/>
  <c i="6" r="AC72"/>
  <c i="2" r="X66"/>
  <c i="15" r="Y78"/>
  <c i="15" r="Z5"/>
  <c i="12" r="J27"/>
  <c i="11" r="D119"/>
  <c i="3" r="E18"/>
  <c i="15" r="H33"/>
  <c i="15" r="D33"/>
  <c i="6" r="B30"/>
  <c i="3" r="AE10"/>
  <c i="2" r="AC6"/>
  <c i="2" r="P9"/>
  <c i="2" r="AB19"/>
  <c i="2" r="Y30"/>
  <c i="2" r="AE43"/>
  <c i="1" r="AA6"/>
  <c i="2" r="AB41"/>
  <c i="15" r="Y41"/>
  <c i="11" r="O89"/>
  <c i="15" r="Z65"/>
  <c i="15" r="AB5"/>
  <c i="9" r="Z42"/>
  <c i="6" r="H19"/>
  <c i="12" r="AC13"/>
  <c i="9" r="I54"/>
  <c i="9" r="I83"/>
  <c i="9" r="I21"/>
  <c i="9" r="I81"/>
  <c i="9" r="I49"/>
  <c i="9" r="I84"/>
  <c i="9" r="I23"/>
  <c i="9" r="I51"/>
  <c i="9" r="AC51" s="1"/>
  <c i="9" r="I26"/>
  <c i="9" r="I24"/>
  <c i="9" r="I80"/>
  <c i="9" r="AC80" s="1"/>
  <c i="9" r="I82"/>
  <c i="9" r="I56"/>
  <c i="9" r="I55"/>
  <c i="9" r="I25"/>
  <c i="9" r="I19"/>
  <c i="9" r="I50"/>
  <c i="9" r="I85"/>
  <c i="9" r="AC12"/>
  <c i="9" r="I79"/>
  <c i="9" r="I52"/>
  <c i="9" r="I53"/>
  <c i="9" r="D86"/>
  <c i="9" r="X72"/>
  <c i="11" r="B15"/>
  <c i="11" r="B23"/>
  <c i="11" r="B28"/>
  <c i="11" r="B22"/>
  <c i="11" r="B26"/>
  <c i="11" r="B25"/>
  <c i="9" r="B24"/>
  <c i="9" r="V24" s="1"/>
  <c i="9" r="B25"/>
  <c i="9" r="B82"/>
  <c i="9" r="B79"/>
  <c i="9" r="B52"/>
  <c i="9" r="V52" s="1"/>
  <c i="9" r="B84"/>
  <c i="9" r="B26"/>
  <c i="9" r="B20"/>
  <c i="9" r="B54"/>
  <c i="9" r="B19"/>
  <c i="9" r="B80"/>
  <c i="9" r="V80" s="1"/>
  <c i="9" r="B85"/>
  <c i="9" r="B83"/>
  <c i="9" r="B22"/>
  <c i="9" r="B55"/>
  <c i="9" r="B49"/>
  <c i="9" r="B50"/>
  <c i="9" r="B21"/>
  <c i="9" r="B23"/>
  <c i="6" r="I74"/>
  <c i="6" r="AE71"/>
  <c i="6" r="D63"/>
  <c i="6" r="Z60"/>
  <c i="2" r="D81"/>
  <c i="2" r="Z78"/>
  <c i="1" r="C9"/>
  <c i="1" r="Y5"/>
  <c i="2" r="J9"/>
  <c i="2" r="AF8"/>
  <c i="3" r="I18"/>
  <c i="3" r="AE5"/>
  <c i="13" r="B9"/>
  <c i="13" r="L5"/>
  <c i="15" r="E45"/>
  <c i="15" r="AA41"/>
  <c i="2" r="E81"/>
  <c i="2" r="AA77"/>
  <c i="2" r="H57"/>
  <c i="2" r="AD53"/>
  <c i="2" r="N45"/>
  <c i="2" r="Y41"/>
  <c i="12" r="B128"/>
  <c i="12" r="B130"/>
  <c i="12" r="B124"/>
  <c i="12" r="B126"/>
  <c i="12" r="B131"/>
  <c i="12" r="Z131" s="1"/>
  <c i="12" r="B132"/>
  <c i="12" r="Z115"/>
  <c i="12" r="B129"/>
  <c i="12" r="B127"/>
  <c i="6" r="G63"/>
  <c i="6" r="AC60"/>
  <c i="6" r="E63"/>
  <c i="6" r="AA60"/>
  <c i="6" r="B8"/>
  <c i="6" r="X5"/>
  <c i="1" r="J9"/>
  <c i="1" r="AF5"/>
  <c i="3" r="P18"/>
  <c i="3" r="AA5"/>
  <c i="2" r="R9"/>
  <c i="2" r="AC5"/>
  <c i="9" r="L25"/>
  <c i="9" r="L26"/>
  <c i="9" r="L20"/>
  <c i="9" r="L21"/>
  <c i="9" r="L22"/>
  <c i="9" r="L23"/>
  <c i="9" r="L19"/>
  <c i="9" r="V12"/>
  <c i="9" r="M55"/>
  <c i="9" r="B86"/>
  <c i="6" r="Y50"/>
  <c i="15" r="AC78"/>
  <c i="12" r="I28"/>
  <c i="11" r="B24"/>
  <c i="9" r="B81"/>
  <c i="15" r="B33"/>
  <c i="13" r="M21"/>
  <c i="15" r="H57"/>
  <c i="3" r="Z9"/>
  <c i="3" r="AD11"/>
  <c i="2" r="AE6"/>
  <c i="2" r="AD30"/>
  <c i="2" r="AC31"/>
  <c i="2" r="Y44"/>
  <c i="2" r="X43"/>
  <c i="2" r="AE44"/>
  <c i="2" r="Y54"/>
  <c i="2" r="AC78"/>
  <c i="15" r="Y65"/>
  <c i="11" r="P88"/>
  <c i="3" r="X5"/>
  <c i="12" r="AB13"/>
  <c i="6" r="Y38"/>
  <c i="3" r="Y5"/>
  <c i="10" r="C85"/>
  <c i="10" r="C97"/>
  <c i="10" r="AA97" s="1"/>
  <c i="10" r="C99"/>
  <c i="10" r="C96"/>
  <c i="10" r="C98"/>
  <c i="10" r="AA82"/>
  <c i="11" r="C85"/>
  <c i="11" r="C87"/>
  <c i="11" r="C91"/>
  <c i="11" r="C88"/>
  <c i="11" r="C89"/>
  <c i="11" r="AA76"/>
  <c i="11" r="C86"/>
  <c i="11" r="C90"/>
  <c i="11" r="C92"/>
  <c i="11" r="C79"/>
  <c i="9" r="F86"/>
  <c i="9" r="Z72"/>
  <c i="11" r="F85"/>
  <c i="11" r="F92"/>
  <c i="11" r="AD76"/>
  <c i="11" r="F89"/>
  <c i="11" r="F86"/>
  <c i="11" r="AD86" s="1"/>
  <c i="11" r="F91"/>
  <c i="11" r="F88"/>
  <c i="11" r="F90"/>
  <c i="9" r="E86"/>
  <c i="9" r="Y86" s="1"/>
  <c i="9" r="Y72"/>
  <c i="11" r="E92"/>
  <c i="11" r="E91"/>
  <c i="11" r="E79"/>
  <c i="11" r="AC76"/>
  <c i="11" r="E85"/>
  <c i="11" r="E88"/>
  <c i="11" r="E86"/>
  <c i="11" r="AC86" s="1"/>
  <c i="11" r="E89"/>
  <c i="11" r="E87"/>
  <c i="11" r="E90"/>
  <c i="12" r="B84"/>
  <c i="12" r="Z81"/>
  <c i="12" r="B90"/>
  <c i="12" r="B91"/>
  <c i="12" r="B92"/>
  <c i="12" r="B93"/>
  <c i="12" r="B94"/>
  <c i="12" r="Z94" s="1"/>
  <c i="12" r="B95"/>
  <c i="12" r="B96"/>
  <c i="12" r="B97"/>
  <c i="12" r="B98"/>
  <c i="10" r="B91"/>
  <c i="10" r="B94"/>
  <c i="10" r="Z82"/>
  <c i="10" r="B85"/>
  <c i="10" r="B99"/>
  <c i="10" r="B93"/>
  <c i="10" r="Z93" s="1"/>
  <c i="10" r="B96"/>
  <c i="10" r="B92"/>
  <c i="10" r="B98"/>
  <c i="10" r="B97"/>
  <c i="10" r="F16"/>
  <c i="10" r="F26"/>
  <c i="10" r="F28"/>
  <c i="10" r="F27"/>
  <c i="10" r="F23"/>
  <c i="10" r="F30"/>
  <c i="10" r="F29"/>
  <c i="10" r="F31"/>
  <c i="10" r="F25"/>
  <c i="10" r="F24"/>
  <c i="10" r="C95"/>
  <c i="9" r="M53"/>
  <c i="9" r="M84"/>
  <c i="10" r="P60"/>
  <c i="11" r="O59"/>
  <c i="12" r="AA81"/>
  <c i="12" r="C90"/>
  <c i="12" r="C91"/>
  <c i="12" r="C92"/>
  <c i="12" r="C93"/>
  <c i="12" r="C94"/>
  <c i="12" r="AA94" s="1"/>
  <c i="12" r="C95"/>
  <c i="12" r="C96"/>
  <c i="12" r="C97"/>
  <c i="12" r="C98"/>
  <c i="12" r="D64"/>
  <c i="12" r="D61"/>
  <c i="12" r="D62"/>
  <c i="12" r="D57"/>
  <c i="12" r="D58"/>
  <c i="12" r="D56"/>
  <c i="12" r="D60"/>
  <c i="12" r="D63"/>
  <c i="12" r="AB63" s="1"/>
  <c i="12" r="D59"/>
  <c i="12" r="F90"/>
  <c i="12" r="F91"/>
  <c i="12" r="F92"/>
  <c i="12" r="F93"/>
  <c i="12" r="F94"/>
  <c i="12" r="F95"/>
  <c i="12" r="F96"/>
  <c i="12" r="F97"/>
  <c i="12" r="AD97" s="1"/>
  <c i="12" r="F98"/>
  <c i="12" r="AD81"/>
  <c i="11" r="C111"/>
  <c i="11" r="C118"/>
  <c i="11" r="C120"/>
  <c i="11" r="C122"/>
  <c i="11" r="C124"/>
  <c i="11" r="C117"/>
  <c i="11" r="C119"/>
  <c i="11" r="C121"/>
  <c i="11" r="C123"/>
  <c i="11" r="AA123" s="1"/>
  <c i="11" r="AA108"/>
  <c i="10" r="B126"/>
  <c i="10" r="B133"/>
  <c i="10" r="B128"/>
  <c i="10" r="B130"/>
  <c i="10" r="Z116"/>
  <c i="10" r="B129"/>
  <c i="10" r="B132"/>
  <c i="10" r="B127"/>
  <c i="10" r="B125"/>
  <c i="10" r="B131"/>
  <c i="10" r="B119"/>
  <c i="10" r="C94"/>
  <c i="10" r="E60"/>
  <c i="10" r="E62"/>
  <c i="10" r="AC62" s="1"/>
  <c i="10" r="E57"/>
  <c i="10" r="E59"/>
  <c i="10" r="E51"/>
  <c i="10" r="E61"/>
  <c i="10" r="E58"/>
  <c i="10" r="E64"/>
  <c i="9" r="E80"/>
  <c i="9" r="E21"/>
  <c i="9" r="E53"/>
  <c i="9" r="E22"/>
  <c i="9" r="E54"/>
  <c i="9" r="E26"/>
  <c i="9" r="E50"/>
  <c i="9" r="E52"/>
  <c i="9" r="Y52" s="1"/>
  <c i="9" r="E85"/>
  <c i="9" r="E81"/>
  <c i="9" r="E55"/>
  <c i="9" r="E24"/>
  <c i="9" r="E25"/>
  <c i="9" r="E84"/>
  <c i="9" r="E19"/>
  <c i="9" r="E82"/>
  <c i="9" r="E51"/>
  <c i="9" r="E56"/>
  <c i="9" r="Y12"/>
  <c i="9" r="E20"/>
  <c i="9" r="E83"/>
  <c i="9" r="E79"/>
  <c i="9" r="E49"/>
  <c i="12" r="F16"/>
  <c i="12" r="AD16" s="1"/>
  <c i="12" r="F27"/>
  <c i="16" r="B82"/>
  <c i="16" r="G82" s="1"/>
  <c i="12" r="F26"/>
  <c i="12" r="F29"/>
  <c i="12" r="F24"/>
  <c i="12" r="F28"/>
  <c i="12" r="F25"/>
  <c i="12" r="F22"/>
  <c i="12" r="AD13"/>
  <c i="12" r="F23"/>
  <c i="12" r="F30"/>
  <c i="11" r="F15"/>
  <c i="11" r="F22"/>
  <c i="11" r="F25"/>
  <c i="11" r="F28"/>
  <c i="11" r="F23"/>
  <c i="11" r="F27"/>
  <c i="11" r="F24"/>
  <c i="11" r="F26"/>
  <c i="11" r="F21"/>
  <c i="10" r="C92"/>
  <c i="12" r="C84"/>
  <c i="11" r="F87"/>
  <c i="10" r="E63"/>
  <c i="10" r="C91"/>
  <c i="10" r="AE45"/>
  <c i="13" r="N18"/>
  <c i="10" r="AE41"/>
  <c i="10" r="O58"/>
  <c i="11" r="U26"/>
  <c i="11" r="AG26" s="1"/>
  <c i="11" r="Q59"/>
  <c i="12" r="N62"/>
  <c i="12" r="N50"/>
  <c i="12" r="S47"/>
  <c i="12" r="S63" s="1"/>
  <c i="12" r="N56"/>
  <c i="12" r="N60"/>
  <c i="12" r="N61"/>
  <c i="12" r="N58"/>
  <c i="12" r="N64"/>
  <c i="12" r="Q60"/>
  <c i="12" r="Q64"/>
  <c i="12" r="Q58"/>
  <c i="12" r="Q56"/>
  <c i="12" r="AC47"/>
  <c i="12" r="Q62"/>
  <c i="12" r="Q50"/>
  <c i="12" r="Q59"/>
  <c i="12" r="Q63"/>
  <c i="12" r="AE42"/>
  <c i="12" r="AE46"/>
  <c i="12" r="O63"/>
  <c i="12" r="O56"/>
  <c i="12" r="O64"/>
  <c i="12" r="O60"/>
  <c i="12" r="O59"/>
  <c i="12" r="AA47"/>
  <c i="12" r="O50"/>
  <c i="12" r="P60"/>
  <c i="12" r="P64"/>
  <c i="12" r="P56"/>
  <c i="12" r="AB47"/>
  <c i="12" r="P62"/>
  <c i="12" r="P57"/>
  <c i="12" r="P50"/>
  <c i="12" r="P61"/>
  <c i="12" r="P58"/>
  <c i="12" r="Q57"/>
  <c i="12" r="AC61"/>
  <c i="12" r="N59"/>
  <c i="12" r="N63"/>
  <c i="12" r="N57"/>
  <c i="12" r="O61"/>
  <c i="11" r="N47"/>
  <c i="11" r="N54"/>
  <c i="11" r="N53"/>
  <c i="11" r="N59"/>
  <c i="11" r="N57"/>
  <c i="11" r="N56"/>
  <c i="11" r="N58"/>
  <c i="11" r="N60"/>
  <c i="11" r="S44"/>
  <c i="11" r="AE43"/>
  <c i="11" r="O57"/>
  <c i="11" r="O47"/>
  <c i="11" r="O56"/>
  <c i="11" r="O53"/>
  <c i="11" r="O60"/>
  <c i="11" r="O54"/>
  <c i="11" r="O58"/>
  <c i="11" r="Q56"/>
  <c i="11" r="Q57"/>
  <c i="11" r="Q60"/>
  <c i="11" r="Q54"/>
  <c i="11" r="Q58"/>
  <c i="11" r="Q53"/>
  <c i="11" r="Q47"/>
  <c i="11" r="N55"/>
  <c i="11" r="R28"/>
  <c i="11" r="R23"/>
  <c i="11" r="R22"/>
  <c i="11" r="R24"/>
  <c i="11" r="R21"/>
  <c i="11" r="R27"/>
  <c i="11" r="R15"/>
  <c i="11" r="AD12"/>
  <c i="11" r="R25"/>
  <c i="11" r="N24"/>
  <c i="11" r="N21"/>
  <c i="11" r="Z21" s="1"/>
  <c i="11" r="N23"/>
  <c i="11" r="N28"/>
  <c i="11" r="N27"/>
  <c i="11" r="N15"/>
  <c i="11" r="Z12"/>
  <c i="11" r="N25"/>
  <c i="11" r="N22"/>
  <c i="11" r="S15"/>
  <c i="11" r="S23"/>
  <c i="11" r="AE12"/>
  <c i="11" r="S21"/>
  <c i="11" r="S24"/>
  <c i="11" r="S22"/>
  <c i="11" r="S26"/>
  <c i="11" r="S28"/>
  <c i="11" r="AE28" s="1"/>
  <c i="11" r="Q22"/>
  <c i="11" r="Q26"/>
  <c i="11" r="Q28"/>
  <c i="11" r="Q21"/>
  <c i="11" r="Q15"/>
  <c i="11" r="Q24"/>
  <c i="11" r="O24"/>
  <c i="11" r="O15"/>
  <c i="11" r="O21"/>
  <c i="11" r="O23"/>
  <c i="11" r="O22"/>
  <c i="11" r="O26"/>
  <c i="11" r="AA12"/>
  <c i="11" r="O28"/>
  <c i="11" r="P25"/>
  <c i="11" r="P28"/>
  <c i="11" r="P23"/>
  <c i="11" r="P24"/>
  <c i="11" r="P22"/>
  <c i="11" r="P21"/>
  <c i="11" r="P15"/>
  <c i="11" r="P27"/>
  <c i="11" r="V15"/>
  <c i="11" r="V21"/>
  <c i="11" r="V24"/>
  <c i="11" r="V22"/>
  <c i="11" r="V28"/>
  <c i="11" r="U28"/>
  <c i="11" r="U27"/>
  <c i="11" r="U22"/>
  <c i="11" r="U25"/>
  <c i="11" r="U15"/>
  <c i="11" r="U21"/>
  <c i="11" r="U23"/>
  <c i="11" r="S27"/>
  <c i="11" r="Q23"/>
  <c i="11" r="Q25"/>
  <c i="11" r="AC25" s="1"/>
  <c i="11" r="R26"/>
  <c i="11" r="O27"/>
  <c i="11" r="N26"/>
  <c i="11" r="S25"/>
  <c i="11" r="P26"/>
  <c i="10" r="O119"/>
  <c i="10" r="O131"/>
  <c i="10" r="O125"/>
  <c i="10" r="O127"/>
  <c i="10" r="O129"/>
  <c i="10" r="O133"/>
  <c i="10" r="O126"/>
  <c i="10" r="AA126" s="1"/>
  <c i="10" r="R91"/>
  <c i="10" r="R99"/>
  <c i="10" r="R93"/>
  <c i="10" r="R97"/>
  <c i="10" r="R85"/>
  <c i="10" r="R94"/>
  <c i="10" r="R98"/>
  <c i="10" r="R95"/>
  <c i="10" r="P98"/>
  <c i="10" r="R92"/>
  <c i="10" r="Q98"/>
  <c i="10" r="Q91"/>
  <c i="10" r="Q96"/>
  <c i="10" r="Q97"/>
  <c i="10" r="Q92"/>
  <c i="10" r="AC92" s="1"/>
  <c i="10" r="Q85"/>
  <c i="10" r="Q94"/>
  <c i="10" r="Q99"/>
  <c i="10" r="Q95"/>
  <c i="10" r="P92"/>
  <c i="10" r="P95"/>
  <c i="10" r="P97"/>
  <c i="10" r="P99"/>
  <c i="10" r="P93"/>
  <c i="10" r="P85"/>
  <c i="10" r="P96"/>
  <c i="10" r="P91"/>
  <c i="10" r="S48"/>
  <c i="10" r="P58"/>
  <c i="10" r="P65"/>
  <c i="10" r="AB65" s="1"/>
  <c i="10" r="P61"/>
  <c i="10" r="P64"/>
  <c i="10" r="P51"/>
  <c i="10" r="P63"/>
  <c i="10" r="P62"/>
  <c i="10" r="P57"/>
  <c i="10" r="AE47"/>
  <c i="10" r="N63"/>
  <c i="10" r="N59"/>
  <c i="10" r="N51"/>
  <c i="10" r="N61"/>
  <c i="10" r="N58"/>
  <c i="10" r="N64"/>
  <c i="10" r="N57"/>
  <c i="10" r="N65"/>
  <c i="10" r="Z65" s="1"/>
  <c i="10" r="O57"/>
  <c i="10" r="O65"/>
  <c i="10" r="AA65" s="1"/>
  <c i="10" r="O61"/>
  <c i="10" r="O59"/>
  <c i="10" r="O51"/>
  <c i="10" r="O60"/>
  <c i="10" r="O63"/>
  <c i="10" r="AE42"/>
  <c i="10" r="Q64"/>
  <c i="10" r="Q59"/>
  <c i="10" r="Q65"/>
  <c i="10" r="AC65" s="1"/>
  <c i="10" r="Q57"/>
  <c i="10" r="Q60"/>
  <c i="10" r="AC48"/>
  <c i="10" r="Q63"/>
  <c i="10" r="Q61"/>
  <c i="10" r="Q51"/>
  <c i="10" r="Q58"/>
  <c i="10" r="N62"/>
  <c i="10" r="N60"/>
  <c i="10" r="Z60" s="1"/>
  <c i="10" r="O64"/>
  <c i="16" r="C53"/>
  <c i="16" r="H53" s="1"/>
  <c i="10" r="S27"/>
  <c i="10" r="S29"/>
  <c i="10" r="S26"/>
  <c i="10" r="S30"/>
  <c i="10" r="S31"/>
  <c i="10" r="S16"/>
  <c i="10" r="S25"/>
  <c i="10" r="S24"/>
  <c i="10" r="S28"/>
  <c i="10" r="O25"/>
  <c i="10" r="O31"/>
  <c i="10" r="O24"/>
  <c i="10" r="O28"/>
  <c i="10" r="O16"/>
  <c i="10" r="O27"/>
  <c i="10" r="O29"/>
  <c i="16" r="C49"/>
  <c i="16" r="H49" s="1"/>
  <c i="10" r="O26"/>
  <c i="10" r="O30"/>
  <c i="16" r="C55"/>
  <c i="16" r="H55" s="1"/>
  <c i="10" r="V26"/>
  <c i="10" r="V30"/>
  <c i="10" r="V23"/>
  <c i="10" r="V25"/>
  <c i="10" r="V31"/>
  <c i="10" r="V24"/>
  <c i="10" r="V28"/>
  <c i="10" r="V27"/>
  <c i="10" r="V16"/>
  <c i="10" r="R30"/>
  <c i="10" r="R25"/>
  <c i="16" r="C52"/>
  <c i="10" r="R16"/>
  <c i="10" r="R27"/>
  <c i="10" r="R28"/>
  <c i="10" r="R26"/>
  <c i="10" r="R23"/>
  <c i="10" r="R29"/>
  <c i="10" r="R31"/>
  <c i="10" r="AD13"/>
  <c i="10" r="U31"/>
  <c i="10" r="U25"/>
  <c i="10" r="U29"/>
  <c i="10" r="U23"/>
  <c i="10" r="U24"/>
  <c i="16" r="C54"/>
  <c i="16" r="H54" s="1"/>
  <c i="10" r="U30"/>
  <c i="10" r="U27"/>
  <c i="10" r="U28"/>
  <c i="10" r="U16"/>
  <c i="9" r="Q85"/>
  <c i="9" r="Q80"/>
  <c i="9" r="AA72"/>
  <c i="9" r="Q79"/>
  <c i="9" r="Q83"/>
  <c i="9" r="Q82"/>
  <c i="9" r="Q81"/>
  <c i="9" r="Q86"/>
  <c i="9" r="M83"/>
  <c i="9" r="M80"/>
  <c i="9" r="M86"/>
  <c i="9" r="M79"/>
  <c i="9" r="W79" s="1"/>
  <c i="9" r="M82"/>
  <c i="9" r="M85"/>
  <c i="9" r="Q55"/>
  <c i="9" r="Q54"/>
  <c i="9" r="Q56"/>
  <c i="9" r="Q49"/>
  <c i="9" r="Q53"/>
  <c i="9" r="AA42"/>
  <c i="9" r="Q52"/>
  <c i="9" r="M54"/>
  <c i="9" r="M56"/>
  <c i="9" r="W42"/>
  <c i="9" r="M49"/>
  <c i="9" r="M50"/>
  <c i="9" r="Q50"/>
  <c i="9" r="M52"/>
  <c i="9" r="M24"/>
  <c i="9" r="W12"/>
  <c i="9" r="M22"/>
  <c i="9" r="M21"/>
  <c i="9" r="M23"/>
  <c i="9" r="M20"/>
  <c i="9" r="M26"/>
  <c i="9" r="Q25"/>
  <c i="9" r="Q22"/>
  <c i="9" r="Q26"/>
  <c i="9" r="Q21"/>
  <c i="9" r="AA12"/>
  <c i="9" r="Q23"/>
  <c i="9" r="AA23" s="1"/>
  <c i="9" r="M19"/>
  <c i="9" r="M25"/>
  <c i="9" r="Q20"/>
  <c i="9" r="Q19"/>
  <c i="9" r="Q24"/>
  <c i="13" r="I23"/>
  <c i="13" r="N16"/>
  <c i="13" r="N19"/>
  <c i="13" r="N5"/>
  <c i="13" r="I9"/>
  <c i="11" r="E117"/>
  <c i="11" r="E124"/>
  <c i="11" r="E111"/>
  <c i="11" r="AC108"/>
  <c i="10" r="D96"/>
  <c i="10" r="D98"/>
  <c i="10" r="D99"/>
  <c i="10" r="D85"/>
  <c i="10" r="D91"/>
  <c i="10" r="D92"/>
  <c i="10" r="D93"/>
  <c i="10" r="D94"/>
  <c i="10" r="AB94" s="1"/>
  <c i="10" r="D95"/>
  <c i="10" r="D97"/>
  <c i="10" r="AB82"/>
  <c i="10" r="J16"/>
  <c i="10" r="J24"/>
  <c i="10" r="J26"/>
  <c i="16" r="B55"/>
  <c i="10" r="J28"/>
  <c i="10" r="J23"/>
  <c i="10" r="J31"/>
  <c i="10" r="J30"/>
  <c i="10" r="AH13"/>
  <c i="16" r="D64"/>
  <c i="16" r="E64" s="1"/>
  <c i="12" r="AE40"/>
  <c i="15" r="J57"/>
  <c i="15" r="AF53"/>
  <c i="12" r="AE44"/>
  <c i="11" r="AE39"/>
  <c i="11" r="J21"/>
  <c i="11" r="J27"/>
  <c i="11" r="J28"/>
  <c i="11" r="J23"/>
  <c i="11" r="AH23" s="1"/>
  <c i="11" r="J24"/>
  <c i="11" r="J25"/>
  <c i="11" r="J26"/>
  <c i="11" r="J15"/>
  <c i="11" r="J22"/>
  <c i="11" r="AH12"/>
  <c i="10" r="I30"/>
  <c i="10" r="I27"/>
  <c i="10" r="I16"/>
  <c i="10" r="I29"/>
  <c i="10" r="I26"/>
  <c i="10" r="I24"/>
  <c i="16" r="B54"/>
  <c i="10" r="I28"/>
  <c i="10" r="I25"/>
  <c i="10" r="I23"/>
  <c i="10" r="I31"/>
  <c i="10" r="AG13"/>
  <c i="2" r="J81"/>
  <c i="2" r="AF78"/>
  <c i="3" r="J18"/>
  <c i="3" r="AF10"/>
  <c i="12" r="F117"/>
  <c i="12" r="F118" s="1"/>
  <c i="12" r="B62"/>
  <c i="12" r="G47"/>
  <c i="12" r="G57" s="1"/>
  <c i="12" r="B60"/>
  <c i="12" r="B50"/>
  <c i="12" r="B63"/>
  <c i="12" r="B57"/>
  <c i="12" r="B61"/>
  <c i="12" r="B56"/>
  <c i="12" r="B59"/>
  <c i="12" r="B64"/>
  <c i="12" r="B58"/>
  <c i="12" r="Z47"/>
  <c i="2" r="J57"/>
  <c i="2" r="AF53"/>
  <c i="11" r="C60"/>
  <c i="11" r="C55"/>
  <c i="11" r="AA55" s="1"/>
  <c i="11" r="C57"/>
  <c i="11" r="C47"/>
  <c i="11" r="C58"/>
  <c i="11" r="C53"/>
  <c i="11" r="C56"/>
  <c i="11" r="C59"/>
  <c i="11" r="C54"/>
  <c i="11" r="AA44"/>
  <c i="10" r="G29"/>
  <c i="10" r="G30"/>
  <c i="10" r="G31"/>
  <c i="10" r="G25"/>
  <c i="10" r="G24"/>
  <c i="10" r="G26"/>
  <c i="10" r="G27"/>
  <c i="10" r="G16"/>
  <c i="10" r="G28"/>
  <c i="10" r="AE13"/>
  <c i="11" r="E23"/>
  <c i="11" r="E22"/>
  <c i="11" r="E27"/>
  <c i="11" r="AC27" s="1"/>
  <c i="11" r="E21"/>
  <c i="11" r="E24"/>
  <c i="11" r="E28"/>
  <c i="11" r="E26"/>
  <c i="11" r="E15"/>
  <c i="11" r="AC12"/>
  <c i="10" r="C26"/>
  <c i="10" r="C28"/>
  <c i="10" r="C23"/>
  <c i="10" r="C27"/>
  <c i="10" r="C25"/>
  <c i="10" r="C29"/>
  <c i="10" r="C24"/>
  <c i="10" r="C31"/>
  <c i="10" r="C16"/>
  <c i="10" r="AA13"/>
  <c i="12" r="D16"/>
  <c i="12" r="AB15"/>
  <c i="11" r="D58"/>
  <c i="11" r="D60"/>
  <c i="11" r="D47"/>
  <c i="11" r="D59"/>
  <c i="11" r="D54"/>
  <c i="11" r="D56"/>
  <c i="11" r="AB56" s="1"/>
  <c i="11" r="D55"/>
  <c i="11" r="D57"/>
  <c i="11" r="AB44"/>
  <c i="15" r="J45"/>
  <c i="15" r="AF41"/>
  <c i="12" r="O118"/>
  <c i="12" r="AA117"/>
  <c i="10" r="J27"/>
  <c i="12" r="AA83"/>
  <c i="10" r="D63"/>
  <c i="10" r="D64"/>
  <c i="10" r="D61"/>
  <c i="10" r="D51"/>
  <c i="10" r="D60"/>
  <c i="10" r="D57"/>
  <c i="10" r="D58"/>
  <c i="10" r="D62"/>
  <c i="10" r="D59"/>
  <c i="10" r="AB59" s="1"/>
  <c i="10" r="AB48"/>
  <c i="11" r="G44"/>
  <c i="11" r="G53" s="1"/>
  <c i="11" r="AE37"/>
  <c i="6" r="J52"/>
  <c i="6" r="AF49"/>
  <c i="10" r="G48"/>
  <c i="10" r="AE40"/>
  <c i="11" r="D21"/>
  <c i="11" r="D27"/>
  <c i="11" r="D15"/>
  <c i="11" r="D24"/>
  <c i="11" r="D28"/>
  <c i="11" r="D25"/>
  <c i="11" r="D22"/>
  <c i="11" r="D23"/>
  <c i="11" r="D26"/>
  <c i="11" r="AB12"/>
  <c i="11" r="D111"/>
  <c i="11" r="AB110"/>
  <c i="6" r="J19"/>
  <c i="6" r="AF16"/>
  <c i="12" r="R117"/>
  <c i="10" r="J29"/>
  <c i="10" r="AH29" s="1"/>
  <c i="10" r="J25"/>
  <c i="12" r="Z117"/>
  <c i="11" r="Z110"/>
  <c i="11" r="AE41"/>
  <c i="9" r="C86"/>
  <c i="9" r="W72"/>
  <c i="2" r="J45"/>
  <c i="2" r="AF44"/>
  <c i="12" r="F83"/>
  <c i="11" r="F78"/>
  <c i="10" r="AD84"/>
  <c i="11" r="B54"/>
  <c i="11" r="B53"/>
  <c i="11" r="B57"/>
  <c i="11" r="B59"/>
  <c i="11" r="B58"/>
  <c i="11" r="B60"/>
  <c i="11" r="B47"/>
  <c i="11" r="B55"/>
  <c i="11" r="B56"/>
  <c i="11" r="Z44"/>
  <c i="12" r="G49"/>
  <c i="11" r="G46"/>
  <c i="10" r="AE50"/>
  <c i="10" r="E97"/>
  <c i="10" r="E85"/>
  <c i="10" r="E99"/>
  <c i="10" r="E95"/>
  <c i="10" r="E93"/>
  <c i="10" r="AC93" s="1"/>
  <c i="10" r="E96"/>
  <c i="10" r="E94"/>
  <c i="10" r="E98"/>
  <c i="10" r="E91"/>
  <c i="10" r="AC82"/>
  <c i="10" r="B51"/>
  <c i="10" r="B57"/>
  <c i="10" r="B59"/>
  <c i="10" r="B63"/>
  <c i="10" r="B58"/>
  <c i="10" r="B62"/>
  <c i="10" r="B64"/>
  <c i="10" r="Z48"/>
  <c i="10" r="C64"/>
  <c i="10" r="C51"/>
  <c i="10" r="C58"/>
  <c i="10" r="C63"/>
  <c i="10" r="C57"/>
  <c i="10" r="C61"/>
  <c i="10" r="C59"/>
  <c i="10" r="C60"/>
  <c i="10" r="C62"/>
  <c i="10" r="AA62" s="1"/>
  <c i="10" r="AA48"/>
  <c i="10" r="F91"/>
  <c i="10" r="F96"/>
  <c i="10" r="AD96" s="1"/>
  <c i="10" r="F97"/>
  <c i="10" r="F98"/>
  <c i="10" r="F93"/>
  <c i="10" r="F85"/>
  <c i="10" r="F95"/>
  <c i="10" r="F99"/>
  <c i="10" r="F94"/>
  <c i="10" r="F92"/>
  <c i="10" r="AD82"/>
  <c i="12" r="D118"/>
  <c i="12" r="AB117"/>
  <c i="11" r="K25"/>
  <c i="11" r="K23"/>
  <c i="11" r="K26"/>
  <c i="11" r="K27"/>
  <c i="11" r="K21"/>
  <c i="11" r="K24"/>
  <c i="11" r="K28"/>
  <c i="15" r="J69"/>
  <c i="15" r="AF65"/>
  <c i="16" r="D24"/>
  <c i="16" r="E24" s="1"/>
  <c i="11" r="I24"/>
  <c i="11" r="AG24" s="1"/>
  <c i="11" r="I25"/>
  <c i="11" r="I22"/>
  <c i="11" r="I28"/>
  <c i="11" r="I23"/>
  <c i="11" r="I15"/>
  <c i="11" r="I27"/>
  <c i="11" r="I21"/>
  <c i="11" r="AG12"/>
  <c i="11" r="E53"/>
  <c i="11" r="E56"/>
  <c i="11" r="E59"/>
  <c i="11" r="E47"/>
  <c i="11" r="E54"/>
  <c i="11" r="E55"/>
  <c i="11" r="AC55" s="1"/>
  <c i="11" r="E60"/>
  <c i="11" r="E58"/>
  <c i="11" r="E57"/>
  <c i="11" r="AC44"/>
  <c i="11" r="AE38"/>
  <c i="10" r="C133"/>
  <c i="10" r="C130"/>
  <c i="10" r="C132"/>
  <c i="10" r="C119"/>
  <c i="10" r="C125"/>
  <c i="10" r="C127"/>
  <c i="10" r="C129"/>
  <c i="10" r="C131"/>
  <c i="10" r="AA116"/>
  <c i="10" r="E16"/>
  <c i="10" r="E23"/>
  <c i="10" r="E31"/>
  <c i="10" r="E26"/>
  <c i="10" r="E24"/>
  <c i="10" r="E27"/>
  <c i="10" r="E25"/>
  <c i="10" r="E28"/>
  <c i="10" r="E30"/>
  <c i="10" r="E29"/>
  <c i="10" r="AC13"/>
  <c i="12" r="I16"/>
  <c i="12" r="AG15"/>
  <c i="12" r="D50"/>
  <c i="12" r="AB49"/>
  <c i="6" r="J41"/>
  <c i="6" r="AF38"/>
  <c i="15" r="J21"/>
  <c i="15" r="AF17"/>
  <c i="13" r="D23"/>
  <c i="10" r="C128"/>
  <c i="10" r="AA128" s="1"/>
  <c i="16" r="D20"/>
  <c i="16" r="E20" s="1"/>
  <c i="12" r="AA49"/>
  <c i="16" l="1" r="H41"/>
  <c i="16" r="H56"/>
  <c i="6" r="AE63"/>
  <c i="6" r="AE74"/>
  <c i="15" r="X81"/>
  <c i="6" r="AE52"/>
  <c i="16" r="H63"/>
  <c i="16" r="H66"/>
  <c i="6" r="AE30"/>
  <c i="6" r="AF41"/>
  <c i="2" r="AE21"/>
  <c i="16" r="H71"/>
  <c i="16" r="M71"/>
  <c i="16" r="G63"/>
  <c i="16" r="G64"/>
  <c i="16" r="G66"/>
  <c i="16" r="I66" s="1"/>
  <c i="16" r="J66" s="1"/>
  <c i="16" r="G67"/>
  <c i="16" r="G68"/>
  <c i="16" r="G69"/>
  <c i="16" r="G70"/>
  <c i="16" r="G65"/>
  <c i="16" r="I65" s="1"/>
  <c i="16" r="J65" s="1"/>
  <c i="16" r="G33"/>
  <c i="16" r="G34"/>
  <c i="16" r="H37"/>
  <c i="16" r="H35"/>
  <c i="16" r="H34"/>
  <c i="16" r="H70"/>
  <c i="16" r="H69"/>
  <c i="16" r="H68"/>
  <c i="16" r="H64"/>
  <c i="16" r="G35"/>
  <c i="16" r="H67"/>
  <c i="16" r="G41"/>
  <c i="16" r="I41" s="1"/>
  <c i="16" r="J41" s="1"/>
  <c i="16" r="G36"/>
  <c i="16" r="H65"/>
  <c i="16" r="G37"/>
  <c i="16" r="H33"/>
  <c i="16" r="G38"/>
  <c i="6" r="AE19"/>
  <c i="16" r="G39"/>
  <c i="16" r="H36"/>
  <c i="16" r="G85"/>
  <c i="16" r="I85" s="1"/>
  <c i="16" r="J85" s="1"/>
  <c i="16" r="G40"/>
  <c i="16" r="H40"/>
  <c i="16" r="G71"/>
  <c i="16" r="H38"/>
  <c i="12" r="I113"/>
  <c i="12" r="AG113" s="1"/>
  <c i="21" r="H256"/>
  <c i="11" r="H104"/>
  <c i="21" r="H215"/>
  <c i="10" r="H111"/>
  <c i="24" r="AD9"/>
  <c i="24" r="AD8"/>
  <c i="24" r="AD7"/>
  <c i="24" r="AD5"/>
  <c i="24" r="AD6"/>
  <c i="24" r="AD4"/>
  <c i="11" r="W15"/>
  <c i="11" r="AI15" s="1"/>
  <c i="11" r="AI12"/>
  <c i="11" r="W24"/>
  <c i="11" r="W22"/>
  <c i="11" r="AI22" s="1"/>
  <c i="2" r="AE81"/>
  <c i="11" r="W27"/>
  <c i="11" r="AL12"/>
  <c i="11" r="W23"/>
  <c i="11" r="AI23" s="1"/>
  <c i="11" r="W28"/>
  <c i="11" r="AI28" s="1"/>
  <c i="10" r="Z27"/>
  <c i="6" r="Y30"/>
  <c i="11" r="W21"/>
  <c i="11" r="AI21" s="1"/>
  <c i="2" r="AE33"/>
  <c i="9" r="AA86"/>
  <c i="11" r="W25"/>
  <c i="11" r="AI25" s="1"/>
  <c i="12" r="Z25"/>
  <c i="9" r="AA21"/>
  <c i="12" r="Z97"/>
  <c i="24" r="K20"/>
  <c i="15" r="AA21"/>
  <c i="2" r="AE9"/>
  <c i="2" r="AF81"/>
  <c i="6" r="AF52"/>
  <c i="6" r="Y52"/>
  <c i="15" r="AE69"/>
  <c i="10" r="AD24"/>
  <c i="15" r="AE21"/>
  <c i="9" r="AA55"/>
  <c i="3" r="AE18"/>
  <c i="16" r="C86"/>
  <c i="16" r="H86" s="1"/>
  <c i="10" r="AA30"/>
  <c i="2" r="AC69"/>
  <c i="15" r="AE57"/>
  <c i="15" r="AD9"/>
  <c i="6" r="Y63"/>
  <c i="6" r="AC63"/>
  <c i="6" r="AF30"/>
  <c i="15" r="AE9"/>
  <c i="10" r="Z28"/>
  <c i="10" r="AE23"/>
  <c i="9" r="AA24"/>
  <c i="10" r="AB30"/>
  <c i="6" r="AC52"/>
  <c i="15" r="AE81"/>
  <c i="2" r="AD21"/>
  <c i="15" r="X69"/>
  <c i="2" r="AD57"/>
  <c i="10" r="AG26"/>
  <c i="6" r="AE41"/>
  <c i="10" r="AC30"/>
  <c i="16" r="B56"/>
  <c i="2" r="AE57"/>
  <c i="24" r="D27"/>
  <c i="15" r="AD81"/>
  <c i="10" r="AA23"/>
  <c i="15" r="Y57"/>
  <c i="16" r="B86"/>
  <c i="16" r="G86" s="1"/>
  <c i="2" r="AE69"/>
  <c i="16" r="D65"/>
  <c i="16" r="E65" s="1"/>
  <c i="2" r="AE45"/>
  <c i="24" r="E19"/>
  <c i="24" r="J19" s="1"/>
  <c i="9" r="AA56"/>
  <c i="16" r="D69"/>
  <c i="16" r="E69" s="1"/>
  <c i="24" r="E25"/>
  <c i="24" r="J25" s="1"/>
  <c i="15" r="AE45"/>
  <c i="16" r="D68"/>
  <c i="16" r="E68" s="1"/>
  <c i="24" r="E24"/>
  <c i="24" r="J24" s="1"/>
  <c i="1" r="AE9"/>
  <c i="16" r="D66"/>
  <c i="16" r="E66" s="1"/>
  <c i="24" r="E22"/>
  <c i="24" r="J22" s="1"/>
  <c i="16" r="D67"/>
  <c i="16" r="E67" s="1"/>
  <c i="24" r="E23"/>
  <c i="24" r="J23" s="1"/>
  <c i="15" r="AB9"/>
  <c i="6" r="X30"/>
  <c i="12" r="AA127"/>
  <c i="16" r="D39"/>
  <c i="16" r="E39" s="1"/>
  <c i="24" r="E11"/>
  <c i="24" r="J11" s="1"/>
  <c i="24" r="J121" s="1"/>
  <c i="24" r="J134" s="1"/>
  <c i="24" r="N111" s="1"/>
  <c i="24" r="Y184" s="1"/>
  <c i="24" r="O111" s="1"/>
  <c i="24" r="P111" s="1"/>
  <c i="11" r="AE27"/>
  <c i="16" r="D38"/>
  <c i="16" r="E38" s="1"/>
  <c i="24" r="E10"/>
  <c i="24" r="J10" s="1"/>
  <c i="24" r="J120" s="1"/>
  <c i="24" r="J133" s="1"/>
  <c i="24" r="N110" s="1"/>
  <c i="24" r="Y154" s="1"/>
  <c i="24" r="O110" s="1"/>
  <c i="24" r="P110" s="1"/>
  <c i="16" r="D37"/>
  <c i="16" r="E37" s="1"/>
  <c i="24" r="E9"/>
  <c i="24" r="J9" s="1"/>
  <c i="24" r="J119" s="1"/>
  <c i="24" r="J132" s="1"/>
  <c i="24" r="N109" s="1"/>
  <c i="24" r="Y124" s="1"/>
  <c i="24" r="O109" s="1"/>
  <c i="24" r="P109" s="1"/>
  <c i="15" r="AE33"/>
  <c i="16" r="D36"/>
  <c i="16" r="E36" s="1"/>
  <c i="24" r="E8"/>
  <c i="24" r="J8" s="1"/>
  <c i="24" r="J118" s="1"/>
  <c i="24" r="J131" s="1"/>
  <c i="24" r="N108" s="1"/>
  <c i="24" r="Y94" s="1"/>
  <c i="24" r="O108" s="1"/>
  <c i="24" r="P108" s="1"/>
  <c i="16" r="D35"/>
  <c i="16" r="E35" s="1"/>
  <c i="24" r="E7"/>
  <c i="24" r="J7" s="1"/>
  <c i="24" r="J117" s="1"/>
  <c i="24" r="J130" s="1"/>
  <c i="24" r="N107" s="1"/>
  <c i="24" r="Y64" s="1"/>
  <c i="24" r="O107" s="1"/>
  <c i="24" r="P107" s="1"/>
  <c i="24" r="E6"/>
  <c i="24" r="J6" s="1"/>
  <c i="24" r="J116" s="1"/>
  <c i="24" r="J129" s="1"/>
  <c i="24" r="N106" s="1"/>
  <c i="24" r="Y34" s="1"/>
  <c i="24" r="O106" s="1"/>
  <c i="24" r="P106" s="1"/>
  <c i="6" r="X19"/>
  <c i="9" r="AA82"/>
  <c i="24" r="D13"/>
  <c i="24" r="E5"/>
  <c i="24" r="J5" s="1"/>
  <c i="9" r="X80"/>
  <c i="12" r="AC91"/>
  <c i="9" r="W49"/>
  <c i="11" r="AE118"/>
  <c i="12" r="AC131"/>
  <c i="15" r="Z69"/>
  <c i="10" r="K30"/>
  <c i="10" r="AI30" s="1"/>
  <c i="10" r="K25"/>
  <c i="10" r="AI25" s="1"/>
  <c i="6" r="AF63"/>
  <c i="6" r="AA63"/>
  <c i="6" r="AD52"/>
  <c i="6" r="X63"/>
  <c i="15" r="AB57"/>
  <c i="6" r="X8"/>
  <c i="12" r="AC93"/>
  <c i="6" r="AA41"/>
  <c i="6" r="AC19"/>
  <c i="6" r="Z52"/>
  <c i="15" r="AC69"/>
  <c i="6" r="AC30"/>
  <c i="15" r="Y69"/>
  <c i="15" r="AC57"/>
  <c i="6" r="Z41"/>
  <c i="15" r="AD33"/>
  <c i="2" r="AD81"/>
  <c i="9" r="AA50"/>
  <c i="6" r="AD19"/>
  <c i="15" r="Y33"/>
  <c i="15" r="AF57"/>
  <c i="15" r="X57"/>
  <c i="9" r="AA20"/>
  <c i="15" r="AC21"/>
  <c i="12" r="K25"/>
  <c i="12" r="AI25" s="1"/>
  <c i="12" r="K26"/>
  <c i="12" r="AI26" s="1"/>
  <c i="12" r="K28"/>
  <c i="12" r="AI28" s="1"/>
  <c i="12" r="K27"/>
  <c i="12" r="AI27" s="1"/>
  <c i="6" r="Y8"/>
  <c i="12" r="K29"/>
  <c i="12" r="AI29" s="1"/>
  <c i="12" r="K30"/>
  <c i="12" r="AI30" s="1"/>
  <c i="12" r="K16"/>
  <c i="12" r="AI16" s="1"/>
  <c i="12" r="K24"/>
  <c i="12" r="AI24" s="1"/>
  <c i="12" r="K23"/>
  <c i="12" r="AI23" s="1"/>
  <c i="12" r="AI13"/>
  <c i="12" r="K22"/>
  <c i="12" r="AI22" s="1"/>
  <c i="11" r="AD92"/>
  <c i="12" r="AE22"/>
  <c i="10" r="Z96"/>
  <c i="9" r="AB52"/>
  <c i="6" r="X52"/>
  <c i="2" r="AF69"/>
  <c i="12" r="AC124"/>
  <c i="6" r="AF19"/>
  <c i="2" r="AD69"/>
  <c i="12" r="AD126"/>
  <c i="10" r="K28"/>
  <c i="10" r="AI28" s="1"/>
  <c i="10" r="K29"/>
  <c i="10" r="AI29" s="1"/>
  <c i="10" r="K16"/>
  <c i="10" r="AI16" s="1"/>
  <c i="10" r="K26"/>
  <c i="10" r="AI26" s="1"/>
  <c i="15" r="Z57"/>
  <c i="6" r="AA30"/>
  <c i="10" r="K27"/>
  <c i="10" r="AI27" s="1"/>
  <c i="15" r="X9"/>
  <c i="15" r="AB33"/>
  <c i="6" r="AD74"/>
  <c i="11" r="AE24"/>
  <c i="6" r="AB74"/>
  <c i="15" r="AF69"/>
  <c i="11" r="AB59"/>
  <c i="6" r="Y41"/>
  <c i="9" r="AA81"/>
  <c i="6" r="AB41"/>
  <c i="10" r="K31"/>
  <c i="10" r="AI31" s="1"/>
  <c i="15" r="Y81"/>
  <c i="10" r="K23"/>
  <c i="10" r="AI23" s="1"/>
  <c i="2" r="X69"/>
  <c i="6" r="AB63"/>
  <c i="2" r="AF57"/>
  <c i="12" r="AD94"/>
  <c i="10" r="AC133"/>
  <c i="2" r="AA81"/>
  <c i="12" r="AD125"/>
  <c i="11" r="AC79"/>
  <c i="15" r="AA45"/>
  <c i="2" r="Z69"/>
  <c i="15" r="AA9"/>
  <c i="2" r="AF33"/>
  <c i="1" r="AB9"/>
  <c i="9" r="AB49"/>
  <c i="2" r="Y81"/>
  <c i="15" r="AD21"/>
  <c i="2" r="Z81"/>
  <c i="9" r="AA83"/>
  <c i="15" r="AA81"/>
  <c i="1" r="Y9"/>
  <c i="15" r="AF21"/>
  <c i="15" r="X21"/>
  <c i="15" r="Z45"/>
  <c i="15" r="AC9"/>
  <c i="12" r="AA84"/>
  <c i="10" r="AC127"/>
  <c i="15" r="Z9"/>
  <c i="12" r="AD124"/>
  <c i="12" r="AA92"/>
  <c i="15" r="AB81"/>
  <c i="10" r="AC16"/>
  <c i="6" r="AB30"/>
  <c i="11" r="AB58"/>
  <c i="6" r="AD30"/>
  <c i="16" r="I39"/>
  <c i="16" r="J39" s="1"/>
  <c i="11" r="AC120"/>
  <c i="12" r="AC84"/>
  <c i="9" r="AC55"/>
  <c i="6" r="AC74"/>
  <c i="11" r="AE122"/>
  <c i="10" r="AD131"/>
  <c i="11" r="AF103"/>
  <c i="11" r="R104"/>
  <c i="11" r="U104" s="1"/>
  <c i="11" r="AG103"/>
  <c i="15" r="AB21"/>
  <c i="12" r="U109"/>
  <c i="12" r="AH22"/>
  <c i="20" r="H299"/>
  <c i="12" r="T111" s="1"/>
  <c i="11" r="AA124"/>
  <c i="11" r="AE22"/>
  <c i="12" r="AD29"/>
  <c i="12" r="AE29"/>
  <c i="11" r="AE119"/>
  <c i="12" r="AC96"/>
  <c i="12" r="AC125"/>
  <c i="9" r="W19"/>
  <c i="10" r="AF110"/>
  <c i="10" r="U110"/>
  <c i="10" r="AG110" s="1"/>
  <c i="15" r="AF33"/>
  <c i="6" r="AC41"/>
  <c i="6" r="AA52"/>
  <c i="20" r="H216"/>
  <c i="10" r="T113" s="1"/>
  <c i="2" r="Y69"/>
  <c i="12" r="AG117"/>
  <c i="12" r="I112"/>
  <c i="12" r="AC92"/>
  <c i="12" r="AE28"/>
  <c i="12" r="AE130"/>
  <c i="12" r="AB25"/>
  <c i="12" r="AD128"/>
  <c i="10" r="AI24"/>
  <c i="6" r="Y74"/>
  <c i="12" r="AD95"/>
  <c i="12" r="AB27"/>
  <c i="12" r="Z91"/>
  <c i="9" r="AB55"/>
  <c i="2" r="AB69"/>
  <c i="11" r="AC88"/>
  <c i="15" r="Z33"/>
  <c i="12" r="AC94"/>
  <c i="9" r="X82"/>
  <c i="10" r="AI13"/>
  <c i="10" r="AC24"/>
  <c i="10" r="AC128"/>
  <c i="6" r="AB8"/>
  <c i="11" r="Z120"/>
  <c i="15" r="AA57"/>
  <c i="15" r="X45"/>
  <c i="15" r="AF45"/>
  <c i="10" r="Z58"/>
  <c i="6" r="Z74"/>
  <c i="9" r="AB51"/>
  <c i="12" r="AC130"/>
  <c i="6" r="AC8"/>
  <c i="6" r="AB19"/>
  <c i="15" r="Y45"/>
  <c i="9" r="W54"/>
  <c i="12" r="AC60"/>
  <c i="6" r="X41"/>
  <c i="9" r="AA19"/>
  <c i="13" r="M23"/>
  <c i="15" r="AA69"/>
  <c i="9" r="AC54"/>
  <c i="9" r="Z51"/>
  <c i="9" r="AA22"/>
  <c i="6" r="X74"/>
  <c i="15" r="AD45"/>
  <c i="12" r="AE25"/>
  <c i="12" r="AA90"/>
  <c i="15" r="X33"/>
  <c i="12" r="AB26"/>
  <c i="13" r="M9"/>
  <c i="1" r="Z9"/>
  <c i="10" r="AC28"/>
  <c i="12" r="AD132"/>
  <c i="15" r="AC33"/>
  <c i="6" r="Z63"/>
  <c i="11" r="Z124"/>
  <c i="1" r="AC9"/>
  <c i="9" r="AA79"/>
  <c i="12" r="AA93"/>
  <c i="15" r="AD57"/>
  <c i="6" r="Z30"/>
  <c i="15" r="Y21"/>
  <c i="12" r="AD96"/>
  <c i="10" r="AC29"/>
  <c i="15" r="Z81"/>
  <c i="9" r="Y56"/>
  <c i="6" r="AA74"/>
  <c i="9" r="Y51"/>
  <c i="10" r="AC31"/>
  <c i="11" r="AC124"/>
  <c i="11" r="AE117"/>
  <c i="15" r="AF9"/>
  <c i="15" r="Z21"/>
  <c i="15" r="AC45"/>
  <c i="15" r="AB69"/>
  <c i="11" r="AC92"/>
  <c i="6" r="AB52"/>
  <c i="15" r="AA33"/>
  <c i="12" r="AB131"/>
  <c i="13" r="L23"/>
  <c i="15" r="AF81"/>
  <c i="9" r="AC84"/>
  <c i="10" r="AD128"/>
  <c i="9" r="AA26"/>
  <c i="10" r="Z94"/>
  <c i="10" r="AD119"/>
  <c i="12" r="AA91"/>
  <c i="10" r="AC27"/>
  <c i="9" r="X86"/>
  <c i="12" r="AC95"/>
  <c i="9" r="Z50"/>
  <c i="11" r="AE121"/>
  <c i="9" r="Z55"/>
  <c i="11" r="AE123"/>
  <c i="9" r="AA54"/>
  <c i="11" r="AE120"/>
  <c i="10" r="AD132"/>
  <c i="12" r="AE124"/>
  <c i="12" r="AE126"/>
  <c i="12" r="AE118"/>
  <c i="12" r="AE125"/>
  <c i="10" r="AE127"/>
  <c i="12" r="AD91"/>
  <c i="12" r="AE129"/>
  <c i="12" r="AE128"/>
  <c i="11" r="Z54"/>
  <c i="12" r="AC90"/>
  <c i="12" r="AD28"/>
  <c i="12" r="AE30"/>
  <c i="11" r="AC122"/>
  <c i="10" r="Z91"/>
  <c i="12" r="AE26"/>
  <c i="10" r="AD127"/>
  <c i="9" r="Z23"/>
  <c i="12" r="AB93"/>
  <c i="10" r="AE129"/>
  <c i="10" r="AE119"/>
  <c i="9" r="Y80"/>
  <c i="10" r="Z99"/>
  <c i="12" r="AE131"/>
  <c i="12" r="AE132"/>
  <c i="12" r="AE49"/>
  <c i="11" r="AC90"/>
  <c i="10" r="AC26"/>
  <c i="10" r="AC23"/>
  <c i="9" r="W56"/>
  <c i="9" r="AB86"/>
  <c i="10" r="AD126"/>
  <c i="12" r="AC58"/>
  <c i="10" r="AC130"/>
  <c i="10" r="Z61"/>
  <c i="2" r="Y33"/>
  <c i="9" r="Y50"/>
  <c i="9" r="V79"/>
  <c i="9" r="AC56"/>
  <c i="12" r="AD131"/>
  <c i="9" r="Y54"/>
  <c i="9" r="X84"/>
  <c i="12" r="AD130"/>
  <c i="9" r="W85"/>
  <c i="10" r="Z97"/>
  <c i="10" r="AE126"/>
  <c i="2" r="AC9"/>
  <c i="10" r="AE133"/>
  <c i="10" r="AD129"/>
  <c i="10" r="AD130"/>
  <c i="9" r="AA80"/>
  <c i="9" r="V56"/>
  <c i="9" r="W80"/>
  <c i="9" r="W83"/>
  <c i="9" r="Z79"/>
  <c i="9" r="W23"/>
  <c i="2" r="Z9"/>
  <c i="10" r="AC119"/>
  <c i="12" r="AB95"/>
  <c i="12" r="AC23"/>
  <c i="9" r="Z53"/>
  <c i="12" r="AG26"/>
  <c i="10" r="AE128"/>
  <c i="10" r="AE130"/>
  <c i="10" r="AE131"/>
  <c i="10" r="AE132"/>
  <c i="12" r="AC118"/>
  <c i="12" r="AE16"/>
  <c i="12" r="AI15"/>
  <c i="11" r="AC111"/>
  <c i="12" r="AB118"/>
  <c i="12" r="R118"/>
  <c i="12" r="AD118" s="1"/>
  <c i="12" r="AD117"/>
  <c i="11" r="AA15"/>
  <c i="11" r="AA111"/>
  <c i="11" r="AE15"/>
  <c i="16" r="D85"/>
  <c i="16" r="E85" s="1"/>
  <c i="12" r="AC126"/>
  <c i="11" r="AB87"/>
  <c i="9" r="W84"/>
  <c i="15" r="AC81"/>
  <c i="9" r="AA85"/>
  <c i="11" r="Z111"/>
  <c i="12" r="AB97"/>
  <c i="9" r="AA53"/>
  <c i="12" r="AC64"/>
  <c i="9" r="AA49"/>
  <c i="9" r="Z19"/>
  <c i="12" r="AB90"/>
  <c i="10" r="Z24"/>
  <c i="12" r="AA118"/>
  <c i="11" r="AA28"/>
  <c i="2" r="Z57"/>
  <c i="12" r="Z118"/>
  <c i="9" r="AA25"/>
  <c i="2" r="AF21"/>
  <c i="2" r="AA69"/>
  <c i="12" r="AB96"/>
  <c i="12" r="AC63"/>
  <c i="15" r="AB45"/>
  <c i="10" r="AD23"/>
  <c i="11" r="AA23"/>
  <c i="2" r="AD33"/>
  <c i="9" r="Z25"/>
  <c i="11" r="AE21"/>
  <c i="9" r="W26"/>
  <c i="9" r="W20"/>
  <c i="9" r="W21"/>
  <c i="11" r="AB86"/>
  <c i="12" r="AB84"/>
  <c i="12" r="AA63"/>
  <c i="12" r="AB91"/>
  <c i="2" r="AA57"/>
  <c i="9" r="W52"/>
  <c i="11" r="AB79"/>
  <c i="9" r="W24"/>
  <c i="11" r="AE25"/>
  <c i="11" r="AI14"/>
  <c i="2" r="X9"/>
  <c i="11" r="AA27"/>
  <c i="9" r="W22"/>
  <c i="11" r="AA22"/>
  <c i="16" r="D26"/>
  <c i="16" r="E26" s="1"/>
  <c i="12" r="AA129"/>
  <c i="3" r="AD18"/>
  <c i="9" r="V51"/>
  <c i="2" r="AB81"/>
  <c i="9" r="Z52"/>
  <c i="2" r="AB45"/>
  <c i="9" r="W50"/>
  <c i="9" r="W53"/>
  <c i="2" r="Z45"/>
  <c i="12" r="AH23"/>
  <c i="12" r="AA23"/>
  <c i="12" r="AC59"/>
  <c i="11" r="AB91"/>
  <c i="15" r="Y9"/>
  <c i="2" r="Y9"/>
  <c i="2" r="X81"/>
  <c i="16" r="I48"/>
  <c i="16" r="J48" s="1"/>
  <c i="11" r="AB124"/>
  <c i="9" r="AA52"/>
  <c i="10" r="Z30"/>
  <c i="6" r="AD63"/>
  <c i="10" r="AB129"/>
  <c i="16" r="I79"/>
  <c i="16" r="J79" s="1"/>
  <c i="2" r="Z21"/>
  <c i="10" r="Z16"/>
  <c i="11" r="AD22"/>
  <c i="11" r="Z23"/>
  <c i="11" r="G57"/>
  <c i="2" r="X45"/>
  <c i="11" r="Z79"/>
  <c i="9" r="Z84"/>
  <c i="11" r="AB120"/>
  <c i="9" r="Z56"/>
  <c i="9" r="W82"/>
  <c i="2" r="AA9"/>
  <c i="12" r="AC29"/>
  <c i="12" r="Z92"/>
  <c i="10" r="AA96"/>
  <c i="12" r="AC127"/>
  <c i="12" r="AG22"/>
  <c i="12" r="AC128"/>
  <c i="11" r="AA119"/>
  <c i="12" r="AD25"/>
  <c i="9" r="X56"/>
  <c i="16" r="I50"/>
  <c i="16" r="J50" s="1"/>
  <c i="9" r="AB53"/>
  <c i="12" r="AA24"/>
  <c i="10" r="Z25"/>
  <c i="9" r="Y81"/>
  <c i="9" r="AC79"/>
  <c i="12" r="AG27"/>
  <c i="12" r="AB28"/>
  <c i="11" r="AD89"/>
  <c i="10" r="AC131"/>
  <c i="12" r="AC129"/>
  <c i="12" r="AE27"/>
  <c i="10" r="AC129"/>
  <c i="11" r="AA118"/>
  <c i="12" r="Z98"/>
  <c i="12" r="Z96"/>
  <c i="12" r="AC24"/>
  <c i="6" r="AD41"/>
  <c i="12" r="AD93"/>
  <c i="11" r="AA89"/>
  <c i="10" r="AA130"/>
  <c i="9" r="AC21"/>
  <c i="12" r="AC30"/>
  <c i="11" r="AH26"/>
  <c i="11" r="AH25"/>
  <c i="12" r="AD92"/>
  <c i="12" r="Z90"/>
  <c i="9" r="Y25"/>
  <c i="11" r="Z117"/>
  <c i="9" r="X81"/>
  <c i="10" r="Z63"/>
  <c i="9" r="V83"/>
  <c i="10" r="AE26"/>
  <c i="6" r="AF8"/>
  <c i="10" r="Z29"/>
  <c i="10" r="Z31"/>
  <c i="9" r="Z82"/>
  <c i="12" r="AD27"/>
  <c i="12" r="AD98"/>
  <c i="12" r="AH24"/>
  <c i="11" r="Z122"/>
  <c i="9" r="AB54"/>
  <c i="9" r="Y49"/>
  <c i="12" r="Z95"/>
  <c i="9" r="AC83"/>
  <c i="9" r="X26"/>
  <c i="12" r="Z57"/>
  <c i="12" r="AD90"/>
  <c i="12" r="AB24"/>
  <c i="10" r="AB126"/>
  <c i="11" r="Z118"/>
  <c i="10" r="AB91"/>
  <c i="10" r="AA91"/>
  <c i="9" r="Y82"/>
  <c i="12" r="Z84"/>
  <c i="11" r="AD87"/>
  <c i="9" r="Y19"/>
  <c i="11" r="AI24"/>
  <c i="12" r="Z124"/>
  <c i="12" r="AA125"/>
  <c i="12" r="Z93"/>
  <c i="9" r="V86"/>
  <c i="10" r="Z23"/>
  <c i="12" r="AD22"/>
  <c i="12" r="AA97"/>
  <c i="9" r="Y79"/>
  <c i="9" r="Z54"/>
  <c i="9" r="AB24"/>
  <c i="11" r="AB57"/>
  <c i="11" r="AC123"/>
  <c i="10" r="AA92"/>
  <c i="11" r="AC89"/>
  <c i="11" r="AB55"/>
  <c i="11" r="AC119"/>
  <c i="9" r="Y24"/>
  <c i="9" r="AB83"/>
  <c i="11" r="AB25"/>
  <c i="9" r="Y55"/>
  <c i="12" r="AG28"/>
  <c i="9" r="AB79"/>
  <c i="9" r="X53"/>
  <c i="12" r="AA16"/>
  <c i="16" r="D48"/>
  <c i="16" r="E48" s="1"/>
  <c i="11" r="AC56"/>
  <c i="10" r="AA85"/>
  <c i="12" r="Z130"/>
  <c i="11" r="AB54"/>
  <c i="9" r="AC52"/>
  <c i="12" r="AG16"/>
  <c i="9" r="AB81"/>
  <c i="12" r="AB23"/>
  <c i="11" r="AC91"/>
  <c i="9" r="AB50"/>
  <c i="10" r="AB128"/>
  <c i="11" r="AB60"/>
  <c i="9" r="AC85"/>
  <c i="9" r="AB21"/>
  <c i="9" r="X21"/>
  <c i="9" r="Y22"/>
  <c i="9" r="AC86"/>
  <c i="12" r="AB16"/>
  <c i="10" r="AC25"/>
  <c i="9" r="Y53"/>
  <c i="10" r="Z98"/>
  <c i="9" r="V84"/>
  <c i="12" r="AB22"/>
  <c i="9" r="Y21"/>
  <c i="11" r="AA121"/>
  <c i="10" r="Z92"/>
  <c i="12" r="AG30"/>
  <c i="12" r="AB130"/>
  <c i="9" r="V82"/>
  <c i="16" r="D84"/>
  <c i="16" r="E84" s="1"/>
  <c i="9" r="X85"/>
  <c i="12" r="AA96"/>
  <c i="2" r="AF9"/>
  <c i="11" r="AA88"/>
  <c i="9" r="X79"/>
  <c i="12" r="AC26"/>
  <c i="9" r="X51"/>
  <c i="12" r="AA30"/>
  <c i="2" r="AF45"/>
  <c i="12" r="Z62"/>
  <c i="11" r="AC85"/>
  <c i="9" r="Y85"/>
  <c i="9" r="Z80"/>
  <c i="10" r="AA64"/>
  <c i="12" r="Z63"/>
  <c i="11" r="AH27"/>
  <c i="11" r="AC121"/>
  <c i="11" r="AC117"/>
  <c i="9" r="Y84"/>
  <c i="11" r="AC87"/>
  <c i="9" r="V81"/>
  <c i="12" r="Z132"/>
  <c i="12" r="AC16"/>
  <c i="16" r="I63"/>
  <c i="16" r="J63" s="1"/>
  <c i="9" r="AB25"/>
  <c i="9" r="X49"/>
  <c i="12" r="AG23"/>
  <c i="10" r="AB119"/>
  <c i="11" r="AA117"/>
  <c i="12" r="AA98"/>
  <c i="10" r="Z85"/>
  <c i="12" r="AB129"/>
  <c i="12" r="AA95"/>
  <c i="9" r="AC49"/>
  <c i="11" r="AB119"/>
  <c i="9" r="Y83"/>
  <c i="9" r="Y20"/>
  <c i="12" r="S59"/>
  <c i="13" r="N23"/>
  <c i="11" r="AH21"/>
  <c i="11" r="AC118"/>
  <c i="11" r="AA87"/>
  <c i="12" r="Z127"/>
  <c i="12" r="AC28"/>
  <c i="11" r="AB26"/>
  <c i="6" r="AF74"/>
  <c i="11" r="AB47"/>
  <c i="3" r="AF18"/>
  <c i="12" r="Z128"/>
  <c i="9" r="V85"/>
  <c i="9" r="AB23"/>
  <c i="9" r="X50"/>
  <c i="10" r="AB127"/>
  <c i="12" r="AG25"/>
  <c i="11" r="AC58"/>
  <c i="10" r="Z51"/>
  <c i="11" r="AB24"/>
  <c i="12" r="AB92"/>
  <c i="9" r="Z81"/>
  <c i="10" r="AB131"/>
  <c i="12" r="AB98"/>
  <c i="10" r="AC91"/>
  <c i="10" r="AC98"/>
  <c i="10" r="AB130"/>
  <c i="10" r="AB132"/>
  <c i="10" r="AB133"/>
  <c i="2" r="AC21"/>
  <c i="11" r="Z86"/>
  <c i="10" r="AB93"/>
  <c i="12" r="AB128"/>
  <c i="12" r="AB125"/>
  <c i="1" r="AF9"/>
  <c i="10" r="AC132"/>
  <c i="9" r="X23"/>
  <c i="12" r="AE24"/>
  <c i="11" r="AA90"/>
  <c i="10" r="AA94"/>
  <c i="12" r="AB59"/>
  <c i="12" r="Z129"/>
  <c i="12" r="AA22"/>
  <c i="10" r="AB16"/>
  <c i="9" r="X25"/>
  <c i="11" r="Z28"/>
  <c i="9" r="X22"/>
  <c i="11" r="AA91"/>
  <c i="12" r="AA131"/>
  <c i="2" r="AC45"/>
  <c i="11" r="AD90"/>
  <c i="9" r="V50"/>
  <c i="12" r="AB126"/>
  <c i="12" r="AD23"/>
  <c i="11" r="AD88"/>
  <c i="9" r="V49"/>
  <c i="2" r="AA45"/>
  <c i="12" r="AB132"/>
  <c i="10" r="AD95"/>
  <c i="11" r="AD91"/>
  <c i="12" r="Z126"/>
  <c i="2" r="AB33"/>
  <c i="10" r="AD93"/>
  <c i="12" r="AB62"/>
  <c i="9" r="X24"/>
  <c i="12" r="AH26"/>
  <c i="10" r="AC63"/>
  <c i="9" r="W55"/>
  <c i="9" r="AC53"/>
  <c i="12" r="AG29"/>
  <c i="9" r="X52"/>
  <c i="12" r="AH28"/>
  <c i="12" r="AA124"/>
  <c i="11" r="AE46"/>
  <c i="10" r="AB62"/>
  <c i="12" r="AB56"/>
  <c i="11" r="AA122"/>
  <c i="9" r="AB84"/>
  <c i="12" r="AC22"/>
  <c i="12" r="AH25"/>
  <c i="2" r="X57"/>
  <c i="12" r="AB64"/>
  <c i="12" r="AD24"/>
  <c i="11" r="AA120"/>
  <c i="2" r="AC81"/>
  <c i="10" r="AB92"/>
  <c i="10" r="AC57"/>
  <c i="12" r="AB60"/>
  <c i="11" r="AD85"/>
  <c i="16" r="D83"/>
  <c i="16" r="E83" s="1"/>
  <c i="12" r="AA27"/>
  <c i="10" r="AB25"/>
  <c i="11" r="AE23"/>
  <c i="12" r="AA50"/>
  <c i="12" r="AD26"/>
  <c i="16" r="I83"/>
  <c i="16" r="J83" s="1"/>
  <c i="9" r="V54"/>
  <c i="12" r="AC27"/>
  <c i="11" r="Z55"/>
  <c i="9" r="Z86"/>
  <c i="2" r="Y45"/>
  <c i="9" r="AC50"/>
  <c i="16" r="I84"/>
  <c i="16" r="J84" s="1"/>
  <c i="10" r="AD16"/>
  <c i="10" r="AD97"/>
  <c i="10" r="AB60"/>
  <c i="11" r="AH22"/>
  <c i="10" r="AB99"/>
  <c i="11" r="Z22"/>
  <c i="12" r="AA59"/>
  <c i="9" r="AC19"/>
  <c i="16" r="D80"/>
  <c i="16" r="E80" s="1"/>
  <c i="12" r="AB124"/>
  <c i="12" r="AA60"/>
  <c i="11" r="AA92"/>
  <c i="9" r="AC25"/>
  <c i="12" r="AA26"/>
  <c i="9" r="Y26"/>
  <c i="11" r="AG22"/>
  <c i="10" r="AB63"/>
  <c i="9" r="AB85"/>
  <c i="12" r="AB58"/>
  <c i="10" r="AA132"/>
  <c i="10" r="AA57"/>
  <c i="11" r="Z59"/>
  <c i="12" r="Z59"/>
  <c i="12" r="AA56"/>
  <c i="11" r="AA86"/>
  <c i="10" r="AA25"/>
  <c i="10" r="AB97"/>
  <c i="10" r="AC61"/>
  <c i="12" r="AH27"/>
  <c i="11" r="AB89"/>
  <c i="11" r="Z121"/>
  <c i="2" r="AB9"/>
  <c i="11" r="AC60"/>
  <c i="10" r="Z119"/>
  <c i="9" r="V20"/>
  <c i="9" r="AC82"/>
  <c i="9" r="Z26"/>
  <c i="2" r="Y57"/>
  <c i="2" r="AA33"/>
  <c i="12" r="AA128"/>
  <c i="12" r="AC62"/>
  <c i="2" r="AD9"/>
  <c i="2" r="AA21"/>
  <c i="11" r="AA26"/>
  <c i="10" r="AC95"/>
  <c i="13" r="N9"/>
  <c i="10" r="Z125"/>
  <c i="9" r="AC24"/>
  <c i="3" r="Z18"/>
  <c i="9" r="X20"/>
  <c i="12" r="AA29"/>
  <c i="9" r="Z24"/>
  <c i="12" r="AH30"/>
  <c i="10" r="AC99"/>
  <c i="12" r="AC56"/>
  <c i="10" r="Z127"/>
  <c i="10" r="AA99"/>
  <c i="13" r="L9"/>
  <c i="9" r="AC26"/>
  <c i="10" r="AB29"/>
  <c i="11" r="AA21"/>
  <c i="12" r="AA61"/>
  <c i="2" r="X33"/>
  <c i="12" r="AH16"/>
  <c i="9" r="AC23"/>
  <c i="9" r="Z21"/>
  <c i="10" r="AD98"/>
  <c i="3" r="AA18"/>
  <c i="12" r="AA28"/>
  <c i="9" r="Z20"/>
  <c i="10" r="AB31"/>
  <c i="11" r="AB121"/>
  <c i="11" r="AB111"/>
  <c i="10" r="AH23"/>
  <c i="10" r="Z130"/>
  <c i="9" r="AB26"/>
  <c i="10" r="AB28"/>
  <c i="11" r="AB123"/>
  <c i="10" r="Z26"/>
  <c i="10" r="AH28"/>
  <c i="10" r="Z128"/>
  <c i="9" r="AC81"/>
  <c i="2" r="AD45"/>
  <c i="9" r="AB22"/>
  <c i="9" r="X55"/>
  <c i="10" r="AB27"/>
  <c i="11" r="AB118"/>
  <c i="12" r="AC57"/>
  <c i="10" r="Z133"/>
  <c i="10" r="AB23"/>
  <c i="11" r="AB122"/>
  <c i="11" r="AA54"/>
  <c i="11" r="Z56"/>
  <c i="10" r="AA16"/>
  <c i="11" r="AA59"/>
  <c i="10" r="AG25"/>
  <c i="9" r="W25"/>
  <c i="10" r="Z126"/>
  <c i="12" r="AA57"/>
  <c i="16" r="D50"/>
  <c i="16" r="E50" s="1"/>
  <c i="9" r="AB19"/>
  <c i="12" r="AA126"/>
  <c i="11" r="AA56"/>
  <c i="10" r="AG28"/>
  <c i="15" r="AD69"/>
  <c i="10" r="AA127"/>
  <c i="10" r="AA60"/>
  <c i="10" r="AA24"/>
  <c i="11" r="AA53"/>
  <c i="10" r="AC58"/>
  <c i="12" r="AD30"/>
  <c i="11" r="Z87"/>
  <c i="10" r="AA125"/>
  <c i="11" r="Z60"/>
  <c i="11" r="Z85"/>
  <c i="11" r="AB92"/>
  <c i="12" r="AB127"/>
  <c i="9" r="V19"/>
  <c i="11" r="AA79"/>
  <c i="11" r="AC47"/>
  <c i="11" r="AA47"/>
  <c i="12" r="Z56"/>
  <c i="12" r="Z64"/>
  <c i="16" r="I80"/>
  <c i="16" r="J80" s="1"/>
  <c i="10" r="AC94"/>
  <c i="10" r="AB95"/>
  <c i="10" r="AA95"/>
  <c i="10" r="AA98"/>
  <c i="10" r="AA31"/>
  <c i="10" r="AA27"/>
  <c i="10" r="AG29"/>
  <c i="10" r="AB26"/>
  <c i="10" r="AG30"/>
  <c i="10" r="AE25"/>
  <c i="10" r="AB24"/>
  <c i="9" r="V55"/>
  <c i="9" r="V53"/>
  <c i="11" r="AB88"/>
  <c i="11" r="Z91"/>
  <c i="11" r="AB85"/>
  <c i="11" r="G54"/>
  <c i="10" r="AC51"/>
  <c i="10" r="AC60"/>
  <c i="10" r="AD29"/>
  <c i="10" r="AD27"/>
  <c i="10" r="AD28"/>
  <c i="10" r="AD25"/>
  <c i="9" r="Z22"/>
  <c i="2" r="Y21"/>
  <c i="1" r="AA9"/>
  <c i="1" r="X9"/>
  <c i="9" r="V21"/>
  <c i="11" r="AE26"/>
  <c i="11" r="AA24"/>
  <c i="11" r="Z25"/>
  <c i="11" r="AD26"/>
  <c i="11" r="AG23"/>
  <c i="11" r="AB23"/>
  <c i="11" r="AC22"/>
  <c i="3" r="AC18"/>
  <c i="1" r="AD9"/>
  <c i="12" r="Z26"/>
  <c i="12" r="Z29"/>
  <c i="11" r="AD28"/>
  <c i="2" r="AC57"/>
  <c i="16" r="D81"/>
  <c i="16" r="E81" s="1"/>
  <c i="16" r="I81"/>
  <c i="16" r="J81" s="1"/>
  <c i="3" r="AB18"/>
  <c i="2" r="AC33"/>
  <c i="3" r="Y18"/>
  <c i="11" r="AC54"/>
  <c i="10" r="AA61"/>
  <c i="10" r="Z57"/>
  <c i="11" r="AC26"/>
  <c i="11" r="AH28"/>
  <c i="10" r="AB98"/>
  <c i="10" r="AD30"/>
  <c i="11" r="Z26"/>
  <c i="11" r="AD21"/>
  <c i="12" r="AB61"/>
  <c i="12" r="AA64"/>
  <c i="12" r="AC50"/>
  <c i="10" r="Z131"/>
  <c i="10" r="Z129"/>
  <c i="16" r="D79"/>
  <c i="16" r="E79" s="1"/>
  <c i="11" r="Z88"/>
  <c i="12" r="Z30"/>
  <c i="12" r="Z16"/>
  <c i="12" r="Z22"/>
  <c i="11" r="AG25"/>
  <c i="11" r="AB27"/>
  <c i="11" r="AA58"/>
  <c i="11" r="AH15"/>
  <c i="10" r="AC64"/>
  <c i="11" r="Z27"/>
  <c i="11" r="Z24"/>
  <c i="11" r="AD27"/>
  <c i="11" r="AD23"/>
  <c i="10" r="Z132"/>
  <c i="11" r="AA85"/>
  <c i="9" r="V22"/>
  <c i="9" r="V25"/>
  <c i="11" r="Z92"/>
  <c i="2" r="AB57"/>
  <c i="12" r="Z27"/>
  <c i="12" r="Z24"/>
  <c i="16" r="D71"/>
  <c i="16" r="E71" s="1"/>
  <c i="16" r="I78"/>
  <c i="16" r="J78" s="1"/>
  <c i="16" r="D78"/>
  <c i="10" r="AD85"/>
  <c i="10" r="AA63"/>
  <c i="10" r="AC96"/>
  <c i="11" r="AC24"/>
  <c i="10" r="AE27"/>
  <c i="10" r="AG31"/>
  <c i="10" r="AH16"/>
  <c i="10" r="AD26"/>
  <c i="10" r="AC59"/>
  <c i="11" r="Z15"/>
  <c i="11" r="AD15"/>
  <c i="9" r="V23"/>
  <c i="9" r="V26"/>
  <c i="2" r="Z33"/>
  <c i="11" r="Z89"/>
  <c i="2" r="AB21"/>
  <c i="12" r="Z28"/>
  <c i="3" r="X18"/>
  <c i="2" r="X21"/>
  <c i="11" r="AG27"/>
  <c i="11" r="AI27"/>
  <c i="10" r="AA58"/>
  <c i="11" r="Z53"/>
  <c i="10" r="AA133"/>
  <c i="11" r="AC59"/>
  <c i="11" r="AG21"/>
  <c i="10" r="AD92"/>
  <c i="10" r="AA26"/>
  <c i="10" r="AE29"/>
  <c i="10" r="AH24"/>
  <c i="11" r="AD25"/>
  <c i="12" r="S57"/>
  <c i="12" r="AE57" s="1"/>
  <c i="12" r="AB57"/>
  <c i="11" r="AC57"/>
  <c i="11" r="AC53"/>
  <c i="11" r="Z58"/>
  <c i="12" r="Z58"/>
  <c i="10" r="AD31"/>
  <c i="16" r="I82"/>
  <c i="16" r="J82" s="1"/>
  <c i="16" r="D82"/>
  <c i="16" r="E82" s="1"/>
  <c i="9" r="W86"/>
  <c i="11" r="AC23"/>
  <c i="11" r="AH24"/>
  <c i="11" r="AD24"/>
  <c i="10" r="AC85"/>
  <c i="10" r="AB51"/>
  <c i="10" r="AG16"/>
  <c i="11" r="AB15"/>
  <c i="10" r="AE16"/>
  <c i="12" r="S50"/>
  <c i="12" r="S64"/>
  <c i="12" r="S56"/>
  <c i="12" r="S60"/>
  <c i="12" r="S62"/>
  <c i="12" r="S58"/>
  <c i="12" r="Z61"/>
  <c i="12" r="Z60"/>
  <c i="12" r="AB50"/>
  <c i="12" r="Z50"/>
  <c i="12" r="S61"/>
  <c i="11" r="S53"/>
  <c i="11" r="AE53" s="1"/>
  <c i="11" r="S57"/>
  <c i="11" r="S47"/>
  <c i="11" r="S54"/>
  <c i="11" r="S60"/>
  <c i="11" r="S58"/>
  <c i="11" r="S56"/>
  <c i="11" r="AA60"/>
  <c i="11" r="S55"/>
  <c i="11" r="S59"/>
  <c i="11" r="Z47"/>
  <c i="11" r="Z57"/>
  <c i="11" r="AA57"/>
  <c i="11" r="AB22"/>
  <c i="11" r="AG28"/>
  <c i="11" r="AC28"/>
  <c i="11" r="AG15"/>
  <c i="11" r="AI26"/>
  <c i="11" r="AB28"/>
  <c i="11" r="AB21"/>
  <c i="11" r="AC15"/>
  <c i="11" r="AC21"/>
  <c i="10" r="AA129"/>
  <c i="10" r="AA131"/>
  <c i="10" r="AA119"/>
  <c i="10" r="AB96"/>
  <c i="10" r="AD99"/>
  <c i="10" r="AD94"/>
  <c i="10" r="AD91"/>
  <c i="10" r="AC97"/>
  <c i="10" r="AB85"/>
  <c i="10" r="S57"/>
  <c i="10" r="AE57" s="1"/>
  <c i="10" r="S65"/>
  <c i="10" r="AE65" s="1"/>
  <c i="10" r="S51"/>
  <c i="10" r="S61"/>
  <c i="10" r="AE61" s="1"/>
  <c i="10" r="S63"/>
  <c i="10" r="AE63" s="1"/>
  <c i="10" r="S62"/>
  <c i="10" r="AE62" s="1"/>
  <c i="10" r="S60"/>
  <c i="10" r="AE60" s="1"/>
  <c i="10" r="S64"/>
  <c i="10" r="AE64" s="1"/>
  <c i="10" r="S59"/>
  <c i="10" r="AE59" s="1"/>
  <c i="10" r="S58"/>
  <c i="10" r="AE58" s="1"/>
  <c i="10" r="AA51"/>
  <c i="10" r="Z62"/>
  <c i="10" r="AB57"/>
  <c i="10" r="AB64"/>
  <c i="10" r="AA59"/>
  <c i="10" r="Z64"/>
  <c i="10" r="Z59"/>
  <c i="10" r="AB58"/>
  <c i="10" r="AB61"/>
  <c i="16" r="D52"/>
  <c i="16" r="E52" s="1"/>
  <c i="16" r="H52"/>
  <c i="16" r="I52" s="1"/>
  <c i="16" r="J52" s="1"/>
  <c i="10" r="AA28"/>
  <c i="10" r="AE28"/>
  <c i="10" r="AE24"/>
  <c i="10" r="AE30"/>
  <c i="10" r="AH31"/>
  <c i="10" r="AH26"/>
  <c i="10" r="AH25"/>
  <c i="10" r="AH27"/>
  <c i="10" r="AA29"/>
  <c i="10" r="AE31"/>
  <c i="10" r="AG23"/>
  <c i="10" r="AG24"/>
  <c i="10" r="AG27"/>
  <c i="10" r="AH30"/>
  <c i="12" r="F84"/>
  <c i="12" r="AD84" s="1"/>
  <c i="12" r="AD83"/>
  <c i="11" r="G47"/>
  <c i="11" r="AE44"/>
  <c i="11" r="G56"/>
  <c i="11" r="G60"/>
  <c i="11" r="G59"/>
  <c i="11" r="G58"/>
  <c i="16" r="G54"/>
  <c i="16" r="I54" s="1"/>
  <c i="16" r="J54" s="1"/>
  <c i="16" r="D54"/>
  <c i="16" r="E54" s="1"/>
  <c i="16" r="G55"/>
  <c i="16" r="I55" s="1"/>
  <c i="16" r="J55" s="1"/>
  <c i="16" r="D55"/>
  <c i="16" r="E55" s="1"/>
  <c i="12" r="G61"/>
  <c i="11" r="F79"/>
  <c i="11" r="AD79" s="1"/>
  <c i="11" r="AD78"/>
  <c i="10" r="G51"/>
  <c i="10" r="AE48"/>
  <c i="16" r="G53"/>
  <c i="16" r="I53" s="1"/>
  <c i="16" r="J53" s="1"/>
  <c i="16" r="D53"/>
  <c i="16" r="E53" s="1"/>
  <c i="16" r="G51"/>
  <c i="16" r="I51" s="1"/>
  <c i="16" r="J51" s="1"/>
  <c i="16" r="D51"/>
  <c i="16" r="E51" s="1"/>
  <c i="12" r="G64"/>
  <c i="12" r="G50"/>
  <c i="12" r="G60"/>
  <c i="12" r="G63"/>
  <c i="12" r="AE63" s="1"/>
  <c i="12" r="G62"/>
  <c i="12" r="G58"/>
  <c i="12" r="G56"/>
  <c i="12" r="G59"/>
  <c i="12" r="AE47"/>
  <c i="11" r="G55"/>
  <c i="16" r="G49"/>
  <c i="16" r="I49" s="1"/>
  <c i="16" r="J49" s="1"/>
  <c i="16" r="D49"/>
  <c i="16" r="E49" s="1"/>
  <c i="24" l="1" r="Y30"/>
  <c i="24" r="N34" s="1"/>
  <c i="24" r="O34" s="1"/>
  <c i="24" r="C120"/>
  <c i="24" r="G120"/>
  <c i="24" r="E120"/>
  <c i="24" r="E133" s="1"/>
  <c i="24" r="N79" s="1"/>
  <c i="24" r="Y149" s="1"/>
  <c i="24" r="F120"/>
  <c i="24" r="I120"/>
  <c i="24" r="I133" s="1"/>
  <c i="24" r="N104" s="1"/>
  <c i="24" r="Y153" s="1"/>
  <c i="24" r="D120"/>
  <c i="24" r="D133" s="1"/>
  <c i="24" r="N74" s="1"/>
  <c i="24" r="Y148" s="1"/>
  <c i="24" r="H121"/>
  <c i="24" r="C121"/>
  <c i="24" r="E121"/>
  <c i="24" r="G121"/>
  <c i="24" r="F121"/>
  <c i="24" r="I121"/>
  <c i="24" r="I134" s="1"/>
  <c i="24" r="N105" s="1"/>
  <c i="24" r="Y183" s="1"/>
  <c i="24" r="D121"/>
  <c i="24" r="H118"/>
  <c i="24" r="H131" s="1"/>
  <c i="24" r="N96" s="1"/>
  <c i="24" r="Y92" s="1"/>
  <c i="24" r="E118"/>
  <c i="24" r="E131" s="1"/>
  <c i="24" r="N77" s="1"/>
  <c i="24" r="Y89" s="1"/>
  <c i="24" r="D118"/>
  <c i="24" r="D131" s="1"/>
  <c i="24" r="N72" s="1"/>
  <c i="24" r="Y88" s="1"/>
  <c i="24" r="F118"/>
  <c i="24" r="F131" s="1"/>
  <c i="24" r="N82" s="1"/>
  <c i="24" r="Y90" s="1"/>
  <c i="24" r="I118"/>
  <c i="24" r="I131" s="1"/>
  <c i="24" r="N102" s="1"/>
  <c i="24" r="Y93" s="1"/>
  <c i="24" r="G118"/>
  <c i="24" r="G131" s="1"/>
  <c i="24" r="N89" s="1"/>
  <c i="24" r="Y91" s="1"/>
  <c i="24" r="C118"/>
  <c i="24" r="C131" s="1"/>
  <c i="24" r="N66" s="1"/>
  <c i="24" r="Y115" s="1"/>
  <c i="24" r="I116"/>
  <c i="24" r="I129" s="1"/>
  <c i="24" r="N100" s="1"/>
  <c i="24" r="Y33" s="1"/>
  <c i="24" r="G116"/>
  <c i="24" r="G129" s="1"/>
  <c i="24" r="N87" s="1"/>
  <c i="24" r="Y31" s="1"/>
  <c i="24" r="C116"/>
  <c i="24" r="C129" s="1"/>
  <c i="24" r="N64" s="1"/>
  <c i="24" r="Y55" s="1"/>
  <c i="24" r="H116"/>
  <c i="24" r="H129" s="1"/>
  <c i="24" r="N94" s="1"/>
  <c i="24" r="Y32" s="1"/>
  <c i="24" r="G117"/>
  <c i="24" r="C117"/>
  <c i="24" r="H117"/>
  <c i="24" r="H130" s="1"/>
  <c i="24" r="N95" s="1"/>
  <c i="24" r="Y62" s="1"/>
  <c i="24" r="F117"/>
  <c i="24" r="I117"/>
  <c i="24" r="I130" s="1"/>
  <c i="24" r="N101" s="1"/>
  <c i="24" r="Y63" s="1"/>
  <c i="24" r="D117"/>
  <c i="24" r="D130" s="1"/>
  <c i="24" r="N71" s="1"/>
  <c i="24" r="Y58" s="1"/>
  <c i="24" r="E117"/>
  <c i="24" r="E130" s="1"/>
  <c i="24" r="N76" s="1"/>
  <c i="24" r="Y59" s="1"/>
  <c i="24" r="D115"/>
  <c i="24" r="D128" s="1"/>
  <c i="24" r="N70" s="1"/>
  <c i="24" r="Y5" s="1"/>
  <c i="24" r="C115"/>
  <c i="24" r="C128" s="1"/>
  <c i="24" r="N63" s="1"/>
  <c i="24" r="Y28" s="1"/>
  <c i="24" r="G115"/>
  <c i="24" r="G128" s="1"/>
  <c i="24" r="N86" s="1"/>
  <c i="24" r="Y6" s="1"/>
  <c i="24" r="H115"/>
  <c i="24" r="H128" s="1"/>
  <c i="24" r="N93" s="1"/>
  <c i="24" r="Y7" s="1"/>
  <c i="24" r="G119"/>
  <c i="24" r="G132" s="1"/>
  <c i="24" r="N90" s="1"/>
  <c i="24" r="Y121" s="1"/>
  <c i="24" r="C119"/>
  <c i="24" r="C132" s="1"/>
  <c i="24" r="N67" s="1"/>
  <c i="24" r="Y145" s="1"/>
  <c i="24" r="E119"/>
  <c i="24" r="D119"/>
  <c i="24" r="H119"/>
  <c i="24" r="H132" s="1"/>
  <c i="24" r="N97" s="1"/>
  <c i="24" r="Y122" s="1"/>
  <c i="24" r="F119"/>
  <c i="24" r="F132" s="1"/>
  <c i="24" r="N83" s="1"/>
  <c i="24" r="Y120" s="1"/>
  <c i="24" r="I119"/>
  <c i="24" r="I132" s="1"/>
  <c i="24" r="N103" s="1"/>
  <c i="24" r="Y123" s="1"/>
  <c i="24" r="D132"/>
  <c i="24" r="N73" s="1"/>
  <c i="24" r="Y118" s="1"/>
  <c i="24" r="E132"/>
  <c i="24" r="N78" s="1"/>
  <c i="24" r="Y119" s="1"/>
  <c i="24" r="C133"/>
  <c i="24" r="N68" s="1"/>
  <c i="24" r="Y175" s="1"/>
  <c i="16" r="I33"/>
  <c i="16" r="J33" s="1"/>
  <c i="16" r="I38"/>
  <c i="16" r="J38" s="1"/>
  <c i="16" r="I40"/>
  <c i="16" r="J40" s="1"/>
  <c i="24" r="D28"/>
  <c i="16" r="I34"/>
  <c i="16" r="J34" s="1"/>
  <c i="16" r="I70"/>
  <c i="16" r="J70" s="1"/>
  <c i="16" r="I69"/>
  <c i="16" r="J69" s="1"/>
  <c i="16" r="I64"/>
  <c i="16" r="J64" s="1"/>
  <c i="16" r="I68"/>
  <c i="16" r="J68" s="1"/>
  <c i="16" r="I67"/>
  <c i="16" r="J67" s="1"/>
  <c i="16" r="I35"/>
  <c i="16" r="J35" s="1"/>
  <c i="16" r="I36"/>
  <c i="16" r="J36" s="1"/>
  <c i="16" r="I37"/>
  <c i="16" r="J37" s="1"/>
  <c i="10" r="I111"/>
  <c i="21" r="H216"/>
  <c i="10" r="H112"/>
  <c i="11" r="I104"/>
  <c i="11" r="AG104" s="1"/>
  <c i="11" r="AF104"/>
  <c i="21" r="H257"/>
  <c i="11" r="H105"/>
  <c i="24" r="L144"/>
  <c i="24" r="M144" s="1"/>
  <c i="24" r="L146"/>
  <c i="24" r="M146" s="1"/>
  <c i="24" r="L145"/>
  <c i="24" r="M145" s="1"/>
  <c i="24" r="L147"/>
  <c i="24" r="M147" s="1"/>
  <c i="24" r="L148"/>
  <c i="24" r="M148" s="1"/>
  <c i="24" r="L149"/>
  <c i="24" r="M149" s="1"/>
  <c i="24" r="K23"/>
  <c i="24" r="K22"/>
  <c i="24" r="K24"/>
  <c i="24" r="K25"/>
  <c i="24" r="C130"/>
  <c i="24" r="N65" s="1"/>
  <c i="24" r="Y85" s="1"/>
  <c i="24" r="F130"/>
  <c i="24" r="N81" s="1"/>
  <c i="24" r="Y60" s="1"/>
  <c i="24" r="G130"/>
  <c i="24" r="N88" s="1"/>
  <c i="24" r="Y61" s="1"/>
  <c i="24" r="C134"/>
  <c i="24" r="N69" s="1"/>
  <c i="24" r="Y205" s="1"/>
  <c i="24" r="D134"/>
  <c i="24" r="N75" s="1"/>
  <c i="24" r="Y178" s="1"/>
  <c i="24" r="E134"/>
  <c i="24" r="N80" s="1"/>
  <c i="24" r="Y179" s="1"/>
  <c i="24" r="F134"/>
  <c i="24" r="N85" s="1"/>
  <c i="24" r="Y180" s="1"/>
  <c i="24" r="G134"/>
  <c i="24" r="N92" s="1"/>
  <c i="24" r="Y181" s="1"/>
  <c i="24" r="H134"/>
  <c i="24" r="N99" s="1"/>
  <c i="24" r="Y182" s="1"/>
  <c i="24" r="F133"/>
  <c i="24" r="N84" s="1"/>
  <c i="24" r="Y150" s="1"/>
  <c i="24" r="G133"/>
  <c i="24" r="N91" s="1"/>
  <c i="24" r="Y151" s="1"/>
  <c i="24" r="H133"/>
  <c i="24" r="N98" s="1"/>
  <c i="24" r="Y152" s="1"/>
  <c i="16" r="E78"/>
  <c i="16" r="D86"/>
  <c i="16" r="E86" s="1"/>
  <c i="24" r="C13"/>
  <c i="24" r="K6"/>
  <c i="24" r="Y29" s="1"/>
  <c i="24" r="K7"/>
  <c i="24" r="Y56" s="1"/>
  <c i="24" r="K8"/>
  <c i="24" r="Y86" s="1"/>
  <c i="24" r="K9"/>
  <c i="24" r="Y116" s="1"/>
  <c i="24" r="K10"/>
  <c i="24" r="Y146" s="1"/>
  <c i="24" r="K11"/>
  <c i="24" r="Y176" s="1"/>
  <c i="24" r="K5"/>
  <c i="24" r="Y3" s="1"/>
  <c i="24" r="K19"/>
  <c i="24" r="E21"/>
  <c i="24" r="J21" s="1"/>
  <c i="24" r="C27"/>
  <c i="16" r="D41"/>
  <c i="16" r="E41" s="1"/>
  <c i="12" r="U110"/>
  <c i="20" r="H300"/>
  <c i="12" r="T112" s="1"/>
  <c i="11" r="R105"/>
  <c i="11" r="U105" s="1"/>
  <c i="11" r="AD104"/>
  <c i="20" r="H217"/>
  <c i="10" r="T114" s="1"/>
  <c i="10" r="AF111"/>
  <c i="10" r="U111"/>
  <c i="11" r="AE59"/>
  <c i="11" r="AE57"/>
  <c i="16" r="I86"/>
  <c i="16" r="J86" s="1"/>
  <c i="16" r="I71"/>
  <c i="16" r="J71" s="1"/>
  <c i="11" r="AE54"/>
  <c i="12" r="AE59"/>
  <c i="12" r="AE58"/>
  <c i="12" r="AE62"/>
  <c i="12" r="AE56"/>
  <c i="12" r="AE64"/>
  <c i="11" r="AE58"/>
  <c i="11" r="AE56"/>
  <c i="12" r="AE60"/>
  <c i="10" r="AE51"/>
  <c i="12" r="AE50"/>
  <c i="12" r="AE61"/>
  <c i="11" r="AE60"/>
  <c i="11" r="AE55"/>
  <c i="11" r="AE47"/>
  <c i="24" l="1" r="L20"/>
  <c i="24" r="M20" s="1"/>
  <c i="24" r="Y4"/>
  <c i="24" r="N33" s="1"/>
  <c i="24" r="O33" s="1"/>
  <c i="24" r="Y87"/>
  <c i="24" r="N36" s="1"/>
  <c i="24" r="O36" s="1"/>
  <c i="24" r="Y117"/>
  <c i="24" r="N37" s="1"/>
  <c i="24" r="O37" s="1"/>
  <c i="24" r="Y177"/>
  <c i="24" r="N39" s="1"/>
  <c i="24" r="O39" s="1"/>
  <c i="24" r="Y147"/>
  <c i="24" r="N38" s="1"/>
  <c i="24" r="O38" s="1"/>
  <c i="24" r="C28"/>
  <c i="24" r="E13"/>
  <c i="24" r="E27"/>
  <c i="11" r="I105"/>
  <c i="11" r="AF105"/>
  <c i="21" r="H258"/>
  <c i="11" r="H106"/>
  <c i="10" r="I112"/>
  <c i="10" r="AF112"/>
  <c i="21" r="H217"/>
  <c i="10" r="H113"/>
  <c i="10" r="AF113" s="1"/>
  <c i="11" r="AG105"/>
  <c i="24" r="L7"/>
  <c i="24" r="M7" s="1"/>
  <c i="24" r="L9"/>
  <c i="24" r="M9" s="1"/>
  <c i="24" r="L6"/>
  <c i="24" r="M6" s="1"/>
  <c i="24" r="L11"/>
  <c i="24" r="M11" s="1"/>
  <c i="24" r="L10"/>
  <c i="24" r="M10" s="1"/>
  <c i="24" r="L8"/>
  <c i="24" r="M8" s="1"/>
  <c i="24" r="L5"/>
  <c i="24" r="M5" s="1"/>
  <c i="24" r="O88"/>
  <c i="24" r="P88" s="1"/>
  <c i="24" r="O81"/>
  <c i="24" r="P81" s="1"/>
  <c i="24" r="O76"/>
  <c i="24" r="P76" s="1"/>
  <c i="24" r="O71"/>
  <c i="24" r="P71" s="1"/>
  <c i="24" r="O65"/>
  <c i="24" r="P65" s="1"/>
  <c i="24" r="O84"/>
  <c i="24" r="P84" s="1"/>
  <c i="24" r="O95"/>
  <c i="24" r="P95" s="1"/>
  <c i="24" r="O79"/>
  <c i="24" r="P79" s="1"/>
  <c i="24" r="O101"/>
  <c i="24" r="P101" s="1"/>
  <c i="24" r="O68"/>
  <c i="24" r="P68" s="1"/>
  <c i="24" r="O100"/>
  <c i="24" r="P100" s="1"/>
  <c i="24" r="O103"/>
  <c i="24" r="P103" s="1"/>
  <c i="24" r="O94"/>
  <c i="24" r="P94" s="1"/>
  <c i="24" r="O87"/>
  <c i="24" r="P87" s="1"/>
  <c i="24" r="O66"/>
  <c i="24" r="P66" s="1"/>
  <c i="24" r="O105"/>
  <c i="24" r="P105" s="1"/>
  <c i="24" r="O64"/>
  <c i="24" r="P64" s="1"/>
  <c i="24" r="O74"/>
  <c i="24" r="P74" s="1"/>
  <c i="24" r="O99"/>
  <c i="24" r="P99" s="1"/>
  <c i="24" r="O86"/>
  <c i="24" r="P86" s="1"/>
  <c i="24" r="O78"/>
  <c i="24" r="P78" s="1"/>
  <c i="24" r="O70"/>
  <c i="24" r="P70" s="1"/>
  <c i="24" r="O91"/>
  <c i="24" r="P91" s="1"/>
  <c i="24" r="L19"/>
  <c i="24" r="M19" s="1"/>
  <c i="24" r="O63"/>
  <c i="24" r="P63" s="1"/>
  <c i="24" r="O102"/>
  <c i="24" r="P102" s="1"/>
  <c i="24" r="O80"/>
  <c i="24" r="P80" s="1"/>
  <c i="24" r="O93"/>
  <c i="24" r="P93" s="1"/>
  <c i="24" r="O73"/>
  <c i="24" r="P73" s="1"/>
  <c i="24" r="O75"/>
  <c i="24" r="P75" s="1"/>
  <c i="24" r="L25"/>
  <c i="24" r="M25" s="1"/>
  <c i="24" r="O72"/>
  <c i="24" r="P72" s="1"/>
  <c i="24" r="O97"/>
  <c i="24" r="P97" s="1"/>
  <c i="24" r="L24"/>
  <c i="24" r="M24" s="1"/>
  <c i="24" r="O90"/>
  <c i="24" r="P90" s="1"/>
  <c i="24" r="O92"/>
  <c i="24" r="P92" s="1"/>
  <c i="24" r="O96"/>
  <c i="24" r="P96" s="1"/>
  <c i="24" r="L22"/>
  <c i="24" r="M22" s="1"/>
  <c i="24" r="O67"/>
  <c i="24" r="P67" s="1"/>
  <c i="24" r="O89"/>
  <c i="24" r="P89" s="1"/>
  <c i="24" r="L23"/>
  <c i="24" r="M23" s="1"/>
  <c i="24" r="O83"/>
  <c i="24" r="P83" s="1"/>
  <c i="24" r="O85"/>
  <c i="24" r="P85" s="1"/>
  <c i="24" r="O69"/>
  <c i="24" r="P69" s="1"/>
  <c i="24" r="O82"/>
  <c i="24" r="P82" s="1"/>
  <c i="24" r="O104"/>
  <c i="24" r="P104" s="1"/>
  <c i="24" r="O77"/>
  <c i="24" r="P77" s="1"/>
  <c i="24" r="K21"/>
  <c i="10" r="AG111"/>
  <c i="10" r="U113"/>
  <c i="11" r="R106"/>
  <c i="11" r="U106" s="1"/>
  <c i="11" r="AD105"/>
  <c i="20" r="H218"/>
  <c i="10" r="T115" s="1"/>
  <c i="12" r="U111"/>
  <c i="20" r="H302"/>
  <c i="12" r="T114" s="1"/>
  <c i="24" l="1" r="Y57"/>
  <c i="24" r="N35" s="1"/>
  <c i="24" r="O35" s="1"/>
  <c i="24" r="O40" s="1"/>
  <c i="10" r="I113"/>
  <c i="21" r="H218"/>
  <c i="10" r="H114"/>
  <c i="10" r="AG112"/>
  <c i="11" r="I106"/>
  <c i="11" r="AG106" s="1"/>
  <c i="11" r="AF106"/>
  <c i="21" r="H252"/>
  <c i="11" r="H107"/>
  <c i="11" r="I107" s="1"/>
  <c i="24" r="M12"/>
  <c i="24" r="O98"/>
  <c i="24" r="P98" s="1"/>
  <c i="24" r="P112" s="1"/>
  <c i="20" r="H295"/>
  <c i="12" r="T107" s="1"/>
  <c i="10" r="AF114"/>
  <c i="10" r="U114"/>
  <c i="12" r="AF112"/>
  <c i="12" r="U112"/>
  <c i="10" r="AG113"/>
  <c i="20" r="H211"/>
  <c i="10" r="T108" s="1"/>
  <c i="10" r="T116" s="1"/>
  <c i="10" r="T119" s="1"/>
  <c i="20" r="H258"/>
  <c i="11" r="T107" s="1"/>
  <c i="11" r="AD106"/>
  <c i="24" l="1" r="L21"/>
  <c i="24" r="M21" s="1"/>
  <c i="24" r="M26" s="1"/>
  <c i="12" r="T115"/>
  <c i="12" r="T118" s="1"/>
  <c i="10" r="I114"/>
  <c i="21" r="H296"/>
  <c i="11" r="H101"/>
  <c i="21" r="H211"/>
  <c i="10" r="H108" s="1"/>
  <c i="10" r="H115"/>
  <c i="11" r="T108"/>
  <c i="11" r="U107"/>
  <c i="12" r="AG112"/>
  <c i="10" r="AG114"/>
  <c i="10" r="AF115"/>
  <c i="10" r="U115"/>
  <c i="12" r="U114"/>
  <c i="10" r="AF108"/>
  <c i="10" r="T125"/>
  <c i="10" r="U108"/>
  <c i="12" r="U107"/>
  <c i="10" l="1" r="I115"/>
  <c i="11" r="H108"/>
  <c i="11" r="I101"/>
  <c i="11" r="AF101"/>
  <c i="12" r="T132"/>
  <c i="12" r="T125"/>
  <c i="12" r="T126"/>
  <c i="12" r="T130"/>
  <c i="12" r="T127"/>
  <c i="12" r="T128"/>
  <c i="12" r="T129"/>
  <c i="12" r="T131"/>
  <c i="10" r="H116"/>
  <c i="10" r="AF116" s="1"/>
  <c i="10" r="I108"/>
  <c i="10" r="AG108" s="1"/>
  <c i="21" r="H297"/>
  <c i="12" r="H108"/>
  <c i="12" r="T124"/>
  <c i="10" r="U116"/>
  <c i="10" r="U125" s="1"/>
  <c i="10" r="AG115"/>
  <c i="11" r="AF107"/>
  <c i="11" r="R101"/>
  <c i="11" r="U101" s="1"/>
  <c i="11" r="AG101" s="1"/>
  <c i="11" r="AG107"/>
  <c i="10" r="T132"/>
  <c i="10" r="T133"/>
  <c i="10" r="T129"/>
  <c i="10" r="T126"/>
  <c i="10" r="T127"/>
  <c i="10" r="T128"/>
  <c i="10" r="T130"/>
  <c i="10" r="T131"/>
  <c i="12" r="U115"/>
  <c i="12" r="U124" s="1"/>
  <c i="10" l="1" r="H125"/>
  <c i="10" r="AF125" s="1"/>
  <c i="11" r="U108"/>
  <c i="11" r="U123" s="1"/>
  <c i="21" r="H298"/>
  <c i="12" r="H109"/>
  <c i="11" r="I108"/>
  <c i="11" r="I117" s="1"/>
  <c i="12" r="I108"/>
  <c i="12" r="AF108"/>
  <c i="10" r="H119"/>
  <c i="10" r="AF119" s="1"/>
  <c i="10" r="H133"/>
  <c i="10" r="AF133" s="1"/>
  <c i="10" r="H126"/>
  <c i="10" r="AF126" s="1"/>
  <c i="10" r="H127"/>
  <c i="10" r="AF127" s="1"/>
  <c i="10" r="H128"/>
  <c i="10" r="AF128" s="1"/>
  <c i="10" r="H129"/>
  <c i="10" r="AF129" s="1"/>
  <c i="10" r="H130"/>
  <c i="10" r="AF130" s="1"/>
  <c i="10" r="H131"/>
  <c i="10" r="AF131" s="1"/>
  <c i="10" r="H132"/>
  <c i="10" r="AF132" s="1"/>
  <c i="10" r="I116"/>
  <c i="10" r="I125" s="1"/>
  <c i="10" r="AG125" s="1"/>
  <c i="10" r="U132"/>
  <c i="12" r="U131"/>
  <c i="11" r="AF117"/>
  <c i="11" r="AF108"/>
  <c i="11" r="AF124"/>
  <c i="11" r="AF118"/>
  <c i="11" r="AF120"/>
  <c i="11" r="AF122"/>
  <c i="11" r="AF119"/>
  <c i="11" r="AF121"/>
  <c i="11" r="U121"/>
  <c i="11" r="U118"/>
  <c i="11" r="U122"/>
  <c i="11" r="U111"/>
  <c i="11" r="U124"/>
  <c i="11" r="U119"/>
  <c i="11" r="U117"/>
  <c i="11" r="U120"/>
  <c i="11" r="AF123"/>
  <c i="12" r="U130"/>
  <c i="12" r="U118"/>
  <c i="12" r="U125"/>
  <c i="12" r="U132"/>
  <c i="12" r="U126"/>
  <c i="12" r="U127"/>
  <c i="12" r="U128"/>
  <c i="12" r="U129"/>
  <c i="11" r="AD101"/>
  <c i="11" r="R108"/>
  <c i="11" r="R117" s="1"/>
  <c i="11" r="AD117" s="1"/>
  <c i="10" r="U133"/>
  <c i="10" r="U129"/>
  <c i="10" r="U126"/>
  <c i="10" r="U119"/>
  <c i="10" r="U127"/>
  <c i="10" r="U128"/>
  <c i="10" r="U130"/>
  <c i="10" r="U131"/>
  <c i="11" l="1" r="I111"/>
  <c i="11" r="I118"/>
  <c i="11" r="I119"/>
  <c i="11" r="AG119" s="1"/>
  <c i="11" r="I124"/>
  <c i="11" r="AG124" s="1"/>
  <c i="11" r="I120"/>
  <c i="11" r="AG120" s="1"/>
  <c i="11" r="I121"/>
  <c i="11" r="AG121" s="1"/>
  <c i="11" r="I123"/>
  <c i="11" r="AG123" s="1"/>
  <c i="11" r="I122"/>
  <c i="21" r="H299"/>
  <c i="12" r="H110"/>
  <c i="11" r="AG122"/>
  <c i="10" r="I127"/>
  <c i="10" r="AG127" s="1"/>
  <c i="10" r="I119"/>
  <c i="10" r="AG119" s="1"/>
  <c i="10" r="I126"/>
  <c i="10" r="AG126" s="1"/>
  <c i="10" r="I133"/>
  <c i="10" r="AG133" s="1"/>
  <c i="10" r="I128"/>
  <c i="10" r="AG128" s="1"/>
  <c i="10" r="I129"/>
  <c i="10" r="AG129" s="1"/>
  <c i="10" r="I130"/>
  <c i="10" r="AG130" s="1"/>
  <c i="10" r="I131"/>
  <c i="10" r="AG131" s="1"/>
  <c i="10" r="I132"/>
  <c i="10" r="AG132" s="1"/>
  <c i="11" r="AG117"/>
  <c i="11" r="AG118"/>
  <c i="10" r="AG116"/>
  <c i="11" r="AG108"/>
  <c i="12" r="AG108"/>
  <c i="12" r="I109"/>
  <c i="12" r="AF109"/>
  <c i="11" r="AG111"/>
  <c i="11" r="R111"/>
  <c i="11" r="AD111" s="1"/>
  <c i="11" r="AD108"/>
  <c i="11" r="R123"/>
  <c i="11" r="AD123" s="1"/>
  <c i="11" r="R120"/>
  <c i="11" r="AD120" s="1"/>
  <c i="11" r="R124"/>
  <c i="11" r="AD124" s="1"/>
  <c i="11" r="R118"/>
  <c i="11" r="AD118" s="1"/>
  <c i="11" r="R119"/>
  <c i="11" r="AD119" s="1"/>
  <c i="11" r="R121"/>
  <c i="11" r="AD121" s="1"/>
  <c i="11" r="R122"/>
  <c i="11" r="AD122" s="1"/>
  <c i="21" l="1" r="H302"/>
  <c i="12" r="H111"/>
  <c i="12" r="I110"/>
  <c i="12" r="AF110"/>
  <c i="12" r="AG109"/>
  <c i="16" r="D56"/>
  <c i="16" r="E56" s="1"/>
  <c i="16" r="G56"/>
  <c i="16" r="I56" s="1"/>
  <c i="16" r="J56" s="1"/>
  <c i="12" l="1" r="I111"/>
  <c i="12" r="AF111"/>
  <c i="12" r="AG110"/>
  <c i="21" r="H295"/>
  <c i="12" r="H107" s="1"/>
  <c i="12" r="H114"/>
  <c i="12" l="1" r="H115"/>
  <c i="12" r="H118" s="1"/>
  <c i="12" r="AF118" s="1"/>
  <c i="12" r="I107"/>
  <c i="12" r="AF107"/>
  <c i="12" r="AG111"/>
  <c i="12" r="H131"/>
  <c i="12" r="AF131" s="1"/>
  <c i="12" r="I114"/>
  <c i="12" r="AF114"/>
  <c i="12" l="1" r="H124"/>
  <c i="12" r="AF124" s="1"/>
  <c i="12" r="AG114"/>
  <c i="12" r="I115"/>
  <c i="12" r="I124" s="1"/>
  <c i="12" r="AG124" s="1"/>
  <c i="12" r="AG107"/>
  <c i="12" r="H132"/>
  <c i="12" r="AF132" s="1"/>
  <c i="12" r="H129"/>
  <c i="12" r="AF129" s="1"/>
  <c i="12" r="H130"/>
  <c i="12" r="AF130" s="1"/>
  <c i="12" r="AF115"/>
  <c i="12" r="H125"/>
  <c i="12" r="AF125" s="1"/>
  <c i="12" r="H126"/>
  <c i="12" r="AF126" s="1"/>
  <c i="12" r="H127"/>
  <c i="12" r="AF127" s="1"/>
  <c i="12" r="H128"/>
  <c i="12" r="AF128" s="1"/>
  <c i="12" l="1" r="I132"/>
  <c i="12" r="AG132" s="1"/>
  <c i="12" r="I130"/>
  <c i="12" r="AG130" s="1"/>
  <c i="12" r="I118"/>
  <c i="12" r="AG118" s="1"/>
  <c i="12" r="I129"/>
  <c i="12" r="AG129" s="1"/>
  <c i="12" r="AG115"/>
  <c i="12" r="I125"/>
  <c i="12" r="AG125" s="1"/>
  <c i="12" r="I126"/>
  <c i="12" r="AG126" s="1"/>
  <c i="12" r="I127"/>
  <c i="12" r="AG127" s="1"/>
  <c i="12" r="I128"/>
  <c i="12" r="AG128" s="1"/>
  <c i="12" r="I131"/>
  <c i="12" r="AG131" s="1"/>
  <c i="24" r="C150"/>
  <c i="24" r="E143"/>
  <c i="24" r="J143" s="1"/>
  <c i="24" r="K143" s="1"/>
  <c i="24" l="1" r="AD3"/>
  <c i="24" r="L143" s="1"/>
  <c i="24" r="M143" s="1"/>
  <c i="24" r="M150" s="1"/>
</calcChain>
</file>

<file path=xl/sharedStrings.xml><?xml version="1.0" encoding="utf-8"?>
<sst xmlns="http://schemas.openxmlformats.org/spreadsheetml/2006/main" count="26164" uniqueCount="10555">
  <si>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</si>
  <si>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</si>
  <si>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</si>
  <si>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</si>
  <si>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</si>
  <si>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</si>
  <si>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</si>
  <si>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</si>
  <si>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</si>
  <si>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</si>
  <si>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</si>
  <si>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</si>
  <si>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</si>
  <si>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</si>
  <si>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</si>
  <si>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</si>
  <si>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</si>
  <si>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</si>
  <si>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</si>
  <si>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</si>
  <si>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</si>
  <si>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</si>
  <si>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</si>
  <si>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</si>
  <si>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</si>
  <si>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</si>
  <si>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</si>
  <si>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</si>
  <si>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</si>
  <si>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</si>
  <si>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</si>
  <si>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</si>
  <si>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</si>
  <si>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</si>
  <si>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</si>
  <si>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</si>
  <si>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</si>
  <si>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</si>
  <si>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</si>
  <si>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</si>
  <si>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</si>
  <si>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</si>
  <si>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</si>
  <si>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</si>
  <si>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</si>
  <si>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</si>
  <si>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</si>
  <si>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</si>
  <si>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</si>
  <si>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</si>
  <si>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</si>
  <si>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</si>
  <si>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</si>
  <si>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</si>
  <si>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</si>
  <si>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</si>
  <si>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</si>
  <si>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</si>
  <si>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</si>
  <si>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</si>
  <si>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</si>
  <si>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</si>
  <si>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</si>
  <si>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</si>
  <si>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</si>
  <si>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</si>
  <si>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</si>
  <si>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</si>
  <si>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</si>
  <si>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</si>
  <si>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</si>
  <si>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</si>
  <si>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</si>
  <si>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</si>
  <si>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</si>
  <si>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</si>
  <si>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</si>
  <si>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</si>
  <si>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</si>
  <si>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</si>
  <si>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</si>
  <si>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</si>
  <si>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</si>
  <si>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</si>
  <si>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</si>
  <si>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</si>
  <si>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</si>
  <si>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</si>
  <si>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</si>
  <si>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</si>
  <si>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</si>
  <si>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</si>
  <si>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</si>
  <si>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</si>
  <si>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</si>
  <si>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</si>
  <si>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</si>
  <si>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</si>
  <si>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</si>
  <si>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</si>
  <si>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</si>
  <si>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</si>
  <si>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</si>
  <si>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</si>
  <si>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</si>
  <si>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</si>
  <si>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</si>
  <si>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</si>
  <si>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</si>
  <si>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</si>
  <si>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</si>
  <si>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</si>
  <si>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</si>
  <si>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</si>
  <si>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</si>
  <si>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</si>
  <si>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</si>
  <si>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</si>
  <si>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</si>
  <si>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</si>
  <si>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</si>
  <si>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</si>
  <si>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</si>
  <si>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</si>
  <si>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</si>
  <si>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</si>
  <si>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</si>
  <si>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</si>
  <si>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</si>
  <si>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</si>
  <si>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</si>
  <si>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</si>
  <si>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</si>
  <si>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</si>
  <si>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</si>
  <si>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</si>
  <si>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</si>
  <si>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</si>
  <si>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</si>
  <si>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</si>
  <si>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</si>
  <si>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</si>
  <si>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</si>
  <si>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</si>
  <si>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</si>
  <si>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</si>
  <si>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</si>
  <si>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</si>
  <si>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</si>
  <si>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</si>
  <si>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</si>
  <si>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</si>
  <si>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</si>
  <si>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</si>
  <si>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</si>
  <si>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</si>
  <si>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</si>
  <si>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</si>
  <si>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</si>
  <si>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</si>
  <si>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</si>
  <si>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</si>
  <si>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</si>
  <si>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</si>
  <si>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</si>
  <si>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</si>
  <si>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</si>
  <si>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</si>
  <si>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</si>
  <si>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</si>
  <si>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</si>
  <si>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</si>
  <si>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</si>
  <si>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</si>
  <si>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</si>
  <si>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</si>
  <si>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</si>
  <si>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</si>
  <si>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</si>
  <si>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</si>
  <si>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</si>
  <si>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</si>
  <si>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</si>
  <si>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</si>
  <si>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</si>
  <si>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</si>
  <si>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</si>
  <si>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</si>
  <si>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</si>
  <si>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</si>
  <si>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</si>
  <si>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</si>
  <si>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</si>
  <si>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</si>
  <si>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</si>
  <si>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</si>
  <si>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</si>
  <si>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</si>
  <si>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</si>
  <si>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</si>
  <si>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</si>
  <si>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</si>
  <si>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</si>
  <si>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</si>
  <si>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</si>
  <si>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</si>
  <si>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</si>
  <si>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</si>
  <si>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</si>
  <si>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</si>
  <si>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</si>
  <si>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</si>
  <si>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</si>
  <si>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</si>
  <si>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</si>
  <si>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</si>
  <si>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</si>
  <si>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County</t>
  </si>
  <si>
    <t>OBSERVED TOTAL TOURS (by auto sufficiency)</t>
  </si>
  <si>
    <t>TABLE 7. TRIPS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</si>
  <si>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</si>
  <si>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</si>
  <si>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</si>
  <si>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</si>
  <si>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</si>
  <si>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</si>
  <si>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</si>
  <si>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</si>
  <si>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</si>
  <si>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</si>
  <si>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</si>
  <si>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</si>
  <si>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</si>
  <si>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</si>
  <si>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</si>
  <si>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</si>
  <si>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</si>
  <si>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</si>
  <si>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</si>
  <si>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</si>
  <si>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</si>
  <si>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</si>
  <si>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</si>
  <si>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</si>
  <si>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</si>
  <si>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</si>
  <si>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</si>
  <si>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</si>
  <si>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</si>
  <si>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</si>
  <si>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</si>
  <si>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</si>
  <si>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</si>
  <si>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</si>
  <si>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</si>
  <si>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</si>
  <si>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</si>
  <si>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</si>
  <si>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</si>
  <si>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</si>
  <si>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</si>
  <si>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</si>
  <si>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</si>
  <si>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</si>
  <si>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</si>
  <si>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</si>
  <si>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</si>
  <si>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</si>
  <si>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</si>
  <si>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</si>
  <si>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</si>
  <si>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</si>
  <si>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</si>
  <si>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</si>
  <si>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</si>
  <si>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</si>
  <si>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</si>
  <si>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</si>
  <si>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</si>
  <si>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</si>
  <si>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</si>
  <si>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</si>
  <si>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</si>
  <si>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</si>
  <si>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</si>
  <si>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</si>
  <si>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</si>
  <si>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</si>
  <si>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5. TOURS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</si>
  <si>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</si>
  <si>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</si>
  <si>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</si>
  <si>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</si>
  <si>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</si>
  <si>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</si>
  <si>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</si>
  <si>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</si>
  <si>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</si>
  <si>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</si>
  <si>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</si>
  <si>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</si>
  <si>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</si>
  <si>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</si>
  <si>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</si>
  <si>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</si>
  <si>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</si>
  <si>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</si>
  <si>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</si>
  <si>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</si>
  <si>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</si>
  <si>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</si>
  <si>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</si>
  <si>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</si>
  <si>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</si>
  <si>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</si>
  <si>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</si>
  <si>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</si>
  <si>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</si>
  <si>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</si>
  <si>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</si>
  <si>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</si>
  <si>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</si>
  <si>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</si>
  <si>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</si>
  <si>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</si>
  <si>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</si>
  <si>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</si>
  <si>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</si>
  <si>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</si>
  <si>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</si>
  <si>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</si>
  <si>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</si>
  <si>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</si>
  <si>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</si>
  <si>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</si>
  <si>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</si>
  <si>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</si>
  <si>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</si>
  <si>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</si>
  <si>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</si>
  <si>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</si>
  <si>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</si>
  <si>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</si>
  <si>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</si>
  <si>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</si>
  <si>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</si>
  <si>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</si>
  <si>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</si>
  <si>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</si>
  <si>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</si>
  <si>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</si>
  <si>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</si>
  <si>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</si>
  <si>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</si>
  <si>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</si>
  <si>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</si>
  <si>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</si>
  <si>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</si>
  <si>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</si>
  <si>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</si>
  <si>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</si>
  <si>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</si>
  <si>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</si>
  <si>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</si>
  <si>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</si>
  <si>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</si>
  <si>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</si>
  <si>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</si>
  <si>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</si>
  <si>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</si>
  <si>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</si>
  <si>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</si>
  <si>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</si>
  <si>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</si>
  <si>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</si>
  <si>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</si>
  <si>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</si>
  <si>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</si>
  <si>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</si>
  <si>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</si>
  <si>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</si>
  <si>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</si>
  <si>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</si>
  <si>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</si>
  <si>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</si>
  <si>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</si>
  <si>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</si>
  <si>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</si>
  <si>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</si>
  <si>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</si>
  <si>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</si>
  <si>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</si>
  <si>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</si>
  <si>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</si>
  <si>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</si>
  <si>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</si>
  <si>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</si>
  <si>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</si>
  <si>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</si>
  <si>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</si>
  <si>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</si>
  <si>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</si>
  <si>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</si>
  <si>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</si>
  <si>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</si>
  <si>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</si>
  <si>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</si>
  <si>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</si>
  <si>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</si>
  <si>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</si>
  <si>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</si>
  <si>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</si>
  <si>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</si>
  <si>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</si>
  <si>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</si>
  <si>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</si>
  <si>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</si>
  <si>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</si>
  <si>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</si>
  <si>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</si>
  <si>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</si>
  <si>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</si>
  <si>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</si>
  <si>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</si>
  <si>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</si>
  <si>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</si>
  <si>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</si>
  <si>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</si>
  <si>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</si>
  <si>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</si>
  <si>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</si>
  <si>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</si>
  <si>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</si>
  <si>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</si>
  <si>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</si>
  <si>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</si>
  <si>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</si>
  <si>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</si>
  <si>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</si>
  <si>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</si>
  <si>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</si>
  <si>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</si>
  <si>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</si>
  <si>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</si>
  <si>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</si>
  <si>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</si>
  <si>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</si>
  <si>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</si>
  <si>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</si>
  <si>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</si>
  <si>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</si>
  <si>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</si>
  <si>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</si>
  <si>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</si>
  <si>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</si>
  <si>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</si>
  <si>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</si>
  <si>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</si>
  <si>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</si>
  <si>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</si>
  <si>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</si>
  <si>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</si>
  <si>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</si>
  <si>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</si>
  <si>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</si>
  <si>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</si>
  <si>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</si>
  <si>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</si>
  <si>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</si>
  <si>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</si>
  <si>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</si>
  <si>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</si>
  <si>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</si>
  <si>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</si>
  <si>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</si>
  <si>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</si>
  <si>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</si>
  <si>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</si>
  <si>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</si>
  <si>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</si>
  <si>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</si>
  <si>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</si>
  <si>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</si>
  <si>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</si>
  <si>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</si>
  <si>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</si>
  <si>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</si>
  <si>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</si>
  <si>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</si>
  <si>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</si>
  <si>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</si>
  <si>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</si>
  <si>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</si>
  <si>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</si>
  <si>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</si>
  <si>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</si>
  <si>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</si>
  <si>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</si>
  <si>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</si>
  <si>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</si>
  <si>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</si>
  <si>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</si>
  <si>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</si>
  <si>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</si>
  <si>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</si>
  <si>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</si>
  <si>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</si>
  <si>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</si>
  <si>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</si>
  <si>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</si>
  <si>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</si>
  <si>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</si>
  <si>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</si>
  <si>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</si>
  <si>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</si>
  <si>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</si>
  <si>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</si>
  <si>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</si>
  <si>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</si>
  <si>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</si>
  <si>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</si>
  <si>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</si>
  <si>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</si>
  <si>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</si>
  <si>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</si>
  <si>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</si>
  <si>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</si>
  <si>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</si>
  <si>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</si>
  <si>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</si>
  <si>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</si>
  <si>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</si>
  <si>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</si>
  <si>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</si>
  <si>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</si>
  <si>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</si>
  <si>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</si>
  <si>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</si>
  <si>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</si>
  <si>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</si>
  <si>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</si>
  <si>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</si>
  <si>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</si>
  <si>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</si>
  <si>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</si>
  <si>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</si>
  <si>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</si>
  <si>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</si>
  <si>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</si>
  <si>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</si>
  <si>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</si>
  <si>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</si>
  <si>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</si>
  <si>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</si>
  <si>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</si>
  <si>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</si>
  <si>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</si>
  <si>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</si>
  <si>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</si>
  <si>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</si>
  <si>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</si>
  <si>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</si>
  <si>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</si>
  <si>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</si>
  <si>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</si>
  <si>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</si>
  <si>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</si>
  <si>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</si>
  <si>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</si>
  <si>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</si>
  <si>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</si>
  <si>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</si>
  <si>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</si>
  <si>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</si>
  <si>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</si>
  <si>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</si>
  <si>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</si>
  <si>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</si>
  <si>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</si>
  <si>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</si>
  <si>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</si>
  <si>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</si>
  <si>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</si>
  <si>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</si>
  <si>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</si>
  <si>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</si>
  <si>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</si>
  <si>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</si>
  <si>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</si>
  <si>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</si>
  <si>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</si>
  <si>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</si>
  <si>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</si>
  <si>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</si>
  <si>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</si>
  <si>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</si>
  <si>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</si>
  <si>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</si>
  <si>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</si>
  <si>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</si>
  <si>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</si>
  <si>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</si>
  <si>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</si>
  <si>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</si>
  <si>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</si>
  <si>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</si>
  <si>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</si>
  <si>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</si>
  <si>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</si>
  <si>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</si>
  <si>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</si>
  <si>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</si>
  <si>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</si>
  <si>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</si>
  <si>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</si>
  <si>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</si>
  <si>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</si>
  <si>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</si>
  <si>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</si>
  <si>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</si>
  <si>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</si>
  <si>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</si>
  <si>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</si>
  <si>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</si>
  <si>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</si>
  <si>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</si>
  <si>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</si>
  <si>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</si>
  <si>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</si>
  <si>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</si>
  <si>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</si>
  <si>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</si>
  <si>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</si>
  <si>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</si>
  <si>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</si>
  <si>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</si>
  <si>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</si>
  <si>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</si>
  <si>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</si>
  <si>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</si>
  <si>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</si>
  <si>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</si>
  <si>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</si>
  <si>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</si>
  <si>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</si>
  <si>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</si>
  <si>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</si>
  <si>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</si>
  <si>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</si>
  <si>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</si>
  <si>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</si>
  <si>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</si>
  <si>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</si>
  <si>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</si>
  <si>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</si>
  <si>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</si>
  <si>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</si>
  <si>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</si>
  <si>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</si>
  <si>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</si>
  <si>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</si>
  <si>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</si>
  <si>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</si>
  <si>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</si>
  <si>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</si>
  <si>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</si>
  <si>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</si>
  <si>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</si>
  <si>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</si>
  <si>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</si>
  <si>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</si>
  <si>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</si>
  <si>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</si>
  <si>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</si>
  <si>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</si>
  <si>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</si>
  <si>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</si>
  <si>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</si>
  <si>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</si>
  <si>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</si>
  <si>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</si>
  <si>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</si>
  <si>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</si>
  <si>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</si>
  <si>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</si>
  <si>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</si>
  <si>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</si>
  <si>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</si>
  <si>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</si>
  <si>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</si>
  <si>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</si>
  <si>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</si>
  <si>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</si>
  <si>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</si>
  <si>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</si>
  <si>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</si>
  <si>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</si>
  <si>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</si>
  <si>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</si>
  <si>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</si>
  <si>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</si>
  <si>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</si>
  <si>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</si>
  <si>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</si>
  <si>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</si>
  <si>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</si>
  <si>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</si>
  <si>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</si>
  <si>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</si>
  <si>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</si>
  <si>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</si>
  <si>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</si>
  <si>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</si>
  <si>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</si>
  <si>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</si>
  <si>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</si>
  <si>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</si>
  <si>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</si>
  <si>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</si>
  <si>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</si>
  <si>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</si>
  <si>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</si>
  <si>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</si>
  <si>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</si>
  <si>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</si>
  <si>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</si>
  <si>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</si>
  <si>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</si>
  <si>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</si>
  <si>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</si>
  <si>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</si>
  <si>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</si>
  <si>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</si>
  <si>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</si>
  <si>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</si>
  <si>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</si>
  <si>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</si>
  <si>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</si>
  <si>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</si>
  <si>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</si>
  <si>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</si>
  <si>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</si>
  <si>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</si>
  <si>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</si>
  <si>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</si>
  <si>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</si>
  <si>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</si>
  <si>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</si>
  <si>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</si>
  <si>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</si>
  <si>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</si>
  <si>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</si>
  <si>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</si>
  <si>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</si>
  <si>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</si>
  <si>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</si>
  <si>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</si>
  <si>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</si>
  <si>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</si>
  <si>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</si>
  <si>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</si>
  <si>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</si>
  <si>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</si>
  <si>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</si>
  <si>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</si>
  <si>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</si>
  <si>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</si>
  <si>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</si>
  <si>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</si>
  <si>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</si>
  <si>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</si>
  <si>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</si>
  <si>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</si>
  <si>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</si>
  <si>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</si>
  <si>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</si>
  <si>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</si>
  <si>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</si>
  <si>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</si>
  <si>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</si>
  <si>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</si>
  <si>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</si>
  <si>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</si>
  <si>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</si>
  <si>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</si>
  <si>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</si>
  <si>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</si>
  <si>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</si>
  <si>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</si>
  <si>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</si>
  <si>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</si>
  <si>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</si>
  <si>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</si>
  <si>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</si>
  <si>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</si>
  <si>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</si>
  <si>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</si>
  <si>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</si>
  <si>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</si>
  <si>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</si>
  <si>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</si>
  <si>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</si>
  <si>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</si>
  <si>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</si>
  <si>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</si>
  <si>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</si>
  <si>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</si>
  <si>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</si>
  <si>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</si>
  <si>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</si>
  <si>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</si>
  <si>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</si>
  <si>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</si>
  <si>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</si>
  <si>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</si>
  <si>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</si>
  <si>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</si>
  <si>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</si>
  <si>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</si>
  <si>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</si>
  <si>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</si>
  <si>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</si>
  <si>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</si>
  <si>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</si>
  <si>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</si>
  <si>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</si>
  <si>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</si>
  <si>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</si>
  <si>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</si>
  <si>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</si>
  <si>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</si>
  <si>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</si>
  <si>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</si>
  <si>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</si>
  <si>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</si>
  <si>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</si>
  <si>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</si>
  <si>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</si>
  <si>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</si>
  <si>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</si>
  <si>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</si>
  <si>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</si>
  <si>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</si>
  <si>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</si>
  <si>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</si>
  <si>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</si>
  <si>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</si>
  <si>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</si>
  <si>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</si>
  <si>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</si>
  <si>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</si>
  <si>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</si>
  <si>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</si>
  <si>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</si>
  <si>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</si>
  <si>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</si>
  <si>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</si>
  <si>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</si>
  <si>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</si>
  <si>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</si>
  <si>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</si>
  <si>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</si>
  <si>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</si>
  <si>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</si>
  <si>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</si>
  <si>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</si>
  <si>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</si>
  <si>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</si>
  <si>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</si>
  <si>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</si>
  <si>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</si>
  <si>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</si>
  <si>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</si>
  <si>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</si>
  <si>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</si>
  <si>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</si>
  <si>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</si>
  <si>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</si>
  <si>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</si>
  <si>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</si>
  <si>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</si>
  <si>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</si>
  <si>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</si>
  <si>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</si>
  <si>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</si>
  <si>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</si>
  <si>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</si>
  <si>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</si>
  <si>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</si>
  <si>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</si>
  <si>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</si>
  <si>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</si>
  <si>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</si>
  <si>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</si>
  <si>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</si>
  <si>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</si>
  <si>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</si>
  <si>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</si>
  <si>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</si>
  <si>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</si>
  <si>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</si>
  <si>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</si>
  <si>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</si>
  <si>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</si>
  <si>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</si>
  <si>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</si>
  <si>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</si>
  <si>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</si>
  <si>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</si>
  <si>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</si>
  <si>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</si>
  <si>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</si>
  <si>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</si>
  <si>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</si>
  <si>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</si>
  <si>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</si>
  <si>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</si>
  <si>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</si>
  <si>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</si>
  <si>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</si>
  <si>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</si>
  <si>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</si>
  <si>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</si>
  <si>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</si>
  <si>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</si>
  <si>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</si>
  <si>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</si>
  <si>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</si>
  <si>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</si>
  <si>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</si>
  <si>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</si>
  <si>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</si>
  <si>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</si>
  <si>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</si>
  <si>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</si>
  <si>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</si>
  <si>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</si>
  <si>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</si>
  <si>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</si>
  <si>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</si>
  <si>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</si>
  <si>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</si>
  <si>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</si>
  <si>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</si>
  <si>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</si>
  <si>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</si>
  <si>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</si>
  <si>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</si>
  <si>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</si>
  <si>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</si>
  <si>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</si>
  <si>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</si>
  <si>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</si>
  <si>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</si>
  <si>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</si>
  <si>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</si>
  <si>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</si>
  <si>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</si>
  <si>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</si>
  <si>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</si>
  <si>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</si>
  <si>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</si>
  <si>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</si>
  <si>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</si>
  <si>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</si>
  <si>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</si>
  <si>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</si>
  <si>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</si>
  <si>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</si>
  <si>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</si>
  <si>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</si>
  <si>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</si>
  <si>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</si>
  <si>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</si>
  <si>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</si>
  <si>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</si>
  <si>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</si>
  <si>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</si>
  <si>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</si>
  <si>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</si>
  <si>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</si>
  <si>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</si>
  <si>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</si>
  <si>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</si>
  <si>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</si>
  <si>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</si>
  <si>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</si>
  <si>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</si>
  <si>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</si>
  <si>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</si>
  <si>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</si>
  <si>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</si>
  <si>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</si>
  <si>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</si>
  <si>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</si>
  <si>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</si>
  <si>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</si>
  <si>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</si>
  <si>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</si>
  <si>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</si>
  <si>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</si>
  <si>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</si>
  <si>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</si>
  <si>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</si>
  <si>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</si>
  <si>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</si>
  <si>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</si>
  <si>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</si>
  <si>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</si>
  <si>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</si>
  <si>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</si>
  <si>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</si>
  <si>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</si>
  <si>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</si>
  <si>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</si>
  <si>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</si>
  <si>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</si>
  <si>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</si>
  <si>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</si>
  <si>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</si>
  <si>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</si>
  <si>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</si>
  <si>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</si>
  <si>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</si>
  <si>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Select all(ctrl+A)</t>
  </si>
  <si>
    <t>Paste in cell A8</t>
  </si>
  <si>
    <t>Tours By Purpose</t>
  </si>
  <si>
    <t>Ratio</t>
  </si>
  <si>
    <t>Old Coeff</t>
  </si>
  <si>
    <t>Adj</t>
  </si>
  <si>
    <t>New Coeff</t>
  </si>
  <si>
    <t>--</t>
  </si>
  <si>
    <t>Go to "Data" --&gt;Text to Columns - Select "Fixed Width" ---&gt; Finish</t>
  </si>
  <si>
    <t>Old</t>
  </si>
  <si>
    <t>New</t>
  </si>
  <si>
    <t>Adjustments</t>
  </si>
  <si>
    <t>ORIGINAL COEFFICIENT</t>
  </si>
  <si>
    <t>COEFFICIENT ADJUSTMENT</t>
  </si>
  <si>
    <t>NEXT COEFFICIENT</t>
  </si>
  <si>
    <t>DAYSIM COEFFICIENT INDICES</t>
  </si>
  <si>
    <t>WORKBASED SUBTOURS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</si>
  <si>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</si>
  <si>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</si>
  <si>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</si>
  <si>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</si>
  <si>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</si>
  <si>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</si>
  <si>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</si>
  <si>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</si>
  <si>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</si>
  <si>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</si>
  <si>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</si>
  <si>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</si>
  <si>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</si>
  <si>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</si>
  <si>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</si>
  <si>
    <t>based</t>
  </si>
  <si>
    <t>tour</t>
  </si>
  <si>
    <t>frequency</t>
  </si>
  <si>
    <t>and</t>
  </si>
  <si>
    <t>wbfreq0501.ALO</t>
  </si>
  <si>
    <t>Created</t>
  </si>
  <si>
    <t>by</t>
  </si>
  <si>
    <t>ALOGIT</t>
  </si>
  <si>
    <t>version</t>
  </si>
  <si>
    <t>on</t>
  </si>
  <si>
    <t>Copy cells AA3:AA17</t>
  </si>
  <si>
    <t>Damp</t>
  </si>
  <si>
    <t>Crea</t>
  </si>
  <si>
    <t>ted by ALO</t>
  </si>
  <si>
    <t>GIT</t>
  </si>
  <si>
    <t>version 4</t>
  </si>
  <si>
    <t>-</t>
  </si>
  <si>
    <t>0      0</t>
  </si>
  <si>
    <t>806      0</t>
  </si>
  <si>
    <t>749      0</t>
  </si>
  <si>
    <t>279      0</t>
  </si>
  <si>
    <t>029      0</t>
  </si>
  <si>
    <t>383      0</t>
  </si>
  <si>
    <t>175      0</t>
  </si>
  <si>
    <t>283      0</t>
  </si>
  <si>
    <t>-48      0</t>
  </si>
  <si>
    <t>351      0</t>
  </si>
  <si>
    <t>0   -247</t>
  </si>
  <si>
    <t>740      0</t>
  </si>
  <si>
    <t>217      0</t>
  </si>
  <si>
    <t>-69      0</t>
  </si>
  <si>
    <t>080      0</t>
  </si>
  <si>
    <t>0   -300</t>
  </si>
  <si>
    <t>199      0</t>
  </si>
  <si>
    <t>99      0</t>
  </si>
  <si>
    <t>0    601</t>
  </si>
  <si>
    <t>348      0</t>
  </si>
  <si>
    <t>062      0</t>
  </si>
  <si>
    <t>291      0</t>
  </si>
  <si>
    <t>244      0</t>
  </si>
  <si>
    <t>190      0</t>
  </si>
  <si>
    <t>128      0</t>
  </si>
  <si>
    <t>261      0</t>
  </si>
  <si>
    <t>118      0</t>
  </si>
  <si>
    <t>241      0</t>
  </si>
  <si>
    <t>0    142</t>
  </si>
  <si>
    <t>-19      0</t>
  </si>
  <si>
    <t>0     61</t>
  </si>
  <si>
    <t>0   -341</t>
  </si>
  <si>
    <t>0    178</t>
  </si>
  <si>
    <t>578      0</t>
  </si>
  <si>
    <t>113      0</t>
  </si>
  <si>
    <t>134      0</t>
  </si>
  <si>
    <t>142      0</t>
  </si>
  <si>
    <t>308      0</t>
  </si>
  <si>
    <t>0   -635</t>
  </si>
  <si>
    <t>249      0</t>
  </si>
  <si>
    <t>462      0</t>
  </si>
  <si>
    <t>125      0</t>
  </si>
  <si>
    <t>395      0</t>
  </si>
  <si>
    <t>165      0</t>
  </si>
  <si>
    <t>763      0</t>
  </si>
  <si>
    <t>78      0</t>
  </si>
  <si>
    <t>737      0</t>
  </si>
  <si>
    <t>137      0</t>
  </si>
  <si>
    <t>-4      0</t>
  </si>
  <si>
    <t>596      0</t>
  </si>
  <si>
    <t>378      0</t>
  </si>
  <si>
    <t>0   -525</t>
  </si>
  <si>
    <t>101      0</t>
  </si>
  <si>
    <t>595      0</t>
  </si>
  <si>
    <t>0    254</t>
  </si>
  <si>
    <t>252      0</t>
  </si>
  <si>
    <t>170      0</t>
  </si>
  <si>
    <t>0     11</t>
  </si>
  <si>
    <t>380      0</t>
  </si>
  <si>
    <t>0   -197</t>
  </si>
  <si>
    <t>911      0</t>
  </si>
  <si>
    <t>0   -122</t>
  </si>
  <si>
    <t>0     91</t>
  </si>
  <si>
    <t>156      0</t>
  </si>
  <si>
    <t>699      0</t>
  </si>
  <si>
    <t>176      0</t>
  </si>
  <si>
    <t>145      0</t>
  </si>
  <si>
    <t>0    -95</t>
  </si>
  <si>
    <t>105      0</t>
  </si>
  <si>
    <t>401      0</t>
  </si>
  <si>
    <t>829      0</t>
  </si>
  <si>
    <t>0    -68</t>
  </si>
  <si>
    <t>227      0</t>
  </si>
  <si>
    <t>36      0</t>
  </si>
  <si>
    <t>0   -205</t>
  </si>
  <si>
    <t>642      0</t>
  </si>
  <si>
    <t>454      0</t>
  </si>
  <si>
    <t>519      0</t>
  </si>
  <si>
    <t>931      0</t>
  </si>
  <si>
    <t>172      0</t>
  </si>
  <si>
    <t>455      0</t>
  </si>
  <si>
    <t>245      0</t>
  </si>
  <si>
    <t>122      0</t>
  </si>
  <si>
    <t>0   1033</t>
  </si>
  <si>
    <t>501      0</t>
  </si>
  <si>
    <t>690      0</t>
  </si>
  <si>
    <t>356      0</t>
  </si>
  <si>
    <t>310      0</t>
  </si>
  <si>
    <t>0    -97</t>
  </si>
  <si>
    <t>178      0</t>
  </si>
  <si>
    <t>632      0</t>
  </si>
  <si>
    <t>0    -58</t>
  </si>
  <si>
    <t>0      9</t>
  </si>
  <si>
    <t>324      0</t>
  </si>
  <si>
    <t>216      0</t>
  </si>
  <si>
    <t>188      0</t>
  </si>
  <si>
    <t>-54      0</t>
  </si>
  <si>
    <t>0     62</t>
  </si>
  <si>
    <t>295      0</t>
  </si>
  <si>
    <t>298      0</t>
  </si>
  <si>
    <t>409      0</t>
  </si>
  <si>
    <t>0     32</t>
  </si>
  <si>
    <t>103      0</t>
  </si>
  <si>
    <t>0     21</t>
  </si>
  <si>
    <t>457      0</t>
  </si>
  <si>
    <t>-55      0</t>
  </si>
  <si>
    <t>0    -76</t>
  </si>
  <si>
    <t>341      0</t>
  </si>
  <si>
    <t>335      0</t>
  </si>
  <si>
    <t>0    849</t>
  </si>
  <si>
    <t>0      5</t>
  </si>
  <si>
    <t>251      0</t>
  </si>
  <si>
    <t>0   -175</t>
  </si>
  <si>
    <t>0   -187</t>
  </si>
  <si>
    <t>161      0</t>
  </si>
  <si>
    <t>752      0</t>
  </si>
  <si>
    <t>-29      0</t>
  </si>
  <si>
    <t>0   -409</t>
  </si>
  <si>
    <t>623      0</t>
  </si>
  <si>
    <t>162      0</t>
  </si>
  <si>
    <t>0     15</t>
  </si>
  <si>
    <t>0   -236</t>
  </si>
  <si>
    <t>0    -49</t>
  </si>
  <si>
    <t>0   -142</t>
  </si>
  <si>
    <t>393      0</t>
  </si>
  <si>
    <t>0   -190</t>
  </si>
  <si>
    <t>340      0</t>
  </si>
  <si>
    <t>194      0</t>
  </si>
  <si>
    <t>0    -22</t>
  </si>
  <si>
    <t>602      0</t>
  </si>
  <si>
    <t>491      0</t>
  </si>
  <si>
    <t>231      0</t>
  </si>
  <si>
    <t>559      0</t>
  </si>
  <si>
    <t>0    737</t>
  </si>
  <si>
    <t>365      0</t>
  </si>
  <si>
    <t>-60      0</t>
  </si>
  <si>
    <t>25      0</t>
  </si>
  <si>
    <t>0     96</t>
  </si>
  <si>
    <t>297      0</t>
  </si>
  <si>
    <t>27      0</t>
  </si>
  <si>
    <t>186      0</t>
  </si>
  <si>
    <t>-73      0</t>
  </si>
  <si>
    <t>205      0</t>
  </si>
  <si>
    <t>-47      0</t>
  </si>
  <si>
    <t>0    -63</t>
  </si>
  <si>
    <t>0   -306</t>
  </si>
  <si>
    <t>0    196</t>
  </si>
  <si>
    <t>0     50</t>
  </si>
  <si>
    <t>0    234</t>
  </si>
  <si>
    <t>0    323</t>
  </si>
  <si>
    <t>0    297</t>
  </si>
  <si>
    <t>0    107</t>
  </si>
  <si>
    <t>265      0</t>
  </si>
  <si>
    <t>201      0</t>
  </si>
  <si>
    <t>219      0</t>
  </si>
  <si>
    <t>0    158</t>
  </si>
  <si>
    <t>83      0</t>
  </si>
  <si>
    <t>18      0</t>
  </si>
  <si>
    <t>306      0</t>
  </si>
  <si>
    <t>0    -31</t>
  </si>
  <si>
    <t>976      0</t>
  </si>
  <si>
    <t>180      0</t>
  </si>
  <si>
    <t>153      0</t>
  </si>
  <si>
    <t>88      0</t>
  </si>
  <si>
    <t>48      0</t>
  </si>
  <si>
    <t>160      0</t>
  </si>
  <si>
    <t>-67      0</t>
  </si>
  <si>
    <t>284      0</t>
  </si>
  <si>
    <t>289      0</t>
  </si>
  <si>
    <t>369      0</t>
  </si>
  <si>
    <t>0   -432</t>
  </si>
  <si>
    <t>232      0</t>
  </si>
  <si>
    <t>19      0</t>
  </si>
  <si>
    <t>0    237</t>
  </si>
  <si>
    <t>0    -98</t>
  </si>
  <si>
    <t>-40      0</t>
  </si>
  <si>
    <t>0   -913</t>
  </si>
  <si>
    <t>124      0</t>
  </si>
  <si>
    <t>622      0</t>
  </si>
  <si>
    <t>141      0</t>
  </si>
  <si>
    <t>148      0</t>
  </si>
  <si>
    <t>0     42</t>
  </si>
  <si>
    <t>-7      0</t>
  </si>
  <si>
    <t>320      0</t>
  </si>
  <si>
    <t>0     27</t>
  </si>
  <si>
    <t>12      0</t>
  </si>
  <si>
    <t>300      0</t>
  </si>
  <si>
    <t>32      0</t>
  </si>
  <si>
    <t>115      0</t>
  </si>
  <si>
    <t>350      0</t>
  </si>
  <si>
    <t>80      0</t>
  </si>
  <si>
    <t>305      0</t>
  </si>
  <si>
    <t>0  -1322</t>
  </si>
  <si>
    <t>0     -8</t>
  </si>
  <si>
    <t>104      0</t>
  </si>
  <si>
    <t>0   -744</t>
  </si>
  <si>
    <t>159      0</t>
  </si>
  <si>
    <t>0   -135</t>
  </si>
  <si>
    <t>0   -149</t>
  </si>
  <si>
    <t>0   -344</t>
  </si>
  <si>
    <t>336      0</t>
  </si>
  <si>
    <t>0   -157</t>
  </si>
  <si>
    <t>93      0</t>
  </si>
  <si>
    <t>387      0</t>
  </si>
  <si>
    <t>43      0</t>
  </si>
  <si>
    <t>0     85</t>
  </si>
  <si>
    <t>64      0</t>
  </si>
  <si>
    <t>0    180</t>
  </si>
  <si>
    <t>542      0</t>
  </si>
  <si>
    <t>0     71</t>
  </si>
  <si>
    <t>581      0</t>
  </si>
  <si>
    <t>0    487</t>
  </si>
  <si>
    <t>0   1288</t>
  </si>
  <si>
    <t>0    591</t>
  </si>
  <si>
    <t>317      0</t>
  </si>
  <si>
    <t>526      0</t>
  </si>
  <si>
    <t>440      0</t>
  </si>
  <si>
    <t>0    216</t>
  </si>
  <si>
    <t>879      0</t>
  </si>
  <si>
    <t>0    -36</t>
  </si>
  <si>
    <t>837      0</t>
  </si>
  <si>
    <t>0    -96</t>
  </si>
  <si>
    <t>0    110</t>
  </si>
  <si>
    <t>366      0</t>
  </si>
  <si>
    <t>271      0</t>
  </si>
  <si>
    <t>299      0</t>
  </si>
  <si>
    <t>150      0</t>
  </si>
  <si>
    <t>202      0</t>
  </si>
  <si>
    <t>41      0</t>
  </si>
  <si>
    <t>013      0</t>
  </si>
  <si>
    <t>207      0</t>
  </si>
  <si>
    <t>0   -218</t>
  </si>
  <si>
    <t>541      0</t>
  </si>
  <si>
    <t>992      0</t>
  </si>
  <si>
    <t>0    -41</t>
  </si>
  <si>
    <t>566      0</t>
  </si>
  <si>
    <t>375      0</t>
  </si>
  <si>
    <t>0   -267</t>
  </si>
  <si>
    <t>436      0</t>
  </si>
  <si>
    <t>204      0</t>
  </si>
  <si>
    <t>927      0</t>
  </si>
  <si>
    <t>389      0</t>
  </si>
  <si>
    <t>0   -259</t>
  </si>
  <si>
    <t>0     65</t>
  </si>
  <si>
    <t>0     18</t>
  </si>
  <si>
    <t>169      0</t>
  </si>
  <si>
    <t>100      0</t>
  </si>
  <si>
    <t>238      0</t>
  </si>
  <si>
    <t>442      0</t>
  </si>
  <si>
    <t>548      0</t>
  </si>
  <si>
    <t>720      0</t>
  </si>
  <si>
    <t>522      0</t>
  </si>
  <si>
    <t>151      0</t>
  </si>
  <si>
    <t>273      0</t>
  </si>
  <si>
    <t>0   1384</t>
  </si>
  <si>
    <t>254      0</t>
  </si>
  <si>
    <t>-63      0</t>
  </si>
  <si>
    <t>327      0</t>
  </si>
  <si>
    <t>0    164</t>
  </si>
  <si>
    <t>830      0</t>
  </si>
  <si>
    <t>309      0</t>
  </si>
  <si>
    <t>267      0</t>
  </si>
  <si>
    <t>445      0</t>
  </si>
  <si>
    <t>114      0</t>
  </si>
  <si>
    <t>191      0</t>
  </si>
  <si>
    <t>377      0</t>
  </si>
  <si>
    <t>779      0</t>
  </si>
  <si>
    <t>370      0</t>
  </si>
  <si>
    <t>102      0</t>
  </si>
  <si>
    <t>575      0</t>
  </si>
  <si>
    <t>47      0</t>
  </si>
  <si>
    <t>0     25</t>
  </si>
  <si>
    <t>270      0</t>
  </si>
  <si>
    <t>551      0</t>
  </si>
  <si>
    <t>228      0</t>
  </si>
  <si>
    <t>281      0</t>
  </si>
  <si>
    <t>304      0</t>
  </si>
  <si>
    <t>-79      0</t>
  </si>
  <si>
    <t>0   -260</t>
  </si>
  <si>
    <t>0   -112</t>
  </si>
  <si>
    <t>-94      0</t>
  </si>
  <si>
    <t>0   -210</t>
  </si>
  <si>
    <t>119      0</t>
  </si>
  <si>
    <t>343      0</t>
  </si>
  <si>
    <t>0    -13</t>
  </si>
  <si>
    <t>893      0</t>
  </si>
  <si>
    <t>-96      0</t>
  </si>
  <si>
    <t>123      0</t>
  </si>
  <si>
    <t>361      0</t>
  </si>
  <si>
    <t>717      0</t>
  </si>
  <si>
    <t>0     72</t>
  </si>
  <si>
    <t>420      0</t>
  </si>
  <si>
    <t>382      0</t>
  </si>
  <si>
    <t>750      0</t>
  </si>
  <si>
    <t>449      0</t>
  </si>
  <si>
    <t>441      0</t>
  </si>
  <si>
    <t>0    347</t>
  </si>
  <si>
    <t>133      0</t>
  </si>
  <si>
    <t>296      0</t>
  </si>
  <si>
    <t>898      0</t>
  </si>
  <si>
    <t>509      0</t>
  </si>
  <si>
    <t>313      0</t>
  </si>
  <si>
    <t>679      0</t>
  </si>
  <si>
    <t>192      0</t>
  </si>
  <si>
    <t>956      0</t>
  </si>
  <si>
    <t>497      0</t>
  </si>
  <si>
    <t>0    313</t>
  </si>
  <si>
    <t>120      0</t>
  </si>
  <si>
    <t>215      0</t>
  </si>
  <si>
    <t>867      0</t>
  </si>
  <si>
    <t>262      0</t>
  </si>
  <si>
    <t>0     46</t>
  </si>
  <si>
    <t>533      0</t>
  </si>
  <si>
    <t>064      0</t>
  </si>
  <si>
    <t>0      4</t>
  </si>
  <si>
    <t>0    258</t>
  </si>
  <si>
    <t>444      0</t>
  </si>
  <si>
    <t>9      0</t>
  </si>
  <si>
    <t>-17      0</t>
  </si>
  <si>
    <t>0     22</t>
  </si>
  <si>
    <t>357      0</t>
  </si>
  <si>
    <t>0    -40</t>
  </si>
  <si>
    <t>23      0</t>
  </si>
  <si>
    <t>-42      0</t>
  </si>
  <si>
    <t>0    -60</t>
  </si>
  <si>
    <t>841      0</t>
  </si>
  <si>
    <t>0     49</t>
  </si>
  <si>
    <t>765      0</t>
  </si>
  <si>
    <t>0    -88</t>
  </si>
  <si>
    <t>155      0</t>
  </si>
  <si>
    <t>0   1782</t>
  </si>
  <si>
    <t>0     36</t>
  </si>
  <si>
    <t>0    119</t>
  </si>
  <si>
    <t>0   -511</t>
  </si>
  <si>
    <t>135      0</t>
  </si>
  <si>
    <t>0    -61</t>
  </si>
  <si>
    <t>328      0</t>
  </si>
  <si>
    <t>167      0</t>
  </si>
  <si>
    <t>187      0</t>
  </si>
  <si>
    <t>0    326</t>
  </si>
  <si>
    <t>408      0</t>
  </si>
  <si>
    <t>0     -3</t>
  </si>
  <si>
    <t>240      0</t>
  </si>
  <si>
    <t>0    302</t>
  </si>
  <si>
    <t>268      0</t>
  </si>
  <si>
    <t>0   -203</t>
  </si>
  <si>
    <t>0     58</t>
  </si>
  <si>
    <t>948      0</t>
  </si>
  <si>
    <t>074      0</t>
  </si>
  <si>
    <t>747      0</t>
  </si>
  <si>
    <t>373      0</t>
  </si>
  <si>
    <t>131      0</t>
  </si>
  <si>
    <t>325      0</t>
  </si>
  <si>
    <t>239      0</t>
  </si>
  <si>
    <t>116      0</t>
  </si>
  <si>
    <t>777      0</t>
  </si>
  <si>
    <t>0     57</t>
  </si>
  <si>
    <t>0    -57</t>
  </si>
  <si>
    <t>0   -266</t>
  </si>
  <si>
    <t>374      0</t>
  </si>
  <si>
    <t>-16      0</t>
  </si>
  <si>
    <t>060      0</t>
  </si>
  <si>
    <t>243      0</t>
  </si>
  <si>
    <t>636      0</t>
  </si>
  <si>
    <t>539      0</t>
  </si>
  <si>
    <t>388      0</t>
  </si>
  <si>
    <t>0    269</t>
  </si>
  <si>
    <t>923      0</t>
  </si>
  <si>
    <t>0    416</t>
  </si>
  <si>
    <t>39      0</t>
  </si>
  <si>
    <t>510      0</t>
  </si>
  <si>
    <t>0    -44</t>
  </si>
  <si>
    <t>655      0</t>
  </si>
  <si>
    <t>0     -6</t>
  </si>
  <si>
    <t>234      0</t>
  </si>
  <si>
    <t>0     51</t>
  </si>
  <si>
    <t>0    -34</t>
  </si>
  <si>
    <t>0  -1051</t>
  </si>
  <si>
    <t>0   -240</t>
  </si>
  <si>
    <t>646      0</t>
  </si>
  <si>
    <t>702      0</t>
  </si>
  <si>
    <t>-51      0</t>
  </si>
  <si>
    <t>-6      0</t>
  </si>
  <si>
    <t>14      0</t>
  </si>
  <si>
    <t>-62      0</t>
  </si>
  <si>
    <t>0    215</t>
  </si>
  <si>
    <t>0     23</t>
  </si>
  <si>
    <t>0    549</t>
  </si>
  <si>
    <t>0   -274</t>
  </si>
  <si>
    <t>0   -204</t>
  </si>
  <si>
    <t>26      0</t>
  </si>
  <si>
    <t>275      0</t>
  </si>
  <si>
    <t>0   1159</t>
  </si>
  <si>
    <t>0   -936</t>
  </si>
  <si>
    <t>0    594</t>
  </si>
  <si>
    <t>352      0</t>
  </si>
  <si>
    <t>558      0</t>
  </si>
  <si>
    <t>266      0</t>
  </si>
  <si>
    <t>0    -56</t>
  </si>
  <si>
    <t>203      0</t>
  </si>
  <si>
    <t>525      0</t>
  </si>
  <si>
    <t>0     37</t>
  </si>
  <si>
    <t>109      0</t>
  </si>
  <si>
    <t>-76      0</t>
  </si>
  <si>
    <t>96      0</t>
  </si>
  <si>
    <t>785      0</t>
  </si>
  <si>
    <t>250      0</t>
  </si>
  <si>
    <t>0   -217</t>
  </si>
  <si>
    <t>-41      0</t>
  </si>
  <si>
    <t>0    203</t>
  </si>
  <si>
    <t>0   -302</t>
  </si>
  <si>
    <t>481      0</t>
  </si>
  <si>
    <t>0   -662</t>
  </si>
  <si>
    <t>728      0</t>
  </si>
  <si>
    <t>0    244</t>
  </si>
  <si>
    <t>63      0</t>
  </si>
  <si>
    <t>89      0</t>
  </si>
  <si>
    <t>415      0</t>
  </si>
  <si>
    <t>16      0</t>
  </si>
  <si>
    <t>0     79</t>
  </si>
  <si>
    <t>286      0</t>
  </si>
  <si>
    <t>2      0</t>
  </si>
  <si>
    <t>469      0</t>
  </si>
  <si>
    <t>0    299</t>
  </si>
  <si>
    <t>0     -1</t>
  </si>
  <si>
    <t>149      0</t>
  </si>
  <si>
    <t>157      0</t>
  </si>
  <si>
    <t>0     53</t>
  </si>
  <si>
    <t>041      0</t>
  </si>
  <si>
    <t>0   -673</t>
  </si>
  <si>
    <t>49      0</t>
  </si>
  <si>
    <t>0   -164</t>
  </si>
  <si>
    <t>936      0</t>
  </si>
  <si>
    <t>75      0</t>
  </si>
  <si>
    <t>0  -1803</t>
  </si>
  <si>
    <t>844      0</t>
  </si>
  <si>
    <t>158      0</t>
  </si>
  <si>
    <t>331      0</t>
  </si>
  <si>
    <t>-97      0</t>
  </si>
  <si>
    <t>372      0</t>
  </si>
  <si>
    <t>0    -19</t>
  </si>
  <si>
    <t>414      0</t>
  </si>
  <si>
    <t>-95      0</t>
  </si>
  <si>
    <t>0    838</t>
  </si>
  <si>
    <t>793      0</t>
  </si>
  <si>
    <t>980      0</t>
  </si>
  <si>
    <t>259      0</t>
  </si>
  <si>
    <t>0    225</t>
  </si>
  <si>
    <t>Go to "Data" --&gt;Text to Columns - Select "Delimited" ---&gt; Select "Space" --&gt; Finish</t>
  </si>
  <si>
    <t>Seattle</t>
  </si>
  <si>
    <t>patt</t>
  </si>
  <si>
    <t>ern020115.</t>
  </si>
  <si>
    <t>ALO</t>
  </si>
  <si>
    <t>16:22:40 on 12 Nov 16</t>
  </si>
  <si>
    <t>2953  -.52</t>
  </si>
  <si>
    <t>016:22:</t>
  </si>
  <si>
    <t>on 12 Nov 16</t>
  </si>
  <si>
    <t>209 -22959</t>
  </si>
  <si>
    <t>056     42</t>
  </si>
  <si>
    <t>474   -866</t>
  </si>
  <si>
    <t>0 -20083</t>
  </si>
  <si>
    <t>0  24839</t>
  </si>
  <si>
    <t>0   1091</t>
  </si>
  <si>
    <t>0   1618</t>
  </si>
  <si>
    <t>317     23</t>
  </si>
  <si>
    <t>308    473</t>
  </si>
  <si>
    <t>428  -2041</t>
  </si>
  <si>
    <t>0   -908</t>
  </si>
  <si>
    <t>0 -63309</t>
  </si>
  <si>
    <t>0  -9303</t>
  </si>
  <si>
    <t>0   -152</t>
  </si>
  <si>
    <t>0 -27841</t>
  </si>
  <si>
    <t>269   6948</t>
  </si>
  <si>
    <t>239   -790</t>
  </si>
  <si>
    <t>042   1079</t>
  </si>
  <si>
    <t>193    383</t>
  </si>
  <si>
    <t>374   3898</t>
  </si>
  <si>
    <t>203  -1537</t>
  </si>
  <si>
    <t>0   -452</t>
  </si>
  <si>
    <t>124   1078</t>
  </si>
  <si>
    <t>633      0</t>
  </si>
  <si>
    <t>186   -163</t>
  </si>
  <si>
    <t>237   -125</t>
  </si>
  <si>
    <t>220    413</t>
  </si>
  <si>
    <t>867   -195</t>
  </si>
  <si>
    <t>0   -143</t>
  </si>
  <si>
    <t>12     83</t>
  </si>
  <si>
    <t>0    -74</t>
  </si>
  <si>
    <t>451    -54</t>
  </si>
  <si>
    <t>0    335</t>
  </si>
  <si>
    <t>0    535</t>
  </si>
  <si>
    <t>58      0</t>
  </si>
  <si>
    <t>0  -5699</t>
  </si>
  <si>
    <t>0      2</t>
  </si>
  <si>
    <t>-12    411</t>
  </si>
  <si>
    <t>0   -215</t>
  </si>
  <si>
    <t>0     31</t>
  </si>
  <si>
    <t>3      0</t>
  </si>
  <si>
    <t>0  19886</t>
  </si>
  <si>
    <t>0   7644</t>
  </si>
  <si>
    <t>0    104</t>
  </si>
  <si>
    <t>0   3862</t>
  </si>
  <si>
    <t>0  12119</t>
  </si>
  <si>
    <t>0     35</t>
  </si>
  <si>
    <t>028      0</t>
  </si>
  <si>
    <t>219   -164</t>
  </si>
  <si>
    <t>88    145</t>
  </si>
  <si>
    <t>0  -4642</t>
  </si>
  <si>
    <t>659    374</t>
  </si>
  <si>
    <t>285    256</t>
  </si>
  <si>
    <t>549  -1763</t>
  </si>
  <si>
    <t>144  10731</t>
  </si>
  <si>
    <t>0    117</t>
  </si>
  <si>
    <t>0    166</t>
  </si>
  <si>
    <t>0  26586</t>
  </si>
  <si>
    <t>0    572</t>
  </si>
  <si>
    <t>902   -180</t>
  </si>
  <si>
    <t>515   -110</t>
  </si>
  <si>
    <t>0   1147</t>
  </si>
  <si>
    <t>665    659</t>
  </si>
  <si>
    <t>919   -713</t>
  </si>
  <si>
    <t>384    694</t>
  </si>
  <si>
    <t>0 -31183</t>
  </si>
  <si>
    <t>079   3352</t>
  </si>
  <si>
    <t>009   4712</t>
  </si>
  <si>
    <t>509   -933</t>
  </si>
  <si>
    <t>941      0</t>
  </si>
  <si>
    <t>618   6864</t>
  </si>
  <si>
    <t>0 -16648</t>
  </si>
  <si>
    <t>437   -208</t>
  </si>
  <si>
    <t>-56      0</t>
  </si>
  <si>
    <t>0   -952</t>
  </si>
  <si>
    <t>0    222</t>
  </si>
  <si>
    <t>770    483</t>
  </si>
  <si>
    <t>561   -233</t>
  </si>
  <si>
    <t>801   -176</t>
  </si>
  <si>
    <t>0   -481</t>
  </si>
  <si>
    <t>14    -38</t>
  </si>
  <si>
    <t>244   -501</t>
  </si>
  <si>
    <t>0  -1965</t>
  </si>
  <si>
    <t>0   -992</t>
  </si>
  <si>
    <t>0  -1324</t>
  </si>
  <si>
    <t>0   -353</t>
  </si>
  <si>
    <t>659  -6040</t>
  </si>
  <si>
    <t>443   -273</t>
  </si>
  <si>
    <t>244     14</t>
  </si>
  <si>
    <t>0   -349</t>
  </si>
  <si>
    <t>0    210</t>
  </si>
  <si>
    <t>163   -882</t>
  </si>
  <si>
    <t>789   8826</t>
  </si>
  <si>
    <t>0   -904</t>
  </si>
  <si>
    <t>0  -3658</t>
  </si>
  <si>
    <t>0  -5539</t>
  </si>
  <si>
    <t>453  31358</t>
  </si>
  <si>
    <t>0  -1303</t>
  </si>
  <si>
    <t>0    378</t>
  </si>
  <si>
    <t>67      0</t>
  </si>
  <si>
    <t>0   -438</t>
  </si>
  <si>
    <t>0   -767</t>
  </si>
  <si>
    <t>864      0</t>
  </si>
  <si>
    <t>815  39903</t>
  </si>
  <si>
    <t>0    121</t>
  </si>
  <si>
    <t>57    -56</t>
  </si>
  <si>
    <t>751 -14967</t>
  </si>
  <si>
    <t>108   -451</t>
  </si>
  <si>
    <t>133   -379</t>
  </si>
  <si>
    <t>0    -84</t>
  </si>
  <si>
    <t>894  -5180</t>
  </si>
  <si>
    <t>545  -9562</t>
  </si>
  <si>
    <t>059   1058</t>
  </si>
  <si>
    <t>-83    205</t>
  </si>
  <si>
    <t>-85      0</t>
  </si>
  <si>
    <t>728  -5858</t>
  </si>
  <si>
    <t>0    395</t>
  </si>
  <si>
    <t>200      0</t>
  </si>
  <si>
    <t>0    -23</t>
  </si>
  <si>
    <t>0   1083</t>
  </si>
  <si>
    <t>392  -2422</t>
  </si>
  <si>
    <t>677   -379</t>
  </si>
  <si>
    <t>-9     45</t>
  </si>
  <si>
    <t>0   -566</t>
  </si>
  <si>
    <t>398   -365</t>
  </si>
  <si>
    <t>132   -447</t>
  </si>
  <si>
    <t>211  23192</t>
  </si>
  <si>
    <t>0   -519</t>
  </si>
  <si>
    <t>272    592</t>
  </si>
  <si>
    <t>491    141</t>
  </si>
  <si>
    <t>0   -132</t>
  </si>
  <si>
    <t>038   2951</t>
  </si>
  <si>
    <t>664    308</t>
  </si>
  <si>
    <t>151     18</t>
  </si>
  <si>
    <t>0   -434</t>
  </si>
  <si>
    <t>969    124</t>
  </si>
  <si>
    <t>323   -973</t>
  </si>
  <si>
    <t>114  12001</t>
  </si>
  <si>
    <t>154   -578</t>
  </si>
  <si>
    <t>0   -400</t>
  </si>
  <si>
    <t>161  12613</t>
  </si>
  <si>
    <t>486  12374</t>
  </si>
  <si>
    <t>0   -647</t>
  </si>
  <si>
    <t>417   -363</t>
  </si>
  <si>
    <t>0    186</t>
  </si>
  <si>
    <t>208      0</t>
  </si>
  <si>
    <t>825  -1511</t>
  </si>
  <si>
    <t>279   6989</t>
  </si>
  <si>
    <t>841   6547</t>
  </si>
  <si>
    <t>-9    280</t>
  </si>
  <si>
    <t>432     49</t>
  </si>
  <si>
    <t>0  -1402</t>
  </si>
  <si>
    <t>148   -310</t>
  </si>
  <si>
    <t>342  20295</t>
  </si>
  <si>
    <t>024      0</t>
  </si>
  <si>
    <t>0    708</t>
  </si>
  <si>
    <t>-38      0</t>
  </si>
  <si>
    <t>109   9198</t>
  </si>
  <si>
    <t>074   1518</t>
  </si>
  <si>
    <t>274      0</t>
  </si>
  <si>
    <t>0    345</t>
  </si>
  <si>
    <t>0   2532</t>
  </si>
  <si>
    <t>789   3388</t>
  </si>
  <si>
    <t>294  -7630</t>
  </si>
  <si>
    <t>824    291</t>
  </si>
  <si>
    <t>90   1000</t>
  </si>
  <si>
    <t>228  -1648</t>
  </si>
  <si>
    <t>0   7954</t>
  </si>
  <si>
    <t>303    167</t>
  </si>
  <si>
    <t>303    202</t>
  </si>
  <si>
    <t>111   9569</t>
  </si>
  <si>
    <t>034   -323</t>
  </si>
  <si>
    <t>323   1116</t>
  </si>
  <si>
    <t>0   2287</t>
  </si>
  <si>
    <t>214    465</t>
  </si>
  <si>
    <t>-61    304</t>
  </si>
  <si>
    <t>0    381</t>
  </si>
  <si>
    <t>170    505</t>
  </si>
  <si>
    <t>-33    369</t>
  </si>
  <si>
    <t>0     98</t>
  </si>
  <si>
    <t>0    936</t>
  </si>
  <si>
    <t>11      0</t>
  </si>
  <si>
    <t>0   -263</t>
  </si>
  <si>
    <t>77      0</t>
  </si>
  <si>
    <t>252  -1132</t>
  </si>
  <si>
    <t>143   -961</t>
  </si>
  <si>
    <t>771     17</t>
  </si>
  <si>
    <t>105    -94</t>
  </si>
  <si>
    <t>0    758</t>
  </si>
  <si>
    <t>213     94</t>
  </si>
  <si>
    <t>418  -1122</t>
  </si>
  <si>
    <t>399     -9</t>
  </si>
  <si>
    <t>677  -2339</t>
  </si>
  <si>
    <t>0   -230</t>
  </si>
  <si>
    <t>262    907</t>
  </si>
  <si>
    <t>370  -1851</t>
  </si>
  <si>
    <t>543   -303</t>
  </si>
  <si>
    <t>895   2615</t>
  </si>
  <si>
    <t>811  29703</t>
  </si>
  <si>
    <t>0    -48</t>
  </si>
  <si>
    <t>357   2792</t>
  </si>
  <si>
    <t>953  -1257</t>
  </si>
  <si>
    <t>598   -555</t>
  </si>
  <si>
    <t>197   -479</t>
  </si>
  <si>
    <t>885   -419</t>
  </si>
  <si>
    <t>107    -29</t>
  </si>
  <si>
    <t>601    245</t>
  </si>
  <si>
    <t>654   -333</t>
  </si>
  <si>
    <t>0  -7773</t>
  </si>
  <si>
    <t>884   -958</t>
  </si>
  <si>
    <t>559   5150</t>
  </si>
  <si>
    <t>741    393</t>
  </si>
  <si>
    <t>126    861</t>
  </si>
  <si>
    <t>0   -560</t>
  </si>
  <si>
    <t>28    108</t>
  </si>
  <si>
    <t>0    108</t>
  </si>
  <si>
    <t>373    905</t>
  </si>
  <si>
    <t>-98     74</t>
  </si>
  <si>
    <t>0    548</t>
  </si>
  <si>
    <t>097  -2923</t>
  </si>
  <si>
    <t>115  -2515</t>
  </si>
  <si>
    <t>150   -107</t>
  </si>
  <si>
    <t>0   4492</t>
  </si>
  <si>
    <t>343    359</t>
  </si>
  <si>
    <t>234  -9887</t>
  </si>
  <si>
    <t>463   1185</t>
  </si>
  <si>
    <t>375  -5857</t>
  </si>
  <si>
    <t>0    864</t>
  </si>
  <si>
    <t>0    403</t>
  </si>
  <si>
    <t>0    122</t>
  </si>
  <si>
    <t>0  -2391</t>
  </si>
  <si>
    <t>685   -850</t>
  </si>
  <si>
    <t>529 -12675</t>
  </si>
  <si>
    <t>661  -1726</t>
  </si>
  <si>
    <t>115   -213</t>
  </si>
  <si>
    <t>655   -879</t>
  </si>
  <si>
    <t>169     73</t>
  </si>
  <si>
    <t>126     83</t>
  </si>
  <si>
    <t>75    250</t>
  </si>
  <si>
    <t>135     75</t>
  </si>
  <si>
    <t>192    593</t>
  </si>
  <si>
    <t>0  -3837</t>
  </si>
  <si>
    <t>280      0</t>
  </si>
  <si>
    <t>0     26</t>
  </si>
  <si>
    <t>0      1</t>
  </si>
  <si>
    <t>-21      0</t>
  </si>
  <si>
    <t>0    167</t>
  </si>
  <si>
    <t>0   -241</t>
  </si>
  <si>
    <t>-72      0</t>
  </si>
  <si>
    <t>205    166</t>
  </si>
  <si>
    <t>125   -725</t>
  </si>
  <si>
    <t>422   4039</t>
  </si>
  <si>
    <t>818   8258</t>
  </si>
  <si>
    <t>207   -674</t>
  </si>
  <si>
    <t>44   -252</t>
  </si>
  <si>
    <t>329    190</t>
  </si>
  <si>
    <t>0   -339</t>
  </si>
  <si>
    <t>140    -14</t>
  </si>
  <si>
    <t>291      9</t>
  </si>
  <si>
    <t>-47   1315</t>
  </si>
  <si>
    <t>295   -416</t>
  </si>
  <si>
    <t>487  -6719</t>
  </si>
  <si>
    <t>0  -5336</t>
  </si>
  <si>
    <t>0   1151</t>
  </si>
  <si>
    <t>312   -396</t>
  </si>
  <si>
    <t>29      0</t>
  </si>
  <si>
    <t>144   -604</t>
  </si>
  <si>
    <t>0    470</t>
  </si>
  <si>
    <t>088  -2022</t>
  </si>
  <si>
    <t>107   -810</t>
  </si>
  <si>
    <t>0    642</t>
  </si>
  <si>
    <t>308   9057</t>
  </si>
  <si>
    <t>0    -55</t>
  </si>
  <si>
    <t>0   -608</t>
  </si>
  <si>
    <t>0  -1610</t>
  </si>
  <si>
    <t>0   -539</t>
  </si>
  <si>
    <t>715  -2511</t>
  </si>
  <si>
    <t>837    374</t>
  </si>
  <si>
    <t>993      0</t>
  </si>
  <si>
    <t>454  20886</t>
  </si>
  <si>
    <t>560  -1689</t>
  </si>
  <si>
    <t>466   -964</t>
  </si>
  <si>
    <t>508    -80</t>
  </si>
  <si>
    <t>155     78</t>
  </si>
  <si>
    <t>508    631</t>
  </si>
  <si>
    <t>550    865</t>
  </si>
  <si>
    <t>857    781</t>
  </si>
  <si>
    <t>0    287</t>
  </si>
  <si>
    <t>178  -1681</t>
  </si>
  <si>
    <t>755   -293</t>
  </si>
  <si>
    <t>0  -4580</t>
  </si>
  <si>
    <t>599    171</t>
  </si>
  <si>
    <t>337  10921</t>
  </si>
  <si>
    <t>643  -1253</t>
  </si>
  <si>
    <t>458  20511</t>
  </si>
  <si>
    <t>700      0</t>
  </si>
  <si>
    <t>0   -824</t>
  </si>
  <si>
    <t>0    320</t>
  </si>
  <si>
    <t>548  -1216</t>
  </si>
  <si>
    <t>822    764</t>
  </si>
  <si>
    <t>0    593</t>
  </si>
  <si>
    <t>0   -477</t>
  </si>
  <si>
    <t>0    150</t>
  </si>
  <si>
    <t>086      0</t>
  </si>
  <si>
    <t>299     23</t>
  </si>
  <si>
    <t>949     61</t>
  </si>
  <si>
    <t>201  -3374</t>
  </si>
  <si>
    <t>-86     55</t>
  </si>
  <si>
    <t>266     20</t>
  </si>
  <si>
    <t>0  -4453</t>
  </si>
  <si>
    <t>254    -58</t>
  </si>
  <si>
    <t>924     96</t>
  </si>
  <si>
    <t>103    -78</t>
  </si>
  <si>
    <t>111   -172</t>
  </si>
  <si>
    <t>100   -302</t>
  </si>
  <si>
    <t>212   -140</t>
  </si>
  <si>
    <t>0    -87</t>
  </si>
  <si>
    <t>0   -111</t>
  </si>
  <si>
    <t>878   -717</t>
  </si>
  <si>
    <t>150     44</t>
  </si>
  <si>
    <t>63    -34</t>
  </si>
  <si>
    <t>145    147</t>
  </si>
  <si>
    <t>-22     44</t>
  </si>
  <si>
    <t>0     12</t>
  </si>
  <si>
    <t>-66     97</t>
  </si>
  <si>
    <t>771   1195</t>
  </si>
  <si>
    <t>0    -66</t>
  </si>
  <si>
    <t>0  -3414</t>
  </si>
  <si>
    <t>0  -5228</t>
  </si>
  <si>
    <t>-27    454</t>
  </si>
  <si>
    <t>12  -1059</t>
  </si>
  <si>
    <t>561      0</t>
  </si>
  <si>
    <t>401   -448</t>
  </si>
  <si>
    <t>478      0</t>
  </si>
  <si>
    <t>0   -154</t>
  </si>
  <si>
    <t>0    473</t>
  </si>
  <si>
    <t>0   -168</t>
  </si>
  <si>
    <t>574   -724</t>
  </si>
  <si>
    <t>973   -370</t>
  </si>
  <si>
    <t>469    972</t>
  </si>
  <si>
    <t>874    363</t>
  </si>
  <si>
    <t>774      0</t>
  </si>
  <si>
    <t>781      0</t>
  </si>
  <si>
    <t>0   -390</t>
  </si>
  <si>
    <t>742      0</t>
  </si>
  <si>
    <t>-46     58</t>
  </si>
  <si>
    <t>957    570</t>
  </si>
  <si>
    <t>102   -183</t>
  </si>
  <si>
    <t>150    -16</t>
  </si>
  <si>
    <t>740    440</t>
  </si>
  <si>
    <t>0    432</t>
  </si>
  <si>
    <t>271     62</t>
  </si>
  <si>
    <t>374  -7565</t>
  </si>
  <si>
    <t>211    141</t>
  </si>
  <si>
    <t>-53     63</t>
  </si>
  <si>
    <t>293    187</t>
  </si>
  <si>
    <t>254  -2787</t>
  </si>
  <si>
    <t>16   -163</t>
  </si>
  <si>
    <t>161    613</t>
  </si>
  <si>
    <t>231  -7415</t>
  </si>
  <si>
    <t>300     39</t>
  </si>
  <si>
    <t>0    109</t>
  </si>
  <si>
    <t>0  -8772</t>
  </si>
  <si>
    <t>0   -139</t>
  </si>
  <si>
    <t>049      0</t>
  </si>
  <si>
    <t>0    861</t>
  </si>
  <si>
    <t>182    395</t>
  </si>
  <si>
    <t>553   -383</t>
  </si>
  <si>
    <t>22    235</t>
  </si>
  <si>
    <t>911   -501</t>
  </si>
  <si>
    <t>330      0</t>
  </si>
  <si>
    <t>9   -389</t>
  </si>
  <si>
    <t>0  -1767</t>
  </si>
  <si>
    <t>182    582</t>
  </si>
  <si>
    <t>377    -12</t>
  </si>
  <si>
    <t>556    307</t>
  </si>
  <si>
    <t>696    210</t>
  </si>
  <si>
    <t>324   -548</t>
  </si>
  <si>
    <t>787      0</t>
  </si>
  <si>
    <t>217   -505</t>
  </si>
  <si>
    <t>430      0</t>
  </si>
  <si>
    <t>0   -186</t>
  </si>
  <si>
    <t>202   8620</t>
  </si>
  <si>
    <t>0    382</t>
  </si>
  <si>
    <t>175    402</t>
  </si>
  <si>
    <t>233   -902</t>
  </si>
  <si>
    <t>0    426</t>
  </si>
  <si>
    <t>46    357</t>
  </si>
  <si>
    <t>161   -154</t>
  </si>
  <si>
    <t>34    293</t>
  </si>
  <si>
    <t>007   5236</t>
  </si>
  <si>
    <t>0  12420</t>
  </si>
  <si>
    <t>0  -1648</t>
  </si>
  <si>
    <t>825      0</t>
  </si>
  <si>
    <t>654      0</t>
  </si>
  <si>
    <t>0    -47</t>
  </si>
  <si>
    <t>50   -101</t>
  </si>
  <si>
    <t>216    109</t>
  </si>
  <si>
    <t>129    201</t>
  </si>
  <si>
    <t>898    198</t>
  </si>
  <si>
    <t>939      0</t>
  </si>
  <si>
    <t>0    304</t>
  </si>
  <si>
    <t>0   1133</t>
  </si>
  <si>
    <t>025      0</t>
  </si>
  <si>
    <t>0    177</t>
  </si>
  <si>
    <t>0   1859</t>
  </si>
  <si>
    <t>580   -545</t>
  </si>
  <si>
    <t>271    -34</t>
  </si>
  <si>
    <t>945  -1455</t>
  </si>
  <si>
    <t>223   1171</t>
  </si>
  <si>
    <t>675    710</t>
  </si>
  <si>
    <t>261    877</t>
  </si>
  <si>
    <t>639  -2325</t>
  </si>
  <si>
    <t>0  12426</t>
  </si>
  <si>
    <t>272     43</t>
  </si>
  <si>
    <t>371   -225</t>
  </si>
  <si>
    <t>466  14113</t>
  </si>
  <si>
    <t>237    489</t>
  </si>
  <si>
    <t>163    614</t>
  </si>
  <si>
    <t>0  12248</t>
  </si>
  <si>
    <t>354      0</t>
  </si>
  <si>
    <t>0  14952</t>
  </si>
  <si>
    <t>847    455</t>
  </si>
  <si>
    <t>0   -450</t>
  </si>
  <si>
    <t>52      0</t>
  </si>
  <si>
    <t>-34    194</t>
  </si>
  <si>
    <t>103   -111</t>
  </si>
  <si>
    <t>82    300</t>
  </si>
  <si>
    <t>0   -138</t>
  </si>
  <si>
    <t>354   -311</t>
  </si>
  <si>
    <t>0    773</t>
  </si>
  <si>
    <t>0  -1865</t>
  </si>
  <si>
    <t>124   3505</t>
  </si>
  <si>
    <t>508    -75</t>
  </si>
  <si>
    <t>0  -9977</t>
  </si>
  <si>
    <t>073  -1435</t>
  </si>
  <si>
    <t>976   7589</t>
  </si>
  <si>
    <t>206  -1136</t>
  </si>
  <si>
    <t>211   2185</t>
  </si>
  <si>
    <t>056      0</t>
  </si>
  <si>
    <t>386    500</t>
  </si>
  <si>
    <t>591   -367</t>
  </si>
  <si>
    <t>279   1735</t>
  </si>
  <si>
    <t>454   1372</t>
  </si>
  <si>
    <t>470    436</t>
  </si>
  <si>
    <t>0  -3677</t>
  </si>
  <si>
    <t>161   -527</t>
  </si>
  <si>
    <t>415   2478</t>
  </si>
  <si>
    <t>471  -7903</t>
  </si>
  <si>
    <t>433      0</t>
  </si>
  <si>
    <t>314   3791</t>
  </si>
  <si>
    <t>964   2719</t>
  </si>
  <si>
    <t>696  -6329</t>
  </si>
  <si>
    <t>475      0</t>
  </si>
  <si>
    <t>536   3557</t>
  </si>
  <si>
    <t>401   -300</t>
  </si>
  <si>
    <t>15   -355</t>
  </si>
  <si>
    <t>100    -96</t>
  </si>
  <si>
    <t>084   1342</t>
  </si>
  <si>
    <t>194    -96</t>
  </si>
  <si>
    <t>0    586</t>
  </si>
  <si>
    <t>595   1059</t>
  </si>
  <si>
    <t>0    445</t>
  </si>
  <si>
    <t>562    494</t>
  </si>
  <si>
    <t>0     86</t>
  </si>
  <si>
    <t>0  -6291</t>
  </si>
  <si>
    <t>5  -1266</t>
  </si>
  <si>
    <t>003      0</t>
  </si>
  <si>
    <t>272    518</t>
  </si>
  <si>
    <t>0    311</t>
  </si>
  <si>
    <t>015      0</t>
  </si>
  <si>
    <t>187    168</t>
  </si>
  <si>
    <t>821    345</t>
  </si>
  <si>
    <t>563  -1612</t>
  </si>
  <si>
    <t>159     15</t>
  </si>
  <si>
    <t>139    154</t>
  </si>
  <si>
    <t>0  -2125</t>
  </si>
  <si>
    <t>372    349</t>
  </si>
  <si>
    <t>474    -18</t>
  </si>
  <si>
    <t>0  -1566</t>
  </si>
  <si>
    <t>247   -680</t>
  </si>
  <si>
    <t>382   -205</t>
  </si>
  <si>
    <t>0   3765</t>
  </si>
  <si>
    <t>40    380</t>
  </si>
  <si>
    <t>039  -8633</t>
  </si>
  <si>
    <t>293    712</t>
  </si>
  <si>
    <t>221  -1504</t>
  </si>
  <si>
    <t>660      0</t>
  </si>
  <si>
    <t>0    112</t>
  </si>
  <si>
    <t>845   -243</t>
  </si>
  <si>
    <t>797    365</t>
  </si>
  <si>
    <t>-14      0</t>
  </si>
  <si>
    <t>913  -1387</t>
  </si>
  <si>
    <t>603  -8818</t>
  </si>
  <si>
    <t>0    182</t>
  </si>
  <si>
    <t>0    602</t>
  </si>
  <si>
    <t>0    286</t>
  </si>
  <si>
    <t>0   -663</t>
  </si>
  <si>
    <t>849   -620</t>
  </si>
  <si>
    <t>277  -3941</t>
  </si>
  <si>
    <t>279    486</t>
  </si>
  <si>
    <t>201  -6082</t>
  </si>
  <si>
    <t>983      0</t>
  </si>
  <si>
    <t>0   -967</t>
  </si>
  <si>
    <t>0   -357</t>
  </si>
  <si>
    <t>770      0</t>
  </si>
  <si>
    <t>100   -108</t>
  </si>
  <si>
    <t>951   -270</t>
  </si>
  <si>
    <t>440    317</t>
  </si>
  <si>
    <t>625   -812</t>
  </si>
  <si>
    <t>696      0</t>
  </si>
  <si>
    <t>144   7563</t>
  </si>
  <si>
    <t>0    151</t>
  </si>
  <si>
    <t>3   -412</t>
  </si>
  <si>
    <t>067    234</t>
  </si>
  <si>
    <t>114   -573</t>
  </si>
  <si>
    <t>160     40</t>
  </si>
  <si>
    <t>619   -739</t>
  </si>
  <si>
    <t>084    114</t>
  </si>
  <si>
    <t>0   -401</t>
  </si>
  <si>
    <t>661      0</t>
  </si>
  <si>
    <t>751  -5300</t>
  </si>
  <si>
    <t>0   -552</t>
  </si>
  <si>
    <t>0  -2433</t>
  </si>
  <si>
    <t>571   -861</t>
  </si>
  <si>
    <t>243   -104</t>
  </si>
  <si>
    <t>360   -482</t>
  </si>
  <si>
    <t>887      0</t>
  </si>
  <si>
    <t>504      0</t>
  </si>
  <si>
    <t>087   1855</t>
  </si>
  <si>
    <t>510  -1159</t>
  </si>
  <si>
    <t>244    -77</t>
  </si>
  <si>
    <t>224   -137</t>
  </si>
  <si>
    <t>138   1035</t>
  </si>
  <si>
    <t>152   -287</t>
  </si>
  <si>
    <t>177    624</t>
  </si>
  <si>
    <t>98      0</t>
  </si>
  <si>
    <t>0   -102</t>
  </si>
  <si>
    <t>099    590</t>
  </si>
  <si>
    <t>53    -35</t>
  </si>
  <si>
    <t>113    800</t>
  </si>
  <si>
    <t>018   -239</t>
  </si>
  <si>
    <t>940   -430</t>
  </si>
  <si>
    <t>338   -112</t>
  </si>
  <si>
    <t>0  -5404</t>
  </si>
  <si>
    <t>322    -46</t>
  </si>
  <si>
    <t>719  13849</t>
  </si>
  <si>
    <t>815  -2901</t>
  </si>
  <si>
    <t>371  25154</t>
  </si>
  <si>
    <t>724  22589</t>
  </si>
  <si>
    <t>777  -2296</t>
  </si>
  <si>
    <t>483  19666</t>
  </si>
  <si>
    <t>580  15711</t>
  </si>
  <si>
    <t>899   6255</t>
  </si>
  <si>
    <t>372    957</t>
  </si>
  <si>
    <t>164    364</t>
  </si>
  <si>
    <t>0    874</t>
  </si>
  <si>
    <t>361    415</t>
  </si>
  <si>
    <t>0    550</t>
  </si>
  <si>
    <t>751    685</t>
  </si>
  <si>
    <t>0    915</t>
  </si>
  <si>
    <t>168    -33</t>
  </si>
  <si>
    <t>0     88</t>
  </si>
  <si>
    <t>0   1207</t>
  </si>
  <si>
    <t>0  11353</t>
  </si>
  <si>
    <t>0   1627</t>
  </si>
  <si>
    <t>0 -25622</t>
  </si>
  <si>
    <t>0    808</t>
  </si>
  <si>
    <t>010   1877</t>
  </si>
  <si>
    <t>354  -4388</t>
  </si>
  <si>
    <t>0   2396</t>
  </si>
  <si>
    <t>0   1768</t>
  </si>
  <si>
    <t>0   1477</t>
  </si>
  <si>
    <t>923  -3617</t>
  </si>
  <si>
    <t>823  -1030</t>
  </si>
  <si>
    <t>272    101</t>
  </si>
  <si>
    <t>457  -4940</t>
  </si>
  <si>
    <t>0  -1656</t>
  </si>
  <si>
    <t>426   -223</t>
  </si>
  <si>
    <t>272   1120</t>
  </si>
  <si>
    <t>0   -871</t>
  </si>
  <si>
    <t>909      0</t>
  </si>
  <si>
    <t>324  -5108</t>
  </si>
  <si>
    <t>0   5853</t>
  </si>
  <si>
    <t>066    387</t>
  </si>
  <si>
    <t>-79    471</t>
  </si>
  <si>
    <t>0   8787</t>
  </si>
  <si>
    <t>369   -682</t>
  </si>
  <si>
    <t>-89   4485</t>
  </si>
  <si>
    <t>076    -28</t>
  </si>
  <si>
    <t>017      0</t>
  </si>
  <si>
    <t>399   4538</t>
  </si>
  <si>
    <t>920      0</t>
  </si>
  <si>
    <t>0   -443</t>
  </si>
  <si>
    <t>180   3141</t>
  </si>
  <si>
    <t>379   3034</t>
  </si>
  <si>
    <t>479      0</t>
  </si>
  <si>
    <t>954   4530</t>
  </si>
  <si>
    <t>071  14679</t>
  </si>
  <si>
    <t>144   3790</t>
  </si>
  <si>
    <t>0   -198</t>
  </si>
  <si>
    <t>0   8362</t>
  </si>
  <si>
    <t>768      0</t>
  </si>
  <si>
    <t>0   3143</t>
  </si>
  <si>
    <t>0  -3977</t>
  </si>
  <si>
    <t>-96    679</t>
  </si>
  <si>
    <t>560  -4011</t>
  </si>
  <si>
    <t>596  -5369</t>
  </si>
  <si>
    <t>360   1494</t>
  </si>
  <si>
    <t>226      0</t>
  </si>
  <si>
    <t>649  -8449</t>
  </si>
  <si>
    <t>299   -550</t>
  </si>
  <si>
    <t>292  -2130</t>
  </si>
  <si>
    <t>-27      0</t>
  </si>
  <si>
    <t>979   1996</t>
  </si>
  <si>
    <t>689  -4802</t>
  </si>
  <si>
    <t>214   -306</t>
  </si>
  <si>
    <t>0    527</t>
  </si>
  <si>
    <t>537  -5925</t>
  </si>
  <si>
    <t>0    -64</t>
  </si>
  <si>
    <t>749  -2807</t>
  </si>
  <si>
    <t>0   -413</t>
  </si>
  <si>
    <t>0    847</t>
  </si>
  <si>
    <t>0   2271</t>
  </si>
  <si>
    <t>0   1564</t>
  </si>
  <si>
    <t>0     74</t>
  </si>
  <si>
    <t>517  -2114</t>
  </si>
  <si>
    <t>54   -748</t>
  </si>
  <si>
    <t>398    231</t>
  </si>
  <si>
    <t>0   -745</t>
  </si>
  <si>
    <t>254   -680</t>
  </si>
  <si>
    <t>757   4429</t>
  </si>
  <si>
    <t>292  -3447</t>
  </si>
  <si>
    <t>430    591</t>
  </si>
  <si>
    <t>760  -2063</t>
  </si>
  <si>
    <t>0  -5038</t>
  </si>
  <si>
    <t>0  -1208</t>
  </si>
  <si>
    <t>0  -4617</t>
  </si>
  <si>
    <t>120    222</t>
  </si>
  <si>
    <t>800      0</t>
  </si>
  <si>
    <t>0  -8593</t>
  </si>
  <si>
    <t>46   -437</t>
  </si>
  <si>
    <t>476  13674</t>
  </si>
  <si>
    <t>85     85</t>
  </si>
  <si>
    <t>335    194</t>
  </si>
  <si>
    <t>100   -540</t>
  </si>
  <si>
    <t>224   2025</t>
  </si>
  <si>
    <t>339   2450</t>
  </si>
  <si>
    <t>716   2696</t>
  </si>
  <si>
    <t>0  -2947</t>
  </si>
  <si>
    <t>532   2034</t>
  </si>
  <si>
    <t>172  -1740</t>
  </si>
  <si>
    <t>523   1735</t>
  </si>
  <si>
    <t>281   3862</t>
  </si>
  <si>
    <t>393   3160</t>
  </si>
  <si>
    <t>0    135</t>
  </si>
  <si>
    <t>667    212</t>
  </si>
  <si>
    <t>227    839</t>
  </si>
  <si>
    <t>-7    303</t>
  </si>
  <si>
    <t>231   -619</t>
  </si>
  <si>
    <t>286     27</t>
  </si>
  <si>
    <t>0   -389</t>
  </si>
  <si>
    <t>130   1190</t>
  </si>
  <si>
    <t>235    -52</t>
  </si>
  <si>
    <t>822   -611</t>
  </si>
  <si>
    <t>0   4758</t>
  </si>
  <si>
    <t>342 -10687</t>
  </si>
  <si>
    <t>934     54</t>
  </si>
  <si>
    <t>192   -201</t>
  </si>
  <si>
    <t>0   -829</t>
  </si>
  <si>
    <t>0  -3466</t>
  </si>
  <si>
    <t>797   3957</t>
  </si>
  <si>
    <t>323   -241</t>
  </si>
  <si>
    <t>57    122</t>
  </si>
  <si>
    <t>190  -1403</t>
  </si>
  <si>
    <t>0    146</t>
  </si>
  <si>
    <t>193    566</t>
  </si>
  <si>
    <t>188   -161</t>
  </si>
  <si>
    <t>410   -891</t>
  </si>
  <si>
    <t>-4     85</t>
  </si>
  <si>
    <t>0   1230</t>
  </si>
  <si>
    <t>0    505</t>
  </si>
  <si>
    <t>0    523</t>
  </si>
  <si>
    <t>57   -882</t>
  </si>
  <si>
    <t>1    114</t>
  </si>
  <si>
    <t>0    583</t>
  </si>
  <si>
    <t>523   3557</t>
  </si>
  <si>
    <t>217   2136</t>
  </si>
  <si>
    <t>903    349</t>
  </si>
  <si>
    <t>224    714</t>
  </si>
  <si>
    <t>0   -343</t>
  </si>
  <si>
    <t>651    350</t>
  </si>
  <si>
    <t>573   -111</t>
  </si>
  <si>
    <t>129    986</t>
  </si>
  <si>
    <t>124   1490</t>
  </si>
  <si>
    <t>001      0</t>
  </si>
  <si>
    <t>440    184</t>
  </si>
  <si>
    <t>642   -234</t>
  </si>
  <si>
    <t>517    419</t>
  </si>
  <si>
    <t>0  -1082</t>
  </si>
  <si>
    <t>235    -56</t>
  </si>
  <si>
    <t>352   1552</t>
  </si>
  <si>
    <t>353  -1627</t>
  </si>
  <si>
    <t>318      0</t>
  </si>
  <si>
    <t>686   3020</t>
  </si>
  <si>
    <t>413   2619</t>
  </si>
  <si>
    <t>741    631</t>
  </si>
  <si>
    <t>139      0</t>
  </si>
  <si>
    <t>627   2088</t>
  </si>
  <si>
    <t>306   2819</t>
  </si>
  <si>
    <t>670      0</t>
  </si>
  <si>
    <t>079   3214</t>
  </si>
  <si>
    <t>43    137</t>
  </si>
  <si>
    <t>667    504</t>
  </si>
  <si>
    <t>45    161</t>
  </si>
  <si>
    <t>734    489</t>
  </si>
  <si>
    <t>0   -491</t>
  </si>
  <si>
    <t>23     83</t>
  </si>
  <si>
    <t>467   -154</t>
  </si>
  <si>
    <t>0   -458</t>
  </si>
  <si>
    <t>0    184</t>
  </si>
  <si>
    <t>020   5873</t>
  </si>
  <si>
    <t>0  -1016</t>
  </si>
  <si>
    <t>671      0</t>
  </si>
  <si>
    <t>0   -864</t>
  </si>
  <si>
    <t>0  -2119</t>
  </si>
  <si>
    <t>973  -2493</t>
  </si>
  <si>
    <t>845  -2993</t>
  </si>
  <si>
    <t>662  -1470</t>
  </si>
  <si>
    <t>302  -3287</t>
  </si>
  <si>
    <t>863      0</t>
  </si>
  <si>
    <t>424      0</t>
  </si>
  <si>
    <t>861  -2841</t>
  </si>
  <si>
    <t>713      0</t>
  </si>
  <si>
    <t>226  -7307</t>
  </si>
  <si>
    <t>0   3311</t>
  </si>
  <si>
    <t>0  -6213</t>
  </si>
  <si>
    <t>006   1733</t>
  </si>
  <si>
    <t>72   -230</t>
  </si>
  <si>
    <t>470   5202</t>
  </si>
  <si>
    <t>716    681</t>
  </si>
  <si>
    <t>0     77</t>
  </si>
  <si>
    <t>620   2727</t>
  </si>
  <si>
    <t>318   2220</t>
  </si>
  <si>
    <t>0    848</t>
  </si>
  <si>
    <t>0   -934</t>
  </si>
  <si>
    <t>0    639</t>
  </si>
  <si>
    <t>0   1774</t>
  </si>
  <si>
    <t>0   1467</t>
  </si>
  <si>
    <t>104  -8334</t>
  </si>
  <si>
    <t>208    -58</t>
  </si>
  <si>
    <t>40    105</t>
  </si>
  <si>
    <t>0  -1072</t>
  </si>
  <si>
    <t>416   -378</t>
  </si>
  <si>
    <t>943   2269</t>
  </si>
  <si>
    <t>028   1110</t>
  </si>
  <si>
    <t>195   -163</t>
  </si>
  <si>
    <t>68    957</t>
  </si>
  <si>
    <t>0     44</t>
  </si>
  <si>
    <t>0     89</t>
  </si>
  <si>
    <t>0   1339</t>
  </si>
  <si>
    <t>119    -78</t>
  </si>
  <si>
    <t>0   -696</t>
  </si>
  <si>
    <t>097  -1374</t>
  </si>
  <si>
    <t>836      0</t>
  </si>
  <si>
    <t>678   1089</t>
  </si>
  <si>
    <t>0    232</t>
  </si>
  <si>
    <t>234  -9093</t>
  </si>
  <si>
    <t>615   3844</t>
  </si>
  <si>
    <t>0   3203</t>
  </si>
  <si>
    <t>117 -30393</t>
  </si>
  <si>
    <t>113    320</t>
  </si>
  <si>
    <t>396 -27434</t>
  </si>
  <si>
    <t>144 -40984</t>
  </si>
  <si>
    <t>0   -449</t>
  </si>
  <si>
    <t>0 -36082</t>
  </si>
  <si>
    <t>0    867</t>
  </si>
  <si>
    <t>0    450</t>
  </si>
  <si>
    <t>183   -526</t>
  </si>
  <si>
    <t>0    161</t>
  </si>
  <si>
    <t>0    871</t>
  </si>
  <si>
    <t>0    429</t>
  </si>
  <si>
    <t>37   1445</t>
  </si>
  <si>
    <t>460    849</t>
  </si>
  <si>
    <t>295    669</t>
  </si>
  <si>
    <t>287    426</t>
  </si>
  <si>
    <t>755      0</t>
  </si>
  <si>
    <t>1      0</t>
  </si>
  <si>
    <t>523     -4</t>
  </si>
  <si>
    <t>0    191</t>
  </si>
  <si>
    <t>0   -736</t>
  </si>
  <si>
    <t>7      0</t>
  </si>
  <si>
    <t>0   -245</t>
  </si>
  <si>
    <t>786   -395</t>
  </si>
  <si>
    <t>560    120</t>
  </si>
  <si>
    <t>105   -171</t>
  </si>
  <si>
    <t>954    536</t>
  </si>
  <si>
    <t>583      0</t>
  </si>
  <si>
    <t>746      0</t>
  </si>
  <si>
    <t>470    170</t>
  </si>
  <si>
    <t>523    502</t>
  </si>
  <si>
    <t>0   -486</t>
  </si>
  <si>
    <t>0   -107</t>
  </si>
  <si>
    <t>397 -82607</t>
  </si>
  <si>
    <t>641  -1216</t>
  </si>
  <si>
    <t>132    124</t>
  </si>
  <si>
    <t>167   -203</t>
  </si>
  <si>
    <t>430   -125</t>
  </si>
  <si>
    <t>545    387</t>
  </si>
  <si>
    <t>-10      0</t>
  </si>
  <si>
    <t>570    327</t>
  </si>
  <si>
    <t>858   -120</t>
  </si>
  <si>
    <t>968    258</t>
  </si>
  <si>
    <t>484   -518</t>
  </si>
  <si>
    <t>602    337</t>
  </si>
  <si>
    <t>-17    244</t>
  </si>
  <si>
    <t>233      0</t>
  </si>
  <si>
    <t>0    -29</t>
  </si>
  <si>
    <t>388   -381</t>
  </si>
  <si>
    <t>979      0</t>
  </si>
  <si>
    <t>400      0</t>
  </si>
  <si>
    <t>654   -349</t>
  </si>
  <si>
    <t>0   -327</t>
  </si>
  <si>
    <t>084   -364</t>
  </si>
  <si>
    <t>231  -3643</t>
  </si>
  <si>
    <t>0  -4358</t>
  </si>
  <si>
    <t>170   -119</t>
  </si>
  <si>
    <t>-2      0</t>
  </si>
  <si>
    <t>316   -236</t>
  </si>
  <si>
    <t>322  12354</t>
  </si>
  <si>
    <t>513   -230</t>
  </si>
  <si>
    <t>0 -10683</t>
  </si>
  <si>
    <t>0   1857</t>
  </si>
  <si>
    <t>0   1400</t>
  </si>
  <si>
    <t>0  -2635</t>
  </si>
  <si>
    <t>0   -869</t>
  </si>
  <si>
    <t>0   1352</t>
  </si>
  <si>
    <t>326   1132</t>
  </si>
  <si>
    <t>0   2067</t>
  </si>
  <si>
    <t>312   4090</t>
  </si>
  <si>
    <t>280   -109</t>
  </si>
  <si>
    <t>0    363</t>
  </si>
  <si>
    <t>123   -131</t>
  </si>
  <si>
    <t>708  -1141</t>
  </si>
  <si>
    <t>045    362</t>
  </si>
  <si>
    <t>380  -2395</t>
  </si>
  <si>
    <t>0  -2819</t>
  </si>
  <si>
    <t>903  -1303</t>
  </si>
  <si>
    <t>904    212</t>
  </si>
  <si>
    <t>-57      0</t>
  </si>
  <si>
    <t>082  -1602</t>
  </si>
  <si>
    <t>308  -2740</t>
  </si>
  <si>
    <t>230      0</t>
  </si>
  <si>
    <t>789  -2359</t>
  </si>
  <si>
    <t>949   1004</t>
  </si>
  <si>
    <t>534      0</t>
  </si>
  <si>
    <t>793   5580</t>
  </si>
  <si>
    <t>725   -106</t>
  </si>
  <si>
    <t>458    162</t>
  </si>
  <si>
    <t>807   -547</t>
  </si>
  <si>
    <t>283   -183</t>
  </si>
  <si>
    <t>761  -1190</t>
  </si>
  <si>
    <t>0   -130</t>
  </si>
  <si>
    <t>410  -1061</t>
  </si>
  <si>
    <t>049   7644</t>
  </si>
  <si>
    <t>460    144</t>
  </si>
  <si>
    <t>161  -2977</t>
  </si>
  <si>
    <t>947   -659</t>
  </si>
  <si>
    <t>336   -469</t>
  </si>
  <si>
    <t>232  -8006</t>
  </si>
  <si>
    <t>58     85</t>
  </si>
  <si>
    <t>-35      0</t>
  </si>
  <si>
    <t>678   1187</t>
  </si>
  <si>
    <t>0   1934</t>
  </si>
  <si>
    <t>113  -1501</t>
  </si>
  <si>
    <t>371    850</t>
  </si>
  <si>
    <t>0   1583</t>
  </si>
  <si>
    <t>0   2335</t>
  </si>
  <si>
    <t>94   -942</t>
  </si>
  <si>
    <t>0    859</t>
  </si>
  <si>
    <t>0   2151</t>
  </si>
  <si>
    <t>0    -82</t>
  </si>
  <si>
    <t>0    709</t>
  </si>
  <si>
    <t>0  -1325</t>
  </si>
  <si>
    <t>339    341</t>
  </si>
  <si>
    <t>0  -2212</t>
  </si>
  <si>
    <t>472 -25535</t>
  </si>
  <si>
    <t>0  -2946</t>
  </si>
  <si>
    <t>008   -670</t>
  </si>
  <si>
    <t>730   -249</t>
  </si>
  <si>
    <t>0   -373</t>
  </si>
  <si>
    <t>0   -335</t>
  </si>
  <si>
    <t>811  -1602</t>
  </si>
  <si>
    <t>76     81</t>
  </si>
  <si>
    <t>0  -1693</t>
  </si>
  <si>
    <t>0 -34996</t>
  </si>
  <si>
    <t>257      0</t>
  </si>
  <si>
    <t>0   -165</t>
  </si>
  <si>
    <t>192   -314</t>
  </si>
  <si>
    <t>948    -44</t>
  </si>
  <si>
    <t>205   -214</t>
  </si>
  <si>
    <t>164   -179</t>
  </si>
  <si>
    <t>275   1293</t>
  </si>
  <si>
    <t>288  -4670</t>
  </si>
  <si>
    <t>0    735</t>
  </si>
  <si>
    <t>535    898</t>
  </si>
  <si>
    <t>15    475</t>
  </si>
  <si>
    <t>516      0</t>
  </si>
  <si>
    <t>190   7946</t>
  </si>
  <si>
    <t>0   2138</t>
  </si>
  <si>
    <t>062   6462</t>
  </si>
  <si>
    <t>309    504</t>
  </si>
  <si>
    <t>303   5798</t>
  </si>
  <si>
    <t>109   7047</t>
  </si>
  <si>
    <t>0    740</t>
  </si>
  <si>
    <t>0    235</t>
  </si>
  <si>
    <t>0   7873</t>
  </si>
  <si>
    <t>0   2119</t>
  </si>
  <si>
    <t>0   -580</t>
  </si>
  <si>
    <t>379  -4133</t>
  </si>
  <si>
    <t>243  11853</t>
  </si>
  <si>
    <t>171   -191</t>
  </si>
  <si>
    <t>252     34</t>
  </si>
  <si>
    <t>160    328</t>
  </si>
  <si>
    <t>0   1860</t>
  </si>
  <si>
    <t>478   -230</t>
  </si>
  <si>
    <t>159   -209</t>
  </si>
  <si>
    <t>286   5611</t>
  </si>
  <si>
    <t>14 -14373</t>
  </si>
  <si>
    <t>0   1264</t>
  </si>
  <si>
    <t>30      0</t>
  </si>
  <si>
    <t>0   1833</t>
  </si>
  <si>
    <t>409    152</t>
  </si>
  <si>
    <t>0   3013</t>
  </si>
  <si>
    <t>359  -2945</t>
  </si>
  <si>
    <t>196  -3896</t>
  </si>
  <si>
    <t>0  -3071</t>
  </si>
  <si>
    <t>193   -781</t>
  </si>
  <si>
    <t>0   2695</t>
  </si>
  <si>
    <t>0  -1733</t>
  </si>
  <si>
    <t>338   -186</t>
  </si>
  <si>
    <t>260    141</t>
  </si>
  <si>
    <t>92   1150</t>
  </si>
  <si>
    <t>425   -301</t>
  </si>
  <si>
    <t>714   -259</t>
  </si>
  <si>
    <t>0   2159</t>
  </si>
  <si>
    <t>256   2652</t>
  </si>
  <si>
    <t>611    -35</t>
  </si>
  <si>
    <t>0   1547</t>
  </si>
  <si>
    <t>684  -1678</t>
  </si>
  <si>
    <t>0  -1633</t>
  </si>
  <si>
    <t>883  -3721</t>
  </si>
  <si>
    <t>473      0</t>
  </si>
  <si>
    <t>0    544</t>
  </si>
  <si>
    <t>0   -153</t>
  </si>
  <si>
    <t>0  -2286</t>
  </si>
  <si>
    <t>631      0</t>
  </si>
  <si>
    <t>0    165</t>
  </si>
  <si>
    <t>303    564</t>
  </si>
  <si>
    <t>94      0</t>
  </si>
  <si>
    <t>178    362</t>
  </si>
  <si>
    <t>324   -119</t>
  </si>
  <si>
    <t>852    -60</t>
  </si>
  <si>
    <t>720  -1671</t>
  </si>
  <si>
    <t>0    354</t>
  </si>
  <si>
    <t>191   -349</t>
  </si>
  <si>
    <t>0  -3483</t>
  </si>
  <si>
    <t>0  -7058</t>
  </si>
  <si>
    <t>073      0</t>
  </si>
  <si>
    <t>904      0</t>
  </si>
  <si>
    <t>0    353</t>
  </si>
  <si>
    <t>237      0</t>
  </si>
  <si>
    <t>592    574</t>
  </si>
  <si>
    <t>323  -1383</t>
  </si>
  <si>
    <t>472    766</t>
  </si>
  <si>
    <t>711  -8334</t>
  </si>
  <si>
    <t>361   3036</t>
  </si>
  <si>
    <t>0    348</t>
  </si>
  <si>
    <t>0  -1813</t>
  </si>
  <si>
    <t>144   7549</t>
  </si>
  <si>
    <t>0 -14238</t>
  </si>
  <si>
    <t>270   -588</t>
  </si>
  <si>
    <t>132   4007</t>
  </si>
  <si>
    <t>488   -387</t>
  </si>
  <si>
    <t>0 -18979</t>
  </si>
  <si>
    <t>443   7404</t>
  </si>
  <si>
    <t>160  10975</t>
  </si>
  <si>
    <t>902   -386</t>
  </si>
  <si>
    <t>622   -518</t>
  </si>
  <si>
    <t>0   -455</t>
  </si>
  <si>
    <t>438      0</t>
  </si>
  <si>
    <t>0   -649</t>
  </si>
  <si>
    <t>349   -250</t>
  </si>
  <si>
    <t>0   1351</t>
  </si>
  <si>
    <t>141  -2282</t>
  </si>
  <si>
    <t>494   4948</t>
  </si>
  <si>
    <t>0   1399</t>
  </si>
  <si>
    <t>225   -956</t>
  </si>
  <si>
    <t>0  -1039</t>
  </si>
  <si>
    <t>58   -419</t>
  </si>
  <si>
    <t>489    850</t>
  </si>
  <si>
    <t>0    236</t>
  </si>
  <si>
    <t>357   -850</t>
  </si>
  <si>
    <t>737 -10586</t>
  </si>
  <si>
    <t>107   -584</t>
  </si>
  <si>
    <t>0    126</t>
  </si>
  <si>
    <t>201   -502</t>
  </si>
  <si>
    <t>0  -2584</t>
  </si>
  <si>
    <t>0  -1600</t>
  </si>
  <si>
    <t>0    -79</t>
  </si>
  <si>
    <t>87   1411</t>
  </si>
  <si>
    <t>0   -755</t>
  </si>
  <si>
    <t>001  18104</t>
  </si>
  <si>
    <t>020  15305</t>
  </si>
  <si>
    <t>0   -395</t>
  </si>
  <si>
    <t>0  -1529</t>
  </si>
  <si>
    <t>0  -2074</t>
  </si>
  <si>
    <t>631    139</t>
  </si>
  <si>
    <t>161     22</t>
  </si>
  <si>
    <t>432      0</t>
  </si>
  <si>
    <t>035   3778</t>
  </si>
  <si>
    <t>394   2043</t>
  </si>
  <si>
    <t>563      0</t>
  </si>
  <si>
    <t>412  -3015</t>
  </si>
  <si>
    <t>838      0</t>
  </si>
  <si>
    <t>576   -427</t>
  </si>
  <si>
    <t>0  -2141</t>
  </si>
  <si>
    <t>0     82</t>
  </si>
  <si>
    <t>174    168</t>
  </si>
  <si>
    <t>0   -118</t>
  </si>
  <si>
    <t>741   1911</t>
  </si>
  <si>
    <t>873    -37</t>
  </si>
  <si>
    <t>0   2621</t>
  </si>
  <si>
    <t>801   -116</t>
  </si>
  <si>
    <t>626  -2547</t>
  </si>
  <si>
    <t>508    -71</t>
  </si>
  <si>
    <t>68   1204</t>
  </si>
  <si>
    <t>174   1181</t>
  </si>
  <si>
    <t>193  -2961</t>
  </si>
  <si>
    <t>422    503</t>
  </si>
  <si>
    <t>289  -1614</t>
  </si>
  <si>
    <t>616      0</t>
  </si>
  <si>
    <t>351   1724</t>
  </si>
  <si>
    <t>682    114</t>
  </si>
  <si>
    <t>898  44625</t>
  </si>
  <si>
    <t>667   -823</t>
  </si>
  <si>
    <t>47   -986</t>
  </si>
  <si>
    <t>610    442</t>
  </si>
  <si>
    <t>860   1054</t>
  </si>
  <si>
    <t>644     -1</t>
  </si>
  <si>
    <t>0   -633</t>
  </si>
  <si>
    <t>866     63</t>
  </si>
  <si>
    <t>0   -451</t>
  </si>
  <si>
    <t>299  -2917</t>
  </si>
  <si>
    <t>0   -790</t>
  </si>
  <si>
    <t>-72    391</t>
  </si>
  <si>
    <t>456      0</t>
  </si>
  <si>
    <t>935  12963</t>
  </si>
  <si>
    <t>0    828</t>
  </si>
  <si>
    <t>392   -728</t>
  </si>
  <si>
    <t>081    849</t>
  </si>
  <si>
    <t>0    994</t>
  </si>
  <si>
    <t>514  -2285</t>
  </si>
  <si>
    <t>464   -536</t>
  </si>
  <si>
    <t>0  11537</t>
  </si>
  <si>
    <t>887  30611</t>
  </si>
  <si>
    <t>095   -674</t>
  </si>
  <si>
    <t>219   -800</t>
  </si>
  <si>
    <t>55    156</t>
  </si>
  <si>
    <t>274    708</t>
  </si>
  <si>
    <t>31     30</t>
  </si>
  <si>
    <t>0   -334</t>
  </si>
  <si>
    <t>172  -1746</t>
  </si>
  <si>
    <t>0    888</t>
  </si>
  <si>
    <t>136   -813</t>
  </si>
  <si>
    <t>0    259</t>
  </si>
  <si>
    <t>0  -3541</t>
  </si>
  <si>
    <t>0   -314</t>
  </si>
  <si>
    <t>049   -785</t>
  </si>
  <si>
    <t>0   -830</t>
  </si>
  <si>
    <t>554  47939</t>
  </si>
  <si>
    <t>026  18865</t>
  </si>
  <si>
    <t>640   2205</t>
  </si>
  <si>
    <t>463    -14</t>
  </si>
  <si>
    <t>0   -368</t>
  </si>
  <si>
    <t>397     60</t>
  </si>
  <si>
    <t>196    603</t>
  </si>
  <si>
    <t>952   1382</t>
  </si>
  <si>
    <t>547      0</t>
  </si>
  <si>
    <t>653  -3777</t>
  </si>
  <si>
    <t>817      0</t>
  </si>
  <si>
    <t>146    803</t>
  </si>
  <si>
    <t>312    457</t>
  </si>
  <si>
    <t>717    740</t>
  </si>
  <si>
    <t>047  -2044</t>
  </si>
  <si>
    <t>638   1251</t>
  </si>
  <si>
    <t>651   -314</t>
  </si>
  <si>
    <t>946  49949</t>
  </si>
  <si>
    <t>327     39</t>
  </si>
  <si>
    <t>118    886</t>
  </si>
  <si>
    <t>238      3</t>
  </si>
  <si>
    <t>0    188</t>
  </si>
  <si>
    <t>471   2216</t>
  </si>
  <si>
    <t>155   -836</t>
  </si>
  <si>
    <t>634    178</t>
  </si>
  <si>
    <t>25   -606</t>
  </si>
  <si>
    <t>421      0</t>
  </si>
  <si>
    <t>0   -937</t>
  </si>
  <si>
    <t>545    -19</t>
  </si>
  <si>
    <t>524    193</t>
  </si>
  <si>
    <t>732      0</t>
  </si>
  <si>
    <t>243   -547</t>
  </si>
  <si>
    <t>614   -841</t>
  </si>
  <si>
    <t>565      0</t>
  </si>
  <si>
    <t>310  -1013</t>
  </si>
  <si>
    <t>242    478</t>
  </si>
  <si>
    <t>379  12657</t>
  </si>
  <si>
    <t>233    -10</t>
  </si>
  <si>
    <t>055   -951</t>
  </si>
  <si>
    <t>289   -324</t>
  </si>
  <si>
    <t>265   -183</t>
  </si>
  <si>
    <t>0    394</t>
  </si>
  <si>
    <t>053   -742</t>
  </si>
  <si>
    <t>662   -457</t>
  </si>
  <si>
    <t>276   -107</t>
  </si>
  <si>
    <t>238   -556</t>
  </si>
  <si>
    <t>0    248</t>
  </si>
  <si>
    <t>0  -3006</t>
  </si>
  <si>
    <t>0   -634</t>
  </si>
  <si>
    <t>189    709</t>
  </si>
  <si>
    <t>0   -930</t>
  </si>
  <si>
    <t>677  19792</t>
  </si>
  <si>
    <t>860  17579</t>
  </si>
  <si>
    <t>701  23277</t>
  </si>
  <si>
    <t>0   1314</t>
  </si>
  <si>
    <t>-8     71</t>
  </si>
  <si>
    <t>382  16250</t>
  </si>
  <si>
    <t>0  11303</t>
  </si>
  <si>
    <t>705  -1986</t>
  </si>
  <si>
    <t>260    437</t>
  </si>
  <si>
    <t>0  13076</t>
  </si>
  <si>
    <t>823  14625</t>
  </si>
  <si>
    <t>379  17304</t>
  </si>
  <si>
    <t>0     34</t>
  </si>
  <si>
    <t>217    179</t>
  </si>
  <si>
    <t>909     42</t>
  </si>
  <si>
    <t>355  -1694</t>
  </si>
  <si>
    <t>24    -23</t>
  </si>
  <si>
    <t>602    303</t>
  </si>
  <si>
    <t>0   -840</t>
  </si>
  <si>
    <t>455   -143</t>
  </si>
  <si>
    <t>840  -2232</t>
  </si>
  <si>
    <t>0  -1613</t>
  </si>
  <si>
    <t>051  -5384</t>
  </si>
  <si>
    <t>0  -1183</t>
  </si>
  <si>
    <t>206  -1280</t>
  </si>
  <si>
    <t>386      0</t>
  </si>
  <si>
    <t>0    -72</t>
  </si>
  <si>
    <t>724  21826</t>
  </si>
  <si>
    <t>173    599</t>
  </si>
  <si>
    <t>149     26</t>
  </si>
  <si>
    <t>0    339</t>
  </si>
  <si>
    <t>101   1240</t>
  </si>
  <si>
    <t>029   -172</t>
  </si>
  <si>
    <t>583     80</t>
  </si>
  <si>
    <t>097      0</t>
  </si>
  <si>
    <t>79   -104</t>
  </si>
  <si>
    <t>0    307</t>
  </si>
  <si>
    <t>82     23</t>
  </si>
  <si>
    <t>835  -1133</t>
  </si>
  <si>
    <t>488   1764</t>
  </si>
  <si>
    <t>378   -757</t>
  </si>
  <si>
    <t>212   -362</t>
  </si>
  <si>
    <t>013   1121</t>
  </si>
  <si>
    <t>845  10390</t>
  </si>
  <si>
    <t>152     45</t>
  </si>
  <si>
    <t>248  12996</t>
  </si>
  <si>
    <t>0    131</t>
  </si>
  <si>
    <t>0   -429</t>
  </si>
  <si>
    <t>65      0</t>
  </si>
  <si>
    <t>56      0</t>
  </si>
  <si>
    <t>0    720</t>
  </si>
  <si>
    <t>213      0</t>
  </si>
  <si>
    <t>111   -815</t>
  </si>
  <si>
    <t>210  -1455</t>
  </si>
  <si>
    <t>508   1109</t>
  </si>
  <si>
    <t>544    515</t>
  </si>
  <si>
    <t>53      0</t>
  </si>
  <si>
    <t>540      0</t>
  </si>
  <si>
    <t>818  -2755</t>
  </si>
  <si>
    <t>732   -571</t>
  </si>
  <si>
    <t>0     10</t>
  </si>
  <si>
    <t>22     71</t>
  </si>
  <si>
    <t>296  16010</t>
  </si>
  <si>
    <t>318   -813</t>
  </si>
  <si>
    <t>20   -429</t>
  </si>
  <si>
    <t>-16     72</t>
  </si>
  <si>
    <t>0    410</t>
  </si>
  <si>
    <t>-13     30</t>
  </si>
  <si>
    <t>0    212</t>
  </si>
  <si>
    <t>359   -347</t>
  </si>
  <si>
    <t>0   -565</t>
  </si>
  <si>
    <t>077    904</t>
  </si>
  <si>
    <t>0  -2688</t>
  </si>
  <si>
    <t>034   -611</t>
  </si>
  <si>
    <t>0   -587</t>
  </si>
  <si>
    <t>050  33424</t>
  </si>
  <si>
    <t>312  14733</t>
  </si>
  <si>
    <t>966  19534</t>
  </si>
  <si>
    <t>71     82</t>
  </si>
  <si>
    <t>141     40</t>
  </si>
  <si>
    <t>662   -494</t>
  </si>
  <si>
    <t>100   -514</t>
  </si>
  <si>
    <t>15    510</t>
  </si>
  <si>
    <t>635   -451</t>
  </si>
  <si>
    <t>250   -157</t>
  </si>
  <si>
    <t>0     28</t>
  </si>
  <si>
    <t>399      0</t>
  </si>
  <si>
    <t>0    -78</t>
  </si>
  <si>
    <t>0 -16357</t>
  </si>
  <si>
    <t>238   9380</t>
  </si>
  <si>
    <t>0   3356</t>
  </si>
  <si>
    <t>590  -3159</t>
  </si>
  <si>
    <t>632  -1160</t>
  </si>
  <si>
    <t>0  -1161</t>
  </si>
  <si>
    <t>598    389</t>
  </si>
  <si>
    <t>0  11776</t>
  </si>
  <si>
    <t>379  18511</t>
  </si>
  <si>
    <t>682      0</t>
  </si>
  <si>
    <t>633    180</t>
  </si>
  <si>
    <t>941    -77</t>
  </si>
  <si>
    <t>262   -492</t>
  </si>
  <si>
    <t>126    -27</t>
  </si>
  <si>
    <t>952      4</t>
  </si>
  <si>
    <t>0   -296</t>
  </si>
  <si>
    <t>495    -23</t>
  </si>
  <si>
    <t>0   -140</t>
  </si>
  <si>
    <t>464      0</t>
  </si>
  <si>
    <t>954  -3306</t>
  </si>
  <si>
    <t>0    541</t>
  </si>
  <si>
    <t>875    277</t>
  </si>
  <si>
    <t>568  17687</t>
  </si>
  <si>
    <t>930  15377</t>
  </si>
  <si>
    <t>0    840</t>
  </si>
  <si>
    <t>787  -2168</t>
  </si>
  <si>
    <t>825  -1682</t>
  </si>
  <si>
    <t>720   1369</t>
  </si>
  <si>
    <t>245    543</t>
  </si>
  <si>
    <t>10      0</t>
  </si>
  <si>
    <t>314  -4206</t>
  </si>
  <si>
    <t>691   -202</t>
  </si>
  <si>
    <t>70    107</t>
  </si>
  <si>
    <t>0   -141</t>
  </si>
  <si>
    <t>756  22657</t>
  </si>
  <si>
    <t>876  34574</t>
  </si>
  <si>
    <t>0   -705</t>
  </si>
  <si>
    <t>97      0</t>
  </si>
  <si>
    <t>0    478</t>
  </si>
  <si>
    <t>752    931</t>
  </si>
  <si>
    <t>340    635</t>
  </si>
  <si>
    <t>437  -1686</t>
  </si>
  <si>
    <t>969  -1344</t>
  </si>
  <si>
    <t>117      0</t>
  </si>
  <si>
    <t>089  -5170</t>
  </si>
  <si>
    <t>644      0</t>
  </si>
  <si>
    <t>465   -281</t>
  </si>
  <si>
    <t>0  -1641</t>
  </si>
  <si>
    <t>0   -184</t>
  </si>
  <si>
    <t>-49     64</t>
  </si>
  <si>
    <t>0    -46</t>
  </si>
  <si>
    <t>324  23809</t>
  </si>
  <si>
    <t>604  24295</t>
  </si>
  <si>
    <t>0    230</t>
  </si>
  <si>
    <t>212    225</t>
  </si>
  <si>
    <t>341    127</t>
  </si>
  <si>
    <t>377  -1443</t>
  </si>
  <si>
    <t>770      3</t>
  </si>
  <si>
    <t>0  -1532</t>
  </si>
  <si>
    <t>36     59</t>
  </si>
  <si>
    <t>439  -2699</t>
  </si>
  <si>
    <t>0  -3069</t>
  </si>
  <si>
    <t>916  -4615</t>
  </si>
  <si>
    <t>0   -724</t>
  </si>
  <si>
    <t>220  -1398</t>
  </si>
  <si>
    <t>0   -181</t>
  </si>
  <si>
    <t>152  26329</t>
  </si>
  <si>
    <t>725  12989</t>
  </si>
  <si>
    <t>319 -12545</t>
  </si>
  <si>
    <t>425   -288</t>
  </si>
  <si>
    <t>623  -3262</t>
  </si>
  <si>
    <t>280   -922</t>
  </si>
  <si>
    <t>543  -3132</t>
  </si>
  <si>
    <t>117     93</t>
  </si>
  <si>
    <t>87    874</t>
  </si>
  <si>
    <t>0  -3175</t>
  </si>
  <si>
    <t>614      0</t>
  </si>
  <si>
    <t>0   1885</t>
  </si>
  <si>
    <t>837   -526</t>
  </si>
  <si>
    <t>0  -3264</t>
  </si>
  <si>
    <t>091   -655</t>
  </si>
  <si>
    <t>133  -2519</t>
  </si>
  <si>
    <t>154  -1322</t>
  </si>
  <si>
    <t>0  -1358</t>
  </si>
  <si>
    <t>968   3490</t>
  </si>
  <si>
    <t>030  -5200</t>
  </si>
  <si>
    <t>637   -470</t>
  </si>
  <si>
    <t>654   3319</t>
  </si>
  <si>
    <t>0  -3881</t>
  </si>
  <si>
    <t>962  -3207</t>
  </si>
  <si>
    <t>288   1034</t>
  </si>
  <si>
    <t>0    468</t>
  </si>
  <si>
    <t>921  -1607</t>
  </si>
  <si>
    <t>136  -1223</t>
  </si>
  <si>
    <t>0   1395</t>
  </si>
  <si>
    <t>0    974</t>
  </si>
  <si>
    <t>0   -173</t>
  </si>
  <si>
    <t>0   3498</t>
  </si>
  <si>
    <t>325 -12142</t>
  </si>
  <si>
    <t>0    185</t>
  </si>
  <si>
    <t>072   -289</t>
  </si>
  <si>
    <t>378   -147</t>
  </si>
  <si>
    <t>488    531</t>
  </si>
  <si>
    <t>179   1721</t>
  </si>
  <si>
    <t>0  -2026</t>
  </si>
  <si>
    <t>0   -446</t>
  </si>
  <si>
    <t>0  -1347</t>
  </si>
  <si>
    <t>0   1101</t>
  </si>
  <si>
    <t>986  18306</t>
  </si>
  <si>
    <t>485   2704</t>
  </si>
  <si>
    <t>167  -8449</t>
  </si>
  <si>
    <t>199     17</t>
  </si>
  <si>
    <t>-74      0</t>
  </si>
  <si>
    <t>721      0</t>
  </si>
  <si>
    <t>518  -3089</t>
  </si>
  <si>
    <t>546  12413</t>
  </si>
  <si>
    <t>0  -5190</t>
  </si>
  <si>
    <t>0  11797</t>
  </si>
  <si>
    <t>0   -312</t>
  </si>
  <si>
    <t>456   2092</t>
  </si>
  <si>
    <t>229    672</t>
  </si>
  <si>
    <t>954    485</t>
  </si>
  <si>
    <t>135     47</t>
  </si>
  <si>
    <t>492     62</t>
  </si>
  <si>
    <t>552   8039</t>
  </si>
  <si>
    <t>783  -1862</t>
  </si>
  <si>
    <t>608      0</t>
  </si>
  <si>
    <t>325  16799</t>
  </si>
  <si>
    <t>677      0</t>
  </si>
  <si>
    <t>0  -1164</t>
  </si>
  <si>
    <t>216   7104</t>
  </si>
  <si>
    <t>932    -29</t>
  </si>
  <si>
    <t>519  13084</t>
  </si>
  <si>
    <t>810   5446</t>
  </si>
  <si>
    <t>438  21049</t>
  </si>
  <si>
    <t>572   1053</t>
  </si>
  <si>
    <t>117   1750</t>
  </si>
  <si>
    <t>205  -1513</t>
  </si>
  <si>
    <t>678  -4646</t>
  </si>
  <si>
    <t>843   1521</t>
  </si>
  <si>
    <t>0   1635</t>
  </si>
  <si>
    <t>650      0</t>
  </si>
  <si>
    <t>483    284</t>
  </si>
  <si>
    <t>27   -725</t>
  </si>
  <si>
    <t>490   1121</t>
  </si>
  <si>
    <t>138    204</t>
  </si>
  <si>
    <t>117  -1574</t>
  </si>
  <si>
    <t>37   -357</t>
  </si>
  <si>
    <t>115    117</t>
  </si>
  <si>
    <t>0  -2434</t>
  </si>
  <si>
    <t>503   3226</t>
  </si>
  <si>
    <t>0   -595</t>
  </si>
  <si>
    <t>981  20049</t>
  </si>
  <si>
    <t>761      0</t>
  </si>
  <si>
    <t>0    163</t>
  </si>
  <si>
    <t>836   2470</t>
  </si>
  <si>
    <t>364  -8238</t>
  </si>
  <si>
    <t>288  36132</t>
  </si>
  <si>
    <t>254   -296</t>
  </si>
  <si>
    <t>686      0</t>
  </si>
  <si>
    <t>673  -2935</t>
  </si>
  <si>
    <t>0   1250</t>
  </si>
  <si>
    <t>879    519</t>
  </si>
  <si>
    <t>443  -2381</t>
  </si>
  <si>
    <t>0   1093</t>
  </si>
  <si>
    <t>932   4862</t>
  </si>
  <si>
    <t>996   2737</t>
  </si>
  <si>
    <t>010   3898</t>
  </si>
  <si>
    <t>532  -2256</t>
  </si>
  <si>
    <t>906   3707</t>
  </si>
  <si>
    <t>065   3841</t>
  </si>
  <si>
    <t>962   9985</t>
  </si>
  <si>
    <t>921   -760</t>
  </si>
  <si>
    <t>0   -795</t>
  </si>
  <si>
    <t>251  10843</t>
  </si>
  <si>
    <t>824   7662</t>
  </si>
  <si>
    <t>0   -531</t>
  </si>
  <si>
    <t>0  13516</t>
  </si>
  <si>
    <t>0   -658</t>
  </si>
  <si>
    <t>0   -530</t>
  </si>
  <si>
    <t>116   -777</t>
  </si>
  <si>
    <t>135   2104</t>
  </si>
  <si>
    <t>233    911</t>
  </si>
  <si>
    <t>361    649</t>
  </si>
  <si>
    <t>476   1482</t>
  </si>
  <si>
    <t>064    575</t>
  </si>
  <si>
    <t>954     75</t>
  </si>
  <si>
    <t>0  -6647</t>
  </si>
  <si>
    <t>182   -258</t>
  </si>
  <si>
    <t>163   7806</t>
  </si>
  <si>
    <t>593  -3563</t>
  </si>
  <si>
    <t>484      0</t>
  </si>
  <si>
    <t>598   6612</t>
  </si>
  <si>
    <t>376      0</t>
  </si>
  <si>
    <t>-26  10147</t>
  </si>
  <si>
    <t>402  -1240</t>
  </si>
  <si>
    <t>897   9169</t>
  </si>
  <si>
    <t>547  -2494</t>
  </si>
  <si>
    <t>312      0</t>
  </si>
  <si>
    <t>607  12995</t>
  </si>
  <si>
    <t>434  -6687</t>
  </si>
  <si>
    <t>280   2581</t>
  </si>
  <si>
    <t>999  -4420</t>
  </si>
  <si>
    <t>600   1634</t>
  </si>
  <si>
    <t>260   3001</t>
  </si>
  <si>
    <t>901    314</t>
  </si>
  <si>
    <t>736    246</t>
  </si>
  <si>
    <t>0  -5932</t>
  </si>
  <si>
    <t>828   -119</t>
  </si>
  <si>
    <t>663   7930</t>
  </si>
  <si>
    <t>406  -2316</t>
  </si>
  <si>
    <t>201  12047</t>
  </si>
  <si>
    <t>986      0</t>
  </si>
  <si>
    <t>0    423</t>
  </si>
  <si>
    <t>687  13025</t>
  </si>
  <si>
    <t>681  -1486</t>
  </si>
  <si>
    <t>798  10073</t>
  </si>
  <si>
    <t>417  -1783</t>
  </si>
  <si>
    <t>674  15069</t>
  </si>
  <si>
    <t>451  -6354</t>
  </si>
  <si>
    <t>219   1989</t>
  </si>
  <si>
    <t>832  -3975</t>
  </si>
  <si>
    <t>387   -469</t>
  </si>
  <si>
    <t>099   1957</t>
  </si>
  <si>
    <t>167   -943</t>
  </si>
  <si>
    <t>036   4567</t>
  </si>
  <si>
    <t>591   -358</t>
  </si>
  <si>
    <t>0   -473</t>
  </si>
  <si>
    <t>422   1998</t>
  </si>
  <si>
    <t>429    105</t>
  </si>
  <si>
    <t>0  -1268</t>
  </si>
  <si>
    <t>022   3580</t>
  </si>
  <si>
    <t>0     75</t>
  </si>
  <si>
    <t>348 -15178</t>
  </si>
  <si>
    <t>0    280</t>
  </si>
  <si>
    <t>0   3292</t>
  </si>
  <si>
    <t>0   3354</t>
  </si>
  <si>
    <t>0  -1097</t>
  </si>
  <si>
    <t>460   -391</t>
  </si>
  <si>
    <t>093   3160</t>
  </si>
  <si>
    <t>97   5286</t>
  </si>
  <si>
    <t>030   1810</t>
  </si>
  <si>
    <t>034   2765</t>
  </si>
  <si>
    <t>169  26790</t>
  </si>
  <si>
    <t>531   5667</t>
  </si>
  <si>
    <t>493      0</t>
  </si>
  <si>
    <t>141   6429</t>
  </si>
  <si>
    <t>744 -33827</t>
  </si>
  <si>
    <t>265    721</t>
  </si>
  <si>
    <t>704      0</t>
  </si>
  <si>
    <t>0   2244</t>
  </si>
  <si>
    <t>668  -1249</t>
  </si>
  <si>
    <t>719   2505</t>
  </si>
  <si>
    <t>964   2189</t>
  </si>
  <si>
    <t>855  44048</t>
  </si>
  <si>
    <t>0   1418</t>
  </si>
  <si>
    <t>942   -999</t>
  </si>
  <si>
    <t>795     22</t>
  </si>
  <si>
    <t>273  -1656</t>
  </si>
  <si>
    <t>329   1651</t>
  </si>
  <si>
    <t>516    467</t>
  </si>
  <si>
    <t>0  -1338</t>
  </si>
  <si>
    <t>259   -726</t>
  </si>
  <si>
    <t>225    876</t>
  </si>
  <si>
    <t>605  -2605</t>
  </si>
  <si>
    <t>0    453</t>
  </si>
  <si>
    <t>157  -2540</t>
  </si>
  <si>
    <t>729      0</t>
  </si>
  <si>
    <t>011    184</t>
  </si>
  <si>
    <t>385   -522</t>
  </si>
  <si>
    <t>579  24112</t>
  </si>
  <si>
    <t>915   -518</t>
  </si>
  <si>
    <t>777   -167</t>
  </si>
  <si>
    <t>0   2787</t>
  </si>
  <si>
    <t>769   1049</t>
  </si>
  <si>
    <t>224  -1897</t>
  </si>
  <si>
    <t>113    573</t>
  </si>
  <si>
    <t>587      0</t>
  </si>
  <si>
    <t>586      0</t>
  </si>
  <si>
    <t>37  -3909</t>
  </si>
  <si>
    <t>182    305</t>
  </si>
  <si>
    <t>584   -180</t>
  </si>
  <si>
    <t>321   -282</t>
  </si>
  <si>
    <t>295  -1989</t>
  </si>
  <si>
    <t>666   1450</t>
  </si>
  <si>
    <t>032   -414</t>
  </si>
  <si>
    <t>339    618</t>
  </si>
  <si>
    <t>227 -13467</t>
  </si>
  <si>
    <t>785  14899</t>
  </si>
  <si>
    <t>0   -191</t>
  </si>
  <si>
    <t>0   -237</t>
  </si>
  <si>
    <t>0  -1115</t>
  </si>
  <si>
    <t>0   -866</t>
  </si>
  <si>
    <t>884    -54</t>
  </si>
  <si>
    <t>86   -662</t>
  </si>
  <si>
    <t>768   -248</t>
  </si>
  <si>
    <t>599     41</t>
  </si>
  <si>
    <t>651   1179</t>
  </si>
  <si>
    <t>0     45</t>
  </si>
  <si>
    <t>0   2165</t>
  </si>
  <si>
    <t>66    125</t>
  </si>
  <si>
    <t>297    504</t>
  </si>
  <si>
    <t>377  -2430</t>
  </si>
  <si>
    <t>593  11487</t>
  </si>
  <si>
    <t>575  -1936</t>
  </si>
  <si>
    <t>319   -413</t>
  </si>
  <si>
    <t>693   2135</t>
  </si>
  <si>
    <t>0   -549</t>
  </si>
  <si>
    <t>117    426</t>
  </si>
  <si>
    <t>985   1447</t>
  </si>
  <si>
    <t>0   -265</t>
  </si>
  <si>
    <t>194    657</t>
  </si>
  <si>
    <t>0   1035</t>
  </si>
  <si>
    <t>0    715</t>
  </si>
  <si>
    <t>0   -661</t>
  </si>
  <si>
    <t>0  -9967</t>
  </si>
  <si>
    <t>313  -1348</t>
  </si>
  <si>
    <t>0     -5</t>
  </si>
  <si>
    <t>873  -1319</t>
  </si>
  <si>
    <t>750   -717</t>
  </si>
  <si>
    <t>-12    150</t>
  </si>
  <si>
    <t>284  -1601</t>
  </si>
  <si>
    <t>753  11427</t>
  </si>
  <si>
    <t>101     71</t>
  </si>
  <si>
    <t>106    688</t>
  </si>
  <si>
    <t>0 -12164</t>
  </si>
  <si>
    <t>724    197</t>
  </si>
  <si>
    <t>124   -188</t>
  </si>
  <si>
    <t>769 -16153</t>
  </si>
  <si>
    <t>099   -391</t>
  </si>
  <si>
    <t>315   1322</t>
  </si>
  <si>
    <t>0 -18212</t>
  </si>
  <si>
    <t>0 -13915</t>
  </si>
  <si>
    <t>380     90</t>
  </si>
  <si>
    <t>0 -15796</t>
  </si>
  <si>
    <t>772   1225</t>
  </si>
  <si>
    <t>391  -2593</t>
  </si>
  <si>
    <t>199  -1119</t>
  </si>
  <si>
    <t>0    675</t>
  </si>
  <si>
    <t>165   -592</t>
  </si>
  <si>
    <t>490   8977</t>
  </si>
  <si>
    <t>407  13133</t>
  </si>
  <si>
    <t>0   1079</t>
  </si>
  <si>
    <t>0    -62</t>
  </si>
  <si>
    <t>237   -295</t>
  </si>
  <si>
    <t>388    546</t>
  </si>
  <si>
    <t>178      3</t>
  </si>
  <si>
    <t>460    403</t>
  </si>
  <si>
    <t>0   -523</t>
  </si>
  <si>
    <t>-74    161</t>
  </si>
  <si>
    <t>332   -493</t>
  </si>
  <si>
    <t>0   -659</t>
  </si>
  <si>
    <t>641  -1416</t>
  </si>
  <si>
    <t>090  -2392</t>
  </si>
  <si>
    <t>1    573</t>
  </si>
  <si>
    <t>655   1601</t>
  </si>
  <si>
    <t>422  16459</t>
  </si>
  <si>
    <t>293  23687</t>
  </si>
  <si>
    <t>0   -616</t>
  </si>
  <si>
    <t>0    412</t>
  </si>
  <si>
    <t>0   -575</t>
  </si>
  <si>
    <t>352   1302</t>
  </si>
  <si>
    <t>573   -608</t>
  </si>
  <si>
    <t>412      0</t>
  </si>
  <si>
    <t>568   1349</t>
  </si>
  <si>
    <t>630   -285</t>
  </si>
  <si>
    <t>146      0</t>
  </si>
  <si>
    <t>045   -258</t>
  </si>
  <si>
    <t>915      0</t>
  </si>
  <si>
    <t>614    297</t>
  </si>
  <si>
    <t>0   4779</t>
  </si>
  <si>
    <t>85    271</t>
  </si>
  <si>
    <t>536    420</t>
  </si>
  <si>
    <t>160     -1</t>
  </si>
  <si>
    <t>706  17045</t>
  </si>
  <si>
    <t>586  24814</t>
  </si>
  <si>
    <t>076      0</t>
  </si>
  <si>
    <t>0   -238</t>
  </si>
  <si>
    <t>0   -291</t>
  </si>
  <si>
    <t>389    284</t>
  </si>
  <si>
    <t>618     95</t>
  </si>
  <si>
    <t>17      0</t>
  </si>
  <si>
    <t>455    676</t>
  </si>
  <si>
    <t>009  -1491</t>
  </si>
  <si>
    <t>612    653</t>
  </si>
  <si>
    <t>717    -42</t>
  </si>
  <si>
    <t>0  -1050</t>
  </si>
  <si>
    <t>0   1365</t>
  </si>
  <si>
    <t>3    151</t>
  </si>
  <si>
    <t>341    216</t>
  </si>
  <si>
    <t>556  -2228</t>
  </si>
  <si>
    <t>501  17795</t>
  </si>
  <si>
    <t>771  22102</t>
  </si>
  <si>
    <t>0   1569</t>
  </si>
  <si>
    <t>0   -124</t>
  </si>
  <si>
    <t>1   -268</t>
  </si>
  <si>
    <t>257    444</t>
  </si>
  <si>
    <t>127  -1742</t>
  </si>
  <si>
    <t>39   -949</t>
  </si>
  <si>
    <t>0  -2032</t>
  </si>
  <si>
    <t>577    714</t>
  </si>
  <si>
    <t>546   1211</t>
  </si>
  <si>
    <t>0   -740</t>
  </si>
  <si>
    <t>74  -3507</t>
  </si>
  <si>
    <t>0   -996</t>
  </si>
  <si>
    <t>462  -1299</t>
  </si>
  <si>
    <t>910      0</t>
  </si>
  <si>
    <t>844    427</t>
  </si>
  <si>
    <t>572   -191</t>
  </si>
  <si>
    <t>513  15772</t>
  </si>
  <si>
    <t>082  36964</t>
  </si>
  <si>
    <t>125    -39</t>
  </si>
  <si>
    <t>169   -259</t>
  </si>
  <si>
    <t>572    120</t>
  </si>
  <si>
    <t>620   -225</t>
  </si>
  <si>
    <t>434     40</t>
  </si>
  <si>
    <t>220    175</t>
  </si>
  <si>
    <t>0  -3234</t>
  </si>
  <si>
    <t>143      0</t>
  </si>
  <si>
    <t>0  -2129</t>
  </si>
  <si>
    <t>152   -663</t>
  </si>
  <si>
    <t>0  -1062</t>
  </si>
  <si>
    <t>048   -470</t>
  </si>
  <si>
    <t>922   -103</t>
  </si>
  <si>
    <t>0   -507</t>
  </si>
  <si>
    <t>052  -1594</t>
  </si>
  <si>
    <t>0   1460</t>
  </si>
  <si>
    <t>114   1425</t>
  </si>
  <si>
    <t>277   -713</t>
  </si>
  <si>
    <t>-93    159</t>
  </si>
  <si>
    <t>004   -614</t>
  </si>
  <si>
    <t>-61      0</t>
  </si>
  <si>
    <t>216   -107</t>
  </si>
  <si>
    <t>374   -782</t>
  </si>
  <si>
    <t>149   -407</t>
  </si>
  <si>
    <t>101   -626</t>
  </si>
  <si>
    <t>309  -1178</t>
  </si>
  <si>
    <t>0   -703</t>
  </si>
  <si>
    <t>0   1709</t>
  </si>
  <si>
    <t>0  -3341</t>
  </si>
  <si>
    <t>0  -1760</t>
  </si>
  <si>
    <t>0    706</t>
  </si>
  <si>
    <t>71   1001</t>
  </si>
  <si>
    <t>0  -1176</t>
  </si>
  <si>
    <t>211  -5413</t>
  </si>
  <si>
    <t>473  -2237</t>
  </si>
  <si>
    <t>315   -744</t>
  </si>
  <si>
    <t>408   2053</t>
  </si>
  <si>
    <t>923   -614</t>
  </si>
  <si>
    <t>724   1044</t>
  </si>
  <si>
    <t>0   -470</t>
  </si>
  <si>
    <t>0   1065</t>
  </si>
  <si>
    <t>400    672</t>
  </si>
  <si>
    <t>303     90</t>
  </si>
  <si>
    <t>918   1149</t>
  </si>
  <si>
    <t>348   1246</t>
  </si>
  <si>
    <t>801      0</t>
  </si>
  <si>
    <t>0   -110</t>
  </si>
  <si>
    <t>0   -533</t>
  </si>
  <si>
    <t>590  -1117</t>
  </si>
  <si>
    <t>0   2169</t>
  </si>
  <si>
    <t>320  -1397</t>
  </si>
  <si>
    <t>-12    353</t>
  </si>
  <si>
    <t>603   -414</t>
  </si>
  <si>
    <t>607    490</t>
  </si>
  <si>
    <t>546 -38866</t>
  </si>
  <si>
    <t>944    -86</t>
  </si>
  <si>
    <t>-80     53</t>
  </si>
  <si>
    <t>164   1526</t>
  </si>
  <si>
    <t>526  -1285</t>
  </si>
  <si>
    <t>414   2875</t>
  </si>
  <si>
    <t>905      0</t>
  </si>
  <si>
    <t>835   2558</t>
  </si>
  <si>
    <t>391   -631</t>
  </si>
  <si>
    <t>964      0</t>
  </si>
  <si>
    <t>387   1337</t>
  </si>
  <si>
    <t>885  -1452</t>
  </si>
  <si>
    <t>886      0</t>
  </si>
  <si>
    <t>808    717</t>
  </si>
  <si>
    <t>122    -42</t>
  </si>
  <si>
    <t>911 -21142</t>
  </si>
  <si>
    <t>948   5287</t>
  </si>
  <si>
    <t>630   -319</t>
  </si>
  <si>
    <t>17     43</t>
  </si>
  <si>
    <t>657   -361</t>
  </si>
  <si>
    <t>192    899</t>
  </si>
  <si>
    <t>0   -123</t>
  </si>
  <si>
    <t>161    181</t>
  </si>
  <si>
    <t>397    155</t>
  </si>
  <si>
    <t>435   2688</t>
  </si>
  <si>
    <t>340   -306</t>
  </si>
  <si>
    <t>555    216</t>
  </si>
  <si>
    <t>0   3204</t>
  </si>
  <si>
    <t>764    -84</t>
  </si>
  <si>
    <t>817    262</t>
  </si>
  <si>
    <t>0   4109</t>
  </si>
  <si>
    <t>735      0</t>
  </si>
  <si>
    <t>052    222</t>
  </si>
  <si>
    <t>0   -944</t>
  </si>
  <si>
    <t>815  -1623</t>
  </si>
  <si>
    <t>0   1743</t>
  </si>
  <si>
    <t>703   -827</t>
  </si>
  <si>
    <t>002   -423</t>
  </si>
  <si>
    <t>769  -1125</t>
  </si>
  <si>
    <t>325    229</t>
  </si>
  <si>
    <t>477  47567</t>
  </si>
  <si>
    <t>0    277</t>
  </si>
  <si>
    <t>029   -103</t>
  </si>
  <si>
    <t>634      0</t>
  </si>
  <si>
    <t>136   -217</t>
  </si>
  <si>
    <t>0   -129</t>
  </si>
  <si>
    <t>88    364</t>
  </si>
  <si>
    <t>271    292</t>
  </si>
  <si>
    <t>667  -3571</t>
  </si>
  <si>
    <t>981    708</t>
  </si>
  <si>
    <t>419    116</t>
  </si>
  <si>
    <t>121   -474</t>
  </si>
  <si>
    <t>477    484</t>
  </si>
  <si>
    <t>093   -357</t>
  </si>
  <si>
    <t>016   2055</t>
  </si>
  <si>
    <t>102   -201</t>
  </si>
  <si>
    <t>0     48</t>
  </si>
  <si>
    <t>442   3907</t>
  </si>
  <si>
    <t>18   -997</t>
  </si>
  <si>
    <t>0    970</t>
  </si>
  <si>
    <t>344   1756</t>
  </si>
  <si>
    <t>0    652</t>
  </si>
  <si>
    <t>680   2050</t>
  </si>
  <si>
    <t>0   -710</t>
  </si>
  <si>
    <t>0   1322</t>
  </si>
  <si>
    <t>0  -2939</t>
  </si>
  <si>
    <t>0  -1455</t>
  </si>
  <si>
    <t>0   1457</t>
  </si>
  <si>
    <t>-62    913</t>
  </si>
  <si>
    <t>0  -1088</t>
  </si>
  <si>
    <t>440  -1581</t>
  </si>
  <si>
    <t>761  -8457</t>
  </si>
  <si>
    <t>4   -527</t>
  </si>
  <si>
    <t>94   1480</t>
  </si>
  <si>
    <t>169   -963</t>
  </si>
  <si>
    <t>726    988</t>
  </si>
  <si>
    <t>370    106</t>
  </si>
  <si>
    <t>77    195</t>
  </si>
  <si>
    <t>259   1281</t>
  </si>
  <si>
    <t>596   -658</t>
  </si>
  <si>
    <t>402      0</t>
  </si>
  <si>
    <t>363   2054</t>
  </si>
  <si>
    <t>154   2438</t>
  </si>
  <si>
    <t>788     86</t>
  </si>
  <si>
    <t>624      0</t>
  </si>
  <si>
    <t>445    960</t>
  </si>
  <si>
    <t>993  -1614</t>
  </si>
  <si>
    <t>292      0</t>
  </si>
  <si>
    <t>536    137</t>
  </si>
  <si>
    <t>817    121</t>
  </si>
  <si>
    <t>796  -3503</t>
  </si>
  <si>
    <t>572  25635</t>
  </si>
  <si>
    <t>166   -289</t>
  </si>
  <si>
    <t>17    830</t>
  </si>
  <si>
    <t>769   -235</t>
  </si>
  <si>
    <t>079    751</t>
  </si>
  <si>
    <t>424 -27867</t>
  </si>
  <si>
    <t>628     86</t>
  </si>
  <si>
    <t>0     95</t>
  </si>
  <si>
    <t>364    204</t>
  </si>
  <si>
    <t>415   1364</t>
  </si>
  <si>
    <t>198   -836</t>
  </si>
  <si>
    <t>420   2515</t>
  </si>
  <si>
    <t>0   -248</t>
  </si>
  <si>
    <t>834   2357</t>
  </si>
  <si>
    <t>587    151</t>
  </si>
  <si>
    <t>295   1185</t>
  </si>
  <si>
    <t>657  -1601</t>
  </si>
  <si>
    <t>469    322</t>
  </si>
  <si>
    <t>884     15</t>
  </si>
  <si>
    <t>691  -4294</t>
  </si>
  <si>
    <t>295  26512</t>
  </si>
  <si>
    <t>508   -281</t>
  </si>
  <si>
    <t>108   -181</t>
  </si>
  <si>
    <t>068   -865</t>
  </si>
  <si>
    <t>257    850</t>
  </si>
  <si>
    <t>567    410</t>
  </si>
  <si>
    <t>762   1117</t>
  </si>
  <si>
    <t>78   -421</t>
  </si>
  <si>
    <t>319   2111</t>
  </si>
  <si>
    <t>0    447</t>
  </si>
  <si>
    <t>951   2537</t>
  </si>
  <si>
    <t>0    497</t>
  </si>
  <si>
    <t>465   3298</t>
  </si>
  <si>
    <t>0   -625</t>
  </si>
  <si>
    <t>0   1499</t>
  </si>
  <si>
    <t>0  -7329</t>
  </si>
  <si>
    <t>0  -1397</t>
  </si>
  <si>
    <t>0   2702</t>
  </si>
  <si>
    <t>431    909</t>
  </si>
  <si>
    <t>819  -3112</t>
  </si>
  <si>
    <t>566  -4451</t>
  </si>
  <si>
    <t>229  -2943</t>
  </si>
  <si>
    <t>587  -1880</t>
  </si>
  <si>
    <t>861  -1834</t>
  </si>
  <si>
    <t>562   1000</t>
  </si>
  <si>
    <t>481  33404</t>
  </si>
  <si>
    <t>571      0</t>
  </si>
  <si>
    <t>823      0</t>
  </si>
  <si>
    <t>17    144</t>
  </si>
  <si>
    <t>404    642</t>
  </si>
  <si>
    <t>398   2104</t>
  </si>
  <si>
    <t>0   7772</t>
  </si>
  <si>
    <t>315  -2514</t>
  </si>
  <si>
    <t>890   2870</t>
  </si>
  <si>
    <t>478   -377</t>
  </si>
  <si>
    <t>313   -822</t>
  </si>
  <si>
    <t>199    -84</t>
  </si>
  <si>
    <t>080  15969</t>
  </si>
  <si>
    <t>570   -113</t>
  </si>
  <si>
    <t>362   -549</t>
  </si>
  <si>
    <t>731     50</t>
  </si>
  <si>
    <t>0  -1755</t>
  </si>
  <si>
    <t>782   3978</t>
  </si>
  <si>
    <t>376    430</t>
  </si>
  <si>
    <t>0    596</t>
  </si>
  <si>
    <t>312  -2212</t>
  </si>
  <si>
    <t>0   -701</t>
  </si>
  <si>
    <t>183    448</t>
  </si>
  <si>
    <t>269 -13620</t>
  </si>
  <si>
    <t>708   2374</t>
  </si>
  <si>
    <t>221    -46</t>
  </si>
  <si>
    <t>181   1297</t>
  </si>
  <si>
    <t>780  40015</t>
  </si>
  <si>
    <t>279 -28192</t>
  </si>
  <si>
    <t>52     -1</t>
  </si>
  <si>
    <t>844   -601</t>
  </si>
  <si>
    <t>620    694</t>
  </si>
  <si>
    <t>222     36</t>
  </si>
  <si>
    <t>-55    199</t>
  </si>
  <si>
    <t>0      6</t>
  </si>
  <si>
    <t>-14    224</t>
  </si>
  <si>
    <t>649  -1315</t>
  </si>
  <si>
    <t>667      0</t>
  </si>
  <si>
    <t>277   -694</t>
  </si>
  <si>
    <t>974   -943</t>
  </si>
  <si>
    <t>065      0</t>
  </si>
  <si>
    <t>069  -1160</t>
  </si>
  <si>
    <t>884    -13</t>
  </si>
  <si>
    <t>022  -7241</t>
  </si>
  <si>
    <t>189    468</t>
  </si>
  <si>
    <t>895   3152</t>
  </si>
  <si>
    <t>776    788</t>
  </si>
  <si>
    <t>584   -410</t>
  </si>
  <si>
    <t>357    158</t>
  </si>
  <si>
    <t>655  31506</t>
  </si>
  <si>
    <t>0   -146</t>
  </si>
  <si>
    <t>0     47</t>
  </si>
  <si>
    <t>131    100</t>
  </si>
  <si>
    <t>669      6</t>
  </si>
  <si>
    <t>121      0</t>
  </si>
  <si>
    <t>641    -61</t>
  </si>
  <si>
    <t>941   3774</t>
  </si>
  <si>
    <t>023  -1160</t>
  </si>
  <si>
    <t>0   -538</t>
  </si>
  <si>
    <t>444   -154</t>
  </si>
  <si>
    <t>731    672</t>
  </si>
  <si>
    <t>001   1363</t>
  </si>
  <si>
    <t>751   -965</t>
  </si>
  <si>
    <t>517    -60</t>
  </si>
  <si>
    <t>586  35548</t>
  </si>
  <si>
    <t>751    121</t>
  </si>
  <si>
    <t>166   -198</t>
  </si>
  <si>
    <t>31   -112</t>
  </si>
  <si>
    <t>0     30</t>
  </si>
  <si>
    <t>897   1974</t>
  </si>
  <si>
    <t>228   -350</t>
  </si>
  <si>
    <t>368    532</t>
  </si>
  <si>
    <t>0    660</t>
  </si>
  <si>
    <t>264    200</t>
  </si>
  <si>
    <t>0   1552</t>
  </si>
  <si>
    <t>0  -3204</t>
  </si>
  <si>
    <t>0  -2008</t>
  </si>
  <si>
    <t>0   1867</t>
  </si>
  <si>
    <t>227    630</t>
  </si>
  <si>
    <t>0  -2127</t>
  </si>
  <si>
    <t>331   8798</t>
  </si>
  <si>
    <t>022   1714</t>
  </si>
  <si>
    <t>923   -398</t>
  </si>
  <si>
    <t>912   1086</t>
  </si>
  <si>
    <t>298  -1636</t>
  </si>
  <si>
    <t>63     97</t>
  </si>
  <si>
    <t>721  32050</t>
  </si>
  <si>
    <t>-20     61</t>
  </si>
  <si>
    <t>45     18</t>
  </si>
  <si>
    <t>39     43</t>
  </si>
  <si>
    <t>166    -42</t>
  </si>
  <si>
    <t>47   -959</t>
  </si>
  <si>
    <t>577    376</t>
  </si>
  <si>
    <t>587   -405</t>
  </si>
  <si>
    <t>0    245</t>
  </si>
  <si>
    <t>232  -2975</t>
  </si>
  <si>
    <t>0   2253</t>
  </si>
  <si>
    <t>175   -178</t>
  </si>
  <si>
    <t>517    434</t>
  </si>
  <si>
    <t>0  -1010</t>
  </si>
  <si>
    <t>116   -516</t>
  </si>
  <si>
    <t>0    553</t>
  </si>
  <si>
    <t>640    760</t>
  </si>
  <si>
    <t>142    -76</t>
  </si>
  <si>
    <t>348    793</t>
  </si>
  <si>
    <t>180  34924</t>
  </si>
  <si>
    <t>853  46310</t>
  </si>
  <si>
    <t>0    137</t>
  </si>
  <si>
    <t>654   -714</t>
  </si>
  <si>
    <t>823  -1188</t>
  </si>
  <si>
    <t>35    543</t>
  </si>
  <si>
    <t>714   -183</t>
  </si>
  <si>
    <t>131    -19</t>
  </si>
  <si>
    <t>908    345</t>
  </si>
  <si>
    <t>0   1300</t>
  </si>
  <si>
    <t>318  -2997</t>
  </si>
  <si>
    <t>0  -2154</t>
  </si>
  <si>
    <t>038   1404</t>
  </si>
  <si>
    <t>022    681</t>
  </si>
  <si>
    <t>768    386</t>
  </si>
  <si>
    <t>35    199</t>
  </si>
  <si>
    <t>313    270</t>
  </si>
  <si>
    <t>566  43209</t>
  </si>
  <si>
    <t>385  44191</t>
  </si>
  <si>
    <t>0   -178</t>
  </si>
  <si>
    <t>0   -233</t>
  </si>
  <si>
    <t>-62    125</t>
  </si>
  <si>
    <t>408    -22</t>
  </si>
  <si>
    <t>264   -367</t>
  </si>
  <si>
    <t>083  -1105</t>
  </si>
  <si>
    <t>402   1478</t>
  </si>
  <si>
    <t>250    253</t>
  </si>
  <si>
    <t>0    207</t>
  </si>
  <si>
    <t>0    666</t>
  </si>
  <si>
    <t>77    -96</t>
  </si>
  <si>
    <t>192   -689</t>
  </si>
  <si>
    <t>363    848</t>
  </si>
  <si>
    <t>34    195</t>
  </si>
  <si>
    <t>-75     40</t>
  </si>
  <si>
    <t>861  42934</t>
  </si>
  <si>
    <t>289  45027</t>
  </si>
  <si>
    <t>-25      0</t>
  </si>
  <si>
    <t>-15      0</t>
  </si>
  <si>
    <t>185    -22</t>
  </si>
  <si>
    <t>151     -2</t>
  </si>
  <si>
    <t>6      0</t>
  </si>
  <si>
    <t>612   -201</t>
  </si>
  <si>
    <t>191    573</t>
  </si>
  <si>
    <t>707    746</t>
  </si>
  <si>
    <t>935      0</t>
  </si>
  <si>
    <t>189    824</t>
  </si>
  <si>
    <t>399     95</t>
  </si>
  <si>
    <t>367  -1457</t>
  </si>
  <si>
    <t>127    126</t>
  </si>
  <si>
    <t>155    284</t>
  </si>
  <si>
    <t>176    153</t>
  </si>
  <si>
    <t>224  42489</t>
  </si>
  <si>
    <t>932  45695</t>
  </si>
  <si>
    <t>0   2142</t>
  </si>
  <si>
    <t>0   -234</t>
  </si>
  <si>
    <t>092      0</t>
  </si>
  <si>
    <t>187    189</t>
  </si>
  <si>
    <t>509   -355</t>
  </si>
  <si>
    <t>455   4703</t>
  </si>
  <si>
    <t>670   -428</t>
  </si>
  <si>
    <t>712   -287</t>
  </si>
  <si>
    <t>0   5525</t>
  </si>
  <si>
    <t>287   -227</t>
  </si>
  <si>
    <t>842     81</t>
  </si>
  <si>
    <t>0   6733</t>
  </si>
  <si>
    <t>199   1743</t>
  </si>
  <si>
    <t>0  -1237</t>
  </si>
  <si>
    <t>611   1037</t>
  </si>
  <si>
    <t>0   3757</t>
  </si>
  <si>
    <t>767   1027</t>
  </si>
  <si>
    <t>852    131</t>
  </si>
  <si>
    <t>104      6</t>
  </si>
  <si>
    <t>601    485</t>
  </si>
  <si>
    <t>550  61074</t>
  </si>
  <si>
    <t>672  50738</t>
  </si>
  <si>
    <t>734   -178</t>
  </si>
  <si>
    <t>329   1093</t>
  </si>
  <si>
    <t>0  -1777</t>
  </si>
  <si>
    <t>746   -356</t>
  </si>
  <si>
    <t>190   -254</t>
  </si>
  <si>
    <t>461  -3229</t>
  </si>
  <si>
    <t>-22     26</t>
  </si>
  <si>
    <t>622    229</t>
  </si>
  <si>
    <t>0  -3529</t>
  </si>
  <si>
    <t>0    509</t>
  </si>
  <si>
    <t>0  -2903</t>
  </si>
  <si>
    <t>889  -1124</t>
  </si>
  <si>
    <t>774   -624</t>
  </si>
  <si>
    <t>850    837</t>
  </si>
  <si>
    <t>0  -1540</t>
  </si>
  <si>
    <t>206  -4661</t>
  </si>
  <si>
    <t>0    228</t>
  </si>
  <si>
    <t>893   2620</t>
  </si>
  <si>
    <t>788    278</t>
  </si>
  <si>
    <t>-86    720</t>
  </si>
  <si>
    <t>965  49167</t>
  </si>
  <si>
    <t>672  52308</t>
  </si>
  <si>
    <t>589  -1056</t>
  </si>
  <si>
    <t>70   -540</t>
  </si>
  <si>
    <t>-98      0</t>
  </si>
  <si>
    <t>119   -293</t>
  </si>
  <si>
    <t>0    143</t>
  </si>
  <si>
    <t>353   -572</t>
  </si>
  <si>
    <t>0    519</t>
  </si>
  <si>
    <t>264   -188</t>
  </si>
  <si>
    <t>0    909</t>
  </si>
  <si>
    <t>124   -392</t>
  </si>
  <si>
    <t>0   -955</t>
  </si>
  <si>
    <t>0   2260</t>
  </si>
  <si>
    <t>0  -3957</t>
  </si>
  <si>
    <t>0  -2562</t>
  </si>
  <si>
    <t>0   1853</t>
  </si>
  <si>
    <t>0  -1243</t>
  </si>
  <si>
    <t>145   1434</t>
  </si>
  <si>
    <t>362    -26</t>
  </si>
  <si>
    <t>587  -1423</t>
  </si>
  <si>
    <t>557   1070</t>
  </si>
  <si>
    <t>683   -665</t>
  </si>
  <si>
    <t>600    878</t>
  </si>
  <si>
    <t>415  39522</t>
  </si>
  <si>
    <t>087  55797</t>
  </si>
  <si>
    <t>0    -11</t>
  </si>
  <si>
    <t>0   1267</t>
  </si>
  <si>
    <t>393   -219</t>
  </si>
  <si>
    <t>176    678</t>
  </si>
  <si>
    <t>411      0</t>
  </si>
  <si>
    <t>366    116</t>
  </si>
  <si>
    <t>869   1212</t>
  </si>
  <si>
    <t>005      0</t>
  </si>
  <si>
    <t>816   2741</t>
  </si>
  <si>
    <t>034     46</t>
  </si>
  <si>
    <t>0   -785</t>
  </si>
  <si>
    <t>0   1653</t>
  </si>
  <si>
    <t>555    142</t>
  </si>
  <si>
    <t>0    622</t>
  </si>
  <si>
    <t>583  -7199</t>
  </si>
  <si>
    <t>571  -5903</t>
  </si>
  <si>
    <t>131   1216</t>
  </si>
  <si>
    <t>874   1508</t>
  </si>
  <si>
    <t>952  60359</t>
  </si>
  <si>
    <t>482  49741</t>
  </si>
  <si>
    <t>176 -53021</t>
  </si>
  <si>
    <t>601   -128</t>
  </si>
  <si>
    <t>0   -697</t>
  </si>
  <si>
    <t>207     90</t>
  </si>
  <si>
    <t>111   1218</t>
  </si>
  <si>
    <t>480  -1085</t>
  </si>
  <si>
    <t>543   2447</t>
  </si>
  <si>
    <t>0   -284</t>
  </si>
  <si>
    <t>968   2199</t>
  </si>
  <si>
    <t>371   -319</t>
  </si>
  <si>
    <t>373   1111</t>
  </si>
  <si>
    <t>359  -1364</t>
  </si>
  <si>
    <t>156     30</t>
  </si>
  <si>
    <t>542      9</t>
  </si>
  <si>
    <t>703  -9921</t>
  </si>
  <si>
    <t>002  -1637</t>
  </si>
  <si>
    <t>333  -5390</t>
  </si>
  <si>
    <t>909 -10719</t>
  </si>
  <si>
    <t>799   -424</t>
  </si>
  <si>
    <t>927   1426</t>
  </si>
  <si>
    <t>801  47492</t>
  </si>
  <si>
    <t>463  59306</t>
  </si>
  <si>
    <t>0   1377</t>
  </si>
  <si>
    <t>0   -147</t>
  </si>
  <si>
    <t>-5     82</t>
  </si>
  <si>
    <t>579   -355</t>
  </si>
  <si>
    <t>129   3660</t>
  </si>
  <si>
    <t>421   -327</t>
  </si>
  <si>
    <t>497   -232</t>
  </si>
  <si>
    <t>0   4158</t>
  </si>
  <si>
    <t>852   -187</t>
  </si>
  <si>
    <t>949    244</t>
  </si>
  <si>
    <t>0   5288</t>
  </si>
  <si>
    <t>617      0</t>
  </si>
  <si>
    <t>042   3114</t>
  </si>
  <si>
    <t>0   -514</t>
  </si>
  <si>
    <t>789   1098</t>
  </si>
  <si>
    <t>669      0</t>
  </si>
  <si>
    <t>0   2411</t>
  </si>
  <si>
    <t>870  -8992</t>
  </si>
  <si>
    <t>216  -4945</t>
  </si>
  <si>
    <t>023    938</t>
  </si>
  <si>
    <t>619  53450</t>
  </si>
  <si>
    <t>368  46974</t>
  </si>
  <si>
    <t>826  95671</t>
  </si>
  <si>
    <t>617    331</t>
  </si>
  <si>
    <t>138    -21</t>
  </si>
  <si>
    <t>0   -144</t>
  </si>
  <si>
    <t>100   3631</t>
  </si>
  <si>
    <t>-8   1759</t>
  </si>
  <si>
    <t>0  -7914</t>
  </si>
  <si>
    <t>896  -8777</t>
  </si>
  <si>
    <t>077 -10435</t>
  </si>
  <si>
    <t>988 -10739</t>
  </si>
  <si>
    <t>383 -16807</t>
  </si>
  <si>
    <t>289  -7584</t>
  </si>
  <si>
    <t>136  22648</t>
  </si>
  <si>
    <t>835  54149</t>
  </si>
  <si>
    <t>174    533</t>
  </si>
  <si>
    <t>8   -448</t>
  </si>
  <si>
    <t>112     48</t>
  </si>
  <si>
    <t>126   -659</t>
  </si>
  <si>
    <t>0    543</t>
  </si>
  <si>
    <t>125      4</t>
  </si>
  <si>
    <t>359    -41</t>
  </si>
  <si>
    <t>0  -1043</t>
  </si>
  <si>
    <t>0   2081</t>
  </si>
  <si>
    <t>0  -2390</t>
  </si>
  <si>
    <t>0   2079</t>
  </si>
  <si>
    <t>145   2106</t>
  </si>
  <si>
    <t>726 -14636</t>
  </si>
  <si>
    <t>025 -13094</t>
  </si>
  <si>
    <t>192 -18069</t>
  </si>
  <si>
    <t>399 -20362</t>
  </si>
  <si>
    <t>789  -8011</t>
  </si>
  <si>
    <t>304  -4766</t>
  </si>
  <si>
    <t>278  39603</t>
  </si>
  <si>
    <t>931  54800</t>
  </si>
  <si>
    <t>657    201</t>
  </si>
  <si>
    <t>095    376</t>
  </si>
  <si>
    <t>0  -7655</t>
  </si>
  <si>
    <t>476   -288</t>
  </si>
  <si>
    <t>139  18058</t>
  </si>
  <si>
    <t>038  -2116</t>
  </si>
  <si>
    <t>577      0</t>
  </si>
  <si>
    <t>377   6421</t>
  </si>
  <si>
    <t>059   5440</t>
  </si>
  <si>
    <t>955   -449</t>
  </si>
  <si>
    <t>-91   2978</t>
  </si>
  <si>
    <t>733   1796</t>
  </si>
  <si>
    <t>619      0</t>
  </si>
  <si>
    <t>471  10150</t>
  </si>
  <si>
    <t>455   4919</t>
  </si>
  <si>
    <t>803   2661</t>
  </si>
  <si>
    <t>436   3118</t>
  </si>
  <si>
    <t>411   1461</t>
  </si>
  <si>
    <t>542   3738</t>
  </si>
  <si>
    <t>832   2270</t>
  </si>
  <si>
    <t>900   1784</t>
  </si>
  <si>
    <t>311  -1503</t>
  </si>
  <si>
    <t>363    745</t>
  </si>
  <si>
    <t>584     54</t>
  </si>
  <si>
    <t>270    -14</t>
  </si>
  <si>
    <t>514     50</t>
  </si>
  <si>
    <t>57    349</t>
  </si>
  <si>
    <t>898   1317</t>
  </si>
  <si>
    <t>214    426</t>
  </si>
  <si>
    <t>688      0</t>
  </si>
  <si>
    <t>0    -43</t>
  </si>
  <si>
    <t>568    193</t>
  </si>
  <si>
    <t>18    120</t>
  </si>
  <si>
    <t>434      0</t>
  </si>
  <si>
    <t>299    121</t>
  </si>
  <si>
    <t>134    -59</t>
  </si>
  <si>
    <t>-34     77</t>
  </si>
  <si>
    <t>125    692</t>
  </si>
  <si>
    <t>855    708</t>
  </si>
  <si>
    <t>625   -467</t>
  </si>
  <si>
    <t>275    162</t>
  </si>
  <si>
    <t>234    219</t>
  </si>
  <si>
    <t>87    -23</t>
  </si>
  <si>
    <t>146    946</t>
  </si>
  <si>
    <t>65    118</t>
  </si>
  <si>
    <t>-57    111</t>
  </si>
  <si>
    <t>029  -1145</t>
  </si>
  <si>
    <t>978  -2147</t>
  </si>
  <si>
    <t>807      0</t>
  </si>
  <si>
    <t>233    186</t>
  </si>
  <si>
    <t>0    -18</t>
  </si>
  <si>
    <t>40   1913</t>
  </si>
  <si>
    <t>2   2016</t>
  </si>
  <si>
    <t>-79   1522</t>
  </si>
  <si>
    <t>0   3021</t>
  </si>
  <si>
    <t>0    365</t>
  </si>
  <si>
    <t>0   -746</t>
  </si>
  <si>
    <t>618   2131</t>
  </si>
  <si>
    <t>368    -84</t>
  </si>
  <si>
    <t>491    579</t>
  </si>
  <si>
    <t>253    332</t>
  </si>
  <si>
    <t>461    241</t>
  </si>
  <si>
    <t>197   -408</t>
  </si>
  <si>
    <t>958  -3890</t>
  </si>
  <si>
    <t>814  23212</t>
  </si>
  <si>
    <t>0   -277</t>
  </si>
  <si>
    <t>807  -1106</t>
  </si>
  <si>
    <t>532      0</t>
  </si>
  <si>
    <t>298  -1583</t>
  </si>
  <si>
    <t>0   -125</t>
  </si>
  <si>
    <t>875 -42295</t>
  </si>
  <si>
    <t>693  -1150</t>
  </si>
  <si>
    <t>423   2045</t>
  </si>
  <si>
    <t>281    284</t>
  </si>
  <si>
    <t>158   -171</t>
  </si>
  <si>
    <t>500   6736</t>
  </si>
  <si>
    <t>953   2474</t>
  </si>
  <si>
    <t>180    260</t>
  </si>
  <si>
    <t>471    320</t>
  </si>
  <si>
    <t>078    518</t>
  </si>
  <si>
    <t>0  -1444</t>
  </si>
  <si>
    <t>786      0</t>
  </si>
  <si>
    <t>933  -1533</t>
  </si>
  <si>
    <t>361   -843</t>
  </si>
  <si>
    <t>-17   8985</t>
  </si>
  <si>
    <t>226   -310</t>
  </si>
  <si>
    <t>417   -705</t>
  </si>
  <si>
    <t>0  10335</t>
  </si>
  <si>
    <t>173    139</t>
  </si>
  <si>
    <t>923    490</t>
  </si>
  <si>
    <t>0   5674</t>
  </si>
  <si>
    <t>090      0</t>
  </si>
  <si>
    <t>490   6306</t>
  </si>
  <si>
    <t>0   -987</t>
  </si>
  <si>
    <t>191   7410</t>
  </si>
  <si>
    <t>621      0</t>
  </si>
  <si>
    <t>0   -664</t>
  </si>
  <si>
    <t>257   -694</t>
  </si>
  <si>
    <t>156 -13179</t>
  </si>
  <si>
    <t>641  23341</t>
  </si>
  <si>
    <t>424   2678</t>
  </si>
  <si>
    <t>331    187</t>
  </si>
  <si>
    <t>146   2394</t>
  </si>
  <si>
    <t>483   4466</t>
  </si>
  <si>
    <t>828     -2</t>
  </si>
  <si>
    <t>0  -6560</t>
  </si>
  <si>
    <t>815   -780</t>
  </si>
  <si>
    <t>158  12591</t>
  </si>
  <si>
    <t>704  -1648</t>
  </si>
  <si>
    <t>92   5399</t>
  </si>
  <si>
    <t>521   6144</t>
  </si>
  <si>
    <t>584  -1244</t>
  </si>
  <si>
    <t>779   3708</t>
  </si>
  <si>
    <t>194    779</t>
  </si>
  <si>
    <t>487   4322</t>
  </si>
  <si>
    <t>359  -1310</t>
  </si>
  <si>
    <t>995   1086</t>
  </si>
  <si>
    <t>612   8334</t>
  </si>
  <si>
    <t>774   1630</t>
  </si>
  <si>
    <t>085   2018</t>
  </si>
  <si>
    <t>351   -164</t>
  </si>
  <si>
    <t>640   -192</t>
  </si>
  <si>
    <t>839  -4414</t>
  </si>
  <si>
    <t>170    168</t>
  </si>
  <si>
    <t>934    289</t>
  </si>
  <si>
    <t>0   -255</t>
  </si>
  <si>
    <t>177    844</t>
  </si>
  <si>
    <t>204    161</t>
  </si>
  <si>
    <t>312    779</t>
  </si>
  <si>
    <t>214    221</t>
  </si>
  <si>
    <t>282   -152</t>
  </si>
  <si>
    <t>-2    882</t>
  </si>
  <si>
    <t>0    168</t>
  </si>
  <si>
    <t>106    214</t>
  </si>
  <si>
    <t>110   -130</t>
  </si>
  <si>
    <t>175    122</t>
  </si>
  <si>
    <t>272   -206</t>
  </si>
  <si>
    <t>257    296</t>
  </si>
  <si>
    <t>387     27</t>
  </si>
  <si>
    <t>358    -28</t>
  </si>
  <si>
    <t>033   1495</t>
  </si>
  <si>
    <t>567   1599</t>
  </si>
  <si>
    <t>520      0</t>
  </si>
  <si>
    <t>48    754</t>
  </si>
  <si>
    <t>0  -1153</t>
  </si>
  <si>
    <t>925   3458</t>
  </si>
  <si>
    <t>228    916</t>
  </si>
  <si>
    <t>0   -876</t>
  </si>
  <si>
    <t>864   4251</t>
  </si>
  <si>
    <t>0  -1232</t>
  </si>
  <si>
    <t>047   4296</t>
  </si>
  <si>
    <t>0    990</t>
  </si>
  <si>
    <t>0   -561</t>
  </si>
  <si>
    <t>0   3533</t>
  </si>
  <si>
    <t>0    898</t>
  </si>
  <si>
    <t>0   -133</t>
  </si>
  <si>
    <t>0    264</t>
  </si>
  <si>
    <t>716   1342</t>
  </si>
  <si>
    <t>629  -1942</t>
  </si>
  <si>
    <t>428    -87</t>
  </si>
  <si>
    <t>423     54</t>
  </si>
  <si>
    <t>228    758</t>
  </si>
  <si>
    <t>371    619</t>
  </si>
  <si>
    <t>569   2876</t>
  </si>
  <si>
    <t>340    326</t>
  </si>
  <si>
    <t>150  -4918</t>
  </si>
  <si>
    <t>142    220</t>
  </si>
  <si>
    <t>128   -132</t>
  </si>
  <si>
    <t>660   -155</t>
  </si>
  <si>
    <t>0   3394</t>
  </si>
  <si>
    <t>064  -1416</t>
  </si>
  <si>
    <t>929   7355</t>
  </si>
  <si>
    <t>535   1671</t>
  </si>
  <si>
    <t>689   -837</t>
  </si>
  <si>
    <t>678   2450</t>
  </si>
  <si>
    <t>0   2235</t>
  </si>
  <si>
    <t>13      0</t>
  </si>
  <si>
    <t>0   1211</t>
  </si>
  <si>
    <t>0    356</t>
  </si>
  <si>
    <t>163    127</t>
  </si>
  <si>
    <t>0   3196</t>
  </si>
  <si>
    <t>052  -1336</t>
  </si>
  <si>
    <t>074    -10</t>
  </si>
  <si>
    <t>0   1459</t>
  </si>
  <si>
    <t>295    122</t>
  </si>
  <si>
    <t>0   5207</t>
  </si>
  <si>
    <t>084   1504</t>
  </si>
  <si>
    <t>525   1858</t>
  </si>
  <si>
    <t>777    -92</t>
  </si>
  <si>
    <t>309    406</t>
  </si>
  <si>
    <t>192   1230</t>
  </si>
  <si>
    <t>694   -561</t>
  </si>
  <si>
    <t>508   1029</t>
  </si>
  <si>
    <t>0    479</t>
  </si>
  <si>
    <t>877      0</t>
  </si>
  <si>
    <t>060   -716</t>
  </si>
  <si>
    <t>663   -115</t>
  </si>
  <si>
    <t>978   7269</t>
  </si>
  <si>
    <t>500    207</t>
  </si>
  <si>
    <t>563   -605</t>
  </si>
  <si>
    <t>0   8356</t>
  </si>
  <si>
    <t>467   -321</t>
  </si>
  <si>
    <t>821   -341</t>
  </si>
  <si>
    <t>0   6219</t>
  </si>
  <si>
    <t>708      0</t>
  </si>
  <si>
    <t>808   4767</t>
  </si>
  <si>
    <t>305    109</t>
  </si>
  <si>
    <t>653      0</t>
  </si>
  <si>
    <t>0  -2632</t>
  </si>
  <si>
    <t>359    360</t>
  </si>
  <si>
    <t>884     35</t>
  </si>
  <si>
    <t>001   1860</t>
  </si>
  <si>
    <t>699  -1623</t>
  </si>
  <si>
    <t>171 -29428</t>
  </si>
  <si>
    <t>765  -2279</t>
  </si>
  <si>
    <t>832 -30513</t>
  </si>
  <si>
    <t>761 -31013</t>
  </si>
  <si>
    <t>Open "IndividualPersonDayPatternModel.F12" in Notepad+</t>
  </si>
  <si>
    <t>Open "WorkbasedSubtourGenerationCoefficients_SACOG-v1.5.F12" in Notepad+</t>
  </si>
  <si>
    <t>flag</t>
  </si>
  <si>
    <t>validate</t>
  </si>
  <si>
    <t>NOTES:</t>
  </si>
  <si>
    <t>"validate" and "flag" are to validate correspondence</t>
  </si>
  <si>
    <t>if sum of "flag"&gt;1 then correspondence is WRONG - look in to it</t>
  </si>
  <si>
    <t>IndividualPersonDayPatternModel.F12</t>
  </si>
  <si>
    <t>Tours by Person Type</t>
  </si>
  <si>
    <t>Cut or Copy the selection (Ctrl-x or Ctrl-c)</t>
  </si>
  <si>
    <t>Paste (Ctrl-v)</t>
  </si>
  <si>
    <t>Notepad ++ Instructions</t>
  </si>
  <si>
    <t>Hold the Alt key and select the lines as columns</t>
  </si>
  <si>
    <t>Open "IndividualPersonDayPatternModel.F12"</t>
  </si>
  <si>
    <t>Hold Alt and using mouse select the 4th column from line line 4 to line 353</t>
  </si>
  <si>
    <t>Make sure that you select Col 21 to Col 31</t>
  </si>
  <si>
    <t>UltraEdit Instructions:</t>
  </si>
  <si>
    <t>Note:</t>
  </si>
  <si>
    <t>"Fixed Width" is used nstead of "Delimited" because  "Delimited" mode messes up the columns (first columns) after coefficient tokens 1000 due to big range (100 - 1415)</t>
  </si>
  <si>
    <t>Open "IndividualPersonDayPatternModel.F12" in UltraEdit</t>
  </si>
  <si>
    <t>Choose column mode and select 4th columns from line 4 to line 353</t>
  </si>
  <si>
    <t>Paste (Ctrl-v) the copied values</t>
  </si>
  <si>
    <t>Copy (Ctrl-c) cells V3:V384</t>
  </si>
  <si>
    <t>Following instructions as above</t>
  </si>
  <si>
    <t>Here the coeff file will be "WorkbasedSubtourGenerationCoefficients_SACOG-v1.5.F12"</t>
  </si>
  <si>
    <t>Paste in an empty document in Notepad++</t>
  </si>
  <si>
    <t>line selec tion: line 4 to line 18</t>
  </si>
  <si>
    <t>column selection: Col 21 to Col 31</t>
  </si>
  <si>
    <t>Bellevue</t>
  </si>
  <si>
    <t>Bellevue Downtown</t>
  </si>
  <si>
    <t>Kirkland</t>
  </si>
  <si>
    <t>Redmond</t>
  </si>
  <si>
    <t>Seattle Downtown</t>
  </si>
  <si>
    <t>Rest</t>
  </si>
  <si>
    <t>TABLE 4. TOUR RATES BY PUPROSE (Total tours for purpose/total person)</t>
  </si>
  <si>
    <t>TABLE 8. TRIP RATES BY DESTINATION PURPOSE (Total trips for purpose/total person)</t>
  </si>
  <si>
    <t>TABLE 6. TOUR RATES BY PERSONTYPE (Total tours/total person for person type)</t>
  </si>
  <si>
    <t>TABLE 10. TRIP RATES BY PERSONTYPE  (Total trips/total person for person type)</t>
  </si>
  <si>
    <t>Trip per Tours by Purpose</t>
  </si>
  <si>
    <t>Stops by Purpose</t>
  </si>
  <si>
    <t>Stops by Destination Purpose</t>
  </si>
  <si>
    <t>Persons with at-least 1 stop by Destination Purpose</t>
  </si>
  <si>
    <t>trexpfac</t>
  </si>
  <si>
    <t>index</t>
  </si>
  <si>
    <t>wkstops</t>
  </si>
  <si>
    <t>scstops</t>
  </si>
  <si>
    <t>esstops</t>
  </si>
  <si>
    <t>pbstops</t>
  </si>
  <si>
    <t>shstops</t>
  </si>
  <si>
    <t>mlstops</t>
  </si>
  <si>
    <t>sostops</t>
  </si>
  <si>
    <t>pdexpfac</t>
  </si>
  <si>
    <t>survey_dpurp</t>
  </si>
  <si>
    <t>survey_index</t>
  </si>
  <si>
    <t>daysim_dpurp</t>
  </si>
  <si>
    <t>daysim_index</t>
  </si>
  <si>
    <t>changemode</t>
  </si>
  <si>
    <t>total trips</t>
  </si>
  <si>
    <t>This summary doesn't make sense when compared to the above summary</t>
  </si>
  <si>
    <t>May</t>
  </si>
  <si>
    <t>011:09:24</t>
  </si>
  <si>
    <t>target</t>
  </si>
  <si>
    <t>factor</t>
  </si>
  <si>
    <t>original survey</t>
  </si>
  <si>
    <t>revised targets</t>
  </si>
  <si>
    <t>-Revised target</t>
  </si>
  <si>
    <t>RATIO</t>
  </si>
  <si>
    <t>DAMP</t>
  </si>
  <si>
    <t>Child5</t>
  </si>
  <si>
    <t>WorkbasedSubtourGenerationModel.F12</t>
  </si>
  <si>
    <t>Number</t>
  </si>
  <si>
    <t>Variable</t>
  </si>
  <si>
    <t>Coeff</t>
  </si>
  <si>
    <t>Alternative</t>
  </si>
  <si>
    <t>work subtour</t>
  </si>
  <si>
    <t>Constant</t>
  </si>
  <si>
    <t>school subtour</t>
  </si>
  <si>
    <t>escort subtour</t>
  </si>
  <si>
    <t>pers. Bus. subtour</t>
  </si>
  <si>
    <t>shopping subtour</t>
  </si>
  <si>
    <t>meal subtour</t>
  </si>
  <si>
    <t>social/rec subtour</t>
  </si>
  <si>
    <t>no more subtours</t>
  </si>
  <si>
    <t>One or more subtours already simulated</t>
  </si>
  <si>
    <t>LN(# of home-based tours in pattern)</t>
  </si>
  <si>
    <t>Pattern has 2+ work tours</t>
  </si>
  <si>
    <t>No cars in HH</t>
  </si>
  <si>
    <t>Cars in HH, but fewer cars than adults</t>
  </si>
  <si>
    <t>Aggregate mode/destination logsum for work-based subtours</t>
  </si>
  <si>
    <t>Buffer 1 K-12 school enrollment</t>
  </si>
  <si>
    <t>all - upper level</t>
  </si>
  <si>
    <t>Logsum across all stop purposes vs no more stops</t>
  </si>
  <si>
    <t>(SACOG2000 v02</t>
  </si>
  <si>
    <t>0115)</t>
  </si>
  <si>
    <t>8375481E+05  -.88</t>
  </si>
  <si>
    <t>2566118019E+05  -.505543876204E+05</t>
  </si>
  <si>
    <t>6164  -9673  -894</t>
  </si>
  <si>
    <t>4  12357      0      0      0      0</t>
  </si>
  <si>
    <t>0 -21545  -3949  -5051    711      0</t>
  </si>
  <si>
    <t>0      0      0      0 -66294 -10215</t>
  </si>
  <si>
    <t>0      0   898</t>
  </si>
  <si>
    <t>8      0      0      0      0      0</t>
  </si>
  <si>
    <t>0      0      0      0      0      0</t>
  </si>
  <si>
    <t>0      0  -5024   -171  -4284   -435</t>
  </si>
  <si>
    <t>3654      0   -83</t>
  </si>
  <si>
    <t>2      0      0      0  -4605   -352</t>
  </si>
  <si>
    <t>0      0    56</t>
  </si>
  <si>
    <t>3      0  -2707      0      0      0</t>
  </si>
  <si>
    <t>4386  -4522  -282</t>
  </si>
  <si>
    <t>3      0      0   1127      0 -12143</t>
  </si>
  <si>
    <t>0  -4054  -388</t>
  </si>
  <si>
    <t>7      0      0      0      0      0</t>
  </si>
  <si>
    <t>0 -40458  -892</t>
  </si>
  <si>
    <t>1   4974   -588      0      0     12</t>
  </si>
  <si>
    <t>0    529   4656      0      0      0</t>
  </si>
  <si>
    <t>0   3140      0      0      0      0</t>
  </si>
  <si>
    <t>0   5301  -6054   5845   3120      0</t>
  </si>
  <si>
    <t>0  -4043</t>
  </si>
  <si>
    <t>0      0      0  -1458   -656      0</t>
  </si>
  <si>
    <t>0      0      0   2202   2640      0</t>
  </si>
  <si>
    <t>3077   -991  -993</t>
  </si>
  <si>
    <t>7      0      0   -310      0  -1532</t>
  </si>
  <si>
    <t>0    437    21</t>
  </si>
  <si>
    <t>5      0      0      0      0      0</t>
  </si>
  <si>
    <t>0   -147  -176</t>
  </si>
  <si>
    <t>6      0      0  23797  -1503   5966</t>
  </si>
  <si>
    <t>0      0   -80</t>
  </si>
  <si>
    <t>8      0   1531      0      0      0</t>
  </si>
  <si>
    <t>0      0 -7984</t>
  </si>
  <si>
    <t>2 -21071  -1016   3658  -2587  -1966</t>
  </si>
  <si>
    <t>-524      0    96</t>
  </si>
  <si>
    <t>9      0      0      0    786    437</t>
  </si>
  <si>
    <t>0      0      0      0  -1037  -1421</t>
  </si>
  <si>
    <t>1449  -9436  3784</t>
  </si>
  <si>
    <t>3  -1284   6794  -4666  -4521      0</t>
  </si>
  <si>
    <t>0      0      0   1446    788      0</t>
  </si>
  <si>
    <t>0      0      0  -1732  -2581      0</t>
  </si>
  <si>
    <t>2199  64764  3245</t>
  </si>
  <si>
    <t>0   -117   1077   -789   -724      0</t>
  </si>
  <si>
    <t>0    147</t>
  </si>
  <si>
    <t>0      0      0    224     91      0</t>
  </si>
  <si>
    <t>0      0      0   -241   -349      0</t>
  </si>
  <si>
    <t>1859   9901   482</t>
  </si>
  <si>
    <t>2   9205      0      0      0      0</t>
  </si>
  <si>
    <t>0  -3398  -2578    517   3642      0</t>
  </si>
  <si>
    <t>0   6699</t>
  </si>
  <si>
    <t>0      0      0   -362    -82      0</t>
  </si>
  <si>
    <t>0      0      0   -191    530      0</t>
  </si>
  <si>
    <t>4323  -2305    83</t>
  </si>
  <si>
    <t>0 -25872  -3467      0      0      0</t>
  </si>
  <si>
    <t>-542   -296   274</t>
  </si>
  <si>
    <t>3      0      0    124      0   -442</t>
  </si>
  <si>
    <t>0   3270   132</t>
  </si>
  <si>
    <t>1      0      0      0      0      0</t>
  </si>
  <si>
    <t>0   -103     3</t>
  </si>
  <si>
    <t>2      0      0  -9025  -3763   5671</t>
  </si>
  <si>
    <t>1151      0</t>
  </si>
  <si>
    <t>0      0    758      0      0      0</t>
  </si>
  <si>
    <t>108   1702</t>
  </si>
  <si>
    <t>0      0    335      0    397      0</t>
  </si>
  <si>
    <t>-145    414</t>
  </si>
  <si>
    <t>0      0  -2811  -1873   -477   2599</t>
  </si>
  <si>
    <t>0  -9307      0      0      0   1793</t>
  </si>
  <si>
    <t>0      0      0      0    250    955</t>
  </si>
  <si>
    <t>0      0   -23</t>
  </si>
  <si>
    <t>0      0   4261      0      0      0</t>
  </si>
  <si>
    <t>0      0   157</t>
  </si>
  <si>
    <t>0   1800   -806    869  -1578   -467</t>
  </si>
  <si>
    <t>0    200</t>
  </si>
  <si>
    <t>0      0      0   1270      0      0</t>
  </si>
  <si>
    <t>0    199</t>
  </si>
  <si>
    <t>2192   1220    39</t>
  </si>
  <si>
    <t>2      0      0     97      0   -303</t>
  </si>
  <si>
    <t>0   -638  -106</t>
  </si>
  <si>
    <t>0    -93   -32</t>
  </si>
  <si>
    <t>3      0      0    203  57793     96</t>
  </si>
  <si>
    <t>0      0   -367      0      0      0</t>
  </si>
  <si>
    <t>0      0     25      0      0      0</t>
  </si>
  <si>
    <t>0      0   641</t>
  </si>
  <si>
    <t>0      0    505      0   -725      0</t>
  </si>
  <si>
    <t>1148  -2375</t>
  </si>
  <si>
    <t>464    530</t>
  </si>
  <si>
    <t>0      0    -76   -191    293   -659</t>
  </si>
  <si>
    <t>0   -505      0      0      0  -1352</t>
  </si>
  <si>
    <t>0    -71      0      0      0      0</t>
  </si>
  <si>
    <t>0 -25779 -1232</t>
  </si>
  <si>
    <t>6      0      0      0      0      0</t>
  </si>
  <si>
    <t>1362   -142</t>
  </si>
  <si>
    <t>0      0    338      0   1490      0</t>
  </si>
  <si>
    <t>0      0    472    550   -189   -635</t>
  </si>
  <si>
    <t>0    153      0      0      0   -107</t>
  </si>
  <si>
    <t>0     41      0      0      0      0</t>
  </si>
  <si>
    <t>0   8668 -1089</t>
  </si>
  <si>
    <t>6      0  21705      0      0      0</t>
  </si>
  <si>
    <t>444    232     6</t>
  </si>
  <si>
    <t>1      0      0    185      0   -219</t>
  </si>
  <si>
    <t>0   -401   -87</t>
  </si>
  <si>
    <t>4      0      0      0      0      0</t>
  </si>
  <si>
    <t>0   -277     3</t>
  </si>
  <si>
    <t>5      0      0    -87    747   -191</t>
  </si>
  <si>
    <t>0      0   -397      0      0      0</t>
  </si>
  <si>
    <t>0      0     17      0      0      0</t>
  </si>
  <si>
    <t>0      0  -312</t>
  </si>
  <si>
    <t>7  -3560      0   1500      0      0</t>
  </si>
  <si>
    <t>4006    -99    18</t>
  </si>
  <si>
    <t>7     -6     -1      0      0   1025</t>
  </si>
  <si>
    <t>0   -108   -162      0      0      0</t>
  </si>
  <si>
    <t>0   -173      2      0      0   -127</t>
  </si>
  <si>
    <t>27    229    -7</t>
  </si>
  <si>
    <t>3      0      0      0   -259      0</t>
  </si>
  <si>
    <t>-324      0</t>
  </si>
  <si>
    <t>0      0      0      0     -4      0</t>
  </si>
  <si>
    <t>0      0  -3820  -3305      0  -6002</t>
  </si>
  <si>
    <t>0      0    26</t>
  </si>
  <si>
    <t>5  13692      0      0      0      0</t>
  </si>
  <si>
    <t>0   -123   -610   -488    208      0</t>
  </si>
  <si>
    <t>0    106</t>
  </si>
  <si>
    <t>0      0      0   -286   -479      0</t>
  </si>
  <si>
    <t>0      0      0    148    427      0</t>
  </si>
  <si>
    <t>-911    477   -42</t>
  </si>
  <si>
    <t>0  -1964     96      0      0      0</t>
  </si>
  <si>
    <t>0      0    48</t>
  </si>
  <si>
    <t>0      0      0      0  -3716  -3939</t>
  </si>
  <si>
    <t>0      0  11933 -16675  -6754      0</t>
  </si>
  <si>
    <t>81    570   -17</t>
  </si>
  <si>
    <t>6      0      0    -86      0    160</t>
  </si>
  <si>
    <t>0    191    76</t>
  </si>
  <si>
    <t>9      0      0      0      0      0</t>
  </si>
  <si>
    <t>0    293   -16</t>
  </si>
  <si>
    <t>9      0      0   -118    112   -235</t>
  </si>
  <si>
    <t>-46      0</t>
  </si>
  <si>
    <t>0      0   -161      0      0      0</t>
  </si>
  <si>
    <t>0      0    -49      0      0      0</t>
  </si>
  <si>
    <t>0      0  -203</t>
  </si>
  <si>
    <t>5    920      0   8171      0      0</t>
  </si>
  <si>
    <t>1677  -1107  -959</t>
  </si>
  <si>
    <t>9      0      0 -37333      0      0</t>
  </si>
  <si>
    <t>0      0   -500   -171    -69     12</t>
  </si>
  <si>
    <t>144      0   -27</t>
  </si>
  <si>
    <t>8      0      0      0   1192  -1750</t>
  </si>
  <si>
    <t>0      0      0      0    485     74</t>
  </si>
  <si>
    <t>-213   -296    13</t>
  </si>
  <si>
    <t>5   -269   -419    -69      0      0</t>
  </si>
  <si>
    <t>0   -274      0      0      0      0</t>
  </si>
  <si>
    <t>0      0      0      0      0 -12820</t>
  </si>
  <si>
    <t>2199      0</t>
  </si>
  <si>
    <t>0      0      0   9592   2273   1516</t>
  </si>
  <si>
    <t>0281    392</t>
  </si>
  <si>
    <t>0   -274     31   -387   -159      0</t>
  </si>
  <si>
    <t>0   -288</t>
  </si>
  <si>
    <t>0      0      0   -845   2675      0</t>
  </si>
  <si>
    <t>0      0      0    709     -1      0</t>
  </si>
  <si>
    <t>155    -52   -57</t>
  </si>
  <si>
    <t>7  -1132    -55      0      0      0</t>
  </si>
  <si>
    <t>0      0   -67</t>
  </si>
  <si>
    <t>0      0      0      0 -21009  -9788</t>
  </si>
  <si>
    <t>0      0  14901  -2974  -2942      0</t>
  </si>
  <si>
    <t>625      0  -950</t>
  </si>
  <si>
    <t>2     34    -89   -148     17      0</t>
  </si>
  <si>
    <t>0      0      0    395    566      0</t>
  </si>
  <si>
    <t>0      0      0    539     14      0</t>
  </si>
  <si>
    <t>-35      0   -18</t>
  </si>
  <si>
    <t>0   -415    -12      0      0      0</t>
  </si>
  <si>
    <t>0      0   -12</t>
  </si>
  <si>
    <t>0      0      0      0  -6590  -4348</t>
  </si>
  <si>
    <t>0      0   4579  -1123   1617      0</t>
  </si>
  <si>
    <t>9205      0  1059</t>
  </si>
  <si>
    <t>7  10345    155     53   -140     39</t>
  </si>
  <si>
    <t>-239      0    15</t>
  </si>
  <si>
    <t>5      0      0      0    254    412</t>
  </si>
  <si>
    <t>0      0      0      0    307   -168</t>
  </si>
  <si>
    <t>161     89    -8</t>
  </si>
  <si>
    <t>9   -337   -865    -27      0      0</t>
  </si>
  <si>
    <t>0   -255      0      0      0      0</t>
  </si>
  <si>
    <t>0      0      0      0      0 -10785</t>
  </si>
  <si>
    <t>8849      0</t>
  </si>
  <si>
    <t>0      0      0   8462  -3044   -966</t>
  </si>
  <si>
    <t>2159  -6465</t>
  </si>
  <si>
    <t>0   8247  16311 -17709    167    141</t>
  </si>
  <si>
    <t>0      0     2</t>
  </si>
  <si>
    <t>7      0   -362      0      0      0</t>
  </si>
  <si>
    <t>0      0   115</t>
  </si>
  <si>
    <t>7    527   -173   -569  -2412     46</t>
  </si>
  <si>
    <t>0      0      0    487      0      0</t>
  </si>
  <si>
    <t>0   -159</t>
  </si>
  <si>
    <t>5182      0  1374</t>
  </si>
  <si>
    <t>0      0      0      0      0  13031</t>
  </si>
  <si>
    <t>0      0 -1905</t>
  </si>
  <si>
    <t>5   9759      0   -355   4380     46</t>
  </si>
  <si>
    <t>6      0      0    -13      0   -242</t>
  </si>
  <si>
    <t>0     89    -5</t>
  </si>
  <si>
    <t>0     73    26</t>
  </si>
  <si>
    <t>4      0      0    440     77     40</t>
  </si>
  <si>
    <t>-23      0</t>
  </si>
  <si>
    <t>0      0    -84      0      0      0</t>
  </si>
  <si>
    <t>0      0     31      0      0      0</t>
  </si>
  <si>
    <t>0      0  -882</t>
  </si>
  <si>
    <t>4  -6612      0  18344      0      0</t>
  </si>
  <si>
    <t>5620  -5033  -577</t>
  </si>
  <si>
    <t>3      0      0  -3202   2645      0</t>
  </si>
  <si>
    <t>9193  12850  1403</t>
  </si>
  <si>
    <t>9     97   -147    -74      9      0</t>
  </si>
  <si>
    <t>0   -433</t>
  </si>
  <si>
    <t>0      0      0   -486  -1108      0</t>
  </si>
  <si>
    <t>0      0      0    180    175      0</t>
  </si>
  <si>
    <t>8  -1385    -93      0      0      0</t>
  </si>
  <si>
    <t>0      0   -95</t>
  </si>
  <si>
    <t>0      0      0      0 -21715  -9798</t>
  </si>
  <si>
    <t>0      0  16956  -2640   -425      0</t>
  </si>
  <si>
    <t>-32      0  1036</t>
  </si>
  <si>
    <t>2  18763   9928  12517  11306  21792</t>
  </si>
  <si>
    <t>0      0   -439      0     23      0</t>
  </si>
  <si>
    <t>1203   2208</t>
  </si>
  <si>
    <t>-112    934</t>
  </si>
  <si>
    <t>0      0    715    217   -321   -335</t>
  </si>
  <si>
    <t>0   -333      0      0      0   -248</t>
  </si>
  <si>
    <t>0     35      0      0      0      0</t>
  </si>
  <si>
    <t>0   3510   -13</t>
  </si>
  <si>
    <t>3      0   -177      0      0      0</t>
  </si>
  <si>
    <t>3041    182</t>
  </si>
  <si>
    <t>0      0   3262  -3632      0    319</t>
  </si>
  <si>
    <t>5388   1252  -608</t>
  </si>
  <si>
    <t>1    934      0      0      0      0</t>
  </si>
  <si>
    <t>1181   -411</t>
  </si>
  <si>
    <t>0      0     37      0  -5081      0</t>
  </si>
  <si>
    <t>2487   1546</t>
  </si>
  <si>
    <t>0      0   -117  -1361    390   -594</t>
  </si>
  <si>
    <t>0   -345      0      0      0   -589</t>
  </si>
  <si>
    <t>0   -170      0      0      0      0</t>
  </si>
  <si>
    <t>0 -84525  -189</t>
  </si>
  <si>
    <t>0      0  12001      0      0      0</t>
  </si>
  <si>
    <t>3355  -1283</t>
  </si>
  <si>
    <t>0      0    -18   2622      0   5451</t>
  </si>
  <si>
    <t>4855  -2629   -15</t>
  </si>
  <si>
    <t>4  10584      0      0      0      0</t>
  </si>
  <si>
    <t>51  -5976   -88</t>
  </si>
  <si>
    <t>7      0      0  -2011      0    776</t>
  </si>
  <si>
    <t>0   5188   932</t>
  </si>
  <si>
    <t>0    748  -103</t>
  </si>
  <si>
    <t>5      0      0   -423  -1153    296</t>
  </si>
  <si>
    <t>-45      0</t>
  </si>
  <si>
    <t>0      0    -75      0      0      0</t>
  </si>
  <si>
    <t>0      0 -1910</t>
  </si>
  <si>
    <t>2 -15844      0  21267      0      0</t>
  </si>
  <si>
    <t>8568  10828   655</t>
  </si>
  <si>
    <t>9      0      0   6010 -20025      0</t>
  </si>
  <si>
    <t>3891 -10170   630</t>
  </si>
  <si>
    <t>0   -547   5793      0      0      0</t>
  </si>
  <si>
    <t>5571   4434   247</t>
  </si>
  <si>
    <t>1   2348    538      0      0    260</t>
  </si>
  <si>
    <t>0   -209    796      0      0      0</t>
  </si>
  <si>
    <t>0  -3473  -2580      0      0    883</t>
  </si>
  <si>
    <t>1178   1533     3</t>
  </si>
  <si>
    <t>8      0      0      0  -2590      0</t>
  </si>
  <si>
    <t>390      0</t>
  </si>
  <si>
    <t>0      0      0      0    470      0</t>
  </si>
  <si>
    <t>0      0   8301   1319      0   1403</t>
  </si>
  <si>
    <t>0      0    87</t>
  </si>
  <si>
    <t>3    688    390      0      0   -895</t>
  </si>
  <si>
    <t>68    702    26</t>
  </si>
  <si>
    <t>9    704    447    250   1187      0</t>
  </si>
  <si>
    <t>0   -447  -450</t>
  </si>
  <si>
    <t>9  -2670   2247  45650    359     14</t>
  </si>
  <si>
    <t>246      0   -75</t>
  </si>
  <si>
    <t>2      0      0      0   -252     51</t>
  </si>
  <si>
    <t>0      0      0      0    -39   -921</t>
  </si>
  <si>
    <t>657  62276    17</t>
  </si>
  <si>
    <t>0   -243    289    126      0      0</t>
  </si>
  <si>
    <t>0     75      0      0      0      0</t>
  </si>
  <si>
    <t>0      0      0      0      0  -1228</t>
  </si>
  <si>
    <t>-12      0</t>
  </si>
  <si>
    <t>0      0      0    649    444    331</t>
  </si>
  <si>
    <t>109     45</t>
  </si>
  <si>
    <t>0    108    566     33    435    640</t>
  </si>
  <si>
    <t>0      0    327    882   -137  10613</t>
  </si>
  <si>
    <t>8691    546</t>
  </si>
  <si>
    <t>0      0   -878      0   -508      0</t>
  </si>
  <si>
    <t>0      0    898    408  -1638   -570</t>
  </si>
  <si>
    <t>0   -314      0      0      0   -215</t>
  </si>
  <si>
    <t>0   -195      0      0      0      0</t>
  </si>
  <si>
    <t>0    680   -12</t>
  </si>
  <si>
    <t>2      0   -161      0      0      0</t>
  </si>
  <si>
    <t>834    512</t>
  </si>
  <si>
    <t>0      0   -486   -134      0     75</t>
  </si>
  <si>
    <t>-229     57   -28</t>
  </si>
  <si>
    <t>6     43      0      0      0      0</t>
  </si>
  <si>
    <t>1318 -10644  -775</t>
  </si>
  <si>
    <t>8  -6181    363   -772    435      0</t>
  </si>
  <si>
    <t>0  -1569</t>
  </si>
  <si>
    <t>0      0      0    908    793      0</t>
  </si>
  <si>
    <t>0      0      0     78   1082      0</t>
  </si>
  <si>
    <t>580   -427    -2</t>
  </si>
  <si>
    <t>4    743     -9      0      0      0</t>
  </si>
  <si>
    <t>0      0     6</t>
  </si>
  <si>
    <t>0      0      0      0   1666    354</t>
  </si>
  <si>
    <t>0      0  -1809    518    599      0</t>
  </si>
  <si>
    <t>-111      0    -3</t>
  </si>
  <si>
    <t>3   -647    -36   -682   -572  -1536</t>
  </si>
  <si>
    <t>0   -424   -732   1027 -27153 -17305</t>
  </si>
  <si>
    <t>140   -401    57</t>
  </si>
  <si>
    <t>0      0      0  -1809      0  -1298</t>
  </si>
  <si>
    <t>0     63    -5</t>
  </si>
  <si>
    <t>0     13   108</t>
  </si>
  <si>
    <t>4      0      0    247    624  -1473</t>
  </si>
  <si>
    <t>-143      0</t>
  </si>
  <si>
    <t>0      0   -478      0      0      0</t>
  </si>
  <si>
    <t>0      0   -305      0      0      0</t>
  </si>
  <si>
    <t>0      0   109</t>
  </si>
  <si>
    <t>1   -369      0    568      0      0</t>
  </si>
  <si>
    <t>-989   1178    60</t>
  </si>
  <si>
    <t>0      0      0   -541    -37      0</t>
  </si>
  <si>
    <t>-13   -241     3</t>
  </si>
  <si>
    <t>1    -73    793      0      0      0</t>
  </si>
  <si>
    <t>-416   1258 -1753</t>
  </si>
  <si>
    <t>4 -12010  32978  41226      0      0</t>
  </si>
  <si>
    <t>0      0  -1891    266    -38    344</t>
  </si>
  <si>
    <t>-457      0   -28</t>
  </si>
  <si>
    <t>1      0      0      0    236    248</t>
  </si>
  <si>
    <t>0      0      0      0     54    298</t>
  </si>
  <si>
    <t>1122   -136   -26</t>
  </si>
  <si>
    <t>8   8691    -86    -56      0      0</t>
  </si>
  <si>
    <t>0   -185      0      0      0      0</t>
  </si>
  <si>
    <t>0      0      0      0      0   1115</t>
  </si>
  <si>
    <t>-784      0</t>
  </si>
  <si>
    <t>0      0      0  -1511    383    274</t>
  </si>
  <si>
    <t>1110    185</t>
  </si>
  <si>
    <t>0   -243   -752   -217   -595   -795</t>
  </si>
  <si>
    <t>0      0      6   -717     17 -10063</t>
  </si>
  <si>
    <t>6296  12445</t>
  </si>
  <si>
    <t>0  -3092    939   -287    651      0</t>
  </si>
  <si>
    <t>0   -966</t>
  </si>
  <si>
    <t>0      0      0    513    590      0</t>
  </si>
  <si>
    <t>0      0      0    -43    672      0</t>
  </si>
  <si>
    <t>339   -153   119</t>
  </si>
  <si>
    <t>3   9472    -80      0      0      0</t>
  </si>
  <si>
    <t>0      0   -77</t>
  </si>
  <si>
    <t>0      0      0      0  -1489   1985</t>
  </si>
  <si>
    <t>0      0  -8788    976   1131      0</t>
  </si>
  <si>
    <t>1337      0  -130</t>
  </si>
  <si>
    <t>2  -3244  -1097  -2600  -5353  -4973</t>
  </si>
  <si>
    <t>0  -2767   3370   -975 -13665  -9656</t>
  </si>
  <si>
    <t>2678      0  2057</t>
  </si>
  <si>
    <t>8  -5398    858  -1554    376      0</t>
  </si>
  <si>
    <t>0  -1112</t>
  </si>
  <si>
    <t>0      0      0    806    558      0</t>
  </si>
  <si>
    <t>0      0      0   -177    634      0</t>
  </si>
  <si>
    <t>1077   -512     9</t>
  </si>
  <si>
    <t>8    123    378      0      0      0</t>
  </si>
  <si>
    <t>0      0    -1</t>
  </si>
  <si>
    <t>0      0      0      0    753    405</t>
  </si>
  <si>
    <t>0      0  -6126    478    255      0</t>
  </si>
  <si>
    <t>215      0   -36</t>
  </si>
  <si>
    <t>4   -707   -216   -942   -583  -1321</t>
  </si>
  <si>
    <t>0   -350  -1922   1971 -16125 -11976</t>
  </si>
  <si>
    <t>8998      0  1568</t>
  </si>
  <si>
    <t>7  30656    763    -14   -260   -357</t>
  </si>
  <si>
    <t>308      0    29</t>
  </si>
  <si>
    <t>7      0      0      0     94     14</t>
  </si>
  <si>
    <t>0      0      0      0    260   -268</t>
  </si>
  <si>
    <t>-387    103   -49</t>
  </si>
  <si>
    <t>0   -185     42    -27      0      0</t>
  </si>
  <si>
    <t>0     24      0      0      0      0</t>
  </si>
  <si>
    <t>0      0      0      0      0   -333</t>
  </si>
  <si>
    <t>-322      0</t>
  </si>
  <si>
    <t>0      0      0   -277  -5329   -827</t>
  </si>
  <si>
    <t>311    269</t>
  </si>
  <si>
    <t>0   -180     43    -17     69   -208</t>
  </si>
  <si>
    <t>0      0    264    510  -1000 -10006</t>
  </si>
  <si>
    <t>0638 -21786</t>
  </si>
  <si>
    <t>0  -5448 -10801  -8408    707   -143</t>
  </si>
  <si>
    <t>0      0   371</t>
  </si>
  <si>
    <t>4      0    482      0      0      0</t>
  </si>
  <si>
    <t>0      0   -43</t>
  </si>
  <si>
    <t>5     96   -501   -202     22    -44</t>
  </si>
  <si>
    <t>0    -94</t>
  </si>
  <si>
    <t>0      0      0     14      0      0</t>
  </si>
  <si>
    <t>0   -226</t>
  </si>
  <si>
    <t>10      0    12</t>
  </si>
  <si>
    <t>9      0      0      0      0     13</t>
  </si>
  <si>
    <t>0      0     9</t>
  </si>
  <si>
    <t>9    396      0   -173    -27    -98</t>
  </si>
  <si>
    <t>151   -197</t>
  </si>
  <si>
    <t>0      0      0      0     91    232</t>
  </si>
  <si>
    <t>7384  -8559 -1095</t>
  </si>
  <si>
    <t>1 -11522      0  -5299  -9643  -7542</t>
  </si>
  <si>
    <t>-201    119   -38</t>
  </si>
  <si>
    <t>3      0      0    231      0    163</t>
  </si>
  <si>
    <t>0   -172     -</t>
  </si>
  <si>
    <t>0    507   -31</t>
  </si>
  <si>
    <t>6      0      0   -239   -233   -365</t>
  </si>
  <si>
    <t>0      0   -175      0      0      0</t>
  </si>
  <si>
    <t>0      0   -217      0      0      0</t>
  </si>
  <si>
    <t>0      0    21</t>
  </si>
  <si>
    <t>6    -69      0      6      0      0</t>
  </si>
  <si>
    <t>139    276    28</t>
  </si>
  <si>
    <t>6      0      0   -309    171      0</t>
  </si>
  <si>
    <t>8    -89    -68      0      0      0</t>
  </si>
  <si>
    <t>4 -11640    407   2340  -1843      0</t>
  </si>
  <si>
    <t>3937  32330  4536</t>
  </si>
  <si>
    <t>5  -2507  -2202    756     -1      0</t>
  </si>
  <si>
    <t>0   4403</t>
  </si>
  <si>
    <t>0      0      0   -160     10      0</t>
  </si>
  <si>
    <t>0      0      0    -90   -139      0</t>
  </si>
  <si>
    <t>2828   -368</t>
  </si>
  <si>
    <t>1  -1213   -151      0      0      0</t>
  </si>
  <si>
    <t>0      0      0      0   8514    -77</t>
  </si>
  <si>
    <t>0      0   3824  -2509  -1567      0</t>
  </si>
  <si>
    <t>-42      0    50</t>
  </si>
  <si>
    <t>1    407    388    445  -2190  -1926</t>
  </si>
  <si>
    <t>0  -2817  -7919    176 -10072 -13874</t>
  </si>
  <si>
    <t>1778      0   402</t>
  </si>
  <si>
    <t>2  -5891  -2870  12413   4132  -8176</t>
  </si>
  <si>
    <t>-22    515</t>
  </si>
  <si>
    <t>0      0    -75      0   -203      0</t>
  </si>
  <si>
    <t>166    218</t>
  </si>
  <si>
    <t>-277    643</t>
  </si>
  <si>
    <t>0      0    714   -608    646    280</t>
  </si>
  <si>
    <t>0   -122      0      0      0    -47</t>
  </si>
  <si>
    <t>0    278      0      0      0      0</t>
  </si>
  <si>
    <t>0    218   -52</t>
  </si>
  <si>
    <t>7      0    163      0      0      0</t>
  </si>
  <si>
    <t>1041    753</t>
  </si>
  <si>
    <t>0      0  -3252    200      0   -563</t>
  </si>
  <si>
    <t>-601   1064    44</t>
  </si>
  <si>
    <t>3    -37      0      0      0      0</t>
  </si>
  <si>
    <t>942  -5850  -923</t>
  </si>
  <si>
    <t>8  15926  14867  20404      0  11639</t>
  </si>
  <si>
    <t>5931  -5149  2206</t>
  </si>
  <si>
    <t>4 -12850      0      0      0      0</t>
  </si>
  <si>
    <t>115   -494    -3</t>
  </si>
  <si>
    <t>2      0      0    -73      0    -10</t>
  </si>
  <si>
    <t>0   6022  -103</t>
  </si>
  <si>
    <t>0     63    -3</t>
  </si>
  <si>
    <t>1      0      0   -746     16    460</t>
  </si>
  <si>
    <t>66      0</t>
  </si>
  <si>
    <t>0      0   -108      0      0      0</t>
  </si>
  <si>
    <t>0      0      1      0      0      0</t>
  </si>
  <si>
    <t>0      0   155</t>
  </si>
  <si>
    <t>0    246      0    621      0      0</t>
  </si>
  <si>
    <t>-373    299    21</t>
  </si>
  <si>
    <t>6      0      0    -82    -19      0</t>
  </si>
  <si>
    <t>3    108    -68      0      0      0</t>
  </si>
  <si>
    <t>0  -1301  -4573   3796 -10889      0</t>
  </si>
  <si>
    <t>4799   2228    66</t>
  </si>
  <si>
    <t>2  -2584  -3122   6873      0      0</t>
  </si>
  <si>
    <t>0      0     -5      0     67      0</t>
  </si>
  <si>
    <t>1077   7004</t>
  </si>
  <si>
    <t>279     82</t>
  </si>
  <si>
    <t>0      0    -55    492     69     52</t>
  </si>
  <si>
    <t>0    112      0      0      0    350</t>
  </si>
  <si>
    <t>0     72      0      0      0      0</t>
  </si>
  <si>
    <t>0   2720    73</t>
  </si>
  <si>
    <t>0      0    834      0      0      0</t>
  </si>
  <si>
    <t>738    627</t>
  </si>
  <si>
    <t>0      0    359   -162      0    175</t>
  </si>
  <si>
    <t>1100   -825  -138</t>
  </si>
  <si>
    <t>3   -185      0      0      0      0</t>
  </si>
  <si>
    <t>6  -5892  12079  -7688      0   4669</t>
  </si>
  <si>
    <t>8  -3900   6411      0      0 -15579</t>
  </si>
  <si>
    <t>300     61     4</t>
  </si>
  <si>
    <t>4      0      0    -74      0    332</t>
  </si>
  <si>
    <t>0   -222   -29</t>
  </si>
  <si>
    <t>0    386   -29</t>
  </si>
  <si>
    <t>6      0      0    123    507   -233</t>
  </si>
  <si>
    <t>-20      0</t>
  </si>
  <si>
    <t>0      0     42      0      0      0</t>
  </si>
  <si>
    <t>0      0     48      0      0      0</t>
  </si>
  <si>
    <t>0      0   131</t>
  </si>
  <si>
    <t>6   1259      0    460      0      0</t>
  </si>
  <si>
    <t>-379    483    36</t>
  </si>
  <si>
    <t>2      0      0   -241    139      0</t>
  </si>
  <si>
    <t>6  -1119   -251      0      0      0</t>
  </si>
  <si>
    <t>3  -4665   7714  15352   5779      0</t>
  </si>
  <si>
    <t>4482  -3469  -194</t>
  </si>
  <si>
    <t>2  -1919  -3336  13190      0      0</t>
  </si>
  <si>
    <t>0  -1860    -9</t>
  </si>
  <si>
    <t>6   -476    501      0      0   -342</t>
  </si>
  <si>
    <t>0    214    217      0      0      0</t>
  </si>
  <si>
    <t>0    314    692      0      0   3175</t>
  </si>
  <si>
    <t>2      0      0      0    -61      0</t>
  </si>
  <si>
    <t>-181      0</t>
  </si>
  <si>
    <t>0      0      0      0    -79      0</t>
  </si>
  <si>
    <t>0      0    291   -130      0   -907</t>
  </si>
  <si>
    <t>0      0   -82</t>
  </si>
  <si>
    <t>0   -211   -349      0      0    733</t>
  </si>
  <si>
    <t>136   -280    10</t>
  </si>
  <si>
    <t>5   -213   -528  -1126  -1112      0</t>
  </si>
  <si>
    <t>0    -20   -16</t>
  </si>
  <si>
    <t>9    513 -15539 -12192   3791  27636</t>
  </si>
  <si>
    <t>4368  25930  2153</t>
  </si>
  <si>
    <t>3   7272   7753  10347  13124  -8380</t>
  </si>
  <si>
    <t>-300   7934</t>
  </si>
  <si>
    <t>0   7215   -445   -379    -86    341</t>
  </si>
  <si>
    <t>13      0   -29</t>
  </si>
  <si>
    <t>8      0      0      0   -155     41</t>
  </si>
  <si>
    <t>0      0      0      0    338    162</t>
  </si>
  <si>
    <t>959   -343   -14</t>
  </si>
  <si>
    <t>5    -88   -422    -30      0      0</t>
  </si>
  <si>
    <t>0    -85      0      0      0      0</t>
  </si>
  <si>
    <t>0      0      0      0      0    538</t>
  </si>
  <si>
    <t>1305      0</t>
  </si>
  <si>
    <t>0      0      0  -1009    -52     75</t>
  </si>
  <si>
    <t>319   -126</t>
  </si>
  <si>
    <t>0    776   -708    359   -765   -679</t>
  </si>
  <si>
    <t>0      0    492   -160    474 -11959</t>
  </si>
  <si>
    <t>9522   1837</t>
  </si>
  <si>
    <t>0  11812  20900  22632    854   -714</t>
  </si>
  <si>
    <t>3646      0</t>
  </si>
  <si>
    <t>0 -12367  11462      0  11578  29994</t>
  </si>
  <si>
    <t>0      0     -9      0     -2      0</t>
  </si>
  <si>
    <t>267    225</t>
  </si>
  <si>
    <t>0      0   -521    256    251    156</t>
  </si>
  <si>
    <t>0    -59      0      0      0    122</t>
  </si>
  <si>
    <t>0    415      0      0      0      0</t>
  </si>
  <si>
    <t>0   1043    56</t>
  </si>
  <si>
    <t>2      0  -2180      0      0      0</t>
  </si>
  <si>
    <t>0      0   -148      5      0   -537</t>
  </si>
  <si>
    <t>4  -5158      0      0      0      0</t>
  </si>
  <si>
    <t>6  -2571  28129 -17668      0   8385</t>
  </si>
  <si>
    <t>1682   2096   248</t>
  </si>
  <si>
    <t>0  -5489   1674      0      0   9330</t>
  </si>
  <si>
    <t>4048  24746  3454</t>
  </si>
  <si>
    <t>0    912   -704    741   -659      0</t>
  </si>
  <si>
    <t>0    676</t>
  </si>
  <si>
    <t>0      0      0   -225     16      0</t>
  </si>
  <si>
    <t>0      0      0   -479   4259      0</t>
  </si>
  <si>
    <t>1   -512   -100      0      0      0</t>
  </si>
  <si>
    <t>3      0      0      0      0      0</t>
  </si>
  <si>
    <t>0      0      0      0   -332   -363</t>
  </si>
  <si>
    <t>0      0   -119    304    211      0</t>
  </si>
  <si>
    <t>18      0   -10</t>
  </si>
  <si>
    <t>3   -274    -47   -283   -150    268</t>
  </si>
  <si>
    <t>0  -2658    343    498  -1821  -3669</t>
  </si>
  <si>
    <t>6299      0   407</t>
  </si>
  <si>
    <t>7  11980   6963  -7029  -7551  -9908</t>
  </si>
  <si>
    <t>0      0   211</t>
  </si>
  <si>
    <t>0   4103      0   4124   9607  -4832</t>
  </si>
  <si>
    <t>0    900  -1900  -1286   -640      0</t>
  </si>
  <si>
    <t>0   -370</t>
  </si>
  <si>
    <t>0      0      0   -329  -1326      0</t>
  </si>
  <si>
    <t>0      0      0   3775   2389      0</t>
  </si>
  <si>
    <t>2516    251  -130</t>
  </si>
  <si>
    <t>1  -1297     21      0      0      0</t>
  </si>
  <si>
    <t>0      0   -37</t>
  </si>
  <si>
    <t>0      0      0      0   -377   -652</t>
  </si>
  <si>
    <t>0      0  -3856  -1191   -267      0</t>
  </si>
  <si>
    <t>-246      0    59</t>
  </si>
  <si>
    <t>0     59     61    -69    -32   1137</t>
  </si>
  <si>
    <t>0   1364  12093   1867 -80042    759</t>
  </si>
  <si>
    <t>1287      0   179</t>
  </si>
  <si>
    <t>0  -1432  -4004   2287   -391  -2957</t>
  </si>
  <si>
    <t>0      0     7</t>
  </si>
  <si>
    <t>3   2362      0   1270  -1051  -3612</t>
  </si>
  <si>
    <t>0  -3127      0      0      0      0</t>
  </si>
  <si>
    <t>0      0      0      0   3662   2679</t>
  </si>
  <si>
    <t>0      0    -3</t>
  </si>
  <si>
    <t>9      0  -1087      0      0      0</t>
  </si>
  <si>
    <t>0      0    71</t>
  </si>
  <si>
    <t>1   3838   -101    600   3049    399</t>
  </si>
  <si>
    <t>0  -3654</t>
  </si>
  <si>
    <t>0      0      0    281      0      0</t>
  </si>
  <si>
    <t>0    155</t>
  </si>
  <si>
    <t>1649      0    49</t>
  </si>
  <si>
    <t>7      0      0      0      0     75</t>
  </si>
  <si>
    <t>0      0   -68</t>
  </si>
  <si>
    <t>6    -67      0   -143     68     10</t>
  </si>
  <si>
    <t>-190    477</t>
  </si>
  <si>
    <t>0      0      0      0   -364  -3012</t>
  </si>
  <si>
    <t>241   1354   300</t>
  </si>
  <si>
    <t>1   2540      0    711    883  -1440</t>
  </si>
  <si>
    <t>141   1473    67</t>
  </si>
  <si>
    <t>6      0      0    -91     36      0</t>
  </si>
  <si>
    <t>745    879</t>
  </si>
  <si>
    <t>0      0      0      0   -111  -4891</t>
  </si>
  <si>
    <t>6667     64   -26</t>
  </si>
  <si>
    <t>9      0      0     47      0   -990</t>
  </si>
  <si>
    <t>0    -43    32</t>
  </si>
  <si>
    <t>0     77   -73</t>
  </si>
  <si>
    <t>7      0      0    665  63638   -183</t>
  </si>
  <si>
    <t>0      0  -1198      0      0      0</t>
  </si>
  <si>
    <t>0      0    121      0      0      0</t>
  </si>
  <si>
    <t>0      0  -109</t>
  </si>
  <si>
    <t>4  77975      0    -22      0      0</t>
  </si>
  <si>
    <t>-272    546    21</t>
  </si>
  <si>
    <t>2      0      0    -86    105      0</t>
  </si>
  <si>
    <t>-63    193    47</t>
  </si>
  <si>
    <t>7    478    234      0      0      0</t>
  </si>
  <si>
    <t>1151    -31   -32</t>
  </si>
  <si>
    <t>7  85006    407    855    495      0</t>
  </si>
  <si>
    <t>-52      6   -31</t>
  </si>
  <si>
    <t>9   -305  -3276    312      0      0</t>
  </si>
  <si>
    <t>0    389    66</t>
  </si>
  <si>
    <t>2    532    736      0      0      0</t>
  </si>
  <si>
    <t>797      0   598</t>
  </si>
  <si>
    <t>0  -3997   -359   8249   1059      0</t>
  </si>
  <si>
    <t>0   -321</t>
  </si>
  <si>
    <t>0      0      0    148    186      0</t>
  </si>
  <si>
    <t>0      0      0  -1141   -444      0</t>
  </si>
  <si>
    <t>465  -1017   -31</t>
  </si>
  <si>
    <t>5   -608   -217      0      0      0</t>
  </si>
  <si>
    <t>0      0      0      0   1135     33</t>
  </si>
  <si>
    <t>0      0    464    663     55      0</t>
  </si>
  <si>
    <t>41      0   -19</t>
  </si>
  <si>
    <t>3   -143   -106    -64     77    -47</t>
  </si>
  <si>
    <t>0   -224   -878     87   2037    412</t>
  </si>
  <si>
    <t>1594      0   -41</t>
  </si>
  <si>
    <t>0   -828    838   1976    229    147</t>
  </si>
  <si>
    <t>0      0    -8</t>
  </si>
  <si>
    <t>8    177      0   -303    194     13</t>
  </si>
  <si>
    <t>0   -199  -1112      0  -6065  -5981</t>
  </si>
  <si>
    <t>519   1365</t>
  </si>
  <si>
    <t>0      0   -320      0   -963      0</t>
  </si>
  <si>
    <t>420    140</t>
  </si>
  <si>
    <t>-371     77</t>
  </si>
  <si>
    <t>0      0  -1105    475    387    713</t>
  </si>
  <si>
    <t>0   -471      0      0      0    117</t>
  </si>
  <si>
    <t>0   -100      0      0      0      0</t>
  </si>
  <si>
    <t>0   1055    17</t>
  </si>
  <si>
    <t>1      0    331      0      0      0</t>
  </si>
  <si>
    <t>184     61</t>
  </si>
  <si>
    <t>0      0   -243   -161      0     -1</t>
  </si>
  <si>
    <t>1   -979      0      0      0      0</t>
  </si>
  <si>
    <t>166   5637    61</t>
  </si>
  <si>
    <t>6  -1326 -12078  -2589      0  -1369</t>
  </si>
  <si>
    <t>1411    426    39</t>
  </si>
  <si>
    <t>1    500    260      0      0   -228</t>
  </si>
  <si>
    <t>3  -2492      0      0      0      0</t>
  </si>
  <si>
    <t>0 -14631 -1291</t>
  </si>
  <si>
    <t>6  26290  -7679   -183    548   1690</t>
  </si>
  <si>
    <t>-266      0   -75</t>
  </si>
  <si>
    <t>0      0      0      0    366    398</t>
  </si>
  <si>
    <t>0      0      0      0   -278    100</t>
  </si>
  <si>
    <t>100    494   -39</t>
  </si>
  <si>
    <t>4     98    134   -200      0      0</t>
  </si>
  <si>
    <t>0    212      0      0      0      0</t>
  </si>
  <si>
    <t>0      0      0      0      0   1625</t>
  </si>
  <si>
    <t>652      0</t>
  </si>
  <si>
    <t>0      0      0    629   1003     21</t>
  </si>
  <si>
    <t>36   -152</t>
  </si>
  <si>
    <t>0   -200   -176   -185    136     92</t>
  </si>
  <si>
    <t>0      0   -275  -1108    549   3948</t>
  </si>
  <si>
    <t>2592 -10992</t>
  </si>
  <si>
    <t>0   -939  -1706    316   2888    574</t>
  </si>
  <si>
    <t>1328      0</t>
  </si>
  <si>
    <t>0    340    489      0    -46     53</t>
  </si>
  <si>
    <t>0      0   -160  -1916      0 -11583</t>
  </si>
  <si>
    <t>8726  -4864   -54</t>
  </si>
  <si>
    <t>1    522   3255      0      0   -629</t>
  </si>
  <si>
    <t>0    285    257      0      0      0</t>
  </si>
  <si>
    <t>0   -215    456      0      0   2547</t>
  </si>
  <si>
    <t>1      0      0      0   1124      0</t>
  </si>
  <si>
    <t>0      0      0      0   1267      0</t>
  </si>
  <si>
    <t>0      0    465    -34      0    276</t>
  </si>
  <si>
    <t>0      0    36</t>
  </si>
  <si>
    <t>2   -239     74      0      0    754</t>
  </si>
  <si>
    <t>61    181    -6</t>
  </si>
  <si>
    <t>6    197    344    604    202      0</t>
  </si>
  <si>
    <t>0   -362   -15</t>
  </si>
  <si>
    <t>4    249    225   -538    593    564</t>
  </si>
  <si>
    <t>235   -692   168</t>
  </si>
  <si>
    <t>7     74   1753   1490   -678   2077</t>
  </si>
  <si>
    <t>249    117</t>
  </si>
  <si>
    <t>0    468    173    681    461      0</t>
  </si>
  <si>
    <t>0   -241   -18</t>
  </si>
  <si>
    <t>9      0  -9538  -6646  18939  23257</t>
  </si>
  <si>
    <t>73    257    50</t>
  </si>
  <si>
    <t>6      0      0    -50      0    -90</t>
  </si>
  <si>
    <t>0     62     1</t>
  </si>
  <si>
    <t>0    -71    -2</t>
  </si>
  <si>
    <t>1      0      0   1156   -188    108</t>
  </si>
  <si>
    <t>-121      0</t>
  </si>
  <si>
    <t>0      0    134      0      0      0</t>
  </si>
  <si>
    <t>0      0    280      0      0      0</t>
  </si>
  <si>
    <t>0      0    64</t>
  </si>
  <si>
    <t>0   -131      0   -573      0      0</t>
  </si>
  <si>
    <t>-534    172    10</t>
  </si>
  <si>
    <t>9      0      0   -780    157      0</t>
  </si>
  <si>
    <t>3   -671   -577      0      0      0</t>
  </si>
  <si>
    <t>-520   -267    91</t>
  </si>
  <si>
    <t>4   -253   -152   -400   -437      0</t>
  </si>
  <si>
    <t>239    298    16</t>
  </si>
  <si>
    <t>6    167   -338   -682      0      0</t>
  </si>
  <si>
    <t>0    -81   -93</t>
  </si>
  <si>
    <t>8   -678   -209      0      0      0</t>
  </si>
  <si>
    <t>-763      0  -390</t>
  </si>
  <si>
    <t>9  -3714   5175   7903   7828   9444</t>
  </si>
  <si>
    <t>312   1183</t>
  </si>
  <si>
    <t>0      0   -101      0   -541      0</t>
  </si>
  <si>
    <t>134    -98</t>
  </si>
  <si>
    <t>205    321</t>
  </si>
  <si>
    <t>0      0   1416   -348    501   -828</t>
  </si>
  <si>
    <t>0   -153      0      0      0   -644</t>
  </si>
  <si>
    <t>0    721      0      0      0      0</t>
  </si>
  <si>
    <t>0  -1932   171</t>
  </si>
  <si>
    <t>3      0  -3360      0      0      0</t>
  </si>
  <si>
    <t>486    840</t>
  </si>
  <si>
    <t>0      0  -5032   1334      0  -1165</t>
  </si>
  <si>
    <t>2256  -4968  -415</t>
  </si>
  <si>
    <t>3  -3202      0      0      0      0</t>
  </si>
  <si>
    <t>1419    227     2</t>
  </si>
  <si>
    <t>4   -574  -1027  -1225      0   -672</t>
  </si>
  <si>
    <t>1356   1074    66</t>
  </si>
  <si>
    <t>1  -1313  -2582      0      0    437</t>
  </si>
  <si>
    <t>6   -375      0      0      0      0</t>
  </si>
  <si>
    <t>0 -17050  -669</t>
  </si>
  <si>
    <t>2  12874  20510  19348  23615  12127</t>
  </si>
  <si>
    <t>51   -381    21</t>
  </si>
  <si>
    <t>1      0      0   -514      0    267</t>
  </si>
  <si>
    <t>0     52    -1</t>
  </si>
  <si>
    <t>0    100     1</t>
  </si>
  <si>
    <t>6      0      0   -145    197     68</t>
  </si>
  <si>
    <t>-9      0</t>
  </si>
  <si>
    <t>0      0    476      0      0      0</t>
  </si>
  <si>
    <t>0      0     52      0      0      0</t>
  </si>
  <si>
    <t>0      0   -31</t>
  </si>
  <si>
    <t>1    228      0   -197      0      0</t>
  </si>
  <si>
    <t>-526  -4804    15</t>
  </si>
  <si>
    <t>9      0      0    330    141      0</t>
  </si>
  <si>
    <t>65     21    -3</t>
  </si>
  <si>
    <t>0     56     15      0      0      0</t>
  </si>
  <si>
    <t>589   -546    27</t>
  </si>
  <si>
    <t>5    146   2123   1337   2834      0</t>
  </si>
  <si>
    <t>374 -16791    64</t>
  </si>
  <si>
    <t>1   -121  -1801   2261      0      0</t>
  </si>
  <si>
    <t>0    239   -29</t>
  </si>
  <si>
    <t>9    -24     35      0      0      0</t>
  </si>
  <si>
    <t>536      0 -1032</t>
  </si>
  <si>
    <t>3  -2724 -10956  -5685 -15601  10705</t>
  </si>
  <si>
    <t>634    340</t>
  </si>
  <si>
    <t>0      0   -150      0   4488      0</t>
  </si>
  <si>
    <t>122    409</t>
  </si>
  <si>
    <t>0      0   -309  -3291     15    124</t>
  </si>
  <si>
    <t>0   2788      0      0      0     87</t>
  </si>
  <si>
    <t>0   -112      0      0      0      0</t>
  </si>
  <si>
    <t>0   9856   -17</t>
  </si>
  <si>
    <t>1      0   -173      0      0      0</t>
  </si>
  <si>
    <t>2545  -1421</t>
  </si>
  <si>
    <t>0      0   1283    -94      0    423</t>
  </si>
  <si>
    <t>497  -2421  -217</t>
  </si>
  <si>
    <t>1     66      0      0      0      0</t>
  </si>
  <si>
    <t>231   2892  -353</t>
  </si>
  <si>
    <t>0    348    581    -68      0   -674</t>
  </si>
  <si>
    <t>1488    451    24</t>
  </si>
  <si>
    <t>5  19015    650      0      0     99</t>
  </si>
  <si>
    <t>31  -1975  -109</t>
  </si>
  <si>
    <t>0    595      0      0      0      0</t>
  </si>
  <si>
    <t>0  -8954 -1642</t>
  </si>
  <si>
    <t>8   1428   3143   5308   8610   4019</t>
  </si>
  <si>
    <t>3521      0</t>
  </si>
  <si>
    <t>0    615   -502    129   -534      0</t>
  </si>
  <si>
    <t>0   -194</t>
  </si>
  <si>
    <t>0      0      0   -306   -164      0</t>
  </si>
  <si>
    <t>0      0      0   -195    310      0</t>
  </si>
  <si>
    <t>5   -208    -45      0      0      0</t>
  </si>
  <si>
    <t>0      0      0      0   -641   -811</t>
  </si>
  <si>
    <t>0      0    257    543    -67      0</t>
  </si>
  <si>
    <t>263      0   -39</t>
  </si>
  <si>
    <t>3   -413   -158   -589    811    420</t>
  </si>
  <si>
    <t>0    329    802    366    200    731</t>
  </si>
  <si>
    <t>2016      0  -148</t>
  </si>
  <si>
    <t>8  -3326  -1255   1956   -877  -1105</t>
  </si>
  <si>
    <t>0      0   -72</t>
  </si>
  <si>
    <t>9   -689      0  -1551   1769    355</t>
  </si>
  <si>
    <t>0    -52   2030      0   1550  -1324</t>
  </si>
  <si>
    <t>6699 -29854   255</t>
  </si>
  <si>
    <t>0   7283      0 -22487      0      0</t>
  </si>
  <si>
    <t>0      0      0      0    836   -156</t>
  </si>
  <si>
    <t>0      0    31</t>
  </si>
  <si>
    <t>9      0    322      0      0      0</t>
  </si>
  <si>
    <t>3   -229    -72    -20    -32    -72</t>
  </si>
  <si>
    <t>0     16</t>
  </si>
  <si>
    <t>0      0      0   -307      0      0</t>
  </si>
  <si>
    <t>-349      0   -17</t>
  </si>
  <si>
    <t>7      0      0      0      0    197</t>
  </si>
  <si>
    <t>0      0     4</t>
  </si>
  <si>
    <t>9     44      0    253    273    330</t>
  </si>
  <si>
    <t>292    193</t>
  </si>
  <si>
    <t>0      0      0      0     90   -109</t>
  </si>
  <si>
    <t>-598     23    98</t>
  </si>
  <si>
    <t>8    -76      0    398    810   1780</t>
  </si>
  <si>
    <t>47   -223   147</t>
  </si>
  <si>
    <t>2      0      0   1561   1654      0</t>
  </si>
  <si>
    <t>692   1469</t>
  </si>
  <si>
    <t>0      0      0      0    444   -589</t>
  </si>
  <si>
    <t>4622 -10323 -1516</t>
  </si>
  <si>
    <t>2  -6150  -5582   2386   5357      0</t>
  </si>
  <si>
    <t>0   1191 -1589</t>
  </si>
  <si>
    <t>0    501     89    280      0      0</t>
  </si>
  <si>
    <t>0    138</t>
  </si>
  <si>
    <t>0      0      0   -483   -605      0</t>
  </si>
  <si>
    <t>0      0      0    564   -180      0</t>
  </si>
  <si>
    <t>165   -174     2</t>
  </si>
  <si>
    <t>9     41    -53      0      0      0</t>
  </si>
  <si>
    <t>0      0   -10</t>
  </si>
  <si>
    <t>0      0      0      0    385    672</t>
  </si>
  <si>
    <t>0      0    261    164      5      0</t>
  </si>
  <si>
    <t>212      0     9</t>
  </si>
  <si>
    <t>3    112   -882   -212    -70    165</t>
  </si>
  <si>
    <t>0    -35   -369   -550    374     83</t>
  </si>
  <si>
    <t>-62      0     8</t>
  </si>
  <si>
    <t>1    231    858     46   -140   -190</t>
  </si>
  <si>
    <t>0      0    47</t>
  </si>
  <si>
    <t>0    445      0   -593    260    288</t>
  </si>
  <si>
    <t>0    -30   -409      0  -2987  -2695</t>
  </si>
  <si>
    <t>2657  -1197   180</t>
  </si>
  <si>
    <t>8   5063      0  -2058      0      0</t>
  </si>
  <si>
    <t>0  11602</t>
  </si>
  <si>
    <t>0      0      0      0    543    -53</t>
  </si>
  <si>
    <t>0      0    11</t>
  </si>
  <si>
    <t>8      0   -448      0      0      0</t>
  </si>
  <si>
    <t>0      0   291</t>
  </si>
  <si>
    <t>4    359  -1196  -1224  -1936   -243</t>
  </si>
  <si>
    <t>0   -378</t>
  </si>
  <si>
    <t>0      0      0   -278      0      0</t>
  </si>
  <si>
    <t>0   -448</t>
  </si>
  <si>
    <t>-293      0   -73</t>
  </si>
  <si>
    <t>5      0      0      0      0    -23</t>
  </si>
  <si>
    <t>0      0     5</t>
  </si>
  <si>
    <t>7   -153      0    -17   -302    294</t>
  </si>
  <si>
    <t>1003   -927</t>
  </si>
  <si>
    <t>0      0      0      0     55    386</t>
  </si>
  <si>
    <t>731    -99  -231</t>
  </si>
  <si>
    <t>8     62      0   -976  -2268   -649</t>
  </si>
  <si>
    <t>-423  -1993   121</t>
  </si>
  <si>
    <t>8      0      0   -126   -399      0</t>
  </si>
  <si>
    <t>3189  -2611</t>
  </si>
  <si>
    <t>0      0      0      0   -719     18</t>
  </si>
  <si>
    <t>4925  -5892  1114</t>
  </si>
  <si>
    <t>5  -8295 -33505   4290  10109      0</t>
  </si>
  <si>
    <t>0  10788  -396</t>
  </si>
  <si>
    <t>1      0  -3243      0      0   1290</t>
  </si>
  <si>
    <t>-529     22   -27</t>
  </si>
  <si>
    <t>2      0      0    258      0   -128</t>
  </si>
  <si>
    <t>0    520   -45</t>
  </si>
  <si>
    <t>0    287     8</t>
  </si>
  <si>
    <t>2      0      0    668   -521   -352</t>
  </si>
  <si>
    <t>-91      0</t>
  </si>
  <si>
    <t>0      0     -9      0      0      0</t>
  </si>
  <si>
    <t>0      0   -149      0      0      0</t>
  </si>
  <si>
    <t>8   -664      0  -1048      0      0</t>
  </si>
  <si>
    <t>96   -139</t>
  </si>
  <si>
    <t>3      0      0     88   -145      0</t>
  </si>
  <si>
    <t>623   -753   -41</t>
  </si>
  <si>
    <t>0  -3713  -1203      0      0      0</t>
  </si>
  <si>
    <t>294     54   109</t>
  </si>
  <si>
    <t>9    582   -314  -2824    798      0</t>
  </si>
  <si>
    <t>4   -252  -1478    362      0      0</t>
  </si>
  <si>
    <t>0  -1044  -317</t>
  </si>
  <si>
    <t>9 -10725  -4132      0      0      0</t>
  </si>
  <si>
    <t>238      0  -389</t>
  </si>
  <si>
    <t>0  -6829   -245  18313  -9185 -13862</t>
  </si>
  <si>
    <t>0      0   7569   1150      0  -5030</t>
  </si>
  <si>
    <t>3887      0  2959</t>
  </si>
  <si>
    <t>7   1103    187    156   -141      0</t>
  </si>
  <si>
    <t>0      0      0   -120   -504      0</t>
  </si>
  <si>
    <t>0      0      0   -323   -106      0</t>
  </si>
  <si>
    <t>91    215    31</t>
  </si>
  <si>
    <t>4    442     -6      0      0      0</t>
  </si>
  <si>
    <t>0      0      0      0     58    199</t>
  </si>
  <si>
    <t>0      0     16   -309      7      0</t>
  </si>
  <si>
    <t>30      0   -27</t>
  </si>
  <si>
    <t>7   -638    -13   -577   -303  -1150</t>
  </si>
  <si>
    <t>0   -185   -355   -416   1731    897</t>
  </si>
  <si>
    <t>2704      0   -68</t>
  </si>
  <si>
    <t>1  -1123    -28   -154   -154   -233</t>
  </si>
  <si>
    <t>0      0   -41</t>
  </si>
  <si>
    <t>4  -1032      0  -1101  -2613  -3808</t>
  </si>
  <si>
    <t>0   -498   -831      0  -6625  -4633</t>
  </si>
  <si>
    <t>9850  -1555   261</t>
  </si>
  <si>
    <t>7   7962      0    956      0      0</t>
  </si>
  <si>
    <t>0 -13651</t>
  </si>
  <si>
    <t>0      0   5659      0  19783  31879</t>
  </si>
  <si>
    <t>336   -119</t>
  </si>
  <si>
    <t>0      0    104      0    428      0</t>
  </si>
  <si>
    <t>-98     32</t>
  </si>
  <si>
    <t>-463   3724</t>
  </si>
  <si>
    <t>0      0    775   -611   -312   -320</t>
  </si>
  <si>
    <t>0    -65      0      0      0     62</t>
  </si>
  <si>
    <t>0    155      0      0      0      0</t>
  </si>
  <si>
    <t>0   -617   -64</t>
  </si>
  <si>
    <t>0      0    -31      0      0      0</t>
  </si>
  <si>
    <t>148     58</t>
  </si>
  <si>
    <t>0      0    114    -33      0    -27</t>
  </si>
  <si>
    <t>-249    138    49</t>
  </si>
  <si>
    <t>8   -121      0      0      0      0</t>
  </si>
  <si>
    <t>422   -323   -25</t>
  </si>
  <si>
    <t>6     36   -385     -9      0   -102</t>
  </si>
  <si>
    <t>482    299    32</t>
  </si>
  <si>
    <t>3  -1900    388      0      0    -52</t>
  </si>
  <si>
    <t>-255   -607    90</t>
  </si>
  <si>
    <t>5   -357      0      0      0      0</t>
  </si>
  <si>
    <t>0  -4254  -566</t>
  </si>
  <si>
    <t>9   4017  12489  11692  22168   3344</t>
  </si>
  <si>
    <t>-688      0</t>
  </si>
  <si>
    <t>0  13908  -4767      0  -4900      0</t>
  </si>
  <si>
    <t>0   1367  -936</t>
  </si>
  <si>
    <t>1   1729      0      0      0      0</t>
  </si>
  <si>
    <t>1173   -817</t>
  </si>
  <si>
    <t>0      0    280      0    155      0</t>
  </si>
  <si>
    <t>3584   1684</t>
  </si>
  <si>
    <t>0      0   1317  -2449   -353   -999</t>
  </si>
  <si>
    <t>0   2922      0      0      0   -246</t>
  </si>
  <si>
    <t>0    -76      0      0      0      0</t>
  </si>
  <si>
    <t>0    971   -72</t>
  </si>
  <si>
    <t>3      0   1035      0      0      0</t>
  </si>
  <si>
    <t>1658   -302</t>
  </si>
  <si>
    <t>0      0   2087   -160      0    791</t>
  </si>
  <si>
    <t>187    -36   126</t>
  </si>
  <si>
    <t>2    751      0      0      0      0</t>
  </si>
  <si>
    <t>1534  -5794    15</t>
  </si>
  <si>
    <t>4    -51    326    261      0   -179</t>
  </si>
  <si>
    <t>6  -3525    173      0      0    -26</t>
  </si>
  <si>
    <t>-46    -82    32</t>
  </si>
  <si>
    <t>3    148      0      0      0      0</t>
  </si>
  <si>
    <t>0 -80869   224</t>
  </si>
  <si>
    <t>5  -3531  -3729  -3930    944  -1089</t>
  </si>
  <si>
    <t>6322      0</t>
  </si>
  <si>
    <t>0 -11843  -3142      0  -1941      0</t>
  </si>
  <si>
    <t>0  -1389  -548</t>
  </si>
  <si>
    <t>9   -344      0      0      0      0</t>
  </si>
  <si>
    <t>0   3547   161</t>
  </si>
  <si>
    <t>7   2003    276      0      0    327</t>
  </si>
  <si>
    <t>0    -54    306      0      0      0</t>
  </si>
  <si>
    <t>0  -1302   -974      0      0   2015</t>
  </si>
  <si>
    <t>60     97    -2</t>
  </si>
  <si>
    <t>9      0      0      0   -338      0</t>
  </si>
  <si>
    <t>0      0      0      0    380      0</t>
  </si>
  <si>
    <t>0      0  10761   1012      0   1552</t>
  </si>
  <si>
    <t>0      0  -264</t>
  </si>
  <si>
    <t>7   -268    208      0      0      6</t>
  </si>
  <si>
    <t>583    517    43</t>
  </si>
  <si>
    <t>7    682    367    343    850      0</t>
  </si>
  <si>
    <t>0    209   207</t>
  </si>
  <si>
    <t>8  -1633   9179    317   1262   1841</t>
  </si>
  <si>
    <t>247  -1074  -154</t>
  </si>
  <si>
    <t>5     19    430    161   -405    161</t>
  </si>
  <si>
    <t>96    130</t>
  </si>
  <si>
    <t>0    429    455     70    -59      0</t>
  </si>
  <si>
    <t>0   -142   587</t>
  </si>
  <si>
    <t>9      0   8815    673   1141   1994</t>
  </si>
  <si>
    <t>43    207</t>
  </si>
  <si>
    <t>0    -25      0      0  -1827    -68</t>
  </si>
  <si>
    <t>0      0    40</t>
  </si>
  <si>
    <t>2      0    329    -82   -190      0</t>
  </si>
  <si>
    <t>0   -151   758</t>
  </si>
  <si>
    <t>1      0    612  44961    170     51</t>
  </si>
  <si>
    <t>194      0   -65</t>
  </si>
  <si>
    <t>6      0      0      0    -23     10</t>
  </si>
  <si>
    <t>0      0      0      0    148    -96</t>
  </si>
  <si>
    <t>760  61215   -26</t>
  </si>
  <si>
    <t>2   -326    -36     68      0      0</t>
  </si>
  <si>
    <t>0     65      0      0      0      0</t>
  </si>
  <si>
    <t>0      0      0      0      0   -579</t>
  </si>
  <si>
    <t>-66      0</t>
  </si>
  <si>
    <t>0      0      0     49    516    344</t>
  </si>
  <si>
    <t>-192     24</t>
  </si>
  <si>
    <t>0   -153    404    -51    135    446</t>
  </si>
  <si>
    <t>0      0    446    672   -133    932</t>
  </si>
  <si>
    <t>0   -679   -188    384     53    152</t>
  </si>
  <si>
    <t>-3      0</t>
  </si>
  <si>
    <t>0    -81    366      0    226     16</t>
  </si>
  <si>
    <t>0      0    214    137      0   1238</t>
  </si>
  <si>
    <t>9   -506   -320      0     -2      0</t>
  </si>
  <si>
    <t>-179      0    -2</t>
  </si>
  <si>
    <t>2      0      0    110      0   -132</t>
  </si>
  <si>
    <t>0      0     -9     64      0   5885</t>
  </si>
  <si>
    <t>1756    545</t>
  </si>
  <si>
    <t>0      0     15      0    -45      0</t>
  </si>
  <si>
    <t>-112    270</t>
  </si>
  <si>
    <t>0      0  -1242  -1388   1198    537</t>
  </si>
  <si>
    <t>0     70      0      0      0     61</t>
  </si>
  <si>
    <t>0     92      0      0      0      0</t>
  </si>
  <si>
    <t>0    -97   -48</t>
  </si>
  <si>
    <t>1      0   -209      0      0      0</t>
  </si>
  <si>
    <t>242    151</t>
  </si>
  <si>
    <t>0      0   -178    138      0   -152</t>
  </si>
  <si>
    <t>-31     12    -2</t>
  </si>
  <si>
    <t>4    -65      0      0      0      0</t>
  </si>
  <si>
    <t>434     15   -20</t>
  </si>
  <si>
    <t>8  -3426    -18   -201      0    -74</t>
  </si>
  <si>
    <t>537    280    -1</t>
  </si>
  <si>
    <t>8    -70     13      0      0    -83</t>
  </si>
  <si>
    <t>-125     13     1</t>
  </si>
  <si>
    <t>5     82      0      0      0      0</t>
  </si>
  <si>
    <t>0   -221   -40</t>
  </si>
  <si>
    <t>2   -470    459    453    246     89</t>
  </si>
  <si>
    <t>0   -119    -61      0     22      0</t>
  </si>
  <si>
    <t>0     46    -2</t>
  </si>
  <si>
    <t>9     30      0      0      0      0</t>
  </si>
  <si>
    <t>0  -4161  -105</t>
  </si>
  <si>
    <t>0      0   -289    646     68     14</t>
  </si>
  <si>
    <t>-21      0    -3</t>
  </si>
  <si>
    <t>9      0      0      0     66    115</t>
  </si>
  <si>
    <t>0      0      0      0    -29   -166</t>
  </si>
  <si>
    <t>720   -279    22</t>
  </si>
  <si>
    <t>9   2687   -460   -145      0      0</t>
  </si>
  <si>
    <t>0   -209      0      0      0      0</t>
  </si>
  <si>
    <t>0      0      0      0      0    686</t>
  </si>
  <si>
    <t>-787      0</t>
  </si>
  <si>
    <t>0      0      0  -1440    212    201</t>
  </si>
  <si>
    <t>1070    281</t>
  </si>
  <si>
    <t>0   -262   -735   -257   -487  -1078</t>
  </si>
  <si>
    <t>0      0    -49   -237   -443     43</t>
  </si>
  <si>
    <t>183     65</t>
  </si>
  <si>
    <t>0  12939    927   -255     78    106</t>
  </si>
  <si>
    <t>-214      0</t>
  </si>
  <si>
    <t>0     94    -80      0    -33   -484</t>
  </si>
  <si>
    <t>0      0    165   -196      0    147</t>
  </si>
  <si>
    <t>2  11082   1421      0     17      0</t>
  </si>
  <si>
    <t>-24      0   -19</t>
  </si>
  <si>
    <t>7      0      0     34      0   -107</t>
  </si>
  <si>
    <t>0      0   -118   -232      0  -5287</t>
  </si>
  <si>
    <t>0   -610   1191    -26     36      0</t>
  </si>
  <si>
    <t>0    242</t>
  </si>
  <si>
    <t>0      0      0    187    258      0</t>
  </si>
  <si>
    <t>0      0      0   -153   -616      0</t>
  </si>
  <si>
    <t>-662    822   -20</t>
  </si>
  <si>
    <t>7   5331   -321      0      0      0</t>
  </si>
  <si>
    <t>0      0   -85</t>
  </si>
  <si>
    <t>0      0      0      0  -1675   1849</t>
  </si>
  <si>
    <t>0      0  -8224    590    918      0</t>
  </si>
  <si>
    <t>1462      0  -119</t>
  </si>
  <si>
    <t>0  -3043  -1077  -2250  -5624  -4237</t>
  </si>
  <si>
    <t>0  -2726   3763  -1697   -449   -552</t>
  </si>
  <si>
    <t>37      0    31</t>
  </si>
  <si>
    <t>6  22442   -635    731    845    403</t>
  </si>
  <si>
    <t>0      0    35</t>
  </si>
  <si>
    <t>6     38      0    110  -1603   -453</t>
  </si>
  <si>
    <t>0    184  -1146      0   -374   -179</t>
  </si>
  <si>
    <t>-188  -1652    69</t>
  </si>
  <si>
    <t>3  23429      0    118      0      0</t>
  </si>
  <si>
    <t>0   -427</t>
  </si>
  <si>
    <t>0      0    157      0   -653   -215</t>
  </si>
  <si>
    <t>0   -362   -918      0  -4827  -1549</t>
  </si>
  <si>
    <t>0      0   781</t>
  </si>
  <si>
    <t>9  -1526    351   -467    -70      0</t>
  </si>
  <si>
    <t>0    557</t>
  </si>
  <si>
    <t>0      0      0     86    267      0</t>
  </si>
  <si>
    <t>0      0      0   -413   -566      0</t>
  </si>
  <si>
    <t>-91    141   -28</t>
  </si>
  <si>
    <t>7   -451   -844      0      0      0</t>
  </si>
  <si>
    <t>0      0    -2</t>
  </si>
  <si>
    <t>0      0      0      0    -21   -397</t>
  </si>
  <si>
    <t>0      0  -2946   -118    -67      0</t>
  </si>
  <si>
    <t>125      0    11</t>
  </si>
  <si>
    <t>5   -387     25   -338    -80     12</t>
  </si>
  <si>
    <t>0     25   -855    910    375   -165</t>
  </si>
  <si>
    <t>-721      0   -46</t>
  </si>
  <si>
    <t>1   -514  -6532     58    117     61</t>
  </si>
  <si>
    <t>6   -422      0   -303   -331   -166</t>
  </si>
  <si>
    <t>0    -24  -1425      0   -490   -770</t>
  </si>
  <si>
    <t>624      5    20</t>
  </si>
  <si>
    <t>9    714      0   -166      0      0</t>
  </si>
  <si>
    <t>0      0    200      0    223    595</t>
  </si>
  <si>
    <t>0    221  -1496      0  -6985  -4960</t>
  </si>
  <si>
    <t>0      0   389</t>
  </si>
  <si>
    <t>2   9915   -861   1000    136    -11</t>
  </si>
  <si>
    <t>-152      0    20</t>
  </si>
  <si>
    <t>7      0      0      0     48    363</t>
  </si>
  <si>
    <t>0      0      0      0   -358   -137</t>
  </si>
  <si>
    <t>-976   1048    88</t>
  </si>
  <si>
    <t>3    482   1025    112      0      0</t>
  </si>
  <si>
    <t>0   -116      0      0      0      0</t>
  </si>
  <si>
    <t>0      0      0      0      0    612</t>
  </si>
  <si>
    <t>0      0      0    -83  -2284   -336</t>
  </si>
  <si>
    <t>-110     57</t>
  </si>
  <si>
    <t>0    -96    102    -42     20   -135</t>
  </si>
  <si>
    <t>0      0      7   -401   -472   1047</t>
  </si>
  <si>
    <t>150    306</t>
  </si>
  <si>
    <t>0   -111    -70   -323  -7033   -938</t>
  </si>
  <si>
    <t>0   -127   -237      0   -218    124</t>
  </si>
  <si>
    <t>0      0    327   -193      0    828</t>
  </si>
  <si>
    <t>155    153     5</t>
  </si>
  <si>
    <t>7    -12    -21      0  -5349      0</t>
  </si>
  <si>
    <t>-52      0    17</t>
  </si>
  <si>
    <t>9      0      0    -16      0    323</t>
  </si>
  <si>
    <t>0      0    330   -299      0  -7921</t>
  </si>
  <si>
    <t>0   -519  -1705   1864    637    483</t>
  </si>
  <si>
    <t>0      0  -374</t>
  </si>
  <si>
    <t>4      0   -114      0      0      0</t>
  </si>
  <si>
    <t>0      0  -135</t>
  </si>
  <si>
    <t>0    414    967    592   1165    151</t>
  </si>
  <si>
    <t>0   -120</t>
  </si>
  <si>
    <t>0      0      0   -132      0      0</t>
  </si>
  <si>
    <t>0   -199</t>
  </si>
  <si>
    <t>830      0    16</t>
  </si>
  <si>
    <t>2      0      0      0      0     46</t>
  </si>
  <si>
    <t>5     98      0   -120    132   -101</t>
  </si>
  <si>
    <t>0      0      0      0    -39   -185</t>
  </si>
  <si>
    <t>1297    331    23</t>
  </si>
  <si>
    <t>0    157      0    -72      2   -138</t>
  </si>
  <si>
    <t>-128   -342    35</t>
  </si>
  <si>
    <t>8      0      0   -109   -269      0</t>
  </si>
  <si>
    <t>160    -59</t>
  </si>
  <si>
    <t>0      0      0      0    323    169</t>
  </si>
  <si>
    <t>888    -52   -30</t>
  </si>
  <si>
    <t>3   -224    554    -28     17      0</t>
  </si>
  <si>
    <t>0    359   -57</t>
  </si>
  <si>
    <t>8      0    237      0      0    -90</t>
  </si>
  <si>
    <t>28     12</t>
  </si>
  <si>
    <t>0      0      0      0    114     54</t>
  </si>
  <si>
    <t>3832  -3875</t>
  </si>
  <si>
    <t>0      0      0  -1237  -3124    319</t>
  </si>
  <si>
    <t>0    647  -3041     65     55      0</t>
  </si>
  <si>
    <t>0   -115</t>
  </si>
  <si>
    <t>0      0      0     31     27      0</t>
  </si>
  <si>
    <t>0      0      0    276   -749      0</t>
  </si>
  <si>
    <t>3569    242    22</t>
  </si>
  <si>
    <t>6    810    100      0      0      0</t>
  </si>
  <si>
    <t>0      0      0      0   6905  -1940</t>
  </si>
  <si>
    <t>0      0   3209  -2230  -1314      0</t>
  </si>
  <si>
    <t>-47      0    32</t>
  </si>
  <si>
    <t>8    307    241    398  -1791  -1267</t>
  </si>
  <si>
    <t>0  -2397  -6510    274    804  -4873</t>
  </si>
  <si>
    <t>-30      0   -33</t>
  </si>
  <si>
    <t>9   -389    878  -1025   -308     39</t>
  </si>
  <si>
    <t>6    -49      0    -92   -282     32</t>
  </si>
  <si>
    <t>0   -684  -2689      0   -442  -5776</t>
  </si>
  <si>
    <t>0  -1227      0   -568      0      0</t>
  </si>
  <si>
    <t>0     64</t>
  </si>
  <si>
    <t>0      0    -60      0   -431   -272</t>
  </si>
  <si>
    <t>0   -647  -2483      0 -20389 -16790</t>
  </si>
  <si>
    <t>0      0   178</t>
  </si>
  <si>
    <t>9  -8478  -4447  12388   6553      0</t>
  </si>
  <si>
    <t>0   -191    30</t>
  </si>
  <si>
    <t>4   -383   -201      0      0     55</t>
  </si>
  <si>
    <t>0    603      8      0      0      0</t>
  </si>
  <si>
    <t>0   -373   -211      0      0    596</t>
  </si>
  <si>
    <t>9      0      0      0     64      0</t>
  </si>
  <si>
    <t>0      0      0      0    -90      0</t>
  </si>
  <si>
    <t>0      0    417    137      0    -77</t>
  </si>
  <si>
    <t>2    246    161      0      0    -57</t>
  </si>
  <si>
    <t>295    -15    22</t>
  </si>
  <si>
    <t>4    -36   -109   -112    -47      0</t>
  </si>
  <si>
    <t>0   -100   -42</t>
  </si>
  <si>
    <t>6    193    734    241   -342   -567</t>
  </si>
  <si>
    <t>3    328    442    122     76   -527</t>
  </si>
  <si>
    <t>737   -342</t>
  </si>
  <si>
    <t>0   -162   -158   -126   -265      0</t>
  </si>
  <si>
    <t>0     75   -35</t>
  </si>
  <si>
    <t>5      0    552    229     79     74</t>
  </si>
  <si>
    <t>0    -56      0      0    -63    481</t>
  </si>
  <si>
    <t>0      0   -16</t>
  </si>
  <si>
    <t>2      0    123    311    352      0</t>
  </si>
  <si>
    <t>0    356    -9</t>
  </si>
  <si>
    <t>0      0 -14504  -9136  -5663      0</t>
  </si>
  <si>
    <t>7039  15867  1798</t>
  </si>
  <si>
    <t>1  -3507  -5169      0  -2513      0</t>
  </si>
  <si>
    <t>108    -64</t>
  </si>
  <si>
    <t>0      0    -20      0    156      0</t>
  </si>
  <si>
    <t>71  -1924</t>
  </si>
  <si>
    <t>269   -188</t>
  </si>
  <si>
    <t>0      0   -262    854     74    129</t>
  </si>
  <si>
    <t>0    148      0      0      0   -342</t>
  </si>
  <si>
    <t>0    -35      0      0      0      0</t>
  </si>
  <si>
    <t>0    922    86</t>
  </si>
  <si>
    <t>7      0    140      0      0      0</t>
  </si>
  <si>
    <t>0      0    423   -142      0     33</t>
  </si>
  <si>
    <t>1046    460    34</t>
  </si>
  <si>
    <t>6     44      0      0      0      0</t>
  </si>
  <si>
    <t>430    508    77</t>
  </si>
  <si>
    <t>9    189    -88   -195      0    -21</t>
  </si>
  <si>
    <t>72      8     2</t>
  </si>
  <si>
    <t>9    220   -238      0      0    207</t>
  </si>
  <si>
    <t>2     11      0      0      0      0</t>
  </si>
  <si>
    <t>0    206    73</t>
  </si>
  <si>
    <t>2    196    169    -52    157     39</t>
  </si>
  <si>
    <t>0    112   -106      0   -447      0</t>
  </si>
  <si>
    <t>0    -37   -12</t>
  </si>
  <si>
    <t>2    134      0      0      0      0</t>
  </si>
  <si>
    <t>0  -7481  -226</t>
  </si>
  <si>
    <t>7  -7516      0      0      0   2344</t>
  </si>
  <si>
    <t>0  -3625      0      0  19858      0</t>
  </si>
  <si>
    <t>1264    -90     9</t>
  </si>
  <si>
    <t>4      0      0    -27      0    -40</t>
  </si>
  <si>
    <t>0    384   -39</t>
  </si>
  <si>
    <t>0    446     8</t>
  </si>
  <si>
    <t>5      0      0   -388   2174    216</t>
  </si>
  <si>
    <t>0      0    179      0      0      0</t>
  </si>
  <si>
    <t>0      0    -48      0      0      0</t>
  </si>
  <si>
    <t>0      0    85</t>
  </si>
  <si>
    <t>1   2431      0    -38      0      0</t>
  </si>
  <si>
    <t>1      0      0    146    -48      0</t>
  </si>
  <si>
    <t>-121  -1614    26</t>
  </si>
  <si>
    <t>4    208    -59      0      0      0</t>
  </si>
  <si>
    <t>-289    352    53</t>
  </si>
  <si>
    <t>6   2080    -89      3    -57      0</t>
  </si>
  <si>
    <t>-249     42   -11</t>
  </si>
  <si>
    <t>4    -26    279   -250      0      0</t>
  </si>
  <si>
    <t>0  -1013   -11</t>
  </si>
  <si>
    <t>8   -106     18      0      0      0</t>
  </si>
  <si>
    <t>-518      0    39</t>
  </si>
  <si>
    <t>8   2122     22    185    133    193</t>
  </si>
  <si>
    <t>0     33</t>
  </si>
  <si>
    <t>0      0    223   -283      0   -517</t>
  </si>
  <si>
    <t>339      0   -13</t>
  </si>
  <si>
    <t>8   -343      2      0      0      0</t>
  </si>
  <si>
    <t>-280      0  -694</t>
  </si>
  <si>
    <t>1   -463   1941      0      0      0</t>
  </si>
  <si>
    <t>6470     78   114</t>
  </si>
  <si>
    <t>3      0  -3138      0      0  18403</t>
  </si>
  <si>
    <t>0   4601  -2063   -695    247      0</t>
  </si>
  <si>
    <t>0  -1130</t>
  </si>
  <si>
    <t>0      0      0    173  -1172      0</t>
  </si>
  <si>
    <t>0      0      0    362  -3272      0</t>
  </si>
  <si>
    <t>2217   1606    79</t>
  </si>
  <si>
    <t>5   1643    174      0      0      0</t>
  </si>
  <si>
    <t>0      0   -19</t>
  </si>
  <si>
    <t>2      0      0      0      0      0</t>
  </si>
  <si>
    <t>0      0      0      0   -734  -1986</t>
  </si>
  <si>
    <t>0      0    119    177    160      0</t>
  </si>
  <si>
    <t>75      0     2</t>
  </si>
  <si>
    <t>2    -48      5    -94    -18     67</t>
  </si>
  <si>
    <t>0  -2071    452    303   -673  -1824</t>
  </si>
  <si>
    <t>-93      0     4</t>
  </si>
  <si>
    <t>9    -92    219    234    191     14</t>
  </si>
  <si>
    <t>0      0     1</t>
  </si>
  <si>
    <t>4   -146      0   -121    -81    -24</t>
  </si>
  <si>
    <t>0  -5592    496      0   -704  -1949</t>
  </si>
  <si>
    <t>349    259     7</t>
  </si>
  <si>
    <t>3    263      0     77      0      0</t>
  </si>
  <si>
    <t>0      0    -23      0    -27    -58</t>
  </si>
  <si>
    <t>0  -1741    356      0  -2619  -4924</t>
  </si>
  <si>
    <t>2   2484     73  -2936  -3268      0</t>
  </si>
  <si>
    <t>0  -1168</t>
  </si>
  <si>
    <t>0   2547      0   2643      0      0</t>
  </si>
  <si>
    <t>0   1031   -912  -1182   -295      0</t>
  </si>
  <si>
    <t>0   -924</t>
  </si>
  <si>
    <t>0      0      0   -299  -1136      0</t>
  </si>
  <si>
    <t>0      0      0   2578   2530      0</t>
  </si>
  <si>
    <t>1227   1032   -95</t>
  </si>
  <si>
    <t>9   -881    -12      0      0      0</t>
  </si>
  <si>
    <t>0      0   -45</t>
  </si>
  <si>
    <t>0      0      0      0  -2093   -164</t>
  </si>
  <si>
    <t>0      0  -2776   -577   -192      0</t>
  </si>
  <si>
    <t>-209      0    19</t>
  </si>
  <si>
    <t>4    -42    -99   -328    113    730</t>
  </si>
  <si>
    <t>0   1044   9041   1479  -6566    733</t>
  </si>
  <si>
    <t>-657      0   -37</t>
  </si>
  <si>
    <t>1  -1330  -1251    295     32    -42</t>
  </si>
  <si>
    <t>0      0   -18</t>
  </si>
  <si>
    <t>8   -294      0   -466   -100    -71</t>
  </si>
  <si>
    <t>0    459  15487      0  -4481    879</t>
  </si>
  <si>
    <t>1398     18   -37</t>
  </si>
  <si>
    <t>9    438      0    587      0      0</t>
  </si>
  <si>
    <t>0   -358</t>
  </si>
  <si>
    <t>0      0   -475      0     65    134</t>
  </si>
  <si>
    <t>0    699  13736      0 -67409    369</t>
  </si>
  <si>
    <t>0      0   298</t>
  </si>
  <si>
    <t>6   -163  -3526   -702    523      0</t>
  </si>
  <si>
    <t>0   -893</t>
  </si>
  <si>
    <t>0   3084      0   2785      0      0</t>
  </si>
  <si>
    <t>0  -4227      0      0      0      0</t>
  </si>
  <si>
    <t>0      0      0      0   2059    745</t>
  </si>
  <si>
    <t>0      0   -24</t>
  </si>
  <si>
    <t>5      0    355      0      0      0</t>
  </si>
  <si>
    <t>0      0   100</t>
  </si>
  <si>
    <t>6   1244  -1560   1630   2548    152</t>
  </si>
  <si>
    <t>0  -1235</t>
  </si>
  <si>
    <t>0      0      0    663      0      0</t>
  </si>
  <si>
    <t>0    457</t>
  </si>
  <si>
    <t>1716      0   117</t>
  </si>
  <si>
    <t>0      0      0      0      0    545</t>
  </si>
  <si>
    <t>0      0  -124</t>
  </si>
  <si>
    <t>1     39      0    404    233    560</t>
  </si>
  <si>
    <t>-635    483</t>
  </si>
  <si>
    <t>0      0      0      0  -1000  -4634</t>
  </si>
  <si>
    <t>3664   1493   227</t>
  </si>
  <si>
    <t>3   2078      0   1692    -81    455</t>
  </si>
  <si>
    <t>838   4612   -46</t>
  </si>
  <si>
    <t>6      0      0    328    131      0</t>
  </si>
  <si>
    <t>81    234</t>
  </si>
  <si>
    <t>0      0      0      0   -430  -6144</t>
  </si>
  <si>
    <t>3766   1578   228</t>
  </si>
  <si>
    <t>2   2194    787   1198   -498      0</t>
  </si>
  <si>
    <t>0   4839  -106</t>
  </si>
  <si>
    <t>9      0    659      0      0    517</t>
  </si>
  <si>
    <t>-120    255</t>
  </si>
  <si>
    <t>0      0      0      0   -249  -3266</t>
  </si>
  <si>
    <t>3227   -101</t>
  </si>
  <si>
    <t>0      0      0    855   -954    691</t>
  </si>
  <si>
    <t>0   2938</t>
  </si>
  <si>
    <t>0      0    660      0    347      0</t>
  </si>
  <si>
    <t>0      0      0      0   -828  -8540</t>
  </si>
  <si>
    <t>1065    693    21</t>
  </si>
  <si>
    <t>1      0      0    -30      0   -466</t>
  </si>
  <si>
    <t>0     -2    22</t>
  </si>
  <si>
    <t>0     25   -65</t>
  </si>
  <si>
    <t>1      0      0    380  69838      5</t>
  </si>
  <si>
    <t>37      0</t>
  </si>
  <si>
    <t>0      0   -371      0      0      0</t>
  </si>
  <si>
    <t>0      0     39      0      0      0</t>
  </si>
  <si>
    <t>0      0    30</t>
  </si>
  <si>
    <t>7  78342      0     23      0      0</t>
  </si>
  <si>
    <t>-26    421    20</t>
  </si>
  <si>
    <t>5      0      0   -286     24      0</t>
  </si>
  <si>
    <t>50     91    35</t>
  </si>
  <si>
    <t>7    114     50      0      0      0</t>
  </si>
  <si>
    <t>-135   -444   148</t>
  </si>
  <si>
    <t>5  85013    384    162    149      0</t>
  </si>
  <si>
    <t>286     66    21</t>
  </si>
  <si>
    <t>5    380  -2697     39      0      0</t>
  </si>
  <si>
    <t>0    230     7</t>
  </si>
  <si>
    <t>1   -181    159      0      0      0</t>
  </si>
  <si>
    <t>-914      0   170</t>
  </si>
  <si>
    <t>6  86968    273    -33    -46   -129</t>
  </si>
  <si>
    <t>0      0  -2898   -130      0   -233</t>
  </si>
  <si>
    <t>186      0   -12</t>
  </si>
  <si>
    <t>5   -365    132      0      0      0</t>
  </si>
  <si>
    <t>-810      0   137</t>
  </si>
  <si>
    <t>0  83374   -427      0      0      0</t>
  </si>
  <si>
    <t>-564   2064   120</t>
  </si>
  <si>
    <t>9      0  -4097      0      0    136</t>
  </si>
  <si>
    <t>0   2245</t>
  </si>
  <si>
    <t>-270      0   274</t>
  </si>
  <si>
    <t>1089    -45</t>
  </si>
  <si>
    <t>0      0    -51      0     62      0</t>
  </si>
  <si>
    <t>-46    268</t>
  </si>
  <si>
    <t>370    281</t>
  </si>
  <si>
    <t>0      0  -1101   4258   1330   -163</t>
  </si>
  <si>
    <t>0   1400      0      0      0  -1048</t>
  </si>
  <si>
    <t>0   -388      0      0      0      0</t>
  </si>
  <si>
    <t>0  -4105   619</t>
  </si>
  <si>
    <t>5      0  -4096      0      0      0</t>
  </si>
  <si>
    <t>604   1001</t>
  </si>
  <si>
    <t>0      0  -5555   1522      0  -1607</t>
  </si>
  <si>
    <t>2500  -6011  -449</t>
  </si>
  <si>
    <t>2  -3522      0      0      0      0</t>
  </si>
  <si>
    <t>1432  -2455   419</t>
  </si>
  <si>
    <t>6   -537    168   -322      0  -1860</t>
  </si>
  <si>
    <t>1249   1363   114</t>
  </si>
  <si>
    <t>8  -1999  -1660      0      0    118</t>
  </si>
  <si>
    <t>240  -1787   -57</t>
  </si>
  <si>
    <t>3    351      0      0      0      0</t>
  </si>
  <si>
    <t>0   -654   462</t>
  </si>
  <si>
    <t>3   -365     98     -1  -1153   -740</t>
  </si>
  <si>
    <t>353      0</t>
  </si>
  <si>
    <t>0  -1925  -1365      0    183      0</t>
  </si>
  <si>
    <t>0   -632   -11</t>
  </si>
  <si>
    <t>3    -92      0      0      0      0</t>
  </si>
  <si>
    <t>0  -1873   463</t>
  </si>
  <si>
    <t>4    104      0      0      0     -4</t>
  </si>
  <si>
    <t>155    142</t>
  </si>
  <si>
    <t>0  -1074      0      0   -123      0</t>
  </si>
  <si>
    <t>543      0</t>
  </si>
  <si>
    <t>0 -14149   143</t>
  </si>
  <si>
    <t>3277   -757</t>
  </si>
  <si>
    <t>0      0    -61      0   -488      0</t>
  </si>
  <si>
    <t>468    142</t>
  </si>
  <si>
    <t>0      0    163   1823     48  -1090</t>
  </si>
  <si>
    <t>0    391      0      0      0   -280</t>
  </si>
  <si>
    <t>0   -120      0      0      0      0</t>
  </si>
  <si>
    <t>0  -2941   177</t>
  </si>
  <si>
    <t>0      0   -742      0      0      0</t>
  </si>
  <si>
    <t>0      0     79    268      0   -440</t>
  </si>
  <si>
    <t>-399    -14    35</t>
  </si>
  <si>
    <t>6   -348      0      0      0      0</t>
  </si>
  <si>
    <t>3250  -3582   347</t>
  </si>
  <si>
    <t>8  -1621  -2316  -2394      0  -2602</t>
  </si>
  <si>
    <t>943    874   109</t>
  </si>
  <si>
    <t>1   -896  -1149      0      0   -675</t>
  </si>
  <si>
    <t>1   -530      0      0      0      0</t>
  </si>
  <si>
    <t>0  -4305   246</t>
  </si>
  <si>
    <t>0    461   1637    818    -68   -730</t>
  </si>
  <si>
    <t>0  -1101    633      0    443      0</t>
  </si>
  <si>
    <t>0    643   166</t>
  </si>
  <si>
    <t>7    916      0      0      0      0</t>
  </si>
  <si>
    <t>0  -3442   298</t>
  </si>
  <si>
    <t>8   -116      0      0      0  -1294</t>
  </si>
  <si>
    <t>0   -369      0      0   -868      0</t>
  </si>
  <si>
    <t>-249      0</t>
  </si>
  <si>
    <t>0 -22393   -75</t>
  </si>
  <si>
    <t>723    795   -43</t>
  </si>
  <si>
    <t>3      0      0    -57      0   -388</t>
  </si>
  <si>
    <t>0    -42    -8</t>
  </si>
  <si>
    <t>0    -48   -23</t>
  </si>
  <si>
    <t>2      0      0    212   1090  -1666</t>
  </si>
  <si>
    <t>-102      0</t>
  </si>
  <si>
    <t>0      0   -633      0      0      0</t>
  </si>
  <si>
    <t>0      0     54      0      0      0</t>
  </si>
  <si>
    <t>0      0   -30</t>
  </si>
  <si>
    <t>2   2356      0    -97      0      0</t>
  </si>
  <si>
    <t>9      0      0    -25    110      0</t>
  </si>
  <si>
    <t>91     21   -14</t>
  </si>
  <si>
    <t>5    -48    301      0      0      0</t>
  </si>
  <si>
    <t>384   -941    53</t>
  </si>
  <si>
    <t>1   2500   1279    916   1645      0</t>
  </si>
  <si>
    <t>684  -5388  -143</t>
  </si>
  <si>
    <t>7  -1507  -1183    502      0      0</t>
  </si>
  <si>
    <t>4     84    166      0      0      0</t>
  </si>
  <si>
    <t>-71      0   100</t>
  </si>
  <si>
    <t>1   2500   1084    511    990   -391</t>
  </si>
  <si>
    <t>0  -8666</t>
  </si>
  <si>
    <t>0      0  -1446   1020      0    -77</t>
  </si>
  <si>
    <t>129      0    47</t>
  </si>
  <si>
    <t>8    198    372      0      0      0</t>
  </si>
  <si>
    <t>-425      0    56</t>
  </si>
  <si>
    <t>8   2795    257      0      0      0</t>
  </si>
  <si>
    <t>7      0  -1483      0      0    209</t>
  </si>
  <si>
    <t>-100      0 -1006</t>
  </si>
  <si>
    <t>6  -2270      0      0      0      0</t>
  </si>
  <si>
    <t>2709   -505</t>
  </si>
  <si>
    <t>4    715   -436      0      0   1726</t>
  </si>
  <si>
    <t>0    -52   -120      0      0      0</t>
  </si>
  <si>
    <t>0     16   -132      0      0   -255</t>
  </si>
  <si>
    <t>264    -77    -7</t>
  </si>
  <si>
    <t>1      0      0      0   -576      0</t>
  </si>
  <si>
    <t>0      0      0      0     83      0</t>
  </si>
  <si>
    <t>0      0   -960   1238      0    580</t>
  </si>
  <si>
    <t>0      0   -94</t>
  </si>
  <si>
    <t>6    195  -2178      0      0   -110</t>
  </si>
  <si>
    <t>2    -17   -127     67    130      0</t>
  </si>
  <si>
    <t>0    326   115</t>
  </si>
  <si>
    <t>1   -489    332   1889   1004    872</t>
  </si>
  <si>
    <t>1289   1408    43</t>
  </si>
  <si>
    <t>1  -1604  -6552  -2595  -1999    349</t>
  </si>
  <si>
    <t>0   -100   -300    144    -87      0</t>
  </si>
  <si>
    <t>0    688    82</t>
  </si>
  <si>
    <t>8      0   -161   1479     81   -374</t>
  </si>
  <si>
    <t>607    995</t>
  </si>
  <si>
    <t>0    752      0      0  -1843   -258</t>
  </si>
  <si>
    <t>0      0    268     62    157      0</t>
  </si>
  <si>
    <t>0    310    69</t>
  </si>
  <si>
    <t>0      0    637   1977     98      0</t>
  </si>
  <si>
    <t>721    538   -21</t>
  </si>
  <si>
    <t>3   -480  -5103      0  -1798      0</t>
  </si>
  <si>
    <t>0    -99      0      0      0      0</t>
  </si>
  <si>
    <t>0    241    44</t>
  </si>
  <si>
    <t>0      0 -12413  -4158      0      0</t>
  </si>
  <si>
    <t>0  -7433  -509</t>
  </si>
  <si>
    <t>5  23460   -511   -223    885   -102</t>
  </si>
  <si>
    <t>-30      0   -13</t>
  </si>
  <si>
    <t>4      0      0      0     93   -113</t>
  </si>
  <si>
    <t>0      0      0      0    148   -254</t>
  </si>
  <si>
    <t>3    824    226     15      0      0</t>
  </si>
  <si>
    <t>0      6      0      0      0      0</t>
  </si>
  <si>
    <t>0      0      0      0      0   -978</t>
  </si>
  <si>
    <t>196      0</t>
  </si>
  <si>
    <t>0      0      0   -619    669    529</t>
  </si>
  <si>
    <t>-424    166</t>
  </si>
  <si>
    <t>0     82   -150    -40    -44     32</t>
  </si>
  <si>
    <t>0      0    338    664   -513   1011</t>
  </si>
  <si>
    <t>5    293</t>
  </si>
  <si>
    <t>0   1971    767    417  -1847  -2873</t>
  </si>
  <si>
    <t>1695      0</t>
  </si>
  <si>
    <t>0    173      9      0     40   -578</t>
  </si>
  <si>
    <t>0      0    693   -102      0    178</t>
  </si>
  <si>
    <t>-59   -224    37</t>
  </si>
  <si>
    <t>2   1029    396      0    441      0</t>
  </si>
  <si>
    <t>-242      0   -32</t>
  </si>
  <si>
    <t>1      0      0    -94      0    189</t>
  </si>
  <si>
    <t>0      0    252   -185      0    106</t>
  </si>
  <si>
    <t>0   1202     18   -164    306    251</t>
  </si>
  <si>
    <t>2      0    -72      0    -43      0</t>
  </si>
  <si>
    <t>0      0    149   -323      0  -7455</t>
  </si>
  <si>
    <t>0      0 -12365 -11869  25093  40534</t>
  </si>
  <si>
    <t>1158    218</t>
  </si>
  <si>
    <t>0      0     27      0   -693      0</t>
  </si>
  <si>
    <t>232    -72</t>
  </si>
  <si>
    <t>0      0    917  -1036   -267   -362</t>
  </si>
  <si>
    <t>0    -67      0      0      0     32</t>
  </si>
  <si>
    <t>0   -130      0      0      0      0</t>
  </si>
  <si>
    <t>0  11661   293</t>
  </si>
  <si>
    <t>0      0    310      0      0      0</t>
  </si>
  <si>
    <t>2550  -1444</t>
  </si>
  <si>
    <t>0      0   1524   -132      0    502</t>
  </si>
  <si>
    <t>159  -1777  -117</t>
  </si>
  <si>
    <t>9    141      0      0      0      0</t>
  </si>
  <si>
    <t>140   2002   -54</t>
  </si>
  <si>
    <t>6    758    768     78      0   -563</t>
  </si>
  <si>
    <t>-322    468   121</t>
  </si>
  <si>
    <t>1  20799    564      0      0     85</t>
  </si>
  <si>
    <t>-301   -299    11</t>
  </si>
  <si>
    <t>6    596      0      0      0      0</t>
  </si>
  <si>
    <t>0   1263   -31</t>
  </si>
  <si>
    <t>7    197    -35   -607   -690   -402</t>
  </si>
  <si>
    <t>-904      0</t>
  </si>
  <si>
    <t>0  20970    518      0   -283      0</t>
  </si>
  <si>
    <t>0   -591   -35</t>
  </si>
  <si>
    <t>2    939      0      0      0      0</t>
  </si>
  <si>
    <t>0   2724    67</t>
  </si>
  <si>
    <t>7    -22      0      0      0   -464</t>
  </si>
  <si>
    <t>77     68</t>
  </si>
  <si>
    <t>0  14921      0      0    -47      0</t>
  </si>
  <si>
    <t>70      0</t>
  </si>
  <si>
    <t>0 -13734  -595</t>
  </si>
  <si>
    <t>4604  -5496 -1993</t>
  </si>
  <si>
    <t>3   -723   -580   -458    863      0</t>
  </si>
  <si>
    <t>0   -338</t>
  </si>
  <si>
    <t>0      0      0   -358    307      0</t>
  </si>
  <si>
    <t>0      0      0   -409   -188      0</t>
  </si>
  <si>
    <t>-354   1909   -43</t>
  </si>
  <si>
    <t>7   -154     46      0      0      0</t>
  </si>
  <si>
    <t>0      0   -17</t>
  </si>
  <si>
    <t>0      0      0      0  -1948  -1091</t>
  </si>
  <si>
    <t>0      0    419   1027    643      0</t>
  </si>
  <si>
    <t>-252      0   -72</t>
  </si>
  <si>
    <t>1    157   -607     69   1006    600</t>
  </si>
  <si>
    <t>0     59   -544    555    -72     92</t>
  </si>
  <si>
    <t>-933      0  -178</t>
  </si>
  <si>
    <t>0  -2678   -845    319     51  -1756</t>
  </si>
  <si>
    <t>0      0   -61</t>
  </si>
  <si>
    <t>1   -161      0   -623    489     72</t>
  </si>
  <si>
    <t>0    -86  -1262      0   -286   -388</t>
  </si>
  <si>
    <t>81   1418  -105</t>
  </si>
  <si>
    <t>9  -2775      0   1033      0      0</t>
  </si>
  <si>
    <t>0   1338</t>
  </si>
  <si>
    <t>0      0   -844      0    288    484</t>
  </si>
  <si>
    <t>0    350  -1764      0  -2611   -368</t>
  </si>
  <si>
    <t>0      0  -103</t>
  </si>
  <si>
    <t>8  -1601    148    232    340      0</t>
  </si>
  <si>
    <t>0    134</t>
  </si>
  <si>
    <t>0     19      0    -38      0      0</t>
  </si>
  <si>
    <t>0    199   -431      0   9219  -6384</t>
  </si>
  <si>
    <t>0  11662  10190 -12091  -4151  23445</t>
  </si>
  <si>
    <t>0   -665   1349   -147    -30      0</t>
  </si>
  <si>
    <t>0    204</t>
  </si>
  <si>
    <t>0      0      0   -206   5498      0</t>
  </si>
  <si>
    <t>0      0      0    171    -81      0</t>
  </si>
  <si>
    <t>1949    -67   -45</t>
  </si>
  <si>
    <t>9   -118      1      0      0      0</t>
  </si>
  <si>
    <t>0      0    66</t>
  </si>
  <si>
    <t>0      0      0      0   1838   1595</t>
  </si>
  <si>
    <t>0      0    205   -857   -341      0</t>
  </si>
  <si>
    <t>-76      0   -56</t>
  </si>
  <si>
    <t>9   4517    200   -425    141     59</t>
  </si>
  <si>
    <t>0    555   -822   -123    375   2629</t>
  </si>
  <si>
    <t>-257      0   -87</t>
  </si>
  <si>
    <t>1   -162   -671    304    269    425</t>
  </si>
  <si>
    <t>0      0   -14</t>
  </si>
  <si>
    <t>0   6019      0    393     42     22</t>
  </si>
  <si>
    <t>0   -172   -228      0    287   2681</t>
  </si>
  <si>
    <t>382    425   -51</t>
  </si>
  <si>
    <t>4   -150      0    200      0      0</t>
  </si>
  <si>
    <t>0      0   -453      0   -137   -202</t>
  </si>
  <si>
    <t>0   -154     88      0    576   2765</t>
  </si>
  <si>
    <t>0      0   -66</t>
  </si>
  <si>
    <t>3   -206   -383     92     -7      0</t>
  </si>
  <si>
    <t>0    -10</t>
  </si>
  <si>
    <t>0   1500      0    305      0      0</t>
  </si>
  <si>
    <t>0   -140   -450      0  -4434   1422</t>
  </si>
  <si>
    <t>0   8942  10586  -4260  -4031  -6813</t>
  </si>
  <si>
    <t>0      0   -236   1283    215    324</t>
  </si>
  <si>
    <t>-185      0    43</t>
  </si>
  <si>
    <t>8      0      0      0   -470   -200</t>
  </si>
  <si>
    <t>0      0      0      0    181   -320</t>
  </si>
  <si>
    <t>219   1895     -</t>
  </si>
  <si>
    <t>3   -319   -256    -38      0      0</t>
  </si>
  <si>
    <t>0     -6      0      0      0      0</t>
  </si>
  <si>
    <t>0      0      0      0      0   1243</t>
  </si>
  <si>
    <t>-296      0</t>
  </si>
  <si>
    <t>0      0      0    -11   -231   -163</t>
  </si>
  <si>
    <t>0      8    132   -543   4574     75</t>
  </si>
  <si>
    <t>0      0    141  -1127   -947    680</t>
  </si>
  <si>
    <t>0   -552   -202   -743    188     27</t>
  </si>
  <si>
    <t>-372      0</t>
  </si>
  <si>
    <t>0   -141    483      0   6714    -89</t>
  </si>
  <si>
    <t>0      0   -269   -837      0    711</t>
  </si>
  <si>
    <t>-71    -42    38</t>
  </si>
  <si>
    <t>6   -404   -519      0    292      0</t>
  </si>
  <si>
    <t>1232      0   -43</t>
  </si>
  <si>
    <t>7      0      0    711      0   -325</t>
  </si>
  <si>
    <t>0      0   -413   -614      0    657</t>
  </si>
  <si>
    <t>0   -408   -159   -350     63    -96</t>
  </si>
  <si>
    <t>0      0    -5</t>
  </si>
  <si>
    <t>7      0    141      0   2493      0</t>
  </si>
  <si>
    <t>0      0   -178  -1099      0  -2614</t>
  </si>
  <si>
    <t>0      0   5586   4919  -3057  -1105</t>
  </si>
  <si>
    <t>9009      0</t>
  </si>
  <si>
    <t>0      0  11388      0      0      0</t>
  </si>
  <si>
    <t>0   -231    395    662    -49      0</t>
  </si>
  <si>
    <t>0      0      0   -506    -40      0</t>
  </si>
  <si>
    <t>0      0      0   -281   -109      0</t>
  </si>
  <si>
    <t>496   -226   -32</t>
  </si>
  <si>
    <t>7    139     18      0      0      0</t>
  </si>
  <si>
    <t>0      0    -7</t>
  </si>
  <si>
    <t>0      0      0      0    254   1379</t>
  </si>
  <si>
    <t>0      0  -1127    485    107      0</t>
  </si>
  <si>
    <t>-99      0  -103</t>
  </si>
  <si>
    <t>2   -597   -777   -107   -605    116</t>
  </si>
  <si>
    <t>0   -101   -220   -700    510   1617</t>
  </si>
  <si>
    <t>1055      0   -70</t>
  </si>
  <si>
    <t>6    349   -525    195    -46    182</t>
  </si>
  <si>
    <t>9   -673      0   -543   -678    -40</t>
  </si>
  <si>
    <t>0   -160   -525      0    362   1459</t>
  </si>
  <si>
    <t>335     41   -34</t>
  </si>
  <si>
    <t>6    482      0    346      0      0</t>
  </si>
  <si>
    <t>0    873</t>
  </si>
  <si>
    <t>0      0   -826      0   -496    150</t>
  </si>
  <si>
    <t>0   -148   -313      0   -123   1269</t>
  </si>
  <si>
    <t>0      0   -40</t>
  </si>
  <si>
    <t>6    598    -45    249      1      0</t>
  </si>
  <si>
    <t>0      4      0     36      0      0</t>
  </si>
  <si>
    <t>0     92   -460      0  -8437   -675</t>
  </si>
  <si>
    <t>0   8980  11226  -5368   -754  -3436</t>
  </si>
  <si>
    <t>0   9481      0   7527      0      0</t>
  </si>
  <si>
    <t>1531   -383</t>
  </si>
  <si>
    <t>0      0    -39      0    596      0</t>
  </si>
  <si>
    <t>-193   2451</t>
  </si>
  <si>
    <t>0      0    812  -1620  -1443   -492</t>
  </si>
  <si>
    <t>0      9      0      0      0     95</t>
  </si>
  <si>
    <t>0    219      0      0      0      0</t>
  </si>
  <si>
    <t>0   -852  -158</t>
  </si>
  <si>
    <t>6      0   -143      0      0      0</t>
  </si>
  <si>
    <t>410    266</t>
  </si>
  <si>
    <t>0      0   -255    156      0    -73</t>
  </si>
  <si>
    <t>-202   -265    10</t>
  </si>
  <si>
    <t>1     26      0      0      0      0</t>
  </si>
  <si>
    <t>201   -362  -179</t>
  </si>
  <si>
    <t>5    568   -105    207      0   -201</t>
  </si>
  <si>
    <t>622    689    81</t>
  </si>
  <si>
    <t>2  -1798     97      0      0    -85</t>
  </si>
  <si>
    <t>1   -144      0      0      0      0</t>
  </si>
  <si>
    <t>0    -23  -154</t>
  </si>
  <si>
    <t>4    -82   -388   -163   -839   -177</t>
  </si>
  <si>
    <t>323      0</t>
  </si>
  <si>
    <t>0  -2209    274      0    489      0</t>
  </si>
  <si>
    <t>0   -210    21</t>
  </si>
  <si>
    <t>7   -218      0      0      0      0</t>
  </si>
  <si>
    <t>0   -163  -114</t>
  </si>
  <si>
    <t>5     51      0      0      0   -130</t>
  </si>
  <si>
    <t>167    210</t>
  </si>
  <si>
    <t>0  -1524      0      0     76      0</t>
  </si>
  <si>
    <t>-314      0</t>
  </si>
  <si>
    <t>0   5559  -311</t>
  </si>
  <si>
    <t>8879  -9351 -1086</t>
  </si>
  <si>
    <t>2   9743   3434      0      0      0</t>
  </si>
  <si>
    <t>4628      0</t>
  </si>
  <si>
    <t>0   2585      0      0      0      0</t>
  </si>
  <si>
    <t>1082   -385</t>
  </si>
  <si>
    <t>0      0    285      0   -435      0</t>
  </si>
  <si>
    <t>3055   2966</t>
  </si>
  <si>
    <t>0      0   1728   -385   1442  -1679</t>
  </si>
  <si>
    <t>0   1326      0      0      0   -639</t>
  </si>
  <si>
    <t>0   -537      0      0      0      0</t>
  </si>
  <si>
    <t>0   -864   138</t>
  </si>
  <si>
    <t>0      0    616      0      0      0</t>
  </si>
  <si>
    <t>0      0   2843   -330      0    542</t>
  </si>
  <si>
    <t>44    413   133</t>
  </si>
  <si>
    <t>2    556      0      0      0      0</t>
  </si>
  <si>
    <t>1749  -8441   284</t>
  </si>
  <si>
    <t>2   -605   -574   -497      0  -1294</t>
  </si>
  <si>
    <t>225    -97    21</t>
  </si>
  <si>
    <t>5  -6066    897      0      0   -177</t>
  </si>
  <si>
    <t>7   -122      0      0      0      0</t>
  </si>
  <si>
    <t>0  -5192   300</t>
  </si>
  <si>
    <t>5  -1073  -1542  -1471     98  -1111</t>
  </si>
  <si>
    <t>711      0</t>
  </si>
  <si>
    <t>0  -7184   2142      0   -728      0</t>
  </si>
  <si>
    <t>0    119     -</t>
  </si>
  <si>
    <t>5   -663      0      0      0      0</t>
  </si>
  <si>
    <t>0   4667   220</t>
  </si>
  <si>
    <t>6   -275      0      0      0   -689</t>
  </si>
  <si>
    <t>0  -3703      0      0   -414      0</t>
  </si>
  <si>
    <t>-482      0</t>
  </si>
  <si>
    <t>0 -76689   111</t>
  </si>
  <si>
    <t>1672   3185  -471</t>
  </si>
  <si>
    <t>8   6661 -20287      0      0      0</t>
  </si>
  <si>
    <t>1708      0</t>
  </si>
  <si>
    <t>0   4510      0      0      0      0</t>
  </si>
  <si>
    <t>2      0      0    -84      0   1825</t>
  </si>
  <si>
    <t>0    244   -48</t>
  </si>
  <si>
    <t>0   1254   182</t>
  </si>
  <si>
    <t>1      0      0  -1317  -1623    154</t>
  </si>
  <si>
    <t>0      0    -99      0      0      0</t>
  </si>
  <si>
    <t>0      0   -131      0      0      0</t>
  </si>
  <si>
    <t>0      0  -433</t>
  </si>
  <si>
    <t>8   -404      0     97      0      0</t>
  </si>
  <si>
    <t>2673   -479    -9</t>
  </si>
  <si>
    <t>8      0      0    167   -109      0</t>
  </si>
  <si>
    <t>237   -265    50</t>
  </si>
  <si>
    <t>6    308     63      0      0      0</t>
  </si>
  <si>
    <t>2269   2381  -331</t>
  </si>
  <si>
    <t>2   -248  -3098    116   -357      0</t>
  </si>
  <si>
    <t>2170     92    54</t>
  </si>
  <si>
    <t>0   1060  -2417    271      0      0</t>
  </si>
  <si>
    <t>0    -73    52</t>
  </si>
  <si>
    <t>4    173    466      0      0      0</t>
  </si>
  <si>
    <t>1236      0  -243</t>
  </si>
  <si>
    <t>9   -425  -1940   1276   1457    138</t>
  </si>
  <si>
    <t>0   -735</t>
  </si>
  <si>
    <t>0      0  -2164    -20      0    141</t>
  </si>
  <si>
    <t>-203      0    23</t>
  </si>
  <si>
    <t>2   -332   -111      0      0      0</t>
  </si>
  <si>
    <t>167      0  -348</t>
  </si>
  <si>
    <t>4    131   -881      0      0      0</t>
  </si>
  <si>
    <t>1320   -569   -14</t>
  </si>
  <si>
    <t>5      0  -1503      0      0    488</t>
  </si>
  <si>
    <t>0   -193</t>
  </si>
  <si>
    <t>1202      0  -520</t>
  </si>
  <si>
    <t>3  -7565      0      0      0      0</t>
  </si>
  <si>
    <t>9073   1742  -707</t>
  </si>
  <si>
    <t>6 -19025 -15012  -4582      0      0</t>
  </si>
  <si>
    <t>0 -12823</t>
  </si>
  <si>
    <t>0      0  -5139      0      0      0</t>
  </si>
  <si>
    <t>726   1396    53</t>
  </si>
  <si>
    <t>2 -17211  -1716      0      0   -272</t>
  </si>
  <si>
    <t>0    949    953      0      0      0</t>
  </si>
  <si>
    <t>0   1141    400      0      0  -2077</t>
  </si>
  <si>
    <t>308    765    43</t>
  </si>
  <si>
    <t>3      0      0      0    846      0</t>
  </si>
  <si>
    <t>0      0      0      0   -128      0</t>
  </si>
  <si>
    <t>0      0  -7928  -2776      0   2990</t>
  </si>
  <si>
    <t>0      0   652</t>
  </si>
  <si>
    <t>0    -15    243      0      0   1395</t>
  </si>
  <si>
    <t>1042   1370   -30</t>
  </si>
  <si>
    <t>1   -864   1300    610    599      0</t>
  </si>
  <si>
    <t>0  -1038   314</t>
  </si>
  <si>
    <t>8  13352  -4397   1469 -20607  -3720</t>
  </si>
  <si>
    <t>1277  -1373   106</t>
  </si>
  <si>
    <t>7    766   1038    724   -741   -804</t>
  </si>
  <si>
    <t>913   1839</t>
  </si>
  <si>
    <t>0   -724    472   -182    536      0</t>
  </si>
  <si>
    <t>0   1019   258</t>
  </si>
  <si>
    <t>9      0  -3304   1549 -22200  -5380</t>
  </si>
  <si>
    <t>1272  -2212</t>
  </si>
  <si>
    <t>0     51      0      0   -957   -199</t>
  </si>
  <si>
    <t>0      0  -100</t>
  </si>
  <si>
    <t>4      0   1552    256   -393      0</t>
  </si>
  <si>
    <t>0    124   172</t>
  </si>
  <si>
    <t>3      0  -6063   -137 -12972      0</t>
  </si>
  <si>
    <t>-446   -227   159</t>
  </si>
  <si>
    <t>7   -522   -106      0   -342      0</t>
  </si>
  <si>
    <t>0   1356</t>
  </si>
  <si>
    <t>0    -53      0      0      0      0</t>
  </si>
  <si>
    <t>0   1159   243</t>
  </si>
  <si>
    <t>7      0  -7686  -2448      0      0</t>
  </si>
  <si>
    <t>0   4380  1186</t>
  </si>
  <si>
    <t>7  -3673  -3683  -4252  -4770   2205</t>
  </si>
  <si>
    <t>0    713</t>
  </si>
  <si>
    <t>0  -3056      0      0  -2733      0</t>
  </si>
  <si>
    <t>0  -5401   221</t>
  </si>
  <si>
    <t>3  28276   -903    282  -7710  -1481</t>
  </si>
  <si>
    <t>-427      0   109</t>
  </si>
  <si>
    <t>2      0      0      0     32  -1127</t>
  </si>
  <si>
    <t>0      0      0      0    583   -375</t>
  </si>
  <si>
    <t>-886   -862    27</t>
  </si>
  <si>
    <t>0   -434  -1087    284      0      0</t>
  </si>
  <si>
    <t>0   -307      0      0      0      0</t>
  </si>
  <si>
    <t>0      0      0      0      0  -7283</t>
  </si>
  <si>
    <t>5629      0</t>
  </si>
  <si>
    <t>0      0      0   4393   -654   -189</t>
  </si>
  <si>
    <t>55    843</t>
  </si>
  <si>
    <t>0  -1258   -840  -1044  -1301   -104</t>
  </si>
  <si>
    <t>0      0     23   3377   8491  -5740</t>
  </si>
  <si>
    <t>0990  -8321</t>
  </si>
  <si>
    <t>0  -1940  -1926   -321   1087   1377</t>
  </si>
  <si>
    <t>1200      0</t>
  </si>
  <si>
    <t>0   -886   -524      0   -914  -2018</t>
  </si>
  <si>
    <t>0      0   1012   4439      0  -4577</t>
  </si>
  <si>
    <t>3253  -9980  -510</t>
  </si>
  <si>
    <t>2  -1516  -2109      0    239      0</t>
  </si>
  <si>
    <t>224      0   279</t>
  </si>
  <si>
    <t>1      0      0   -691      0   -207</t>
  </si>
  <si>
    <t>0      0     64   2765      0 -10569</t>
  </si>
  <si>
    <t>0     31   1308   3100  -1223  -1282</t>
  </si>
  <si>
    <t>0      0   114</t>
  </si>
  <si>
    <t>4      0    612      0    577      0</t>
  </si>
  <si>
    <t>0      0   2096   4374      0 -12969</t>
  </si>
  <si>
    <t>0      0   5957  15473  -2540  -4152</t>
  </si>
  <si>
    <t>0      0   2005      0  -1339      0</t>
  </si>
  <si>
    <t>0      0   -975   4570  19707  31186</t>
  </si>
  <si>
    <t>8668  -2068</t>
  </si>
  <si>
    <t>0      0   -236      0    880      0</t>
  </si>
  <si>
    <t>470  -1271</t>
  </si>
  <si>
    <t>702   -286</t>
  </si>
  <si>
    <t>0      0  -1726  -1357   1623     11</t>
  </si>
  <si>
    <t>0   1354      0      0      0   -203</t>
  </si>
  <si>
    <t>0   -285      0      0      0      0</t>
  </si>
  <si>
    <t>0 -10171  -273</t>
  </si>
  <si>
    <t>4      0   3647      0      0      0</t>
  </si>
  <si>
    <t>2166  -1045</t>
  </si>
  <si>
    <t>0      0    482   2165      0    877</t>
  </si>
  <si>
    <t>1122    991   -94</t>
  </si>
  <si>
    <t>4  -2942      0      0      0      0</t>
  </si>
  <si>
    <t>5091  -6090   293</t>
  </si>
  <si>
    <t>8  -4445  -8091 -21425      0  -2181</t>
  </si>
  <si>
    <t>1651   1583   109</t>
  </si>
  <si>
    <t>5   -268  -1601      0      0   2175</t>
  </si>
  <si>
    <t>7   1022      0      0      0      0</t>
  </si>
  <si>
    <t>0  -4513   324</t>
  </si>
  <si>
    <t>3  -5372 -10208 -22854  -6504  -1997</t>
  </si>
  <si>
    <t>514      0</t>
  </si>
  <si>
    <t>0   -681    -77      0   1858      0</t>
  </si>
  <si>
    <t>0   1097    46</t>
  </si>
  <si>
    <t>2    121      0      0      0      0</t>
  </si>
  <si>
    <t>0 -10283    -8</t>
  </si>
  <si>
    <t>2   1024      0      0      0   -101</t>
  </si>
  <si>
    <t>2343   -722</t>
  </si>
  <si>
    <t>0    547      0      0   1186      0</t>
  </si>
  <si>
    <t>597      0</t>
  </si>
  <si>
    <t>0 -11450  -220</t>
  </si>
  <si>
    <t>5023  -3571  -376</t>
  </si>
  <si>
    <t>1  -2196   2211      0      0      0</t>
  </si>
  <si>
    <t>2078      0</t>
  </si>
  <si>
    <t>0  -6406      0      0      0      0</t>
  </si>
  <si>
    <t>1743  36028  4687</t>
  </si>
  <si>
    <t>6     14   1150  -5315  -7772      0</t>
  </si>
  <si>
    <t>0   -833</t>
  </si>
  <si>
    <t>0      0      0    175   -549      0</t>
  </si>
  <si>
    <t>0      0      0    792    448      0</t>
  </si>
  <si>
    <t>2014 -10712  -354</t>
  </si>
  <si>
    <t>7  -4128   -194      0      0      0</t>
  </si>
  <si>
    <t>0      0      0      0  -6364  -1979</t>
  </si>
  <si>
    <t>0      0   5868   1371    907      0</t>
  </si>
  <si>
    <t>2610      0   128</t>
  </si>
  <si>
    <t>2   1658   -326   -663   2129   -557</t>
  </si>
  <si>
    <t>0   1382   2734   9773  -6834   -424</t>
  </si>
  <si>
    <t>-256      0  -109</t>
  </si>
  <si>
    <t>3  -2105   3087   3121   3398   3104</t>
  </si>
  <si>
    <t>4    181      0     90     54  -1552</t>
  </si>
  <si>
    <t>0   4518   3846      0  -3593   1609</t>
  </si>
  <si>
    <t>6919 -20006  -277</t>
  </si>
  <si>
    <t>3  -6548      0   -354      0      0</t>
  </si>
  <si>
    <t>0   2390</t>
  </si>
  <si>
    <t>0      0    221      0   5810    473</t>
  </si>
  <si>
    <t>0    254   3208      0  -5369     61</t>
  </si>
  <si>
    <t>0      0    17</t>
  </si>
  <si>
    <t>6    621   2413    659    952      0</t>
  </si>
  <si>
    <t>0    839</t>
  </si>
  <si>
    <t>0    512      0    522      0      0</t>
  </si>
  <si>
    <t>0   3313   1901      0  -7340  -1624</t>
  </si>
  <si>
    <t>0    652  10561   4747   3937   1000</t>
  </si>
  <si>
    <t>0    -17      0  -2651      0      0</t>
  </si>
  <si>
    <t>0   2761   2638  16082  25941  25169</t>
  </si>
  <si>
    <t>7      0      0    -92      0   1069</t>
  </si>
  <si>
    <t>0     -6   -47</t>
  </si>
  <si>
    <t>0    267     7</t>
  </si>
  <si>
    <t>7      0      0   3658    190  -2644</t>
  </si>
  <si>
    <t>106      0</t>
  </si>
  <si>
    <t>0      0   1427      0      0      0</t>
  </si>
  <si>
    <t>0      0    -41      0      0      0</t>
  </si>
  <si>
    <t>0      0  -472</t>
  </si>
  <si>
    <t>1  -1097      0   2659      0      0</t>
  </si>
  <si>
    <t>4869   -323   -31</t>
  </si>
  <si>
    <t>0      0      0   1398    147      0</t>
  </si>
  <si>
    <t>242    805   113</t>
  </si>
  <si>
    <t>3   1986   2161      0      0      0</t>
  </si>
  <si>
    <t>2310   4854  -343</t>
  </si>
  <si>
    <t>7   1308   -864  -1349  -1553      0</t>
  </si>
  <si>
    <t>180    772    82</t>
  </si>
  <si>
    <t>8    763   -459  -1524      0      0</t>
  </si>
  <si>
    <t>0   -398  -220</t>
  </si>
  <si>
    <t>5   -506   -110      0      0      0</t>
  </si>
  <si>
    <t>3214      0  -196</t>
  </si>
  <si>
    <t>7    976  -1729  -2087  -2853  -3993</t>
  </si>
  <si>
    <t>0      0   -927   -135      0   -822</t>
  </si>
  <si>
    <t>-491      0  -110</t>
  </si>
  <si>
    <t>3     67    184      0      0      0</t>
  </si>
  <si>
    <t>2054      0  -237</t>
  </si>
  <si>
    <t>1    328    -89      0      0      0</t>
  </si>
  <si>
    <t>421    -60    20</t>
  </si>
  <si>
    <t>1      0    210      0      0  -1037</t>
  </si>
  <si>
    <t>1633      0  -715</t>
  </si>
  <si>
    <t>3   -792      0      0      0      0</t>
  </si>
  <si>
    <t>8968  -1611  -227</t>
  </si>
  <si>
    <t>2  -4065    438   2086      0      0</t>
  </si>
  <si>
    <t>0    157</t>
  </si>
  <si>
    <t>0      0   1742      0      0      0</t>
  </si>
  <si>
    <t>4699   7799  1012</t>
  </si>
  <si>
    <t>7  12237  14385  19712    524   -971</t>
  </si>
  <si>
    <t>9      0   -242      0      0      0</t>
  </si>
  <si>
    <t>0      0   787</t>
  </si>
  <si>
    <t>8   -820  -4195  -3005 -22516     97</t>
  </si>
  <si>
    <t>0    757</t>
  </si>
  <si>
    <t>0      0      0    316      0      0</t>
  </si>
  <si>
    <t>0    100</t>
  </si>
  <si>
    <t>3809      0   459</t>
  </si>
  <si>
    <t>6      0      0      0      0  13704</t>
  </si>
  <si>
    <t>0      0   440</t>
  </si>
  <si>
    <t>4   -571      0   1540   3309    649</t>
  </si>
  <si>
    <t>4552   3921</t>
  </si>
  <si>
    <t>0      0      0      0   3429  -6565</t>
  </si>
  <si>
    <t>24  -1292  -287</t>
  </si>
  <si>
    <t>8  -2843      0  -2560 -25525   1161</t>
  </si>
  <si>
    <t>403   1981  -133</t>
  </si>
  <si>
    <t>3      0      0   -405   -581      0</t>
  </si>
  <si>
    <t>0      0      0      0    706    771</t>
  </si>
  <si>
    <t>6  -4392  -4739  -2703 -25515      0</t>
  </si>
  <si>
    <t>0   1678     2</t>
  </si>
  <si>
    <t>8      0  -1490      0      0   -753</t>
  </si>
  <si>
    <t>39    344</t>
  </si>
  <si>
    <t>0      0      0      0     52   2276</t>
  </si>
  <si>
    <t>1646   -242</t>
  </si>
  <si>
    <t>0      0      0  -1953 -20499    945</t>
  </si>
  <si>
    <t>0   1936</t>
  </si>
  <si>
    <t>0      0  -1437      0  -1019      0</t>
  </si>
  <si>
    <t>0      0      0      0   1277  -1146</t>
  </si>
  <si>
    <t>1347      0</t>
  </si>
  <si>
    <t>0      0      0      0 -31082   8158</t>
  </si>
  <si>
    <t>-911   2876  -115</t>
  </si>
  <si>
    <t>1      0      0      0   -295      0</t>
  </si>
  <si>
    <t>0    272</t>
  </si>
  <si>
    <t>0      0      0      0  -1355   3385</t>
  </si>
  <si>
    <t>7302  20653  2855</t>
  </si>
  <si>
    <t>7  20867      0      0      0      0</t>
  </si>
  <si>
    <t>815    382</t>
  </si>
  <si>
    <t>0      0   -620      0   -662      0</t>
  </si>
  <si>
    <t>284    440</t>
  </si>
  <si>
    <t>500   -126</t>
  </si>
  <si>
    <t>0      0   -721    256    349    194</t>
  </si>
  <si>
    <t>0     99      0      0      0     13</t>
  </si>
  <si>
    <t>0   -266      0      0      0      0</t>
  </si>
  <si>
    <t>0  -1796    48</t>
  </si>
  <si>
    <t>1      0    128      0      0      0</t>
  </si>
  <si>
    <t>0      0   -908    -16      0   -164</t>
  </si>
  <si>
    <t>-127     76   -32</t>
  </si>
  <si>
    <t>6   -604      0      0      0      0</t>
  </si>
  <si>
    <t>1458  -3219    36</t>
  </si>
  <si>
    <t>0    337    864   1094      0    241</t>
  </si>
  <si>
    <t>-236   -512     -</t>
  </si>
  <si>
    <t>7    404  -1826      0      0   -461</t>
  </si>
  <si>
    <t>-157    579   -11</t>
  </si>
  <si>
    <t>1   -912      0      0      0      0</t>
  </si>
  <si>
    <t>0  -1073   198</t>
  </si>
  <si>
    <t>5   2407   3465   1843   2111   -494</t>
  </si>
  <si>
    <t>0    223   1447      0 -23107      0</t>
  </si>
  <si>
    <t>0    464    38</t>
  </si>
  <si>
    <t>0   1822      0      0      0      0</t>
  </si>
  <si>
    <t>0    419   161</t>
  </si>
  <si>
    <t>8    942      0      0      0   -931</t>
  </si>
  <si>
    <t>236    289</t>
  </si>
  <si>
    <t>0    418      0      0 -16070      0</t>
  </si>
  <si>
    <t>2920      0</t>
  </si>
  <si>
    <t>0  -3739    53</t>
  </si>
  <si>
    <t>65   -571   124</t>
  </si>
  <si>
    <t>7   1015  -3989      0      0      0</t>
  </si>
  <si>
    <t>0  -1977      0      0      0      0</t>
  </si>
  <si>
    <t>2137 -11897  -992</t>
  </si>
  <si>
    <t>3 -10436  -9950   5194   7809      0</t>
  </si>
  <si>
    <t>0      0     67     94    721    107</t>
  </si>
  <si>
    <t>11      0    -5</t>
  </si>
  <si>
    <t>6      0      0      0  -6456   1802</t>
  </si>
  <si>
    <t>0      0      0      0   -121     64</t>
  </si>
  <si>
    <t>51    326   -25</t>
  </si>
  <si>
    <t>6   -164   -417    -14      0      0</t>
  </si>
  <si>
    <t>0  -2334      0      0      0      0</t>
  </si>
  <si>
    <t>0      0      0      0      0    968</t>
  </si>
  <si>
    <t>1454      0</t>
  </si>
  <si>
    <t>0      0      0   -930    161    -13</t>
  </si>
  <si>
    <t>-23    149</t>
  </si>
  <si>
    <t>0 -25152   5197  -1492  -1376   -596</t>
  </si>
  <si>
    <t>0      0    330   1096  -1652   -246</t>
  </si>
  <si>
    <t>-972   2517</t>
  </si>
  <si>
    <t>0   -210   -127     89   -201   -175</t>
  </si>
  <si>
    <t>-670      0</t>
  </si>
  <si>
    <t>0 -21195   4227      0  -1402   -367</t>
  </si>
  <si>
    <t>0      0   -230    143      0   -148</t>
  </si>
  <si>
    <t>-289    104    42</t>
  </si>
  <si>
    <t>8    -67    219      0    507      0</t>
  </si>
  <si>
    <t>996      0   -78</t>
  </si>
  <si>
    <t>0      0      0    128      0   -776</t>
  </si>
  <si>
    <t>0      0    313   -166      0   -947</t>
  </si>
  <si>
    <t>0     19    337    503    568    294</t>
  </si>
  <si>
    <t>0      0   -28</t>
  </si>
  <si>
    <t>8      0    441      0   -162      0</t>
  </si>
  <si>
    <t>0      0    -52    430      0  -1548</t>
  </si>
  <si>
    <t>0      0   1527   3140    460    122</t>
  </si>
  <si>
    <t>2161      0</t>
  </si>
  <si>
    <t>0      0   1386      0    557      0</t>
  </si>
  <si>
    <t>0      0    332    520   -840  -5669</t>
  </si>
  <si>
    <t>2964   1418   187</t>
  </si>
  <si>
    <t>4749    626   -73</t>
  </si>
  <si>
    <t>5   1528    200      0      0    -23</t>
  </si>
  <si>
    <t>0   1609  -8192      0      0      0</t>
  </si>
  <si>
    <t>0   -224    221      0      0    -43</t>
  </si>
  <si>
    <t>75   -306     5</t>
  </si>
  <si>
    <t>0      0      0      0    -38      0</t>
  </si>
  <si>
    <t>-678      0</t>
  </si>
  <si>
    <t>0      0      0      0     62      0</t>
  </si>
  <si>
    <t>0      0   -453   3557      0   -506</t>
  </si>
  <si>
    <t>0      0   -98</t>
  </si>
  <si>
    <t>9    340     65      0      0    247</t>
  </si>
  <si>
    <t>4511 -25224  -212</t>
  </si>
  <si>
    <t>5  -1392   -662      9    848      0</t>
  </si>
  <si>
    <t>0   -280   279</t>
  </si>
  <si>
    <t>7  -2152   -551  -1050   1702   -789</t>
  </si>
  <si>
    <t>34   -347    53</t>
  </si>
  <si>
    <t>8   -181   -264   -221    815   -652</t>
  </si>
  <si>
    <t>3947 -22313</t>
  </si>
  <si>
    <t>0  -2164   -334   -486   -484      0</t>
  </si>
  <si>
    <t>0   -411    74</t>
  </si>
  <si>
    <t>4      0   -681  -1215     18    670</t>
  </si>
  <si>
    <t>348    855</t>
  </si>
  <si>
    <t>0   -104      0      0    -45    746</t>
  </si>
  <si>
    <t>6      0    913   1906   3027      0</t>
  </si>
  <si>
    <t>0    353    17</t>
  </si>
  <si>
    <t>0      0    352  -1486   1084      0</t>
  </si>
  <si>
    <t>0     64    -95      0    475      0</t>
  </si>
  <si>
    <t>0 -11056</t>
  </si>
  <si>
    <t>0  -2210      0      0      0      0</t>
  </si>
  <si>
    <t>0   -279    38</t>
  </si>
  <si>
    <t>2      0     65   -692      0      0</t>
  </si>
  <si>
    <t>0  -2047   -51</t>
  </si>
  <si>
    <t>5   1178    831   1580   2516  -2236</t>
  </si>
  <si>
    <t>0 -38309</t>
  </si>
  <si>
    <t>0  -4520      0      0   1030      0</t>
  </si>
  <si>
    <t>0    297    18</t>
  </si>
  <si>
    <t>0  -2064  -9392    985  -9895  -4245</t>
  </si>
  <si>
    <t>0      0      0      0      0  18533</t>
  </si>
  <si>
    <t>-33    428   -13</t>
  </si>
  <si>
    <t>9      0      0     39      0    129</t>
  </si>
  <si>
    <t>0    -22     1</t>
  </si>
  <si>
    <t>0   -236    35</t>
  </si>
  <si>
    <t>7      0      0   -518    -40    422</t>
  </si>
  <si>
    <t>0      0    224      0      0      0</t>
  </si>
  <si>
    <t>0      0    115      0      0      0</t>
  </si>
  <si>
    <t>8   2040      0   -236      0      0</t>
  </si>
  <si>
    <t>192   -205   -11</t>
  </si>
  <si>
    <t>1      0      0     91     -3      0</t>
  </si>
  <si>
    <t>9909   4128   -34</t>
  </si>
  <si>
    <t>2     47   -138      0      0      0</t>
  </si>
  <si>
    <t>1340    330  -163</t>
  </si>
  <si>
    <t>8   -157    178    643    538      0</t>
  </si>
  <si>
    <t>1478   -339   -15</t>
  </si>
  <si>
    <t>1   -151   -286   1353      0      0</t>
  </si>
  <si>
    <t>0    622    -5</t>
  </si>
  <si>
    <t>0   -919   1211      0      0      0</t>
  </si>
  <si>
    <t>1110      0   -26</t>
  </si>
  <si>
    <t>4    194  -1063   -637   -398    503</t>
  </si>
  <si>
    <t>0    321</t>
  </si>
  <si>
    <t>0      0    104   -712      0  -3223</t>
  </si>
  <si>
    <t>6724      0   -63</t>
  </si>
  <si>
    <t>2   -563   -246      0      0      0</t>
  </si>
  <si>
    <t>720      0  -158</t>
  </si>
  <si>
    <t>2    138     61      0      0      0</t>
  </si>
  <si>
    <t>453     56    15</t>
  </si>
  <si>
    <t>2      0    103      0      0   -106</t>
  </si>
  <si>
    <t>0    160</t>
  </si>
  <si>
    <t>1347      0  -268</t>
  </si>
  <si>
    <t>4   -127      0      0      0      0</t>
  </si>
  <si>
    <t>3002   -735    -1</t>
  </si>
  <si>
    <t>3     62   -378   3138      0      0</t>
  </si>
  <si>
    <t>0   1102</t>
  </si>
  <si>
    <t>0      0   3965      0      0      0</t>
  </si>
  <si>
    <t>1722  -1333   198</t>
  </si>
  <si>
    <t>7   2872     73  -1591   2481   3251</t>
  </si>
  <si>
    <t>0      0      0  13503   6107   7688</t>
  </si>
  <si>
    <t>382   -169</t>
  </si>
  <si>
    <t>0      0    335      0   -649      0</t>
  </si>
  <si>
    <t>15   -106</t>
  </si>
  <si>
    <t>-65    689</t>
  </si>
  <si>
    <t>0      0   -363  -1286    401    131</t>
  </si>
  <si>
    <t>0   -100      0      0      0   -174</t>
  </si>
  <si>
    <t>0    -25      0      0      0      0</t>
  </si>
  <si>
    <t>0  -1697   189</t>
  </si>
  <si>
    <t>2      0     11      0      0      0</t>
  </si>
  <si>
    <t>0      0    262    523      0  -1283</t>
  </si>
  <si>
    <t>1588   -433    -3</t>
  </si>
  <si>
    <t>7    396      0      0      0      0</t>
  </si>
  <si>
    <t>656   -603   -92</t>
  </si>
  <si>
    <t>9  -1070  -1197   -219      0   -317</t>
  </si>
  <si>
    <t>31    -60    -5</t>
  </si>
  <si>
    <t>9   1274  -1329      0      0  -1352</t>
  </si>
  <si>
    <t>9802   -259   -27</t>
  </si>
  <si>
    <t>5   -626      0      0      0      0</t>
  </si>
  <si>
    <t>0  -1453  -123</t>
  </si>
  <si>
    <t>0    197    960     22   -523    346</t>
  </si>
  <si>
    <t>-514      0</t>
  </si>
  <si>
    <t>0    499   1921      0   -584      0</t>
  </si>
  <si>
    <t>0    922   240</t>
  </si>
  <si>
    <t>7   2300      0      0      0      0</t>
  </si>
  <si>
    <t>0   -764  -123</t>
  </si>
  <si>
    <t>5   -436      0      0      0   -147</t>
  </si>
  <si>
    <t>0    781      0      0  -2934      0</t>
  </si>
  <si>
    <t>3314      0</t>
  </si>
  <si>
    <t>0   -955  -118</t>
  </si>
  <si>
    <t>354     86    41</t>
  </si>
  <si>
    <t>7   2320  -1688      0      0      0</t>
  </si>
  <si>
    <t>0305      0</t>
  </si>
  <si>
    <t>0   -304      0      0      0      0</t>
  </si>
  <si>
    <t>3607   2905   421</t>
  </si>
  <si>
    <t>0   1246    429   3081   5356      0</t>
  </si>
  <si>
    <t>0      0  15415   7584  13441 -14988</t>
  </si>
  <si>
    <t>-404   1603</t>
  </si>
  <si>
    <t>0      0    -53      0   2017      0</t>
  </si>
  <si>
    <t>70    -79</t>
  </si>
  <si>
    <t>-161     90</t>
  </si>
  <si>
    <t>0      0  -2718  -1633   1307    926</t>
  </si>
  <si>
    <t>0   2251      0      0      0    498</t>
  </si>
  <si>
    <t>0   1594      0      0      0      0</t>
  </si>
  <si>
    <t>0  -1197    -9</t>
  </si>
  <si>
    <t>6      0  -1183      0      0      0</t>
  </si>
  <si>
    <t>0      0   2905  -1093      0   -236</t>
  </si>
  <si>
    <t>633 -12264   143</t>
  </si>
  <si>
    <t>5    616      0      0      0      0</t>
  </si>
  <si>
    <t>1675  -1550   101</t>
  </si>
  <si>
    <t>8    296  -1915   -459      0  -2112</t>
  </si>
  <si>
    <t>6  -2325   1833      0      0   -427</t>
  </si>
  <si>
    <t>-266 -18430    38</t>
  </si>
  <si>
    <t>3   -269      0      0      0      0</t>
  </si>
  <si>
    <t>0  -2348    -5</t>
  </si>
  <si>
    <t>0   1492   -223   1409   5873   -831</t>
  </si>
  <si>
    <t>311      0</t>
  </si>
  <si>
    <t>0  -1921    502      0    254      0</t>
  </si>
  <si>
    <t>0 -19270   -14</t>
  </si>
  <si>
    <t>0  -2719    -2</t>
  </si>
  <si>
    <t>8    167      0      0      0    446</t>
  </si>
  <si>
    <t>-46    102</t>
  </si>
  <si>
    <t>0    814      0      0    236      0</t>
  </si>
  <si>
    <t>164      0</t>
  </si>
  <si>
    <t>0  -4542   -30</t>
  </si>
  <si>
    <t>-312    675   160</t>
  </si>
  <si>
    <t>0    812   -636      0      0      0</t>
  </si>
  <si>
    <t>0   4769      0      0      0      0</t>
  </si>
  <si>
    <t>2302  -7867   166</t>
  </si>
  <si>
    <t>3  -6033 -29304   5648   7320      0</t>
  </si>
  <si>
    <t>0      0   -231   2103   1276   2607</t>
  </si>
  <si>
    <t>0      0   -541   -215    -43   -114</t>
  </si>
  <si>
    <t>-57      0    -5</t>
  </si>
  <si>
    <t>8      0      0      0   -169   -631</t>
  </si>
  <si>
    <t>0      0      0      0     70     11</t>
  </si>
  <si>
    <t>29   -358    -4</t>
  </si>
  <si>
    <t>4    -84   -221     27      0      0</t>
  </si>
  <si>
    <t>0    -61      0      0      0      0</t>
  </si>
  <si>
    <t>0      0      0      0      0  -1211</t>
  </si>
  <si>
    <t>0      0      0    566   -441   -297</t>
  </si>
  <si>
    <t>455   -691</t>
  </si>
  <si>
    <t>0     89    229    203    332     21</t>
  </si>
  <si>
    <t>0      0    241   1224     22   -230</t>
  </si>
  <si>
    <t>0   -172   -149    397   -261   -138</t>
  </si>
  <si>
    <t>189      0</t>
  </si>
  <si>
    <t>0    129    282      0    284   -273</t>
  </si>
  <si>
    <t>0      0    228    382      0     57</t>
  </si>
  <si>
    <t>1116  -1051   -45</t>
  </si>
  <si>
    <t>1   -176   -349      0   -121      0</t>
  </si>
  <si>
    <t>133      0     5</t>
  </si>
  <si>
    <t>6      0      0     51      0   -242</t>
  </si>
  <si>
    <t>0      0     98    229      0    121</t>
  </si>
  <si>
    <t>0    -53      2    353   -381    -79</t>
  </si>
  <si>
    <t>0      0    222      0    114      0</t>
  </si>
  <si>
    <t>0      0    232    275      0  -1619</t>
  </si>
  <si>
    <t>0      0     90   1127   -131   -116</t>
  </si>
  <si>
    <t>126      0</t>
  </si>
  <si>
    <t>0      0   -301      0   -399      0</t>
  </si>
  <si>
    <t>0      0    238    555    849  -2360</t>
  </si>
  <si>
    <t>1859   1245   197</t>
  </si>
  <si>
    <t>-533    717    47</t>
  </si>
  <si>
    <t>1     23    908   1184      0      0</t>
  </si>
  <si>
    <t>0  -1404     87   -261    699      0</t>
  </si>
  <si>
    <t>0   7807</t>
  </si>
  <si>
    <t>0      0      0    248    559      0</t>
  </si>
  <si>
    <t>0      0      0  -2702  -3648      0</t>
  </si>
  <si>
    <t>-443  -1373    78</t>
  </si>
  <si>
    <t>5    290     42      0      0      0</t>
  </si>
  <si>
    <t>0      0      0      0  12044   -313</t>
  </si>
  <si>
    <t>0      0   4540   -630   -309      0</t>
  </si>
  <si>
    <t>317      0   -62</t>
  </si>
  <si>
    <t>0  -1124   -537   -815    670   -754</t>
  </si>
  <si>
    <t>0  -1686 -10133    864  13775   -894</t>
  </si>
  <si>
    <t>1898      0   -53</t>
  </si>
  <si>
    <t>9  -2405   -383    125    435    -37</t>
  </si>
  <si>
    <t>0      0   -15</t>
  </si>
  <si>
    <t>7   -957      0  -1004     72   -903</t>
  </si>
  <si>
    <t>0  -1552 -10777      0  10144  -1109</t>
  </si>
  <si>
    <t>1410    -20    -9</t>
  </si>
  <si>
    <t>6  -2632      0    113      0      0</t>
  </si>
  <si>
    <t>0      0   -323      0    255   -750</t>
  </si>
  <si>
    <t>0  -1890  -6576      0  15835   -330</t>
  </si>
  <si>
    <t>4   -817    918   -467   -220      0</t>
  </si>
  <si>
    <t>0   -532</t>
  </si>
  <si>
    <t>0   -508      0   -361      0      0</t>
  </si>
  <si>
    <t>0   -543 -14135      0  24936   -448</t>
  </si>
  <si>
    <t>0  -5887  -3839  -1186  -1652   -729</t>
  </si>
  <si>
    <t>0  -1911      0  -1907      0      0</t>
  </si>
  <si>
    <t>0  -3454 -20791   2331   4918  11127</t>
  </si>
  <si>
    <t>5992   5956</t>
  </si>
  <si>
    <t>4063   9068   415</t>
  </si>
  <si>
    <t>5   8467  -9937      0      0    346</t>
  </si>
  <si>
    <t>511   4379    89</t>
  </si>
  <si>
    <t>1      0      0    441      0  -3087</t>
  </si>
  <si>
    <t>0    167   136</t>
  </si>
  <si>
    <t>0  -2112   -28</t>
  </si>
  <si>
    <t>3      0      0  -3827   1272    509</t>
  </si>
  <si>
    <t>0      0  -4186      0      0      0</t>
  </si>
  <si>
    <t>0      0    -29      0      0      0</t>
  </si>
  <si>
    <t>0      0  -164</t>
  </si>
  <si>
    <t>5    560      0    229      0      0</t>
  </si>
  <si>
    <t>561   2434    96</t>
  </si>
  <si>
    <t>6      0      0  -1584   -219      0</t>
  </si>
  <si>
    <t>437    511    38</t>
  </si>
  <si>
    <t>1   -507   -803      0      0      0</t>
  </si>
  <si>
    <t>0317  -5998   705</t>
  </si>
  <si>
    <t>9     83   2806   5114   4709      0</t>
  </si>
  <si>
    <t>2740   -693   -72</t>
  </si>
  <si>
    <t>1   -600  -2425   2702      0      0</t>
  </si>
  <si>
    <t>0   1107   164</t>
  </si>
  <si>
    <t>4    760   -231      0      0      0</t>
  </si>
  <si>
    <t>2771      0   707</t>
  </si>
  <si>
    <t>8   -213   3805   6510   6753   2629</t>
  </si>
  <si>
    <t>0   -847</t>
  </si>
  <si>
    <t>0      0   -831    198      0   2514</t>
  </si>
  <si>
    <t>1218      0    38</t>
  </si>
  <si>
    <t>9    300   -248      0      0      0</t>
  </si>
  <si>
    <t>3955      0 -1075</t>
  </si>
  <si>
    <t>3   1107   -173      0      0      0</t>
  </si>
  <si>
    <t>729   1546    43</t>
  </si>
  <si>
    <t>8      0  -3409      0      0   2457</t>
  </si>
  <si>
    <t>5450      0   505</t>
  </si>
  <si>
    <t>0   1393      0      0      0      0</t>
  </si>
  <si>
    <t>5744   1551    72</t>
  </si>
  <si>
    <t>5   1506  -6640   5946      0      0</t>
  </si>
  <si>
    <t>0   3065</t>
  </si>
  <si>
    <t>0      0    277      0      0      0</t>
  </si>
  <si>
    <t>5526  -8546 -1546</t>
  </si>
  <si>
    <t>8 -27172 -25176 -11939 -11086  -9654</t>
  </si>
  <si>
    <t>0      0      0 -13785  -5657  -6693</t>
  </si>
  <si>
    <t>-519      0</t>
  </si>
  <si>
    <t>0  -2301      0 -45789      0      0</t>
  </si>
  <si>
    <t>0      0      0      0    375    186</t>
  </si>
  <si>
    <t>0      0   -157      0      0      0</t>
  </si>
  <si>
    <t>0      0   143</t>
  </si>
  <si>
    <t>4   1227    -21 -11897  -1071    118</t>
  </si>
  <si>
    <t>0      0      0    429      0      0</t>
  </si>
  <si>
    <t>589      0   154</t>
  </si>
  <si>
    <t>0      0      0      0      0   2899</t>
  </si>
  <si>
    <t>0      0   216</t>
  </si>
  <si>
    <t>2   -569      0    573   1442    549</t>
  </si>
  <si>
    <t>1828   1463</t>
  </si>
  <si>
    <t>0      0      0      0     94    107</t>
  </si>
  <si>
    <t>1908   -346   -65</t>
  </si>
  <si>
    <t>0   -404      0 -31093  -2639    -30</t>
  </si>
  <si>
    <t>-181   -290    29</t>
  </si>
  <si>
    <t>7      0      0    -65    139      0</t>
  </si>
  <si>
    <t>219   -338</t>
  </si>
  <si>
    <t>0      0      0      0   -425   -625</t>
  </si>
  <si>
    <t>1485    -29    16</t>
  </si>
  <si>
    <t>2    112    340 -23404  -2566      0</t>
  </si>
  <si>
    <t>0   -235   -16</t>
  </si>
  <si>
    <t>5      0     85      0      0    -67</t>
  </si>
  <si>
    <t>0      0      0      0     -4     69</t>
  </si>
  <si>
    <t>1805   -162</t>
  </si>
  <si>
    <t>0      0      0 -42140  -3569     51</t>
  </si>
  <si>
    <t>0   -543</t>
  </si>
  <si>
    <t>0      0    107      0   -149      0</t>
  </si>
  <si>
    <t>0      0      0      0   -378   -945</t>
  </si>
  <si>
    <t>0      0      0      0   -468   2054</t>
  </si>
  <si>
    <t>2416    600   222</t>
  </si>
  <si>
    <t>8      0      0      0   1420      0</t>
  </si>
  <si>
    <t>0      0      0      0    350    347</t>
  </si>
  <si>
    <t>730    920    17</t>
  </si>
  <si>
    <t>4  15132   2226      0      0      0</t>
  </si>
  <si>
    <t>0      0   -22</t>
  </si>
  <si>
    <t>1     10   -574     85   -265   -505</t>
  </si>
  <si>
    <t>112      0     1</t>
  </si>
  <si>
    <t>3   -353      0      0      0      0</t>
  </si>
  <si>
    <t>1160    -54   -20</t>
  </si>
  <si>
    <t>1      0      0     34      0    637</t>
  </si>
  <si>
    <t>0    -85   -10</t>
  </si>
  <si>
    <t>0   -118    27</t>
  </si>
  <si>
    <t>1      0      0   2303    902   -736</t>
  </si>
  <si>
    <t>0      0   -966      0      0      0</t>
  </si>
  <si>
    <t>0      0    536      0      0      0</t>
  </si>
  <si>
    <t>0      0   144</t>
  </si>
  <si>
    <t>8   -149      0   4284      0      0</t>
  </si>
  <si>
    <t>0238   -524   -94</t>
  </si>
  <si>
    <t>2      0      0   6369  -1820      0</t>
  </si>
  <si>
    <t>1456   2776   684</t>
  </si>
  <si>
    <t>7   5187   3982      0      0      0</t>
  </si>
  <si>
    <t>4946   2141   151</t>
  </si>
  <si>
    <t>4   2916   -455  -1099   -443      0</t>
  </si>
  <si>
    <t>341   -814   -89</t>
  </si>
  <si>
    <t>3   -848   -173    963      0      0</t>
  </si>
  <si>
    <t>0    186   175</t>
  </si>
  <si>
    <t>4    358   -755      0      0      0</t>
  </si>
  <si>
    <t>-387      0   122</t>
  </si>
  <si>
    <t>9   1946    127    204    418   1638</t>
  </si>
  <si>
    <t>0      0    268     15      0    -15</t>
  </si>
  <si>
    <t>-87      0    14</t>
  </si>
  <si>
    <t>5   -151   -414      0      0      0</t>
  </si>
  <si>
    <t>-763      0   145</t>
  </si>
  <si>
    <t>5   1970   -387      0      0      0</t>
  </si>
  <si>
    <t>404   -270   -26</t>
  </si>
  <si>
    <t>1      0   -430      0      0    210</t>
  </si>
  <si>
    <t>0   -246</t>
  </si>
  <si>
    <t>-228      0   377</t>
  </si>
  <si>
    <t>5   2060      0      0      0      0</t>
  </si>
  <si>
    <t>7     32    203    931      0      0</t>
  </si>
  <si>
    <t>0    501</t>
  </si>
  <si>
    <t>0      0   -300      0      0      0</t>
  </si>
  <si>
    <t>3097   2517    90</t>
  </si>
  <si>
    <t>0   -378    489    863   2461  19574</t>
  </si>
  <si>
    <t>0      0      0   -418   -469   -897</t>
  </si>
  <si>
    <t>1397      0</t>
  </si>
  <si>
    <t>0    155      0   1739  -1180      0</t>
  </si>
  <si>
    <t>0      0   757</t>
  </si>
  <si>
    <t>0   -350    735   -168    -23      0</t>
  </si>
  <si>
    <t>0      0      0    -65   -246      0</t>
  </si>
  <si>
    <t>0      0      0    102    183      0</t>
  </si>
  <si>
    <t>1313    -93   -14</t>
  </si>
  <si>
    <t>0   -178     -3      0      0      0</t>
  </si>
  <si>
    <t>0      0      0      0   -110    942</t>
  </si>
  <si>
    <t>0      0    454   -212    -90      0</t>
  </si>
  <si>
    <t>-541      0    25</t>
  </si>
  <si>
    <t>8     95    108    338    262    229</t>
  </si>
  <si>
    <t>0     49     27   -395      0    850</t>
  </si>
  <si>
    <t>1660      0    20</t>
  </si>
  <si>
    <t>0    540   1145   -752   -529    -99</t>
  </si>
  <si>
    <t>0      0    42</t>
  </si>
  <si>
    <t>3    -76      0    604    704    345</t>
  </si>
  <si>
    <t>0   -289   -336      0    310   1084</t>
  </si>
  <si>
    <t>697   -458    -8</t>
  </si>
  <si>
    <t>9   -159      0   -331      0      0</t>
  </si>
  <si>
    <t>0   -114</t>
  </si>
  <si>
    <t>0      0    105      0    393    160</t>
  </si>
  <si>
    <t>0   -270   -321      0    482   1215</t>
  </si>
  <si>
    <t>0      0   -11</t>
  </si>
  <si>
    <t>9   -152    439   -742   -276      0</t>
  </si>
  <si>
    <t>0   -403      0    188      0      0</t>
  </si>
  <si>
    <t>0   -913   -173      0    -73    974</t>
  </si>
  <si>
    <t>0   -396   -156    203    143    106</t>
  </si>
  <si>
    <t>0   -161      0    -24      0      0</t>
  </si>
  <si>
    <t>0    198   -385    688    494   -679</t>
  </si>
  <si>
    <t>25     34</t>
  </si>
  <si>
    <t>-138    189</t>
  </si>
  <si>
    <t>2    -78   -229      0      0  -1925</t>
  </si>
  <si>
    <t>0      0      0      0    552   1645</t>
  </si>
  <si>
    <t>0  12945   1455  -2914   -660      0</t>
  </si>
  <si>
    <t>0   3654</t>
  </si>
  <si>
    <t>0      0      0    125   -973      0</t>
  </si>
  <si>
    <t>0      0      0 -45904   2712      0</t>
  </si>
  <si>
    <t>2539    421    11</t>
  </si>
  <si>
    <t>1     16     43      0      0      0</t>
  </si>
  <si>
    <t>0      0    -9</t>
  </si>
  <si>
    <t>0      0      0      0     69  -1049</t>
  </si>
  <si>
    <t>0      0     81    -55    227      0</t>
  </si>
  <si>
    <t>-807      0   -87</t>
  </si>
  <si>
    <t>0  -1399   -575   -619    190    355</t>
  </si>
  <si>
    <t>0   1433   -384    594    238  -1144</t>
  </si>
  <si>
    <t>-212      0   -25</t>
  </si>
  <si>
    <t>8   -504   -237   -523   -119   -684</t>
  </si>
  <si>
    <t>0      0   -36</t>
  </si>
  <si>
    <t>1   -830      0   -983   -180   -263</t>
  </si>
  <si>
    <t>0   1611   -200      0     48  -1320</t>
  </si>
  <si>
    <t>2   -351      0   -565      0      0</t>
  </si>
  <si>
    <t>0    751</t>
  </si>
  <si>
    <t>0      0   -923      0     61    -11</t>
  </si>
  <si>
    <t>0   2151   -233      0   -263  -1089</t>
  </si>
  <si>
    <t>5   -405     16   -267    496      0</t>
  </si>
  <si>
    <t>0    784</t>
  </si>
  <si>
    <t>0   -775      0  -1058      0      0</t>
  </si>
  <si>
    <t>0   1403   -102      0   -247  -1165</t>
  </si>
  <si>
    <t>0   -446    118   -227    -20   -404</t>
  </si>
  <si>
    <t>0   -805      0   -671      0      0</t>
  </si>
  <si>
    <t>0   1080   -140   1355    958    569</t>
  </si>
  <si>
    <t>288    517</t>
  </si>
  <si>
    <t>237    774    20</t>
  </si>
  <si>
    <t>3    537     57      0      0     56</t>
  </si>
  <si>
    <t>0      0      0      0     52    387</t>
  </si>
  <si>
    <t>0    140      0      0      0      0</t>
  </si>
  <si>
    <t>7579  10669</t>
  </si>
  <si>
    <t>0      0   4732      0  11712      0</t>
  </si>
  <si>
    <t>204    525</t>
  </si>
  <si>
    <t>5694  10445</t>
  </si>
  <si>
    <t>0      0   7636  -2653  -7309  -4359</t>
  </si>
  <si>
    <t>0   2142      0      0      0    706</t>
  </si>
  <si>
    <t>0   1037      0      0      0      0</t>
  </si>
  <si>
    <t>0    110    12</t>
  </si>
  <si>
    <t>0      0    102      0      0      0</t>
  </si>
  <si>
    <t>34     34</t>
  </si>
  <si>
    <t>0      0     74     -3      0     70</t>
  </si>
  <si>
    <t>109     -2    12</t>
  </si>
  <si>
    <t>7     80      0      0      0      0</t>
  </si>
  <si>
    <t>3    354   -135     21      0   -486</t>
  </si>
  <si>
    <t>53    183</t>
  </si>
  <si>
    <t>9    225    -26      0      0   -107</t>
  </si>
  <si>
    <t>-20      3    20</t>
  </si>
  <si>
    <t>9    -77      0      0      0      0</t>
  </si>
  <si>
    <t>0   -375   -11</t>
  </si>
  <si>
    <t>3    365    125    258    306   -232</t>
  </si>
  <si>
    <t>59      0</t>
  </si>
  <si>
    <t>0    193   -105      0      1      0</t>
  </si>
  <si>
    <t>0   -216    10</t>
  </si>
  <si>
    <t>3    -88      0      0      0      0</t>
  </si>
  <si>
    <t>0    -38    -2</t>
  </si>
  <si>
    <t>1    227      0      0      0   -608</t>
  </si>
  <si>
    <t>123    188</t>
  </si>
  <si>
    <t>0   -109      0      0   -278      0</t>
  </si>
  <si>
    <t>85      0</t>
  </si>
  <si>
    <t>0   -134    -9</t>
  </si>
  <si>
    <t>141    275     4</t>
  </si>
  <si>
    <t>9    -66   -695      0      0      0</t>
  </si>
  <si>
    <t>0    146      0      0      0      0</t>
  </si>
  <si>
    <t>943   -636   -36</t>
  </si>
  <si>
    <t>4   -686   -962    110     86      0</t>
  </si>
  <si>
    <t>0      0     38     24     -6    -18</t>
  </si>
  <si>
    <t>5      0    151   -286      0      0</t>
  </si>
  <si>
    <t>0    603   287</t>
  </si>
  <si>
    <t>0  -3068      0      0      0      0</t>
  </si>
  <si>
    <t>0  -2374   219</t>
  </si>
  <si>
    <t>0   1959   -113      0      0   1600</t>
  </si>
  <si>
    <t>0  -3851  -6980      0      0      0</t>
  </si>
  <si>
    <t>0    429   1435      0      0    131</t>
  </si>
  <si>
    <t>50   -536    -3</t>
  </si>
  <si>
    <t>7      0      0      0    283      0</t>
  </si>
  <si>
    <t>-213      0</t>
  </si>
  <si>
    <t>0      0      0      0     67      0</t>
  </si>
  <si>
    <t>0      0   8288 -40511      0   2462</t>
  </si>
  <si>
    <t>0      0   388</t>
  </si>
  <si>
    <t>2   1101   -256      0      0   1086</t>
  </si>
  <si>
    <t>1419  -1373    13</t>
  </si>
  <si>
    <t>4   -733    651  -1106   -241      0</t>
  </si>
  <si>
    <t>0  -5450  -406</t>
  </si>
  <si>
    <t>0 -18872   1437  -6314   -248   -291</t>
  </si>
  <si>
    <t>1    -96    284    151    -52    145</t>
  </si>
  <si>
    <t>386    561</t>
  </si>
  <si>
    <t>0   -268     14    475     19      0</t>
  </si>
  <si>
    <t>0    546  -193</t>
  </si>
  <si>
    <t>8      0   1231  -6653    -54    -18</t>
  </si>
  <si>
    <t>0   -307      0      0    102    306</t>
  </si>
  <si>
    <t>0      0   -29</t>
  </si>
  <si>
    <t>7      0     85    761     48      0</t>
  </si>
  <si>
    <t>0    539  -173</t>
  </si>
  <si>
    <t>6      0    850  -7158   -394      0</t>
  </si>
  <si>
    <t>5    101     47      0    211      0</t>
  </si>
  <si>
    <t>0    886</t>
  </si>
  <si>
    <t>0    -12      0      0      0      0</t>
  </si>
  <si>
    <t>0    628  -133</t>
  </si>
  <si>
    <t>5      0   3192   2746      0      0</t>
  </si>
  <si>
    <t>0  -3003  -204</t>
  </si>
  <si>
    <t>6  -1478  -1587  -2145  -2291  -1865</t>
  </si>
  <si>
    <t>0   1797</t>
  </si>
  <si>
    <t>0    405      0      0   -736      0</t>
  </si>
  <si>
    <t>0    589  -221</t>
  </si>
  <si>
    <t>7  -1342  -2151  -3502  -3710  -1906</t>
  </si>
  <si>
    <t>0      0      0      0      0    743</t>
  </si>
  <si>
    <t>1244  -2236    88</t>
  </si>
  <si>
    <t>9      0      0   -849      0   1376</t>
  </si>
  <si>
    <t>0      0    317   2094      0      0</t>
  </si>
  <si>
    <t>0   1229</t>
  </si>
  <si>
    <t>0      0      0      0     51   1207</t>
  </si>
  <si>
    <t>3821  -2758    16</t>
  </si>
  <si>
    <t>9      0      0  -1867      0   -706</t>
  </si>
  <si>
    <t>0    841    -3</t>
  </si>
  <si>
    <t>0    638   168</t>
  </si>
  <si>
    <t>5      0      0  -1073   4102    -12</t>
  </si>
  <si>
    <t>-58      0</t>
  </si>
  <si>
    <t>0      0    506      0      0      0</t>
  </si>
  <si>
    <t>0      0   -298      0      0      0</t>
  </si>
  <si>
    <t>0      0   112</t>
  </si>
  <si>
    <t>9  -6629      0    759      0      0</t>
  </si>
  <si>
    <t>-989    266    25</t>
  </si>
  <si>
    <t>6      0      0   -198   -219      0</t>
  </si>
  <si>
    <t>21   -129    -5</t>
  </si>
  <si>
    <t>7    156    146      0      0      0</t>
  </si>
  <si>
    <t>7 -31030   9825  28002  28483      0</t>
  </si>
  <si>
    <t>9021  -3420  -540</t>
  </si>
  <si>
    <t>7  -4434  -4353   5279      0      0</t>
  </si>
  <si>
    <t>0  -1752   720</t>
  </si>
  <si>
    <t>2    736   -114      0      0      0</t>
  </si>
  <si>
    <t>581      0   221</t>
  </si>
  <si>
    <t>2  -9310   -445   -445  -1289   -137</t>
  </si>
  <si>
    <t>0    144</t>
  </si>
  <si>
    <t>0      0   -394   -254      0    381</t>
  </si>
  <si>
    <t>15      0   -27</t>
  </si>
  <si>
    <t>0    807    555      0      0      0</t>
  </si>
  <si>
    <t>1288      0   215</t>
  </si>
  <si>
    <t>3  -9786   -470      0      0      0</t>
  </si>
  <si>
    <t>-784    300    46</t>
  </si>
  <si>
    <t>5      0     -5      0      0    -89</t>
  </si>
  <si>
    <t>0   -348</t>
  </si>
  <si>
    <t>1293      0   491</t>
  </si>
  <si>
    <t>3   3589      0      0      0      0</t>
  </si>
  <si>
    <t>4310  -1394  -148</t>
  </si>
  <si>
    <t>0  -2391  -3655  -2876      0      0</t>
  </si>
  <si>
    <t>0      0  -1114      0      0      0</t>
  </si>
  <si>
    <t>2105   -964  -245</t>
  </si>
  <si>
    <t>5  -9466  -8407   -376  -2006  -1927</t>
  </si>
  <si>
    <t>0      0      0     73    446   1083</t>
  </si>
  <si>
    <t>-517      0</t>
  </si>
  <si>
    <t>0  -2049      0    964    808      0</t>
  </si>
  <si>
    <t>0      0   -52</t>
  </si>
  <si>
    <t>6    902      0      0      0      0</t>
  </si>
  <si>
    <t>0      0   1519    919      0  17103</t>
  </si>
  <si>
    <t>1529    805</t>
  </si>
  <si>
    <t>0      0   -312      0    184      0</t>
  </si>
  <si>
    <t>260   -488</t>
  </si>
  <si>
    <t>759   1313</t>
  </si>
  <si>
    <t>0      0  -1168   4845    469    350</t>
  </si>
  <si>
    <t>0    903      0      0      0     56</t>
  </si>
  <si>
    <t>0   -167      0      0      0      0</t>
  </si>
  <si>
    <t>0   1110  -719</t>
  </si>
  <si>
    <t>3      0    750      0      0      0</t>
  </si>
  <si>
    <t>191     45</t>
  </si>
  <si>
    <t>0      0    157   -321      0    -36</t>
  </si>
  <si>
    <t>313    141    53</t>
  </si>
  <si>
    <t>0    362      0      0      0      0</t>
  </si>
  <si>
    <t>-401   2918  -991</t>
  </si>
  <si>
    <t>1   -295  -1178  -1057      0   -318</t>
  </si>
  <si>
    <t>350    471    57</t>
  </si>
  <si>
    <t>2   -409    -23      0      0   -128</t>
  </si>
  <si>
    <t>-46   -334    71</t>
  </si>
  <si>
    <t>6    493      0      0      0      0</t>
  </si>
  <si>
    <t>0  -3217 -3040</t>
  </si>
  <si>
    <t>0   7794  24651  25938  13068   3488</t>
  </si>
  <si>
    <t>839      0</t>
  </si>
  <si>
    <t>0  -2248  -1565      0  -1995      0</t>
  </si>
  <si>
    <t>0   -753  -373</t>
  </si>
  <si>
    <t>0  -2907      0      0      0      0</t>
  </si>
  <si>
    <t>0   2058 -1153</t>
  </si>
  <si>
    <t>2   -286      0      0      0   -244</t>
  </si>
  <si>
    <t>374    199</t>
  </si>
  <si>
    <t>0   -104      0      0    285      0</t>
  </si>
  <si>
    <t>-245      0</t>
  </si>
  <si>
    <t>0   5642   355</t>
  </si>
  <si>
    <t>1843  -2117  -287</t>
  </si>
  <si>
    <t>3  -3830  -2561      0      0      0</t>
  </si>
  <si>
    <t>0   -705      0      0      0      0</t>
  </si>
  <si>
    <t>947  -2365  -851</t>
  </si>
  <si>
    <t>8  -8607  -3271  -1204   -948      0</t>
  </si>
  <si>
    <t>0      0   -760     68   -314   1321</t>
  </si>
  <si>
    <t>0      0  -231</t>
  </si>
  <si>
    <t>9      0   1406    543      0      0</t>
  </si>
  <si>
    <t>0   -216   198</t>
  </si>
  <si>
    <t>0   1876   1640      0  19775  27474</t>
  </si>
  <si>
    <t>373   -260</t>
  </si>
  <si>
    <t>0      0   -197      0   1515      0</t>
  </si>
  <si>
    <t>-306    992</t>
  </si>
  <si>
    <t>173    726</t>
  </si>
  <si>
    <t>0      0   -320   4666   -202    -40</t>
  </si>
  <si>
    <t>0    828      0      0      0     42</t>
  </si>
  <si>
    <t>0    400  -562</t>
  </si>
  <si>
    <t>3      0    337      0      0      0</t>
  </si>
  <si>
    <t>0      0    186   -218      0    107</t>
  </si>
  <si>
    <t>18    418    31</t>
  </si>
  <si>
    <t>9    110      0      0      0      0</t>
  </si>
  <si>
    <t>-170    747  -734</t>
  </si>
  <si>
    <t>5    172    540    580      0    245</t>
  </si>
  <si>
    <t>-173    115    24</t>
  </si>
  <si>
    <t>7   -548      0      0      0    -11</t>
  </si>
  <si>
    <t>56    200    10</t>
  </si>
  <si>
    <t>4     56      0      0      0      0</t>
  </si>
  <si>
    <t>0    951  -832</t>
  </si>
  <si>
    <t>1   -117    433    312   -237    172</t>
  </si>
  <si>
    <t>-279      0</t>
  </si>
  <si>
    <t>0   -697    155      0     64      0</t>
  </si>
  <si>
    <t>0    263    34</t>
  </si>
  <si>
    <t>5    166      0      0      0      0</t>
  </si>
  <si>
    <t>0   1469 -3387</t>
  </si>
  <si>
    <t>0  -2809      0      0      0   1369</t>
  </si>
  <si>
    <t>5185   1137</t>
  </si>
  <si>
    <t>0  -5354      0      0   2544      0</t>
  </si>
  <si>
    <t>5148      0</t>
  </si>
  <si>
    <t>0   3821   627</t>
  </si>
  <si>
    <t>2518  -2569  -337</t>
  </si>
  <si>
    <t>1  -4127  -2649      0      0      0</t>
  </si>
  <si>
    <t>-224      0</t>
  </si>
  <si>
    <t>0  -1073      0      0      0      0</t>
  </si>
  <si>
    <t>1109    236  -125</t>
  </si>
  <si>
    <t>9  -1291   -857   -281   1404      0</t>
  </si>
  <si>
    <t>0      0   -205   -171   1823   -272</t>
  </si>
  <si>
    <t>0      0  -148</t>
  </si>
  <si>
    <t>0      0   -624  -1313      0      0</t>
  </si>
  <si>
    <t>0   -363   177</t>
  </si>
  <si>
    <t>0   1074    460      0  18707  25208</t>
  </si>
  <si>
    <t>6618  -4765   -41</t>
  </si>
  <si>
    <t>1      0      0   -692      0   -351</t>
  </si>
  <si>
    <t>0    994   252</t>
  </si>
  <si>
    <t>0   8649   328</t>
  </si>
  <si>
    <t>4      0      0    788  -7909    348</t>
  </si>
  <si>
    <t>0      0  -1230      0      0      0</t>
  </si>
  <si>
    <t>0      0     96      0      0      0</t>
  </si>
  <si>
    <t>0      0  -253</t>
  </si>
  <si>
    <t>5   -688      0    615      0      0</t>
  </si>
  <si>
    <t>1238   -446   -40</t>
  </si>
  <si>
    <t>3      0      0    638    201      0</t>
  </si>
  <si>
    <t>790   -133    32</t>
  </si>
  <si>
    <t>7    225    571      0      0      0</t>
  </si>
  <si>
    <t>4228    696  -405</t>
  </si>
  <si>
    <t>2   2906  -1319   -856  -1271      0</t>
  </si>
  <si>
    <t>1467     86   -29</t>
  </si>
  <si>
    <t>9    388  -1801     83      0      0</t>
  </si>
  <si>
    <t>0    499    -8</t>
  </si>
  <si>
    <t>8   -271     73      0      0      0</t>
  </si>
  <si>
    <t>6229      0  -405</t>
  </si>
  <si>
    <t>5   3486  -1206  -1243  -1106    976</t>
  </si>
  <si>
    <t>0    255</t>
  </si>
  <si>
    <t>0      0  -1874   -269      0   -208</t>
  </si>
  <si>
    <t>1235      0    -6</t>
  </si>
  <si>
    <t>3   -501     43      0      0      0</t>
  </si>
  <si>
    <t>6048      0   -72</t>
  </si>
  <si>
    <t>7   1741   -745      0      0      0</t>
  </si>
  <si>
    <t>1      0  -1066      0      0    -37</t>
  </si>
  <si>
    <t>0    924</t>
  </si>
  <si>
    <t>4065      0  -304</t>
  </si>
  <si>
    <t>6  -1852      0      0      0      0</t>
  </si>
  <si>
    <t>876   -310   -61</t>
  </si>
  <si>
    <t>9  -1017  -1578   -805      0      0</t>
  </si>
  <si>
    <t>0     87</t>
  </si>
  <si>
    <t>0      0     83      0      0      0</t>
  </si>
  <si>
    <t>6162  -7399   -84</t>
  </si>
  <si>
    <t>6   -331   -409  -1002    -46   1017</t>
  </si>
  <si>
    <t>0      0      0    989    135   -308</t>
  </si>
  <si>
    <t>0     20      0  -4497  -3144      0</t>
  </si>
  <si>
    <t>0      0     -</t>
  </si>
  <si>
    <t>9   -983      0      0      0      0</t>
  </si>
  <si>
    <t>0      0 -14524  -1422      0 -11373</t>
  </si>
  <si>
    <t>8925   1208   222</t>
  </si>
  <si>
    <t>7   9130   1459      0      0    742</t>
  </si>
  <si>
    <t>0  -1273  -1643      0      0      0</t>
  </si>
  <si>
    <t>0   -108  -9150      0      0    402</t>
  </si>
  <si>
    <t>100    324    -3</t>
  </si>
  <si>
    <t>2      0      0      0     37      0</t>
  </si>
  <si>
    <t>181      0</t>
  </si>
  <si>
    <t>0      0      0      0     50      0</t>
  </si>
  <si>
    <t>0      0   2980   2128      0   -906</t>
  </si>
  <si>
    <t>2    429    426      0      0   -699</t>
  </si>
  <si>
    <t>5    -45   -581   -663   -572      0</t>
  </si>
  <si>
    <t>0  -3285  -241</t>
  </si>
  <si>
    <t>0  -1366   2955   2068   2511    519</t>
  </si>
  <si>
    <t>333   1031    67</t>
  </si>
  <si>
    <t>4    131    360    -47   1067    119</t>
  </si>
  <si>
    <t>0    187   -396   -307   -243      0</t>
  </si>
  <si>
    <t>0  -2897  -321</t>
  </si>
  <si>
    <t>8      0   3070   2235   3073    477</t>
  </si>
  <si>
    <t>268    526</t>
  </si>
  <si>
    <t>0    236      0      0   1150    131</t>
  </si>
  <si>
    <t>0      0   -53</t>
  </si>
  <si>
    <t>7      0   -546   -460   -342      0</t>
  </si>
  <si>
    <t>0  -4259  -303</t>
  </si>
  <si>
    <t>3      0   1573   1606   2431      0</t>
  </si>
  <si>
    <t>403   1127    57</t>
  </si>
  <si>
    <t>3    634    631      0    714      0</t>
  </si>
  <si>
    <t>0    -10      0      0      0      0</t>
  </si>
  <si>
    <t>0  -3901  -217</t>
  </si>
  <si>
    <t>9      0   2923   1954      0      0</t>
  </si>
  <si>
    <t>0    690   -55</t>
  </si>
  <si>
    <t>6    326    291     74    574     50</t>
  </si>
  <si>
    <t>0    -35</t>
  </si>
  <si>
    <t>0    217      0      0     99      0</t>
  </si>
  <si>
    <t>0  -1962  -264</t>
  </si>
  <si>
    <t>2  -3395  -2863  -1426  -1612  -1522</t>
  </si>
  <si>
    <t>0      0      0      0      0    -86</t>
  </si>
  <si>
    <t>0      0      0     22      0   2820</t>
  </si>
  <si>
    <t>0      0   -195   -645      0      0</t>
  </si>
  <si>
    <t>0   -166</t>
  </si>
  <si>
    <t>0      0      0      0 -19516   -899</t>
  </si>
  <si>
    <t>2721  -3713  -163</t>
  </si>
  <si>
    <t>8 -67350      0      0      0      0</t>
  </si>
  <si>
    <t>0  -2048  -1923   2457  15383      0</t>
  </si>
  <si>
    <t>0   1281</t>
  </si>
  <si>
    <t>0      0      0   -661    152      0</t>
  </si>
  <si>
    <t>0      0      0    572   1323      0</t>
  </si>
  <si>
    <t>0739  31835  1415</t>
  </si>
  <si>
    <t>0  17510   2690      0      0      0</t>
  </si>
  <si>
    <t>0      0   539</t>
  </si>
  <si>
    <t>0      0      0      0    -97   -396</t>
  </si>
  <si>
    <t>0      0   -766   -181   -173      0</t>
  </si>
  <si>
    <t>193      0     3</t>
  </si>
  <si>
    <t>1   -314   -154   -210   -722   -661</t>
  </si>
  <si>
    <t>0   -838    265    708   -597   -472</t>
  </si>
  <si>
    <t>-739      0   121</t>
  </si>
  <si>
    <t>6   1974   -575    -40    -69    -99</t>
  </si>
  <si>
    <t>0      0    12</t>
  </si>
  <si>
    <t>4     83      0    -67   -281    -11</t>
  </si>
  <si>
    <t>0   -177    497      0   -766   -571</t>
  </si>
  <si>
    <t>-448   1148    82</t>
  </si>
  <si>
    <t>1   1625      0     64      0      0</t>
  </si>
  <si>
    <t>0      0     91      0   -688   -251</t>
  </si>
  <si>
    <t>0   -144    514      0   -615   -440</t>
  </si>
  <si>
    <t>0      0   177</t>
  </si>
  <si>
    <t>9   3646     -7    797    817      0</t>
  </si>
  <si>
    <t>0    208</t>
  </si>
  <si>
    <t>0      9      0   -395      0      0</t>
  </si>
  <si>
    <t>0    529    415      0   -806   -153</t>
  </si>
  <si>
    <t>0   4406     63   -787   -627   -124</t>
  </si>
  <si>
    <t>0   -148      0     27      0      0</t>
  </si>
  <si>
    <t>0   -430    902  -2680   -374    -70</t>
  </si>
  <si>
    <t>1378  -2985</t>
  </si>
  <si>
    <t>-22    104    21</t>
  </si>
  <si>
    <t>2    208   2261      0      0    -20</t>
  </si>
  <si>
    <t>-467      0</t>
  </si>
  <si>
    <t>0      0      0      0  -3220 -10158</t>
  </si>
  <si>
    <t>0   -849      0      0      0      0</t>
  </si>
  <si>
    <t>0  -2066  -181</t>
  </si>
  <si>
    <t>6  -2521    326   3035    801      0</t>
  </si>
  <si>
    <t>2891   -877    -4</t>
  </si>
  <si>
    <t>6      0      0   -317      0     16</t>
  </si>
  <si>
    <t>0    993   200</t>
  </si>
  <si>
    <t>0    330   -28</t>
  </si>
  <si>
    <t>5      0      0   -646   3689    788</t>
  </si>
  <si>
    <t>-704      0</t>
  </si>
  <si>
    <t>0      0    897      0      0      0</t>
  </si>
  <si>
    <t>0      0   -284      0      0      0</t>
  </si>
  <si>
    <t>0      0  -608</t>
  </si>
  <si>
    <t>5 -39709      0  12031      0      0</t>
  </si>
  <si>
    <t>1015   2575   243</t>
  </si>
  <si>
    <t>6      0      0  -5553   2599      0</t>
  </si>
  <si>
    <t>3409   3514  -606</t>
  </si>
  <si>
    <t>8   -167   8135      0      0      0</t>
  </si>
  <si>
    <t>5913  16270     -</t>
  </si>
  <si>
    <t>8  -5729    403    236    698      0</t>
  </si>
  <si>
    <t>377    -23    24</t>
  </si>
  <si>
    <t>5    120   -399    133      0      0</t>
  </si>
  <si>
    <t>0   -379     2</t>
  </si>
  <si>
    <t>5    158   -176      0      0      0</t>
  </si>
  <si>
    <t>-225      0    -5</t>
  </si>
  <si>
    <t>4  -5950    203    -55    566      9</t>
  </si>
  <si>
    <t>0      0   -444    299      0    -40</t>
  </si>
  <si>
    <t>-393      0    30</t>
  </si>
  <si>
    <t>1    452   -126      0      0      0</t>
  </si>
  <si>
    <t>49      0    32</t>
  </si>
  <si>
    <t>7  -6597    190      0      0      0</t>
  </si>
  <si>
    <t>168    120    19</t>
  </si>
  <si>
    <t>4      0    164      0      0    -70</t>
  </si>
  <si>
    <t>-160      0   107</t>
  </si>
  <si>
    <t>7   2138      0      0      0      0</t>
  </si>
  <si>
    <t>122  -1756  -184</t>
  </si>
  <si>
    <t>0  -1935  -2599   -379      0      0</t>
  </si>
  <si>
    <t>0    933</t>
  </si>
  <si>
    <t>0      0  -1293      0      0      0</t>
  </si>
  <si>
    <t>333  -3498   138</t>
  </si>
  <si>
    <t>8   -785   1450    850   -704  -3997</t>
  </si>
  <si>
    <t>0      0      0   -182  -3646  -6044</t>
  </si>
  <si>
    <t>1420      0</t>
  </si>
  <si>
    <t>0   -804      0    102   -156      0</t>
  </si>
  <si>
    <t>0      0  -514</t>
  </si>
  <si>
    <t>8 -15380      0      0      0      0</t>
  </si>
  <si>
    <t>0      0   -265  -2197      0  55767</t>
  </si>
  <si>
    <t>2057  -3124   -21</t>
  </si>
  <si>
    <t>0      0      0   5901  -1472   3582</t>
  </si>
  <si>
    <t>7      0    157      0      0      0</t>
  </si>
  <si>
    <t>0      0  -263</t>
  </si>
  <si>
    <t>5   6779   1056   -666  -1612   -361</t>
  </si>
  <si>
    <t>0   2394</t>
  </si>
  <si>
    <t>0      0      0   -219      0      0</t>
  </si>
  <si>
    <t>0  -1331</t>
  </si>
  <si>
    <t>6028      0    35</t>
  </si>
  <si>
    <t>8      0      0      0      0   -776</t>
  </si>
  <si>
    <t>7     66      0   -452   -537   -166</t>
  </si>
  <si>
    <t>0      0      0      0   -121   -462</t>
  </si>
  <si>
    <t>2976   2399   831</t>
  </si>
  <si>
    <t>8   5390      0 -10094 -20440  -4372</t>
  </si>
  <si>
    <t>3767   2591  -881</t>
  </si>
  <si>
    <t>9      0      0   2812    235      0</t>
  </si>
  <si>
    <t>5142   2100</t>
  </si>
  <si>
    <t>0      0      0      0   2886    791</t>
  </si>
  <si>
    <t>8622    184    68</t>
  </si>
  <si>
    <t>9    405    466   1305   1949      0</t>
  </si>
  <si>
    <t>0    755    97</t>
  </si>
  <si>
    <t>4      0     57      0      0     83</t>
  </si>
  <si>
    <t>686   -235</t>
  </si>
  <si>
    <t>0      0      0      0     27   -348</t>
  </si>
  <si>
    <t>8892    -20</t>
  </si>
  <si>
    <t>0      0      0   1285   1930   -607</t>
  </si>
  <si>
    <t>0   1088</t>
  </si>
  <si>
    <t>0      0    271      0    -54      0</t>
  </si>
  <si>
    <t>0      0      0      0    -93   -475</t>
  </si>
  <si>
    <t>3067      0</t>
  </si>
  <si>
    <t>0      0      0      0   2747   -751</t>
  </si>
  <si>
    <t>2840  -1749    72</t>
  </si>
  <si>
    <t>9      0      0      0   -511      0</t>
  </si>
  <si>
    <t>0      0      0      0   -518     91</t>
  </si>
  <si>
    <t>6834  -5092   -14</t>
  </si>
  <si>
    <t>7   1745    807      0      0      0</t>
  </si>
  <si>
    <t>1     70    342    160     59   3700</t>
  </si>
  <si>
    <t>1566      0   100</t>
  </si>
  <si>
    <t>8  -1012      0      0      0      0</t>
  </si>
  <si>
    <t>9683      0</t>
  </si>
  <si>
    <t>0      0      0      0   -317      0</t>
  </si>
  <si>
    <t>0    358  -238</t>
  </si>
  <si>
    <t>5      0  11757  49337  18841  17414</t>
  </si>
  <si>
    <t>0      0   508</t>
  </si>
  <si>
    <t>9  17173  -1120   4242    130   -587</t>
  </si>
  <si>
    <t>-13      0    17</t>
  </si>
  <si>
    <t>0      0      0      0    -27   -110</t>
  </si>
  <si>
    <t>0      0      0      0     66    169</t>
  </si>
  <si>
    <t>4748   7378    74</t>
  </si>
  <si>
    <t>4   2591    645   -132      0      0</t>
  </si>
  <si>
    <t>0   -608      0      0      0      0</t>
  </si>
  <si>
    <t>0      0      0      0      0   1623</t>
  </si>
  <si>
    <t>0      0      0   -599    182    110</t>
  </si>
  <si>
    <t>-465     53</t>
  </si>
  <si>
    <t>0   -171   -317   -330   -237   -292</t>
  </si>
  <si>
    <t>0      0      8  -1425   -898   1686</t>
  </si>
  <si>
    <t>-200    311</t>
  </si>
  <si>
    <t>0   2238   2241   -448    157    -58</t>
  </si>
  <si>
    <t>649      0</t>
  </si>
  <si>
    <t>0     35     34      0     28   1273</t>
  </si>
  <si>
    <t>0      0    -54  -2131      0   5016</t>
  </si>
  <si>
    <t>6133   1717 -1980</t>
  </si>
  <si>
    <t>0  -8570 -25039      0   -433      0</t>
  </si>
  <si>
    <t>2797      0   163</t>
  </si>
  <si>
    <t>8      0      0   1437      0  -7307</t>
  </si>
  <si>
    <t>0      0      4  -4258      0    854</t>
  </si>
  <si>
    <t>0    811    730   -831    456    161</t>
  </si>
  <si>
    <t>4      0     65      0    -24      0</t>
  </si>
  <si>
    <t>0      0     65  -1458      0   3469</t>
  </si>
  <si>
    <t>0      0   3603  -1128  -2352  -3078</t>
  </si>
  <si>
    <t>1483      0</t>
  </si>
  <si>
    <t>0      0   -534      0    328      0</t>
  </si>
  <si>
    <t>0      0   -658  -1526  -5804  -2584</t>
  </si>
  <si>
    <t>3369   1620   228</t>
  </si>
  <si>
    <t>1447    143     -</t>
  </si>
  <si>
    <t>7    597   -589   2821      0      0</t>
  </si>
  <si>
    <t>1246   -353</t>
  </si>
  <si>
    <t>0      0      0      0      0  -2904</t>
  </si>
  <si>
    <t>0      0    -40      0      0      0</t>
  </si>
  <si>
    <t>2848      0  1242</t>
  </si>
  <si>
    <t>0  17765  47707  19137  -9784   -907</t>
  </si>
  <si>
    <t>6080  18944  2493</t>
  </si>
  <si>
    <t>1   -655   2709    291    241      0</t>
  </si>
  <si>
    <t>0    -85</t>
  </si>
  <si>
    <t>0      0      0    -94     68      0</t>
  </si>
  <si>
    <t>0      0      0    127   -221      0</t>
  </si>
  <si>
    <t>3162    175   162</t>
  </si>
  <si>
    <t>9    687     46      0      0      0</t>
  </si>
  <si>
    <t>0      0      0      0    838  -5488</t>
  </si>
  <si>
    <t>0      0    -23     48    -63      0</t>
  </si>
  <si>
    <t>39      0     3</t>
  </si>
  <si>
    <t>0   -556    -16   -346    158    -59</t>
  </si>
  <si>
    <t>0     77   -480   -300    381  -6575</t>
  </si>
  <si>
    <t>409      0   166</t>
  </si>
  <si>
    <t>1    158    101     11   -104    297</t>
  </si>
  <si>
    <t>0   -204      0    -12    355    -31</t>
  </si>
  <si>
    <t>0   -328   -490      0    720  -7455</t>
  </si>
  <si>
    <t>265    462    62</t>
  </si>
  <si>
    <t>4  -1280      0     33      0      0</t>
  </si>
  <si>
    <t>0      0     68      0    478    123</t>
  </si>
  <si>
    <t>0    -63   -643      0     50 -29035</t>
  </si>
  <si>
    <t>0      0  -582</t>
  </si>
  <si>
    <t>7 -15732  -3135   4010   5620      0</t>
  </si>
  <si>
    <t>0  -1620</t>
  </si>
  <si>
    <t>0   1496      0    581      0      0</t>
  </si>
  <si>
    <t>0   5575   -470      0   2472   4900</t>
  </si>
  <si>
    <t>0   1450   -940  -2506  -2954  -2735</t>
  </si>
  <si>
    <t>0   -902      0    -42      0      0</t>
  </si>
  <si>
    <t>0  -1206    451  -4936  -1377  -1826</t>
  </si>
  <si>
    <t>84   1308</t>
  </si>
  <si>
    <t>-72   1480   -10</t>
  </si>
  <si>
    <t>3    645   -470      0      0  -1218</t>
  </si>
  <si>
    <t>1027      0</t>
  </si>
  <si>
    <t>0      0      0      0  -1417  -6309</t>
  </si>
  <si>
    <t>0   -222      0      0      0      0</t>
  </si>
  <si>
    <t>0  12551  1719</t>
  </si>
  <si>
    <t>7  19858  56911  -6178   -613      0</t>
  </si>
  <si>
    <t>7555  23285  2785</t>
  </si>
  <si>
    <t>9   2681  -8938     34   -317      0</t>
  </si>
  <si>
    <t>0  -1410</t>
  </si>
  <si>
    <t>0      0      0     39    278      0</t>
  </si>
  <si>
    <t>0      0      0    -98   -463      0</t>
  </si>
  <si>
    <t>1305  -1497   109</t>
  </si>
  <si>
    <t>2   7043    708      0      0      0</t>
  </si>
  <si>
    <t>0      0      0      0  -1579   2294</t>
  </si>
  <si>
    <t>0      0   -359    176    106      0</t>
  </si>
  <si>
    <t>-4      0    28</t>
  </si>
  <si>
    <t>3    473    104    273   -299    540</t>
  </si>
  <si>
    <t>0    317   3059    618  -1693   5894</t>
  </si>
  <si>
    <t>-286      0  -278</t>
  </si>
  <si>
    <t>4   -678    294   -121   -183     67</t>
  </si>
  <si>
    <t>2      1      0     58  -1719   -238</t>
  </si>
  <si>
    <t>0   -200   3991      0  -2017   6859</t>
  </si>
  <si>
    <t>1   2097      0     21      0      0</t>
  </si>
  <si>
    <t>0   -322</t>
  </si>
  <si>
    <t>0      0    -34      0  -1551   -693</t>
  </si>
  <si>
    <t>0   -530   4703      0    789   4699</t>
  </si>
  <si>
    <t>9    725   1849   -572   -244      0</t>
  </si>
  <si>
    <t>0      0      0    151      0      0</t>
  </si>
  <si>
    <t>0    264   2535      0   -453  -1851</t>
  </si>
  <si>
    <t>0 -11364  -1619   2256   2652   -161</t>
  </si>
  <si>
    <t>0    843      0   -424      0      0</t>
  </si>
  <si>
    <t>0   1048   3051   4762   1352   1746</t>
  </si>
  <si>
    <t>1653   3447</t>
  </si>
  <si>
    <t>9      8    919      0      0    234</t>
  </si>
  <si>
    <t>4471      0</t>
  </si>
  <si>
    <t>0      0      0      0   3487  19433</t>
  </si>
  <si>
    <t>0   -281      0      0      0      0</t>
  </si>
  <si>
    <t>0  -6379 -1258</t>
  </si>
  <si>
    <t>6 -15470 -10020  22523   1802      0</t>
  </si>
  <si>
    <t>6025 -40006 -4562</t>
  </si>
  <si>
    <t>3 -38109      0      0      0      0</t>
  </si>
  <si>
    <t>0      0      0      0   1242    873</t>
  </si>
  <si>
    <t>9      0    204      0      0      0</t>
  </si>
  <si>
    <t>0      0    13</t>
  </si>
  <si>
    <t>2    899   -262   -608  -1855    -53</t>
  </si>
  <si>
    <t>0      0      0   -706      0      0</t>
  </si>
  <si>
    <t>0962      0  2454</t>
  </si>
  <si>
    <t>5      0      0      0      0  22539</t>
  </si>
  <si>
    <t>0      0   934</t>
  </si>
  <si>
    <t>8   -748      0  12381  19575   7496</t>
  </si>
  <si>
    <t>4356  20721</t>
  </si>
  <si>
    <t>0      0      0      0   2115   4010</t>
  </si>
  <si>
    <t>5015    288   -59</t>
  </si>
  <si>
    <t>7    532      0   -577  -4218   -174</t>
  </si>
  <si>
    <t>177   -958    -4</t>
  </si>
  <si>
    <t>1      0      0    384    787      0</t>
  </si>
  <si>
    <t>0      0      0      0    -82   1027</t>
  </si>
  <si>
    <t>5201     81   -64</t>
  </si>
  <si>
    <t>0    612    227   -518  -4103      0</t>
  </si>
  <si>
    <t>0   -893   -17</t>
  </si>
  <si>
    <t>7      0   -297      0      0    -37</t>
  </si>
  <si>
    <t>0      0      0      0    139   1133</t>
  </si>
  <si>
    <t>6663    154</t>
  </si>
  <si>
    <t>0      0      0   -679  -4029    199</t>
  </si>
  <si>
    <t>0   -518</t>
  </si>
  <si>
    <t>0      0   -126      0    666      0</t>
  </si>
  <si>
    <t>0      0      0      0    208    683</t>
  </si>
  <si>
    <t>2497      0</t>
  </si>
  <si>
    <t>0      0      0      0  -5581   -313</t>
  </si>
  <si>
    <t>2789  -3280  -178</t>
  </si>
  <si>
    <t>3      0      0      0   1678      0</t>
  </si>
  <si>
    <t>0  -1627</t>
  </si>
  <si>
    <t>0      0      0      0   -409    818</t>
  </si>
  <si>
    <t>1284   5259   433</t>
  </si>
  <si>
    <t>5   2817   6219      0      0      0</t>
  </si>
  <si>
    <t>0      0   -38</t>
  </si>
  <si>
    <t>4  -4317  -6782  -2506  -4140   -344</t>
  </si>
  <si>
    <t>-706      0     1</t>
  </si>
  <si>
    <t>3  -2286      0      0      0      0</t>
  </si>
  <si>
    <t>5129      0</t>
  </si>
  <si>
    <t>0      0      0      0   -393      0</t>
  </si>
  <si>
    <t>0   -144    -3</t>
  </si>
  <si>
    <t>2      0  42962  13227  13773  14333</t>
  </si>
  <si>
    <t>4  47432  10247  10194  11298    240</t>
  </si>
  <si>
    <t>948    585     5</t>
  </si>
  <si>
    <t>1      0      0    101      0    -53</t>
  </si>
  <si>
    <t>0   -678  -116</t>
  </si>
  <si>
    <t>0     -2     8</t>
  </si>
  <si>
    <t>5      0      0   -398   1389     -7</t>
  </si>
  <si>
    <t>0      0    184      0      0      0</t>
  </si>
  <si>
    <t>0      0    -32      0      0      0</t>
  </si>
  <si>
    <t>0      0  -710</t>
  </si>
  <si>
    <t>1  -6393      0  -3859      0      0</t>
  </si>
  <si>
    <t>39  -1676  -168</t>
  </si>
  <si>
    <t>8      0      0  -1588    355      0</t>
  </si>
  <si>
    <t>-296   1000   169</t>
  </si>
  <si>
    <t>8   1330  -1758      0      0      0</t>
  </si>
  <si>
    <t>1420   1493   137</t>
  </si>
  <si>
    <t>7 -18164   -862   1709  -2880      0</t>
  </si>
  <si>
    <t>2935   1311   125</t>
  </si>
  <si>
    <t>1    223  -1469    813      0      0</t>
  </si>
  <si>
    <t>0  -4915   202</t>
  </si>
  <si>
    <t>5    447   2307      0      0      0</t>
  </si>
  <si>
    <t>175      0    47</t>
  </si>
  <si>
    <t>3  -7402    493    698    960    -71</t>
  </si>
  <si>
    <t>0     68</t>
  </si>
  <si>
    <t>0      0  -1091     35      0   -105</t>
  </si>
  <si>
    <t>-74      0   -47</t>
  </si>
  <si>
    <t>1    -99   -285      0      0      0</t>
  </si>
  <si>
    <t>486      0   123</t>
  </si>
  <si>
    <t>8  -9356    151      0      0      0</t>
  </si>
  <si>
    <t>61    203    23</t>
  </si>
  <si>
    <t>0      0   -479      0      0     54</t>
  </si>
  <si>
    <t>336      0   329</t>
  </si>
  <si>
    <t>9   3293      0      0      0      0</t>
  </si>
  <si>
    <t>2205  -1900  -215</t>
  </si>
  <si>
    <t>6  -3367  -4151  -2879      0      0</t>
  </si>
  <si>
    <t>0   -602</t>
  </si>
  <si>
    <t>0      0   -961      0      0      0</t>
  </si>
  <si>
    <t>354  -4528  -240</t>
  </si>
  <si>
    <t>0  -3330  -2235   -663  -1020   -187</t>
  </si>
  <si>
    <t>0      0      0   -358   1560   2662</t>
  </si>
  <si>
    <t>73      0</t>
  </si>
  <si>
    <t>0  -2033      0    451  -2066      0</t>
  </si>
  <si>
    <t>7    641      0      0      0      0</t>
  </si>
  <si>
    <t>0      0    245    153      0  11650</t>
  </si>
  <si>
    <t>9189   -392   -30</t>
  </si>
  <si>
    <t>9      0      0    -64  10260  32770</t>
  </si>
  <si>
    <t>1389      0  1217</t>
  </si>
  <si>
    <t>7  -1242   1013    349    -25      0</t>
  </si>
  <si>
    <t>0      0      0   -169   -207      0</t>
  </si>
  <si>
    <t>0      0      0     85    119      0</t>
  </si>
  <si>
    <t>1458     43   -23</t>
  </si>
  <si>
    <t>8   -876    -60      0      0      0</t>
  </si>
  <si>
    <t>0      0      0      0  -8323  -6337</t>
  </si>
  <si>
    <t>0      0   1289  -1616    -62      0</t>
  </si>
  <si>
    <t>247      0   -27</t>
  </si>
  <si>
    <t>5   -231    336    -30   1906    402</t>
  </si>
  <si>
    <t>0   -303   1604    569    418  -7491</t>
  </si>
  <si>
    <t>1223      0   -21</t>
  </si>
  <si>
    <t>4  -1529   -213    143    206    335</t>
  </si>
  <si>
    <t>1   -419      0    -93   -671   -169</t>
  </si>
  <si>
    <t>0    -14    608      0   -266 -18796</t>
  </si>
  <si>
    <t>4717    521    67</t>
  </si>
  <si>
    <t>0    664      0   1290      0      0</t>
  </si>
  <si>
    <t>0   4631</t>
  </si>
  <si>
    <t>0      0     -6      0   2648   1305</t>
  </si>
  <si>
    <t>0   1113    764      0   1184 -10274</t>
  </si>
  <si>
    <t>8  -1159    -87    187    196      0</t>
  </si>
  <si>
    <t>0   -141      0   -124      0      0</t>
  </si>
  <si>
    <t>0    282    478      0   3700   3350</t>
  </si>
  <si>
    <t>0  -3450  -2344  -1955  -2322  -3524</t>
  </si>
  <si>
    <t>0   -551      0    -62      0      0</t>
  </si>
  <si>
    <t>0   -119    766  -4342  -1600  -2725</t>
  </si>
  <si>
    <t>213   1224</t>
  </si>
  <si>
    <t>55   -192   118</t>
  </si>
  <si>
    <t>0   -612    595      0      0  -1903</t>
  </si>
  <si>
    <t>2370      0</t>
  </si>
  <si>
    <t>0      0      0      0   -189   1471</t>
  </si>
  <si>
    <t>0   -650      0      0      0      0</t>
  </si>
  <si>
    <t>0  13315  1823</t>
  </si>
  <si>
    <t>1  43109  21153   -650   -478      0</t>
  </si>
  <si>
    <t>9911  14769  3197</t>
  </si>
  <si>
    <t>5  16797  -1671      0  12822  10694</t>
  </si>
  <si>
    <t>268    -48</t>
  </si>
  <si>
    <t>0      0    -74      0    244      0</t>
  </si>
  <si>
    <t>71   -605</t>
  </si>
  <si>
    <t>82     45</t>
  </si>
  <si>
    <t>0      0   -226   2754    -50   -110</t>
  </si>
  <si>
    <t>0    331      0      0      0     19</t>
  </si>
  <si>
    <t>0    -24      0      0      0      0</t>
  </si>
  <si>
    <t>0  -1838  -468</t>
  </si>
  <si>
    <t>0      0  -1135      0      0      0</t>
  </si>
  <si>
    <t>1445     76</t>
  </si>
  <si>
    <t>0      0   -823     34      0   -515</t>
  </si>
  <si>
    <t>952   -227   -43</t>
  </si>
  <si>
    <t>9   -584      0      0      0      0</t>
  </si>
  <si>
    <t>3    114    110     82      0     75</t>
  </si>
  <si>
    <t>-30     52    27</t>
  </si>
  <si>
    <t>4  -1197    239      0      0   -122</t>
  </si>
  <si>
    <t>-203    231    11</t>
  </si>
  <si>
    <t>3     82      0      0      0      0</t>
  </si>
  <si>
    <t>0   -282  -528</t>
  </si>
  <si>
    <t>9    -53     -5   -158     54     28</t>
  </si>
  <si>
    <t>-5      0</t>
  </si>
  <si>
    <t>0  -1254    288      0     89      0</t>
  </si>
  <si>
    <t>0    161    15</t>
  </si>
  <si>
    <t>5    197      0      0      0      0</t>
  </si>
  <si>
    <t>0   1614 -1948</t>
  </si>
  <si>
    <t>6  -1641      0      0      0    -94</t>
  </si>
  <si>
    <t>1106   1432</t>
  </si>
  <si>
    <t>0  -1185      0      0   2023      0</t>
  </si>
  <si>
    <t>5207      0</t>
  </si>
  <si>
    <t>0   2074   527</t>
  </si>
  <si>
    <t>2125  -2341  -328</t>
  </si>
  <si>
    <t>9  -4121  -2366      0      0      0</t>
  </si>
  <si>
    <t>-665      0</t>
  </si>
  <si>
    <t>0   -828      0      0      0      0</t>
  </si>
  <si>
    <t>3237   -620  -104</t>
  </si>
  <si>
    <t>3  -1365   -624    178   2106      0</t>
  </si>
  <si>
    <t>0      0   -160   -424   3286   -399</t>
  </si>
  <si>
    <t>0      0  -130</t>
  </si>
  <si>
    <t>2      0  -1087  -2258      0      0</t>
  </si>
  <si>
    <t>0   -247   164</t>
  </si>
  <si>
    <t>0    139    151      0  13890  16526</t>
  </si>
  <si>
    <t>0      0   -240   9839  13165  13514</t>
  </si>
  <si>
    <t>0  11559  1248</t>
  </si>
  <si>
    <t>3  17267     11    879   -257   -214</t>
  </si>
  <si>
    <t>-134      0</t>
  </si>
  <si>
    <t>7      0      0      0    523    882</t>
  </si>
  <si>
    <t>0      0      0      0    -31   -236</t>
  </si>
  <si>
    <t>-22   1143   -29</t>
  </si>
  <si>
    <t>7     10   -182     11      0      0</t>
  </si>
  <si>
    <t>0     32      0      0      0      0</t>
  </si>
  <si>
    <t>0      0      0      0      0   1904</t>
  </si>
  <si>
    <t>1505      0</t>
  </si>
  <si>
    <t>0      0      0    177   -933   -986</t>
  </si>
  <si>
    <t>0    831    941   1282   1093    852</t>
  </si>
  <si>
    <t>0      0    185   -471   3100  -1827</t>
  </si>
  <si>
    <t>722   -115</t>
  </si>
  <si>
    <t>0    410    252   -306    453    758</t>
  </si>
  <si>
    <t>987      0</t>
  </si>
  <si>
    <t>0  -1545  -2857      0  -2222    896</t>
  </si>
  <si>
    <t>0      0    335    118      0   -109</t>
  </si>
  <si>
    <t>-479     70    -8</t>
  </si>
  <si>
    <t>3    -33   -628      0    -49      0</t>
  </si>
  <si>
    <t>-246      0   -54</t>
  </si>
  <si>
    <t>9      0      0    171      0   -314</t>
  </si>
  <si>
    <t>0      0     35   -250      0    -63</t>
  </si>
  <si>
    <t>0     75   -270    218    -57     30</t>
  </si>
  <si>
    <t>2      0    707      0    377      0</t>
  </si>
  <si>
    <t>0      0    258   -346      0   1450</t>
  </si>
  <si>
    <t>0      0  -1319   -721  -1589  -1817</t>
  </si>
  <si>
    <t>1890      0</t>
  </si>
  <si>
    <t>0      0   2015      0   1402      0</t>
  </si>
  <si>
    <t>0      0   -239   -701  -2077    321</t>
  </si>
  <si>
    <t>503   -216    26</t>
  </si>
  <si>
    <t>409  -1973  -428</t>
  </si>
  <si>
    <t>5  -2162  -3846    639      0      0</t>
  </si>
  <si>
    <t>280    -74</t>
  </si>
  <si>
    <t>0      0      0      0      0   -163</t>
  </si>
  <si>
    <t>0      0   -724      0      0      0</t>
  </si>
  <si>
    <t>-46      0  3276</t>
  </si>
  <si>
    <t>2  11799  11659  12069    426    146</t>
  </si>
  <si>
    <t>-44  26942   896</t>
  </si>
  <si>
    <t>1   9271   9851   -164      0  20358</t>
  </si>
  <si>
    <t>0693  -4286    11</t>
  </si>
  <si>
    <t>3    493    205      0      0   -415</t>
  </si>
  <si>
    <t>0    538    667      0      0      0</t>
  </si>
  <si>
    <t>0     18    530      0      0   -160</t>
  </si>
  <si>
    <t>184    -40    -8</t>
  </si>
  <si>
    <t>9      0      0      0    564      0</t>
  </si>
  <si>
    <t>0      0      0      0   -200      0</t>
  </si>
  <si>
    <t>0      0   4675  -6380      0   -138</t>
  </si>
  <si>
    <t>0      0   -89</t>
  </si>
  <si>
    <t>8   -526   -483      0      0   -629</t>
  </si>
  <si>
    <t>2   -753  -1356  -1994  -1020      0</t>
  </si>
  <si>
    <t>0  -1096  -274</t>
  </si>
  <si>
    <t>1     -5 -25558 -37035  18868  38335</t>
  </si>
  <si>
    <t>4304  23097  2789</t>
  </si>
  <si>
    <t>9  13187  17720  28370  30506  22922</t>
  </si>
  <si>
    <t>3313   9285</t>
  </si>
  <si>
    <t>0  12510  28364  26868  21113      0</t>
  </si>
  <si>
    <t>0   9912  -318</t>
  </si>
  <si>
    <t>9      0   2390  -7156   -234  -1548</t>
  </si>
  <si>
    <t>0   -437      0      0   5311  -2202</t>
  </si>
  <si>
    <t>2      0  -2732  -2934  -1774      0</t>
  </si>
  <si>
    <t>0   -778   -89</t>
  </si>
  <si>
    <t>6      0   1892  -9409   -146      0</t>
  </si>
  <si>
    <t>458   1139   -53</t>
  </si>
  <si>
    <t>5   -391   -560      0   4962      0</t>
  </si>
  <si>
    <t>0    -55      0      0      0      0</t>
  </si>
  <si>
    <t>0   -475  -138</t>
  </si>
  <si>
    <t>7      0   5760   2213      0      0</t>
  </si>
  <si>
    <t>0  -1227  -388</t>
  </si>
  <si>
    <t>6  -2353  -3532  -5539   3724  -4620</t>
  </si>
  <si>
    <t>0   -351</t>
  </si>
  <si>
    <t>0   -108      0      0  -1552      0</t>
  </si>
  <si>
    <t>0   -625  -230</t>
  </si>
  <si>
    <t>8  -4624  -4481  -8049  -6797    542</t>
  </si>
  <si>
    <t>0      0      0      0      0      5</t>
  </si>
  <si>
    <t>468  -1061  -262</t>
  </si>
  <si>
    <t>5      0      0  -1881      0    742</t>
  </si>
  <si>
    <t>0      0  -1421  -1930      0      0</t>
  </si>
  <si>
    <t>0      0      0      0   -643    136</t>
  </si>
  <si>
    <t>6241  15271  1655</t>
  </si>
  <si>
    <t>9     24    838      0      0    177</t>
  </si>
  <si>
    <t>2870  13519  -168</t>
  </si>
  <si>
    <t>2      0  11302  26894  16993  14859</t>
  </si>
  <si>
    <t>1185    292    -4</t>
  </si>
  <si>
    <t>1      0      0    -40      0    -15</t>
  </si>
  <si>
    <t>0    -20     4</t>
  </si>
  <si>
    <t>0      7   -10</t>
  </si>
  <si>
    <t>7      0      0   -258   1617    -78</t>
  </si>
  <si>
    <t>-18      0</t>
  </si>
  <si>
    <t>0      0    204      0      0      0</t>
  </si>
  <si>
    <t>0      0     55      0      0      0</t>
  </si>
  <si>
    <t>0      0   104</t>
  </si>
  <si>
    <t>3  -8782      0    396      0      0</t>
  </si>
  <si>
    <t>-702    411     8</t>
  </si>
  <si>
    <t>3      0      0    259   -103      0</t>
  </si>
  <si>
    <t>-136     48    -5</t>
  </si>
  <si>
    <t>6    203    446      0      0      0</t>
  </si>
  <si>
    <t>333   -530  -500</t>
  </si>
  <si>
    <t>9  -7667     71    609    125      0</t>
  </si>
  <si>
    <t>1182   -397     1</t>
  </si>
  <si>
    <t>3    -12  -2022  -1113      0      0</t>
  </si>
  <si>
    <t>0    170   153</t>
  </si>
  <si>
    <t>7    366   -413      0      0      0</t>
  </si>
  <si>
    <t>244      0   222</t>
  </si>
  <si>
    <t>4 -21414  -2937  -5738  -3237    842</t>
  </si>
  <si>
    <t>0      0  -1527  -2502      0    893</t>
  </si>
  <si>
    <t>439      0    74</t>
  </si>
  <si>
    <t>6    397   -725      0      0      0</t>
  </si>
  <si>
    <t>825      0   149</t>
  </si>
  <si>
    <t>3 -11623    168      0      0      0</t>
  </si>
  <si>
    <t>-244    454    23</t>
  </si>
  <si>
    <t>6      0   -851      0      0    266</t>
  </si>
  <si>
    <t>419      0   438</t>
  </si>
  <si>
    <t>2   3992      0      0      0      0</t>
  </si>
  <si>
    <t>3024  -2004  -278</t>
  </si>
  <si>
    <t>4  -4064  -5276  -3379      0      0</t>
  </si>
  <si>
    <t>0      0   -697      0      0      0</t>
  </si>
  <si>
    <t>619  -5517  -195</t>
  </si>
  <si>
    <t>7  -1240  -2145   -810    -21   1152</t>
  </si>
  <si>
    <t>0      0      0  -1411     61   -246</t>
  </si>
  <si>
    <t>982      0</t>
  </si>
  <si>
    <t>0  -2076      0    307  -3042      0</t>
  </si>
  <si>
    <t>0      0   -60</t>
  </si>
  <si>
    <t>5    958      0      0      0      0</t>
  </si>
  <si>
    <t>0      0    -67     60      0  15353</t>
  </si>
  <si>
    <t>3295   1522    11</t>
  </si>
  <si>
    <t>0      0      0     41  12630  14767</t>
  </si>
  <si>
    <t>104      0  1645</t>
  </si>
  <si>
    <t>2  22052  38003  20808  13797  13262</t>
  </si>
  <si>
    <t>307     57</t>
  </si>
  <si>
    <t>0      0     83      0     60      0</t>
  </si>
  <si>
    <t>-13    127</t>
  </si>
  <si>
    <t>0      0   -218   3145     62    -16</t>
  </si>
  <si>
    <t>0    123      0      0      0     14</t>
  </si>
  <si>
    <t>0    -79  -591</t>
  </si>
  <si>
    <t>1      0    308      0      0      0</t>
  </si>
  <si>
    <t>50    103</t>
  </si>
  <si>
    <t>0      0    163    -54      0    172</t>
  </si>
  <si>
    <t>-79    364    22</t>
  </si>
  <si>
    <t>0    199      0      0      0      0</t>
  </si>
  <si>
    <t>-8    682  -571</t>
  </si>
  <si>
    <t>0    516    349    364      0    990</t>
  </si>
  <si>
    <t>1207    351    10</t>
  </si>
  <si>
    <t>8   -805      8      0      0    -97</t>
  </si>
  <si>
    <t>463     40   -12</t>
  </si>
  <si>
    <t>9     49      0      0      0      0</t>
  </si>
  <si>
    <t>0   -206  -616</t>
  </si>
  <si>
    <t>5    -16   -176   -105    154     45</t>
  </si>
  <si>
    <t>0  -1587    177      0     44      0</t>
  </si>
  <si>
    <t>0    129     6</t>
  </si>
  <si>
    <t>6     74      0      0      0      0</t>
  </si>
  <si>
    <t>0   1501 -2322</t>
  </si>
  <si>
    <t>1  -2120      0      0      0     91</t>
  </si>
  <si>
    <t>3017  -2770</t>
  </si>
  <si>
    <t>0  -2066      0      0   -115      0</t>
  </si>
  <si>
    <t>0   2445   587</t>
  </si>
  <si>
    <t>2497  -2761  -386</t>
  </si>
  <si>
    <t>4  -5110  -2862      0      0      0</t>
  </si>
  <si>
    <t>-156      0</t>
  </si>
  <si>
    <t>0  -1114      0      0      0      0</t>
  </si>
  <si>
    <t>3697   -508  -135</t>
  </si>
  <si>
    <t>4  -1333  -1150     -4   1645      0</t>
  </si>
  <si>
    <t>0      0    305   -101   1619   -135</t>
  </si>
  <si>
    <t>0      0  -143</t>
  </si>
  <si>
    <t>6      0  -1453  -1541      0      0</t>
  </si>
  <si>
    <t>0   -514    99</t>
  </si>
  <si>
    <t>0    -70    114      0  13545  18885</t>
  </si>
  <si>
    <t>613    265</t>
  </si>
  <si>
    <t>0      0   -271  11087  14328  15314</t>
  </si>
  <si>
    <t>0  14599  1971</t>
  </si>
  <si>
    <t>4  21029  31644  12823  14018  22718</t>
  </si>
  <si>
    <t>0      0   -175      0     -9      0</t>
  </si>
  <si>
    <t>680   1204</t>
  </si>
  <si>
    <t>0      0   -115   1155   -275     32</t>
  </si>
  <si>
    <t>0    -33      0      0      0     67</t>
  </si>
  <si>
    <t>0     36      0      0      0      0</t>
  </si>
  <si>
    <t>0   2303 -2105</t>
  </si>
  <si>
    <t>0      0  -1113      0      0      0</t>
  </si>
  <si>
    <t>0      0  -1131  -1032      0    615</t>
  </si>
  <si>
    <t>227    837   -50</t>
  </si>
  <si>
    <t>5  -1092      0      0      0      0</t>
  </si>
  <si>
    <t>2813     22  -482</t>
  </si>
  <si>
    <t>7    -83   -185    -78      0     18</t>
  </si>
  <si>
    <t>7    157    19</t>
  </si>
  <si>
    <t>1   -742   -196      0      0    593</t>
  </si>
  <si>
    <t>901   -213    -3</t>
  </si>
  <si>
    <t>4   -210      0      0      0      0</t>
  </si>
  <si>
    <t>0  -2082  -513</t>
  </si>
  <si>
    <t>2     53   1003   -719   -478    343</t>
  </si>
  <si>
    <t>344      0</t>
  </si>
  <si>
    <t>0  -1589   1840      0   1075      0</t>
  </si>
  <si>
    <t>0   1261   148</t>
  </si>
  <si>
    <t>3   1954      0      0      0      0</t>
  </si>
  <si>
    <t>0     51  -608</t>
  </si>
  <si>
    <t>0     56      0      0      0    -26</t>
  </si>
  <si>
    <t>-50    102</t>
  </si>
  <si>
    <t>0   -545      0      0   -230      0</t>
  </si>
  <si>
    <t>0   1758   230</t>
  </si>
  <si>
    <t>1698  -1849  -244</t>
  </si>
  <si>
    <t>9  -3026  -2075      0      0      0</t>
  </si>
  <si>
    <t>1967      0</t>
  </si>
  <si>
    <t>0   -964      0      0      0      0</t>
  </si>
  <si>
    <t>2240    384   -32</t>
  </si>
  <si>
    <t>7    516    425   -335    293      0</t>
  </si>
  <si>
    <t>0      0    122  -2680  -5844  -2155</t>
  </si>
  <si>
    <t>0      0  -111</t>
  </si>
  <si>
    <t>2      0    373    263      0      0</t>
  </si>
  <si>
    <t>0     87    76</t>
  </si>
  <si>
    <t>0    -55    -36      0  32574  11847</t>
  </si>
  <si>
    <t>532    133</t>
  </si>
  <si>
    <t>0      0    -81  28258   9639   9224</t>
  </si>
  <si>
    <t>0  21595  1310</t>
  </si>
  <si>
    <t>3  14580  11180  18118  10899  14665</t>
  </si>
  <si>
    <t>1014    468     3</t>
  </si>
  <si>
    <t>3      0      0    104      0   -117</t>
  </si>
  <si>
    <t>0     27    -3</t>
  </si>
  <si>
    <t>0    -53   -19</t>
  </si>
  <si>
    <t>9      0      0   -365   1491   -122</t>
  </si>
  <si>
    <t>0      0     24      0      0      0</t>
  </si>
  <si>
    <t>0      0    91</t>
  </si>
  <si>
    <t>4  -8619      0    980      0      0</t>
  </si>
  <si>
    <t>-502    383    20</t>
  </si>
  <si>
    <t>9      0      0    140    -74      0</t>
  </si>
  <si>
    <t>6     90    344      0      0      0</t>
  </si>
  <si>
    <t>303   -841   260</t>
  </si>
  <si>
    <t>2 -22411  -2788  -2977  -3073      0</t>
  </si>
  <si>
    <t>1    279  -1175  -2700      0      0</t>
  </si>
  <si>
    <t>0   -965   149</t>
  </si>
  <si>
    <t>0   -239   -603      0      0      0</t>
  </si>
  <si>
    <t>54      0  -383</t>
  </si>
  <si>
    <t>3  -7965   -151  -1009    108    453</t>
  </si>
  <si>
    <t>0     -7</t>
  </si>
  <si>
    <t>0      0  -2310   -839      0   -103</t>
  </si>
  <si>
    <t>-27      0    69</t>
  </si>
  <si>
    <t>5    557   -594      0      0      0</t>
  </si>
  <si>
    <t>98      0   170</t>
  </si>
  <si>
    <t>9 -10875    221      0      0      0</t>
  </si>
  <si>
    <t>-88    388    38</t>
  </si>
  <si>
    <t>0      0   -936      0      0     99</t>
  </si>
  <si>
    <t>45      0   427</t>
  </si>
  <si>
    <t>2   3852      0      0      0      0</t>
  </si>
  <si>
    <t>2915  -2185  -259</t>
  </si>
  <si>
    <t>4  -4027  -5086  -3451      0      0</t>
  </si>
  <si>
    <t>0      0  -1155      0      0      0</t>
  </si>
  <si>
    <t>7  -3073  -2707   -953  -1641   -305</t>
  </si>
  <si>
    <t>0      0      0   -210    630    793</t>
  </si>
  <si>
    <t>307      0</t>
  </si>
  <si>
    <t>0  -2234      0    579  -2064      0</t>
  </si>
  <si>
    <t>0    392      0      0      0      0</t>
  </si>
  <si>
    <t>0      0      4     92      0  15236</t>
  </si>
  <si>
    <t>1940   1536     5</t>
  </si>
  <si>
    <t>3      0      0    -48  12158  39246</t>
  </si>
  <si>
    <t>202      0  1600</t>
  </si>
  <si>
    <t>9  37909  22668  20219  13725  32703</t>
  </si>
  <si>
    <t>3742  -4561   -28</t>
  </si>
  <si>
    <t>9   1246    902      0      0    -85</t>
  </si>
  <si>
    <t>0     95      3      0      0      0</t>
  </si>
  <si>
    <t>0   -320    137      0      0    -72</t>
  </si>
  <si>
    <t>144   -592   -18</t>
  </si>
  <si>
    <t>4      0      0      0   1052      0</t>
  </si>
  <si>
    <t>0      0      0      0     29      0</t>
  </si>
  <si>
    <t>0      0   4749  -7645      0    -91</t>
  </si>
  <si>
    <t>0      0   135</t>
  </si>
  <si>
    <t>5   -888   -367      0      0    -47</t>
  </si>
  <si>
    <t>74   -130    12</t>
  </si>
  <si>
    <t>9   -130   -906  -1259   -497      0</t>
  </si>
  <si>
    <t>0  -1168  -355</t>
  </si>
  <si>
    <t>6   -222   3804  -7893   -390  -2112</t>
  </si>
  <si>
    <t>1159  -1971    68</t>
  </si>
  <si>
    <t>0   -401    615    572   5325   -687</t>
  </si>
  <si>
    <t>250     89</t>
  </si>
  <si>
    <t>0   -302  -2637  -2303  -1496      0</t>
  </si>
  <si>
    <t>0  -1013  -250</t>
  </si>
  <si>
    <t>7      0 -16453 -32707  16537  30746</t>
  </si>
  <si>
    <t>8985  17531</t>
  </si>
  <si>
    <t>0   6430      0      0  39602   3893</t>
  </si>
  <si>
    <t>2      0  12439  17437  12355      0</t>
  </si>
  <si>
    <t>0  15587  -698</t>
  </si>
  <si>
    <t>8      0   1414 -11498    214      0</t>
  </si>
  <si>
    <t>139   -136    77</t>
  </si>
  <si>
    <t>9    157    298      0   7295      0</t>
  </si>
  <si>
    <t>0     45      0      0      0      0</t>
  </si>
  <si>
    <t>0    -73  -175</t>
  </si>
  <si>
    <t>1      0   6561   2121      0      0</t>
  </si>
  <si>
    <t>0  -2847  -177</t>
  </si>
  <si>
    <t>2  -2524  -2983  -4231   3255  -3828</t>
  </si>
  <si>
    <t>0   -472</t>
  </si>
  <si>
    <t>0   -317      0      0  -1428      0</t>
  </si>
  <si>
    <t>0  -1350  -278</t>
  </si>
  <si>
    <t>8  -4947  -5500  -8345  -8390  -4567</t>
  </si>
  <si>
    <t>0      0      0      0      0  -3553</t>
  </si>
  <si>
    <t>1046    394   -54</t>
  </si>
  <si>
    <t>5      0      0  -2167      0   1316</t>
  </si>
  <si>
    <t>0      0   -597    151      0      0</t>
  </si>
  <si>
    <t>0      0      0      0   -278    272</t>
  </si>
  <si>
    <t>6614  47326  1953</t>
  </si>
  <si>
    <t>5     39    565      0      0    394</t>
  </si>
  <si>
    <t>9308  16038  -265</t>
  </si>
  <si>
    <t>5      0  12890  18283  32667  16923</t>
  </si>
  <si>
    <t>5334  19591  1197</t>
  </si>
  <si>
    <t>3  14774   -558   2153    310     53</t>
  </si>
  <si>
    <t>52      0    -6</t>
  </si>
  <si>
    <t>4      0      0      0      5     -5</t>
  </si>
  <si>
    <t>0      0      0      0    -37    -74</t>
  </si>
  <si>
    <t>-284   3172    10</t>
  </si>
  <si>
    <t>3     30   -386     -4      0      0</t>
  </si>
  <si>
    <t>0      1      0      0      0      0</t>
  </si>
  <si>
    <t>0      0      0      0      0   -257</t>
  </si>
  <si>
    <t>0      0      0   -323     69    111</t>
  </si>
  <si>
    <t>175    -59</t>
  </si>
  <si>
    <t>0    147   -474     61   -152    345</t>
  </si>
  <si>
    <t>0      0    227    857    -21   -455</t>
  </si>
  <si>
    <t>0      2  -1210   -307    149    282</t>
  </si>
  <si>
    <t>197      0</t>
  </si>
  <si>
    <t>0    106   -434      0   -227    184</t>
  </si>
  <si>
    <t>0      0     70    994      0    699</t>
  </si>
  <si>
    <t>-179    137   -17</t>
  </si>
  <si>
    <t>5    576    242      0   1241      0</t>
  </si>
  <si>
    <t>-365      0     1</t>
  </si>
  <si>
    <t>6      0      0    -44      0   -249</t>
  </si>
  <si>
    <t>0      0   -851  -3331      0   1342</t>
  </si>
  <si>
    <t>0    814   -579    906  -2894  -1379</t>
  </si>
  <si>
    <t>1      0   -547      0   -771      0</t>
  </si>
  <si>
    <t>0      0    -40   1018      0   2420</t>
  </si>
  <si>
    <t>0      0  -2977  -1958  -2613  -2836</t>
  </si>
  <si>
    <t>3028      0</t>
  </si>
  <si>
    <t>0      0   -938      0   -334      0</t>
  </si>
  <si>
    <t>0      0   -561   1588  -3861   -470</t>
  </si>
  <si>
    <t>1044   -315   136</t>
  </si>
  <si>
    <t>465   -172   207</t>
  </si>
  <si>
    <t>9    -74   1056   -171      0      0</t>
  </si>
  <si>
    <t>1845  -1631</t>
  </si>
  <si>
    <t>0      0      0      0      0   -408</t>
  </si>
  <si>
    <t>0      0   -769      0      0      0</t>
  </si>
  <si>
    <t>146      0  1410</t>
  </si>
  <si>
    <t>9  19184  21145  50332    780    263</t>
  </si>
  <si>
    <t>-376  11449  1539</t>
  </si>
  <si>
    <t>6  15862  40168    249      0  15171</t>
  </si>
  <si>
    <t>2931  13050  1780</t>
  </si>
  <si>
    <t>3  25107  38126  13814  19773  19527</t>
  </si>
  <si>
    <t>0      0   -147      0   -159      0</t>
  </si>
  <si>
    <t>438   1071</t>
  </si>
  <si>
    <t>0      0   -163    749   -169     57</t>
  </si>
  <si>
    <t>0    -71      0      0      0    106</t>
  </si>
  <si>
    <t>0     18      0      0      0      0</t>
  </si>
  <si>
    <t>0   1390 -1410</t>
  </si>
  <si>
    <t>0      0   -443      0      0      0</t>
  </si>
  <si>
    <t>362   -174</t>
  </si>
  <si>
    <t>0      0   -712   -671      0    662</t>
  </si>
  <si>
    <t>1494   -452   -97</t>
  </si>
  <si>
    <t>8   -241      0      0      0      0</t>
  </si>
  <si>
    <t>1116    271  -393</t>
  </si>
  <si>
    <t>5    -51      8    -77      0     70</t>
  </si>
  <si>
    <t>20     27    18</t>
  </si>
  <si>
    <t>5   -767    117      0      0    499</t>
  </si>
  <si>
    <t>890   -186    12</t>
  </si>
  <si>
    <t>6     31      0      0      0      0</t>
  </si>
  <si>
    <t>0    338  -392</t>
  </si>
  <si>
    <t>5     31   -175     63    -10    -20</t>
  </si>
  <si>
    <t>0   -780      6      0   -420      0</t>
  </si>
  <si>
    <t>0   -257     2</t>
  </si>
  <si>
    <t>8   -175      0      0      0      0</t>
  </si>
  <si>
    <t>0  -2992  -471</t>
  </si>
  <si>
    <t>7    353      0      0      0    -66</t>
  </si>
  <si>
    <t>634   1386</t>
  </si>
  <si>
    <t>0  -1101      0      0    657      0</t>
  </si>
  <si>
    <t>4023      0</t>
  </si>
  <si>
    <t>0   1874   180</t>
  </si>
  <si>
    <t>1242  -1488  -189</t>
  </si>
  <si>
    <t>5  -2354  -1589      0      0      0</t>
  </si>
  <si>
    <t>1731      0</t>
  </si>
  <si>
    <t>0   -674      0      0      0      0</t>
  </si>
  <si>
    <t>1828     53   -38</t>
  </si>
  <si>
    <t>7     61    210   -262    347      0</t>
  </si>
  <si>
    <t>0      0    240  -2345  -4080  -2345</t>
  </si>
  <si>
    <t>0      0   -86</t>
  </si>
  <si>
    <t>3      0    -48    799      0      0</t>
  </si>
  <si>
    <t>0     -1    80</t>
  </si>
  <si>
    <t>0     -5    -10      0  19902   9563</t>
  </si>
  <si>
    <t>364    137</t>
  </si>
  <si>
    <t>0      0    -17  17786   7754   7675</t>
  </si>
  <si>
    <t>0  14839  1016</t>
  </si>
  <si>
    <t>5  10396  10558  12539   8795  11943</t>
  </si>
  <si>
    <t>1724   9602  1071</t>
  </si>
  <si>
    <t>4  -1066    642    546    -17      0</t>
  </si>
  <si>
    <t>0      0      0    -48    175      0</t>
  </si>
  <si>
    <t>0      0      0    -44   -263      0</t>
  </si>
  <si>
    <t>966   -260    20</t>
  </si>
  <si>
    <t>9   -196    -16      0      0      0</t>
  </si>
  <si>
    <t>0      0      0      0    823  -6900</t>
  </si>
  <si>
    <t>0      0   -530    221    206      0</t>
  </si>
  <si>
    <t>-58      0   -20</t>
  </si>
  <si>
    <t>0   -157    -36   -226     -8    162</t>
  </si>
  <si>
    <t>0    370    338   -576    895 -16326</t>
  </si>
  <si>
    <t>-778      0    85</t>
  </si>
  <si>
    <t>4    -46    323   1044     52     94</t>
  </si>
  <si>
    <t>9   1111      0     39   -246   -811</t>
  </si>
  <si>
    <t>0   -732    663      0    572  -7169</t>
  </si>
  <si>
    <t>632    -28    16</t>
  </si>
  <si>
    <t>1   -407      0     59      0      0</t>
  </si>
  <si>
    <t>0      0     51      0   -200    141</t>
  </si>
  <si>
    <t>0    328    584      0  -8930  -8331</t>
  </si>
  <si>
    <t>8    136    507  -2014  -2010      0</t>
  </si>
  <si>
    <t>0    522      0    848      0      0</t>
  </si>
  <si>
    <t>0    828    820      0   3351   2947</t>
  </si>
  <si>
    <t>0  -2342  -2375  -1682  -1921  -3147</t>
  </si>
  <si>
    <t>0   -392      0   -187      0      0</t>
  </si>
  <si>
    <t>0   -126    170  -4458  -2416  -3423</t>
  </si>
  <si>
    <t>1199   -230</t>
  </si>
  <si>
    <t>644    229    20</t>
  </si>
  <si>
    <t>9    307    979      0      0  -2027</t>
  </si>
  <si>
    <t>1001      0</t>
  </si>
  <si>
    <t>0      0      0      0   -489    397</t>
  </si>
  <si>
    <t>0   -723      0      0      0      0</t>
  </si>
  <si>
    <t>0  12200  3311</t>
  </si>
  <si>
    <t>3  17219  17733   1126    -81      0</t>
  </si>
  <si>
    <t>9742  27414  1325</t>
  </si>
  <si>
    <t>4  13983     71      0  12750  27368</t>
  </si>
  <si>
    <t>0889  24804  2112</t>
  </si>
  <si>
    <t>9  18943  11613  33697  17552  19586</t>
  </si>
  <si>
    <t>668    422    -6</t>
  </si>
  <si>
    <t>7      0      0     15      0   -133</t>
  </si>
  <si>
    <t>0    -66     8</t>
  </si>
  <si>
    <t>0     29   -11</t>
  </si>
  <si>
    <t>2      0      0   -448    903   -201</t>
  </si>
  <si>
    <t>-30      0</t>
  </si>
  <si>
    <t>0      0     80      0      0      0</t>
  </si>
  <si>
    <t>0      0    52</t>
  </si>
  <si>
    <t>1  -7243      0    352      0      0</t>
  </si>
  <si>
    <t>-520    236    12</t>
  </si>
  <si>
    <t>2      0      0    154    -74      0</t>
  </si>
  <si>
    <t>-187      8    -3</t>
  </si>
  <si>
    <t>0    257    275      0      0      0</t>
  </si>
  <si>
    <t>326   -403    24</t>
  </si>
  <si>
    <t>7  -7164    548    678    739      0</t>
  </si>
  <si>
    <t>-307    206    22</t>
  </si>
  <si>
    <t>4    378  -1541    545      0      0</t>
  </si>
  <si>
    <t>0    -17   -37</t>
  </si>
  <si>
    <t>3     98     51      0      0      0</t>
  </si>
  <si>
    <t>456      0    48</t>
  </si>
  <si>
    <t>8 -15695  -1229  -1430   -886    583</t>
  </si>
  <si>
    <t>0   1173</t>
  </si>
  <si>
    <t>0      0   -383  -1959      0    796</t>
  </si>
  <si>
    <t>307      0   -82</t>
  </si>
  <si>
    <t>5  -1176   -329      0      0      0</t>
  </si>
  <si>
    <t>886      0 -1069</t>
  </si>
  <si>
    <t>1  -9060    -82      0      0      0</t>
  </si>
  <si>
    <t>1280  -1961   -49</t>
  </si>
  <si>
    <t>3      0  -2176      0      0  -1220</t>
  </si>
  <si>
    <t>-61      0   319</t>
  </si>
  <si>
    <t>0   2998      0      0      0      0</t>
  </si>
  <si>
    <t>2321  -1732  -216</t>
  </si>
  <si>
    <t>7  -3271  -4153  -2634      0      0</t>
  </si>
  <si>
    <t>0    114</t>
  </si>
  <si>
    <t>0      0   -648      0      0      0</t>
  </si>
  <si>
    <t>345  -4376  -187</t>
  </si>
  <si>
    <t>7  -2053  -2430   -634   -238    805</t>
  </si>
  <si>
    <t>0      0      0  -1028    170    -79</t>
  </si>
  <si>
    <t>1684      0</t>
  </si>
  <si>
    <t>0  -1882      0   -168  -1518      0</t>
  </si>
  <si>
    <t>0      0   -63</t>
  </si>
  <si>
    <t>4    527      0      0      0      0</t>
  </si>
  <si>
    <t>0      0    -13     44      0  12545</t>
  </si>
  <si>
    <t>9119   1086    -6</t>
  </si>
  <si>
    <t>7      0      0    -32  10223  13860</t>
  </si>
  <si>
    <t>16      0  1323</t>
  </si>
  <si>
    <t>9  18110  28292  16674  11449  16150</t>
  </si>
  <si>
    <t>1855  21633  2699</t>
  </si>
  <si>
    <t>8  20554   9216   7450    -45    863</t>
  </si>
  <si>
    <t>0      0   -34</t>
  </si>
  <si>
    <t>0      0   -113      0      0      0</t>
  </si>
  <si>
    <t>6   1266    396    223    295      2</t>
  </si>
  <si>
    <t>0   -600</t>
  </si>
  <si>
    <t>0      0      0     15      0      0</t>
  </si>
  <si>
    <t>5466      0     1</t>
  </si>
  <si>
    <t>0      0      0      0      0    177</t>
  </si>
  <si>
    <t>6     45      0    157   -298    102</t>
  </si>
  <si>
    <t>0      0      0      0   -720  -1498</t>
  </si>
  <si>
    <t>6215    -62     -</t>
  </si>
  <si>
    <t>3    -71      0     47   -207   -511</t>
  </si>
  <si>
    <t>335   3400    -6</t>
  </si>
  <si>
    <t>0      0      0    208   -405      0</t>
  </si>
  <si>
    <t>0      0      0      0   -465   -670</t>
  </si>
  <si>
    <t>6929    107    10</t>
  </si>
  <si>
    <t>0     -7     69    237     28      0</t>
  </si>
  <si>
    <t>0   4972</t>
  </si>
  <si>
    <t>8      0   -327      0      0     52</t>
  </si>
  <si>
    <t>-49    179</t>
  </si>
  <si>
    <t>0      0      0      0   -159   -458</t>
  </si>
  <si>
    <t>4270   3182</t>
  </si>
  <si>
    <t>0      0      0   3755   4505   7281</t>
  </si>
  <si>
    <t>0  27345</t>
  </si>
  <si>
    <t>0      0  18038      0   6831      0</t>
  </si>
  <si>
    <t>0      0      0      0   9883  -1325</t>
  </si>
  <si>
    <t>3543      0</t>
  </si>
  <si>
    <t>0      0      0      0  -1590  -2194</t>
  </si>
  <si>
    <t>3593    179  -274</t>
  </si>
  <si>
    <t>1      0      0      0   -452      0</t>
  </si>
  <si>
    <t>0   -931</t>
  </si>
  <si>
    <t>0      0      0      0  -1226   -867</t>
  </si>
  <si>
    <t>8   -742    349      0      0      0</t>
  </si>
  <si>
    <t>0      0  -279</t>
  </si>
  <si>
    <t>1    -31   -342    -82   -828    201</t>
  </si>
  <si>
    <t>1305      0    54</t>
  </si>
  <si>
    <t>1   -919      0      0      0      0</t>
  </si>
  <si>
    <t>-851      0</t>
  </si>
  <si>
    <t>0      0      0      0  -1009      0</t>
  </si>
  <si>
    <t>0   -159     7</t>
  </si>
  <si>
    <t>6      0  11295  15557  16570  31714</t>
  </si>
  <si>
    <t>0      0    23</t>
  </si>
  <si>
    <t>5   9588  12974  13219  28645   -990</t>
  </si>
  <si>
    <t>6434  17229  2240</t>
  </si>
  <si>
    <t>9  10334  15671  19947  26165  10759</t>
  </si>
  <si>
    <t>7026   7572   914</t>
  </si>
  <si>
    <t>6  14026    191    864   -317   -196</t>
  </si>
  <si>
    <t>-90      0     6</t>
  </si>
  <si>
    <t>9      0      0      0    597    704</t>
  </si>
  <si>
    <t>0      0      0      0    -26   -225</t>
  </si>
  <si>
    <t>-244   1150   -27</t>
  </si>
  <si>
    <t>5     47   -102      8      0      0</t>
  </si>
  <si>
    <t>0    172      0      0      0      0</t>
  </si>
  <si>
    <t>0      0      0      0      0   1827</t>
  </si>
  <si>
    <t>-182      0</t>
  </si>
  <si>
    <t>0      0      0     32   1024    347</t>
  </si>
  <si>
    <t>0   1118   1612   2024   2173    350</t>
  </si>
  <si>
    <t>0      0  -1557   -390   2604    -28</t>
  </si>
  <si>
    <t>176    -11</t>
  </si>
  <si>
    <t>0     87   -203    224     20     53</t>
  </si>
  <si>
    <t>0    783   1234      0    809   -349</t>
  </si>
  <si>
    <t>0      0    142   -896      0      6</t>
  </si>
  <si>
    <t>-44    140    -6</t>
  </si>
  <si>
    <t>9    -14   -495      0    -58      0</t>
  </si>
  <si>
    <t>-261      0   -56</t>
  </si>
  <si>
    <t>3      0      0    450      0   -437</t>
  </si>
  <si>
    <t>0      0     52   -745      0   -150</t>
  </si>
  <si>
    <t>0     91    -37    227    -25     24</t>
  </si>
  <si>
    <t>9      0    780      0    664      0</t>
  </si>
  <si>
    <t>0      0    241   -655      0    -15</t>
  </si>
  <si>
    <t>0      0   -960  -1772  -1332   -583</t>
  </si>
  <si>
    <t>0      0  -4932      0  -3634      0</t>
  </si>
  <si>
    <t>0      0    848   -305  -2530    465</t>
  </si>
  <si>
    <t>426   -265    23</t>
  </si>
  <si>
    <t>342  -3638  -471</t>
  </si>
  <si>
    <t>9  -3505  -4636   1611      0      0</t>
  </si>
  <si>
    <t>-390   1784</t>
  </si>
  <si>
    <t>0      0      0      0      0   -181</t>
  </si>
  <si>
    <t>0      0    331      0      0      0</t>
  </si>
  <si>
    <t>-49      0  3033</t>
  </si>
  <si>
    <t>7  15780  16539  17085    685    238</t>
  </si>
  <si>
    <t>0  26485  1306</t>
  </si>
  <si>
    <t>5  13118  13784   -352      0  20979</t>
  </si>
  <si>
    <t>5416  19738  1487</t>
  </si>
  <si>
    <t>2  19777  17208  19670  19502  16318</t>
  </si>
  <si>
    <t>5421  15923  1435</t>
  </si>
  <si>
    <t>1   -963   1083    316   -144      0</t>
  </si>
  <si>
    <t>0      0      0    -65     67      0</t>
  </si>
  <si>
    <t>0      0      0    -39   -293      0</t>
  </si>
  <si>
    <t>1528   -241    13</t>
  </si>
  <si>
    <t>1   -262    -29      0      0      0</t>
  </si>
  <si>
    <t>0      0      0      0   1004  -9515</t>
  </si>
  <si>
    <t>0      0   -547    162    174      0</t>
  </si>
  <si>
    <t>-54      0   -25</t>
  </si>
  <si>
    <t>7   -170    -51   -221   -140     89</t>
  </si>
  <si>
    <t>0    384    440   -800   1992 -21767</t>
  </si>
  <si>
    <t>2046      0   -10</t>
  </si>
  <si>
    <t>1  -1979  -2151   1924    464   -488</t>
  </si>
  <si>
    <t>0      0    50</t>
  </si>
  <si>
    <t>8    290      0    403   -668  -1154</t>
  </si>
  <si>
    <t>0  -1470    622      0    605  -9864</t>
  </si>
  <si>
    <t>927   -108    25</t>
  </si>
  <si>
    <t>1     50      0    -53      0      0</t>
  </si>
  <si>
    <t>0      0     23      0   -287     79</t>
  </si>
  <si>
    <t>0    438    428      0   1301 -12165</t>
  </si>
  <si>
    <t>6   -151    -20    232    366      0</t>
  </si>
  <si>
    <t>0    115</t>
  </si>
  <si>
    <t>0    -37      0   -190      0      0</t>
  </si>
  <si>
    <t>0    381    143      0  -1213   4061</t>
  </si>
  <si>
    <t>0  -1396  -1120  -4105  -4822  -4364</t>
  </si>
  <si>
    <t>0    363      0    935      0      0</t>
  </si>
  <si>
    <t>0    101    503  -3186  -2331  -3409</t>
  </si>
  <si>
    <t>1090   -345</t>
  </si>
  <si>
    <t>825    291    22</t>
  </si>
  <si>
    <t>4    -13   1276      0      0  -1552</t>
  </si>
  <si>
    <t>1635      0</t>
  </si>
  <si>
    <t>0      0      0      0   -579    396</t>
  </si>
  <si>
    <t>0    503      0      0      0      0</t>
  </si>
  <si>
    <t>0  17141  4448</t>
  </si>
  <si>
    <t>6  24236  25150    906    -26      0</t>
  </si>
  <si>
    <t>3801  37300  1851</t>
  </si>
  <si>
    <t>9  19956   -240      0  17664  35229</t>
  </si>
  <si>
    <t>5221  32211  2932</t>
  </si>
  <si>
    <t>1  25969  16090  45082  24733  27137</t>
  </si>
  <si>
    <t>3802  21494  2042</t>
  </si>
  <si>
    <t>3   -793   1174    287   -161      0</t>
  </si>
  <si>
    <t>0     81</t>
  </si>
  <si>
    <t>0      0      0    -47     65      0</t>
  </si>
  <si>
    <t>0      0      0    -45   -257      0</t>
  </si>
  <si>
    <t>1633   -217   -26</t>
  </si>
  <si>
    <t>7   -600    -20      0      0      0</t>
  </si>
  <si>
    <t>0      0      0      0   1248 -10075</t>
  </si>
  <si>
    <t>0      0   -573    189    101      0</t>
  </si>
  <si>
    <t>-91      0     3</t>
  </si>
  <si>
    <t>1    106   -288     63   -124    232</t>
  </si>
  <si>
    <t>0    426    275   -492    620 -10140</t>
  </si>
  <si>
    <t>1061      0   -22</t>
  </si>
  <si>
    <t>7   -782   -232     75    259    554</t>
  </si>
  <si>
    <t>1    107      0     43   -573     29</t>
  </si>
  <si>
    <t>0    331    266      0   1518 -21923</t>
  </si>
  <si>
    <t>1443    628   -29</t>
  </si>
  <si>
    <t>5  -1975      0   2114      0      0</t>
  </si>
  <si>
    <t>0   1134</t>
  </si>
  <si>
    <t>0      0    956      0   -823  -1006</t>
  </si>
  <si>
    <t>0  -1216    902      0   1434 -13185</t>
  </si>
  <si>
    <t>8   -625   -140    240    264      0</t>
  </si>
  <si>
    <t>0    164      0     31      0      0</t>
  </si>
  <si>
    <t>0    372    177      0  -1045   4438</t>
  </si>
  <si>
    <t>0  -1449  -1033  -4158  -3503  -4953</t>
  </si>
  <si>
    <t>0   -453      0    330      0      0</t>
  </si>
  <si>
    <t>0   -560   -386  -4226  -1784  -2103</t>
  </si>
  <si>
    <t>747   1060</t>
  </si>
  <si>
    <t>128   -195   142</t>
  </si>
  <si>
    <t>7   -949   2220      0      0  -1599</t>
  </si>
  <si>
    <t>-986      0</t>
  </si>
  <si>
    <t>0      0      0      0   -236    833</t>
  </si>
  <si>
    <t>0     26      0      0      0      0</t>
  </si>
  <si>
    <t>0  17865  2434</t>
  </si>
  <si>
    <t>3  46108  26989   1434    183      0</t>
  </si>
  <si>
    <t>4673  19882  3667</t>
  </si>
  <si>
    <t>6  21650    -88      0  18827  25859</t>
  </si>
  <si>
    <t>6215  23159  4741</t>
  </si>
  <si>
    <t>1  27604  16928  30652  36435  28915</t>
  </si>
  <si>
    <t>5971  22832  2186</t>
  </si>
  <si>
    <t>8  27263   -481   2573    301     38</t>
  </si>
  <si>
    <t>-1      0    14</t>
  </si>
  <si>
    <t>5      0      0      0     32     49</t>
  </si>
  <si>
    <t>0      0      0      0    -12    -98</t>
  </si>
  <si>
    <t>-358   3753     3</t>
  </si>
  <si>
    <t>9   -131   -415      1      0      0</t>
  </si>
  <si>
    <t>0      0      0      0      0    142</t>
  </si>
  <si>
    <t>0      0      0   -124     -3     41</t>
  </si>
  <si>
    <t>239   -112</t>
  </si>
  <si>
    <t>0    151   -397     99   -134    399</t>
  </si>
  <si>
    <t>0      0    298    483    -75    -97</t>
  </si>
  <si>
    <t>28    164</t>
  </si>
  <si>
    <t>0   -167  -1243   -165    -52    155</t>
  </si>
  <si>
    <t>0    146   -378      0   -200     91</t>
  </si>
  <si>
    <t>0      0    128    413      0     50</t>
  </si>
  <si>
    <t>-32    -12    15</t>
  </si>
  <si>
    <t>2    -64   -981      0   -125      0</t>
  </si>
  <si>
    <t>299      0    -3</t>
  </si>
  <si>
    <t>8      0      0    110      0    119</t>
  </si>
  <si>
    <t>0      0    254    514      0   1230</t>
  </si>
  <si>
    <t>0    -95  -2136   -629   1485     54</t>
  </si>
  <si>
    <t>9      0    217      0    765      0</t>
  </si>
  <si>
    <t>0      0  -2073    554      0   3508</t>
  </si>
  <si>
    <t>0      0  -1384   -913  -1083  -2683</t>
  </si>
  <si>
    <t>2880      0</t>
  </si>
  <si>
    <t>0      0   1047      0   1147      0</t>
  </si>
  <si>
    <t>0      0  -1353  -4093  -4173   -337</t>
  </si>
  <si>
    <t>1112    507   148</t>
  </si>
  <si>
    <t>414   -128   151</t>
  </si>
  <si>
    <t>8   -181    486   -440      0      0</t>
  </si>
  <si>
    <t>1512    162</t>
  </si>
  <si>
    <t>0      0      0      0      0   -184</t>
  </si>
  <si>
    <t>0      0    690      0      0      0</t>
  </si>
  <si>
    <t>150      0  1717</t>
  </si>
  <si>
    <t>1  23731  25294  48556   1060    391</t>
  </si>
  <si>
    <t>-219  13995  1927</t>
  </si>
  <si>
    <t>5  19488  39721    -99      0  18315</t>
  </si>
  <si>
    <t>2702  15717  2191</t>
  </si>
  <si>
    <t>8  30324  40416  16397  29633  24892</t>
  </si>
  <si>
    <t>3427  24368  3020</t>
  </si>
  <si>
    <t>0  21556  28691  33517  -1216   8378</t>
  </si>
  <si>
    <t>0      0  -117</t>
  </si>
  <si>
    <t>1      0   2108      0      0      0</t>
  </si>
  <si>
    <t>0      0 -1865</t>
  </si>
  <si>
    <t>7   4920  16892   9095  15801   2476</t>
  </si>
  <si>
    <t>0  -2550</t>
  </si>
  <si>
    <t>0      0      0  -1275      0      0</t>
  </si>
  <si>
    <t>0   -571</t>
  </si>
  <si>
    <t>2124      0  -135</t>
  </si>
  <si>
    <t>9      0      0      0      0  -1261</t>
  </si>
  <si>
    <t>0      0   151</t>
  </si>
  <si>
    <t>4   -252      0   -127   -186    164</t>
  </si>
  <si>
    <t>0      0      0      0  -1314   3345</t>
  </si>
  <si>
    <t>1969    484   -83</t>
  </si>
  <si>
    <t>5  -1181      0    -25  -1198   -930</t>
  </si>
  <si>
    <t>-78    645   -18</t>
  </si>
  <si>
    <t>7      0      0   -251    231      0</t>
  </si>
  <si>
    <t>413    172</t>
  </si>
  <si>
    <t>0      0      0      0   -160   7310</t>
  </si>
  <si>
    <t>2169    838   -78</t>
  </si>
  <si>
    <t>6  -1004   1683    -41    -99      0</t>
  </si>
  <si>
    <t>0    477   -38</t>
  </si>
  <si>
    <t>2      0     58      0      0     -2</t>
  </si>
  <si>
    <t>231   -116</t>
  </si>
  <si>
    <t>0      0      0      0    448   7212</t>
  </si>
  <si>
    <t>-304    862</t>
  </si>
  <si>
    <t>0      0      0     50   -698   -935</t>
  </si>
  <si>
    <t>0    770</t>
  </si>
  <si>
    <t>0      0    107      0    -72      0</t>
  </si>
  <si>
    <t>0      0      0      0    301   5899</t>
  </si>
  <si>
    <t>537      0</t>
  </si>
  <si>
    <t>0      0      0      0    328    232</t>
  </si>
  <si>
    <t>-922   1635   -33</t>
  </si>
  <si>
    <t>0      0      0      0     69      0</t>
  </si>
  <si>
    <t>0      0      0      0    163   9568</t>
  </si>
  <si>
    <t>5858   5289  -687</t>
  </si>
  <si>
    <t>9  -2032  -5170      0      0      0</t>
  </si>
  <si>
    <t>0      0   -70</t>
  </si>
  <si>
    <t>4    916   -732   -717   -688  -1961</t>
  </si>
  <si>
    <t>914      0   511</t>
  </si>
  <si>
    <t>0 -24284      0      0      0      0</t>
  </si>
  <si>
    <t>-233      0</t>
  </si>
  <si>
    <t>0      0      0      0    -48      0</t>
  </si>
  <si>
    <t>0    527  -926</t>
  </si>
  <si>
    <t>3      0  -3582   5330   6219    824</t>
  </si>
  <si>
    <t>0      0  -537</t>
  </si>
  <si>
    <t>4  -4742   5748   5504   1142  -7115</t>
  </si>
  <si>
    <t>3659   3925   120</t>
  </si>
  <si>
    <t>3   -285   2857   4127   1161   -271</t>
  </si>
  <si>
    <t>1340    201   303</t>
  </si>
  <si>
    <t>7   3248   1603    476   4143   3982</t>
  </si>
  <si>
    <t>71   -466    44</t>
  </si>
  <si>
    <t>0      0      0   1744      0   -854</t>
  </si>
  <si>
    <t>0  -4806 -1014</t>
  </si>
  <si>
    <t>0   1096   144</t>
  </si>
  <si>
    <t>0      0      0   -244    473    337</t>
  </si>
  <si>
    <t>-71      0</t>
  </si>
  <si>
    <t>0      0   1110      0      0      0</t>
  </si>
  <si>
    <t>0      0   -196      0      0      0</t>
  </si>
  <si>
    <t>0      0 -1129</t>
  </si>
  <si>
    <t>8  13484      0   5426      0      0</t>
  </si>
  <si>
    <t>2990    752    15</t>
  </si>
  <si>
    <t>8      0      0    963  -2454      0</t>
  </si>
  <si>
    <t>1937    733    35</t>
  </si>
  <si>
    <t>4    433   2705      0      0      0</t>
  </si>
  <si>
    <t>8541 -16953  -523</t>
  </si>
  <si>
    <t>5    355   -916  -2680  -3529      0</t>
  </si>
  <si>
    <t>2738    536    60</t>
  </si>
  <si>
    <t>1    450    780   -911      0      0</t>
  </si>
  <si>
    <t>0   2991   -74</t>
  </si>
  <si>
    <t>9   -135    102      0      0      0</t>
  </si>
  <si>
    <t>3295      0  -514</t>
  </si>
  <si>
    <t>5    459  -1213  -3855  -4328  -1533</t>
  </si>
  <si>
    <t>0    657</t>
  </si>
  <si>
    <t>0      0    -24     52      0    239</t>
  </si>
  <si>
    <t>1369      0   -13</t>
  </si>
  <si>
    <t>7   -397   -547      0      0      0</t>
  </si>
  <si>
    <t>3537      0   329</t>
  </si>
  <si>
    <t>5    151    708      0      0      0</t>
  </si>
  <si>
    <t>9      0   1418      0      0     45</t>
  </si>
  <si>
    <t>0   2061</t>
  </si>
  <si>
    <t>9914      0  -545</t>
  </si>
  <si>
    <t>7    -52      0      0      0      0</t>
  </si>
  <si>
    <t>2249  -1112   -62</t>
  </si>
  <si>
    <t>3  -1277   2836  -2596      0      0</t>
  </si>
  <si>
    <t>0   5529</t>
  </si>
  <si>
    <t>0      0  -1154      0      0      0</t>
  </si>
  <si>
    <t>6270   3612   456</t>
  </si>
  <si>
    <t>3  12115  14720   7700   3726   1106</t>
  </si>
  <si>
    <t>0      0      0  -3086  -4573 -10701</t>
  </si>
  <si>
    <t>0   1745      0   8871 -40502      0</t>
  </si>
  <si>
    <t>0      0    33</t>
  </si>
  <si>
    <t>2   1233      0      0      0      0</t>
  </si>
  <si>
    <t>0      0   -221    361      0 -18765</t>
  </si>
  <si>
    <t>5      0      0   -362 -18484    909</t>
  </si>
  <si>
    <t>-620      0 -2728</t>
  </si>
  <si>
    <t>9   5180   5717  -1782  -5780    -21</t>
  </si>
  <si>
    <t>5343   1084   -38</t>
  </si>
  <si>
    <t>9    681  -2087   1188   1589   1442</t>
  </si>
  <si>
    <t>1384    963  1832</t>
  </si>
  <si>
    <t>5  -6430    644  -5676    -68      0</t>
  </si>
  <si>
    <t>0  -1018</t>
  </si>
  <si>
    <t>0      0      0    681   -916      0</t>
  </si>
  <si>
    <t>0      0      0   1549    767      0</t>
  </si>
  <si>
    <t>516   -143   -68</t>
  </si>
  <si>
    <t>9   -281     30      0      0      0</t>
  </si>
  <si>
    <t>0      0   -25</t>
  </si>
  <si>
    <t>0      0      0      0  -1406  -1133</t>
  </si>
  <si>
    <t>0      0  -1703  -1759   -611      0</t>
  </si>
  <si>
    <t>711      0    33</t>
  </si>
  <si>
    <t>1   1416    427    987   -138    456</t>
  </si>
  <si>
    <t>0    619   7488   4372 -13164  -2744</t>
  </si>
  <si>
    <t>7746      0   418</t>
  </si>
  <si>
    <t>9   6339  13077  -1606  -3643  -2782</t>
  </si>
  <si>
    <t>0      0    67</t>
  </si>
  <si>
    <t>7   -364      0   -994   4760    164</t>
  </si>
  <si>
    <t>0  -7355   9887      0  -6766    205</t>
  </si>
  <si>
    <t>7429  -2271  -110</t>
  </si>
  <si>
    <t>1  -1684      0    454      0      0</t>
  </si>
  <si>
    <t>0   1309</t>
  </si>
  <si>
    <t>0      0    444      0   -262    172</t>
  </si>
  <si>
    <t>0    914  16539      0   2984  -1097</t>
  </si>
  <si>
    <t>0      0    10</t>
  </si>
  <si>
    <t>3   -745   -829  -1397   -295      0</t>
  </si>
  <si>
    <t>0    379</t>
  </si>
  <si>
    <t>0    373      0    914      0      0</t>
  </si>
  <si>
    <t>0   1661  12380      0  -7763   -288</t>
  </si>
  <si>
    <t>0    368   3480  -1311   -540  -1305</t>
  </si>
  <si>
    <t>0    741      0    651      0      0</t>
  </si>
  <si>
    <t>0    272  19729   5110   5598  16298</t>
  </si>
  <si>
    <t>4823   1765</t>
  </si>
  <si>
    <t>4  -3067   -160      0      0   2049</t>
  </si>
  <si>
    <t>1204      0</t>
  </si>
  <si>
    <t>0      0      0      0   -131    293</t>
  </si>
  <si>
    <t>0    302      0      0      0      0</t>
  </si>
  <si>
    <t>0    329   788</t>
  </si>
  <si>
    <t>2   -350   2283  -1891  -1168      0</t>
  </si>
  <si>
    <t>1924    360    87</t>
  </si>
  <si>
    <t>5   1608  -1137      0   3489    572</t>
  </si>
  <si>
    <t>4398   7115   603</t>
  </si>
  <si>
    <t>2   -219   1763   -802   -569   2083</t>
  </si>
  <si>
    <t>2308   2460   182</t>
  </si>
  <si>
    <t>2    854   2378   1990  19821  33485</t>
  </si>
  <si>
    <t>4805    531</t>
  </si>
  <si>
    <t>0      0   -695      0   -435      0</t>
  </si>
  <si>
    <t>341  -1205</t>
  </si>
  <si>
    <t>1488    120</t>
  </si>
  <si>
    <t>0      0   -522    529    283   -235</t>
  </si>
  <si>
    <t>0   1382      0      0      0   -218</t>
  </si>
  <si>
    <t>0   -278      0      0      0      0</t>
  </si>
  <si>
    <t>0  -1954  -113</t>
  </si>
  <si>
    <t>7      0   -828      0      0      0</t>
  </si>
  <si>
    <t>1829   -665</t>
  </si>
  <si>
    <t>0      0   1390    665      0    340</t>
  </si>
  <si>
    <t>1510    -53    59</t>
  </si>
  <si>
    <t>4    229      0      0      0      0</t>
  </si>
  <si>
    <t>4440  -7199     8</t>
  </si>
  <si>
    <t>7   -885  -6222  -6413      0  -1204</t>
  </si>
  <si>
    <t>371    832    69</t>
  </si>
  <si>
    <t>4   1152  -1150      0      0   -170</t>
  </si>
  <si>
    <t>1105  -1102    12</t>
  </si>
  <si>
    <t>9    519      0      0      0      0</t>
  </si>
  <si>
    <t>0  -9491  -236</t>
  </si>
  <si>
    <t>6   5422  13756  15169   8440   1761</t>
  </si>
  <si>
    <t>1787      0</t>
  </si>
  <si>
    <t>0   -676  -1622      0     84      0</t>
  </si>
  <si>
    <t>0   -671  -326</t>
  </si>
  <si>
    <t>2  -2602      0      0      0      0</t>
  </si>
  <si>
    <t>0   2897   -84</t>
  </si>
  <si>
    <t>1   1700      0      0      0      5</t>
  </si>
  <si>
    <t>1363   -378</t>
  </si>
  <si>
    <t>0   1718      0      0    647      0</t>
  </si>
  <si>
    <t>1181      0</t>
  </si>
  <si>
    <t>0  -8646   -33</t>
  </si>
  <si>
    <t>1819   -898  -179</t>
  </si>
  <si>
    <t>7   3313  -2834      0      0      0</t>
  </si>
  <si>
    <t>1630      0</t>
  </si>
  <si>
    <t>0   -442      0      0      0      0</t>
  </si>
  <si>
    <t>6060   6639  1793</t>
  </si>
  <si>
    <t>1  17935  11021   5019   1684      0</t>
  </si>
  <si>
    <t>0      0  -6241   -492  -4093  -1010</t>
  </si>
  <si>
    <t>0      0   185</t>
  </si>
  <si>
    <t>3      0  11890 -53923      0      0</t>
  </si>
  <si>
    <t>0    197    87</t>
  </si>
  <si>
    <t>0   -167    102      0    457   -896</t>
  </si>
  <si>
    <t>1979  -1096</t>
  </si>
  <si>
    <t>0      0   -186   1799   1514   -270</t>
  </si>
  <si>
    <t>0   3722   214</t>
  </si>
  <si>
    <t>5   1711   1882   1864      5     53</t>
  </si>
  <si>
    <t>5852   7429   -40</t>
  </si>
  <si>
    <t>2   1351   1903   1705   2478   2094</t>
  </si>
  <si>
    <t>1948  21348  3607</t>
  </si>
  <si>
    <t>3  41810  -5812    693  -2884   -466</t>
  </si>
  <si>
    <t>-557      0   121</t>
  </si>
  <si>
    <t>7      0      0      0   -152     14</t>
  </si>
  <si>
    <t>0      0      0      0    717    -76</t>
  </si>
  <si>
    <t>-244    501   -67</t>
  </si>
  <si>
    <t>8   -443   -255     22      0      0</t>
  </si>
  <si>
    <t>0   -172      0      0      0      0</t>
  </si>
  <si>
    <t>0      0      0      0      0   -378</t>
  </si>
  <si>
    <t>-629      0</t>
  </si>
  <si>
    <t>0      0      0   -990  -1584   -611</t>
  </si>
  <si>
    <t>1283    469</t>
  </si>
  <si>
    <t>0    474   1066    530    815   -100</t>
  </si>
  <si>
    <t>0      0    825   7780   3898  -5955</t>
  </si>
  <si>
    <t>3285  -3426</t>
  </si>
  <si>
    <t>0   -768  -2783  -1979    345    487</t>
  </si>
  <si>
    <t>-984      0</t>
  </si>
  <si>
    <t>0   -159    379      0    702   -704</t>
  </si>
  <si>
    <t>0      0   1214  16198      0  -5296</t>
  </si>
  <si>
    <t>5288  -5003  -245</t>
  </si>
  <si>
    <t>3   -903  -1061      0    446      0</t>
  </si>
  <si>
    <t>454      0    87</t>
  </si>
  <si>
    <t>4      0      0    300      0    120</t>
  </si>
  <si>
    <t>0      0    366  16230      0  -8931</t>
  </si>
  <si>
    <t>0    949   1258   6247   3231    263</t>
  </si>
  <si>
    <t>0      0   250</t>
  </si>
  <si>
    <t>9      0   -320      0  -3842      0</t>
  </si>
  <si>
    <t>0      0 -12756   4013      0  -6020</t>
  </si>
  <si>
    <t>0      0    720   4217  -1474   -674</t>
  </si>
  <si>
    <t>2871      0</t>
  </si>
  <si>
    <t>0      0    235      0    434      0</t>
  </si>
  <si>
    <t>0      0    842  20226   5263   8477</t>
  </si>
  <si>
    <t>2760   5291   347</t>
  </si>
  <si>
    <t>4564   -740  -196</t>
  </si>
  <si>
    <t>1  -2498  -2123     99      0      0</t>
  </si>
  <si>
    <t>9454 -47056</t>
  </si>
  <si>
    <t>0      0      0      0      0    -15</t>
  </si>
  <si>
    <t>0      0   -125      0      0      0</t>
  </si>
  <si>
    <t>-78      0    -5</t>
  </si>
  <si>
    <t>6    -25    819   4154  -1808   -806</t>
  </si>
  <si>
    <t>-130   1469   139</t>
  </si>
  <si>
    <t>4   1106   -911   -819      0   3105</t>
  </si>
  <si>
    <t>1682   1382    50</t>
  </si>
  <si>
    <t>8   2492    934   1381   1699     96</t>
  </si>
  <si>
    <t>7003   6936  -255</t>
  </si>
  <si>
    <t>6   1320   2439   2236   1684  17663</t>
  </si>
  <si>
    <t>8190  -7290   100</t>
  </si>
  <si>
    <t>7  -3277   -177      0      0    -65</t>
  </si>
  <si>
    <t>0   -267   -908      0      0      0</t>
  </si>
  <si>
    <t>0    954  -1917      0      0      7</t>
  </si>
  <si>
    <t>5      0      0      0   1471      0</t>
  </si>
  <si>
    <t>-331      0</t>
  </si>
  <si>
    <t>0      0      0      0   -134      0</t>
  </si>
  <si>
    <t>0      0    190  -1106      0  -1000</t>
  </si>
  <si>
    <t>0      0  -240</t>
  </si>
  <si>
    <t>8  -1831   -780      0      0   1547</t>
  </si>
  <si>
    <t>459   1403    60</t>
  </si>
  <si>
    <t>0    786   -350    402    264      0</t>
  </si>
  <si>
    <t>0    661   894</t>
  </si>
  <si>
    <t>4   4384  -7405   -176    143  -4553</t>
  </si>
  <si>
    <t>4    738    655    494   2219  -1393</t>
  </si>
  <si>
    <t>-272    378</t>
  </si>
  <si>
    <t>0    519  -1178   -310    181      0</t>
  </si>
  <si>
    <t>0    619  1982</t>
  </si>
  <si>
    <t>6      0  -7237    679   -895  -6841</t>
  </si>
  <si>
    <t>1053  -1690</t>
  </si>
  <si>
    <t>0    693      0      0    905    530</t>
  </si>
  <si>
    <t>0      0    57</t>
  </si>
  <si>
    <t>1      0    100    144   -236      0</t>
  </si>
  <si>
    <t>0    372  2038</t>
  </si>
  <si>
    <t>6      0   6157   -209   1956      0</t>
  </si>
  <si>
    <t>288   -813  -123</t>
  </si>
  <si>
    <t>7  -1539   -483      0   3034      0</t>
  </si>
  <si>
    <t>0    275</t>
  </si>
  <si>
    <t>0    806      0      0      0      0</t>
  </si>
  <si>
    <t>0   1920  1519</t>
  </si>
  <si>
    <t>9      0 -10352   3025      0      0</t>
  </si>
  <si>
    <t>0  -1285   704</t>
  </si>
  <si>
    <t>2   1374    888    568   6436  -2046</t>
  </si>
  <si>
    <t>0  -1075      0      0    105      0</t>
  </si>
  <si>
    <t>0  -6197  1828</t>
  </si>
  <si>
    <t>7 -21890   1351  20084  19910  10833</t>
  </si>
  <si>
    <t>0      0      0      0      0  -4974</t>
  </si>
  <si>
    <t>2896  -2298    52</t>
  </si>
  <si>
    <t>9      0      0   3020      0  14675</t>
  </si>
  <si>
    <t>0      0   -518   -587      0      0</t>
  </si>
  <si>
    <t>0   -632</t>
  </si>
  <si>
    <t>0      0      0      0   -346   -739</t>
  </si>
  <si>
    <t>1134  -1236    53</t>
  </si>
  <si>
    <t>5   1450   -278      0      0    828</t>
  </si>
  <si>
    <t>2944   2562  -340</t>
  </si>
  <si>
    <t>9      0   5250   4542   4037   3183</t>
  </si>
  <si>
    <t>4412   2862   315</t>
  </si>
  <si>
    <t>1   4937   1605   3339   2084   4035</t>
  </si>
  <si>
    <t>3130   8074   664</t>
  </si>
  <si>
    <t>0    688  24066  37947  46250  48211</t>
  </si>
  <si>
    <t>718    632   166</t>
  </si>
  <si>
    <t>4      0      0    509      0    950</t>
  </si>
  <si>
    <t>0  -1325  -190</t>
  </si>
  <si>
    <t>0    239    32</t>
  </si>
  <si>
    <t>3      0      0  -5496    194   4206</t>
  </si>
  <si>
    <t>-409      0</t>
  </si>
  <si>
    <t>0      0    -42      0      0      0</t>
  </si>
  <si>
    <t>0      0   -116      0      0      0</t>
  </si>
  <si>
    <t>0      0   504</t>
  </si>
  <si>
    <t>6   6485      0   6578      0      0</t>
  </si>
  <si>
    <t>6429   2431   214</t>
  </si>
  <si>
    <t>0      0      0  -1762    809      0</t>
  </si>
  <si>
    <t>681   1278  -246</t>
  </si>
  <si>
    <t>8   1485   4358      0      0      0</t>
  </si>
  <si>
    <t>3618   1577  -171</t>
  </si>
  <si>
    <t>0    -97   -211   -858   -341      0</t>
  </si>
  <si>
    <t>1271   -451   -41</t>
  </si>
  <si>
    <t>6   -374   1265    468      0      0</t>
  </si>
  <si>
    <t>0   -113   148</t>
  </si>
  <si>
    <t>3     38   -148      0      0      0</t>
  </si>
  <si>
    <t>5122      0  -183</t>
  </si>
  <si>
    <t>6   -656    127   -197     14   3105</t>
  </si>
  <si>
    <t>0    303</t>
  </si>
  <si>
    <t>0      0   1463     13      0    193</t>
  </si>
  <si>
    <t>-1      0    79</t>
  </si>
  <si>
    <t>6   -275    121      0      0      0</t>
  </si>
  <si>
    <t>4748      0   221</t>
  </si>
  <si>
    <t>8   -110    295      0      0      0</t>
  </si>
  <si>
    <t>5      0   1427      0      0     14</t>
  </si>
  <si>
    <t>0   -106</t>
  </si>
  <si>
    <t>4505      0   -37</t>
  </si>
  <si>
    <t>8    677      0      0      0      0</t>
  </si>
  <si>
    <t>2357  -1173   -75</t>
  </si>
  <si>
    <t>7   -663   2092   -425      0      0</t>
  </si>
  <si>
    <t>0     67</t>
  </si>
  <si>
    <t>0      0   -582      0      0      0</t>
  </si>
  <si>
    <t>6145  -1948  -188</t>
  </si>
  <si>
    <t>8   -245  -2337 -15122 -13408 -26704</t>
  </si>
  <si>
    <t>0      0      0    334    147  -1531</t>
  </si>
  <si>
    <t>4115      0</t>
  </si>
  <si>
    <t>0   -667      0   6078 -19278      0</t>
  </si>
  <si>
    <t>0      0  -181</t>
  </si>
  <si>
    <t>8  -8562      0      0      0      0</t>
  </si>
  <si>
    <t>0      0   -116    -45      0 -12608</t>
  </si>
  <si>
    <t>798  -1124</t>
  </si>
  <si>
    <t>9      0      0   2248 -17340  -1125</t>
  </si>
  <si>
    <t>3926      0 -1038</t>
  </si>
  <si>
    <t>0   4277   6827   1803  -3456   1560</t>
  </si>
  <si>
    <t>3856   1296   267</t>
  </si>
  <si>
    <t>9    936  -2070   1146   1368   1560</t>
  </si>
  <si>
    <t>1070    902  1460</t>
  </si>
  <si>
    <t>2  29767  15803  17275  13469  18665</t>
  </si>
  <si>
    <t>253   1656</t>
  </si>
  <si>
    <t>0      0   -202      0     51      0</t>
  </si>
  <si>
    <t>940    714</t>
  </si>
  <si>
    <t>0      0  -9313     24   5673   1618</t>
  </si>
  <si>
    <t>0    332      0      0      0     53</t>
  </si>
  <si>
    <t>0   -204    78</t>
  </si>
  <si>
    <t>6      0  -3097      0      0      0</t>
  </si>
  <si>
    <t>1458   -617</t>
  </si>
  <si>
    <t>0      0    668   -311      0  -1000</t>
  </si>
  <si>
    <t>-482    176   -78</t>
  </si>
  <si>
    <t>3  -1493      0      0      0      0</t>
  </si>
  <si>
    <t>2168  -5769    12</t>
  </si>
  <si>
    <t>1   1766   5709   3810      0  -7687</t>
  </si>
  <si>
    <t>2348   3144   161</t>
  </si>
  <si>
    <t>9    620  -4347      0      0    930</t>
  </si>
  <si>
    <t>1   1591      0      0      0      0</t>
  </si>
  <si>
    <t>0  -2967   -82</t>
  </si>
  <si>
    <t>9    -81  -2923   -566   5316   2652</t>
  </si>
  <si>
    <t>0   -467    480      0   -199      0</t>
  </si>
  <si>
    <t>0   2783    35</t>
  </si>
  <si>
    <t>4   -683      0      0      0      0</t>
  </si>
  <si>
    <t>0   4449   -47</t>
  </si>
  <si>
    <t>2    321      0      0      0   1245</t>
  </si>
  <si>
    <t>1015   -900</t>
  </si>
  <si>
    <t>0    -99      0      0     80      0</t>
  </si>
  <si>
    <t>0  -1499   119</t>
  </si>
  <si>
    <t>2272  -1744  -134</t>
  </si>
  <si>
    <t>2    490    516      0      0      0</t>
  </si>
  <si>
    <t>0   -992      0      0      0      0</t>
  </si>
  <si>
    <t>2651  -4268  -130</t>
  </si>
  <si>
    <t>4  -5346 -22973 -15506 -30137      0</t>
  </si>
  <si>
    <t>0      0    454   1699    409    552</t>
  </si>
  <si>
    <t>0      0   -46</t>
  </si>
  <si>
    <t>8      0   5556 -29836      0      0</t>
  </si>
  <si>
    <t>0    733  -195</t>
  </si>
  <si>
    <t>0    -90    -25      0   1592   1560</t>
  </si>
  <si>
    <t>0      0   2369   2397   8114  -1226</t>
  </si>
  <si>
    <t>0    -29   153</t>
  </si>
  <si>
    <t>2   3090   2260   -940   2766   8084</t>
  </si>
  <si>
    <t>742   3450   304</t>
  </si>
  <si>
    <t>2   1047   1274   2946   2360   1622</t>
  </si>
  <si>
    <t>2877  18871  1909</t>
  </si>
  <si>
    <t>0  32772  24455  19710  27646  24869</t>
  </si>
  <si>
    <t>197   1357</t>
  </si>
  <si>
    <t>0      0     59      0    158      0</t>
  </si>
  <si>
    <t>1210    738</t>
  </si>
  <si>
    <t>0      0 -10099   -362   5346   3746</t>
  </si>
  <si>
    <t>0    711      0      0      0   -102</t>
  </si>
  <si>
    <t>0   -871      0      0      0      0</t>
  </si>
  <si>
    <t>0   -361    32</t>
  </si>
  <si>
    <t>4      0  -2295      0      0      0</t>
  </si>
  <si>
    <t>1490   -498</t>
  </si>
  <si>
    <t>0      0   1315   -506      0   -770</t>
  </si>
  <si>
    <t>-185    570   -29</t>
  </si>
  <si>
    <t>7   -978      0      0      0      0</t>
  </si>
  <si>
    <t>1729  -3763   -23</t>
  </si>
  <si>
    <t>8  -1003  -2984  -1704      0   1853</t>
  </si>
  <si>
    <t>1052  -1036   -94</t>
  </si>
  <si>
    <t>4   -674   1219      0      0   -485</t>
  </si>
  <si>
    <t>-104   4120    86</t>
  </si>
  <si>
    <t>2   -372      0      0      0      0</t>
  </si>
  <si>
    <t>0 -10068    29</t>
  </si>
  <si>
    <t>4    173   3253   1501  -8542  -5757</t>
  </si>
  <si>
    <t>1016      0</t>
  </si>
  <si>
    <t>0  -1110  -1477      0    857      0</t>
  </si>
  <si>
    <t>0  -4534  -169</t>
  </si>
  <si>
    <t>1   1621      0      0      0      0</t>
  </si>
  <si>
    <t>0   4256   -40</t>
  </si>
  <si>
    <t>7    268      0      0      0    299</t>
  </si>
  <si>
    <t>0   -202      0      0    102      0</t>
  </si>
  <si>
    <t>-86      0</t>
  </si>
  <si>
    <t>0  -2912    98</t>
  </si>
  <si>
    <t>2499  -1746  -157</t>
  </si>
  <si>
    <t>5    427   1103      0      0      0</t>
  </si>
  <si>
    <t>95      0</t>
  </si>
  <si>
    <t>0  -1092      0      0      0      0</t>
  </si>
  <si>
    <t>2527  -3267    21</t>
  </si>
  <si>
    <t>8  -3789 -20673  -9734 -24022      0</t>
  </si>
  <si>
    <t>0      0   -174   1868    397    549</t>
  </si>
  <si>
    <t>0      0   3818 -30062      0      0</t>
  </si>
  <si>
    <t>0    173  -214</t>
  </si>
  <si>
    <t>0    -24     45      0   1528   1896</t>
  </si>
  <si>
    <t>323   -763</t>
  </si>
  <si>
    <t>0      0   2382   2322   -587   8811</t>
  </si>
  <si>
    <t>0    430   296</t>
  </si>
  <si>
    <t>9   1678   2197   1456   1524   1247</t>
  </si>
  <si>
    <t>5986   2110   100</t>
  </si>
  <si>
    <t>2    954   2435   1787   2025   1497</t>
  </si>
  <si>
    <t>2769  18755  1949</t>
  </si>
  <si>
    <t>6  22928  33191  20238  28019  22492</t>
  </si>
  <si>
    <t>-50    641   184</t>
  </si>
  <si>
    <t>3      0      0    -85      0    137</t>
  </si>
  <si>
    <t>0   -298   -18</t>
  </si>
  <si>
    <t>0    565     6</t>
  </si>
  <si>
    <t>6      0      0  -8197   -215   4264</t>
  </si>
  <si>
    <t>347      0</t>
  </si>
  <si>
    <t>0      0    523      0      0      0</t>
  </si>
  <si>
    <t>0      0    138      0      0      0</t>
  </si>
  <si>
    <t>0      0   123</t>
  </si>
  <si>
    <t>8     16      0  -1654      0      0</t>
  </si>
  <si>
    <t>4110  -1210   -58</t>
  </si>
  <si>
    <t>8      0      0   1570   -604      0</t>
  </si>
  <si>
    <t>15     65   159</t>
  </si>
  <si>
    <t>6     24   -460      0      0      0</t>
  </si>
  <si>
    <t>5657  -1607  -160</t>
  </si>
  <si>
    <t>6   -547   -628  -1443   -857      0</t>
  </si>
  <si>
    <t>1692   -802  -105</t>
  </si>
  <si>
    <t>3   -690   -500    927      0      0</t>
  </si>
  <si>
    <t>0    -35   385</t>
  </si>
  <si>
    <t>5    512      1      0      0      0</t>
  </si>
  <si>
    <t>9383      0  -159</t>
  </si>
  <si>
    <t>1  -1176    169   -894    231   5222</t>
  </si>
  <si>
    <t>0    459</t>
  </si>
  <si>
    <t>0      0   -342   -140      0    -61</t>
  </si>
  <si>
    <t>-180      0   230</t>
  </si>
  <si>
    <t>8   -104   -267      0      0      0</t>
  </si>
  <si>
    <t>8940      0  -214</t>
  </si>
  <si>
    <t>2   -844    992      0      0      0</t>
  </si>
  <si>
    <t>1859   2070   334</t>
  </si>
  <si>
    <t>9      0   3651      0      0   -837</t>
  </si>
  <si>
    <t>3077      0   -56</t>
  </si>
  <si>
    <t>5    840      0      0      0      0</t>
  </si>
  <si>
    <t>2256  -2278  -176</t>
  </si>
  <si>
    <t>4  -1357    380   1391      0      0</t>
  </si>
  <si>
    <t>0      0   -863      0      0      0</t>
  </si>
  <si>
    <t>2589  -2734  -313</t>
  </si>
  <si>
    <t>6    401  -3358 -23133 -10592 -18558</t>
  </si>
  <si>
    <t>0      0      0    354   1519    384</t>
  </si>
  <si>
    <t>0745      0</t>
  </si>
  <si>
    <t>0   -511      0   3485 -21987      0</t>
  </si>
  <si>
    <t>4   2261      0      0      0      0</t>
  </si>
  <si>
    <t>0      0     33    314      0   1543</t>
  </si>
  <si>
    <t>316   -190   -49</t>
  </si>
  <si>
    <t>8      0      0   1531   1023    183</t>
  </si>
  <si>
    <t>3544      0    59</t>
  </si>
  <si>
    <t>6   2576   2821   1790   1122   1494</t>
  </si>
  <si>
    <t>1181   2695   305</t>
  </si>
  <si>
    <t>8   1879  -1532   6604   8210   -330</t>
  </si>
  <si>
    <t>2561   2404  1554</t>
  </si>
  <si>
    <t>5  14448  16914  18451  32371  20484</t>
  </si>
  <si>
    <t>5611   -370   -49</t>
  </si>
  <si>
    <t>1    369   2062      0      0    227</t>
  </si>
  <si>
    <t>0   -426   -516      0      0      0</t>
  </si>
  <si>
    <t>0   1299    559      0      0  -9846</t>
  </si>
  <si>
    <t>3170   3348     3</t>
  </si>
  <si>
    <t>2      0      0      0  -1415      0</t>
  </si>
  <si>
    <t>0      0      0      0    295      0</t>
  </si>
  <si>
    <t>0      0    757   -504      0  -3197</t>
  </si>
  <si>
    <t>0      0  -780</t>
  </si>
  <si>
    <t>4  -1625   -642      0      0   1230</t>
  </si>
  <si>
    <t>1110  -1263   -21</t>
  </si>
  <si>
    <t>4   -477    630   -897  -1413      0</t>
  </si>
  <si>
    <t>0   -993   951</t>
  </si>
  <si>
    <t>3  -2462  -3508  -1982   -815  -2052</t>
  </si>
  <si>
    <t>4937   6779  -239</t>
  </si>
  <si>
    <t>6   -991  -1348  -1130   -952   1500</t>
  </si>
  <si>
    <t>-585     70</t>
  </si>
  <si>
    <t>0     -7   4579    640    -26      0</t>
  </si>
  <si>
    <t>0  -1361  1403</t>
  </si>
  <si>
    <t>6      0  -3332  -2122    152  -1430</t>
  </si>
  <si>
    <t>3499   9505</t>
  </si>
  <si>
    <t>0    527      0      0  -1270    720</t>
  </si>
  <si>
    <t>0      0   -20</t>
  </si>
  <si>
    <t>1      0   2748   -157   -531      0</t>
  </si>
  <si>
    <t>0     16  1344</t>
  </si>
  <si>
    <t>5      0   7122  -1366    375      0</t>
  </si>
  <si>
    <t>2410   2932  -161</t>
  </si>
  <si>
    <t>3  -1341  -1031      0   -414      0</t>
  </si>
  <si>
    <t>0   -859  1192</t>
  </si>
  <si>
    <t>8      0  -7396   -141      0      0</t>
  </si>
  <si>
    <t>0 -12124  -506</t>
  </si>
  <si>
    <t>6   3125   4776   1676   3851  -9097</t>
  </si>
  <si>
    <t>0  -1354      0      0   2539      0</t>
  </si>
  <si>
    <t>0   -208  1458</t>
  </si>
  <si>
    <t>1   -937  -3994   1881  -4098 -27976</t>
  </si>
  <si>
    <t>0      0      0      0      0    921</t>
  </si>
  <si>
    <t>573    202 -1288</t>
  </si>
  <si>
    <t>5      0      0    406      0   7141</t>
  </si>
  <si>
    <t>0      0  -2114   -504      0      0</t>
  </si>
  <si>
    <t>0      0      0      0     22    573</t>
  </si>
  <si>
    <t>3593   3666   231</t>
  </si>
  <si>
    <t>0   -611  -1094      0      0   1283</t>
  </si>
  <si>
    <t>3767    260    16</t>
  </si>
  <si>
    <t>3      0    188   3755   2980   2294</t>
  </si>
  <si>
    <t>3389   2464   181</t>
  </si>
  <si>
    <t>1   4119   3384   2971   1003   3180</t>
  </si>
  <si>
    <t>-742   6933   692</t>
  </si>
  <si>
    <t>7   1257  22482  22878  27692  29818</t>
  </si>
  <si>
    <t>8306  40919  3758</t>
  </si>
  <si>
    <t>0  32934  -1723   -582   -402     17</t>
  </si>
  <si>
    <t>-247      0    79</t>
  </si>
  <si>
    <t>3      0      0      0   -283    356</t>
  </si>
  <si>
    <t>0      0      0      0    833    388</t>
  </si>
  <si>
    <t>-473   -829     5</t>
  </si>
  <si>
    <t>9   -335   -536   -166      0      0</t>
  </si>
  <si>
    <t>0   -121      0      0      0      0</t>
  </si>
  <si>
    <t>0      0      0      0      0 -17180</t>
  </si>
  <si>
    <t>3118      0</t>
  </si>
  <si>
    <t>0      0      0   2136  -1494  -1323</t>
  </si>
  <si>
    <t>1771   -242</t>
  </si>
  <si>
    <t>0   2080   2543    570   1060   1495</t>
  </si>
  <si>
    <t>0      0    217  -1797   1581 -12878</t>
  </si>
  <si>
    <t>3016    386</t>
  </si>
  <si>
    <t>0    327    342    135   1194    810</t>
  </si>
  <si>
    <t>698      0</t>
  </si>
  <si>
    <t>0  -3272  -6115      0  -2476   1230</t>
  </si>
  <si>
    <t>0      0   -244  -4015      0 -10595</t>
  </si>
  <si>
    <t>1067   1507   -13</t>
  </si>
  <si>
    <t>9    -88   -652      0     84      0</t>
  </si>
  <si>
    <t>-602      0   -78</t>
  </si>
  <si>
    <t>2      0      0    -32      0   -758</t>
  </si>
  <si>
    <t>0      0   -292  -2968      0 -10963</t>
  </si>
  <si>
    <t>0    125    327    359   -703   -176</t>
  </si>
  <si>
    <t>0      0   -39</t>
  </si>
  <si>
    <t>9      0   1491      0    295      0</t>
  </si>
  <si>
    <t>0      0    558   -184      0 -12773</t>
  </si>
  <si>
    <t>0      0   -227   -425    205    547</t>
  </si>
  <si>
    <t>0      0   4233      0   1433      0</t>
  </si>
  <si>
    <t>0      0    291  -2200     79    -80</t>
  </si>
  <si>
    <t>818    294  -143</t>
  </si>
  <si>
    <t>245  -3244  -856</t>
  </si>
  <si>
    <t>9  -1276  -3019   1188      0      0</t>
  </si>
  <si>
    <t>4471 -19733</t>
  </si>
  <si>
    <t>0      0      0      0      0    -41</t>
  </si>
  <si>
    <t>0      0    -58      0      0      0</t>
  </si>
  <si>
    <t>238      0  -474</t>
  </si>
  <si>
    <t>4  -1710  -1193   -139    961   -883</t>
  </si>
  <si>
    <t>259  -2867  -241</t>
  </si>
  <si>
    <t>3   -914   -195    691      0   1949</t>
  </si>
  <si>
    <t>2626 -14531  -279</t>
  </si>
  <si>
    <t>0   -983    497    158  -1269   -936</t>
  </si>
  <si>
    <t>-883    381    31</t>
  </si>
  <si>
    <t>4     11   -499   -499   -189   8144</t>
  </si>
  <si>
    <t>6941  10174  1557</t>
  </si>
  <si>
    <t>3  16131  16655  10383   5627  11217</t>
  </si>
  <si>
    <t>0      0   -194      0    781      0</t>
  </si>
  <si>
    <t>91   1200</t>
  </si>
  <si>
    <t>864    316</t>
  </si>
  <si>
    <t>0      0   -367   -721     24   -363</t>
  </si>
  <si>
    <t>0   1423      0      0      0     93</t>
  </si>
  <si>
    <t>0 -16682   148</t>
  </si>
  <si>
    <t>5      0  -1493      0      0      0</t>
  </si>
  <si>
    <t>1399    -84</t>
  </si>
  <si>
    <t>0      0  -2106   -363      0   1626</t>
  </si>
  <si>
    <t>228   1518    12</t>
  </si>
  <si>
    <t>7  -1017      0      0      0      0</t>
  </si>
  <si>
    <t>622  -9477    75</t>
  </si>
  <si>
    <t>1    159  -1066    966      0   -130</t>
  </si>
  <si>
    <t>88    127   -12</t>
  </si>
  <si>
    <t>0  -1481   -294      0      0    860</t>
  </si>
  <si>
    <t>982   -692    -5</t>
  </si>
  <si>
    <t>7   -404      0      0      0      0</t>
  </si>
  <si>
    <t>0 -14360     5</t>
  </si>
  <si>
    <t>8   -680   3185   -624    260    403</t>
  </si>
  <si>
    <t>1323      0</t>
  </si>
  <si>
    <t>0  -1955    923      0   2255      0</t>
  </si>
  <si>
    <t>0   1227    49</t>
  </si>
  <si>
    <t>9   2886      0      0      0      0</t>
  </si>
  <si>
    <t>0 -10875    -5</t>
  </si>
  <si>
    <t>1    864      0      0      0     19</t>
  </si>
  <si>
    <t>0   -655      0      0   -381      0</t>
  </si>
  <si>
    <t>0 -12746    -6</t>
  </si>
  <si>
    <t>134    498    51</t>
  </si>
  <si>
    <t>7  -2630    -97      0      0      0</t>
  </si>
  <si>
    <t>2001      0</t>
  </si>
  <si>
    <t>0    429      0      0      0      0</t>
  </si>
  <si>
    <t>230    354   224</t>
  </si>
  <si>
    <t>2  -2028   1121    829   -454      0</t>
  </si>
  <si>
    <t>0      0   -931  -4956 -11744  -1088</t>
  </si>
  <si>
    <t>0      0  -267</t>
  </si>
  <si>
    <t>7      0   4010 -19463      0      0</t>
  </si>
  <si>
    <t>0     63    46</t>
  </si>
  <si>
    <t>0    -28    231      0  -3789  -1854</t>
  </si>
  <si>
    <t>1016   -912</t>
  </si>
  <si>
    <t>0      0    235  -2996  -1561  -1380</t>
  </si>
  <si>
    <t>0   1692  -216</t>
  </si>
  <si>
    <t>4  -1060   1753    119   -779   -682</t>
  </si>
  <si>
    <t>2416   -270    38</t>
  </si>
  <si>
    <t>5   -295   -382    174    224    511</t>
  </si>
  <si>
    <t>-315   8167  2418</t>
  </si>
  <si>
    <t>1  15771  25499  10385  15626  16349</t>
  </si>
  <si>
    <t>5480  10707  3453</t>
  </si>
  <si>
    <t>5  -1232   -399   -308   -144      0</t>
  </si>
  <si>
    <t>0    629</t>
  </si>
  <si>
    <t>0      0      0    145     55      0</t>
  </si>
  <si>
    <t>0      0      0    595    209      0</t>
  </si>
  <si>
    <t>1   -755   -110      0      0      0</t>
  </si>
  <si>
    <t>0      0      0      0  -9899    829</t>
  </si>
  <si>
    <t>0      0   3522    957    -75      0</t>
  </si>
  <si>
    <t>-392      0    87</t>
  </si>
  <si>
    <t>1   2548    444    893    -68   -441</t>
  </si>
  <si>
    <t>0   -468  -3794   -701  -6863    272</t>
  </si>
  <si>
    <t>215      0    -1</t>
  </si>
  <si>
    <t>7   -247    493     78     10    -58</t>
  </si>
  <si>
    <t>0      0    65</t>
  </si>
  <si>
    <t>7   1227      0    646   -284     50</t>
  </si>
  <si>
    <t>0     62  -2180      0  -7543    139</t>
  </si>
  <si>
    <t>505   -288   -11</t>
  </si>
  <si>
    <t>7   -818      0     64      0      0</t>
  </si>
  <si>
    <t>0   -410</t>
  </si>
  <si>
    <t>0      0    103      0   -354    -21</t>
  </si>
  <si>
    <t>0   -138  -2094      0 -17204    150</t>
  </si>
  <si>
    <t>1   -475  -1278    670   1107      0</t>
  </si>
  <si>
    <t>0   1180</t>
  </si>
  <si>
    <t>0  -8815      0  -3254      0      0</t>
  </si>
  <si>
    <t>0   -258    280      0  -9491   -179</t>
  </si>
  <si>
    <t>0   -575    -30     43    294    388</t>
  </si>
  <si>
    <t>0   2228      0   1050      0      0</t>
  </si>
  <si>
    <t>0    237  -1239    401    588   2553</t>
  </si>
  <si>
    <t>738    740</t>
  </si>
  <si>
    <t>3734  -4355  -106</t>
  </si>
  <si>
    <t>6  -2118   1160      0      0  -2188</t>
  </si>
  <si>
    <t>3723      0</t>
  </si>
  <si>
    <t>0      0      0      0     39    594</t>
  </si>
  <si>
    <t>0     59      0      0      0      0</t>
  </si>
  <si>
    <t>0  -1576  -100</t>
  </si>
  <si>
    <t>2   -578   -487    684   -591      0</t>
  </si>
  <si>
    <t>2005   -933   -35</t>
  </si>
  <si>
    <t>1   -789    556      0    257   -627</t>
  </si>
  <si>
    <t>-8   -361    10</t>
  </si>
  <si>
    <t>9   -118    124   -197   -421    -94</t>
  </si>
  <si>
    <t>1     -1   -281   -445   5420  15480</t>
  </si>
  <si>
    <t>9547  10698  1113</t>
  </si>
  <si>
    <t>3   6949   6578  11420   7040  23329</t>
  </si>
  <si>
    <t>7      0      0   -176      0   1174</t>
  </si>
  <si>
    <t>0    387    21</t>
  </si>
  <si>
    <t>0    915    36</t>
  </si>
  <si>
    <t>8      0      0   -572  -1335     46</t>
  </si>
  <si>
    <t>-174      0</t>
  </si>
  <si>
    <t>0      0   1645      0      0      0</t>
  </si>
  <si>
    <t>0      0    -39      0      0      0</t>
  </si>
  <si>
    <t>0      0 -1948</t>
  </si>
  <si>
    <t>1    296      0   -979      0      0</t>
  </si>
  <si>
    <t>2085   3338    98</t>
  </si>
  <si>
    <t>0      0      0   -768   -717      0</t>
  </si>
  <si>
    <t>721   1260    57</t>
  </si>
  <si>
    <t>6     23    551      0      0      0</t>
  </si>
  <si>
    <t>4141   1125 -1123</t>
  </si>
  <si>
    <t>3   -180    -60   -868    273      0</t>
  </si>
  <si>
    <t>1015     87     1</t>
  </si>
  <si>
    <t>6    -98  -2026   -186      0      0</t>
  </si>
  <si>
    <t>0    492   -47</t>
  </si>
  <si>
    <t>9     23    -89      0      0      0</t>
  </si>
  <si>
    <t>4574      0 -1229</t>
  </si>
  <si>
    <t>3     52    154  -1054    743   -428</t>
  </si>
  <si>
    <t>0     14</t>
  </si>
  <si>
    <t>0      0  -1762   -632      0   -612</t>
  </si>
  <si>
    <t>23      0   -56</t>
  </si>
  <si>
    <t>3   -103   -441      0      0      0</t>
  </si>
  <si>
    <t>4492      0 -1366</t>
  </si>
  <si>
    <t>6   -395    971      0      0      0</t>
  </si>
  <si>
    <t>651   -918   -22</t>
  </si>
  <si>
    <t>8      0   -906      0      0   -466</t>
  </si>
  <si>
    <t>-518      0 -2020</t>
  </si>
  <si>
    <t>4   -461      0      0      0      0</t>
  </si>
  <si>
    <t>1958    904   158</t>
  </si>
  <si>
    <t>1    216  -3575   2503      0      0</t>
  </si>
  <si>
    <t>0  -3513</t>
  </si>
  <si>
    <t>0      0   1646      0      0      0</t>
  </si>
  <si>
    <t>3969    173    72</t>
  </si>
  <si>
    <t>3   4492   -436   1214    653  -1553</t>
  </si>
  <si>
    <t>0      0      0    404  -5728  -5110</t>
  </si>
  <si>
    <t>1497      0</t>
  </si>
  <si>
    <t>0   1019      0   4720 -22047      0</t>
  </si>
  <si>
    <t>0      0   -13</t>
  </si>
  <si>
    <t>4    145      0      0      0      0</t>
  </si>
  <si>
    <t>0      0     72    224      0  -2700</t>
  </si>
  <si>
    <t>-861   1207   -91</t>
  </si>
  <si>
    <t>3      0      0    379  -1835   -938</t>
  </si>
  <si>
    <t>615      0   300</t>
  </si>
  <si>
    <t>3   1406    231    363    298   -499</t>
  </si>
  <si>
    <t>658    264  -106</t>
  </si>
  <si>
    <t>5    148   -674    -51    469    -34</t>
  </si>
  <si>
    <t>1416   -845   840</t>
  </si>
  <si>
    <t>8  21464  16232  17446  10295  25196</t>
  </si>
  <si>
    <t>0533   5351  1753</t>
  </si>
  <si>
    <t>0  36769  35965  26547  -1423   -909</t>
  </si>
  <si>
    <t>0      0    -6</t>
  </si>
  <si>
    <t>2      0    905      0      0      0</t>
  </si>
  <si>
    <t>9  -1197    -18   -452  -1030   -192</t>
  </si>
  <si>
    <t>0   1712</t>
  </si>
  <si>
    <t>0      0      0   -137      0      0</t>
  </si>
  <si>
    <t>0   -134</t>
  </si>
  <si>
    <t>1210      0    59</t>
  </si>
  <si>
    <t>2      0      0      0      0      6</t>
  </si>
  <si>
    <t>5     20      0   -495    175    -61</t>
  </si>
  <si>
    <t>60     42</t>
  </si>
  <si>
    <t>0      0      0      0    155  -1705</t>
  </si>
  <si>
    <t>564   -891   184</t>
  </si>
  <si>
    <t>3    691      0    912   1054   2151</t>
  </si>
  <si>
    <t>6      0      0   -180   -508      0</t>
  </si>
  <si>
    <t>119   -371</t>
  </si>
  <si>
    <t>0      0      0      0   -346  -6047</t>
  </si>
  <si>
    <t>192   -994   -64</t>
  </si>
  <si>
    <t>3    498    684     34   -659      0</t>
  </si>
  <si>
    <t>0   -931  -224</t>
  </si>
  <si>
    <t>5      0    940      0      0     41</t>
  </si>
  <si>
    <t>48   -451</t>
  </si>
  <si>
    <t>0      0      0      0    -86  -5187</t>
  </si>
  <si>
    <t>1131   1051</t>
  </si>
  <si>
    <t>0      0      0    159    446     78</t>
  </si>
  <si>
    <t>0   -297</t>
  </si>
  <si>
    <t>0      0    109      0     44      0</t>
  </si>
  <si>
    <t>0      0      0      0    519   -624</t>
  </si>
  <si>
    <t>-212      0</t>
  </si>
  <si>
    <t>0      0      0      0   -884  -1867</t>
  </si>
  <si>
    <t>1019  -2254    60</t>
  </si>
  <si>
    <t>5      0      0      0   -406      0</t>
  </si>
  <si>
    <t>0      0      0      0    582  -3533</t>
  </si>
  <si>
    <t>6949  -5275   -58</t>
  </si>
  <si>
    <t>1     54  -1448      0      0      0</t>
  </si>
  <si>
    <t>0      0  -206</t>
  </si>
  <si>
    <t>1   1451   -340    203   -662   1542</t>
  </si>
  <si>
    <t>3813      0   422</t>
  </si>
  <si>
    <t>5 -22881      0      0      0      0</t>
  </si>
  <si>
    <t>0      0      0      0    323      0</t>
  </si>
  <si>
    <t>0     41    28</t>
  </si>
  <si>
    <t>9      0   1418  -1351  -1255    959</t>
  </si>
  <si>
    <t>0      0    39</t>
  </si>
  <si>
    <t>4    803  -2226  -1005    789    381</t>
  </si>
  <si>
    <t>-135    230    93</t>
  </si>
  <si>
    <t>6   3005  -1856   -435   2464   3018</t>
  </si>
  <si>
    <t>2902     30   -24</t>
  </si>
  <si>
    <t>4    744    938   1162    -23   -266</t>
  </si>
  <si>
    <t>2960  25586  2693</t>
  </si>
  <si>
    <t>5  10161  17040   9984  19640  17711</t>
  </si>
  <si>
    <t>7695  36770  2345</t>
  </si>
  <si>
    <t>1  39406  -1134   -616     57    -17</t>
  </si>
  <si>
    <t>71      0    57</t>
  </si>
  <si>
    <t>1      0      0      0    -22    -77</t>
  </si>
  <si>
    <t>0      0      0      0    671    330</t>
  </si>
  <si>
    <t>4   -232   -680   -131      0      0</t>
  </si>
  <si>
    <t>0    -91      0      0      0      0</t>
  </si>
  <si>
    <t>0      0      0      0      0  -8817</t>
  </si>
  <si>
    <t>0      0      0    284    398    191</t>
  </si>
  <si>
    <t>-300     72</t>
  </si>
  <si>
    <t>0   -273   -133    -53    -26    -47</t>
  </si>
  <si>
    <t>0      0     20  -1503   -319  -9111</t>
  </si>
  <si>
    <t>1566    991</t>
  </si>
  <si>
    <t>0    649   1238   2434    802   -141</t>
  </si>
  <si>
    <t>-510      0</t>
  </si>
  <si>
    <t>0   -167    355      0    128    167</t>
  </si>
  <si>
    <t>0      0   -489  -7928      0  -9636</t>
  </si>
  <si>
    <t>1029    599   -18</t>
  </si>
  <si>
    <t>0     54   -265      0    116      0</t>
  </si>
  <si>
    <t>-158      0    16</t>
  </si>
  <si>
    <t>8      0      0     98      0   -275</t>
  </si>
  <si>
    <t>0      0   -122  -3722      0 -23001</t>
  </si>
  <si>
    <t>0    174    423   1185  -3264  -2301</t>
  </si>
  <si>
    <t>3      0    109      0     98      0</t>
  </si>
  <si>
    <t>0      0    884   -928      0 -11638</t>
  </si>
  <si>
    <t>0      0   -625  -1169    317    871</t>
  </si>
  <si>
    <t>476      0</t>
  </si>
  <si>
    <t>0      0   -697      0    -24      0</t>
  </si>
  <si>
    <t>0      0    337  -2831   -505  -1124</t>
  </si>
  <si>
    <t>-136     11   -35</t>
  </si>
  <si>
    <t>-348    763    41</t>
  </si>
  <si>
    <t>0     30    -50    623      0      0</t>
  </si>
  <si>
    <t>1975 -15134</t>
  </si>
  <si>
    <t>0      0    389      0      0      0</t>
  </si>
  <si>
    <t>158      0    60</t>
  </si>
  <si>
    <t>8   -219     88   -106    759   -704</t>
  </si>
  <si>
    <t>165    273  -112</t>
  </si>
  <si>
    <t>6    175   -214    364      0    311</t>
  </si>
  <si>
    <t>250   1662     5</t>
  </si>
  <si>
    <t>3   1057    527    957   -156    454</t>
  </si>
  <si>
    <t>4466    317   215</t>
  </si>
  <si>
    <t>8    782     39    -44    -41   5939</t>
  </si>
  <si>
    <t>2036  20539  1089</t>
  </si>
  <si>
    <t>7   6634  12730   7910  13443   8401</t>
  </si>
  <si>
    <t>1019  27778  3343</t>
  </si>
  <si>
    <t>8  -1238   -905   -247   -119      0</t>
  </si>
  <si>
    <t>0    916</t>
  </si>
  <si>
    <t>0      0      0    -35   -197      0</t>
  </si>
  <si>
    <t>0      0      0    988    502      0</t>
  </si>
  <si>
    <t>1293     62   -31</t>
  </si>
  <si>
    <t>4   -331   -177      0      0      0</t>
  </si>
  <si>
    <t>0      0      0      0 -13689  -1227</t>
  </si>
  <si>
    <t>0      0    745    539    249      0</t>
  </si>
  <si>
    <t>93      0   -47</t>
  </si>
  <si>
    <t>4      7   -104    -64     74     36</t>
  </si>
  <si>
    <t>0    125  -2191   -390 -14506     58</t>
  </si>
  <si>
    <t>426      0    -5</t>
  </si>
  <si>
    <t>8   -643   1082   1786    219   -801</t>
  </si>
  <si>
    <t>8   -157      0    277   -337   -450</t>
  </si>
  <si>
    <t>0   -911 -10381      0 -13995   -234</t>
  </si>
  <si>
    <t>727   -301    13</t>
  </si>
  <si>
    <t>8   -446      0     34      0      0</t>
  </si>
  <si>
    <t>0      0     60      0   -368   -136</t>
  </si>
  <si>
    <t>0   -166  -6437      0 -15750   -718</t>
  </si>
  <si>
    <t>0      0    18</t>
  </si>
  <si>
    <t>9    494    447   -930     68      0</t>
  </si>
  <si>
    <t>0    -37      0   -297      0      0</t>
  </si>
  <si>
    <t>0    652  -1590      0 -23045   -237</t>
  </si>
  <si>
    <t>0  -1015    408  -2193  -1468    344</t>
  </si>
  <si>
    <t>0   -785      0   -151      0      0</t>
  </si>
  <si>
    <t>0    301  -6131   1813   -980  -4472</t>
  </si>
  <si>
    <t>64  -2479</t>
  </si>
  <si>
    <t>1153    197    10</t>
  </si>
  <si>
    <t>3    268    861      0      0    873</t>
  </si>
  <si>
    <t>2353      0</t>
  </si>
  <si>
    <t>0      0      0      0    -80    659</t>
  </si>
  <si>
    <t>0    -38      0      0      0      0</t>
  </si>
  <si>
    <t>0   1070     1</t>
  </si>
  <si>
    <t>4   -396     75    988  -1068      0</t>
  </si>
  <si>
    <t>319   -643   -44</t>
  </si>
  <si>
    <t>7   -159    871      0    483    761</t>
  </si>
  <si>
    <t>3106   -235   -11</t>
  </si>
  <si>
    <t>5    813   1371    252    -61    770</t>
  </si>
  <si>
    <t>713    396   264</t>
  </si>
  <si>
    <t>8  -2262   -425   1487   8298  11616</t>
  </si>
  <si>
    <t>8885  23665   931</t>
  </si>
  <si>
    <t>0  17152  10973   5225  18579  36267</t>
  </si>
  <si>
    <t>4072  47696  3512</t>
  </si>
  <si>
    <t>6  -1102   -649    -27    -35      0</t>
  </si>
  <si>
    <t>0      0      0    -37   -174      0</t>
  </si>
  <si>
    <t>0      0      0    753    500      0</t>
  </si>
  <si>
    <t>5   -709   -127      0      0      0</t>
  </si>
  <si>
    <t>0      0      0      0  -9363   -720</t>
  </si>
  <si>
    <t>0      0    482    408    157      0</t>
  </si>
  <si>
    <t>85      0   -25</t>
  </si>
  <si>
    <t>8   -151   -124     31    -96    -10</t>
  </si>
  <si>
    <t>0     11  -1473   -232  -9008    -77</t>
  </si>
  <si>
    <t>335      0     3</t>
  </si>
  <si>
    <t>0    422    628    205    115   -114</t>
  </si>
  <si>
    <t>9   -157      0    103   -258     33</t>
  </si>
  <si>
    <t>0     33  -3971      0 -10865   -508</t>
  </si>
  <si>
    <t>872    406    32</t>
  </si>
  <si>
    <t>7    -26      0    946      0      0</t>
  </si>
  <si>
    <t>0      0     59      0   -520   -688</t>
  </si>
  <si>
    <t>0   -568  -7625      0 -23149   -341</t>
  </si>
  <si>
    <t>0      0    70</t>
  </si>
  <si>
    <t>1   1126   1766  -3120   -973      0</t>
  </si>
  <si>
    <t>0   -446      0   -486      0      0</t>
  </si>
  <si>
    <t>0    213  -2058      0 -12503   -327</t>
  </si>
  <si>
    <t>0   -263   -679    232    679    528</t>
  </si>
  <si>
    <t>0   -536      0    136      0      0</t>
  </si>
  <si>
    <t>0    420  -2773   -182   -655  -1350</t>
  </si>
  <si>
    <t>359    202</t>
  </si>
  <si>
    <t>479    345    24</t>
  </si>
  <si>
    <t>8   -395   1011      0      0  -3086</t>
  </si>
  <si>
    <t>5360      0</t>
  </si>
  <si>
    <t>0      0      0      0   -326   -242</t>
  </si>
  <si>
    <t>0    385      0      0      0      0</t>
  </si>
  <si>
    <t>0    489   -64</t>
  </si>
  <si>
    <t>6    -54    -79    831   -745      0</t>
  </si>
  <si>
    <t>247   -774   -13</t>
  </si>
  <si>
    <t>5   -502    398      0    276    246</t>
  </si>
  <si>
    <t>943    -22    14</t>
  </si>
  <si>
    <t>0    550   1673   -555   1352    453</t>
  </si>
  <si>
    <t>-584   1660    76</t>
  </si>
  <si>
    <t>0    221   -205   -155   6095   8726</t>
  </si>
  <si>
    <t>0522  11268   677</t>
  </si>
  <si>
    <t>7   8664  11489  14079   8526  24610</t>
  </si>
  <si>
    <t>8638  33892  2761</t>
  </si>
  <si>
    <t>2  33266  -1384   -908   -199   -102</t>
  </si>
  <si>
    <t>-76      0    88</t>
  </si>
  <si>
    <t>8      0      0      0    -21   -225</t>
  </si>
  <si>
    <t>0      0      0      0   1060    631</t>
  </si>
  <si>
    <t>-562  -1263     8</t>
  </si>
  <si>
    <t>5   -423   -702   -171      0      0</t>
  </si>
  <si>
    <t>0   -139      0      0      0      0</t>
  </si>
  <si>
    <t>0      0      0      0      0 -14459</t>
  </si>
  <si>
    <t>-265      0</t>
  </si>
  <si>
    <t>0      0      0    896    609    271</t>
  </si>
  <si>
    <t>-610    116</t>
  </si>
  <si>
    <t>0   -431    -11   -190    -50     12</t>
  </si>
  <si>
    <t>0      0    101  -2456   -316 -13062</t>
  </si>
  <si>
    <t>224    212</t>
  </si>
  <si>
    <t>0    -28    785   1101     57    130</t>
  </si>
  <si>
    <t>51      0</t>
  </si>
  <si>
    <t>0   -175     40      0     60   -381</t>
  </si>
  <si>
    <t>0      0     68  -7226      0 -17707</t>
  </si>
  <si>
    <t>1278   1113    20</t>
  </si>
  <si>
    <t>8    -51  -1372      0   1926      0</t>
  </si>
  <si>
    <t>1067      0    83</t>
  </si>
  <si>
    <t>4      0      0    338      0   -614</t>
  </si>
  <si>
    <t>0      0  -1059 -10344      0 -17007</t>
  </si>
  <si>
    <t>0     68    785    544   -894      2</t>
  </si>
  <si>
    <t>7      0     46      0   -239      0</t>
  </si>
  <si>
    <t>0      0    721  -1831      0 -23386</t>
  </si>
  <si>
    <t>0      0      1    669  -2174   -260</t>
  </si>
  <si>
    <t>-568      0</t>
  </si>
  <si>
    <t>0      0  -1393      0   -608      0</t>
  </si>
  <si>
    <t>0      0     25  -7546    983   -926</t>
  </si>
  <si>
    <t>309    913  -124</t>
  </si>
  <si>
    <t>1135    732     4</t>
  </si>
  <si>
    <t>3    369     92   1282      0      0</t>
  </si>
  <si>
    <t>4052 -22011</t>
  </si>
  <si>
    <t>0      0      0      0      0    -24</t>
  </si>
  <si>
    <t>0      0   -121      0      0      0</t>
  </si>
  <si>
    <t>251      0    91</t>
  </si>
  <si>
    <t>9   -173   -525   -174   1250  -1058</t>
  </si>
  <si>
    <t>346    421   -65</t>
  </si>
  <si>
    <t>4   -332   -214    701      0    460</t>
  </si>
  <si>
    <t>321   1368     3</t>
  </si>
  <si>
    <t>1   -175    669   3196   1335   -558</t>
  </si>
  <si>
    <t>197    595    37</t>
  </si>
  <si>
    <t>9   2724   -423  -1517    985   8277</t>
  </si>
  <si>
    <t>3083   8753  2342</t>
  </si>
  <si>
    <t>0   9184  11828  15152   4991  18456</t>
  </si>
  <si>
    <t>5675  45877  4945</t>
  </si>
  <si>
    <t>2  33457  52900  36704   -418 -30529</t>
  </si>
  <si>
    <t>6      0    497      0      0      0</t>
  </si>
  <si>
    <t>2 -39601    174    -99   -728    -71</t>
  </si>
  <si>
    <t>0   1090</t>
  </si>
  <si>
    <t>0      0      0    -70      0      0</t>
  </si>
  <si>
    <t>0   -103</t>
  </si>
  <si>
    <t>9831      0    -6</t>
  </si>
  <si>
    <t>9      0      0      0      0   -521</t>
  </si>
  <si>
    <t>9    -42      0   -103   -357   -475</t>
  </si>
  <si>
    <t>60     75</t>
  </si>
  <si>
    <t>0      0      0      0   -176   1105</t>
  </si>
  <si>
    <t>1497    -57   -30</t>
  </si>
  <si>
    <t>1   -234      0     63  -1115  -1057</t>
  </si>
  <si>
    <t>340   2697    52</t>
  </si>
  <si>
    <t>2      0      0    -44   -342      0</t>
  </si>
  <si>
    <t>250   -255</t>
  </si>
  <si>
    <t>0      0      0      0    312   2205</t>
  </si>
  <si>
    <t>2400    101   -13</t>
  </si>
  <si>
    <t>5    -86    410     63   -676      0</t>
  </si>
  <si>
    <t>0   3162    72</t>
  </si>
  <si>
    <t>4      0    143      0      0     36</t>
  </si>
  <si>
    <t>500   -180</t>
  </si>
  <si>
    <t>0      0      0      0    613   1966</t>
  </si>
  <si>
    <t>0379    309</t>
  </si>
  <si>
    <t>0      0      0   -287  -1087   -451</t>
  </si>
  <si>
    <t>0   3970</t>
  </si>
  <si>
    <t>0      0    -27      0   -872      0</t>
  </si>
  <si>
    <t>0      0      0      0   1460    988</t>
  </si>
  <si>
    <t>5415      0</t>
  </si>
  <si>
    <t>0      0      0      0  -3066  -1260</t>
  </si>
  <si>
    <t>-71   1041    98</t>
  </si>
  <si>
    <t>4      0      0      0  -1572      0</t>
  </si>
  <si>
    <t>0      0      0      0    629    486</t>
  </si>
  <si>
    <t>-46    108   -42</t>
  </si>
  <si>
    <t>2     71   1327      0      0      0</t>
  </si>
  <si>
    <t>8    -16    883    180    984      3</t>
  </si>
  <si>
    <t>132      0   -34</t>
  </si>
  <si>
    <t>7   -488      0      0      0      0</t>
  </si>
  <si>
    <t>-689      0</t>
  </si>
  <si>
    <t>0      0      0      0  -1002      0</t>
  </si>
  <si>
    <t>0   1306  -174</t>
  </si>
  <si>
    <t>0      0 -12434  -4661  -6087  -5635</t>
  </si>
  <si>
    <t>0      0   212</t>
  </si>
  <si>
    <t>1    400  -1143  -1547  -1632   3573</t>
  </si>
  <si>
    <t>79   -247     3</t>
  </si>
  <si>
    <t>2   1111    893     11  -1260   1237</t>
  </si>
  <si>
    <t>1176   1320    31</t>
  </si>
  <si>
    <t>1    358    177   2180    203    235</t>
  </si>
  <si>
    <t>203   -583   -57</t>
  </si>
  <si>
    <t>6   -646   -195  -1303   -468   -226</t>
  </si>
  <si>
    <t>411    365    33</t>
  </si>
  <si>
    <t>9    872    992    688    979    747</t>
  </si>
  <si>
    <t>6051   -214     1</t>
  </si>
  <si>
    <t>4      0      0    -35      0    567</t>
  </si>
  <si>
    <t>0    -12   -12</t>
  </si>
  <si>
    <t>0   -637    13</t>
  </si>
  <si>
    <t>9      0      0   -473 -45295    247</t>
  </si>
  <si>
    <t>-81      0</t>
  </si>
  <si>
    <t>0      0   1232      0      0      0</t>
  </si>
  <si>
    <t>0      0   -124      0      0      0</t>
  </si>
  <si>
    <t>0      0  -160</t>
  </si>
  <si>
    <t>7 -45008      0    104      0      0</t>
  </si>
  <si>
    <t>1      0      0    906   -108      0</t>
  </si>
  <si>
    <t>27   -191   -11</t>
  </si>
  <si>
    <t>0     50    165      0      0      0</t>
  </si>
  <si>
    <t>1399    331  -357</t>
  </si>
  <si>
    <t>6 -48744    175     35    107      0</t>
  </si>
  <si>
    <t>8    -74   2989    883      0      0</t>
  </si>
  <si>
    <t>0   -348    51</t>
  </si>
  <si>
    <t>5    273   -308      0      0      0</t>
  </si>
  <si>
    <t>2587      0  -369</t>
  </si>
  <si>
    <t>6 -49275    151   -188    -52    422</t>
  </si>
  <si>
    <t>0      0   3551    881      0    168</t>
  </si>
  <si>
    <t>-72      0    33</t>
  </si>
  <si>
    <t>8    612   -186      0      0      0</t>
  </si>
  <si>
    <t>2293      0  -242</t>
  </si>
  <si>
    <t>7 -46538    213      0      0      0</t>
  </si>
  <si>
    <t>0      0   4492      0      0   -114</t>
  </si>
  <si>
    <t>0  -1465</t>
  </si>
  <si>
    <t>1184      0  -120</t>
  </si>
  <si>
    <t>6 -52633      0      0      0      0</t>
  </si>
  <si>
    <t>1384  -1273   -56</t>
  </si>
  <si>
    <t>1   -115   1058   1146      0      0</t>
  </si>
  <si>
    <t>0  -1541</t>
  </si>
  <si>
    <t>0      0   -764      0      0      0</t>
  </si>
  <si>
    <t>613  -1262   -12</t>
  </si>
  <si>
    <t>6   -302     18   -583      1   1376</t>
  </si>
  <si>
    <t>0      0      0   -119   -104    903</t>
  </si>
  <si>
    <t>0    110      0   -391   -635      0</t>
  </si>
  <si>
    <t>2   -974      0      0      0      0</t>
  </si>
  <si>
    <t>0      0   1538   -863      0  -2877</t>
  </si>
  <si>
    <t>6419  13561  -190</t>
  </si>
  <si>
    <t>4      0      0   1532   -494  -1153</t>
  </si>
  <si>
    <t>4416      0    20</t>
  </si>
  <si>
    <t>9   1074     32   -935    105   2132</t>
  </si>
  <si>
    <t>42   1611   183</t>
  </si>
  <si>
    <t>3   -782    145   1660    642    491</t>
  </si>
  <si>
    <t>652   -992   -66</t>
  </si>
  <si>
    <t>4    -77   -127   -409   -545    112</t>
  </si>
  <si>
    <t>-187     -2    31</t>
  </si>
  <si>
    <t>0    540    460    393   1005   1001</t>
  </si>
  <si>
    <t>766   1050  3966</t>
  </si>
  <si>
    <t>2   -605 -38130   -189     43      0</t>
  </si>
  <si>
    <t>0    608</t>
  </si>
  <si>
    <t>0      0      0    -13    -82      0</t>
  </si>
  <si>
    <t>0      0      0   -753     48      0</t>
  </si>
  <si>
    <t>7577    294   -18</t>
  </si>
  <si>
    <t>2   -959    -88      0      0      0</t>
  </si>
  <si>
    <t>0      0      0      0  -1816 -46045</t>
  </si>
  <si>
    <t>0      0   -679   -858   -421      0</t>
  </si>
  <si>
    <t>-144      0    25</t>
  </si>
  <si>
    <t>6    -71      9   -149    -78     93</t>
  </si>
  <si>
    <t>0    127   1563    394  -3938 -49207</t>
  </si>
  <si>
    <t>-248      0    -1</t>
  </si>
  <si>
    <t>4  -1508  -1282   -101    -14    448</t>
  </si>
  <si>
    <t>4   -369      0   -274    210    345</t>
  </si>
  <si>
    <t>0    421   2924      0  -4290 -50589</t>
  </si>
  <si>
    <t>193    797    12</t>
  </si>
  <si>
    <t>2   -701      0   -157      0      0</t>
  </si>
  <si>
    <t>0      0   -295      0    563    632</t>
  </si>
  <si>
    <t>0    515   2620      0  -2699 -47453</t>
  </si>
  <si>
    <t>0      0   -55</t>
  </si>
  <si>
    <t>4  -1755   -814  -1400   -885      0</t>
  </si>
  <si>
    <t>0   -746      0  -1559      0      0</t>
  </si>
  <si>
    <t>0   1690   1374      0  -1541 -54161</t>
  </si>
  <si>
    <t>0  -3628  -1348  -1334   -613   -182</t>
  </si>
  <si>
    <t>0  -1819      0  -1592      0      0</t>
  </si>
  <si>
    <t>0    591    879  -1843   -268   -333</t>
  </si>
  <si>
    <t>133   1633</t>
  </si>
  <si>
    <t>-134    931     9</t>
  </si>
  <si>
    <t>8   1077    -31      0      0    152</t>
  </si>
  <si>
    <t>-603      0</t>
  </si>
  <si>
    <t>0      0      0      0   -368   -319</t>
  </si>
  <si>
    <t>0  -1177      0      0      0      0</t>
  </si>
  <si>
    <t>0  -4069  -576</t>
  </si>
  <si>
    <t>3 -19113  -8590  16193  -1879      0</t>
  </si>
  <si>
    <t>6  -2783   5144      0     32   -199</t>
  </si>
  <si>
    <t>-174   1080    68</t>
  </si>
  <si>
    <t>8  -1375   -126     90   2546  -1225</t>
  </si>
  <si>
    <t>1144    186    18</t>
  </si>
  <si>
    <t>1    258   1269  -1434   -907   -211</t>
  </si>
  <si>
    <t>-740    151  -103</t>
  </si>
  <si>
    <t>3   -460   -289     59    202    650</t>
  </si>
  <si>
    <t>1151   1163    81</t>
  </si>
  <si>
    <t>4   1148    890   1236  42905  46021</t>
  </si>
  <si>
    <t>-254      9</t>
  </si>
  <si>
    <t>0      0    -42      0    709      0</t>
  </si>
  <si>
    <t>-744    157</t>
  </si>
  <si>
    <t>0      0   -531 -46360    309   -156</t>
  </si>
  <si>
    <t>0   1383      0      0      0    -70</t>
  </si>
  <si>
    <t>0  -1848 -4599</t>
  </si>
  <si>
    <t>1      0    197      0      0      0</t>
  </si>
  <si>
    <t>0      0   1064   -169      0    255</t>
  </si>
  <si>
    <t>-175   -116    10</t>
  </si>
  <si>
    <t>7    212      0      0      0      0</t>
  </si>
  <si>
    <t>433  -3967 -4930</t>
  </si>
  <si>
    <t>2    -64   -361   -246      0      6</t>
  </si>
  <si>
    <t>-97    -40    43</t>
  </si>
  <si>
    <t>5   3536    733      0      0    -53</t>
  </si>
  <si>
    <t>-292    228    35</t>
  </si>
  <si>
    <t>0   -350      0      0      0      0</t>
  </si>
  <si>
    <t>0  -4204 -5042</t>
  </si>
  <si>
    <t>7    115   -196    -66    444     45</t>
  </si>
  <si>
    <t>-226      0</t>
  </si>
  <si>
    <t>0   4121   1020      0    182      0</t>
  </si>
  <si>
    <t>0    412    71</t>
  </si>
  <si>
    <t>4   -221      0      0      0      0</t>
  </si>
  <si>
    <t>0  -2782 -4879</t>
  </si>
  <si>
    <t>4    424      0      0      0   -273</t>
  </si>
  <si>
    <t>1328   -692</t>
  </si>
  <si>
    <t>0   4929      0      0    114      0</t>
  </si>
  <si>
    <t>1963      0</t>
  </si>
  <si>
    <t>0  -1518 -5410</t>
  </si>
  <si>
    <t>1295   -553    -9</t>
  </si>
  <si>
    <t>1   1508   1204      0      0      0</t>
  </si>
  <si>
    <t>1646      0</t>
  </si>
  <si>
    <t>0   -793      0      0      0      0</t>
  </si>
  <si>
    <t>1057    -47    -7</t>
  </si>
  <si>
    <t>8    242   -569    164   1807      0</t>
  </si>
  <si>
    <t>0      0   -168   -158    929     83</t>
  </si>
  <si>
    <t>0      0    19</t>
  </si>
  <si>
    <t>4      0   -476   -616      0      0</t>
  </si>
  <si>
    <t>0   -495   -27</t>
  </si>
  <si>
    <t>0   1721   -323      0  -4166  -5646</t>
  </si>
  <si>
    <t>5485  -2121</t>
  </si>
  <si>
    <t>0      0   -142  -1270  -1939  -2399</t>
  </si>
  <si>
    <t>0    -94   -40</t>
  </si>
  <si>
    <t>4   -535   -697   -315    905   -342</t>
  </si>
  <si>
    <t>-211   1583   -51</t>
  </si>
  <si>
    <t>0    -59    173    226    825     48</t>
  </si>
  <si>
    <t>0   -702   -695   -726   -314  -1146</t>
  </si>
  <si>
    <t>-228     95    70</t>
  </si>
  <si>
    <t>1    630    535   1179   1197    817</t>
  </si>
  <si>
    <t>1244  42350  4594</t>
  </si>
  <si>
    <t>6  52233  -1383 -36425    -37      2</t>
  </si>
  <si>
    <t>94      0    17</t>
  </si>
  <si>
    <t>7      0      0      0   -143    -83</t>
  </si>
  <si>
    <t>0      0      0      0   -536    -36</t>
  </si>
  <si>
    <t>-288 -46130    32</t>
  </si>
  <si>
    <t>6   -135   -634    -63      0      0</t>
  </si>
  <si>
    <t>0    -27      0      0      0      0</t>
  </si>
  <si>
    <t>0      0      0      0      0  -1150</t>
  </si>
  <si>
    <t>0      0      0   -793   -689   -365</t>
  </si>
  <si>
    <t>892   -189</t>
  </si>
  <si>
    <t>0    186   -116     51   -179    -41</t>
  </si>
  <si>
    <t>0      0    318   1067    149  -2634</t>
  </si>
  <si>
    <t>0   -251  -1222  -1328    -96     39</t>
  </si>
  <si>
    <t>580      0</t>
  </si>
  <si>
    <t>0    -87   -404      0   -390    173</t>
  </si>
  <si>
    <t>0      0    404   2006      0  -2834</t>
  </si>
  <si>
    <t>-143   -111    26</t>
  </si>
  <si>
    <t>6   -125   -767      0   -275      0</t>
  </si>
  <si>
    <t>826      0    17</t>
  </si>
  <si>
    <t>8      0      0   -125      0    362</t>
  </si>
  <si>
    <t>0      0    939   1757      0  -1770</t>
  </si>
  <si>
    <t>0   -656  -1397   -604  -1317   -758</t>
  </si>
  <si>
    <t>5      0   -715      0  -1439      0</t>
  </si>
  <si>
    <t>0      0   1719    852      0   -411</t>
  </si>
  <si>
    <t>0      0  -1757   -768  -1464  -1203</t>
  </si>
  <si>
    <t>1958      0</t>
  </si>
  <si>
    <t>0      0  -1740      0  -1629      0</t>
  </si>
  <si>
    <t>0      0  -1262    939  -9516  -2344</t>
  </si>
  <si>
    <t>2263   -252    35</t>
  </si>
  <si>
    <t>153     37   106</t>
  </si>
  <si>
    <t>5    244   1139     27      0      0</t>
  </si>
  <si>
    <t>-515    452</t>
  </si>
  <si>
    <t>0      0      0      0      0     23</t>
  </si>
  <si>
    <t>0      0   -743      0      0      0</t>
  </si>
  <si>
    <t>44      0  -236</t>
  </si>
  <si>
    <t>6  -3464  -4216  -5019   8123  -2458</t>
  </si>
  <si>
    <t>593  -1791  -200</t>
  </si>
  <si>
    <t>5  -2359  -2928   4224      0   -592</t>
  </si>
  <si>
    <t>1930   -718    30</t>
  </si>
  <si>
    <t>6   -913  -2081   -706   -683    765</t>
  </si>
  <si>
    <t>9   -585   -871   -753  -2357   -418</t>
  </si>
  <si>
    <t>1229  -1277   279</t>
  </si>
  <si>
    <t>0   -679   -137     70    249   -847</t>
  </si>
  <si>
    <t>177    876    88</t>
  </si>
  <si>
    <t>9    579    664    604    843  36728</t>
  </si>
  <si>
    <t>4106    -54 -1481</t>
  </si>
  <si>
    <t>0   -325   -281      0      0    -40</t>
  </si>
  <si>
    <t>0    114    -53      0      0      0</t>
  </si>
  <si>
    <t>0    -45    467      0      0   -404</t>
  </si>
  <si>
    <t>352    976</t>
  </si>
  <si>
    <t>1      0      0      0   -524      0</t>
  </si>
  <si>
    <t>-789      0</t>
  </si>
  <si>
    <t>0      0      0      0     71      0</t>
  </si>
  <si>
    <t>0      0  -1315 -20080      0    120</t>
  </si>
  <si>
    <t>6    233    183      0      0  -1481</t>
  </si>
  <si>
    <t>327   -614   -14</t>
  </si>
  <si>
    <t>7   -571  -2224   -897   -203      0</t>
  </si>
  <si>
    <t>0   -184   131</t>
  </si>
  <si>
    <t>3   1757  -1671 -20994    -27    -53</t>
  </si>
  <si>
    <t>11    590   -12</t>
  </si>
  <si>
    <t>7    -19     42    215    961    375</t>
  </si>
  <si>
    <t>0   -276   -118    268    -88      0</t>
  </si>
  <si>
    <t>0    295   120</t>
  </si>
  <si>
    <t>0      0  -1742 -21311   -169   -189</t>
  </si>
  <si>
    <t>112    923</t>
  </si>
  <si>
    <t>0    -83      0      0   1076    505</t>
  </si>
  <si>
    <t>1      0   -183    372    -75      0</t>
  </si>
  <si>
    <t>0    453   118</t>
  </si>
  <si>
    <t>6      0  -1069 -20125      7      0</t>
  </si>
  <si>
    <t>137    834   -69</t>
  </si>
  <si>
    <t>4   -755   -579      0   1402      0</t>
  </si>
  <si>
    <t>0     63</t>
  </si>
  <si>
    <t>0   -194      0      0      0      0</t>
  </si>
  <si>
    <t>0    599    64</t>
  </si>
  <si>
    <t>4      0   -610 -22862      0      0</t>
  </si>
  <si>
    <t>0  -1570   -69</t>
  </si>
  <si>
    <t>5   -334     67     14    229   -355</t>
  </si>
  <si>
    <t>0   -835</t>
  </si>
  <si>
    <t>0   -769      0      0   -204      0</t>
  </si>
  <si>
    <t>0    807    26</t>
  </si>
  <si>
    <t>4   1006    572    446    643    564</t>
  </si>
  <si>
    <t>0      0      0      0      0   -165</t>
  </si>
  <si>
    <t>-101    259    20</t>
  </si>
  <si>
    <t>7      0      0     92      0   -237</t>
  </si>
  <si>
    <t>0      0  -1390  -2367      0      0</t>
  </si>
  <si>
    <t>0  -1511</t>
  </si>
  <si>
    <t>0      0      0      0   1085    975</t>
  </si>
  <si>
    <t>2   2948  -1793      0      0  -1878</t>
  </si>
  <si>
    <t>4609  -4349  1219</t>
  </si>
  <si>
    <t>0      0   1494    393    101    593</t>
  </si>
  <si>
    <t>269   -431    84</t>
  </si>
  <si>
    <t>2    388    731   -423    766    434</t>
  </si>
  <si>
    <t>1489    473    40</t>
  </si>
  <si>
    <t>8   -425   -198   -992      6    -87</t>
  </si>
  <si>
    <t>1029   -377   -21</t>
  </si>
  <si>
    <t>5   -238    660    278    229     99</t>
  </si>
  <si>
    <t>359    542    38</t>
  </si>
  <si>
    <t>2    529  16495  17812  18769  18727</t>
  </si>
  <si>
    <t>6624   -586   -17</t>
  </si>
  <si>
    <t>1      0      0    -53      0    541</t>
  </si>
  <si>
    <t>0     25   -27</t>
  </si>
  <si>
    <t>0   -195    78</t>
  </si>
  <si>
    <t>7      0      0   -945 -42839    -85</t>
  </si>
  <si>
    <t>0      0   -751      0      0      0</t>
  </si>
  <si>
    <t>0      0    -96      0      0      0</t>
  </si>
  <si>
    <t>0      0  -170</t>
  </si>
  <si>
    <t>3 -34928      0   -109      0      0</t>
  </si>
  <si>
    <t>1      0      0    362   -110      0</t>
  </si>
  <si>
    <t>10    -93   -77</t>
  </si>
  <si>
    <t>6    -86   -199      0      0      0</t>
  </si>
  <si>
    <t>1512    446  -339</t>
  </si>
  <si>
    <t>4 -37900   -216    130    158      0</t>
  </si>
  <si>
    <t>-546    478    47</t>
  </si>
  <si>
    <t>3    838   2077   -258      0      0</t>
  </si>
  <si>
    <t>0   -615  -270</t>
  </si>
  <si>
    <t>5   -272    163      0      0      0</t>
  </si>
  <si>
    <t>2298      0  -309</t>
  </si>
  <si>
    <t>8 -38350   -289   -366   -186   -338</t>
  </si>
  <si>
    <t>0   -257</t>
  </si>
  <si>
    <t>0      0   2192    964      0    120</t>
  </si>
  <si>
    <t>-203      0     6</t>
  </si>
  <si>
    <t>9    676   -307      0      0      0</t>
  </si>
  <si>
    <t>1920      0  -214</t>
  </si>
  <si>
    <t>3 -35527    199      0      0      0</t>
  </si>
  <si>
    <t>5      0   2947      0      0    -37</t>
  </si>
  <si>
    <t>0  -1513</t>
  </si>
  <si>
    <t>922      0   -99</t>
  </si>
  <si>
    <t>4 -41419      0      0      0      0</t>
  </si>
  <si>
    <t>1679   -433    25</t>
  </si>
  <si>
    <t>2     99    705  -1126      0      0</t>
  </si>
  <si>
    <t>0  -1434</t>
  </si>
  <si>
    <t>0      0   -286      0      0      0</t>
  </si>
  <si>
    <t>158   2163    86</t>
  </si>
  <si>
    <t>5    547    762    916   -726    111</t>
  </si>
  <si>
    <t>0      0      0   -183   -210    815</t>
  </si>
  <si>
    <t>640      0</t>
  </si>
  <si>
    <t>0    145      0   -285   -816      0</t>
  </si>
  <si>
    <t>0      0  -317</t>
  </si>
  <si>
    <t>5  -3310      0      0      0      0</t>
  </si>
  <si>
    <t>0      0   1894   1519      0   -760</t>
  </si>
  <si>
    <t>3500   5635  -311</t>
  </si>
  <si>
    <t>4      0      0  -1823  -4153 -32445</t>
  </si>
  <si>
    <t>2754      0   -20</t>
  </si>
  <si>
    <t>5    534   -122   -772   -231   1800</t>
  </si>
  <si>
    <t>-149   1059    95</t>
  </si>
  <si>
    <t>4   -750     10   1175    337    209</t>
  </si>
  <si>
    <t>192  -1204  -108</t>
  </si>
  <si>
    <t>6   -262   -147   -374   -265  -1200</t>
  </si>
  <si>
    <t>-198   -441   154</t>
  </si>
  <si>
    <t>5    556    474    422    912    898</t>
  </si>
  <si>
    <t>702    979  2802</t>
  </si>
  <si>
    <t>0  34304  34104  34342  33104  17106</t>
  </si>
  <si>
    <t>0      0      4      0    607      0</t>
  </si>
  <si>
    <t>-190    738</t>
  </si>
  <si>
    <t>0      0   -617 -43016   -441      3</t>
  </si>
  <si>
    <t>0   -911      0      0      0    199</t>
  </si>
  <si>
    <t>0    -83      0      0      0      0</t>
  </si>
  <si>
    <t>0  -1689 -3406</t>
  </si>
  <si>
    <t>1      0    200      0      0      0</t>
  </si>
  <si>
    <t>0      0    963   -296      0    200</t>
  </si>
  <si>
    <t>76   -277    34</t>
  </si>
  <si>
    <t>4    130      0      0      0      0</t>
  </si>
  <si>
    <t>553  -2887 -3648</t>
  </si>
  <si>
    <t>0   -219   -322   -101      0  -1253</t>
  </si>
  <si>
    <t>-134    -96    24</t>
  </si>
  <si>
    <t>8   2000    560      0      0   -176</t>
  </si>
  <si>
    <t>-333    -70    38</t>
  </si>
  <si>
    <t>2   -350      0      0      0      0</t>
  </si>
  <si>
    <t>0  -3202 -3697</t>
  </si>
  <si>
    <t>3  -1234  -1083  -1388  -4923    480</t>
  </si>
  <si>
    <t>-433      0</t>
  </si>
  <si>
    <t>0   1936   1574      0    215      0</t>
  </si>
  <si>
    <t>0   -293    65</t>
  </si>
  <si>
    <t>3    262      0      0      0      0</t>
  </si>
  <si>
    <t>0  -2133 -3455</t>
  </si>
  <si>
    <t>6    157      0      0      0   -542</t>
  </si>
  <si>
    <t>1082   -662</t>
  </si>
  <si>
    <t>0   2967      0      0    -90      0</t>
  </si>
  <si>
    <t>1390      0</t>
  </si>
  <si>
    <t>0  -1002 -4066</t>
  </si>
  <si>
    <t>-361    300     4</t>
  </si>
  <si>
    <t>0    896  -1271      0      0      0</t>
  </si>
  <si>
    <t>1355      0</t>
  </si>
  <si>
    <t>0   -231      0      0      0      0</t>
  </si>
  <si>
    <t>2691   1259    92</t>
  </si>
  <si>
    <t>9   1251   2098    524   1518      0</t>
  </si>
  <si>
    <t>0      0   -238   -223    588    -96</t>
  </si>
  <si>
    <t>0      0    22</t>
  </si>
  <si>
    <t>5      0   -211  -1132      0      0</t>
  </si>
  <si>
    <t>0   1369   281</t>
  </si>
  <si>
    <t>0   1928   1639      0   -995  -1659</t>
  </si>
  <si>
    <t>5718  -3144</t>
  </si>
  <si>
    <t>0      0  -2051  -6287  -8145 -31291</t>
  </si>
  <si>
    <t>0    -51   -22</t>
  </si>
  <si>
    <t>0     13  -1113   -301    445    349</t>
  </si>
  <si>
    <t>-188    672   -98</t>
  </si>
  <si>
    <t>4    -83    110    844   -132   -188</t>
  </si>
  <si>
    <t>1390  -1188     2</t>
  </si>
  <si>
    <t>0    -49   -599    -51  -1165   -805</t>
  </si>
  <si>
    <t>-753   1137    64</t>
  </si>
  <si>
    <t>8    486    479    953    823    657</t>
  </si>
  <si>
    <t>952  27677  3189</t>
  </si>
  <si>
    <t>0  35201  33819  32738  17967  29293</t>
  </si>
  <si>
    <t>0      0    -43      0    664      0</t>
  </si>
  <si>
    <t>-293    804</t>
  </si>
  <si>
    <t>0      0   -348 -53787   -486    -23</t>
  </si>
  <si>
    <t>0   -608      0      0      0    385</t>
  </si>
  <si>
    <t>0     73      0      0      0      0</t>
  </si>
  <si>
    <t>0  -2024 -3715</t>
  </si>
  <si>
    <t>3      0    470      0      0      0</t>
  </si>
  <si>
    <t>0      0   1575   -419      0    301</t>
  </si>
  <si>
    <t>305    427    66</t>
  </si>
  <si>
    <t>2    427      0      0      0      0</t>
  </si>
  <si>
    <t>729  -3418 -3967</t>
  </si>
  <si>
    <t>5   -216   -389   -155      0  -1167</t>
  </si>
  <si>
    <t>-139    -52    35</t>
  </si>
  <si>
    <t>6   2240    726      0      0   -185</t>
  </si>
  <si>
    <t>-375    -74    44</t>
  </si>
  <si>
    <t>5   -367      0      0      0      0</t>
  </si>
  <si>
    <t>0  -3710 -4065</t>
  </si>
  <si>
    <t>0   -192   -241    -77    122   -623</t>
  </si>
  <si>
    <t>-278      0</t>
  </si>
  <si>
    <t>0   2613   1065      0    184      0</t>
  </si>
  <si>
    <t>0    140    72</t>
  </si>
  <si>
    <t>7   -301      0      0      0      0</t>
  </si>
  <si>
    <t>0  -2458 -3935</t>
  </si>
  <si>
    <t>0   -242      0      0      0    338</t>
  </si>
  <si>
    <t>1030   -676</t>
  </si>
  <si>
    <t>0   3758      0      0   -470      0</t>
  </si>
  <si>
    <t>1491      0</t>
  </si>
  <si>
    <t>0  -1226 -4407</t>
  </si>
  <si>
    <t>-563    162     7</t>
  </si>
  <si>
    <t>4    986   -672      0      0      0</t>
  </si>
  <si>
    <t>1468      0</t>
  </si>
  <si>
    <t>0   -363      0      0      0      0</t>
  </si>
  <si>
    <t>2395   1085    71</t>
  </si>
  <si>
    <t>6   1010   1006    695   2606      0</t>
  </si>
  <si>
    <t>0      0   -194   -267    661    -58</t>
  </si>
  <si>
    <t>9      0   -268  -1005      0      0</t>
  </si>
  <si>
    <t>0    898   814</t>
  </si>
  <si>
    <t>0   2343     87      0  -1577  -2312</t>
  </si>
  <si>
    <t>7223  -3758</t>
  </si>
  <si>
    <t>0      0   5733  -7395  -8675 -10774</t>
  </si>
  <si>
    <t>0    234   -36</t>
  </si>
  <si>
    <t>0   -416   -766   -331    288   -489</t>
  </si>
  <si>
    <t>-386    832   -42</t>
  </si>
  <si>
    <t>2    -89     77    151    466   -221</t>
  </si>
  <si>
    <t>8   -338   -362   -446  -1361  -1514</t>
  </si>
  <si>
    <t>-772    716    76</t>
  </si>
  <si>
    <t>4    685    578   1113   1087    771</t>
  </si>
  <si>
    <t>1183  31401  3645</t>
  </si>
  <si>
    <t>4  38693  40909  36979  19582  32097</t>
  </si>
  <si>
    <t>1164   -745   -37</t>
  </si>
  <si>
    <t>7      0      0    -31      0    782</t>
  </si>
  <si>
    <t>0     62   -27</t>
  </si>
  <si>
    <t>0   -114    94</t>
  </si>
  <si>
    <t>2      0      0  -1089 -48210   -335</t>
  </si>
  <si>
    <t>-140      0</t>
  </si>
  <si>
    <t>0      0   -311      0      0      0</t>
  </si>
  <si>
    <t>0      0    -56      0      0      0</t>
  </si>
  <si>
    <t>0      0  -155</t>
  </si>
  <si>
    <t>7 -43175      0   -265      0      0</t>
  </si>
  <si>
    <t>4      0      0    139     35      0</t>
  </si>
  <si>
    <t>9   -337   -301      0      0      0</t>
  </si>
  <si>
    <t>1549    230  -284</t>
  </si>
  <si>
    <t>0 -47121   -191     86    170      0</t>
  </si>
  <si>
    <t>7    357   1828    765      0      0</t>
  </si>
  <si>
    <t>0   -185   -11</t>
  </si>
  <si>
    <t>0    355   -218      0      0      0</t>
  </si>
  <si>
    <t>1882      0  -302</t>
  </si>
  <si>
    <t>3 -48165   -296    -88     50   -208</t>
  </si>
  <si>
    <t>0   -352</t>
  </si>
  <si>
    <t>0      0   2077   1310      0     86</t>
  </si>
  <si>
    <t>-123      0    24</t>
  </si>
  <si>
    <t>4    553   -375      0      0      0</t>
  </si>
  <si>
    <t>1903      0  -191</t>
  </si>
  <si>
    <t>5 -45223    100      0      0      0</t>
  </si>
  <si>
    <t>8      0   3023      0      0    -48</t>
  </si>
  <si>
    <t>0  -1547</t>
  </si>
  <si>
    <t>785      0  -118</t>
  </si>
  <si>
    <t>0 -55950      0      0      0      0</t>
  </si>
  <si>
    <t>3323   1753   255</t>
  </si>
  <si>
    <t>6    459   1235  -8102      0      0</t>
  </si>
  <si>
    <t>0  -2170</t>
  </si>
  <si>
    <t>0      0   1264      0      0      0</t>
  </si>
  <si>
    <t>261   9203   231</t>
  </si>
  <si>
    <t>5   1711   1669   2790   -420   1535</t>
  </si>
  <si>
    <t>0      0      0   -304   -465    519</t>
  </si>
  <si>
    <t>28      0</t>
  </si>
  <si>
    <t>0    273      0    528  -1637      0</t>
  </si>
  <si>
    <t>0      0  -459</t>
  </si>
  <si>
    <t>4  -8803      0      0      0      0</t>
  </si>
  <si>
    <t>0      0   1919    210      0  -2395</t>
  </si>
  <si>
    <t>4684   4770  -316</t>
  </si>
  <si>
    <t>6      0      0    964  -1250  -3050</t>
  </si>
  <si>
    <t>6242      0  -158</t>
  </si>
  <si>
    <t>7  -1796  -1883  -2840  -1198   -618</t>
  </si>
  <si>
    <t>1286  -2137   -71</t>
  </si>
  <si>
    <t>5  -3094   -940  -1396  -1368  -1507</t>
  </si>
  <si>
    <t>2234  -3816   -77</t>
  </si>
  <si>
    <t>2    -15     73    -52    -54  -3962</t>
  </si>
  <si>
    <t>1420  -1412   310</t>
  </si>
  <si>
    <t>9    524    497    399    601    720</t>
  </si>
  <si>
    <t>624    843  3384</t>
  </si>
  <si>
    <t>6  39250  41273  41206  43103  17110</t>
  </si>
  <si>
    <t>3260    237 -2882</t>
  </si>
  <si>
    <t>1    -33    -47      0      0    206</t>
  </si>
  <si>
    <t>0    -97   -593      0      0      0</t>
  </si>
  <si>
    <t>0   -153    220      0      0      6</t>
  </si>
  <si>
    <t>270    -68    -6</t>
  </si>
  <si>
    <t>6      0      0      0     53      0</t>
  </si>
  <si>
    <t>0      0    297 -55109      0   -227</t>
  </si>
  <si>
    <t>0   -562  -1085      0      0   -900</t>
  </si>
  <si>
    <t>299    293   -14</t>
  </si>
  <si>
    <t>5   1693   1088   1022  -1098      0</t>
  </si>
  <si>
    <t>0    629    51</t>
  </si>
  <si>
    <t>3   1127   -698 -52010   1155    635</t>
  </si>
  <si>
    <t>1488   1357   -43</t>
  </si>
  <si>
    <t>2     46   1205   -601   -556   2546</t>
  </si>
  <si>
    <t>3987  -7402</t>
  </si>
  <si>
    <t>0  -7244   2511   2496   2079      0</t>
  </si>
  <si>
    <t>0   1296   -23</t>
  </si>
  <si>
    <t>3      0   -736 -51283    -59   -175</t>
  </si>
  <si>
    <t>299    -88</t>
  </si>
  <si>
    <t>0    138      0      0   -431   -290</t>
  </si>
  <si>
    <t>0      0    -4</t>
  </si>
  <si>
    <t>0      0   -171   -196   -509      0</t>
  </si>
  <si>
    <t>0    -39    30</t>
  </si>
  <si>
    <t>5      0   -800 -48967    361      0</t>
  </si>
  <si>
    <t>331    533    52</t>
  </si>
  <si>
    <t>1  -1294   -794      0    922      0</t>
  </si>
  <si>
    <t>0   -242</t>
  </si>
  <si>
    <t>0  -1189      0      0      0      0</t>
  </si>
  <si>
    <t>0   1226     7</t>
  </si>
  <si>
    <t>8      0    731 -53271      0      0</t>
  </si>
  <si>
    <t>0  -2875  -107</t>
  </si>
  <si>
    <t>6   -935   -138    450  -1829   1222</t>
  </si>
  <si>
    <t>0  -2018</t>
  </si>
  <si>
    <t>0  -1734      0      0   -551      0</t>
  </si>
  <si>
    <t>0   1219  -108</t>
  </si>
  <si>
    <t>3    883    124    223    179    -57</t>
  </si>
  <si>
    <t>0      0      0      0      0   -338</t>
  </si>
  <si>
    <t>-147   1592   -44</t>
  </si>
  <si>
    <t>7      0      0    153      0    -40</t>
  </si>
  <si>
    <t>0      0  -1766  -3197      0      0</t>
  </si>
  <si>
    <t>0  -1643</t>
  </si>
  <si>
    <t>0      0      0      0    622   -171</t>
  </si>
  <si>
    <t>5214    656   -93</t>
  </si>
  <si>
    <t>6   1264   -641      0      0    553</t>
  </si>
  <si>
    <t>1153    -93   -70</t>
  </si>
  <si>
    <t>6      0   -385 -13580   3277   1056</t>
  </si>
  <si>
    <t>378   -857    57</t>
  </si>
  <si>
    <t>0   3140    -44   -791    960   1783</t>
  </si>
  <si>
    <t>3391   3296    34</t>
  </si>
  <si>
    <t>7  -1303   -540  -1588    717    -95</t>
  </si>
  <si>
    <t>2    -52    788   3001    263    159</t>
  </si>
  <si>
    <t>-27    144    12</t>
  </si>
  <si>
    <t>5    142  31455  37693  36821  36890</t>
  </si>
  <si>
    <t>0712  26970  2982</t>
  </si>
  <si>
    <t>4  35419    462 -29455    -31    -59</t>
  </si>
  <si>
    <t>88      0    -4</t>
  </si>
  <si>
    <t>8      0      0      0    -67   -251</t>
  </si>
  <si>
    <t>0      0      0      0   -175     49</t>
  </si>
  <si>
    <t>58 -40619     1</t>
  </si>
  <si>
    <t>0     47   -130    -66      0      0</t>
  </si>
  <si>
    <t>0      0      0      0      0   1153</t>
  </si>
  <si>
    <t>-272      0</t>
  </si>
  <si>
    <t>0      0      0   -460   -117    223</t>
  </si>
  <si>
    <t>2002   -257</t>
  </si>
  <si>
    <t>0   -238   -753   2166   -505    901</t>
  </si>
  <si>
    <t>0      0   -254    270    556   -560</t>
  </si>
  <si>
    <t>0     72   -429    -31    179     42</t>
  </si>
  <si>
    <t>-432      0</t>
  </si>
  <si>
    <t>0      9    -64      0     10   -177</t>
  </si>
  <si>
    <t>0      0   -209    254      0  -1428</t>
  </si>
  <si>
    <t>1341   -846  -121</t>
  </si>
  <si>
    <t>5    917   1878      0    -61      0</t>
  </si>
  <si>
    <t>3899      0   320</t>
  </si>
  <si>
    <t>7      0      0  -3640      0   3362</t>
  </si>
  <si>
    <t>0      0   1401    -95      0   -657</t>
  </si>
  <si>
    <t>0   -231    -31    545  -1357   -734</t>
  </si>
  <si>
    <t>5      0   -426      0  -1385      0</t>
  </si>
  <si>
    <t>0      0   1238     20      0   1000</t>
  </si>
  <si>
    <t>0      0  -3223   -971  -1042   -183</t>
  </si>
  <si>
    <t>1216      0</t>
  </si>
  <si>
    <t>0      0  -1744      0  -1460      0</t>
  </si>
  <si>
    <t>0      0   1149  -1220    646    270</t>
  </si>
  <si>
    <t>173   -190    65</t>
  </si>
  <si>
    <t>1125   -172    83</t>
  </si>
  <si>
    <t>3   -112    653   -512      0      0</t>
  </si>
  <si>
    <t>-194    355</t>
  </si>
  <si>
    <t>0      0      0      0      0   -350</t>
  </si>
  <si>
    <t>0      0  -1611      0      0      0</t>
  </si>
  <si>
    <t>-348      0   682</t>
  </si>
  <si>
    <t>9    271  -6002  -1829   2353   -144</t>
  </si>
  <si>
    <t>738   9303   128</t>
  </si>
  <si>
    <t>8  -1595   -135   -873      0    897</t>
  </si>
  <si>
    <t>87   2124     -</t>
  </si>
  <si>
    <t>9   2872   -626     95    673   4026</t>
  </si>
  <si>
    <t>623   1743   -43</t>
  </si>
  <si>
    <t>3   2459    762   3028  -1140   -693</t>
  </si>
  <si>
    <t>4  -1610   -201   -444      6    837</t>
  </si>
  <si>
    <t>-27    623     -</t>
  </si>
  <si>
    <t>2    174    235     48    130  33773</t>
  </si>
  <si>
    <t>8294  38182  1688</t>
  </si>
  <si>
    <t>0  28216  29973  30821  36239  38452</t>
  </si>
  <si>
    <t>-87     70</t>
  </si>
  <si>
    <t>0      0    -53      0    -40      0</t>
  </si>
  <si>
    <t>-60   1175</t>
  </si>
  <si>
    <t>0      0   -195 -38492     97    165</t>
  </si>
  <si>
    <t>0    -68      0      0      0   -134</t>
  </si>
  <si>
    <t>0    -30      0      0      0      0</t>
  </si>
  <si>
    <t>0   -229 -5132</t>
  </si>
  <si>
    <t>9      0     83      0      0      0</t>
  </si>
  <si>
    <t>937    126</t>
  </si>
  <si>
    <t>0      0  -1551    664      0   -240</t>
  </si>
  <si>
    <t>2735  -1379  -126</t>
  </si>
  <si>
    <t>5    -32      0      0      0      0</t>
  </si>
  <si>
    <t>4    -66    -42   -101      0    312</t>
  </si>
  <si>
    <t>90    -87     1</t>
  </si>
  <si>
    <t>4   -497     82      0      0    -22</t>
  </si>
  <si>
    <t>120    116     7</t>
  </si>
  <si>
    <t>1      5      0      0      0      0</t>
  </si>
  <si>
    <t>0   -555 -5050</t>
  </si>
  <si>
    <t>3     -4    -79    -51    105    181</t>
  </si>
  <si>
    <t>0   -519     30      0     17      0</t>
  </si>
  <si>
    <t>0     68     6</t>
  </si>
  <si>
    <t>4    -14      0      0      0      0</t>
  </si>
  <si>
    <t>0    113 -5021</t>
  </si>
  <si>
    <t>2    972      0      0      0   -138</t>
  </si>
  <si>
    <t>-439   1567</t>
  </si>
  <si>
    <t>0    248      0      0   1643      0</t>
  </si>
  <si>
    <t>9930      0</t>
  </si>
  <si>
    <t>0   1066 -5269</t>
  </si>
  <si>
    <t>1002   -294    27</t>
  </si>
  <si>
    <t>7  -1813   1296      0      0      0</t>
  </si>
  <si>
    <t>1159      0</t>
  </si>
  <si>
    <t>0   -449      0      0      0      0</t>
  </si>
  <si>
    <t>596      3    -5</t>
  </si>
  <si>
    <t>7    124    -28   -112    805      0</t>
  </si>
  <si>
    <t>0      0   -432     99    252     42</t>
  </si>
  <si>
    <t>8      0    -84    253      0      0</t>
  </si>
  <si>
    <t>0   -654   -40</t>
  </si>
  <si>
    <t>0    227   -125      0    194   -281</t>
  </si>
  <si>
    <t>2892    284</t>
  </si>
  <si>
    <t>0      0    309   4107    683    439</t>
  </si>
  <si>
    <t>0   1437   229</t>
  </si>
  <si>
    <t>2   1285 -14849   3690    349    777</t>
  </si>
  <si>
    <t>705    429   202</t>
  </si>
  <si>
    <t>0   1406    459    586    839   2106</t>
  </si>
  <si>
    <t>1984   -130    57</t>
  </si>
  <si>
    <t>7   -460   -437    -24   -619   -289</t>
  </si>
  <si>
    <t>-3    432   -44</t>
  </si>
  <si>
    <t>4   -281   1925    659    337     99</t>
  </si>
  <si>
    <t>269  25745  3443</t>
  </si>
  <si>
    <t>6  35580  37540  35754   9504  26287</t>
  </si>
  <si>
    <t>3624  35985  4101</t>
  </si>
  <si>
    <t>7    -76 -28082    117     70      0</t>
  </si>
  <si>
    <t>0      0      0   -156   -493      0</t>
  </si>
  <si>
    <t>0      0      0   -214    -69      0</t>
  </si>
  <si>
    <t>8744     85    30</t>
  </si>
  <si>
    <t>1    165    -63      0      0      0</t>
  </si>
  <si>
    <t>0      0      0      0  -1828 -52573</t>
  </si>
  <si>
    <t>0      0  -1107   1746    910      0</t>
  </si>
  <si>
    <t>312      0   -47</t>
  </si>
  <si>
    <t>2    211   -509   2009    134     63</t>
  </si>
  <si>
    <t>0  -1572   1123    558   -430 -49564</t>
  </si>
  <si>
    <t>121      0    52</t>
  </si>
  <si>
    <t>5    280    -18     30    -14    182</t>
  </si>
  <si>
    <t>6   -885      0   -690    121     75</t>
  </si>
  <si>
    <t>0     31    209      0   -448 -50668</t>
  </si>
  <si>
    <t>-69     27    34</t>
  </si>
  <si>
    <t>2    296      0    -16      0      0</t>
  </si>
  <si>
    <t>0    261</t>
  </si>
  <si>
    <t>0      0    -91      0    143    198</t>
  </si>
  <si>
    <t>0    146    190      0   -498 -48187</t>
  </si>
  <si>
    <t>5    822    529  -1354   -797      0</t>
  </si>
  <si>
    <t>0   -653      0  -1450      0      0</t>
  </si>
  <si>
    <t>0   1277     67      0   3762 -55680</t>
  </si>
  <si>
    <t>0  -2969  -3569  -1435    208  -1484</t>
  </si>
  <si>
    <t>0 -12447      0  -9329      0      0</t>
  </si>
  <si>
    <t>0   1958  -2709  -3061   -988   -970</t>
  </si>
  <si>
    <t>184   4665     5</t>
  </si>
  <si>
    <t>2   3312   -183      0      0     85</t>
  </si>
  <si>
    <t>0      0      0      0  -1537  -3672</t>
  </si>
  <si>
    <t>0   -119      0      0      0      0</t>
  </si>
  <si>
    <t>0   2877   104</t>
  </si>
  <si>
    <t>3    722   -551   1311   -281      0</t>
  </si>
  <si>
    <t>2879   1216   114</t>
  </si>
  <si>
    <t>0     30     22      0   3370   1976</t>
  </si>
  <si>
    <t>2743   1086   164</t>
  </si>
  <si>
    <t>4     91   2647   1766   1144    144</t>
  </si>
  <si>
    <t>1349    244   509</t>
  </si>
  <si>
    <t>3   1398   1520   -574    -94  -1497</t>
  </si>
  <si>
    <t>-849    523   -17</t>
  </si>
  <si>
    <t>1   -130     60    134    440   -269</t>
  </si>
  <si>
    <t>2591    423    36</t>
  </si>
  <si>
    <t>8    309    338    414  31162  34414</t>
  </si>
  <si>
    <t>7054  14981  2705</t>
  </si>
  <si>
    <t>1  26245  28731  37601  38506  40987</t>
  </si>
  <si>
    <t>3594   -653    -8</t>
  </si>
  <si>
    <t>4      0      0    -29      0    233</t>
  </si>
  <si>
    <t>0     62   -21</t>
  </si>
  <si>
    <t>0    254    53</t>
  </si>
  <si>
    <t>8      0      0   -192 -46334    156</t>
  </si>
  <si>
    <t>-68      0</t>
  </si>
  <si>
    <t>0      0    441      0      0      0</t>
  </si>
  <si>
    <t>0      0   -145      0      0      0</t>
  </si>
  <si>
    <t>2 -57651      0   -129      0      0</t>
  </si>
  <si>
    <t>182     76     1</t>
  </si>
  <si>
    <t>6      0      0   -140      4      0</t>
  </si>
  <si>
    <t>50    -85     2</t>
  </si>
  <si>
    <t>1    -52    -83      0      0      0</t>
  </si>
  <si>
    <t>-383     65    63</t>
  </si>
  <si>
    <t>8 -68229  -1047    -90   -609      0</t>
  </si>
  <si>
    <t>458    173    21</t>
  </si>
  <si>
    <t>1   -204    407  -1847      0      0</t>
  </si>
  <si>
    <t>0    208   191</t>
  </si>
  <si>
    <t>4    588   -333      0      0      0</t>
  </si>
  <si>
    <t>-804      0    78</t>
  </si>
  <si>
    <t>9 -68211  -1588  -1005   -629     68</t>
  </si>
  <si>
    <t>0      0    -13  -1154      0   -141</t>
  </si>
  <si>
    <t>58      0   141</t>
  </si>
  <si>
    <t>7   1113   -590      0      0      0</t>
  </si>
  <si>
    <t>-779      0   -33</t>
  </si>
  <si>
    <t>2 -60654    353      0      0      0</t>
  </si>
  <si>
    <t>658  -1474   -86</t>
  </si>
  <si>
    <t>2      0   1479      0      0   -171</t>
  </si>
  <si>
    <t>0  -1665</t>
  </si>
  <si>
    <t>-753      0   231</t>
  </si>
  <si>
    <t>7 -65549      0      0      0      0</t>
  </si>
  <si>
    <t>1552  -1287   -25</t>
  </si>
  <si>
    <t>7    583  -1996   2007      0      0</t>
  </si>
  <si>
    <t>0      0   -580      0      0      0</t>
  </si>
  <si>
    <t>2778   2592   131</t>
  </si>
  <si>
    <t>0    725    938    415   -613    395</t>
  </si>
  <si>
    <t>0      0      0   -175   -267    738</t>
  </si>
  <si>
    <t>-855      0</t>
  </si>
  <si>
    <t>0    107      0    907    -54      0</t>
  </si>
  <si>
    <t>0      0   -64</t>
  </si>
  <si>
    <t>9  -1331      0      0      0      0</t>
  </si>
  <si>
    <t>0      0    704    -42      0   2568</t>
  </si>
  <si>
    <t>1636  -6993  -148</t>
  </si>
  <si>
    <t>5      0      0    319   2432   8214</t>
  </si>
  <si>
    <t>9148      0    74</t>
  </si>
  <si>
    <t>1    920   -578   -650    902   1095</t>
  </si>
  <si>
    <t>767    524   -70</t>
  </si>
  <si>
    <t>7   -570    417   1731     85   -471</t>
  </si>
  <si>
    <t>1315  -1573    99</t>
  </si>
  <si>
    <t>6   -384   -235   -590   -178  -1308</t>
  </si>
  <si>
    <t>-942     28   101</t>
  </si>
  <si>
    <t>5    -48   -127    -19    367    102</t>
  </si>
  <si>
    <t>32    -39  3571</t>
  </si>
  <si>
    <t>3  42390  42828  42785  44295  17975</t>
  </si>
  <si>
    <t>5305  42943  4951</t>
  </si>
  <si>
    <t>7  51384  46877  47337   -155 -32887</t>
  </si>
  <si>
    <t>5      0    291      0      0      0</t>
  </si>
  <si>
    <t>3 -44745    -16    269     42    -38</t>
  </si>
  <si>
    <t>0      0      0    -38      0      0</t>
  </si>
  <si>
    <t>5218      0   -10</t>
  </si>
  <si>
    <t>1      0      0      0      0     25</t>
  </si>
  <si>
    <t>9     17      0     -1   -220      2</t>
  </si>
  <si>
    <t>0      0      0      0    -69   -372</t>
  </si>
  <si>
    <t>3712    695    69</t>
  </si>
  <si>
    <t>2    319      0   2181   3041   1455</t>
  </si>
  <si>
    <t>-383   2006  -100</t>
  </si>
  <si>
    <t>4      0      0   -210   1968      0</t>
  </si>
  <si>
    <t>-460    483</t>
  </si>
  <si>
    <t>0      0      0      0  -1474   -125</t>
  </si>
  <si>
    <t>1354    -88    10</t>
  </si>
  <si>
    <t>1     70     58    246    205      0</t>
  </si>
  <si>
    <t>0    436     5</t>
  </si>
  <si>
    <t>2      0    129      0      0     -5</t>
  </si>
  <si>
    <t>165     37</t>
  </si>
  <si>
    <t>0      0      0      0     93   -473</t>
  </si>
  <si>
    <t>4350   -807</t>
  </si>
  <si>
    <t>0      0      0    211    671    636</t>
  </si>
  <si>
    <t>0    890</t>
  </si>
  <si>
    <t>0      0   -630      0     58      0</t>
  </si>
  <si>
    <t>0      0      0      0   2618   -518</t>
  </si>
  <si>
    <t>3134      0</t>
  </si>
  <si>
    <t>0      0      0      0  -3200  -1679</t>
  </si>
  <si>
    <t>401  -1397   151</t>
  </si>
  <si>
    <t>2      0      0      0  -1843      0</t>
  </si>
  <si>
    <t>0   -654</t>
  </si>
  <si>
    <t>0      0      0      0   1535  -2397</t>
  </si>
  <si>
    <t>52    309    19</t>
  </si>
  <si>
    <t>7   -707    248      0      0      0</t>
  </si>
  <si>
    <t>4    -20    222    -78    288    -86</t>
  </si>
  <si>
    <t>121      0    56</t>
  </si>
  <si>
    <t>6     24      0      0      0      0</t>
  </si>
  <si>
    <t>-863      0</t>
  </si>
  <si>
    <t>0      0      0      0  -1796      0</t>
  </si>
  <si>
    <t>0    261    -5</t>
  </si>
  <si>
    <t>5      0   1048   1592   2044   5944</t>
  </si>
  <si>
    <t>0      0    16</t>
  </si>
  <si>
    <t>4   1338   3054   1995   5471  -3686</t>
  </si>
  <si>
    <t>1025    905  -213</t>
  </si>
  <si>
    <t>0    440   3808    729  -3692    503</t>
  </si>
  <si>
    <t>1622    280    79</t>
  </si>
  <si>
    <t>9    756   -550    834    964    723</t>
  </si>
  <si>
    <t>-147    645    -1</t>
  </si>
  <si>
    <t>9   -597  -1128   -115  -1023   -267</t>
  </si>
  <si>
    <t>-227     29     -</t>
  </si>
  <si>
    <t>1    517      4    461    281    248</t>
  </si>
  <si>
    <t>7148  41827  4174</t>
  </si>
  <si>
    <t>1  42819  17467  25239  31094  34319</t>
  </si>
  <si>
    <t>8021  44940  4469</t>
  </si>
  <si>
    <t>6  59965    395 -34219   -434    -86</t>
  </si>
  <si>
    <t>-38      0    29</t>
  </si>
  <si>
    <t>4      0      0      0     46   -162</t>
  </si>
  <si>
    <t>0      0      0      0      3    360</t>
  </si>
  <si>
    <t>-296 -46974     2</t>
  </si>
  <si>
    <t>6    262    196    -14      0      0</t>
  </si>
  <si>
    <t>0      0      0      0      0   -979</t>
  </si>
  <si>
    <t>0      0      0   -104     75     45</t>
  </si>
  <si>
    <t>0     55   -143     26    -64    -24</t>
  </si>
  <si>
    <t>0      0     11    540    211   -748</t>
  </si>
  <si>
    <t>0    974    639   -412   1241    441</t>
  </si>
  <si>
    <t>108      0</t>
  </si>
  <si>
    <t>0   -253    368      0   1211    -57</t>
  </si>
  <si>
    <t>0      0   -956    456      0   -799</t>
  </si>
  <si>
    <t>-1     94     1</t>
  </si>
  <si>
    <t>6    269    344      0     97      0</t>
  </si>
  <si>
    <t>114      0     9</t>
  </si>
  <si>
    <t>1      0      0    -58      0     97</t>
  </si>
  <si>
    <t>0      0    135    217      0   -851</t>
  </si>
  <si>
    <t>0    111    676    663  -1446   -793</t>
  </si>
  <si>
    <t>4      0   -529      0  -1602      0</t>
  </si>
  <si>
    <t>0      0   1463     46      0   1503</t>
  </si>
  <si>
    <t>0      0  -1460  -1259  -2894  -2198</t>
  </si>
  <si>
    <t>1207      0</t>
  </si>
  <si>
    <t>0      0  -2050      0   -746      0</t>
  </si>
  <si>
    <t>0      0   2468  -1567   5607   1741</t>
  </si>
  <si>
    <t>810    -87    56</t>
  </si>
  <si>
    <t>-331   -201    61</t>
  </si>
  <si>
    <t>4   -188    200   -147      0      0</t>
  </si>
  <si>
    <t>83   -394</t>
  </si>
  <si>
    <t>0      0      0      0      0  -1382</t>
  </si>
  <si>
    <t>0      0     -7      0      0      0</t>
  </si>
  <si>
    <t>75      0    39</t>
  </si>
  <si>
    <t>2   1864    562  -1165    675   -893</t>
  </si>
  <si>
    <t>163    421   103</t>
  </si>
  <si>
    <t>2     51  -1066   1035      0    606</t>
  </si>
  <si>
    <t>-906    717   107</t>
  </si>
  <si>
    <t>6    662   -607    570   2124    519</t>
  </si>
  <si>
    <t>1696    565   -31</t>
  </si>
  <si>
    <t>9    765   2974    712  -1369   -100</t>
  </si>
  <si>
    <t>148    -18  -227</t>
  </si>
  <si>
    <t>4   -269   -596   -299   -244    379</t>
  </si>
  <si>
    <t>263    660    29</t>
  </si>
  <si>
    <t>8    341    797    361    564  35980</t>
  </si>
  <si>
    <t>3186  45472  1833</t>
  </si>
  <si>
    <t>5  33008  32677  35633  44361  44052</t>
  </si>
  <si>
    <t>5092  58189  5255</t>
  </si>
  <si>
    <t>4    -14 -32883     51    -31      0</t>
  </si>
  <si>
    <t>0      0      0      2    -26      0</t>
  </si>
  <si>
    <t>0      0      0     18    -36      0</t>
  </si>
  <si>
    <t>4781    -30     5</t>
  </si>
  <si>
    <t>3    -17    -52      0      0      0</t>
  </si>
  <si>
    <t>0      0      0      0    188 -55399</t>
  </si>
  <si>
    <t>0      0     -3     46     40      0</t>
  </si>
  <si>
    <t>51      0    -1</t>
  </si>
  <si>
    <t>4   -125     36   -112   -113   -126</t>
  </si>
  <si>
    <t>0   -154   -376     -6    -14 -59800</t>
  </si>
  <si>
    <t>15      0    27</t>
  </si>
  <si>
    <t>7    383     -6    141    139    -10</t>
  </si>
  <si>
    <t>9    -36      0    -11    153    108</t>
  </si>
  <si>
    <t>0     31   -560      0   -545 -64195</t>
  </si>
  <si>
    <t>-195   -788   103</t>
  </si>
  <si>
    <t>4   2286      0   1613      0      0</t>
  </si>
  <si>
    <t>0      0   -161      0   -394   -897</t>
  </si>
  <si>
    <t>0  -1807    -46      0     51 -65028</t>
  </si>
  <si>
    <t>0      0   122</t>
  </si>
  <si>
    <t>0   2178   1291  -2844  -1258      0</t>
  </si>
  <si>
    <t>0  -1998</t>
  </si>
  <si>
    <t>0   -957      0  -1375      0      0</t>
  </si>
  <si>
    <t>0   1483   -452      0   2426 -63113</t>
  </si>
  <si>
    <t>0  -3160  -1683  -1301   -324    264</t>
  </si>
  <si>
    <t>0  -1935      0  -1571      0      0</t>
  </si>
  <si>
    <t>0   1566  -2292   1227    248     45</t>
  </si>
  <si>
    <t>-529    276</t>
  </si>
  <si>
    <t>-77    746    -7</t>
  </si>
  <si>
    <t>7    714   -139      0      0    152</t>
  </si>
  <si>
    <t>-176      0</t>
  </si>
  <si>
    <t>0      0      0      0   -965   -610</t>
  </si>
  <si>
    <t>0  -1771      0      0      0      0</t>
  </si>
  <si>
    <t>0    865   127</t>
  </si>
  <si>
    <t>4   1394   5213  -1395    -74      0</t>
  </si>
  <si>
    <t>1555   1756   296</t>
  </si>
  <si>
    <t>3   5710  -3343      0    595   1146</t>
  </si>
  <si>
    <t>618    836   303</t>
  </si>
  <si>
    <t>6    134    541    991   2575   -872</t>
  </si>
  <si>
    <t>934   1079    99</t>
  </si>
  <si>
    <t>9   1254    941   -567   -119   -166</t>
  </si>
  <si>
    <t>3   -183   -518   -702    792     19</t>
  </si>
  <si>
    <t>482     30    27</t>
  </si>
  <si>
    <t>7    246    397    167  35066  40931</t>
  </si>
  <si>
    <t>2915  17311  3186</t>
  </si>
  <si>
    <t>5  25308  35629  40911  46301  49061</t>
  </si>
  <si>
    <t>8223  54520  5486</t>
  </si>
  <si>
    <t>8    326 -33487   -347    -68      0</t>
  </si>
  <si>
    <t>0    169</t>
  </si>
  <si>
    <t>0      0      0     58   -187      0</t>
  </si>
  <si>
    <t>0      0      0     20    261      0</t>
  </si>
  <si>
    <t>0    187     -3      0      0      0</t>
  </si>
  <si>
    <t>0      0      0      0   -774 -54039</t>
  </si>
  <si>
    <t>0      0    -50     70     41      0</t>
  </si>
  <si>
    <t>-19      0     4</t>
  </si>
  <si>
    <t>0   -115     44    -30     11     24</t>
  </si>
  <si>
    <t>0     -1    450    216   -610 -58276</t>
  </si>
  <si>
    <t>-28      0   -17</t>
  </si>
  <si>
    <t>4    245     11    114    108     46</t>
  </si>
  <si>
    <t>0   -140      0    -51     67     71</t>
  </si>
  <si>
    <t>0     71    266      0   -657 -62582</t>
  </si>
  <si>
    <t>-367   -439    17</t>
  </si>
  <si>
    <t>1    473      0   1362      0      0</t>
  </si>
  <si>
    <t>0      0     25      0    157     62</t>
  </si>
  <si>
    <t>0  -1116    431      0   -606 -56585</t>
  </si>
  <si>
    <t>0      0   -59</t>
  </si>
  <si>
    <t>3    268    657  -1546   -853      0</t>
  </si>
  <si>
    <t>0   -182</t>
  </si>
  <si>
    <t>0   -522      0  -1587      0      0</t>
  </si>
  <si>
    <t>0   1456     42      0    718 -68457</t>
  </si>
  <si>
    <t>0   -242   -714  -2226   -703      5</t>
  </si>
  <si>
    <t>0  -2637      0  -1478      0      0</t>
  </si>
  <si>
    <t>0   1835   -889   4272   1402    867</t>
  </si>
  <si>
    <t>320    295</t>
  </si>
  <si>
    <t>-182    967   -15</t>
  </si>
  <si>
    <t>9    707   -112      0      0     22</t>
  </si>
  <si>
    <t>-460      0</t>
  </si>
  <si>
    <t>0      0      0      0    291  -1045</t>
  </si>
  <si>
    <t>0     -8      0      0      0      0</t>
  </si>
  <si>
    <t>0    139    14</t>
  </si>
  <si>
    <t>6   1309  -1770    407   -618      0</t>
  </si>
  <si>
    <t>-14   -336    31</t>
  </si>
  <si>
    <t>2  -1638   1117      0    313    290</t>
  </si>
  <si>
    <t>327     85   131</t>
  </si>
  <si>
    <t>4  -1348    349    177    667  -1285</t>
  </si>
  <si>
    <t>1085   -846    48</t>
  </si>
  <si>
    <t>6    320   1816  -1965    -75    -21</t>
  </si>
  <si>
    <t>7   -196   -199   -106     78    155</t>
  </si>
  <si>
    <t>585    211    26</t>
  </si>
  <si>
    <t>1    502    277    515  35354  41109</t>
  </si>
  <si>
    <t>5548  17850  3284</t>
  </si>
  <si>
    <t>8  31966  35253  45590  45264  46093</t>
  </si>
  <si>
    <t>7950  54364  5080</t>
  </si>
  <si>
    <t>3  52968  -1947 -53009   -966   -235</t>
  </si>
  <si>
    <t>-29      0   149</t>
  </si>
  <si>
    <t>1      0      0      0    -11   -552</t>
  </si>
  <si>
    <t>0      0      0      0   -359   1471</t>
  </si>
  <si>
    <t>1318 -72790    36</t>
  </si>
  <si>
    <t>7   -161  -1227   -155      0      0</t>
  </si>
  <si>
    <t>0   -114      0      0      0      0</t>
  </si>
  <si>
    <t>0      0      0      0      0  -2109</t>
  </si>
  <si>
    <t>319      0</t>
  </si>
  <si>
    <t>0      0      0   -280   -952   -491</t>
  </si>
  <si>
    <t>1192   -320</t>
  </si>
  <si>
    <t>0    223   -220    100   -131   -131</t>
  </si>
  <si>
    <t>0      0    346    767    636  -3869</t>
  </si>
  <si>
    <t>0     83  -1443  -1178    -83      9</t>
  </si>
  <si>
    <t>804      0</t>
  </si>
  <si>
    <t>0   -117   -764      0   -681    369</t>
  </si>
  <si>
    <t>0      0    754   1591      0  -4204</t>
  </si>
  <si>
    <t>70    152    29</t>
  </si>
  <si>
    <t>2     81   -968      0   -369      0</t>
  </si>
  <si>
    <t>1268      0    39</t>
  </si>
  <si>
    <t>1      0      0   -323      0    677</t>
  </si>
  <si>
    <t>0      0   1363   1215      0  -3609</t>
  </si>
  <si>
    <t>0   -575  -1629   -471  -1874  -1171</t>
  </si>
  <si>
    <t>8      0  -1195      0  -2699      0</t>
  </si>
  <si>
    <t>0      0   2727    360      0   -840</t>
  </si>
  <si>
    <t>0      0  -5205  -2179  -1874   -736</t>
  </si>
  <si>
    <t>2139      0</t>
  </si>
  <si>
    <t>0      0  -2881      0  -2454      0</t>
  </si>
  <si>
    <t>0      0   2241  -1481   2391   1104</t>
  </si>
  <si>
    <t>237    352   229</t>
  </si>
  <si>
    <t>-482   -329   141</t>
  </si>
  <si>
    <t>0     11   1595    -80      0      0</t>
  </si>
  <si>
    <t>97   1638</t>
  </si>
  <si>
    <t>0      0      0      0      0   -887</t>
  </si>
  <si>
    <t>0      0   -882      0      0      0</t>
  </si>
  <si>
    <t>81      0   103</t>
  </si>
  <si>
    <t>3   2775   3758   -611    417  -6076</t>
  </si>
  <si>
    <t>615    733   254</t>
  </si>
  <si>
    <t>8   2851    378  -4435      0    304</t>
  </si>
  <si>
    <t>1476   -124   194</t>
  </si>
  <si>
    <t>7    488  -1968   -103    505   3119</t>
  </si>
  <si>
    <t>831   1096    31</t>
  </si>
  <si>
    <t>5    491    956   1110  -2129    659</t>
  </si>
  <si>
    <t>38   -270   -99</t>
  </si>
  <si>
    <t>7   -832   -631   -338     83    778</t>
  </si>
  <si>
    <t>431   1177   114</t>
  </si>
  <si>
    <t>3    811   1195    867   1127  50703</t>
  </si>
  <si>
    <t>1409  60422  2548</t>
  </si>
  <si>
    <t>0  45997  45230  50837  56436  52557</t>
  </si>
  <si>
    <t>1242  64871  6120</t>
  </si>
  <si>
    <t>3  62225  61101  61095  -1326 -53535</t>
  </si>
  <si>
    <t>6      0   1110      0      0      0</t>
  </si>
  <si>
    <t>0      0  -107</t>
  </si>
  <si>
    <t>0 -73283    279     48   -682   -125</t>
  </si>
  <si>
    <t>0   1586</t>
  </si>
  <si>
    <t>0      0      0   -110      0      0</t>
  </si>
  <si>
    <t>0   -176</t>
  </si>
  <si>
    <t>0097      0    17</t>
  </si>
  <si>
    <t>4      0      0      0      0   -535</t>
  </si>
  <si>
    <t>0      0    83</t>
  </si>
  <si>
    <t>5   -204      0    149   -307     36</t>
  </si>
  <si>
    <t>37     79</t>
  </si>
  <si>
    <t>0      0      0      0    201    901</t>
  </si>
  <si>
    <t>7360   -285   -35</t>
  </si>
  <si>
    <t>9   -126      0    371   -697  -1009</t>
  </si>
  <si>
    <t>360   3601    64</t>
  </si>
  <si>
    <t>9      0      0    -67   -665      0</t>
  </si>
  <si>
    <t>504   -359</t>
  </si>
  <si>
    <t>0      0      0      0    601   1559</t>
  </si>
  <si>
    <t>9294   -201    -4</t>
  </si>
  <si>
    <t>7     71    269    278   -269      0</t>
  </si>
  <si>
    <t>0   4243   103</t>
  </si>
  <si>
    <t>9      0    345      0      0   -264</t>
  </si>
  <si>
    <t>1006   -175</t>
  </si>
  <si>
    <t>0      0      0      0   1068   1286</t>
  </si>
  <si>
    <t>6301    236</t>
  </si>
  <si>
    <t>0      0      0   -172   -561   -195</t>
  </si>
  <si>
    <t>0   5618</t>
  </si>
  <si>
    <t>0      0   -116      0  -1064      0</t>
  </si>
  <si>
    <t>0      0      0      0   2524    443</t>
  </si>
  <si>
    <t>4401      0</t>
  </si>
  <si>
    <t>0      0      0      0  -4448  -2080</t>
  </si>
  <si>
    <t>212    870   192</t>
  </si>
  <si>
    <t>5      0      0      0  -2785      0</t>
  </si>
  <si>
    <t>0  -1103</t>
  </si>
  <si>
    <t>0      0      0      0   2046  -1225</t>
  </si>
  <si>
    <t>536    851    15</t>
  </si>
  <si>
    <t>0     57   1650      0      0      0</t>
  </si>
  <si>
    <t>7   -273   1373      9   1543    -30</t>
  </si>
  <si>
    <t>392      0     8</t>
  </si>
  <si>
    <t>3    788      0      0      0      0</t>
  </si>
  <si>
    <t>2384      0</t>
  </si>
  <si>
    <t>0      0      0      0  -1227      0</t>
  </si>
  <si>
    <t>0   2921     1</t>
  </si>
  <si>
    <t>4      0    320   1530   1936  -1316</t>
  </si>
  <si>
    <t>4    602   1773   1709   -131  -1758</t>
  </si>
  <si>
    <t>905   1006  -136</t>
  </si>
  <si>
    <t>8    -36   1856    653  -1701     -2</t>
  </si>
  <si>
    <t>1565    158    99</t>
  </si>
  <si>
    <t>1   1065    348    569   1176   1102</t>
  </si>
  <si>
    <t>3   -399  -1012   -742   -718   -415</t>
  </si>
  <si>
    <t>494    381    36</t>
  </si>
  <si>
    <t>6   1087    947    698   1019    748</t>
  </si>
  <si>
    <t>6873  58786  5913</t>
  </si>
  <si>
    <t>1  58704  24711  44488  43523  48179</t>
  </si>
  <si>
    <t>3133  51112  5110</t>
  </si>
  <si>
    <t>6  62899  61129  62023  60841  60392</t>
  </si>
  <si>
    <t>2331   -618   -15</t>
  </si>
  <si>
    <t>0      0      0    -11      0    927</t>
  </si>
  <si>
    <t>0     -7   -37</t>
  </si>
  <si>
    <t>0   -287    91</t>
  </si>
  <si>
    <t>1      0      0   -904 -71489    230</t>
  </si>
  <si>
    <t>-107      0</t>
  </si>
  <si>
    <t>0      0   1319      0      0      0</t>
  </si>
  <si>
    <t>0      0   -144      0      0      0</t>
  </si>
  <si>
    <t>0      0  -152</t>
  </si>
  <si>
    <t>1 -79307      0    131      0      0</t>
  </si>
  <si>
    <t>7      0      0    684   -156      0</t>
  </si>
  <si>
    <t>15   -168   -24</t>
  </si>
  <si>
    <t>3      7     55      0      0      0</t>
  </si>
  <si>
    <t>814    388  -274</t>
  </si>
  <si>
    <t>0 -86252   -251   -332   -123      0</t>
  </si>
  <si>
    <t>-870     14     2</t>
  </si>
  <si>
    <t>6    298   2997    548      0      0</t>
  </si>
  <si>
    <t>0   -575    15</t>
  </si>
  <si>
    <t>8    417   -319      0      0      0</t>
  </si>
  <si>
    <t>1366      0  -301</t>
  </si>
  <si>
    <t>0 -88126   -168    -66     53    255</t>
  </si>
  <si>
    <t>0      0   3537    878      0    309</t>
  </si>
  <si>
    <t>-219      0    40</t>
  </si>
  <si>
    <t>8    844   -145      0      0      0</t>
  </si>
  <si>
    <t>1143      0  -245</t>
  </si>
  <si>
    <t>1 -85818    282      0      0      0</t>
  </si>
  <si>
    <t>3      0   4835      0      0   -116</t>
  </si>
  <si>
    <t>0  -2399</t>
  </si>
  <si>
    <t>396      0   -12</t>
  </si>
  <si>
    <t>0 -93807      0      0      0      0</t>
  </si>
  <si>
    <t>1867  -1639   -56</t>
  </si>
  <si>
    <t>0    188    526   1745      0      0</t>
  </si>
  <si>
    <t>0  -2236</t>
  </si>
  <si>
    <t>0      0   -980      0      0      0</t>
  </si>
  <si>
    <t>1113   1659    72</t>
  </si>
  <si>
    <t>7    489    754    132     25   1430</t>
  </si>
  <si>
    <t>0      0      0   -371   -240   1271</t>
  </si>
  <si>
    <t>0    355      0     89    536      0</t>
  </si>
  <si>
    <t>0      0  -140</t>
  </si>
  <si>
    <t>4  -2277      0      0      0      0</t>
  </si>
  <si>
    <t>0      0   2457     -1      0    245</t>
  </si>
  <si>
    <t>1129   2206  -390</t>
  </si>
  <si>
    <t>2      0      0    605    599   1482</t>
  </si>
  <si>
    <t>1211      0    21</t>
  </si>
  <si>
    <t>4    787    861  -1104      4   1626</t>
  </si>
  <si>
    <t>40    862   222</t>
  </si>
  <si>
    <t>5  -1287    159    903    920    364</t>
  </si>
  <si>
    <t>954  -1473    17</t>
  </si>
  <si>
    <t>6   -273   -196   -198   -378   -944</t>
  </si>
  <si>
    <t>-396   -106    63</t>
  </si>
  <si>
    <t>7    430    322    323    979    792</t>
  </si>
  <si>
    <t>645    830  4485</t>
  </si>
  <si>
    <t>4  51812  53399  53668  53631  22547</t>
  </si>
  <si>
    <t>3413  49660  4815</t>
  </si>
  <si>
    <t>4  48884  47482  47337  57756  56062</t>
  </si>
  <si>
    <t>5532  95926  9846</t>
  </si>
  <si>
    <t>9   -306 -52422  -1015   -214      0</t>
  </si>
  <si>
    <t>0   1525</t>
  </si>
  <si>
    <t>0      0      0    -41   -628      0</t>
  </si>
  <si>
    <t>0      0      0    -66   1632      0</t>
  </si>
  <si>
    <t>1930    407   -21</t>
  </si>
  <si>
    <t>6  -1113   -165      0      0      0</t>
  </si>
  <si>
    <t>0      0      0      0  -2166 -73853</t>
  </si>
  <si>
    <t>0      0   -673  -1124   -563      0</t>
  </si>
  <si>
    <t>-319      0    29</t>
  </si>
  <si>
    <t>5   -105    178    -23   -216    180</t>
  </si>
  <si>
    <t>0    253   1451    698  -4520 -80946</t>
  </si>
  <si>
    <t>-38      0    16</t>
  </si>
  <si>
    <t>2  -1065  -1313   -123    -46    307</t>
  </si>
  <si>
    <t>6   -780      0   -650    478    708</t>
  </si>
  <si>
    <t>0    691   3109      0  -4904 -82727</t>
  </si>
  <si>
    <t>154    354     6</t>
  </si>
  <si>
    <t>4   -507      0   -301      0      0</t>
  </si>
  <si>
    <t>0    476</t>
  </si>
  <si>
    <t>0      0   -359      0    752   1298</t>
  </si>
  <si>
    <t>0   1267   2786      0  -3132 -78847</t>
  </si>
  <si>
    <t>0      0   -56</t>
  </si>
  <si>
    <t>6  -1356   -640  -1961  -1207      0</t>
  </si>
  <si>
    <t>0    -71</t>
  </si>
  <si>
    <t>0  -1214      0  -2652      0      0</t>
  </si>
  <si>
    <t>0   2609   1499      0  -2425 -91159</t>
  </si>
  <si>
    <t>0  -4021  -1625  -1085    299   1503</t>
  </si>
  <si>
    <t>0  -2778      0  -2414      0      0</t>
  </si>
  <si>
    <t>0   2300    550   3603   1360    508</t>
  </si>
  <si>
    <t>397   1450</t>
  </si>
  <si>
    <t>-465   1128   -24</t>
  </si>
  <si>
    <t>2   1466   -157      0      0    437</t>
  </si>
  <si>
    <t>4652      0</t>
  </si>
  <si>
    <t>0      0      0      0   -844  -1167</t>
  </si>
  <si>
    <t>0   -672      0      0      0      0</t>
  </si>
  <si>
    <t>0  -3827  -416</t>
  </si>
  <si>
    <t>1  -4028  -7471     86  -6047      0</t>
  </si>
  <si>
    <t>3218  -3182  -335</t>
  </si>
  <si>
    <t>6  -5176  -4019      0  -4752  -6096</t>
  </si>
  <si>
    <t>4388  -4420  -870</t>
  </si>
  <si>
    <t>9  -8874  -4600  -7956  -4585  -9114</t>
  </si>
  <si>
    <t>6348  -5507  -565</t>
  </si>
  <si>
    <t>7  -8308  -9662 -11091    545   1031</t>
  </si>
  <si>
    <t>694   -223   -31</t>
  </si>
  <si>
    <t>9    -59    353    419   1627   1952</t>
  </si>
  <si>
    <t>2822   2553   190</t>
  </si>
  <si>
    <t>1   2739   2016   2712  49765  57420</t>
  </si>
  <si>
    <t>9485  25005  4520</t>
  </si>
  <si>
    <t>8  44455  49987  55944  51504  52447</t>
  </si>
  <si>
    <t>3620  59848  6079</t>
  </si>
  <si>
    <t>4  59577  59730  97126  96452  93864</t>
  </si>
  <si>
    <t>0      0     -3      0   1131      0</t>
  </si>
  <si>
    <t>-141   1211</t>
  </si>
  <si>
    <t>0      0   -482 -72579    321    -42</t>
  </si>
  <si>
    <t>0   1647      0      0      0   -125</t>
  </si>
  <si>
    <t>0   -182      0      0      0      0</t>
  </si>
  <si>
    <t>0  -1700 -7547</t>
  </si>
  <si>
    <t>8      0    168      0      0      0</t>
  </si>
  <si>
    <t>0      0    887   -203      0    214</t>
  </si>
  <si>
    <t>-125   -332     3</t>
  </si>
  <si>
    <t>0     68      0      0      0      0</t>
  </si>
  <si>
    <t>550  -3560 -8229</t>
  </si>
  <si>
    <t>0   -335   -241    -89      0    277</t>
  </si>
  <si>
    <t>-53    -39    19</t>
  </si>
  <si>
    <t>6   4122    545      0      0   -111</t>
  </si>
  <si>
    <t>-605    247    51</t>
  </si>
  <si>
    <t>8   -333      0      0      0      0</t>
  </si>
  <si>
    <t>0  -3897 -8414</t>
  </si>
  <si>
    <t>0   -255     54    111    301    194</t>
  </si>
  <si>
    <t>-201      0</t>
  </si>
  <si>
    <t>0   4687    977      0    392      0</t>
  </si>
  <si>
    <t>0    519   100</t>
  </si>
  <si>
    <t>0  -2555 -8054</t>
  </si>
  <si>
    <t>7    216      0      0      0   -255</t>
  </si>
  <si>
    <t>1950  -1170</t>
  </si>
  <si>
    <t>0   5885      0      0    -98      0</t>
  </si>
  <si>
    <t>2542      0</t>
  </si>
  <si>
    <t>0  -1732 -9417</t>
  </si>
  <si>
    <t>-811    556   175</t>
  </si>
  <si>
    <t>3   3108   2854      0      0      0</t>
  </si>
  <si>
    <t>2408      0</t>
  </si>
  <si>
    <t>0   -712      0      0      0      0</t>
  </si>
  <si>
    <t>3411   1209    62</t>
  </si>
  <si>
    <t>0   1031     54    410   1317      0</t>
  </si>
  <si>
    <t>0      0   -594   -414   1128   -179</t>
  </si>
  <si>
    <t>7      0   1030  -2888      0      0</t>
  </si>
  <si>
    <t>0  -1332  -273</t>
  </si>
  <si>
    <t>0   2785     16      0  -5425  -6806</t>
  </si>
  <si>
    <t>1810  -4638</t>
  </si>
  <si>
    <t>0      0    725  -4027  -4946  -4998</t>
  </si>
  <si>
    <t>0  -5732  -747</t>
  </si>
  <si>
    <t>4  -7742  -8656  -5151  -5706  -9637</t>
  </si>
  <si>
    <t>9271  -5847 -1061</t>
  </si>
  <si>
    <t>2  -4171  -6987  -7179  -6837  -6646</t>
  </si>
  <si>
    <t>2901   -250    23</t>
  </si>
  <si>
    <t>0    269    294    -34  -1123   -680</t>
  </si>
  <si>
    <t>-318    679   133</t>
  </si>
  <si>
    <t>3   1252   1054   2110   1780   1346</t>
  </si>
  <si>
    <t>1885  48296  5574</t>
  </si>
  <si>
    <t>0  57775  58206  57929  24173  43645</t>
  </si>
  <si>
    <t>4467  51235  5198</t>
  </si>
  <si>
    <t>5  49908  49667  61678  59820  60691</t>
  </si>
  <si>
    <t>6624  97642  9654</t>
  </si>
  <si>
    <t>7  97917    -47 -51937   -730   -129</t>
  </si>
  <si>
    <t>2      0    96</t>
  </si>
  <si>
    <t>1      0      0      0     -9   -418</t>
  </si>
  <si>
    <t>0      0      0      0   -140   1044</t>
  </si>
  <si>
    <t>-402 -71029    28</t>
  </si>
  <si>
    <t>4    -14   -450   -108      0      0</t>
  </si>
  <si>
    <t>0   -108      0      0      0      0</t>
  </si>
  <si>
    <t>0      0      0      0      0  -1326</t>
  </si>
  <si>
    <t>166      0</t>
  </si>
  <si>
    <t>0      0      0   -622   -732   -335</t>
  </si>
  <si>
    <t>774   -168</t>
  </si>
  <si>
    <t>0    194   -233     54   -168   -352</t>
  </si>
  <si>
    <t>0      0     68   1043    492  -3010</t>
  </si>
  <si>
    <t>0    207   -430   -981    -66    -70</t>
  </si>
  <si>
    <t>447      0</t>
  </si>
  <si>
    <t>0    -36   -594      0   -574    150</t>
  </si>
  <si>
    <t>0      0    477   2138      0  -3335</t>
  </si>
  <si>
    <t>-19     84    31</t>
  </si>
  <si>
    <t>2    168     42      0   -180      0</t>
  </si>
  <si>
    <t>819      0    33</t>
  </si>
  <si>
    <t>7      0      0   -230      0    403</t>
  </si>
  <si>
    <t>0      0    839   1926      0  -2189</t>
  </si>
  <si>
    <t>0   -225   -208   -178  -1835  -1089</t>
  </si>
  <si>
    <t>6      0   -945      0  -2398      0</t>
  </si>
  <si>
    <t>0      0   2151    958      0  -1583</t>
  </si>
  <si>
    <t>0      0  -2952  -1055   -506    814</t>
  </si>
  <si>
    <t>3016      0</t>
  </si>
  <si>
    <t>0      0  -2460      0  -2314      0</t>
  </si>
  <si>
    <t>0      0   2033    -73   3524   1197</t>
  </si>
  <si>
    <t>69    456   125</t>
  </si>
  <si>
    <t>-510   -400   109</t>
  </si>
  <si>
    <t>7   -136   1592     98      0      0</t>
  </si>
  <si>
    <t>848  -2292</t>
  </si>
  <si>
    <t>0      0      0      0      0  -1227</t>
  </si>
  <si>
    <t>0      0  -1188      0      0      0</t>
  </si>
  <si>
    <t>-18      0  -660</t>
  </si>
  <si>
    <t>8  -8322  -8136 -11603   1900  -3995</t>
  </si>
  <si>
    <t>686  -4931  -611</t>
  </si>
  <si>
    <t>7  -6051  -8389  -1065      0  -6855</t>
  </si>
  <si>
    <t>0277  -6179  -685</t>
  </si>
  <si>
    <t>2 -10746 -11948  -6391 -10544  -7033</t>
  </si>
  <si>
    <t>8085  -8168  -812</t>
  </si>
  <si>
    <t>7  -7912 -11485 -12069 -14673   -544</t>
  </si>
  <si>
    <t>0   -827  -1081   -733   -584    249</t>
  </si>
  <si>
    <t>833   1732   141</t>
  </si>
  <si>
    <t>5   1071   1528   1131   1477  44785</t>
  </si>
  <si>
    <t>3834  54000  2238</t>
  </si>
  <si>
    <t>2  40444  39713  43713  50728  47640</t>
  </si>
  <si>
    <t>6524  57407  5566</t>
  </si>
  <si>
    <t>5  56708  55341  55433  94139  96329</t>
  </si>
  <si>
    <t>8270    601 -4780</t>
  </si>
  <si>
    <t>1  -1017   -241      0      0    -21</t>
  </si>
  <si>
    <t>0     19   -465      0      0      0</t>
  </si>
  <si>
    <t>0   -508   1258      0      0   -168</t>
  </si>
  <si>
    <t>4      0      0      0   1596      0</t>
  </si>
  <si>
    <t>-83      0</t>
  </si>
  <si>
    <t>0      0      0      0   -175      0</t>
  </si>
  <si>
    <t>0      0  -1684 -64353      0   -107</t>
  </si>
  <si>
    <t>0      0    73</t>
  </si>
  <si>
    <t>8   -676   -408      0      0    722</t>
  </si>
  <si>
    <t>6   -213   -183      2   -116      0</t>
  </si>
  <si>
    <t>0     37  -103</t>
  </si>
  <si>
    <t>6    665  -1671 -70360   -454   -645</t>
  </si>
  <si>
    <t>54   -437   -52</t>
  </si>
  <si>
    <t>8   -138    -50    210   4800    708</t>
  </si>
  <si>
    <t>0   -711    366    679   -409      0</t>
  </si>
  <si>
    <t>0    655  -222</t>
  </si>
  <si>
    <t>0      0  -1852 -71848   -335    -71</t>
  </si>
  <si>
    <t>20   -714</t>
  </si>
  <si>
    <t>0   -525      0      0   5668   1112</t>
  </si>
  <si>
    <t>0      0   -42</t>
  </si>
  <si>
    <t>6      0    696   1338    -77      0</t>
  </si>
  <si>
    <t>0   1113  -268</t>
  </si>
  <si>
    <t>9      0  -4475 -68122   -169      0</t>
  </si>
  <si>
    <t>6  -1475  -1071      0   5998      0</t>
  </si>
  <si>
    <t>0  -1202</t>
  </si>
  <si>
    <t>0  -2441      0      0      0      0</t>
  </si>
  <si>
    <t>0   2203  -267</t>
  </si>
  <si>
    <t>6      0   -622 -83597      0      0</t>
  </si>
  <si>
    <t>0  -3201   -63</t>
  </si>
  <si>
    <t>7    -84    910   2584   3447   4155</t>
  </si>
  <si>
    <t>0  -2520</t>
  </si>
  <si>
    <t>0  -2387      0      0   -352      0</t>
  </si>
  <si>
    <t>0   2086  -583</t>
  </si>
  <si>
    <t>7   5071   2481   2317   2776   1140</t>
  </si>
  <si>
    <t>0      0      0      0      0    117</t>
  </si>
  <si>
    <t>219   2231     7</t>
  </si>
  <si>
    <t>6      0      0    988      0  -2180</t>
  </si>
  <si>
    <t>0      0   -622  -1183      0      0</t>
  </si>
  <si>
    <t>0   -468</t>
  </si>
  <si>
    <t>0      0      0      0   3229     34</t>
  </si>
  <si>
    <t>0785 -11030 -1335</t>
  </si>
  <si>
    <t>8   -337  -5067      0      0    420</t>
  </si>
  <si>
    <t>8595 -10135  -312</t>
  </si>
  <si>
    <t>1      0  -9195 -12579 -13533 -12367</t>
  </si>
  <si>
    <t>6598 -14752  -845</t>
  </si>
  <si>
    <t>8 -15541 -11508 -15348  -6566 -12028</t>
  </si>
  <si>
    <t>0843 -16647 -1819</t>
  </si>
  <si>
    <t>5 -18096  -6487 -10906 -12938 -13844</t>
  </si>
  <si>
    <t>8226 -11158 -1064</t>
  </si>
  <si>
    <t>0  -7985 -11727  -6888  -7110  -4908</t>
  </si>
  <si>
    <t>5472  -7833  -556</t>
  </si>
  <si>
    <t>0  -7945  45170  52044  54368  54823</t>
  </si>
  <si>
    <t>1051  40417  4546</t>
  </si>
  <si>
    <t>4  51300  46746  47441  44624  44684</t>
  </si>
  <si>
    <t>4957  53670  5397</t>
  </si>
  <si>
    <t>3  87945  87311  84955  91009  90866</t>
  </si>
  <si>
    <t>9360   -852   -16</t>
  </si>
  <si>
    <t>1      0      0     -6      0    988</t>
  </si>
  <si>
    <t>0     16   -39</t>
  </si>
  <si>
    <t>0   -396   101</t>
  </si>
  <si>
    <t>9      0      0   -216 -67606    303</t>
  </si>
  <si>
    <t>-88      0</t>
  </si>
  <si>
    <t>0      0   1216      0      0      0</t>
  </si>
  <si>
    <t>0      0   -143      0      0      0</t>
  </si>
  <si>
    <t>0      0  -108</t>
  </si>
  <si>
    <t>2 -66586      0    -67      0      0</t>
  </si>
  <si>
    <t>174   -574   -30</t>
  </si>
  <si>
    <t>2      0      0    549   -114      0</t>
  </si>
  <si>
    <t>6   -108    -98      0      0      0</t>
  </si>
  <si>
    <t>-388    517  -168</t>
  </si>
  <si>
    <t>1 -72493   -333   -488   -302      0</t>
  </si>
  <si>
    <t>5     86   4160    592      0      0</t>
  </si>
  <si>
    <t>0   -593    14</t>
  </si>
  <si>
    <t>2    513   -335      0      0      0</t>
  </si>
  <si>
    <t>-921      0  -187</t>
  </si>
  <si>
    <t>7 -74312   -203     -7    -15     23</t>
  </si>
  <si>
    <t>0      0   4840    926      0    209</t>
  </si>
  <si>
    <t>-344      0    47</t>
  </si>
  <si>
    <t>4   1019   -106      0      0      0</t>
  </si>
  <si>
    <t>1284      0  -325</t>
  </si>
  <si>
    <t>2 -70469     58      0      0      0</t>
  </si>
  <si>
    <t>0      0   5426      0      0   -146</t>
  </si>
  <si>
    <t>0  -2351</t>
  </si>
  <si>
    <t>1524      0  -101</t>
  </si>
  <si>
    <t>4 -88455      0      0      0      0</t>
  </si>
  <si>
    <t>-374    249   142</t>
  </si>
  <si>
    <t>0   3066   3783   4266      0      0</t>
  </si>
  <si>
    <t>0  -2349</t>
  </si>
  <si>
    <t>0      0   -146      0      0      0</t>
  </si>
  <si>
    <t>3921   5064   211</t>
  </si>
  <si>
    <t>3   1977   2349    776    921   2686</t>
  </si>
  <si>
    <t>0      0      0      9    -44   1596</t>
  </si>
  <si>
    <t>46      0</t>
  </si>
  <si>
    <t>0    940      0  -1311   6881      0</t>
  </si>
  <si>
    <t>0      0  -102</t>
  </si>
  <si>
    <t>1  -2811      0      0      0      0</t>
  </si>
  <si>
    <t>0      0   2583    -61      0 -10603</t>
  </si>
  <si>
    <t>7341    990  -405</t>
  </si>
  <si>
    <t>4      0      0    609  -8479 -11526</t>
  </si>
  <si>
    <t>1509      0 -1135</t>
  </si>
  <si>
    <t>7 -15858 -16248 -15533 -10134 -13038</t>
  </si>
  <si>
    <t>0593 -18941 -1387</t>
  </si>
  <si>
    <t>2 -18753  -8244 -14766 -15077 -13463</t>
  </si>
  <si>
    <t>1166 -21993  -496</t>
  </si>
  <si>
    <t>3  -7535  -8714  -9298  -7789 -12115</t>
  </si>
  <si>
    <t>7556  -5898  -812</t>
  </si>
  <si>
    <t>5  -4565  -4719  -3300  -4731  -4655</t>
  </si>
  <si>
    <t>3287  -4797  4457</t>
  </si>
  <si>
    <t>0  51310  53357  53878  53807  22212</t>
  </si>
  <si>
    <t>4036  51076  4731</t>
  </si>
  <si>
    <t>0  47959  45917  45463  57029  55196</t>
  </si>
  <si>
    <t>4851  89288  9020</t>
  </si>
  <si>
    <t>1  89196  92818  94499  94064  92329</t>
  </si>
  <si>
    <t>0      0    302      0  13849      0</t>
  </si>
  <si>
    <t>157   -249</t>
  </si>
  <si>
    <t>-857    385</t>
  </si>
  <si>
    <t>0      0  -4740     15     65   -149</t>
  </si>
  <si>
    <t>0   9277      0      0      0    -78</t>
  </si>
  <si>
    <t>0    688      0      0      0      0</t>
  </si>
  <si>
    <t>0 -18472   -88</t>
  </si>
  <si>
    <t>2      0    875      0      0      0</t>
  </si>
  <si>
    <t>2892   1725</t>
  </si>
  <si>
    <t>0      0  -2101    403      0    -62</t>
  </si>
  <si>
    <t>274   1736   166</t>
  </si>
  <si>
    <t>9    713      0      0      0      0</t>
  </si>
  <si>
    <t>415  -1615   467</t>
  </si>
  <si>
    <t>0   -905  -1587   -895      0   -340</t>
  </si>
  <si>
    <t>4 -34897   -440      0      0    332</t>
  </si>
  <si>
    <t>664  -1246   -67</t>
  </si>
  <si>
    <t>3    -99      0      0      0      0</t>
  </si>
  <si>
    <t>0   -473   467</t>
  </si>
  <si>
    <t>8   -722  -1500   -425    329   -393</t>
  </si>
  <si>
    <t>0 -36035   -139      0    452      0</t>
  </si>
  <si>
    <t>0   -853   -21</t>
  </si>
  <si>
    <t>1   -584      0      0      0      0</t>
  </si>
  <si>
    <t>0   2230   271</t>
  </si>
  <si>
    <t>5    -13      0      0      0    132</t>
  </si>
  <si>
    <t>0 -23326      0      0    203      0</t>
  </si>
  <si>
    <t>0  -6134   387</t>
  </si>
  <si>
    <t>1191   3686   447</t>
  </si>
  <si>
    <t>4 -42967   1029      0      0      0</t>
  </si>
  <si>
    <t>1660      0</t>
  </si>
  <si>
    <t>0   2197      0      0      0      0</t>
  </si>
  <si>
    <t>6470   4806   617</t>
  </si>
  <si>
    <t>4   4901   1456   5037  -3606      0</t>
  </si>
  <si>
    <t>0      0  -1149   -144   -954    361</t>
  </si>
  <si>
    <t>5      0   9332  -5874      0      0</t>
  </si>
  <si>
    <t>0   -620   -73</t>
  </si>
  <si>
    <t>0   1354   1303      0    646   2543</t>
  </si>
  <si>
    <t>765   -270</t>
  </si>
  <si>
    <t>0      0   2130   2093    -78   -770</t>
  </si>
  <si>
    <t>0   2086   270</t>
  </si>
  <si>
    <t>0   3253   2812   1429 -10287   3463</t>
  </si>
  <si>
    <t>2922 -11351   357</t>
  </si>
  <si>
    <t>0    932   1713   2076  -4388   1257</t>
  </si>
  <si>
    <t>3418    280    77</t>
  </si>
  <si>
    <t>4    610   1123   1219  -1707  -1959</t>
  </si>
  <si>
    <t>1308   1488   420</t>
  </si>
  <si>
    <t>7   4206   2269   5066   3712   1758</t>
  </si>
  <si>
    <t>4530  -1694  -181</t>
  </si>
  <si>
    <t>7  -2108  -2223  -1403   -440  -1175</t>
  </si>
  <si>
    <t>-640    670   103</t>
  </si>
  <si>
    <t>9    738   1494    570   -225   1230</t>
  </si>
  <si>
    <t>2935  -2125  -172</t>
  </si>
  <si>
    <t>0  -3785  -3185  -3043  -4445  -4136</t>
  </si>
  <si>
    <t>-741    101</t>
  </si>
  <si>
    <t>0      0    143      0   -210      0</t>
  </si>
  <si>
    <t>-286    202</t>
  </si>
  <si>
    <t>0      0   -559    -31    444    102</t>
  </si>
  <si>
    <t>0     30      0      0      0    -74</t>
  </si>
  <si>
    <t>0   -775    -7</t>
  </si>
  <si>
    <t>7      0    286      0      0      0</t>
  </si>
  <si>
    <t>167   -138</t>
  </si>
  <si>
    <t>0      0     99     62      0    178</t>
  </si>
  <si>
    <t>281    -80    -6</t>
  </si>
  <si>
    <t>6     40      0      0      0      0</t>
  </si>
  <si>
    <t>4   -801   1971   1698      0    464</t>
  </si>
  <si>
    <t>4   -258    449      0      0    126</t>
  </si>
  <si>
    <t>366    634    16</t>
  </si>
  <si>
    <t>6     42      0      0      0      0</t>
  </si>
  <si>
    <t>0  -1178   -59</t>
  </si>
  <si>
    <t>2   -870   1775   1935   1650    227</t>
  </si>
  <si>
    <t>0    -32   -400      0   -243      0</t>
  </si>
  <si>
    <t>0   -265   -40</t>
  </si>
  <si>
    <t>7   -356      0      0      0      0</t>
  </si>
  <si>
    <t>0   -946   -27</t>
  </si>
  <si>
    <t>2   -705      0      0      0     -3</t>
  </si>
  <si>
    <t>328    131</t>
  </si>
  <si>
    <t>0     40      0      0    153      0</t>
  </si>
  <si>
    <t>0    -72    -1</t>
  </si>
  <si>
    <t>9    267    131      0      0      0</t>
  </si>
  <si>
    <t>0    -62      0      0      0      0</t>
  </si>
  <si>
    <t>287   1073  -175</t>
  </si>
  <si>
    <t>2  -1544  -1164    -64   -268      0</t>
  </si>
  <si>
    <t>0      0    278    103   -976    132</t>
  </si>
  <si>
    <t>0      0 -4228</t>
  </si>
  <si>
    <t>6      0   -672   1257      0      0</t>
  </si>
  <si>
    <t>0   -139   -17</t>
  </si>
  <si>
    <t>0     30     28      0    504   1863</t>
  </si>
  <si>
    <t>891  -2231</t>
  </si>
  <si>
    <t>0      0     74    615    849    716</t>
  </si>
  <si>
    <t>0    -59    50</t>
  </si>
  <si>
    <t>3    508    157    137   1110    608</t>
  </si>
  <si>
    <t>696   1044    24</t>
  </si>
  <si>
    <t>4    123    703    618    302     88</t>
  </si>
  <si>
    <t>223   -254    36</t>
  </si>
  <si>
    <t>9    579    679     33  -1102   -480</t>
  </si>
  <si>
    <t>183   -356   107</t>
  </si>
  <si>
    <t>9   1119    762     50   1254   1022</t>
  </si>
  <si>
    <t>216    -77    -1</t>
  </si>
  <si>
    <t>6    -50    -74   -232    192    132</t>
  </si>
  <si>
    <t>1    -58   -102     31     18    149</t>
  </si>
  <si>
    <t>204    115     9</t>
  </si>
  <si>
    <t>1    252     97     15    113     34</t>
  </si>
  <si>
    <t>1   -242    17</t>
  </si>
  <si>
    <t>2      0      0   2145      0   -330</t>
  </si>
  <si>
    <t>0    -58  -108</t>
  </si>
  <si>
    <t>0    968   226</t>
  </si>
  <si>
    <t>2      0      0    348    362   1571</t>
  </si>
  <si>
    <t>0      0  -1194      0      0      0</t>
  </si>
  <si>
    <t>0      0    570      0      0      0</t>
  </si>
  <si>
    <t>0    251      0    390      0      0</t>
  </si>
  <si>
    <t>2962  -1099   -56</t>
  </si>
  <si>
    <t>6      0      0   -699    295      0</t>
  </si>
  <si>
    <t>270   -130   -46</t>
  </si>
  <si>
    <t>1   -350    449      0      0      0</t>
  </si>
  <si>
    <t>3373     87   410</t>
  </si>
  <si>
    <t>8    705    227    404    350      0</t>
  </si>
  <si>
    <t>1909  -2449  -126</t>
  </si>
  <si>
    <t>3    -61  -1322  -1990      0      0</t>
  </si>
  <si>
    <t>0    -65   -42</t>
  </si>
  <si>
    <t>8   -237    567      0      0      0</t>
  </si>
  <si>
    <t>1347      0    -3</t>
  </si>
  <si>
    <t>1    451    404   1021    785     87</t>
  </si>
  <si>
    <t>0  -2340</t>
  </si>
  <si>
    <t>0      0  -1216  -2229      0    122</t>
  </si>
  <si>
    <t>203      0   -22</t>
  </si>
  <si>
    <t>0   -235    999      0      0      0</t>
  </si>
  <si>
    <t>2598      0   497</t>
  </si>
  <si>
    <t>5    305    -21      0      0      0</t>
  </si>
  <si>
    <t>3      0   -903      0      0     22</t>
  </si>
  <si>
    <t>0   -280</t>
  </si>
  <si>
    <t>3445      0   304</t>
  </si>
  <si>
    <t>7    690      0      0      0      0</t>
  </si>
  <si>
    <t>3171  -1522  -153</t>
  </si>
  <si>
    <t>5    784  -2270  -3535      0      0</t>
  </si>
  <si>
    <t>0      0   2016      0      0      0</t>
  </si>
  <si>
    <t>867   -320    44</t>
  </si>
  <si>
    <t>7   -719   -548   -236   2135   7100</t>
  </si>
  <si>
    <t>0      0      0   -709   -179    866</t>
  </si>
  <si>
    <t>1177      0</t>
  </si>
  <si>
    <t>0     43      0 -14564   3598      0</t>
  </si>
  <si>
    <t>0      0   -69</t>
  </si>
  <si>
    <t>4  -3080      0      0      0      0</t>
  </si>
  <si>
    <t>0      0    736    362      0   -646</t>
  </si>
  <si>
    <t>165   2368  -180</t>
  </si>
  <si>
    <t>2      0      0    377    775     26</t>
  </si>
  <si>
    <t>801      0   -10</t>
  </si>
  <si>
    <t>6   -157   -161   -167    343   -734</t>
  </si>
  <si>
    <t>455    318   -15</t>
  </si>
  <si>
    <t>7    177    435    337    411    121</t>
  </si>
  <si>
    <t>261     23     2</t>
  </si>
  <si>
    <t>6   -366   -314   -342    604   -496</t>
  </si>
  <si>
    <t>-210    414   -63</t>
  </si>
  <si>
    <t>4  -3487  -3304  -2164  -4512  -3378</t>
  </si>
  <si>
    <t>1950  -3806   -38</t>
  </si>
  <si>
    <t>1   -415   -460   -484   -493    -25</t>
  </si>
  <si>
    <t>-667      9    -7</t>
  </si>
  <si>
    <t>4   -103     89    -80   -189   -102</t>
  </si>
  <si>
    <t>3   -642  -1272   -951   -843  -1085</t>
  </si>
  <si>
    <t>3    -28   -401      0      0   -427</t>
  </si>
  <si>
    <t>0    -19    274      0      0      0</t>
  </si>
  <si>
    <t>0   -295   -381      0      0   -945</t>
  </si>
  <si>
    <t>65  14871    -1</t>
  </si>
  <si>
    <t>9      0      0      0   -674      0</t>
  </si>
  <si>
    <t>0      0      0      0   -218      0</t>
  </si>
  <si>
    <t>0      0   2779  -1765      0   1709</t>
  </si>
  <si>
    <t>0      0   432</t>
  </si>
  <si>
    <t>3   -137   -379      0      0   1915</t>
  </si>
  <si>
    <t>860   1568    47</t>
  </si>
  <si>
    <t>5   1067   1747   1873   1193      0</t>
  </si>
  <si>
    <t>0   1233  -403</t>
  </si>
  <si>
    <t>2   1147    918  -1005    510   1385</t>
  </si>
  <si>
    <t>1306 -16002    23</t>
  </si>
  <si>
    <t>3    258     98    582   1748    381</t>
  </si>
  <si>
    <t>0   -172  -1095     12   -304      0</t>
  </si>
  <si>
    <t>0    532   -75</t>
  </si>
  <si>
    <t>5      0   1261   -742      3    443</t>
  </si>
  <si>
    <t>0    260      0      0   1116    869</t>
  </si>
  <si>
    <t>2      0   -413    301   -251      0</t>
  </si>
  <si>
    <t>0    176   -13</t>
  </si>
  <si>
    <t>3      0    813   -702     18      0</t>
  </si>
  <si>
    <t>1    157    183      0    765      0</t>
  </si>
  <si>
    <t>0   -170</t>
  </si>
  <si>
    <t>0    -92      0      0      0      0</t>
  </si>
  <si>
    <t>0    256   161</t>
  </si>
  <si>
    <t>8      0   1898   -708      0      0</t>
  </si>
  <si>
    <t>0 -22838    34</t>
  </si>
  <si>
    <t>4    -43   -177    521   2981   1115</t>
  </si>
  <si>
    <t>0   -741</t>
  </si>
  <si>
    <t>0   -660      0      0  -1037      0</t>
  </si>
  <si>
    <t>0    599  -176</t>
  </si>
  <si>
    <t>7   -151   -726  -2647  -1249   3977</t>
  </si>
  <si>
    <t>0      0      0      0      0    472</t>
  </si>
  <si>
    <t>-99   -763   198</t>
  </si>
  <si>
    <t>3      0      0   -286      0   1589</t>
  </si>
  <si>
    <t>0      0    757  14840      0      0</t>
  </si>
  <si>
    <t>0      0      0      0    145    627</t>
  </si>
  <si>
    <t>524    158     6</t>
  </si>
  <si>
    <t>4  -1401   -207      0      0  -2216</t>
  </si>
  <si>
    <t>214  -1388   409</t>
  </si>
  <si>
    <t>6      0   2079    248    243    589</t>
  </si>
  <si>
    <t>-20    272    22</t>
  </si>
  <si>
    <t>8   -280   -266    100    182   -153</t>
  </si>
  <si>
    <t>261    194    32</t>
  </si>
  <si>
    <t>5    627    788   4062   5292   4725</t>
  </si>
  <si>
    <t>2316    435    17</t>
  </si>
  <si>
    <t>2   -810   1046   2960   2118   1387</t>
  </si>
  <si>
    <t>1418   4897    66</t>
  </si>
  <si>
    <t>6   3015    525    531    602    684</t>
  </si>
  <si>
    <t>176   1302   236</t>
  </si>
  <si>
    <t>7   1187    430    650    669    352</t>
  </si>
  <si>
    <t>253    429    10</t>
  </si>
  <si>
    <t>8   1450   1090    946   1589   1196</t>
  </si>
  <si>
    <t>233  -7335    66</t>
  </si>
  <si>
    <t>9 -20301   2838  -1083   -930   -102</t>
  </si>
  <si>
    <t>1432      0  -324</t>
  </si>
  <si>
    <t>9      0      0      0    287    821</t>
  </si>
  <si>
    <t>0      0      0      0   -323  -1473</t>
  </si>
  <si>
    <t>1014  -1890   -39</t>
  </si>
  <si>
    <t>4    604   -695   -328      0      0</t>
  </si>
  <si>
    <t>0    423      0      0      0      0</t>
  </si>
  <si>
    <t>0      0      0      0      0 -10892</t>
  </si>
  <si>
    <t>2378      0</t>
  </si>
  <si>
    <t>0      0      0   8905   1350    365</t>
  </si>
  <si>
    <t>-809     29</t>
  </si>
  <si>
    <t>0  -1177  -1119   -569   -635    -43</t>
  </si>
  <si>
    <t>0      0   -971 -15974    455 -10474</t>
  </si>
  <si>
    <t>2148  -1980</t>
  </si>
  <si>
    <t>0     25    608   4589   1656   1026</t>
  </si>
  <si>
    <t>1276      0</t>
  </si>
  <si>
    <t>0     -4    -46      0   -159    166</t>
  </si>
  <si>
    <t>0      0    610 -22406      0 -10104</t>
  </si>
  <si>
    <t>1465  -1637  -132</t>
  </si>
  <si>
    <t>6    203  -3049      0    781      0</t>
  </si>
  <si>
    <t>456      0   -26</t>
  </si>
  <si>
    <t>8      0      0     20      0     38</t>
  </si>
  <si>
    <t>0      0    138 -24618      0 -28014</t>
  </si>
  <si>
    <t>0     63    381   2507    215    387</t>
  </si>
  <si>
    <t>9      0      8      0    -54      0</t>
  </si>
  <si>
    <t>0      0    589 -11160      0 -15742</t>
  </si>
  <si>
    <t>0      0  -3104   2093    379   -658</t>
  </si>
  <si>
    <t>5025      0</t>
  </si>
  <si>
    <t>0      0  -1235      0   -296      0</t>
  </si>
  <si>
    <t>0      0   -120 -27017   1630   4053</t>
  </si>
  <si>
    <t>3172   -895   501</t>
  </si>
  <si>
    <t>1312    850    -4</t>
  </si>
  <si>
    <t>5    633    -14  -1971      0      0</t>
  </si>
  <si>
    <t>-230  14784</t>
  </si>
  <si>
    <t>0      0      0      0      0    650</t>
  </si>
  <si>
    <t>0      0    -30      0      0      0</t>
  </si>
  <si>
    <t>-606      0    13</t>
  </si>
  <si>
    <t>4   -890   -857   -432    460    917</t>
  </si>
  <si>
    <t>7    627   -561   1073      0   -503</t>
  </si>
  <si>
    <t>-600    559   316</t>
  </si>
  <si>
    <t>9    368   -165    586    480   3552</t>
  </si>
  <si>
    <t>-384    117   153</t>
  </si>
  <si>
    <t>7    778    141    163     -4  -6363</t>
  </si>
  <si>
    <t>3510 -16159 -1734</t>
  </si>
  <si>
    <t>0  -4699 -11335 -12338 -12370 -15387</t>
  </si>
  <si>
    <t>6997  30201  3096</t>
  </si>
  <si>
    <t>0  22940  35595  24013  37914   2180</t>
  </si>
  <si>
    <t>2795   1929    92</t>
  </si>
  <si>
    <t>1   1967   2109   2530   1627    519</t>
  </si>
  <si>
    <t>335    596    77</t>
  </si>
  <si>
    <t>4    667    708    497   2977   2504</t>
  </si>
  <si>
    <t>2109   1770   740</t>
  </si>
  <si>
    <t>8   5045 -38413    219 -62869   8312</t>
  </si>
  <si>
    <t>0      0   -352      0 -14520      0</t>
  </si>
  <si>
    <t>2590    732</t>
  </si>
  <si>
    <t>0      0   3324   6531   -170     41</t>
  </si>
  <si>
    <t>0  -9788      0      0      0     13</t>
  </si>
  <si>
    <t>0 -12110    60</t>
  </si>
  <si>
    <t>4      0    140      0      0      0</t>
  </si>
  <si>
    <t>4085   2484</t>
  </si>
  <si>
    <t>0      0  -2527    143      0   -923</t>
  </si>
  <si>
    <t>1018   3886   287</t>
  </si>
  <si>
    <t>5   -127      0      0      0      0</t>
  </si>
  <si>
    <t>-909   1650   748</t>
  </si>
  <si>
    <t>8    -79   -383     53      0    443</t>
  </si>
  <si>
    <t>-722   -729     6</t>
  </si>
  <si>
    <t>0 -42331    -37      0      0    123</t>
  </si>
  <si>
    <t>309    409   -19</t>
  </si>
  <si>
    <t>7    -19      0      0      0      0</t>
  </si>
  <si>
    <t>0   2117   860</t>
  </si>
  <si>
    <t>7     92   -308    214    245    168</t>
  </si>
  <si>
    <t>-721      0</t>
  </si>
  <si>
    <t>0 -48817    -97      0    -13      0</t>
  </si>
  <si>
    <t>0    760    15</t>
  </si>
  <si>
    <t>7    -94      0      0      0      0</t>
  </si>
  <si>
    <t>0   5619   820</t>
  </si>
  <si>
    <t>5    426      0      0      0     77</t>
  </si>
  <si>
    <t>1855   -866</t>
  </si>
  <si>
    <t>0 -41071      0      0    -29      0</t>
  </si>
  <si>
    <t>0   -580   469</t>
  </si>
  <si>
    <t>1398   2685   364</t>
  </si>
  <si>
    <t>0 -31614   3305      0      0      0</t>
  </si>
  <si>
    <t>0    957      0      0      0      0</t>
  </si>
  <si>
    <t>2989    192   109</t>
  </si>
  <si>
    <t>7   -725    742  -1108  -1757      0</t>
  </si>
  <si>
    <t>0      0   -167    118    -42    -66</t>
  </si>
  <si>
    <t>0      0    41</t>
  </si>
  <si>
    <t>9      0  -8777   3486      0      0</t>
  </si>
  <si>
    <t>0    808   -58</t>
  </si>
  <si>
    <t>0  -1817   -622      0     38   1179</t>
  </si>
  <si>
    <t>4706  -3179</t>
  </si>
  <si>
    <t>0      0  -3309    637   -960  -1780</t>
  </si>
  <si>
    <t>0   1171   165</t>
  </si>
  <si>
    <t>4   1680   1264   1326 -12685   2449</t>
  </si>
  <si>
    <t>2903 -16088   194</t>
  </si>
  <si>
    <t>6   1787   2806   2832  -9767    721</t>
  </si>
  <si>
    <t>1771  -1124   -82</t>
  </si>
  <si>
    <t>0   -746   -762   -825  -2236  -2586</t>
  </si>
  <si>
    <t>-454    777   106</t>
  </si>
  <si>
    <t>4   1120    551   1410    767    107</t>
  </si>
  <si>
    <t>1468  -5292  -595</t>
  </si>
  <si>
    <t>6  -6662  -6900  -5331  -1881  -3738</t>
  </si>
  <si>
    <t>3556    673   137</t>
  </si>
  <si>
    <t>9    771    903     92   -932    187</t>
  </si>
  <si>
    <t>9027  -6993  -584</t>
  </si>
  <si>
    <t>7  -9680  -7713  -6819  -9002  -7647</t>
  </si>
  <si>
    <t>4220    189  -173</t>
  </si>
  <si>
    <t>6   -826    -48    167     79      0</t>
  </si>
  <si>
    <t>0   -158</t>
  </si>
  <si>
    <t>0      0      0    121    -44      0</t>
  </si>
  <si>
    <t>0      0      0    245   -211      0</t>
  </si>
  <si>
    <t>-95   -313     6</t>
  </si>
  <si>
    <t>0     61     18      0      0      0</t>
  </si>
  <si>
    <t>0      0      0      0    339   -251</t>
  </si>
  <si>
    <t>0      0    269   -113    -99      0</t>
  </si>
  <si>
    <t>-39      0    16</t>
  </si>
  <si>
    <t>3   -331     14    151    120    -66</t>
  </si>
  <si>
    <t>0    -64   -288   -106    -76   -421</t>
  </si>
  <si>
    <t>757      0    32</t>
  </si>
  <si>
    <t>0    445    681   -160   -191    -27</t>
  </si>
  <si>
    <t>4     43      0    197    402     58</t>
  </si>
  <si>
    <t>0     94    -89      0     99   -381</t>
  </si>
  <si>
    <t>792   -171    21</t>
  </si>
  <si>
    <t>1    334      0   -396      0      0</t>
  </si>
  <si>
    <t>0    -70</t>
  </si>
  <si>
    <t>0      0     63      0    527     -6</t>
  </si>
  <si>
    <t>0   -216   -164      0    249   -282</t>
  </si>
  <si>
    <t>5     81     83   -106   -125      0</t>
  </si>
  <si>
    <t>0    -98      0     30      0      0</t>
  </si>
  <si>
    <t>0   -259   -144      0     59    -68</t>
  </si>
  <si>
    <t>0    156    111    133     45     -5</t>
  </si>
  <si>
    <t>0   -338      0    -63      0      0</t>
  </si>
  <si>
    <t>0   -117   -157   -420   -111    -17</t>
  </si>
  <si>
    <t>-183    748    -1</t>
  </si>
  <si>
    <t>9     36   -785      0      0   -267</t>
  </si>
  <si>
    <t>0      0      0      0    -89   -468</t>
  </si>
  <si>
    <t>0 -45657      0      0      0      0</t>
  </si>
  <si>
    <t>0   -202   -18</t>
  </si>
  <si>
    <t>7   -204   -424   -215   2383      0</t>
  </si>
  <si>
    <t>-341     34    -7</t>
  </si>
  <si>
    <t>4      0    351      0    211     55</t>
  </si>
  <si>
    <t>242    349   -12</t>
  </si>
  <si>
    <t>6    247    211   -119    157    198</t>
  </si>
  <si>
    <t>-216    165    15</t>
  </si>
  <si>
    <t>9    436    759    224    -83   -248</t>
  </si>
  <si>
    <t>-95    125    67</t>
  </si>
  <si>
    <t>7    177    178     57    -34   -279</t>
  </si>
  <si>
    <t>6      5   -179     -4    254    257</t>
  </si>
  <si>
    <t>79    239     6</t>
  </si>
  <si>
    <t>7     99    -38   -113    496    481</t>
  </si>
  <si>
    <t>694    560     2</t>
  </si>
  <si>
    <t>1    532     49   -223      5     77</t>
  </si>
  <si>
    <t>60   -339    -5</t>
  </si>
  <si>
    <t>3   -177 -66147    229   -196     59</t>
  </si>
  <si>
    <t>1592    477   -30</t>
  </si>
  <si>
    <t>0      0      0  -1883      0  -1348</t>
  </si>
  <si>
    <t>0     98    81</t>
  </si>
  <si>
    <t>0    269  -170</t>
  </si>
  <si>
    <t>6      0      0    -82  -2600  -1369</t>
  </si>
  <si>
    <t>-298      0</t>
  </si>
  <si>
    <t>0      0    384      0      0      0</t>
  </si>
  <si>
    <t>0      0   -325      0      0      0</t>
  </si>
  <si>
    <t>0      0  -146</t>
  </si>
  <si>
    <t>3     38      0   -107      0      0</t>
  </si>
  <si>
    <t>3404  -1113   -92</t>
  </si>
  <si>
    <t>9      0      0  -2635    560      0</t>
  </si>
  <si>
    <t>-309   1194  -108</t>
  </si>
  <si>
    <t>5  -1076    274      0      0      0</t>
  </si>
  <si>
    <t>1836   -872   -26</t>
  </si>
  <si>
    <t>4   -740    748    756    510      0</t>
  </si>
  <si>
    <t>2556  -2205  -176</t>
  </si>
  <si>
    <t>8    141  -1560  -3882      0      0</t>
  </si>
  <si>
    <t>0   1248   -89</t>
  </si>
  <si>
    <t>0   -731   1146      0      0      0</t>
  </si>
  <si>
    <t>565      0   -89</t>
  </si>
  <si>
    <t>1   -884   1220   1352   1218    -73</t>
  </si>
  <si>
    <t>0  -2566</t>
  </si>
  <si>
    <t>0      0  -1678  -4814      0   -399</t>
  </si>
  <si>
    <t>430      0   -27</t>
  </si>
  <si>
    <t>9   -709   1642      0      0      0</t>
  </si>
  <si>
    <t>1036      0    26</t>
  </si>
  <si>
    <t>6   -879   1062      0      0      0</t>
  </si>
  <si>
    <t>1177  -2064  -234</t>
  </si>
  <si>
    <t>6      0  -1602      0      0   -477</t>
  </si>
  <si>
    <t>0   1510</t>
  </si>
  <si>
    <t>189      0   -97</t>
  </si>
  <si>
    <t>8  -1123      0      0      0      0</t>
  </si>
  <si>
    <t>1500   -498   -10</t>
  </si>
  <si>
    <t>1    501   -708  -2463      0      0</t>
  </si>
  <si>
    <t>0   1042</t>
  </si>
  <si>
    <t>0      0    850      0      0      0</t>
  </si>
  <si>
    <t>749    201  -101</t>
  </si>
  <si>
    <t>1   -562   -992    200  -1679  -4694</t>
  </si>
  <si>
    <t>0      0      0    582   -146  -1005</t>
  </si>
  <si>
    <t>253      0</t>
  </si>
  <si>
    <t>0    -46      0   1225    272      0</t>
  </si>
  <si>
    <t>0      0    86</t>
  </si>
  <si>
    <t>5   1402      0      0      0      0</t>
  </si>
  <si>
    <t>0      0  -2855   -264      0    133</t>
  </si>
  <si>
    <t>231  -3397   351</t>
  </si>
  <si>
    <t>5      0      0   -666    257     55</t>
  </si>
  <si>
    <t>245      0  -105</t>
  </si>
  <si>
    <t>9    228    417    123   -346  -1114</t>
  </si>
  <si>
    <t>0   -174   -429   -311   -395   -683</t>
  </si>
  <si>
    <t>-138   -173    12</t>
  </si>
  <si>
    <t>4     42    139    466   -151   -297</t>
  </si>
  <si>
    <t>804   -272    88</t>
  </si>
  <si>
    <t>5    514    544    169    556    761</t>
  </si>
  <si>
    <t>349    543   241</t>
  </si>
  <si>
    <t>3   2771   3097   3207   2674   1317</t>
  </si>
  <si>
    <t>3341   2444   -47</t>
  </si>
  <si>
    <t>0   -413   -343   -328    161    304</t>
  </si>
  <si>
    <t>283   4485   348</t>
  </si>
  <si>
    <t>2   2903   4461   3460   2965   3976</t>
  </si>
  <si>
    <t>205 -24003   278</t>
  </si>
  <si>
    <t>8  14349  24848   -843  -1134   2183</t>
  </si>
  <si>
    <t>0      0    32</t>
  </si>
  <si>
    <t>6      0   1588      0      0      0</t>
  </si>
  <si>
    <t>0      0   499</t>
  </si>
  <si>
    <t>4   2403    187   -924 -15603     -4</t>
  </si>
  <si>
    <t>0   3537</t>
  </si>
  <si>
    <t>0      0      0    688      0      0</t>
  </si>
  <si>
    <t>2710      0   410</t>
  </si>
  <si>
    <t>7      0      0      0      0  11439</t>
  </si>
  <si>
    <t>0      0   685</t>
  </si>
  <si>
    <t>2  -1816      0   1560   3788   1513</t>
  </si>
  <si>
    <t>5307   3818</t>
  </si>
  <si>
    <t>0      0      0      0   2826  -7087</t>
  </si>
  <si>
    <t>340   -135   -79</t>
  </si>
  <si>
    <t>4   -336      0   1063 -30772    395</t>
  </si>
  <si>
    <t>-471   4320   155</t>
  </si>
  <si>
    <t>5      0      0   -609   -744      0</t>
  </si>
  <si>
    <t>636   -711</t>
  </si>
  <si>
    <t>0      0      0      0   -594  -1418</t>
  </si>
  <si>
    <t>106    193     7</t>
  </si>
  <si>
    <t>8    195   2247    256 -32980      0</t>
  </si>
  <si>
    <t>0   5193    87</t>
  </si>
  <si>
    <t>1      0    422      0      0   -266</t>
  </si>
  <si>
    <t>505   -375</t>
  </si>
  <si>
    <t>0      0      0      0    199  -2738</t>
  </si>
  <si>
    <t>349   -154</t>
  </si>
  <si>
    <t>0      0      0   -839 -27547   -708</t>
  </si>
  <si>
    <t>0   4057</t>
  </si>
  <si>
    <t>0      0    285      0   -819      0</t>
  </si>
  <si>
    <t>0      0      0      0   -540   -669</t>
  </si>
  <si>
    <t>0      0      0      0 -29432     94</t>
  </si>
  <si>
    <t>-270   3206   375</t>
  </si>
  <si>
    <t>7      0      0      0   -658      0</t>
  </si>
  <si>
    <t>0  -1162</t>
  </si>
  <si>
    <t>0      0      0      0   -950  -2736</t>
  </si>
  <si>
    <t>-774    207  -168</t>
  </si>
  <si>
    <t>9    384  20918      0      0      0</t>
  </si>
  <si>
    <t>6   -150    134     25    267  -2075</t>
  </si>
  <si>
    <t>72      0   191</t>
  </si>
  <si>
    <t>8   -427      0      0      0      0</t>
  </si>
  <si>
    <t>7175      0</t>
  </si>
  <si>
    <t>0      0      0      0   -597      0</t>
  </si>
  <si>
    <t>0    547  -272</t>
  </si>
  <si>
    <t>0      0   1170  -1396  -1320   -841</t>
  </si>
  <si>
    <t>0      0   462</t>
  </si>
  <si>
    <t>4  -3638   3936   7399   9593 -22688</t>
  </si>
  <si>
    <t>503    951   121</t>
  </si>
  <si>
    <t>5    421   -368    709    304    818</t>
  </si>
  <si>
    <t>437    775    66</t>
  </si>
  <si>
    <t>9    501    451    141   -138    235</t>
  </si>
  <si>
    <t>2   -501    229  -5749    994   1119</t>
  </si>
  <si>
    <t>-89    -25    29</t>
  </si>
  <si>
    <t>6   -287   -296   -256   -205   -283</t>
  </si>
  <si>
    <t>293    423    24</t>
  </si>
  <si>
    <t>9   -112  -2067  -5045  -6215  -7372</t>
  </si>
  <si>
    <t>524    147   132</t>
  </si>
  <si>
    <t>1   -503   -681    585  -1834   -405</t>
  </si>
  <si>
    <t>7   -683  -1095   -916  -2406   -436</t>
  </si>
  <si>
    <t>-66 -12314    99</t>
  </si>
  <si>
    <t>9 -17660  -1436  16658    895    367</t>
  </si>
  <si>
    <t>1128      0   359</t>
  </si>
  <si>
    <t>4      0      0      0     48    104</t>
  </si>
  <si>
    <t>0      0      0      0    -46   -747</t>
  </si>
  <si>
    <t>-167  23474    22</t>
  </si>
  <si>
    <t>7    221    732    260      0      0</t>
  </si>
  <si>
    <t>0   -282      0      0      0      0</t>
  </si>
  <si>
    <t>0      0      0      0      0   7762</t>
  </si>
  <si>
    <t>0      0      0   4432   1115    657</t>
  </si>
  <si>
    <t>-458    236</t>
  </si>
  <si>
    <t>0   -256   -361    179   -364   -878</t>
  </si>
  <si>
    <t>0      0  -1839  -7500   -375   6409</t>
  </si>
  <si>
    <t>538     95</t>
  </si>
  <si>
    <t>0    214   1939   4235   1940   1326</t>
  </si>
  <si>
    <t>346      0</t>
  </si>
  <si>
    <t>0     55    361      0    100   -133</t>
  </si>
  <si>
    <t>0      0   -761  -7212      0   6909</t>
  </si>
  <si>
    <t>3    -58    -29      0   2456      0</t>
  </si>
  <si>
    <t>130      0   -23</t>
  </si>
  <si>
    <t>1      0      0    106      0   -994</t>
  </si>
  <si>
    <t>0      0  -1639  -6942      0   2563</t>
  </si>
  <si>
    <t>0    483   1861   3281   2165   1977</t>
  </si>
  <si>
    <t>5      0    475      0    481      0</t>
  </si>
  <si>
    <t>0      0  -1681  -3799      0   5576</t>
  </si>
  <si>
    <t>0      0   2107   1558    477   -217</t>
  </si>
  <si>
    <t>423      0</t>
  </si>
  <si>
    <t>0      0     81      0    284      0</t>
  </si>
  <si>
    <t>0      0   -476  -4968    535    127</t>
  </si>
  <si>
    <t>201    379   -41</t>
  </si>
  <si>
    <t>38    320   -19</t>
  </si>
  <si>
    <t>0    -70   -110    310      0      0</t>
  </si>
  <si>
    <t>2878    103</t>
  </si>
  <si>
    <t>0      0      0      0      0  -1304</t>
  </si>
  <si>
    <t>0      0    585      0      0      0</t>
  </si>
  <si>
    <t>317      0   458</t>
  </si>
  <si>
    <t>4   5982   6964   7204 -17570   6367</t>
  </si>
  <si>
    <t>816   4596   588</t>
  </si>
  <si>
    <t>3   7202   6231 -14857      0    398</t>
  </si>
  <si>
    <t>309    863   345</t>
  </si>
  <si>
    <t>6    992   1085    668    416   3304</t>
  </si>
  <si>
    <t>-597   -580   261</t>
  </si>
  <si>
    <t>1    791     22     95    484   1648</t>
  </si>
  <si>
    <t>1673   1840   165</t>
  </si>
  <si>
    <t>2   2267    630    148    513     16</t>
  </si>
  <si>
    <t>1063  -2122  -234</t>
  </si>
  <si>
    <t>5  -1314  -2471  -1350  -2526 -22866</t>
  </si>
  <si>
    <t>9708 -23063 -1169</t>
  </si>
  <si>
    <t>6 -21320 -21782 -26862 -20235  -3739</t>
  </si>
  <si>
    <t>3026   2093    38</t>
  </si>
  <si>
    <t>9  -4242   1026  -2851 -30718 -25645</t>
  </si>
  <si>
    <t>5335 -22184 -2819</t>
  </si>
  <si>
    <t>8 -23493    975    -52  14672  -2371</t>
  </si>
  <si>
    <t>507 -65127  1050</t>
  </si>
  <si>
    <t>pptyp</t>
  </si>
  <si>
    <t>DISTRICT</t>
  </si>
  <si>
    <t>psexpfac</t>
  </si>
  <si>
    <t>TOTAL</t>
  </si>
  <si>
    <t>SURVEY</t>
  </si>
  <si>
    <t>DaySim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</si>
</sst>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  <numFmt numFmtId="173" formatCode="0.000000000"/>
    <numFmt numFmtId="174" formatCode="_(* #,##0_);_(* \(#,##0\);_(* &quot;-&quot;??_);_(@_)"/>
  </numFmts>
  <fonts count="54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Verdana"/>
      <family val="2"/>
    </font>
    <font>
      <sz val="10"/>
      <name val="Verdana"/>
      <family val="2"/>
    </font>
    <font>
      <u/>
      <sz val="11"/>
      <color theme="10"/>
      <name val="Calibri"/>
      <family val="2"/>
    </font>
  </fonts>
  <fills count="56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176">
    <xf borderId="0" fillId="0" fontId="0" numFmtId="0"/>
    <xf applyAlignment="0" applyBorder="0" applyNumberFormat="0" applyProtection="0" borderId="0" fillId="2" fontId="9" numFmtId="0"/>
    <xf applyAlignment="0" applyBorder="0" applyNumberFormat="0" applyProtection="0" borderId="0" fillId="3" fontId="9" numFmtId="0"/>
    <xf applyAlignment="0" applyBorder="0" applyNumberFormat="0" applyProtection="0" borderId="0" fillId="4" fontId="9" numFmtId="0"/>
    <xf applyAlignment="0" applyBorder="0" applyNumberFormat="0" applyProtection="0" borderId="0" fillId="2" fontId="9" numFmtId="0"/>
    <xf applyAlignment="0" applyBorder="0" applyNumberFormat="0" applyProtection="0" borderId="0" fillId="5" fontId="9" numFmtId="0"/>
    <xf applyAlignment="0" applyBorder="0" applyNumberFormat="0" applyProtection="0" borderId="0" fillId="3" fontId="9" numFmtId="0"/>
    <xf applyAlignment="0" applyBorder="0" applyNumberFormat="0" applyProtection="0" borderId="0" fillId="6" fontId="9" numFmtId="0"/>
    <xf applyAlignment="0" applyBorder="0" applyNumberFormat="0" applyProtection="0" borderId="0" fillId="3" fontId="9" numFmtId="0"/>
    <xf applyAlignment="0" applyBorder="0" applyNumberFormat="0" applyProtection="0" borderId="0" fillId="4" fontId="9" numFmtId="0"/>
    <xf applyAlignment="0" applyBorder="0" applyNumberFormat="0" applyProtection="0" borderId="0" fillId="6" fontId="9" numFmtId="0"/>
    <xf applyAlignment="0" applyBorder="0" applyNumberFormat="0" applyProtection="0" borderId="0" fillId="7" fontId="9" numFmtId="0"/>
    <xf applyAlignment="0" applyBorder="0" applyNumberFormat="0" applyProtection="0" borderId="0" fillId="3" fontId="9" numFmtId="0"/>
    <xf applyAlignment="0" applyBorder="0" applyNumberFormat="0" applyProtection="0" borderId="0" fillId="8" fontId="10" numFmtId="0"/>
    <xf applyAlignment="0" applyBorder="0" applyNumberFormat="0" applyProtection="0" borderId="0" fillId="9" fontId="10" numFmtId="0"/>
    <xf applyAlignment="0" applyBorder="0" applyNumberFormat="0" applyProtection="0" borderId="0" fillId="4" fontId="10" numFmtId="0"/>
    <xf applyAlignment="0" applyBorder="0" applyNumberFormat="0" applyProtection="0" borderId="0" fillId="6" fontId="10" numFmtId="0"/>
    <xf applyAlignment="0" applyBorder="0" applyNumberFormat="0" applyProtection="0" borderId="0" fillId="8" fontId="10" numFmtId="0"/>
    <xf applyAlignment="0" applyBorder="0" applyNumberFormat="0" applyProtection="0" borderId="0" fillId="3" fontId="10" numFmtId="0"/>
    <xf applyAlignment="0" applyBorder="0" applyNumberFormat="0" applyProtection="0" borderId="0" fillId="8" fontId="10" numFmtId="0"/>
    <xf applyAlignment="0" applyBorder="0" applyNumberFormat="0" applyProtection="0" borderId="0" fillId="10" fontId="10" numFmtId="0"/>
    <xf applyAlignment="0" applyBorder="0" applyNumberFormat="0" applyProtection="0" borderId="0" fillId="4" fontId="10" numFmtId="0"/>
    <xf applyAlignment="0" applyBorder="0" applyNumberFormat="0" applyProtection="0" borderId="0" fillId="11" fontId="10" numFmtId="0"/>
    <xf applyAlignment="0" applyBorder="0" applyNumberFormat="0" applyProtection="0" borderId="0" fillId="8" fontId="10" numFmtId="0"/>
    <xf applyAlignment="0" applyBorder="0" applyNumberFormat="0" applyProtection="0" borderId="0" fillId="9" fontId="10" numFmtId="0"/>
    <xf applyAlignment="0" applyBorder="0" applyNumberFormat="0" applyProtection="0" borderId="0" fillId="12" fontId="11" numFmtId="0"/>
    <xf applyAlignment="0" applyNumberFormat="0" applyProtection="0" borderId="1" fillId="2" fontId="12" numFmtId="0"/>
    <xf applyAlignment="0" applyNumberFormat="0" applyProtection="0" borderId="2" fillId="13" fontId="13" numFmtId="0"/>
    <xf applyAlignment="0" applyBorder="0" applyFill="0" applyNumberFormat="0" applyProtection="0" borderId="0" fillId="0" fontId="14" numFmtId="0"/>
    <xf applyAlignment="0" applyBorder="0" applyNumberFormat="0" applyProtection="0" borderId="0" fillId="14" fontId="15" numFmtId="0"/>
    <xf applyAlignment="0" applyFill="0" applyNumberFormat="0" applyProtection="0" borderId="3" fillId="0" fontId="16" numFmtId="0"/>
    <xf applyAlignment="0" applyFill="0" applyNumberFormat="0" applyProtection="0" borderId="4" fillId="0" fontId="17" numFmtId="0"/>
    <xf applyAlignment="0" applyFill="0" applyNumberFormat="0" applyProtection="0" borderId="5" fillId="0" fontId="18" numFmtId="0"/>
    <xf applyAlignment="0" applyBorder="0" applyFill="0" applyNumberFormat="0" applyProtection="0" borderId="0" fillId="0" fontId="18" numFmtId="0"/>
    <xf applyAlignment="0" applyNumberFormat="0" applyProtection="0" borderId="1" fillId="3" fontId="19" numFmtId="0"/>
    <xf applyAlignment="0" applyFill="0" applyNumberFormat="0" applyProtection="0" borderId="6" fillId="0" fontId="20" numFmtId="0"/>
    <xf applyAlignment="0" applyBorder="0" applyNumberFormat="0" applyProtection="0" borderId="0" fillId="15" fontId="21" numFmtId="0"/>
    <xf applyAlignment="0" applyFont="0" applyNumberFormat="0" applyProtection="0" borderId="7" fillId="16" fontId="5" numFmtId="0"/>
    <xf applyAlignment="0" applyNumberFormat="0" applyProtection="0" borderId="8" fillId="2" fontId="22" numFmtId="0"/>
    <xf applyAlignment="0" applyBorder="0" applyFill="0" applyNumberFormat="0" applyProtection="0" borderId="0" fillId="0" fontId="23" numFmtId="0"/>
    <xf applyAlignment="0" applyFill="0" applyNumberFormat="0" applyProtection="0" borderId="9" fillId="0" fontId="24" numFmtId="0"/>
    <xf applyAlignment="0" applyBorder="0" applyFill="0" applyNumberFormat="0" applyProtection="0" borderId="0" fillId="0" fontId="25" numFmtId="0"/>
    <xf borderId="0" fillId="6" fontId="29" numFmtId="0">
      <alignment wrapText="1"/>
    </xf>
    <xf borderId="0" fillId="0" fontId="29" numFmtId="0">
      <alignment wrapText="1"/>
    </xf>
    <xf borderId="0" fillId="0" fontId="29" numFmtId="168">
      <alignment wrapText="1"/>
    </xf>
    <xf borderId="0" fillId="0" fontId="30" numFmtId="0">
      <alignment wrapText="1"/>
    </xf>
    <xf borderId="0" fillId="0" fontId="30" numFmtId="0">
      <alignment wrapText="1"/>
    </xf>
    <xf borderId="0" fillId="0" fontId="30" numFmtId="0">
      <alignment wrapText="1"/>
    </xf>
    <xf borderId="0" fillId="0" fontId="30" numFmtId="168">
      <alignment wrapText="1"/>
    </xf>
    <xf borderId="0" fillId="0" fontId="3" numFmtId="0"/>
    <xf applyAlignment="0" applyBorder="0" applyFill="0" applyNumberFormat="0" applyProtection="0" borderId="0" fillId="0" fontId="31" numFmtId="0"/>
    <xf applyAlignment="0" applyFill="0" applyNumberFormat="0" applyProtection="0" borderId="14" fillId="0" fontId="32" numFmtId="0"/>
    <xf applyAlignment="0" applyFill="0" applyNumberFormat="0" applyProtection="0" borderId="15" fillId="0" fontId="33" numFmtId="0"/>
    <xf applyAlignment="0" applyFill="0" applyNumberFormat="0" applyProtection="0" borderId="16" fillId="0" fontId="34" numFmtId="0"/>
    <xf applyAlignment="0" applyBorder="0" applyFill="0" applyNumberFormat="0" applyProtection="0" borderId="0" fillId="0" fontId="34" numFmtId="0"/>
    <xf applyAlignment="0" applyBorder="0" applyNumberFormat="0" applyProtection="0" borderId="0" fillId="18" fontId="35" numFmtId="0"/>
    <xf applyAlignment="0" applyBorder="0" applyNumberFormat="0" applyProtection="0" borderId="0" fillId="19" fontId="36" numFmtId="0"/>
    <xf applyAlignment="0" applyBorder="0" applyNumberFormat="0" applyProtection="0" borderId="0" fillId="20" fontId="37" numFmtId="0"/>
    <xf applyAlignment="0" applyNumberFormat="0" applyProtection="0" borderId="17" fillId="21" fontId="38" numFmtId="0"/>
    <xf applyAlignment="0" applyNumberFormat="0" applyProtection="0" borderId="18" fillId="22" fontId="39" numFmtId="0"/>
    <xf applyAlignment="0" applyNumberFormat="0" applyProtection="0" borderId="17" fillId="22" fontId="40" numFmtId="0"/>
    <xf applyAlignment="0" applyFill="0" applyNumberFormat="0" applyProtection="0" borderId="19" fillId="0" fontId="41" numFmtId="0"/>
    <xf applyAlignment="0" applyNumberFormat="0" applyProtection="0" borderId="20" fillId="23" fontId="42" numFmtId="0"/>
    <xf applyAlignment="0" applyBorder="0" applyFill="0" applyNumberFormat="0" applyProtection="0" borderId="0" fillId="0" fontId="43" numFmtId="0"/>
    <xf applyAlignment="0" applyFont="0" applyNumberFormat="0" applyProtection="0" borderId="21" fillId="24" fontId="3" numFmtId="0"/>
    <xf applyAlignment="0" applyBorder="0" applyFill="0" applyNumberFormat="0" applyProtection="0" borderId="0" fillId="0" fontId="44" numFmtId="0"/>
    <xf applyAlignment="0" applyFill="0" applyNumberFormat="0" applyProtection="0" borderId="22" fillId="0" fontId="45" numFmtId="0"/>
    <xf applyAlignment="0" applyBorder="0" applyNumberFormat="0" applyProtection="0" borderId="0" fillId="25" fontId="46" numFmtId="0"/>
    <xf applyAlignment="0" applyBorder="0" applyNumberFormat="0" applyProtection="0" borderId="0" fillId="26" fontId="3" numFmtId="0"/>
    <xf applyAlignment="0" applyBorder="0" applyNumberFormat="0" applyProtection="0" borderId="0" fillId="27" fontId="3" numFmtId="0"/>
    <xf applyAlignment="0" applyBorder="0" applyNumberFormat="0" applyProtection="0" borderId="0" fillId="28" fontId="46" numFmtId="0"/>
    <xf applyAlignment="0" applyBorder="0" applyNumberFormat="0" applyProtection="0" borderId="0" fillId="29" fontId="46" numFmtId="0"/>
    <xf applyAlignment="0" applyBorder="0" applyNumberFormat="0" applyProtection="0" borderId="0" fillId="30" fontId="3" numFmtId="0"/>
    <xf applyAlignment="0" applyBorder="0" applyNumberFormat="0" applyProtection="0" borderId="0" fillId="31" fontId="3" numFmtId="0"/>
    <xf applyAlignment="0" applyBorder="0" applyNumberFormat="0" applyProtection="0" borderId="0" fillId="32" fontId="46" numFmtId="0"/>
    <xf applyAlignment="0" applyBorder="0" applyNumberFormat="0" applyProtection="0" borderId="0" fillId="33" fontId="46" numFmtId="0"/>
    <xf applyAlignment="0" applyBorder="0" applyNumberFormat="0" applyProtection="0" borderId="0" fillId="34" fontId="3" numFmtId="0"/>
    <xf applyAlignment="0" applyBorder="0" applyNumberFormat="0" applyProtection="0" borderId="0" fillId="35" fontId="3" numFmtId="0"/>
    <xf applyAlignment="0" applyBorder="0" applyNumberFormat="0" applyProtection="0" borderId="0" fillId="36" fontId="46" numFmtId="0"/>
    <xf applyAlignment="0" applyBorder="0" applyNumberFormat="0" applyProtection="0" borderId="0" fillId="37" fontId="46" numFmtId="0"/>
    <xf applyAlignment="0" applyBorder="0" applyNumberFormat="0" applyProtection="0" borderId="0" fillId="38" fontId="3" numFmtId="0"/>
    <xf applyAlignment="0" applyBorder="0" applyNumberFormat="0" applyProtection="0" borderId="0" fillId="39" fontId="3" numFmtId="0"/>
    <xf applyAlignment="0" applyBorder="0" applyNumberFormat="0" applyProtection="0" borderId="0" fillId="40" fontId="46" numFmtId="0"/>
    <xf applyAlignment="0" applyBorder="0" applyNumberFormat="0" applyProtection="0" borderId="0" fillId="41" fontId="46" numFmtId="0"/>
    <xf applyAlignment="0" applyBorder="0" applyNumberFormat="0" applyProtection="0" borderId="0" fillId="42" fontId="3" numFmtId="0"/>
    <xf applyAlignment="0" applyBorder="0" applyNumberFormat="0" applyProtection="0" borderId="0" fillId="43" fontId="3" numFmtId="0"/>
    <xf applyAlignment="0" applyBorder="0" applyNumberFormat="0" applyProtection="0" borderId="0" fillId="44" fontId="46" numFmtId="0"/>
    <xf applyAlignment="0" applyBorder="0" applyNumberFormat="0" applyProtection="0" borderId="0" fillId="45" fontId="46" numFmtId="0"/>
    <xf applyAlignment="0" applyBorder="0" applyNumberFormat="0" applyProtection="0" borderId="0" fillId="46" fontId="3" numFmtId="0"/>
    <xf applyAlignment="0" applyBorder="0" applyNumberFormat="0" applyProtection="0" borderId="0" fillId="47" fontId="3" numFmtId="0"/>
    <xf applyAlignment="0" applyBorder="0" applyNumberFormat="0" applyProtection="0" borderId="0" fillId="48" fontId="46" numFmtId="0"/>
    <xf applyAlignment="0" applyBorder="0" applyFill="0" applyFont="0" applyProtection="0" borderId="0" fillId="0" fontId="3" numFmtId="43"/>
    <xf applyAlignment="0" applyBorder="0" applyFill="0" applyFont="0" applyProtection="0" borderId="0" fillId="0" fontId="51" numFmtId="9"/>
    <xf borderId="0" fillId="0" fontId="2" numFmtId="0"/>
    <xf borderId="0" fillId="0" fontId="5" numFmtId="0"/>
    <xf applyAlignment="0" applyBorder="0" applyNumberFormat="0" applyProtection="0" borderId="0" fillId="2" fontId="9" numFmtId="0"/>
    <xf applyAlignment="0" applyBorder="0" applyNumberFormat="0" applyProtection="0" borderId="0" fillId="3" fontId="9" numFmtId="0"/>
    <xf applyAlignment="0" applyBorder="0" applyNumberFormat="0" applyProtection="0" borderId="0" fillId="4" fontId="9" numFmtId="0"/>
    <xf applyAlignment="0" applyBorder="0" applyNumberFormat="0" applyProtection="0" borderId="0" fillId="2" fontId="9" numFmtId="0"/>
    <xf applyAlignment="0" applyBorder="0" applyNumberFormat="0" applyProtection="0" borderId="0" fillId="5" fontId="9" numFmtId="0"/>
    <xf applyAlignment="0" applyBorder="0" applyNumberFormat="0" applyProtection="0" borderId="0" fillId="3" fontId="9" numFmtId="0"/>
    <xf applyAlignment="0" applyBorder="0" applyNumberFormat="0" applyProtection="0" borderId="0" fillId="6" fontId="9" numFmtId="0"/>
    <xf applyAlignment="0" applyBorder="0" applyNumberFormat="0" applyProtection="0" borderId="0" fillId="3" fontId="9" numFmtId="0"/>
    <xf applyAlignment="0" applyBorder="0" applyNumberFormat="0" applyProtection="0" borderId="0" fillId="4" fontId="9" numFmtId="0"/>
    <xf applyAlignment="0" applyBorder="0" applyNumberFormat="0" applyProtection="0" borderId="0" fillId="6" fontId="9" numFmtId="0"/>
    <xf applyAlignment="0" applyBorder="0" applyNumberFormat="0" applyProtection="0" borderId="0" fillId="7" fontId="9" numFmtId="0"/>
    <xf applyAlignment="0" applyBorder="0" applyNumberFormat="0" applyProtection="0" borderId="0" fillId="3" fontId="9" numFmtId="0"/>
    <xf applyAlignment="0" applyBorder="0" applyNumberFormat="0" applyProtection="0" borderId="0" fillId="8" fontId="10" numFmtId="0"/>
    <xf applyAlignment="0" applyBorder="0" applyNumberFormat="0" applyProtection="0" borderId="0" fillId="9" fontId="10" numFmtId="0"/>
    <xf applyAlignment="0" applyBorder="0" applyNumberFormat="0" applyProtection="0" borderId="0" fillId="4" fontId="10" numFmtId="0"/>
    <xf applyAlignment="0" applyBorder="0" applyNumberFormat="0" applyProtection="0" borderId="0" fillId="6" fontId="10" numFmtId="0"/>
    <xf applyAlignment="0" applyBorder="0" applyNumberFormat="0" applyProtection="0" borderId="0" fillId="8" fontId="10" numFmtId="0"/>
    <xf applyAlignment="0" applyBorder="0" applyNumberFormat="0" applyProtection="0" borderId="0" fillId="3" fontId="10" numFmtId="0"/>
    <xf applyAlignment="0" applyBorder="0" applyNumberFormat="0" applyProtection="0" borderId="0" fillId="8" fontId="10" numFmtId="0"/>
    <xf applyAlignment="0" applyBorder="0" applyNumberFormat="0" applyProtection="0" borderId="0" fillId="10" fontId="10" numFmtId="0"/>
    <xf applyAlignment="0" applyBorder="0" applyNumberFormat="0" applyProtection="0" borderId="0" fillId="4" fontId="10" numFmtId="0"/>
    <xf applyAlignment="0" applyBorder="0" applyNumberFormat="0" applyProtection="0" borderId="0" fillId="11" fontId="10" numFmtId="0"/>
    <xf applyAlignment="0" applyBorder="0" applyNumberFormat="0" applyProtection="0" borderId="0" fillId="8" fontId="10" numFmtId="0"/>
    <xf applyAlignment="0" applyBorder="0" applyNumberFormat="0" applyProtection="0" borderId="0" fillId="9" fontId="10" numFmtId="0"/>
    <xf applyAlignment="0" applyBorder="0" applyNumberFormat="0" applyProtection="0" borderId="0" fillId="12" fontId="11" numFmtId="0"/>
    <xf applyAlignment="0" applyNumberFormat="0" applyProtection="0" borderId="1" fillId="2" fontId="12" numFmtId="0"/>
    <xf applyAlignment="0" applyNumberFormat="0" applyProtection="0" borderId="2" fillId="13" fontId="13" numFmtId="0"/>
    <xf applyAlignment="0" applyBorder="0" applyFill="0" applyNumberFormat="0" applyProtection="0" borderId="0" fillId="0" fontId="14" numFmtId="0"/>
    <xf applyAlignment="0" applyBorder="0" applyNumberFormat="0" applyProtection="0" borderId="0" fillId="14" fontId="15" numFmtId="0"/>
    <xf applyAlignment="0" applyFill="0" applyNumberFormat="0" applyProtection="0" borderId="3" fillId="0" fontId="16" numFmtId="0"/>
    <xf applyAlignment="0" applyFill="0" applyNumberFormat="0" applyProtection="0" borderId="4" fillId="0" fontId="17" numFmtId="0"/>
    <xf applyAlignment="0" applyFill="0" applyNumberFormat="0" applyProtection="0" borderId="5" fillId="0" fontId="18" numFmtId="0"/>
    <xf applyAlignment="0" applyBorder="0" applyFill="0" applyNumberFormat="0" applyProtection="0" borderId="0" fillId="0" fontId="18" numFmtId="0"/>
    <xf applyAlignment="0" applyNumberFormat="0" applyProtection="0" borderId="1" fillId="3" fontId="19" numFmtId="0"/>
    <xf applyAlignment="0" applyFill="0" applyNumberFormat="0" applyProtection="0" borderId="6" fillId="0" fontId="20" numFmtId="0"/>
    <xf applyAlignment="0" applyBorder="0" applyNumberFormat="0" applyProtection="0" borderId="0" fillId="15" fontId="21" numFmtId="0"/>
    <xf applyAlignment="0" applyFont="0" applyNumberFormat="0" applyProtection="0" borderId="7" fillId="16" fontId="5" numFmtId="0"/>
    <xf applyAlignment="0" applyNumberFormat="0" applyProtection="0" borderId="8" fillId="2" fontId="22" numFmtId="0"/>
    <xf applyAlignment="0" applyBorder="0" applyFill="0" applyNumberFormat="0" applyProtection="0" borderId="0" fillId="0" fontId="23" numFmtId="0"/>
    <xf applyAlignment="0" applyFill="0" applyNumberFormat="0" applyProtection="0" borderId="9" fillId="0" fontId="24" numFmtId="0"/>
    <xf applyAlignment="0" applyBorder="0" applyFill="0" applyNumberFormat="0" applyProtection="0" borderId="0" fillId="0" fontId="25" numFmtId="0"/>
    <xf borderId="0" fillId="6" fontId="5" numFmtId="0">
      <alignment wrapText="1"/>
    </xf>
    <xf borderId="0" fillId="0" fontId="5" numFmtId="0">
      <alignment wrapText="1"/>
    </xf>
    <xf borderId="0" fillId="0" fontId="5" numFmtId="168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0">
      <alignment wrapText="1"/>
    </xf>
    <xf borderId="0" fillId="0" fontId="5" numFmtId="168">
      <alignment wrapText="1"/>
    </xf>
    <xf borderId="0" fillId="0" fontId="2" numFmtId="0"/>
    <xf applyAlignment="0" applyFont="0" applyNumberFormat="0" applyProtection="0" borderId="21" fillId="24" fontId="2" numFmtId="0"/>
    <xf applyAlignment="0" applyBorder="0" applyNumberFormat="0" applyProtection="0" borderId="0" fillId="26" fontId="2" numFmtId="0"/>
    <xf applyAlignment="0" applyBorder="0" applyNumberFormat="0" applyProtection="0" borderId="0" fillId="27" fontId="2" numFmtId="0"/>
    <xf applyAlignment="0" applyBorder="0" applyNumberFormat="0" applyProtection="0" borderId="0" fillId="30" fontId="2" numFmtId="0"/>
    <xf applyAlignment="0" applyBorder="0" applyNumberFormat="0" applyProtection="0" borderId="0" fillId="31" fontId="2" numFmtId="0"/>
    <xf applyAlignment="0" applyBorder="0" applyNumberFormat="0" applyProtection="0" borderId="0" fillId="34" fontId="2" numFmtId="0"/>
    <xf applyAlignment="0" applyBorder="0" applyNumberFormat="0" applyProtection="0" borderId="0" fillId="35" fontId="2" numFmtId="0"/>
    <xf applyAlignment="0" applyBorder="0" applyNumberFormat="0" applyProtection="0" borderId="0" fillId="38" fontId="2" numFmtId="0"/>
    <xf applyAlignment="0" applyBorder="0" applyNumberFormat="0" applyProtection="0" borderId="0" fillId="39" fontId="2" numFmtId="0"/>
    <xf applyAlignment="0" applyBorder="0" applyNumberFormat="0" applyProtection="0" borderId="0" fillId="42" fontId="2" numFmtId="0"/>
    <xf applyAlignment="0" applyBorder="0" applyNumberFormat="0" applyProtection="0" borderId="0" fillId="43" fontId="2" numFmtId="0"/>
    <xf applyAlignment="0" applyBorder="0" applyNumberFormat="0" applyProtection="0" borderId="0" fillId="46" fontId="2" numFmtId="0"/>
    <xf applyAlignment="0" applyBorder="0" applyNumberFormat="0" applyProtection="0" borderId="0" fillId="47" fontId="2" numFmtId="0"/>
    <xf applyAlignment="0" applyBorder="0" applyFill="0" applyFont="0" applyProtection="0" borderId="0" fillId="0" fontId="2" numFmtId="43"/>
    <xf applyAlignment="0" applyBorder="0" applyFill="0" applyFont="0" applyProtection="0" borderId="0" fillId="0" fontId="5" numFmtId="9"/>
    <xf applyAlignment="0" applyBorder="0" applyFill="0" applyFont="0" applyProtection="0" borderId="0" fillId="0" fontId="52" numFmtId="43"/>
    <xf borderId="0" fillId="0" fontId="1" numFmtId="0"/>
    <xf applyAlignment="0" applyFont="0" applyNumberFormat="0" applyProtection="0" borderId="21" fillId="24" fontId="1" numFmtId="0"/>
    <xf applyAlignment="0" applyBorder="0" applyNumberFormat="0" applyProtection="0" borderId="0" fillId="26" fontId="1" numFmtId="0"/>
    <xf applyAlignment="0" applyBorder="0" applyNumberFormat="0" applyProtection="0" borderId="0" fillId="27" fontId="1" numFmtId="0"/>
    <xf applyAlignment="0" applyBorder="0" applyNumberFormat="0" applyProtection="0" borderId="0" fillId="30" fontId="1" numFmtId="0"/>
    <xf applyAlignment="0" applyBorder="0" applyNumberFormat="0" applyProtection="0" borderId="0" fillId="31" fontId="1" numFmtId="0"/>
    <xf applyAlignment="0" applyBorder="0" applyNumberFormat="0" applyProtection="0" borderId="0" fillId="34" fontId="1" numFmtId="0"/>
    <xf applyAlignment="0" applyBorder="0" applyNumberFormat="0" applyProtection="0" borderId="0" fillId="35" fontId="1" numFmtId="0"/>
    <xf applyAlignment="0" applyBorder="0" applyNumberFormat="0" applyProtection="0" borderId="0" fillId="38" fontId="1" numFmtId="0"/>
    <xf applyAlignment="0" applyBorder="0" applyNumberFormat="0" applyProtection="0" borderId="0" fillId="39" fontId="1" numFmtId="0"/>
    <xf applyAlignment="0" applyBorder="0" applyNumberFormat="0" applyProtection="0" borderId="0" fillId="42" fontId="1" numFmtId="0"/>
    <xf applyAlignment="0" applyBorder="0" applyNumberFormat="0" applyProtection="0" borderId="0" fillId="43" fontId="1" numFmtId="0"/>
    <xf applyAlignment="0" applyBorder="0" applyNumberFormat="0" applyProtection="0" borderId="0" fillId="46" fontId="1" numFmtId="0"/>
    <xf applyAlignment="0" applyBorder="0" applyNumberFormat="0" applyProtection="0" borderId="0" fillId="47" fontId="1" numFmtId="0"/>
    <xf applyAlignment="0" applyBorder="0" applyFill="0" applyFont="0" applyProtection="0" borderId="0" fillId="0" fontId="1" numFmtId="43"/>
    <xf applyAlignment="0" applyBorder="0" applyFill="0" applyNumberFormat="0" applyProtection="0" borderId="0" fillId="0" fontId="53" numFmtId="0">
      <alignment vertical="top"/>
      <protection locked="0"/>
    </xf>
  </cellStyleXfs>
  <cellXfs count="280">
    <xf borderId="0" fillId="0" fontId="0" numFmtId="0" xfId="0"/>
    <xf applyBorder="1" borderId="10" fillId="0" fontId="0" numFmtId="0" xfId="0"/>
    <xf applyFont="1" borderId="0" fillId="0" fontId="7" numFmtId="0" xfId="0"/>
    <xf applyFont="1" borderId="0" fillId="0" fontId="8" numFmtId="0" xfId="0"/>
    <xf applyBorder="1" applyFont="1" borderId="10" fillId="0" fontId="7" numFmtId="0" xfId="0"/>
    <xf applyAlignment="1" applyBorder="1" applyFont="1" borderId="11" fillId="0" fontId="7" numFmtId="0" xfId="0">
      <alignment horizontal="left"/>
    </xf>
    <xf applyAlignment="1" applyBorder="1" applyFont="1" borderId="11" fillId="0" fontId="7" numFmtId="0" xfId="0">
      <alignment horizontal="center"/>
    </xf>
    <xf applyFont="1" applyNumberFormat="1" borderId="0" fillId="0" fontId="8" numFmtId="3" xfId="0"/>
    <xf applyBorder="1" applyFont="1" borderId="12" fillId="0" fontId="8" numFmtId="0" xfId="0"/>
    <xf applyBorder="1" applyFont="1" applyNumberFormat="1" borderId="12" fillId="0" fontId="8" numFmtId="3" xfId="0"/>
    <xf applyBorder="1" applyFont="1" borderId="13" fillId="0" fontId="8" numFmtId="0" xfId="0"/>
    <xf applyBorder="1" applyFont="1" applyNumberFormat="1" borderId="13" fillId="0" fontId="8" numFmtId="3" xfId="0"/>
    <xf applyFont="1" applyNumberFormat="1" borderId="0" fillId="0" fontId="8" numFmtId="164" xfId="0"/>
    <xf applyBorder="1" applyFont="1" applyNumberFormat="1" borderId="12" fillId="0" fontId="8" numFmtId="164" xfId="0"/>
    <xf applyBorder="1" applyFont="1" applyNumberFormat="1" borderId="13" fillId="0" fontId="8" numFmtId="164" xfId="0"/>
    <xf applyBorder="1" applyFont="1" borderId="10" fillId="0" fontId="8" numFmtId="0" xfId="0"/>
    <xf applyBorder="1" applyFont="1" borderId="11" fillId="0" fontId="7" numFmtId="0" xfId="0"/>
    <xf applyBorder="1" applyFont="1" applyNumberFormat="1" borderId="10" fillId="0" fontId="8" numFmtId="164" xfId="0"/>
    <xf applyAlignment="1" applyFont="1" borderId="0" fillId="0" fontId="8" numFmtId="0" xfId="0">
      <alignment horizontal="left"/>
    </xf>
    <xf applyAlignment="1" applyBorder="1" applyFont="1" borderId="0" fillId="0" fontId="8" numFmtId="0" xfId="0">
      <alignment horizontal="left"/>
    </xf>
    <xf applyAlignment="1" applyBorder="1" applyFill="1" applyFont="1" borderId="0" fillId="0" fontId="8" numFmtId="0" xfId="0">
      <alignment horizontal="left"/>
    </xf>
    <xf applyAlignment="1" applyBorder="1" applyFont="1" borderId="13" fillId="0" fontId="8" numFmtId="0" xfId="0">
      <alignment horizontal="left"/>
    </xf>
    <xf applyBorder="1" applyFont="1" applyNumberFormat="1" borderId="10" fillId="0" fontId="8" numFmtId="3" xfId="0"/>
    <xf applyAlignment="1" applyBorder="1" applyFont="1" borderId="12" fillId="0" fontId="8" numFmtId="0" xfId="0">
      <alignment horizontal="left"/>
    </xf>
    <xf applyAlignment="1" applyBorder="1" applyFont="1" applyNumberFormat="1" borderId="11" fillId="0" fontId="7" numFmtId="164" xfId="0">
      <alignment horizontal="center"/>
    </xf>
    <xf applyBorder="1" applyFont="1" borderId="0" fillId="0" fontId="8" numFmtId="0" xfId="0"/>
    <xf applyBorder="1" applyFont="1" applyNumberFormat="1" borderId="0" fillId="0" fontId="8" numFmtId="10" xfId="0"/>
    <xf applyAlignment="1" applyFont="1" applyNumberFormat="1" borderId="0" fillId="0" fontId="8" numFmtId="49" xfId="0">
      <alignment horizontal="left"/>
    </xf>
    <xf applyAlignment="1" applyFont="1" applyNumberFormat="1" borderId="0" fillId="0" fontId="8" numFmtId="164" xfId="0">
      <alignment horizontal="right"/>
    </xf>
    <xf applyAlignment="1" applyBorder="1" applyFont="1" applyNumberFormat="1" borderId="12" fillId="0" fontId="8" numFmtId="49" xfId="0">
      <alignment horizontal="left"/>
    </xf>
    <xf applyAlignment="1" applyBorder="1" applyFont="1" applyNumberFormat="1" borderId="12" fillId="0" fontId="8" numFmtId="164" xfId="0">
      <alignment horizontal="right"/>
    </xf>
    <xf applyAlignment="1" applyBorder="1" applyFont="1" applyNumberFormat="1" borderId="10" fillId="0" fontId="8" numFmtId="164" xfId="0">
      <alignment horizontal="right"/>
    </xf>
    <xf applyAlignment="1" applyBorder="1" applyFont="1" borderId="12" fillId="0" fontId="7" numFmtId="0" xfId="0">
      <alignment horizontal="center"/>
    </xf>
    <xf applyBorder="1" applyFont="1" applyNumberFormat="1" borderId="0" fillId="0" fontId="8" numFmtId="3" xfId="0"/>
    <xf applyBorder="1" applyFont="1" applyNumberFormat="1" borderId="0" fillId="0" fontId="8" numFmtId="164" xfId="0"/>
    <xf applyFont="1" borderId="0" fillId="0" fontId="26" numFmtId="0" xfId="0"/>
    <xf applyFont="1" applyNumberFormat="1" borderId="0" fillId="0" fontId="8" numFmtId="10" xfId="0"/>
    <xf applyBorder="1" applyFont="1" applyNumberFormat="1" borderId="0" fillId="0" fontId="8" numFmtId="166" xfId="0"/>
    <xf applyFont="1" applyNumberFormat="1" borderId="0" fillId="0" fontId="8" numFmtId="165" xfId="0"/>
    <xf applyFill="1" applyFont="1" borderId="0" fillId="0" fontId="8" numFmtId="0" xfId="0"/>
    <xf applyBorder="1" applyFill="1" applyFont="1" borderId="10" fillId="0" fontId="7" numFmtId="0" xfId="0"/>
    <xf applyAlignment="1" applyBorder="1" applyFill="1" applyFont="1" borderId="11" fillId="0" fontId="7" numFmtId="0" xfId="0">
      <alignment horizontal="center"/>
    </xf>
    <xf applyFill="1" applyFont="1" applyNumberFormat="1" borderId="0" fillId="0" fontId="8" numFmtId="164" xfId="0"/>
    <xf applyBorder="1" applyFill="1" applyFont="1" applyNumberFormat="1" borderId="12" fillId="0" fontId="8" numFmtId="164" xfId="0"/>
    <xf applyBorder="1" applyFill="1" applyFont="1" applyNumberFormat="1" borderId="10" fillId="0" fontId="8" numFmtId="164" xfId="0"/>
    <xf applyBorder="1" applyFill="1" applyFont="1" applyNumberFormat="1" borderId="0" fillId="0" fontId="8" numFmtId="10" xfId="0"/>
    <xf applyFill="1" applyFont="1" borderId="0" fillId="0" fontId="7" numFmtId="0" xfId="0"/>
    <xf applyAlignment="1" applyBorder="1" applyFill="1" applyFont="1" borderId="11" fillId="0" fontId="7" numFmtId="0" xfId="0">
      <alignment horizontal="left"/>
    </xf>
    <xf applyAlignment="1" applyFill="1" applyFont="1" borderId="0" fillId="0" fontId="8" numFmtId="0" xfId="0">
      <alignment horizontal="left"/>
    </xf>
    <xf applyAlignment="1" applyBorder="1" applyFill="1" applyFont="1" borderId="12" fillId="0" fontId="8" numFmtId="0" xfId="0">
      <alignment horizontal="left"/>
    </xf>
    <xf applyAlignment="1" applyBorder="1" applyFill="1" applyFont="1" borderId="13" fillId="0" fontId="8" numFmtId="0" xfId="0">
      <alignment horizontal="left"/>
    </xf>
    <xf applyBorder="1" applyFill="1" applyFont="1" applyNumberFormat="1" borderId="13" fillId="0" fontId="8" numFmtId="164" xfId="0"/>
    <xf applyAlignment="1" applyBorder="1" applyFill="1" applyFont="1" applyNumberFormat="1" borderId="11" fillId="0" fontId="7" numFmtId="164" xfId="0">
      <alignment horizontal="center"/>
    </xf>
    <xf applyFill="1" applyFont="1" applyNumberFormat="1" borderId="0" fillId="0" fontId="8" numFmtId="3" xfId="0"/>
    <xf applyBorder="1" applyFill="1" applyFont="1" applyNumberFormat="1" borderId="0" fillId="0" fontId="8" numFmtId="3" xfId="0"/>
    <xf applyBorder="1" applyFill="1" applyFont="1" applyNumberFormat="1" borderId="13" fillId="0" fontId="8" numFmtId="3" xfId="0"/>
    <xf applyBorder="1" applyFill="1" applyFont="1" applyNumberFormat="1" borderId="0" fillId="0" fontId="8" numFmtId="164" xfId="0"/>
    <xf applyFill="1" borderId="0" fillId="0" fontId="0" numFmtId="0" xfId="0"/>
    <xf applyBorder="1" applyFill="1" borderId="10" fillId="0" fontId="0" numFmtId="0" xfId="0"/>
    <xf applyBorder="1" applyFill="1" applyFont="1" applyNumberFormat="1" borderId="12" fillId="0" fontId="8" numFmtId="3" xfId="0"/>
    <xf applyBorder="1" applyFill="1" applyFont="1" applyNumberFormat="1" borderId="10" fillId="0" fontId="8" numFmtId="3" xfId="0"/>
    <xf applyBorder="1" applyFill="1" applyFont="1" borderId="10" fillId="0" fontId="8" numFmtId="0" xfId="0"/>
    <xf applyFont="1" borderId="0" fillId="0" fontId="4" numFmtId="0" xfId="0"/>
    <xf applyAlignment="1" applyBorder="1" applyFont="1" borderId="12" fillId="0" fontId="27" numFmtId="0" xfId="0">
      <alignment horizontal="center"/>
    </xf>
    <xf applyBorder="1" applyFill="1" applyFont="1" borderId="0" fillId="0" fontId="4" numFmtId="0" xfId="0"/>
    <xf applyFont="1" borderId="0" fillId="0" fontId="5" numFmtId="0" xfId="0"/>
    <xf applyBorder="1" applyFont="1" borderId="10" fillId="0" fontId="5" numFmtId="0" xfId="0"/>
    <xf applyAlignment="1" applyBorder="1" applyFont="1" borderId="11" fillId="0" fontId="4" numFmtId="0" xfId="0">
      <alignment horizontal="left"/>
    </xf>
    <xf applyFont="1" borderId="0" fillId="0" fontId="28" numFmtId="0" xfId="0"/>
    <xf applyFont="1" applyNumberFormat="1" borderId="0" fillId="0" fontId="28" numFmtId="3" xfId="0"/>
    <xf applyBorder="1" applyFont="1" borderId="13" fillId="0" fontId="28" numFmtId="0" xfId="0"/>
    <xf applyBorder="1" applyFont="1" applyNumberFormat="1" borderId="13" fillId="0" fontId="28" numFmtId="3" xfId="0"/>
    <xf applyFont="1" applyNumberFormat="1" borderId="0" fillId="0" fontId="28" numFmtId="9" xfId="0"/>
    <xf applyBorder="1" applyFont="1" borderId="0" fillId="0" fontId="28" numFmtId="0" xfId="0"/>
    <xf applyBorder="1" applyFont="1" applyNumberFormat="1" borderId="12" fillId="0" fontId="28" numFmtId="3" xfId="0"/>
    <xf applyBorder="1" applyFont="1" applyNumberFormat="1" borderId="12" fillId="0" fontId="28" numFmtId="9" xfId="0"/>
    <xf applyBorder="1" applyFont="1" applyNumberFormat="1" borderId="10" fillId="0" fontId="28" numFmtId="3" xfId="0"/>
    <xf applyBorder="1" applyFont="1" applyNumberFormat="1" borderId="10" fillId="0" fontId="28" numFmtId="9" xfId="0"/>
    <xf applyFont="1" applyNumberFormat="1" borderId="0" fillId="0" fontId="28" numFmtId="2" xfId="0"/>
    <xf applyBorder="1" applyFont="1" applyNumberFormat="1" borderId="12" fillId="0" fontId="28" numFmtId="2" xfId="0"/>
    <xf applyBorder="1" applyFont="1" applyNumberFormat="1" borderId="10" fillId="0" fontId="28" numFmtId="2" xfId="0"/>
    <xf applyBorder="1" applyFont="1" borderId="12" fillId="0" fontId="28" numFmtId="0" xfId="0"/>
    <xf applyBorder="1" applyFont="1" applyNumberFormat="1" borderId="13" fillId="0" fontId="28" numFmtId="9" xfId="0"/>
    <xf applyBorder="1" applyFont="1" borderId="10" fillId="0" fontId="28" numFmtId="0" xfId="0"/>
    <xf applyFont="1" applyNumberFormat="1" borderId="0" fillId="0" fontId="5" numFmtId="3" xfId="0"/>
    <xf applyBorder="1" applyFont="1" borderId="13" fillId="0" fontId="5" numFmtId="0" xfId="0"/>
    <xf applyBorder="1" applyFont="1" applyNumberFormat="1" borderId="13" fillId="0" fontId="5" numFmtId="3" xfId="0"/>
    <xf applyFont="1" applyNumberFormat="1" borderId="0" fillId="0" fontId="8" numFmtId="167" xfId="0"/>
    <xf applyBorder="1" applyFont="1" borderId="0" fillId="0" fontId="7" numFmtId="0" xfId="0"/>
    <xf applyAlignment="1" applyBorder="1" applyFont="1" borderId="0" fillId="0" fontId="7" numFmtId="0" xfId="0">
      <alignment horizontal="center"/>
    </xf>
    <xf applyBorder="1" applyFill="1" applyFont="1" applyNumberFormat="1" borderId="12" fillId="17" fontId="8" numFmtId="164" xfId="0"/>
    <xf applyBorder="1" applyFill="1" applyFont="1" applyNumberFormat="1" borderId="10" fillId="17" fontId="8" numFmtId="164" xfId="0"/>
    <xf applyFill="1" applyFont="1" applyNumberFormat="1" borderId="0" fillId="17" fontId="8" numFmtId="164" xfId="0"/>
    <xf applyNumberFormat="1" borderId="0" fillId="0" fontId="0" numFmtId="16" xfId="0"/>
    <xf applyAlignment="1" applyBorder="1" applyFill="1" applyFont="1" borderId="11" fillId="17" fontId="7" numFmtId="0" xfId="0">
      <alignment horizontal="center"/>
    </xf>
    <xf applyNumberFormat="1" borderId="0" fillId="0" fontId="0" numFmtId="17" xfId="0"/>
    <xf applyBorder="1" applyFont="1" applyNumberFormat="1" borderId="0" fillId="0" fontId="8" numFmtId="167" xfId="0"/>
    <xf applyBorder="1" applyFont="1" borderId="0" fillId="0" fontId="26" numFmtId="0" xfId="0"/>
    <xf applyAlignment="1" applyBorder="1" applyFont="1" borderId="0" fillId="0" fontId="7" numFmtId="0" xfId="0">
      <alignment horizontal="left"/>
    </xf>
    <xf applyBorder="1" borderId="0" fillId="0" fontId="0" numFmtId="0" xfId="0"/>
    <xf applyBorder="1" applyFill="1" borderId="0" fillId="0" fontId="0" numFmtId="0" xfId="0"/>
    <xf applyAlignment="1" applyBorder="1" applyFill="1" applyFont="1" borderId="0" fillId="0" fontId="7" numFmtId="0" xfId="0">
      <alignment horizontal="center"/>
    </xf>
    <xf applyBorder="1" applyFill="1" applyFont="1" borderId="0" fillId="0" fontId="8" numFmtId="0" xfId="0"/>
    <xf applyBorder="1" applyFont="1" applyNumberFormat="1" borderId="0" fillId="0" fontId="8" numFmtId="165" xfId="0"/>
    <xf applyNumberFormat="1" borderId="0" fillId="0" fontId="0" numFmtId="165" xfId="0"/>
    <xf applyAlignment="1" borderId="0" fillId="0" fontId="29" numFmtId="0" xfId="43"/>
    <xf borderId="0" fillId="0" fontId="3" numFmtId="0" xfId="49"/>
    <xf applyAlignment="1" borderId="0" fillId="0" fontId="3" numFmtId="0" xfId="49">
      <alignment horizontal="center"/>
    </xf>
    <xf applyAlignment="1" applyNumberFormat="1" borderId="0" fillId="0" fontId="3" numFmtId="11" xfId="49">
      <alignment horizontal="center"/>
    </xf>
    <xf applyAlignment="1" applyFont="1" borderId="0" fillId="0" fontId="45" numFmtId="0" xfId="49">
      <alignment horizontal="center"/>
    </xf>
    <xf applyAlignment="1" applyFont="1" applyNumberFormat="1" borderId="0" fillId="0" fontId="45" numFmtId="11" xfId="49">
      <alignment horizontal="center"/>
    </xf>
    <xf applyAlignment="1" applyFont="1" borderId="0" fillId="0" fontId="45" numFmtId="0" xfId="49">
      <alignment horizontal="left"/>
    </xf>
    <xf applyAlignment="1" applyFill="1" applyNumberFormat="1" borderId="0" fillId="49" fontId="3" numFmtId="11" xfId="49">
      <alignment horizontal="center"/>
    </xf>
    <xf applyFont="1" borderId="0" fillId="0" fontId="47" numFmtId="0" xfId="0"/>
    <xf applyFont="1" borderId="0" fillId="0" fontId="48" numFmtId="0" xfId="0"/>
    <xf applyFont="1" applyNumberFormat="1" borderId="0" fillId="0" fontId="48" numFmtId="21" xfId="0"/>
    <xf applyFont="1" applyNumberFormat="1" borderId="0" fillId="0" fontId="48" numFmtId="11" xfId="0"/>
    <xf applyFont="1" applyNumberFormat="1" borderId="0" fillId="0" fontId="48" numFmtId="2" xfId="0"/>
    <xf applyFont="1" borderId="0" fillId="0" fontId="49" numFmtId="0" xfId="0"/>
    <xf applyBorder="1" applyFont="1" borderId="12" fillId="0" fontId="49" numFmtId="0" xfId="0"/>
    <xf applyBorder="1" applyFont="1" borderId="12" fillId="0" fontId="48" numFmtId="0" xfId="0"/>
    <xf applyBorder="1" applyFont="1" applyNumberFormat="1" borderId="12" fillId="0" fontId="48" numFmtId="2" xfId="0"/>
    <xf applyBorder="1" applyFont="1" borderId="0" fillId="0" fontId="48" numFmtId="0" xfId="0"/>
    <xf applyBorder="1" applyFont="1" borderId="10" fillId="0" fontId="48" numFmtId="0" xfId="0"/>
    <xf applyFont="1" applyNumberFormat="1" borderId="0" fillId="0" fontId="48" numFmtId="3" xfId="0"/>
    <xf applyFont="1" applyNumberFormat="1" borderId="0" fillId="0" fontId="48" numFmtId="17" xfId="0"/>
    <xf applyFont="1" applyNumberFormat="1" borderId="0" fillId="0" fontId="48" numFmtId="16" xfId="0"/>
    <xf applyFont="1" borderId="0" fillId="0" fontId="50" numFmtId="0" xfId="0"/>
    <xf applyFont="1" applyNumberFormat="1" borderId="0" fillId="0" fontId="48" numFmtId="167" xfId="0"/>
    <xf applyBorder="1" applyFont="1" borderId="0" fillId="0" fontId="49" numFmtId="0" xfId="0"/>
    <xf applyAlignment="1" applyBorder="1" applyFont="1" applyNumberFormat="1" borderId="0" fillId="0" fontId="48" numFmtId="1" quotePrefix="1" xfId="0">
      <alignment horizontal="right"/>
    </xf>
    <xf applyBorder="1" applyFont="1" applyNumberFormat="1" borderId="10" fillId="0" fontId="48" numFmtId="167" xfId="0"/>
    <xf applyFont="1" applyNumberFormat="1" borderId="0" fillId="0" fontId="48" numFmtId="0" xfId="0"/>
    <xf applyBorder="1" applyFont="1" applyNumberFormat="1" borderId="10" fillId="0" fontId="48" numFmtId="0" xfId="0"/>
    <xf applyFont="1" applyNumberFormat="1" borderId="0" fillId="0" fontId="48" numFmtId="169" xfId="0"/>
    <xf applyBorder="1" applyFont="1" applyNumberFormat="1" borderId="10" fillId="0" fontId="48" numFmtId="169" xfId="0"/>
    <xf applyFill="1" applyFont="1" borderId="0" fillId="51" fontId="48" numFmtId="0" xfId="0"/>
    <xf applyFill="1" applyFont="1" applyNumberFormat="1" borderId="0" fillId="51" fontId="48" numFmtId="167" xfId="0"/>
    <xf applyBorder="1" applyFont="1" applyNumberFormat="1" borderId="10" fillId="0" fontId="48" numFmtId="3" xfId="0"/>
    <xf applyBorder="1" applyFont="1" applyNumberFormat="1" borderId="10" fillId="0" fontId="48" numFmtId="2" xfId="0"/>
    <xf applyBorder="1" applyFont="1" applyNumberFormat="1" borderId="12" fillId="0" fontId="48" numFmtId="3" xfId="0"/>
    <xf applyAlignment="1" applyBorder="1" applyFont="1" applyNumberFormat="1" borderId="12" fillId="0" fontId="48" numFmtId="1" quotePrefix="1" xfId="0">
      <alignment horizontal="right"/>
    </xf>
    <xf applyBorder="1" applyFont="1" borderId="10" fillId="0" fontId="49" numFmtId="0" xfId="0"/>
    <xf applyFill="1" applyFont="1" borderId="0" fillId="52" fontId="48" numFmtId="0" xfId="0"/>
    <xf applyBorder="1" applyFill="1" applyFont="1" applyNumberFormat="1" borderId="0" fillId="0" fontId="7" numFmtId="0" xfId="0"/>
    <xf applyBorder="1" applyFill="1" applyFont="1" applyNumberFormat="1" borderId="0" fillId="0" fontId="8" numFmtId="0" xfId="0"/>
    <xf applyAlignment="1" applyBorder="1" applyFill="1" applyFont="1" applyNumberFormat="1" borderId="0" fillId="0" fontId="7" numFmtId="0" xfId="0">
      <alignment horizontal="center"/>
    </xf>
    <xf applyBorder="1" applyFill="1" applyFont="1" applyNumberFormat="1" borderId="0" fillId="0" fontId="48" numFmtId="0" xfId="0"/>
    <xf applyFill="1" applyFont="1" applyNumberFormat="1" borderId="0" fillId="0" fontId="48" numFmtId="172" xfId="0"/>
    <xf applyFill="1" applyFont="1" applyNumberFormat="1" borderId="0" fillId="0" fontId="48" numFmtId="167" xfId="0"/>
    <xf applyFill="1" applyFont="1" applyNumberFormat="1" borderId="0" fillId="51" fontId="48" numFmtId="172" xfId="0"/>
    <xf applyAlignment="1" applyBorder="1" applyFont="1" borderId="0" fillId="0" fontId="27" numFmtId="0" xfId="0">
      <alignment horizontal="center"/>
    </xf>
    <xf applyFont="1" applyNumberFormat="1" borderId="0" fillId="0" fontId="48" numFmtId="14" xfId="0"/>
    <xf applyAlignment="1" applyBorder="1" applyFont="1" borderId="11" fillId="0" fontId="4" numFmtId="0" xfId="0">
      <alignment horizontal="right"/>
    </xf>
    <xf applyFill="1" applyFont="1" borderId="0" fillId="0" fontId="48" numFmtId="0" xfId="0"/>
    <xf applyAlignment="1" applyBorder="1" applyFont="1" borderId="12" fillId="0" fontId="49" numFmtId="0" xfId="0">
      <alignment horizontal="right"/>
    </xf>
    <xf applyAlignment="1" applyBorder="1" applyFill="1" applyFont="1" borderId="12" fillId="51" fontId="49" numFmtId="0" xfId="0">
      <alignment horizontal="right"/>
    </xf>
    <xf applyFill="1" applyFont="1" borderId="0" fillId="54" fontId="48" numFmtId="0" xfId="0"/>
    <xf applyBorder="1" applyFill="1" applyFont="1" applyNumberFormat="1" borderId="10" fillId="51" fontId="48" numFmtId="167" xfId="0"/>
    <xf applyBorder="1" applyFill="1" applyFont="1" borderId="10" fillId="54" fontId="48" numFmtId="0" xfId="0"/>
    <xf applyAlignment="1" applyBorder="1" applyFill="1" applyFont="1" borderId="12" fillId="54" fontId="49" numFmtId="0" xfId="0">
      <alignment horizontal="right"/>
    </xf>
    <xf applyAlignment="1" applyFont="1" borderId="0" fillId="0" fontId="49" numFmtId="0" xfId="0">
      <alignment horizontal="right"/>
    </xf>
    <xf applyFill="1" applyFont="1" applyNumberFormat="1" borderId="0" fillId="50" fontId="46" numFmtId="172" xfId="0"/>
    <xf applyFill="1" applyFont="1" applyNumberFormat="1" borderId="0" fillId="50" fontId="46" numFmtId="167" xfId="0"/>
    <xf applyBorder="1" applyFill="1" applyFont="1" borderId="12" fillId="50" fontId="42" numFmtId="0" xfId="0"/>
    <xf applyAlignment="1" applyBorder="1" applyFill="1" applyFont="1" borderId="12" fillId="50" fontId="42" numFmtId="0" xfId="0">
      <alignment horizontal="right"/>
    </xf>
    <xf applyFill="1" applyFont="1" applyNumberFormat="1" borderId="0" fillId="50" fontId="46" numFmtId="171" xfId="0"/>
    <xf applyFill="1" applyFont="1" applyNumberFormat="1" borderId="0" fillId="50" fontId="46" numFmtId="170" xfId="0"/>
    <xf applyFill="1" applyFont="1" applyNumberFormat="1" borderId="0" fillId="50" fontId="46" numFmtId="173" xfId="0"/>
    <xf applyBorder="1" applyFill="1" applyFont="1" applyNumberFormat="1" borderId="10" fillId="50" fontId="46" numFmtId="173" xfId="0"/>
    <xf applyFill="1" applyFont="1" applyNumberFormat="1" borderId="0" fillId="54" fontId="48" numFmtId="173" xfId="0"/>
    <xf applyBorder="1" applyFill="1" applyFont="1" applyNumberFormat="1" borderId="10" fillId="54" fontId="48" numFmtId="173" xfId="0"/>
    <xf applyBorder="1" applyFill="1" applyFont="1" borderId="23" fillId="53" fontId="47" numFmtId="0" xfId="0"/>
    <xf applyBorder="1" applyFill="1" applyFont="1" borderId="24" fillId="53" fontId="48" numFmtId="0" xfId="0"/>
    <xf applyBorder="1" applyFill="1" applyFont="1" borderId="25" fillId="53" fontId="48" numFmtId="0" xfId="0"/>
    <xf applyBorder="1" applyFill="1" applyFont="1" borderId="26" fillId="53" fontId="48" numFmtId="0" xfId="0"/>
    <xf applyBorder="1" applyFill="1" applyFont="1" borderId="0" fillId="53" fontId="48" numFmtId="0" xfId="0"/>
    <xf applyBorder="1" applyFill="1" applyFont="1" borderId="27" fillId="53" fontId="48" numFmtId="0" xfId="0"/>
    <xf applyBorder="1" applyFill="1" applyFont="1" borderId="12" fillId="53" fontId="48" numFmtId="0" xfId="0"/>
    <xf applyBorder="1" applyFill="1" applyFont="1" borderId="29" fillId="53" fontId="48" numFmtId="0" xfId="0"/>
    <xf applyAlignment="1" applyBorder="1" applyFill="1" applyFont="1" borderId="28" fillId="53" fontId="49" numFmtId="0" xfId="0">
      <alignment horizontal="right"/>
    </xf>
    <xf applyBorder="1" applyFill="1" borderId="25" fillId="53" fontId="0" numFmtId="0" xfId="0"/>
    <xf applyBorder="1" applyFill="1" borderId="27" fillId="53" fontId="0" numFmtId="0" xfId="0"/>
    <xf applyBorder="1" applyFill="1" applyFont="1" borderId="28" fillId="53" fontId="48" numFmtId="0" xfId="0"/>
    <xf applyBorder="1" applyFont="1" applyNumberFormat="1" borderId="13" fillId="0" fontId="28" numFmtId="2" xfId="0"/>
    <xf applyBorder="1" applyFont="1" borderId="0" fillId="0" fontId="5" numFmtId="0" xfId="0"/>
    <xf applyBorder="1" applyFont="1" applyNumberFormat="1" borderId="0" fillId="0" fontId="28" numFmtId="3" xfId="0"/>
    <xf applyBorder="1" applyFont="1" applyNumberFormat="1" borderId="0" fillId="0" fontId="28" numFmtId="9" xfId="0"/>
    <xf applyFont="1" borderId="0" fillId="0" fontId="28" numFmtId="9" xfId="92"/>
    <xf applyFont="1" applyNumberFormat="1" borderId="0" fillId="0" fontId="28" numFmtId="164" xfId="92"/>
    <xf applyBorder="1" applyFont="1" applyNumberFormat="1" borderId="0" fillId="0" fontId="48" numFmtId="174" xfId="159"/>
    <xf applyFont="1" applyNumberFormat="1" borderId="0" fillId="0" fontId="0" numFmtId="174" xfId="159"/>
    <xf applyFont="1" applyNumberFormat="1" borderId="0" fillId="0" fontId="28" numFmtId="174" xfId="159"/>
    <xf applyBorder="1" applyFont="1" applyNumberFormat="1" borderId="13" fillId="0" fontId="48" numFmtId="3" xfId="0"/>
    <xf applyBorder="1" applyFont="1" applyNumberFormat="1" borderId="13" fillId="0" fontId="48" numFmtId="2" xfId="0"/>
    <xf applyFont="1" applyNumberFormat="1" borderId="0" fillId="0" fontId="48" numFmtId="174" xfId="159"/>
    <xf applyFont="1" applyNumberFormat="1" borderId="0" fillId="0" fontId="28" numFmtId="174" xfId="0"/>
    <xf applyFont="1" applyNumberFormat="1" borderId="0" fillId="0" fontId="48" numFmtId="43" xfId="0"/>
    <xf applyBorder="1" applyFont="1" borderId="0" fillId="0" fontId="8" numFmtId="43" xfId="159"/>
    <xf applyBorder="1" applyFill="1" applyFont="1" applyNumberFormat="1" borderId="0" fillId="0" fontId="49" numFmtId="0" xfId="0"/>
    <xf borderId="0" fillId="0" fontId="1" numFmtId="0" xfId="160"/>
    <xf applyFont="1" borderId="0" fillId="0" fontId="45" numFmtId="0" xfId="160"/>
    <xf applyAlignment="1" applyFont="1" borderId="0" fillId="0" fontId="45" numFmtId="0" xfId="160">
      <alignment horizontal="left"/>
    </xf>
    <xf applyAlignment="1" applyBorder="1" applyFont="1" borderId="31" fillId="0" fontId="45" numFmtId="0" xfId="160">
      <alignment horizontal="center"/>
    </xf>
    <xf applyBorder="1" applyFont="1" borderId="32" fillId="0" fontId="45" numFmtId="0" xfId="160"/>
    <xf applyAlignment="1" applyBorder="1" applyFont="1" borderId="32" fillId="0" fontId="45" numFmtId="0" xfId="160">
      <alignment horizontal="center"/>
    </xf>
    <xf applyAlignment="1" applyBorder="1" borderId="31" fillId="0" fontId="1" numFmtId="0" xfId="160">
      <alignment horizontal="center"/>
    </xf>
    <xf applyBorder="1" borderId="32" fillId="0" fontId="1" numFmtId="0" xfId="160"/>
    <xf applyAlignment="1" applyBorder="1" borderId="32" fillId="0" fontId="1" numFmtId="0" xfId="160">
      <alignment horizontal="center"/>
    </xf>
    <xf applyFill="1" applyFont="1" borderId="0" fillId="55" fontId="50" numFmtId="0" xfId="0"/>
    <xf applyAlignment="1" applyFill="1" applyFont="1" borderId="0" fillId="55" fontId="49" numFmtId="0" xfId="0">
      <alignment horizontal="right"/>
    </xf>
    <xf applyFill="1" applyFont="1" borderId="0" fillId="55" fontId="48" numFmtId="0" xfId="0"/>
    <xf applyFill="1" borderId="0" fillId="55" fontId="0" numFmtId="0" xfId="0"/>
    <xf applyBorder="1" applyFill="1" applyFont="1" borderId="10" fillId="55" fontId="49" numFmtId="0" xfId="0"/>
    <xf applyBorder="1" applyFill="1" applyFont="1" borderId="10" fillId="55" fontId="48" numFmtId="0" xfId="0"/>
    <xf applyBorder="1" applyFill="1" borderId="10" fillId="55" fontId="0" numFmtId="0" xfId="0"/>
    <xf applyBorder="1" applyFill="1" applyFont="1" borderId="12" fillId="55" fontId="49" numFmtId="0" xfId="0"/>
    <xf applyAlignment="1" applyBorder="1" applyFill="1" applyFont="1" borderId="12" fillId="55" fontId="49" numFmtId="0" xfId="0">
      <alignment horizontal="right"/>
    </xf>
    <xf applyFill="1" applyFont="1" applyNumberFormat="1" borderId="0" fillId="55" fontId="48" numFmtId="0" xfId="0"/>
    <xf applyFill="1" applyFont="1" applyNumberFormat="1" borderId="0" fillId="55" fontId="48" numFmtId="167" xfId="0"/>
    <xf applyFill="1" applyFont="1" applyNumberFormat="1" borderId="0" fillId="55" fontId="48" numFmtId="169" xfId="0"/>
    <xf applyFill="1" applyFont="1" applyNumberFormat="1" borderId="0" fillId="55" fontId="48" numFmtId="173" xfId="0"/>
    <xf applyBorder="1" applyFill="1" applyFont="1" applyNumberFormat="1" borderId="10" fillId="55" fontId="48" numFmtId="0" xfId="0"/>
    <xf applyBorder="1" applyFill="1" applyFont="1" applyNumberFormat="1" borderId="10" fillId="55" fontId="48" numFmtId="167" xfId="0"/>
    <xf applyBorder="1" applyFill="1" applyFont="1" applyNumberFormat="1" borderId="10" fillId="55" fontId="48" numFmtId="169" xfId="0"/>
    <xf applyBorder="1" applyFill="1" applyFont="1" applyNumberFormat="1" borderId="10" fillId="55" fontId="48" numFmtId="173" xfId="0"/>
    <xf applyBorder="1" applyFill="1" applyFont="1" applyNumberFormat="1" borderId="24" fillId="55" fontId="48" numFmtId="169" xfId="0"/>
    <xf applyBorder="1" applyFill="1" applyFont="1" applyNumberFormat="1" borderId="0" fillId="55" fontId="48" numFmtId="169" xfId="0"/>
    <xf applyAlignment="1" applyBorder="1" applyFill="1" applyFont="1" borderId="11" fillId="55" fontId="49" numFmtId="0" xfId="0">
      <alignment horizontal="right"/>
    </xf>
    <xf applyAlignment="1" applyBorder="1" applyFill="1" applyFont="1" borderId="11" fillId="55" fontId="49" numFmtId="0" xfId="0">
      <alignment horizontal="left"/>
    </xf>
    <xf applyBorder="1" applyFill="1" applyFont="1" applyNumberFormat="1" borderId="0" fillId="55" fontId="48" numFmtId="171" xfId="0"/>
    <xf applyBorder="1" applyFill="1" applyFont="1" borderId="0" fillId="55" fontId="48" numFmtId="0" xfId="0"/>
    <xf applyBorder="1" applyFill="1" applyFont="1" applyNumberFormat="1" borderId="0" fillId="55" fontId="48" numFmtId="167" xfId="0"/>
    <xf applyBorder="1" applyFill="1" applyFont="1" applyNumberFormat="1" borderId="10" fillId="55" fontId="48" numFmtId="171" xfId="0"/>
    <xf applyBorder="1" applyFill="1" applyFont="1" applyNumberFormat="1" borderId="0" fillId="55" fontId="48" numFmtId="0" xfId="0"/>
    <xf applyAlignment="1" applyBorder="1" applyFill="1" applyFont="1" applyNumberFormat="1" borderId="12" fillId="55" fontId="49" numFmtId="0" xfId="0">
      <alignment horizontal="right"/>
    </xf>
    <xf applyBorder="1" applyFill="1" applyFont="1" borderId="11" fillId="55" fontId="49" numFmtId="0" xfId="0"/>
    <xf applyFill="1" applyFont="1" applyNumberFormat="1" borderId="0" fillId="55" fontId="48" numFmtId="171" xfId="0"/>
    <xf applyAlignment="1" applyBorder="1" applyFont="1" borderId="11" fillId="0" fontId="49" numFmtId="0" xfId="0">
      <alignment horizontal="left"/>
    </xf>
    <xf applyAlignment="1" applyBorder="1" applyFont="1" borderId="11" fillId="0" fontId="49" numFmtId="0" xfId="0">
      <alignment horizontal="center"/>
    </xf>
    <xf applyBorder="1" applyFont="1" borderId="13" fillId="0" fontId="48" numFmtId="0" xfId="0"/>
    <xf applyBorder="1" applyFill="1" applyFont="1" applyNumberFormat="1" borderId="13" fillId="0" fontId="48" numFmtId="3" xfId="0"/>
    <xf applyFont="1" applyNumberFormat="1" borderId="0" fillId="0" fontId="48" numFmtId="4" xfId="0"/>
    <xf applyAlignment="1" applyFont="1" applyNumberFormat="1" borderId="0" fillId="0" fontId="48" numFmtId="3" quotePrefix="1" xfId="0">
      <alignment horizontal="right"/>
    </xf>
    <xf applyBorder="1" applyFill="1" applyFont="1" applyNumberFormat="1" borderId="0" fillId="55" fontId="48" numFmtId="3" xfId="94"/>
    <xf applyBorder="1" applyFont="1" applyNumberFormat="1" borderId="10" fillId="0" fontId="48" numFmtId="4" xfId="0"/>
    <xf applyFont="1" applyNumberFormat="1" borderId="0" fillId="0" fontId="48" numFmtId="166" xfId="0"/>
    <xf applyAlignment="1" applyFont="1" applyNumberFormat="1" borderId="0" fillId="0" fontId="48" numFmtId="166" quotePrefix="1" xfId="0">
      <alignment horizontal="right"/>
    </xf>
    <xf applyBorder="1" applyFont="1" applyNumberFormat="1" borderId="10" fillId="0" fontId="48" numFmtId="166" xfId="0"/>
    <xf applyBorder="1" applyFill="1" applyFont="1" applyNumberFormat="1" borderId="0" fillId="50" fontId="46" numFmtId="170" xfId="0"/>
    <xf applyAlignment="1" applyBorder="1" applyFill="1" applyFont="1" applyNumberFormat="1" borderId="0" fillId="0" fontId="49" numFmtId="0" xfId="0">
      <alignment horizontal="center"/>
    </xf>
    <xf applyBorder="1" applyFont="1" applyNumberFormat="1" borderId="24" fillId="0" fontId="48" numFmtId="170" xfId="0"/>
    <xf applyAlignment="1" applyBorder="1" applyFont="1" applyNumberFormat="1" borderId="24" fillId="0" fontId="48" numFmtId="170" xfId="0">
      <alignment horizontal="right"/>
    </xf>
    <xf applyBorder="1" applyFont="1" applyNumberFormat="1" borderId="0" fillId="0" fontId="48" numFmtId="170" xfId="0"/>
    <xf applyAlignment="1" applyBorder="1" applyFont="1" applyNumberFormat="1" borderId="0" fillId="0" fontId="48" numFmtId="170" xfId="0">
      <alignment horizontal="right"/>
    </xf>
    <xf applyBorder="1" applyFont="1" applyNumberFormat="1" borderId="10" fillId="0" fontId="48" numFmtId="170" xfId="0"/>
    <xf applyBorder="1" applyFill="1" applyFont="1" applyNumberFormat="1" borderId="10" fillId="55" fontId="48" numFmtId="3" xfId="94"/>
    <xf applyBorder="1" applyFill="1" applyFont="1" applyNumberFormat="1" borderId="10" fillId="50" fontId="46" numFmtId="170" xfId="0"/>
    <xf applyAlignment="1" applyBorder="1" applyFont="1" borderId="30" fillId="0" fontId="49" numFmtId="0" xfId="0">
      <alignment horizontal="center"/>
    </xf>
    <xf applyAlignment="1" applyBorder="1" applyFont="1" applyNumberFormat="1" borderId="24" fillId="0" fontId="48" numFmtId="3" quotePrefix="1" xfId="0">
      <alignment horizontal="right"/>
    </xf>
    <xf applyFont="1" applyNumberFormat="1" borderId="0" fillId="0" fontId="48" numFmtId="170" xfId="0"/>
    <xf applyFont="1" borderId="0" fillId="0" fontId="48" numFmtId="0" quotePrefix="1" xfId="0"/>
    <xf applyFill="1" applyFont="1" borderId="0" fillId="55" fontId="49" numFmtId="0" xfId="0"/>
    <xf applyBorder="1" applyFont="1" applyNumberFormat="1" borderId="0" fillId="0" fontId="48" numFmtId="3" xfId="0"/>
    <xf applyBorder="1" applyFill="1" applyFont="1" applyNumberFormat="1" borderId="10" fillId="55" fontId="48" numFmtId="170" xfId="0"/>
    <xf applyBorder="1" applyFill="1" applyFont="1" applyNumberFormat="1" borderId="10" fillId="50" fontId="46" numFmtId="171" xfId="0"/>
    <xf applyAlignment="1" applyFill="1" applyFont="1" borderId="0" fillId="49" fontId="48" numFmtId="0" xfId="0">
      <alignment horizontal="left"/>
    </xf>
    <xf applyFill="1" applyFont="1" applyNumberFormat="1" borderId="0" fillId="51" fontId="48" numFmtId="3" xfId="0"/>
    <xf applyFill="1" applyFont="1" applyNumberFormat="1" borderId="0" fillId="0" fontId="48" numFmtId="3" xfId="0"/>
    <xf applyBorder="1" applyFont="1" applyNumberFormat="1" borderId="0" fillId="0" fontId="48" numFmtId="166" xfId="0"/>
    <xf applyFill="1" applyFont="1" applyNumberFormat="1" borderId="0" fillId="51" fontId="48" numFmtId="4" xfId="0"/>
    <xf applyBorder="1" applyFill="1" applyFont="1" applyNumberFormat="1" borderId="10" fillId="51" fontId="48" numFmtId="4" xfId="0"/>
    <xf applyBorder="1" applyFont="1" applyNumberFormat="1" borderId="0" fillId="0" fontId="0" numFmtId="1" xfId="92"/>
    <xf applyBorder="1" applyFont="1" applyNumberFormat="1" borderId="0" fillId="0" fontId="28" numFmtId="1" xfId="0"/>
    <xf applyAlignment="1" applyBorder="1" applyFont="1" borderId="0" fillId="0" fontId="27" numFmtId="0" xfId="0">
      <alignment horizontal="right"/>
    </xf>
    <xf applyAlignment="1" applyFont="1" borderId="0" fillId="0" fontId="4" numFmtId="0" xfId="0">
      <alignment horizontal="right"/>
    </xf>
    <xf applyBorder="1" applyFont="1" borderId="0" fillId="0" fontId="4" numFmtId="0" xfId="0"/>
    <xf applyBorder="1" applyFont="1" applyNumberFormat="1" borderId="0" fillId="0" fontId="4" numFmtId="3" xfId="0"/>
    <xf applyFont="1" applyNumberFormat="1" borderId="0" fillId="0" fontId="4" numFmtId="3" xfId="0"/>
    <xf applyFont="1" borderId="0" fillId="0" fontId="7" numFmtId="0" xfId="0"/>
  </cellXfs>
  <cellStyles count="176">
    <cellStyle builtinId="30" customBuiltin="1" name="20% - Accent1" xfId="1"/>
    <cellStyle name="20% - Accent1 2" xfId="68"/>
    <cellStyle name="20% - Accent1 2 2" xfId="145"/>
    <cellStyle name="20% - Accent1 3" xfId="95"/>
    <cellStyle name="20% - Accent1 4" xfId="162"/>
    <cellStyle builtinId="34" customBuiltin="1" name="20% - Accent2" xfId="2"/>
    <cellStyle name="20% - Accent2 2" xfId="72"/>
    <cellStyle name="20% - Accent2 2 2" xfId="147"/>
    <cellStyle name="20% - Accent2 3" xfId="96"/>
    <cellStyle name="20% - Accent2 4" xfId="164"/>
    <cellStyle builtinId="38" customBuiltin="1" name="20% - Accent3" xfId="3"/>
    <cellStyle name="20% - Accent3 2" xfId="76"/>
    <cellStyle name="20% - Accent3 2 2" xfId="149"/>
    <cellStyle name="20% - Accent3 3" xfId="97"/>
    <cellStyle name="20% - Accent3 4" xfId="166"/>
    <cellStyle builtinId="42" customBuiltin="1" name="20% - Accent4" xfId="4"/>
    <cellStyle name="20% - Accent4 2" xfId="80"/>
    <cellStyle name="20% - Accent4 2 2" xfId="151"/>
    <cellStyle name="20% - Accent4 3" xfId="98"/>
    <cellStyle name="20% - Accent4 4" xfId="168"/>
    <cellStyle builtinId="46" customBuiltin="1" name="20% - Accent5" xfId="5"/>
    <cellStyle name="20% - Accent5 2" xfId="84"/>
    <cellStyle name="20% - Accent5 2 2" xfId="153"/>
    <cellStyle name="20% - Accent5 3" xfId="99"/>
    <cellStyle name="20% - Accent5 4" xfId="170"/>
    <cellStyle builtinId="50" customBuiltin="1" name="20% - Accent6" xfId="6"/>
    <cellStyle name="20% - Accent6 2" xfId="88"/>
    <cellStyle name="20% - Accent6 2 2" xfId="155"/>
    <cellStyle name="20% - Accent6 3" xfId="100"/>
    <cellStyle name="20% - Accent6 4" xfId="172"/>
    <cellStyle builtinId="31" customBuiltin="1" name="40% - Accent1" xfId="7"/>
    <cellStyle name="40% - Accent1 2" xfId="69"/>
    <cellStyle name="40% - Accent1 2 2" xfId="146"/>
    <cellStyle name="40% - Accent1 3" xfId="101"/>
    <cellStyle name="40% - Accent1 4" xfId="163"/>
    <cellStyle builtinId="35" customBuiltin="1" name="40% - Accent2" xfId="8"/>
    <cellStyle name="40% - Accent2 2" xfId="73"/>
    <cellStyle name="40% - Accent2 2 2" xfId="148"/>
    <cellStyle name="40% - Accent2 3" xfId="102"/>
    <cellStyle name="40% - Accent2 4" xfId="165"/>
    <cellStyle builtinId="39" customBuiltin="1" name="40% - Accent3" xfId="9"/>
    <cellStyle name="40% - Accent3 2" xfId="77"/>
    <cellStyle name="40% - Accent3 2 2" xfId="150"/>
    <cellStyle name="40% - Accent3 3" xfId="103"/>
    <cellStyle name="40% - Accent3 4" xfId="167"/>
    <cellStyle builtinId="43" customBuiltin="1" name="40% - Accent4" xfId="10"/>
    <cellStyle name="40% - Accent4 2" xfId="81"/>
    <cellStyle name="40% - Accent4 2 2" xfId="152"/>
    <cellStyle name="40% - Accent4 3" xfId="104"/>
    <cellStyle name="40% - Accent4 4" xfId="169"/>
    <cellStyle builtinId="47" customBuiltin="1" name="40% - Accent5" xfId="11"/>
    <cellStyle name="40% - Accent5 2" xfId="85"/>
    <cellStyle name="40% - Accent5 2 2" xfId="154"/>
    <cellStyle name="40% - Accent5 3" xfId="105"/>
    <cellStyle name="40% - Accent5 4" xfId="171"/>
    <cellStyle builtinId="51" customBuiltin="1" name="40% - Accent6" xfId="12"/>
    <cellStyle name="40% - Accent6 2" xfId="89"/>
    <cellStyle name="40% - Accent6 2 2" xfId="156"/>
    <cellStyle name="40% - Accent6 3" xfId="106"/>
    <cellStyle name="40% - Accent6 4" xfId="173"/>
    <cellStyle builtinId="32" customBuiltin="1" name="60% - Accent1" xfId="13"/>
    <cellStyle name="60% - Accent1 2" xfId="70"/>
    <cellStyle name="60% - Accent1 3" xfId="107"/>
    <cellStyle builtinId="36" customBuiltin="1" name="60% - Accent2" xfId="14"/>
    <cellStyle name="60% - Accent2 2" xfId="74"/>
    <cellStyle name="60% - Accent2 3" xfId="108"/>
    <cellStyle builtinId="40" customBuiltin="1" name="60% - Accent3" xfId="15"/>
    <cellStyle name="60% - Accent3 2" xfId="78"/>
    <cellStyle name="60% - Accent3 3" xfId="109"/>
    <cellStyle builtinId="44" customBuiltin="1" name="60% - Accent4" xfId="16"/>
    <cellStyle name="60% - Accent4 2" xfId="82"/>
    <cellStyle name="60% - Accent4 3" xfId="110"/>
    <cellStyle builtinId="48" customBuiltin="1" name="60% - Accent5" xfId="17"/>
    <cellStyle name="60% - Accent5 2" xfId="86"/>
    <cellStyle name="60% - Accent5 3" xfId="111"/>
    <cellStyle builtinId="52" customBuiltin="1" name="60% - Accent6" xfId="18"/>
    <cellStyle name="60% - Accent6 2" xfId="90"/>
    <cellStyle name="60% - Accent6 3" xfId="112"/>
    <cellStyle builtinId="29" customBuiltin="1" name="Accent1" xfId="19"/>
    <cellStyle name="Accent1 2" xfId="67"/>
    <cellStyle name="Accent1 3" xfId="113"/>
    <cellStyle builtinId="33" customBuiltin="1" name="Accent2" xfId="20"/>
    <cellStyle name="Accent2 2" xfId="71"/>
    <cellStyle name="Accent2 3" xfId="114"/>
    <cellStyle builtinId="37" customBuiltin="1" name="Accent3" xfId="21"/>
    <cellStyle name="Accent3 2" xfId="75"/>
    <cellStyle name="Accent3 3" xfId="115"/>
    <cellStyle builtinId="41" customBuiltin="1" name="Accent4" xfId="22"/>
    <cellStyle name="Accent4 2" xfId="79"/>
    <cellStyle name="Accent4 3" xfId="116"/>
    <cellStyle builtinId="45" customBuiltin="1" name="Accent5" xfId="23"/>
    <cellStyle name="Accent5 2" xfId="83"/>
    <cellStyle name="Accent5 3" xfId="117"/>
    <cellStyle builtinId="49" customBuiltin="1" name="Accent6" xfId="24"/>
    <cellStyle name="Accent6 2" xfId="87"/>
    <cellStyle name="Accent6 3" xfId="118"/>
    <cellStyle builtinId="27" customBuiltin="1" name="Bad" xfId="25"/>
    <cellStyle name="Bad 2" xfId="56"/>
    <cellStyle name="Bad 3" xfId="119"/>
    <cellStyle builtinId="22" customBuiltin="1" name="Calculation" xfId="26"/>
    <cellStyle name="Calculation 2" xfId="60"/>
    <cellStyle name="Calculation 3" xfId="120"/>
    <cellStyle builtinId="23" customBuiltin="1" name="Check Cell" xfId="27"/>
    <cellStyle name="Check Cell 2" xfId="62"/>
    <cellStyle name="Check Cell 3" xfId="121"/>
    <cellStyle builtinId="3" name="Comma" xfId="159"/>
    <cellStyle name="Comma 2" xfId="91"/>
    <cellStyle name="Comma 2 2" xfId="157"/>
    <cellStyle name="Comma 3" xfId="174"/>
    <cellStyle builtinId="53" customBuiltin="1" name="Explanatory Text" xfId="28"/>
    <cellStyle name="Explanatory Text 2" xfId="65"/>
    <cellStyle name="Explanatory Text 3" xfId="122"/>
    <cellStyle builtinId="26" customBuiltin="1" name="Good" xfId="29"/>
    <cellStyle name="Good 2" xfId="55"/>
    <cellStyle name="Good 3" xfId="123"/>
    <cellStyle builtinId="16" customBuiltin="1" name="Heading 1" xfId="30"/>
    <cellStyle name="Heading 1 2" xfId="51"/>
    <cellStyle name="Heading 1 3" xfId="124"/>
    <cellStyle builtinId="17" customBuiltin="1" name="Heading 2" xfId="31"/>
    <cellStyle name="Heading 2 2" xfId="52"/>
    <cellStyle name="Heading 2 3" xfId="125"/>
    <cellStyle builtinId="18" customBuiltin="1" name="Heading 3" xfId="32"/>
    <cellStyle name="Heading 3 2" xfId="53"/>
    <cellStyle name="Heading 3 3" xfId="126"/>
    <cellStyle builtinId="19" customBuiltin="1" name="Heading 4" xfId="33"/>
    <cellStyle name="Heading 4 2" xfId="54"/>
    <cellStyle name="Heading 4 3" xfId="127"/>
    <cellStyle name="Hyperlink 2" xfId="175"/>
    <cellStyle builtinId="20" customBuiltin="1" name="Input" xfId="34"/>
    <cellStyle name="Input 2" xfId="58"/>
    <cellStyle name="Input 3" xfId="128"/>
    <cellStyle builtinId="24" customBuiltin="1" name="Linked Cell" xfId="35"/>
    <cellStyle name="Linked Cell 2" xfId="61"/>
    <cellStyle name="Linked Cell 3" xfId="129"/>
    <cellStyle builtinId="28" customBuiltin="1" name="Neutral" xfId="36"/>
    <cellStyle name="Neutral 2" xfId="57"/>
    <cellStyle name="Neutral 3" xfId="130"/>
    <cellStyle builtinId="0" name="Normal" xfId="0"/>
    <cellStyle name="Normal 2" xfId="49"/>
    <cellStyle name="Normal 2 2" xfId="143"/>
    <cellStyle name="Normal 3" xfId="94"/>
    <cellStyle name="Normal 4" xfId="93"/>
    <cellStyle name="Normal 5" xfId="160"/>
    <cellStyle builtinId="10" customBuiltin="1" name="Note" xfId="37"/>
    <cellStyle name="Note 2" xfId="64"/>
    <cellStyle name="Note 2 2" xfId="144"/>
    <cellStyle name="Note 3" xfId="131"/>
    <cellStyle name="Note 4" xfId="161"/>
    <cellStyle builtinId="21" customBuiltin="1" name="Output" xfId="38"/>
    <cellStyle name="Output 2" xfId="59"/>
    <cellStyle name="Output 3" xfId="132"/>
    <cellStyle builtinId="5" name="Percent" xfId="92"/>
    <cellStyle name="Percent 2" xfId="158"/>
    <cellStyle builtinId="15" customBuiltin="1" name="Title" xfId="39"/>
    <cellStyle name="Title 2" xfId="50"/>
    <cellStyle name="Title 3" xfId="133"/>
    <cellStyle builtinId="25" customBuiltin="1" name="Total" xfId="40"/>
    <cellStyle name="Total 2" xfId="66"/>
    <cellStyle name="Total 3" xfId="134"/>
    <cellStyle builtinId="11" customBuiltin="1" name="Warning Text" xfId="41"/>
    <cellStyle name="Warning Text 2" xfId="63"/>
    <cellStyle name="Warning Text 3" xfId="135"/>
    <cellStyle name="XLConnect.Boolean" xfId="47"/>
    <cellStyle name="XLConnect.Boolean 2" xfId="141"/>
    <cellStyle name="XLConnect.Date" xfId="44"/>
    <cellStyle name="XLConnect.Date 2" xfId="138"/>
    <cellStyle name="XLConnect.DateTime" xfId="48"/>
    <cellStyle name="XLConnect.DateTime 2" xfId="142"/>
    <cellStyle name="XLConnect.General" xfId="43"/>
    <cellStyle name="XLConnect.General 2" xfId="137"/>
    <cellStyle name="XLConnect.Header" xfId="42"/>
    <cellStyle name="XLConnect.Header 2" xfId="136"/>
    <cellStyle name="XLConnect.Numeric" xfId="46"/>
    <cellStyle name="XLConnect.Numeric 2" xfId="140"/>
    <cellStyle name="XLConnect.String" xfId="45"/>
    <cellStyle name="XLConnect.String 2" xfId="139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worksheets/sheet17.xml" Type="http://schemas.openxmlformats.org/officeDocument/2006/relationships/worksheet"/>
<Relationship Id="rId18" Target="worksheets/sheet18.xml" Type="http://schemas.openxmlformats.org/officeDocument/2006/relationships/worksheet"/>
<Relationship Id="rId19" Target="worksheets/sheet19.xml" Type="http://schemas.openxmlformats.org/officeDocument/2006/relationships/worksheet"/>
<Relationship Id="rId2" Target="worksheets/sheet2.xml" Type="http://schemas.openxmlformats.org/officeDocument/2006/relationships/worksheet"/>
<Relationship Id="rId20" Target="theme/theme1.xml" Type="http://schemas.openxmlformats.org/officeDocument/2006/relationships/theme"/>
<Relationship Id="rId21" Target="styles.xml" Type="http://schemas.openxmlformats.org/officeDocument/2006/relationships/styles"/>
<Relationship Id="rId22" Target="sharedStrings.xml" Type="http://schemas.openxmlformats.org/officeDocument/2006/relationships/sharedStrings"/>
<Relationship Id="rId23" Target="calcChain.xml" Type="http://schemas.openxmlformats.org/officeDocument/2006/relationships/calcChain"/>
<Relationship Id="rId24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16.xml.rels><?xml version="1.0" encoding="UTF-8" standalone="no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_rels/sheet17.xml.rels><?xml version="1.0" encoding="UTF-8" standalone="no"?>
<Relationships xmlns="http://schemas.openxmlformats.org/package/2006/relationships">
<Relationship Id="rId1" Target="../printerSettings/printerSettings15.bin" Type="http://schemas.openxmlformats.org/officeDocument/2006/relationships/printerSettings"/>
</Relationships>

</file>

<file path=xl/worksheets/_rels/sheet19.xml.rels><?xml version="1.0" encoding="UTF-8" standalone="no"?>
<Relationships xmlns="http://schemas.openxmlformats.org/package/2006/relationships">
<Relationship Id="rId1" Target="../printerSettings/printerSettings16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Q116"/>
  <sheetViews>
    <sheetView tabSelected="1" topLeftCell="B7" workbookViewId="0" zoomScale="85" zoomScaleNormal="85">
      <selection activeCell="Q18" sqref="Q18:Q19"/>
    </sheetView>
  </sheetViews>
  <sheetFormatPr defaultColWidth="10.75" defaultRowHeight="12.75" x14ac:dyDescent="0.2"/>
  <cols>
    <col min="1" max="1" customWidth="true" style="65" width="17.75" collapsed="true"/>
    <col min="2" max="5" customWidth="true" style="65" width="12.625" collapsed="true"/>
    <col min="6" max="6" customWidth="true" style="65" width="4.875" collapsed="true"/>
    <col min="7" max="10" style="65" width="10.75" collapsed="true"/>
    <col min="11" max="11" customWidth="true" style="65" width="16.625" collapsed="true"/>
    <col min="12" max="13" style="65" width="10.75" collapsed="true"/>
    <col min="14" max="14" bestFit="true" customWidth="true" style="65" width="14.625" collapsed="true"/>
    <col min="15" max="15" bestFit="true" customWidth="true" style="65" width="13.625" collapsed="true"/>
    <col min="16" max="16384" style="65" width="10.75" collapsed="true"/>
  </cols>
  <sheetData>
    <row customHeight="1" ht="18" r="1" spans="1:17" x14ac:dyDescent="0.2">
      <c r="A1" s="62" t="s">
        <v>185</v>
      </c>
    </row>
    <row customHeight="1" ht="18" r="2" spans="1:17" thickBot="1" x14ac:dyDescent="0.25">
      <c r="B2" s="66"/>
      <c r="C2" s="66"/>
      <c r="D2"/>
      <c r="E2" s="68"/>
      <c r="F2" s="68"/>
      <c r="G2" s="68"/>
    </row>
    <row customFormat="1" customHeight="1" ht="18" r="3" s="68" spans="1:17" x14ac:dyDescent="0.2">
      <c r="A3" s="67" t="s">
        <v>217</v>
      </c>
      <c r="B3" s="63" t="s">
        <v>260</v>
      </c>
      <c r="C3" s="63" t="s">
        <v>261</v>
      </c>
      <c r="D3"/>
      <c r="H3" s="185" t="s">
        <v>10553</v>
      </c>
      <c r="J3" s="185">
        <v>1</v>
      </c>
      <c r="K3" s="185">
        <v>2</v>
      </c>
      <c r="L3" s="65">
        <v>3</v>
      </c>
      <c r="M3" s="65">
        <v>4</v>
      </c>
      <c r="N3" s="65">
        <v>5</v>
      </c>
      <c r="O3" s="65">
        <v>6</v>
      </c>
      <c r="P3" s="65">
        <v>7</v>
      </c>
      <c r="Q3" s="65"/>
    </row>
    <row customFormat="1" customHeight="1" ht="18" r="4" s="68" spans="1:17" x14ac:dyDescent="0.2">
      <c r="A4" s="65" t="s">
        <v>3919</v>
      </c>
      <c r="B4" s="84">
        <f>SUM(ToursByTourPurpose!B118)</f>
        <v>151396.64790000001</v>
      </c>
      <c r="C4" s="84">
        <f>SUM(ToursByTourPurpose!N118)</f>
        <v>152941.5</v>
      </c>
      <c r="D4"/>
      <c r="H4" s="151"/>
      <c r="I4" s="276" t="s">
        <v>155</v>
      </c>
      <c r="J4" s="274" t="s">
        <v>3919</v>
      </c>
      <c r="K4" s="274" t="s">
        <v>3920</v>
      </c>
      <c r="L4" s="275" t="s">
        <v>3921</v>
      </c>
      <c r="M4" s="275" t="s">
        <v>3922</v>
      </c>
      <c r="N4" s="275" t="s">
        <v>1522</v>
      </c>
      <c r="O4" s="275" t="s">
        <v>3923</v>
      </c>
      <c r="P4" s="275" t="s">
        <v>3924</v>
      </c>
      <c r="Q4" s="275" t="s">
        <v>10552</v>
      </c>
    </row>
    <row customFormat="1" customHeight="1" ht="18" r="5" s="68" spans="1:17" x14ac:dyDescent="0.2">
      <c r="A5" t="s">
        <v>3920</v>
      </c>
      <c r="B5" s="84">
        <f>SUM(ToursByTourPurpose!C118)</f>
        <v>8845.8525000000009</v>
      </c>
      <c r="C5" s="84">
        <f>ToursByTourPurpose!O118</f>
        <v>9701</v>
      </c>
      <c r="D5"/>
      <c r="H5" s="272">
        <v>1</v>
      </c>
      <c r="I5" s="276" t="s">
        <v>146</v>
      </c>
      <c r="J5" s="186">
        <f>SUMIFS(input_stops!$C$21:$C$75,input_stops!$A$21:$A$75,$H5,input_stops!$B$21:$B$75,J$16)</f>
        <v>67380.191500000001</v>
      </c>
      <c r="K5" s="186">
        <f>SUMIFS(input_stops!$C$21:$C$75,input_stops!$A$21:$A$75,$H5,input_stops!$B$21:$B$75,K$16)</f>
        <v>5546.4423999999999</v>
      </c>
      <c r="L5" s="186">
        <f>SUMIFS(input_stops!$C$21:$C$75,input_stops!$A$21:$A$75,$H5,input_stops!$B$21:$B$75,L$16)</f>
        <v>57225.740599999997</v>
      </c>
      <c r="M5" s="186">
        <f>SUMIFS(input_stops!$C$21:$C$75,input_stops!$A$21:$A$75,$H5,input_stops!$B$21:$B$75,M$16)</f>
        <v>46626.607799999998</v>
      </c>
      <c r="N5" s="186">
        <f>SUMIFS(input_stops!$C$21:$C$75,input_stops!$A$21:$A$75,$H5,input_stops!$B$21:$B$75,N$16)</f>
        <v>276040.17139999999</v>
      </c>
      <c r="O5" s="186">
        <f>SUMIFS(input_stops!$C$21:$C$75,input_stops!$A$21:$A$75,$H5,input_stops!$B$21:$B$75,O$16)</f>
        <v>31451.611099999998</v>
      </c>
      <c r="P5" s="186">
        <f>SUMIFS(input_stops!$C$21:$C$75,input_stops!$A$21:$A$75,$H5,input_stops!$B$21:$B$75,P$16)</f>
        <v>928318.97759999998</v>
      </c>
      <c r="Q5" s="278">
        <f>SUM(J5:P5)</f>
        <v>1412589.7423999999</v>
      </c>
    </row>
    <row customFormat="1" customHeight="1" ht="18" r="6" s="68" spans="1:17" x14ac:dyDescent="0.2">
      <c r="A6" t="s">
        <v>3921</v>
      </c>
      <c r="B6" s="84">
        <f>SUM(ToursByTourPurpose!D118)</f>
        <v>131529.91500000001</v>
      </c>
      <c r="C6" s="84">
        <f>ToursByTourPurpose!P118</f>
        <v>135841.5</v>
      </c>
      <c r="D6"/>
      <c r="H6" s="272">
        <v>2</v>
      </c>
      <c r="I6" s="276" t="s">
        <v>147</v>
      </c>
      <c r="J6" s="186">
        <f>SUMIFS(input_stops!$C$21:$C$75,input_stops!$A$21:$A$75,$H6,input_stops!$B$21:$B$75,J$16)</f>
        <v>13951.564399999999</v>
      </c>
      <c r="K6" s="186">
        <f>SUMIFS(input_stops!$C$21:$C$75,input_stops!$A$21:$A$75,$H6,input_stops!$B$21:$B$75,K$16)</f>
        <v>378.60980000000001</v>
      </c>
      <c r="L6" s="186">
        <f>SUMIFS(input_stops!$C$21:$C$75,input_stops!$A$21:$A$75,$H6,input_stops!$B$21:$B$75,L$16)</f>
        <v>13224.056699999999</v>
      </c>
      <c r="M6" s="186">
        <f>SUMIFS(input_stops!$C$21:$C$75,input_stops!$A$21:$A$75,$H6,input_stops!$B$21:$B$75,M$16)</f>
        <v>10086.334199999999</v>
      </c>
      <c r="N6" s="186">
        <f>SUMIFS(input_stops!$C$21:$C$75,input_stops!$A$21:$A$75,$H6,input_stops!$B$21:$B$75,N$16)</f>
        <v>63855.758099999999</v>
      </c>
      <c r="O6" s="186">
        <f>SUMIFS(input_stops!$C$21:$C$75,input_stops!$A$21:$A$75,$H6,input_stops!$B$21:$B$75,O$16)</f>
        <v>4319.1905999999999</v>
      </c>
      <c r="P6" s="186">
        <f>SUMIFS(input_stops!$C$21:$C$75,input_stops!$A$21:$A$75,$H6,input_stops!$B$21:$B$75,P$16)</f>
        <v>235140.16829999999</v>
      </c>
      <c r="Q6" s="278">
        <f ref="Q6:Q12" si="0" t="shared">SUM(J6:P6)</f>
        <v>340955.68209999998</v>
      </c>
    </row>
    <row customFormat="1" customHeight="1" ht="18" r="7" s="68" spans="1:17" x14ac:dyDescent="0.2">
      <c r="A7" t="s">
        <v>3922</v>
      </c>
      <c r="B7" s="84">
        <f>SUM(ToursByTourPurpose!E118)</f>
        <v>123832.13039999999</v>
      </c>
      <c r="C7" s="84">
        <f>ToursByTourPurpose!Q118</f>
        <v>108932</v>
      </c>
      <c r="D7"/>
      <c r="H7" s="272">
        <v>3</v>
      </c>
      <c r="I7" s="276" t="s">
        <v>148</v>
      </c>
      <c r="J7" s="186">
        <f>SUMIFS(input_stops!$C$21:$C$75,input_stops!$A$21:$A$75,$H7,input_stops!$B$21:$B$75,J$16)</f>
        <v>17397.107800000002</v>
      </c>
      <c r="K7" s="186">
        <f>SUMIFS(input_stops!$C$21:$C$75,input_stops!$A$21:$A$75,$H7,input_stops!$B$21:$B$75,K$16)</f>
        <v>1382.6705999999999</v>
      </c>
      <c r="L7" s="186">
        <f>SUMIFS(input_stops!$C$21:$C$75,input_stops!$A$21:$A$75,$H7,input_stops!$B$21:$B$75,L$16)</f>
        <v>13957.9494</v>
      </c>
      <c r="M7" s="186">
        <f>SUMIFS(input_stops!$C$21:$C$75,input_stops!$A$21:$A$75,$H7,input_stops!$B$21:$B$75,M$16)</f>
        <v>9612.5879000000004</v>
      </c>
      <c r="N7" s="186">
        <f>SUMIFS(input_stops!$C$21:$C$75,input_stops!$A$21:$A$75,$H7,input_stops!$B$21:$B$75,N$16)</f>
        <v>61542.475599999998</v>
      </c>
      <c r="O7" s="186">
        <f>SUMIFS(input_stops!$C$21:$C$75,input_stops!$A$21:$A$75,$H7,input_stops!$B$21:$B$75,O$16)</f>
        <v>5003.9997999999996</v>
      </c>
      <c r="P7" s="186">
        <f>SUMIFS(input_stops!$C$21:$C$75,input_stops!$A$21:$A$75,$H7,input_stops!$B$21:$B$75,P$16)</f>
        <v>276195.18729999999</v>
      </c>
      <c r="Q7" s="278">
        <f si="0" t="shared"/>
        <v>385091.97840000002</v>
      </c>
    </row>
    <row customFormat="1" customHeight="1" ht="18" r="8" s="68" spans="1:17" x14ac:dyDescent="0.2">
      <c r="A8" t="s">
        <v>1522</v>
      </c>
      <c r="B8" s="84">
        <f>SUM(ToursByTourPurpose!F118)</f>
        <v>636827.67330000002</v>
      </c>
      <c r="C8" s="84">
        <f>ToursByTourPurpose!R118</f>
        <v>623275.53186630248</v>
      </c>
      <c r="D8"/>
      <c r="H8" s="272">
        <v>4</v>
      </c>
      <c r="I8" s="276" t="s">
        <v>243</v>
      </c>
      <c r="J8" s="186">
        <f>SUMIFS(input_stops!$C$21:$C$75,input_stops!$A$21:$A$75,$H8,input_stops!$B$21:$B$75,J$16)</f>
        <v>17253.851999999999</v>
      </c>
      <c r="K8" s="186">
        <f>SUMIFS(input_stops!$C$21:$C$75,input_stops!$A$21:$A$75,$H8,input_stops!$B$21:$B$75,K$16)</f>
        <v>2143.4193</v>
      </c>
      <c r="L8" s="186">
        <f>SUMIFS(input_stops!$C$21:$C$75,input_stops!$A$21:$A$75,$H8,input_stops!$B$21:$B$75,L$16)</f>
        <v>16102.5137</v>
      </c>
      <c r="M8" s="186">
        <f>SUMIFS(input_stops!$C$21:$C$75,input_stops!$A$21:$A$75,$H8,input_stops!$B$21:$B$75,M$16)</f>
        <v>22962.752400000001</v>
      </c>
      <c r="N8" s="186">
        <f>SUMIFS(input_stops!$C$21:$C$75,input_stops!$A$21:$A$75,$H8,input_stops!$B$21:$B$75,N$16)</f>
        <v>87610.8027</v>
      </c>
      <c r="O8" s="186">
        <f>SUMIFS(input_stops!$C$21:$C$75,input_stops!$A$21:$A$75,$H8,input_stops!$B$21:$B$75,O$16)</f>
        <v>8520.9485999999997</v>
      </c>
      <c r="P8" s="186">
        <f>SUMIFS(input_stops!$C$21:$C$75,input_stops!$A$21:$A$75,$H8,input_stops!$B$21:$B$75,P$16)</f>
        <v>437694.37969999999</v>
      </c>
      <c r="Q8" s="278">
        <f si="0" t="shared"/>
        <v>592288.66839999997</v>
      </c>
    </row>
    <row customFormat="1" customHeight="1" ht="18" r="9" s="68" spans="1:17" x14ac:dyDescent="0.2">
      <c r="A9" t="s">
        <v>3923</v>
      </c>
      <c r="B9" s="84">
        <f>SUM(ToursByTourPurpose!G118)</f>
        <v>54534.662199999999</v>
      </c>
      <c r="C9" s="84">
        <f>ToursByTourPurpose!S118</f>
        <v>54870.858576608582</v>
      </c>
      <c r="D9"/>
      <c r="H9" s="272">
        <v>5</v>
      </c>
      <c r="I9" s="276" t="s">
        <v>244</v>
      </c>
      <c r="J9" s="186">
        <f>SUMIFS(input_stops!$C$21:$C$75,input_stops!$A$21:$A$75,$H9,input_stops!$B$21:$B$75,J$16)</f>
        <v>2080.6143000000002</v>
      </c>
      <c r="K9" s="186">
        <f>SUMIFS(input_stops!$C$21:$C$75,input_stops!$A$21:$A$75,$H9,input_stops!$B$21:$B$75,K$16)</f>
        <v>294.91109999999998</v>
      </c>
      <c r="L9" s="186">
        <f>SUMIFS(input_stops!$C$21:$C$75,input_stops!$A$21:$A$75,$H9,input_stops!$B$21:$B$75,L$16)</f>
        <v>1471.8117999999999</v>
      </c>
      <c r="M9" s="186">
        <f>SUMIFS(input_stops!$C$21:$C$75,input_stops!$A$21:$A$75,$H9,input_stops!$B$21:$B$75,M$16)</f>
        <v>3498.5259999999998</v>
      </c>
      <c r="N9" s="186">
        <f>SUMIFS(input_stops!$C$21:$C$75,input_stops!$A$21:$A$75,$H9,input_stops!$B$21:$B$75,N$16)</f>
        <v>33894.026700000002</v>
      </c>
      <c r="O9" s="186">
        <f>SUMIFS(input_stops!$C$21:$C$75,input_stops!$A$21:$A$75,$H9,input_stops!$B$21:$B$75,O$16)</f>
        <v>2274.6165999999998</v>
      </c>
      <c r="P9" s="186">
        <f>SUMIFS(input_stops!$C$21:$C$75,input_stops!$A$21:$A$75,$H9,input_stops!$B$21:$B$75,P$16)</f>
        <v>67964.429099999994</v>
      </c>
      <c r="Q9" s="278">
        <f si="0" t="shared"/>
        <v>111478.9356</v>
      </c>
    </row>
    <row customFormat="1" customHeight="1" ht="18" r="10" s="68" spans="1:17" x14ac:dyDescent="0.2">
      <c r="A10" t="s">
        <v>3924</v>
      </c>
      <c r="B10" s="84">
        <f>SUM(ToursByTourPurpose!H118)</f>
        <v>2601551.0852999999</v>
      </c>
      <c r="C10" s="84">
        <f>ToursByTourPurpose!T118</f>
        <v>2656912.4280209807</v>
      </c>
      <c r="D10"/>
      <c r="H10" s="272">
        <v>6</v>
      </c>
      <c r="I10" s="276" t="s">
        <v>245</v>
      </c>
      <c r="J10" s="186">
        <f>SUMIFS(input_stops!$C$21:$C$75,input_stops!$A$21:$A$75,$H10,input_stops!$B$21:$B$75,J$16)</f>
        <v>1905.2952</v>
      </c>
      <c r="K10" s="186">
        <f>SUMIFS(input_stops!$C$21:$C$75,input_stops!$A$21:$A$75,$H10,input_stops!$B$21:$B$75,K$16)</f>
        <v>0</v>
      </c>
      <c r="L10" s="186">
        <f>SUMIFS(input_stops!$C$21:$C$75,input_stops!$A$21:$A$75,$H10,input_stops!$B$21:$B$75,L$16)</f>
        <v>2170.0192999999999</v>
      </c>
      <c r="M10" s="186">
        <f>SUMIFS(input_stops!$C$21:$C$75,input_stops!$A$21:$A$75,$H10,input_stops!$B$21:$B$75,M$16)</f>
        <v>3936.4520000000002</v>
      </c>
      <c r="N10" s="186">
        <f>SUMIFS(input_stops!$C$21:$C$75,input_stops!$A$21:$A$75,$H10,input_stops!$B$21:$B$75,N$16)</f>
        <v>4756.9449000000004</v>
      </c>
      <c r="O10" s="186">
        <f>SUMIFS(input_stops!$C$21:$C$75,input_stops!$A$21:$A$75,$H10,input_stops!$B$21:$B$75,O$16)</f>
        <v>178.05779999999999</v>
      </c>
      <c r="P10" s="186">
        <f>SUMIFS(input_stops!$C$21:$C$75,input_stops!$A$21:$A$75,$H10,input_stops!$B$21:$B$75,P$16)</f>
        <v>65552.774999999994</v>
      </c>
      <c r="Q10" s="278">
        <f si="0" t="shared"/>
        <v>78499.544199999989</v>
      </c>
    </row>
    <row customFormat="1" customHeight="1" ht="18" r="11" s="68" spans="1:17" thickBot="1" x14ac:dyDescent="0.25">
      <c r="A11" s="85" t="s">
        <v>221</v>
      </c>
      <c r="B11" s="86">
        <f>SUM(B4:B10)</f>
        <v>3708517.9665999999</v>
      </c>
      <c r="C11" s="86">
        <f>SUM(C4:C10)</f>
        <v>3742474.8184638917</v>
      </c>
      <c r="D11"/>
      <c r="H11" s="272">
        <v>7</v>
      </c>
      <c r="I11" s="276" t="s">
        <v>246</v>
      </c>
      <c r="J11" s="186">
        <f>SUMIFS(input_stops!$C$21:$C$75,input_stops!$A$21:$A$75,$H11,input_stops!$B$21:$B$75,J$16)</f>
        <v>21927.493999999999</v>
      </c>
      <c r="K11" s="186">
        <f>SUMIFS(input_stops!$C$21:$C$75,input_stops!$A$21:$A$75,$H11,input_stops!$B$21:$B$75,K$16)</f>
        <v>164.3246</v>
      </c>
      <c r="L11" s="186">
        <f>SUMIFS(input_stops!$C$21:$C$75,input_stops!$A$21:$A$75,$H11,input_stops!$B$21:$B$75,L$16)</f>
        <v>15498.8351</v>
      </c>
      <c r="M11" s="186">
        <f>SUMIFS(input_stops!$C$21:$C$75,input_stops!$A$21:$A$75,$H11,input_stops!$B$21:$B$75,M$16)</f>
        <v>22665.746500000001</v>
      </c>
      <c r="N11" s="186">
        <f>SUMIFS(input_stops!$C$21:$C$75,input_stops!$A$21:$A$75,$H11,input_stops!$B$21:$B$75,N$16)</f>
        <v>73459.653099999996</v>
      </c>
      <c r="O11" s="186">
        <f>SUMIFS(input_stops!$C$21:$C$75,input_stops!$A$21:$A$75,$H11,input_stops!$B$21:$B$75,O$16)</f>
        <v>686.47450000000003</v>
      </c>
      <c r="P11" s="186">
        <f>SUMIFS(input_stops!$C$21:$C$75,input_stops!$A$21:$A$75,$H11,input_stops!$B$21:$B$75,P$16)</f>
        <v>381513.39809999999</v>
      </c>
      <c r="Q11" s="278">
        <f si="0" t="shared"/>
        <v>515915.92590000003</v>
      </c>
    </row>
    <row customFormat="1" customHeight="1" ht="18" r="12" s="68" spans="1:17" x14ac:dyDescent="0.2">
      <c r="H12" s="273">
        <v>8</v>
      </c>
      <c r="I12" s="276" t="s">
        <v>170</v>
      </c>
      <c r="J12" s="186">
        <f>SUMIFS(input_stops!$C$21:$C$75,input_stops!$A$21:$A$75,$H12,input_stops!$B$21:$B$75,J$16)</f>
        <v>9636.1661000000004</v>
      </c>
      <c r="K12" s="186">
        <f>SUMIFS(input_stops!$C$21:$C$75,input_stops!$A$21:$A$75,$H12,input_stops!$B$21:$B$75,K$16)</f>
        <v>367.029</v>
      </c>
      <c r="L12" s="186">
        <f>SUMIFS(input_stops!$C$21:$C$75,input_stops!$A$21:$A$75,$H12,input_stops!$B$21:$B$75,L$16)</f>
        <v>12903.3161</v>
      </c>
      <c r="M12" s="186">
        <f>SUMIFS(input_stops!$C$21:$C$75,input_stops!$A$21:$A$75,$H12,input_stops!$B$21:$B$75,M$16)</f>
        <v>6513.8216000000002</v>
      </c>
      <c r="N12" s="186">
        <f>SUMIFS(input_stops!$C$21:$C$75,input_stops!$A$21:$A$75,$H12,input_stops!$B$21:$B$75,N$16)</f>
        <v>36361.084000000003</v>
      </c>
      <c r="O12" s="186">
        <f>SUMIFS(input_stops!$C$21:$C$75,input_stops!$A$21:$A$75,$H12,input_stops!$B$21:$B$75,O$16)</f>
        <v>815.52570000000003</v>
      </c>
      <c r="P12" s="186">
        <f>SUMIFS(input_stops!$C$21:$C$75,input_stops!$A$21:$A$75,$H12,input_stops!$B$21:$B$75,P$16)</f>
        <v>205100.5471</v>
      </c>
      <c r="Q12" s="278">
        <f si="0" t="shared"/>
        <v>271697.48959999997</v>
      </c>
    </row>
    <row customFormat="1" customHeight="1" ht="18" r="13" s="68" spans="1:17" x14ac:dyDescent="0.2">
      <c r="H13" s="187"/>
      <c r="I13" s="276" t="s">
        <v>10552</v>
      </c>
      <c r="J13" s="277">
        <f>SUM(J5:J12)</f>
        <v>151532.28529999999</v>
      </c>
      <c r="K13" s="277">
        <f ref="K13" si="1" t="shared">SUM(K5:K12)</f>
        <v>10277.406799999999</v>
      </c>
      <c r="L13" s="277">
        <f ref="L13" si="2" t="shared">SUM(L5:L12)</f>
        <v>132554.24269999997</v>
      </c>
      <c r="M13" s="277">
        <f ref="M13" si="3" t="shared">SUM(M5:M12)</f>
        <v>125902.8284</v>
      </c>
      <c r="N13" s="277">
        <f ref="N13" si="4" t="shared">SUM(N5:N12)</f>
        <v>637520.91649999993</v>
      </c>
      <c r="O13" s="277">
        <f ref="O13" si="5" t="shared">SUM(O5:O12)</f>
        <v>53250.424699999989</v>
      </c>
      <c r="P13" s="277">
        <f ref="P13" si="6" t="shared">SUM(P5:P12)</f>
        <v>2597479.8621999999</v>
      </c>
      <c r="Q13" s="277">
        <f ref="Q13" si="7" t="shared">SUM(Q5:Q12)</f>
        <v>3708517.9665999995</v>
      </c>
    </row>
    <row customFormat="1" customHeight="1" ht="18" r="14" s="68" spans="1:17" x14ac:dyDescent="0.2">
      <c r="I14" s="151"/>
    </row>
    <row customHeight="1" ht="18" r="15" spans="1:17" x14ac:dyDescent="0.2">
      <c r="A15" s="62" t="s">
        <v>291</v>
      </c>
    </row>
    <row customHeight="1" ht="18" r="16" spans="1:17" thickBot="1" x14ac:dyDescent="0.25">
      <c r="B16" s="66"/>
      <c r="C16" s="66"/>
      <c r="D16" s="66"/>
      <c r="E16" s="66"/>
      <c r="G16" s="185"/>
      <c r="H16" s="185" t="s">
        <v>10554</v>
      </c>
      <c r="I16" s="68"/>
      <c r="J16" s="185">
        <v>1</v>
      </c>
      <c r="K16" s="185">
        <v>2</v>
      </c>
      <c r="L16" s="65">
        <v>3</v>
      </c>
      <c r="M16" s="65">
        <v>4</v>
      </c>
      <c r="N16" s="65">
        <v>5</v>
      </c>
      <c r="O16" s="65">
        <v>6</v>
      </c>
      <c r="P16" s="65">
        <v>7</v>
      </c>
    </row>
    <row customFormat="1" customHeight="1" ht="18" r="17" s="68" spans="1:17" x14ac:dyDescent="0.2">
      <c r="A17" s="67" t="s">
        <v>155</v>
      </c>
      <c r="B17" s="63" t="s">
        <v>260</v>
      </c>
      <c r="C17" s="63" t="s">
        <v>261</v>
      </c>
      <c r="D17" s="63" t="s">
        <v>154</v>
      </c>
      <c r="E17" s="63" t="s">
        <v>262</v>
      </c>
      <c r="G17" s="151"/>
      <c r="H17" s="151"/>
      <c r="I17" s="276" t="str">
        <f>A17</f>
        <v>Persontype</v>
      </c>
      <c r="J17" s="274" t="s">
        <v>3919</v>
      </c>
      <c r="K17" s="274" t="s">
        <v>3920</v>
      </c>
      <c r="L17" s="275" t="s">
        <v>3921</v>
      </c>
      <c r="M17" s="275" t="s">
        <v>3922</v>
      </c>
      <c r="N17" s="275" t="s">
        <v>1522</v>
      </c>
      <c r="O17" s="275" t="s">
        <v>3923</v>
      </c>
      <c r="P17" s="275" t="s">
        <v>3924</v>
      </c>
      <c r="Q17" s="275" t="s">
        <v>10552</v>
      </c>
    </row>
    <row customFormat="1" customHeight="1" ht="18" r="18" s="68" spans="1:17" x14ac:dyDescent="0.2">
      <c r="A18" s="68" t="s">
        <v>146</v>
      </c>
      <c r="B18" s="69">
        <f>ToursByTourPurpose!B15</f>
        <v>1412589.7424000001</v>
      </c>
      <c r="C18" s="69">
        <f>ToursByTourPurpose!N15</f>
        <v>1410222.3792541239</v>
      </c>
      <c r="D18" s="69">
        <f ref="D18:D26" si="8" t="shared">C18-B18</f>
        <v>-2367.3631458762102</v>
      </c>
      <c r="E18" s="72">
        <f>D18/B18</f>
        <v>-1.6759028292631117E-3</v>
      </c>
      <c r="G18" s="186"/>
      <c r="H18" s="272">
        <v>1</v>
      </c>
      <c r="I18" s="276" t="str">
        <f ref="I18:I26" si="9" t="shared">A18</f>
        <v>ft worker</v>
      </c>
      <c r="J18" s="186">
        <f>SUMIFS(input_stops!$C$96:$C$151,input_stops!$A$96:$A$151,$H18,input_stops!$B$96:$B$151,J$16)</f>
        <v>60013.25</v>
      </c>
      <c r="K18" s="186">
        <f>SUMIFS(input_stops!$C$96:$C$151,input_stops!$A$96:$A$151,$H18,input_stops!$B$96:$B$151,K$16)</f>
        <v>4984</v>
      </c>
      <c r="L18" s="186">
        <f>SUMIFS(input_stops!$C$96:$C$151,input_stops!$A$96:$A$151,$H18,input_stops!$B$96:$B$151,L$16)</f>
        <v>56217.75</v>
      </c>
      <c r="M18" s="186">
        <f>SUMIFS(input_stops!$C$96:$C$151,input_stops!$A$96:$A$151,$H18,input_stops!$B$96:$B$151,M$16)</f>
        <v>44430.5</v>
      </c>
      <c r="N18" s="186">
        <f>SUMIFS(input_stops!$C$96:$C$151,input_stops!$A$96:$A$151,$H18,input_stops!$B$96:$B$151,N$16)</f>
        <v>268946.81977599999</v>
      </c>
      <c r="O18" s="186">
        <f>SUMIFS(input_stops!$C$96:$C$151,input_stops!$A$96:$A$151,$H18,input_stops!$B$96:$B$151,O$16)</f>
        <v>31260.5924581</v>
      </c>
      <c r="P18" s="186">
        <f>SUMIFS(input_stops!$C$96:$C$151,input_stops!$A$96:$A$151,$H18,input_stops!$B$96:$B$151,P$16)</f>
        <v>944369.46701999998</v>
      </c>
      <c r="Q18" s="278">
        <f>SUM(J18:P18)</f>
        <v>1410222.3792540999</v>
      </c>
    </row>
    <row customFormat="1" customHeight="1" ht="18" r="19" s="68" spans="1:17" x14ac:dyDescent="0.2">
      <c r="A19" s="68" t="s">
        <v>147</v>
      </c>
      <c r="B19" s="69">
        <f>ToursByTourPurpose!C15</f>
        <v>340955.68209999998</v>
      </c>
      <c r="C19" s="69">
        <f>ToursByTourPurpose!O15</f>
        <v>330587.79410013492</v>
      </c>
      <c r="D19" s="69">
        <f si="8" t="shared"/>
        <v>-10367.887999865052</v>
      </c>
      <c r="E19" s="72">
        <f ref="E19:E26" si="10" t="shared">D19/B19</f>
        <v>-3.0408315637996088E-2</v>
      </c>
      <c r="G19" s="186"/>
      <c r="H19" s="272">
        <v>2</v>
      </c>
      <c r="I19" s="276" t="str">
        <f si="9" t="shared"/>
        <v>pt worker</v>
      </c>
      <c r="J19" s="186">
        <f>SUMIFS(input_stops!$C$96:$C$151,input_stops!$A$96:$A$151,$H19,input_stops!$B$96:$B$151,J$16)</f>
        <v>12191.25</v>
      </c>
      <c r="K19" s="186">
        <f>SUMIFS(input_stops!$C$96:$C$151,input_stops!$A$96:$A$151,$H19,input_stops!$B$96:$B$151,K$16)</f>
        <v>542</v>
      </c>
      <c r="L19" s="186">
        <f>SUMIFS(input_stops!$C$96:$C$151,input_stops!$A$96:$A$151,$H19,input_stops!$B$96:$B$151,L$16)</f>
        <v>12070.75</v>
      </c>
      <c r="M19" s="186">
        <f>SUMIFS(input_stops!$C$96:$C$151,input_stops!$A$96:$A$151,$H19,input_stops!$B$96:$B$151,M$16)</f>
        <v>8310.5</v>
      </c>
      <c r="N19" s="186">
        <f>SUMIFS(input_stops!$C$96:$C$151,input_stops!$A$96:$A$151,$H19,input_stops!$B$96:$B$151,N$16)</f>
        <v>62381.709193199997</v>
      </c>
      <c r="O19" s="186">
        <f>SUMIFS(input_stops!$C$96:$C$151,input_stops!$A$96:$A$151,$H19,input_stops!$B$96:$B$151,O$16)</f>
        <v>5142.6713094400002</v>
      </c>
      <c r="P19" s="186">
        <f>SUMIFS(input_stops!$C$96:$C$151,input_stops!$A$96:$A$151,$H19,input_stops!$B$96:$B$151,P$16)</f>
        <v>229948.91359700001</v>
      </c>
      <c r="Q19" s="278">
        <f ref="Q19:Q25" si="11" t="shared">SUM(J19:P19)</f>
        <v>330587.79409963998</v>
      </c>
    </row>
    <row customFormat="1" customHeight="1" ht="18" r="20" s="68" spans="1:17" x14ac:dyDescent="0.2">
      <c r="A20" s="68" t="s">
        <v>148</v>
      </c>
      <c r="B20" s="69">
        <f>ToursByTourPurpose!D15</f>
        <v>385091.97840000002</v>
      </c>
      <c r="C20" s="69">
        <f>ToursByTourPurpose!P15</f>
        <v>393707.17935026012</v>
      </c>
      <c r="D20" s="69">
        <f si="8" t="shared"/>
        <v>8615.2009502600995</v>
      </c>
      <c r="E20" s="72">
        <f si="10" t="shared"/>
        <v>2.2371800591783241E-2</v>
      </c>
      <c r="G20" s="186"/>
      <c r="H20" s="272">
        <v>3</v>
      </c>
      <c r="I20" s="276" t="str">
        <f si="9" t="shared"/>
        <v>retired</v>
      </c>
      <c r="J20" s="186">
        <f>SUMIFS(input_stops!$C$96:$C$151,input_stops!$A$96:$A$151,$H20,input_stops!$B$96:$B$151,J$16)</f>
        <v>17578</v>
      </c>
      <c r="K20" s="186">
        <f>SUMIFS(input_stops!$C$96:$C$151,input_stops!$A$96:$A$151,$H20,input_stops!$B$96:$B$151,K$16)</f>
        <v>1200</v>
      </c>
      <c r="L20" s="186">
        <f>SUMIFS(input_stops!$C$96:$C$151,input_stops!$A$96:$A$151,$H20,input_stops!$B$96:$B$151,L$16)</f>
        <v>13382</v>
      </c>
      <c r="M20" s="186">
        <f>SUMIFS(input_stops!$C$96:$C$151,input_stops!$A$96:$A$151,$H20,input_stops!$B$96:$B$151,M$16)</f>
        <v>9822.75</v>
      </c>
      <c r="N20" s="186">
        <f>SUMIFS(input_stops!$C$96:$C$151,input_stops!$A$96:$A$151,$H20,input_stops!$B$96:$B$151,N$16)</f>
        <v>63195.251718500003</v>
      </c>
      <c r="O20" s="186">
        <f>SUMIFS(input_stops!$C$96:$C$151,input_stops!$A$96:$A$151,$H20,input_stops!$B$96:$B$151,O$16)</f>
        <v>5554.4927739599998</v>
      </c>
      <c r="P20" s="186">
        <f>SUMIFS(input_stops!$C$96:$C$151,input_stops!$A$96:$A$151,$H20,input_stops!$B$96:$B$151,P$16)</f>
        <v>282974.68485800002</v>
      </c>
      <c r="Q20" s="278">
        <f si="11" t="shared"/>
        <v>393707.17935046001</v>
      </c>
    </row>
    <row customFormat="1" customHeight="1" ht="18" r="21" s="68" spans="1:17" x14ac:dyDescent="0.2">
      <c r="A21" s="68" t="s">
        <v>243</v>
      </c>
      <c r="B21" s="69">
        <f>ToursByTourPurpose!E15</f>
        <v>592288.66839999997</v>
      </c>
      <c r="C21" s="69">
        <f>ToursByTourPurpose!Q15</f>
        <v>573902.57800400315</v>
      </c>
      <c r="D21" s="69">
        <f si="8" t="shared"/>
        <v>-18386.090395996813</v>
      </c>
      <c r="E21" s="72">
        <f si="10" t="shared"/>
        <v>-3.1042448348142015E-2</v>
      </c>
      <c r="G21" s="186"/>
      <c r="H21" s="272">
        <v>4</v>
      </c>
      <c r="I21" s="276" t="str">
        <f si="9" t="shared"/>
        <v>nonworker</v>
      </c>
      <c r="J21" s="186">
        <f>SUMIFS(input_stops!$C$96:$C$151,input_stops!$A$96:$A$151,$H21,input_stops!$B$96:$B$151,J$16)</f>
        <v>21311.25</v>
      </c>
      <c r="K21" s="186">
        <f>SUMIFS(input_stops!$C$96:$C$151,input_stops!$A$96:$A$151,$H21,input_stops!$B$96:$B$151,K$16)</f>
        <v>1558.25</v>
      </c>
      <c r="L21" s="186">
        <f>SUMIFS(input_stops!$C$96:$C$151,input_stops!$A$96:$A$151,$H21,input_stops!$B$96:$B$151,L$16)</f>
        <v>18011.25</v>
      </c>
      <c r="M21" s="186">
        <f>SUMIFS(input_stops!$C$96:$C$151,input_stops!$A$96:$A$151,$H21,input_stops!$B$96:$B$151,M$16)</f>
        <v>16276</v>
      </c>
      <c r="N21" s="186">
        <f>SUMIFS(input_stops!$C$96:$C$151,input_stops!$A$96:$A$151,$H21,input_stops!$B$96:$B$151,N$16)</f>
        <v>75460.018590000007</v>
      </c>
      <c r="O21" s="186">
        <f>SUMIFS(input_stops!$C$96:$C$151,input_stops!$A$96:$A$151,$H21,input_stops!$B$96:$B$151,O$16)</f>
        <v>7014.57355207</v>
      </c>
      <c r="P21" s="186">
        <f>SUMIFS(input_stops!$C$96:$C$151,input_stops!$A$96:$A$151,$H21,input_stops!$B$96:$B$151,P$16)</f>
        <v>434271.23586199997</v>
      </c>
      <c r="Q21" s="278">
        <f si="11" t="shared"/>
        <v>573902.57800406998</v>
      </c>
    </row>
    <row customFormat="1" customHeight="1" ht="18" r="22" s="68" spans="1:17" x14ac:dyDescent="0.2">
      <c r="A22" s="68" t="s">
        <v>244</v>
      </c>
      <c r="B22" s="69">
        <f>ToursByTourPurpose!F15</f>
        <v>111478.9356</v>
      </c>
      <c r="C22" s="69">
        <f>ToursByTourPurpose!R15</f>
        <v>175566.13317979188</v>
      </c>
      <c r="D22" s="69">
        <f si="8" t="shared"/>
        <v>64087.197579791886</v>
      </c>
      <c r="E22" s="72">
        <f si="10" t="shared"/>
        <v>0.57488167818308344</v>
      </c>
      <c r="G22" s="186"/>
      <c r="H22" s="272">
        <v>5</v>
      </c>
      <c r="I22" s="276" t="str">
        <f si="9" t="shared"/>
        <v>uinv.stud</v>
      </c>
      <c r="J22" s="186">
        <f>SUMIFS(input_stops!$C$96:$C$151,input_stops!$A$96:$A$151,$H22,input_stops!$B$96:$B$151,J$16)</f>
        <v>7125.5</v>
      </c>
      <c r="K22" s="186">
        <f>SUMIFS(input_stops!$C$96:$C$151,input_stops!$A$96:$A$151,$H22,input_stops!$B$96:$B$151,K$16)</f>
        <v>375.75</v>
      </c>
      <c r="L22" s="186">
        <f>SUMIFS(input_stops!$C$96:$C$151,input_stops!$A$96:$A$151,$H22,input_stops!$B$96:$B$151,L$16)</f>
        <v>5958.25</v>
      </c>
      <c r="M22" s="186">
        <f>SUMIFS(input_stops!$C$96:$C$151,input_stops!$A$96:$A$151,$H22,input_stops!$B$96:$B$151,M$16)</f>
        <v>4049.5</v>
      </c>
      <c r="N22" s="186">
        <f>SUMIFS(input_stops!$C$96:$C$151,input_stops!$A$96:$A$151,$H22,input_stops!$B$96:$B$151,N$16)</f>
        <v>44363.558882800004</v>
      </c>
      <c r="O22" s="186">
        <f>SUMIFS(input_stops!$C$96:$C$151,input_stops!$A$96:$A$151,$H22,input_stops!$B$96:$B$151,O$16)</f>
        <v>3672.0072762700001</v>
      </c>
      <c r="P22" s="186">
        <f>SUMIFS(input_stops!$C$96:$C$151,input_stops!$A$96:$A$151,$H22,input_stops!$B$96:$B$151,P$16)</f>
        <v>110021.567021</v>
      </c>
      <c r="Q22" s="278">
        <f si="11" t="shared"/>
        <v>175566.13318007</v>
      </c>
    </row>
    <row customFormat="1" customHeight="1" ht="18" r="23" s="68" spans="1:17" x14ac:dyDescent="0.2">
      <c r="A23" s="68" t="s">
        <v>245</v>
      </c>
      <c r="B23" s="69">
        <f>ToursByTourPurpose!G15</f>
        <v>78499.544200000004</v>
      </c>
      <c r="C23" s="69">
        <f>ToursByTourPurpose!S15</f>
        <v>119540.37697423306</v>
      </c>
      <c r="D23" s="69">
        <f si="8" t="shared"/>
        <v>41040.832774233058</v>
      </c>
      <c r="E23" s="72">
        <f si="10" t="shared"/>
        <v>0.52281619202360996</v>
      </c>
      <c r="G23" s="186"/>
      <c r="H23" s="272">
        <v>6</v>
      </c>
      <c r="I23" s="276" t="str">
        <f si="9" t="shared"/>
        <v>stud 16+</v>
      </c>
      <c r="J23" s="186">
        <f>SUMIFS(input_stops!$C$96:$C$151,input_stops!$A$96:$A$151,$H23,input_stops!$B$96:$B$151,J$16)</f>
        <v>5102.75</v>
      </c>
      <c r="K23" s="186">
        <f>SUMIFS(input_stops!$C$96:$C$151,input_stops!$A$96:$A$151,$H23,input_stops!$B$96:$B$151,K$16)</f>
        <v>141.5</v>
      </c>
      <c r="L23" s="186">
        <f>SUMIFS(input_stops!$C$96:$C$151,input_stops!$A$96:$A$151,$H23,input_stops!$B$96:$B$151,L$16)</f>
        <v>4245</v>
      </c>
      <c r="M23" s="186">
        <f>SUMIFS(input_stops!$C$96:$C$151,input_stops!$A$96:$A$151,$H23,input_stops!$B$96:$B$151,M$16)</f>
        <v>3558.5</v>
      </c>
      <c r="N23" s="186">
        <f>SUMIFS(input_stops!$C$96:$C$151,input_stops!$A$96:$A$151,$H23,input_stops!$B$96:$B$151,N$16)</f>
        <v>14046.6172179</v>
      </c>
      <c r="O23" s="186">
        <f>SUMIFS(input_stops!$C$96:$C$151,input_stops!$A$96:$A$151,$H23,input_stops!$B$96:$B$151,O$16)</f>
        <v>349.852824317</v>
      </c>
      <c r="P23" s="186">
        <f>SUMIFS(input_stops!$C$96:$C$151,input_stops!$A$96:$A$151,$H23,input_stops!$B$96:$B$151,P$16)</f>
        <v>92096.156932099999</v>
      </c>
      <c r="Q23" s="278">
        <f si="11" t="shared"/>
        <v>119540.376974317</v>
      </c>
    </row>
    <row customFormat="1" customHeight="1" ht="18" r="24" s="68" spans="1:17" x14ac:dyDescent="0.2">
      <c r="A24" s="73" t="s">
        <v>246</v>
      </c>
      <c r="B24" s="69">
        <f>ToursByTourPurpose!I15</f>
        <v>515915.92589999997</v>
      </c>
      <c r="C24" s="69">
        <f>ToursByTourPurpose!U15</f>
        <v>503887.95581699541</v>
      </c>
      <c r="D24" s="69">
        <f si="8" t="shared"/>
        <v>-12027.970083004562</v>
      </c>
      <c r="E24" s="72">
        <f si="10" t="shared"/>
        <v>-2.3313818161403189E-2</v>
      </c>
      <c r="G24" s="186"/>
      <c r="H24" s="272">
        <v>7</v>
      </c>
      <c r="I24" s="276" t="str">
        <f si="9" t="shared"/>
        <v>stud.5-15</v>
      </c>
      <c r="J24" s="186">
        <f>SUMIFS(input_stops!$C$96:$C$151,input_stops!$A$96:$A$151,$H24,input_stops!$B$96:$B$151,J$16)</f>
        <v>21597.75</v>
      </c>
      <c r="K24" s="186">
        <f>SUMIFS(input_stops!$C$96:$C$151,input_stops!$A$96:$A$151,$H24,input_stops!$B$96:$B$151,K$16)</f>
        <v>504.5</v>
      </c>
      <c r="L24" s="186">
        <f>SUMIFS(input_stops!$C$96:$C$151,input_stops!$A$96:$A$151,$H24,input_stops!$B$96:$B$151,L$16)</f>
        <v>17436.25</v>
      </c>
      <c r="M24" s="186">
        <f>SUMIFS(input_stops!$C$96:$C$151,input_stops!$A$96:$A$151,$H24,input_stops!$B$96:$B$151,M$16)</f>
        <v>15664.5</v>
      </c>
      <c r="N24" s="186">
        <f>SUMIFS(input_stops!$C$96:$C$151,input_stops!$A$96:$A$151,$H24,input_stops!$B$96:$B$151,N$16)</f>
        <v>61354.289169199998</v>
      </c>
      <c r="O24" s="186">
        <f>SUMIFS(input_stops!$C$96:$C$151,input_stops!$A$96:$A$151,$H24,input_stops!$B$96:$B$151,O$16)</f>
        <v>1149.3870875</v>
      </c>
      <c r="P24" s="186">
        <f>SUMIFS(input_stops!$C$96:$C$151,input_stops!$A$96:$A$151,$H24,input_stops!$B$96:$B$151,P$16)</f>
        <v>386181.27956</v>
      </c>
      <c r="Q24" s="278">
        <f si="11" t="shared"/>
        <v>503887.95581670001</v>
      </c>
    </row>
    <row customFormat="1" customHeight="1" ht="18" r="25" s="68" spans="1:17" x14ac:dyDescent="0.2">
      <c r="A25" s="73" t="s">
        <v>170</v>
      </c>
      <c r="B25" s="74">
        <f>ToursByTourPurpose!J15</f>
        <v>271697.48960000003</v>
      </c>
      <c r="C25" s="74">
        <f>ToursByTourPurpose!V15</f>
        <v>235060.42178434858</v>
      </c>
      <c r="D25" s="74">
        <f si="8" t="shared"/>
        <v>-36637.067815651448</v>
      </c>
      <c r="E25" s="75">
        <f si="10" t="shared"/>
        <v>-0.13484507298756965</v>
      </c>
      <c r="G25" s="186"/>
      <c r="H25" s="273">
        <v>8</v>
      </c>
      <c r="I25" s="276" t="str">
        <f si="9" t="shared"/>
        <v>under 5</v>
      </c>
      <c r="J25" s="186">
        <f>SUMIFS(input_stops!$C$96:$C$151,input_stops!$A$96:$A$151,$H25,input_stops!$B$96:$B$151,J$16)</f>
        <v>8021.75</v>
      </c>
      <c r="K25" s="186">
        <f>SUMIFS(input_stops!$C$96:$C$151,input_stops!$A$96:$A$151,$H25,input_stops!$B$96:$B$151,K$16)</f>
        <v>395</v>
      </c>
      <c r="L25" s="186">
        <f>SUMIFS(input_stops!$C$96:$C$151,input_stops!$A$96:$A$151,$H25,input_stops!$B$96:$B$151,L$16)</f>
        <v>8520.25</v>
      </c>
      <c r="M25" s="186">
        <f>SUMIFS(input_stops!$C$96:$C$151,input_stops!$A$96:$A$151,$H25,input_stops!$B$96:$B$151,M$16)</f>
        <v>6819.75</v>
      </c>
      <c r="N25" s="186">
        <f>SUMIFS(input_stops!$C$96:$C$151,input_stops!$A$96:$A$151,$H25,input_stops!$B$96:$B$151,N$16)</f>
        <v>33527.267318500002</v>
      </c>
      <c r="O25" s="186">
        <f>SUMIFS(input_stops!$C$96:$C$151,input_stops!$A$96:$A$151,$H25,input_stops!$B$96:$B$151,O$16)</f>
        <v>727.28129496300005</v>
      </c>
      <c r="P25" s="186">
        <f>SUMIFS(input_stops!$C$96:$C$151,input_stops!$A$96:$A$151,$H25,input_stops!$B$96:$B$151,P$16)</f>
        <v>177049.12317100001</v>
      </c>
      <c r="Q25" s="278">
        <f si="11" t="shared"/>
        <v>235060.42178446302</v>
      </c>
    </row>
    <row customFormat="1" customHeight="1" ht="18" r="26" s="68" spans="1:17" thickBot="1" x14ac:dyDescent="0.25">
      <c r="A26" s="70" t="s">
        <v>221</v>
      </c>
      <c r="B26" s="76">
        <f>SUM(B18:B25)</f>
        <v>3708517.9665999999</v>
      </c>
      <c r="C26" s="76">
        <f>SUM(C18:C25)</f>
        <v>3742474.8184638908</v>
      </c>
      <c r="D26" s="76">
        <f si="8" t="shared"/>
        <v>33956.851863890886</v>
      </c>
      <c r="E26" s="77">
        <f si="10" t="shared"/>
        <v>9.156447985345156E-3</v>
      </c>
      <c r="G26" s="186"/>
      <c r="H26" s="187"/>
      <c r="I26" s="276" t="str">
        <f si="9" t="shared"/>
        <v>Total</v>
      </c>
      <c r="J26" s="277">
        <f>SUM(J18:J25)</f>
        <v>152941.5</v>
      </c>
      <c r="K26" s="277">
        <f ref="K26:Q26" si="12" t="shared">SUM(K18:K25)</f>
        <v>9701</v>
      </c>
      <c r="L26" s="277">
        <f si="12" t="shared"/>
        <v>135841.5</v>
      </c>
      <c r="M26" s="277">
        <f si="12" t="shared"/>
        <v>108932</v>
      </c>
      <c r="N26" s="277">
        <f si="12" t="shared"/>
        <v>623275.53186609992</v>
      </c>
      <c r="O26" s="277">
        <f si="12" t="shared"/>
        <v>54870.858576620012</v>
      </c>
      <c r="P26" s="277">
        <f si="12" t="shared"/>
        <v>2656912.4280210999</v>
      </c>
      <c r="Q26" s="277">
        <f si="12" t="shared"/>
        <v>3742474.81846382</v>
      </c>
    </row>
    <row customFormat="1" customHeight="1" ht="18" r="27" s="68" spans="1:17" x14ac:dyDescent="0.2"/>
    <row customFormat="1" customHeight="1" ht="18" r="28" s="68" spans="1:17" x14ac:dyDescent="0.2"/>
    <row customFormat="1" customHeight="1" ht="18" r="29" s="68" spans="1:17" x14ac:dyDescent="0.2"/>
    <row customHeight="1" ht="18" r="30" spans="1:17" x14ac:dyDescent="0.2">
      <c r="A30" s="62" t="s">
        <v>263</v>
      </c>
      <c r="G30" s="62" t="s">
        <v>3925</v>
      </c>
    </row>
    <row customHeight="1" ht="18" r="31" spans="1:17" thickBot="1" x14ac:dyDescent="0.25">
      <c r="B31" s="66"/>
      <c r="C31" s="66"/>
      <c r="D31" s="66"/>
      <c r="E31" s="66"/>
      <c r="G31" s="66"/>
      <c r="H31" s="66"/>
      <c r="I31" s="66"/>
      <c r="J31" s="66"/>
    </row>
    <row customFormat="1" customHeight="1" ht="18" r="32" s="68" spans="1:17" x14ac:dyDescent="0.2">
      <c r="A32" s="67" t="s">
        <v>159</v>
      </c>
      <c r="B32" s="63" t="s">
        <v>260</v>
      </c>
      <c r="C32" s="63" t="s">
        <v>261</v>
      </c>
      <c r="D32" s="63" t="s">
        <v>154</v>
      </c>
      <c r="E32" s="63" t="s">
        <v>262</v>
      </c>
      <c r="G32" s="63" t="s">
        <v>260</v>
      </c>
      <c r="H32" s="63" t="s">
        <v>261</v>
      </c>
      <c r="I32" s="63" t="s">
        <v>154</v>
      </c>
      <c r="J32" s="63" t="s">
        <v>262</v>
      </c>
    </row>
    <row customFormat="1" customHeight="1" ht="18" r="33" s="68" spans="1:13" x14ac:dyDescent="0.2">
      <c r="A33" s="68" t="s">
        <v>210</v>
      </c>
      <c r="B33" s="69">
        <f>ToursByTourPurpose!F74</f>
        <v>1727558.9532551463</v>
      </c>
      <c r="C33" s="69">
        <f>ToursByTourPurpose!W5</f>
        <v>1698798.1711542674</v>
      </c>
      <c r="D33" s="69">
        <f ref="D33:D41" si="13" t="shared">C33-B33</f>
        <v>-28760.782100878889</v>
      </c>
      <c r="E33" s="72">
        <f>D33/B33</f>
        <v>-1.6648220338117258E-2</v>
      </c>
      <c r="G33" s="78">
        <f>B33/B$26</f>
        <v>0.46583540077574082</v>
      </c>
      <c r="H33" s="78">
        <f>C33/C$26</f>
        <v>0.45392374125620538</v>
      </c>
      <c r="I33" s="78">
        <f>H33-G33</f>
        <v>-1.1911659519535434E-2</v>
      </c>
      <c r="J33" s="72">
        <f>I33/G33</f>
        <v>-2.5570533067472603E-2</v>
      </c>
      <c r="L33" s="189"/>
      <c r="M33" s="189"/>
    </row>
    <row customFormat="1" customHeight="1" ht="18" r="34" s="68" spans="1:13" x14ac:dyDescent="0.2">
      <c r="A34" s="68" t="s">
        <v>211</v>
      </c>
      <c r="B34" s="69">
        <f>ToursByTourPurpose!F75</f>
        <v>805076.52504882286</v>
      </c>
      <c r="C34" s="69">
        <f>ToursByTourPurpose!W6</f>
        <v>758979.43622317526</v>
      </c>
      <c r="D34" s="69">
        <f si="13" t="shared"/>
        <v>-46097.088825647603</v>
      </c>
      <c r="E34" s="72">
        <f ref="E34:E41" si="14" t="shared">D34/B34</f>
        <v>-5.7258021307790716E-2</v>
      </c>
      <c r="G34" s="78">
        <f ref="G34:G41" si="15" t="shared">B34/B$26</f>
        <v>0.21708847909045556</v>
      </c>
      <c r="H34" s="78">
        <f ref="H34:H41" si="16" t="shared">C34/C$26</f>
        <v>0.20280148111583032</v>
      </c>
      <c r="I34" s="78">
        <f ref="I34:I41" si="17" t="shared">H34-G34</f>
        <v>-1.4286997974625237E-2</v>
      </c>
      <c r="J34" s="72">
        <f ref="J34:J41" si="18" t="shared">I34/G34</f>
        <v>-6.5811866361973947E-2</v>
      </c>
      <c r="L34" s="189"/>
      <c r="M34" s="189"/>
    </row>
    <row customFormat="1" customHeight="1" ht="18" r="35" s="68" spans="1:13" x14ac:dyDescent="0.2">
      <c r="A35" s="68" t="s">
        <v>212</v>
      </c>
      <c r="B35" s="69">
        <f>ToursByTourPurpose!F76</f>
        <v>648797.01309756911</v>
      </c>
      <c r="C35" s="69">
        <f>ToursByTourPurpose!W7</f>
        <v>646418.59635461937</v>
      </c>
      <c r="D35" s="69">
        <f si="13" t="shared"/>
        <v>-2378.4167429497465</v>
      </c>
      <c r="E35" s="72">
        <f si="14" t="shared"/>
        <v>-3.665887319046688E-3</v>
      </c>
      <c r="G35" s="78">
        <f si="15" t="shared"/>
        <v>0.17494778748298517</v>
      </c>
      <c r="H35" s="78">
        <f si="16" t="shared"/>
        <v>0.17272490202617949</v>
      </c>
      <c r="I35" s="78">
        <f si="17" t="shared"/>
        <v>-2.2228854568056844E-3</v>
      </c>
      <c r="J35" s="72">
        <f si="18" t="shared"/>
        <v>-1.2705993535481977E-2</v>
      </c>
      <c r="L35" s="189"/>
      <c r="M35" s="189"/>
    </row>
    <row customFormat="1" customHeight="1" ht="18" r="36" s="68" spans="1:13" x14ac:dyDescent="0.2">
      <c r="A36" s="68" t="s">
        <v>213</v>
      </c>
      <c r="B36" s="69">
        <f>ToursByTourPurpose!F77</f>
        <v>718143.10522838181</v>
      </c>
      <c r="C36" s="69">
        <f>ToursByTourPurpose!W8</f>
        <v>705724.1187367565</v>
      </c>
      <c r="D36" s="69">
        <f si="13" t="shared"/>
        <v>-12418.986491625314</v>
      </c>
      <c r="E36" s="72">
        <f si="14" t="shared"/>
        <v>-1.7293191846040022E-2</v>
      </c>
      <c r="G36" s="78">
        <f si="15" t="shared"/>
        <v>0.19364692626439703</v>
      </c>
      <c r="H36" s="78">
        <f si="16" t="shared"/>
        <v>0.18857150761709679</v>
      </c>
      <c r="I36" s="78">
        <f si="17" t="shared"/>
        <v>-5.0754186473002394E-3</v>
      </c>
      <c r="J36" s="72">
        <f si="18" t="shared"/>
        <v>-2.6209652511450066E-2</v>
      </c>
      <c r="L36" s="189"/>
      <c r="M36" s="189"/>
    </row>
    <row customFormat="1" customHeight="1" ht="18" r="37" s="68" spans="1:13" x14ac:dyDescent="0.2">
      <c r="A37" s="68" t="s">
        <v>214</v>
      </c>
      <c r="B37" s="69">
        <f>ToursByTourPurpose!F78</f>
        <v>702437.81530738831</v>
      </c>
      <c r="C37" s="69">
        <f>ToursByTourPurpose!W9</f>
        <v>695125.47002696665</v>
      </c>
      <c r="D37" s="69">
        <f si="13" t="shared"/>
        <v>-7312.3452804216649</v>
      </c>
      <c r="E37" s="72">
        <f si="14" t="shared"/>
        <v>-1.0409953907765867E-2</v>
      </c>
      <c r="G37" s="78">
        <f si="15" t="shared"/>
        <v>0.18941200275521089</v>
      </c>
      <c r="H37" s="78">
        <f si="16" t="shared"/>
        <v>0.18573951829882526</v>
      </c>
      <c r="I37" s="78">
        <f si="17" t="shared"/>
        <v>-3.6724844563856274E-3</v>
      </c>
      <c r="J37" s="72">
        <f si="18" t="shared"/>
        <v>-1.9388868725134654E-2</v>
      </c>
      <c r="L37" s="189"/>
      <c r="M37" s="189"/>
    </row>
    <row customFormat="1" customHeight="1" ht="18" r="38" s="68" spans="1:13" x14ac:dyDescent="0.2">
      <c r="A38" s="68" t="s">
        <v>129</v>
      </c>
      <c r="B38" s="69">
        <f>ToursByTourPurpose!F79</f>
        <v>225250.543726851</v>
      </c>
      <c r="C38" s="69">
        <f>ToursByTourPurpose!W10</f>
        <v>230536.79262984623</v>
      </c>
      <c r="D38" s="69">
        <f si="13" t="shared"/>
        <v>5286.2489029952267</v>
      </c>
      <c r="E38" s="72">
        <f si="14" t="shared"/>
        <v>2.3468306959585284E-2</v>
      </c>
      <c r="G38" s="78">
        <f si="15" t="shared"/>
        <v>6.0738695553189559E-2</v>
      </c>
      <c r="H38" s="78">
        <f si="16" t="shared"/>
        <v>6.1600091867677738E-2</v>
      </c>
      <c r="I38" s="78">
        <f si="17" t="shared"/>
        <v>8.6139631448817894E-4</v>
      </c>
      <c r="J38" s="72">
        <f si="18" t="shared"/>
        <v>1.4182002208688274E-2</v>
      </c>
      <c r="L38" s="189"/>
      <c r="M38" s="189"/>
    </row>
    <row customFormat="1" customHeight="1" ht="18" r="39" s="68" spans="1:13" x14ac:dyDescent="0.2">
      <c r="A39" s="73" t="s">
        <v>130</v>
      </c>
      <c r="B39" s="69">
        <f>ToursByTourPurpose!F80</f>
        <v>1090010.6006267432</v>
      </c>
      <c r="C39" s="69">
        <f>ToursByTourPurpose!W11</f>
        <v>1090065.3365628871</v>
      </c>
      <c r="D39" s="69">
        <f si="13" t="shared"/>
        <v>54.735936143901199</v>
      </c>
      <c r="E39" s="72">
        <f si="14" t="shared"/>
        <v>5.0215966810257333E-5</v>
      </c>
      <c r="G39" s="78">
        <f si="15" t="shared"/>
        <v>0.29392080891711952</v>
      </c>
      <c r="H39" s="78">
        <f si="16" t="shared"/>
        <v>0.29126858280647228</v>
      </c>
      <c r="I39" s="78">
        <f si="17" t="shared"/>
        <v>-2.6522261106472489E-3</v>
      </c>
      <c r="J39" s="72">
        <f si="18" t="shared"/>
        <v>-9.0236078228647289E-3</v>
      </c>
      <c r="L39" s="189"/>
      <c r="M39" s="189"/>
    </row>
    <row customFormat="1" customHeight="1" ht="18" r="40" s="68" spans="1:13" x14ac:dyDescent="0.2">
      <c r="A40" s="73" t="s">
        <v>247</v>
      </c>
      <c r="B40" s="74">
        <f>ToursByTourPurpose!F81</f>
        <v>184043.16539742419</v>
      </c>
      <c r="C40" s="74">
        <f>ToursByTourPurpose!W12</f>
        <v>188723.06423389638</v>
      </c>
      <c r="D40" s="74">
        <f si="13" t="shared"/>
        <v>4679.8988364721881</v>
      </c>
      <c r="E40" s="75">
        <f si="14" t="shared"/>
        <v>2.542826747391776E-2</v>
      </c>
      <c r="G40" s="78">
        <f si="15" t="shared"/>
        <v>4.962714676185228E-2</v>
      </c>
      <c r="H40" s="78">
        <f si="16" t="shared"/>
        <v>5.0427343773379957E-2</v>
      </c>
      <c r="I40" s="79">
        <f si="17" t="shared"/>
        <v>8.0019701152767714E-4</v>
      </c>
      <c r="J40" s="75">
        <f si="18" t="shared"/>
        <v>1.6124179279691692E-2</v>
      </c>
      <c r="L40" s="189"/>
      <c r="M40" s="189"/>
    </row>
    <row customFormat="1" customHeight="1" ht="18" r="41" s="68" spans="1:13" thickBot="1" x14ac:dyDescent="0.25">
      <c r="A41" s="70" t="s">
        <v>221</v>
      </c>
      <c r="B41" s="76">
        <f>ToursByTourPurpose!F82</f>
        <v>6101317.7216883274</v>
      </c>
      <c r="C41" s="76">
        <f>ToursByTourPurpose!W13</f>
        <v>6014370.9859224148</v>
      </c>
      <c r="D41" s="76">
        <f si="13" t="shared"/>
        <v>-86946.73576591257</v>
      </c>
      <c r="E41" s="77">
        <f si="14" t="shared"/>
        <v>-1.425048485130407E-2</v>
      </c>
      <c r="G41" s="184">
        <f si="15" t="shared"/>
        <v>1.645217247600951</v>
      </c>
      <c r="H41" s="184">
        <f si="16" t="shared"/>
        <v>1.6070571687616673</v>
      </c>
      <c r="I41" s="80">
        <f si="17" t="shared"/>
        <v>-3.816007883928374E-2</v>
      </c>
      <c r="J41" s="77">
        <f si="18" t="shared"/>
        <v>-2.3194553117485615E-2</v>
      </c>
    </row>
    <row customFormat="1" customHeight="1" ht="18" r="42" s="68" spans="1:13" x14ac:dyDescent="0.2">
      <c r="A42" s="73"/>
      <c r="B42" s="69"/>
      <c r="C42" s="69"/>
      <c r="D42" s="69"/>
    </row>
    <row customFormat="1" customHeight="1" ht="18" r="43" s="68" spans="1:13" x14ac:dyDescent="0.2">
      <c r="A43" s="73"/>
      <c r="B43" s="69"/>
      <c r="C43" s="69"/>
      <c r="D43" s="69"/>
    </row>
    <row customFormat="1" customHeight="1" ht="18" r="44" s="68" spans="1:13" x14ac:dyDescent="0.2">
      <c r="A44" s="73"/>
      <c r="B44" s="69"/>
      <c r="C44" s="69"/>
      <c r="D44" s="69"/>
    </row>
    <row customHeight="1" ht="18" r="45" spans="1:13" x14ac:dyDescent="0.2">
      <c r="A45" s="62" t="s">
        <v>288</v>
      </c>
      <c r="G45" s="62" t="s">
        <v>3927</v>
      </c>
    </row>
    <row customHeight="1" ht="18" r="46" spans="1:13" thickBot="1" x14ac:dyDescent="0.25">
      <c r="B46" s="66"/>
      <c r="C46" s="66"/>
      <c r="D46" s="66"/>
      <c r="E46" s="66"/>
      <c r="G46" s="66"/>
      <c r="H46" s="66"/>
      <c r="I46" s="66"/>
      <c r="J46" s="66"/>
    </row>
    <row customFormat="1" customHeight="1" ht="18" r="47" s="68" spans="1:13" x14ac:dyDescent="0.2">
      <c r="A47" s="67" t="s">
        <v>155</v>
      </c>
      <c r="B47" s="63" t="s">
        <v>260</v>
      </c>
      <c r="C47" s="63" t="s">
        <v>261</v>
      </c>
      <c r="D47" s="63" t="s">
        <v>154</v>
      </c>
      <c r="E47" s="63" t="s">
        <v>262</v>
      </c>
      <c r="G47" s="63" t="s">
        <v>260</v>
      </c>
      <c r="H47" s="63" t="s">
        <v>261</v>
      </c>
      <c r="I47" s="63" t="s">
        <v>154</v>
      </c>
      <c r="J47" s="63" t="s">
        <v>262</v>
      </c>
    </row>
    <row customFormat="1" customHeight="1" ht="18" r="48" s="68" spans="1:13" x14ac:dyDescent="0.2">
      <c r="A48" s="68" t="s">
        <v>146</v>
      </c>
      <c r="B48" s="69">
        <f>ToursByTourPurpose!B13</f>
        <v>2431438.0228209868</v>
      </c>
      <c r="C48" s="69">
        <f>ToursByTourPurpose!N13</f>
        <v>2417378.1033960502</v>
      </c>
      <c r="D48" s="69">
        <f ref="D48:D56" si="19" t="shared">C48-B48</f>
        <v>-14059.919424936641</v>
      </c>
      <c r="E48" s="72">
        <f>D48/B48</f>
        <v>-5.7825530788665281E-3</v>
      </c>
      <c r="G48" s="78">
        <f>B48/B18</f>
        <v>1.7212626920891809</v>
      </c>
      <c r="H48" s="78">
        <f ref="H48:H55" si="20" t="shared">C48/C18</f>
        <v>1.7141822020117266</v>
      </c>
      <c r="I48" s="78">
        <f ref="I48:I56" si="21" t="shared">H48-G48</f>
        <v>-7.0804900774543711E-3</v>
      </c>
      <c r="J48" s="72">
        <f>I48/G48</f>
        <v>-4.1135441498824522E-3</v>
      </c>
      <c r="L48" s="188"/>
      <c r="M48" s="188"/>
    </row>
    <row customFormat="1" customHeight="1" ht="18" r="49" s="68" spans="1:15" x14ac:dyDescent="0.2">
      <c r="A49" s="68" t="s">
        <v>147</v>
      </c>
      <c r="B49" s="69">
        <f>ToursByTourPurpose!C13</f>
        <v>625338.66770780808</v>
      </c>
      <c r="C49" s="69">
        <f>ToursByTourPurpose!O13</f>
        <v>569113.45029423805</v>
      </c>
      <c r="D49" s="69">
        <f si="19" t="shared"/>
        <v>-56225.217413570033</v>
      </c>
      <c r="E49" s="72">
        <f ref="E49:E56" si="22" t="shared">D49/B49</f>
        <v>-8.9911627597993801E-2</v>
      </c>
      <c r="G49" s="78">
        <f ref="G49:G55" si="23" t="shared">B49/B19</f>
        <v>1.8340761000263974</v>
      </c>
      <c r="H49" s="78">
        <f si="20" t="shared"/>
        <v>1.7215198517639576</v>
      </c>
      <c r="I49" s="78">
        <f si="21" t="shared"/>
        <v>-0.11255624826243982</v>
      </c>
      <c r="J49" s="72">
        <f ref="J49:J56" si="24" t="shared">I49/G49</f>
        <v>-6.136945367796888E-2</v>
      </c>
      <c r="L49" s="188"/>
      <c r="M49" s="188"/>
    </row>
    <row customFormat="1" customHeight="1" ht="18" r="50" s="68" spans="1:15" x14ac:dyDescent="0.2">
      <c r="A50" s="68" t="s">
        <v>148</v>
      </c>
      <c r="B50" s="69">
        <f>ToursByTourPurpose!D13</f>
        <v>547910.24461451638</v>
      </c>
      <c r="C50" s="69">
        <f>ToursByTourPurpose!P13</f>
        <v>549547.26424095791</v>
      </c>
      <c r="D50" s="69">
        <f si="19" t="shared"/>
        <v>1637.0196264415281</v>
      </c>
      <c r="E50" s="72">
        <f si="22" t="shared"/>
        <v>2.9877514474898298E-3</v>
      </c>
      <c r="G50" s="78">
        <f si="23" t="shared"/>
        <v>1.4228035777088945</v>
      </c>
      <c r="H50" s="78">
        <f si="20" t="shared"/>
        <v>1.3958273891471389</v>
      </c>
      <c r="I50" s="78">
        <f si="21" t="shared"/>
        <v>-2.6976188561755654E-2</v>
      </c>
      <c r="J50" s="72">
        <f si="24" t="shared"/>
        <v>-1.8959882435209182E-2</v>
      </c>
      <c r="L50" s="188"/>
      <c r="M50" s="188"/>
    </row>
    <row customFormat="1" customHeight="1" ht="18" r="51" s="68" spans="1:15" x14ac:dyDescent="0.2">
      <c r="A51" s="68" t="s">
        <v>243</v>
      </c>
      <c r="B51" s="69">
        <f>ToursByTourPurpose!E13</f>
        <v>1052457.4078515514</v>
      </c>
      <c r="C51" s="69">
        <f>ToursByTourPurpose!Q13</f>
        <v>934424.23129923327</v>
      </c>
      <c r="D51" s="69">
        <f si="19" t="shared"/>
        <v>-118033.17655231815</v>
      </c>
      <c r="E51" s="72">
        <f si="22" t="shared"/>
        <v>-0.11215007436098229</v>
      </c>
      <c r="G51" s="78">
        <f si="23" t="shared"/>
        <v>1.7769332151746962</v>
      </c>
      <c r="H51" s="78">
        <f si="20" t="shared"/>
        <v>1.6281931239080709</v>
      </c>
      <c r="I51" s="78">
        <f si="21" t="shared"/>
        <v>-0.14874009126662524</v>
      </c>
      <c r="J51" s="72">
        <f si="24" t="shared"/>
        <v>-8.370606728289566E-2</v>
      </c>
      <c r="L51" s="188"/>
      <c r="M51" s="188"/>
    </row>
    <row customFormat="1" customHeight="1" ht="18" r="52" s="68" spans="1:15" x14ac:dyDescent="0.2">
      <c r="A52" s="68" t="s">
        <v>244</v>
      </c>
      <c r="B52" s="69">
        <f>ToursByTourPurpose!F13</f>
        <v>199289.42630487229</v>
      </c>
      <c r="C52" s="69">
        <f>ToursByTourPurpose!R13</f>
        <v>295768.13539615658</v>
      </c>
      <c r="D52" s="69">
        <f si="19" t="shared"/>
        <v>96478.709091284283</v>
      </c>
      <c r="E52" s="72">
        <f si="22" t="shared"/>
        <v>0.48411353718130273</v>
      </c>
      <c r="G52" s="78">
        <f si="23" t="shared"/>
        <v>1.7876868417540963</v>
      </c>
      <c r="H52" s="78">
        <f si="20" t="shared"/>
        <v>1.6846536973806305</v>
      </c>
      <c r="I52" s="78">
        <f si="21" t="shared"/>
        <v>-0.10303314437346578</v>
      </c>
      <c r="J52" s="72">
        <f si="24" t="shared"/>
        <v>-5.7634895534817841E-2</v>
      </c>
      <c r="L52" s="188"/>
      <c r="M52" s="188"/>
    </row>
    <row customFormat="1" customHeight="1" ht="18" r="53" s="68" spans="1:15" x14ac:dyDescent="0.2">
      <c r="A53" s="68" t="s">
        <v>245</v>
      </c>
      <c r="B53" s="69">
        <f>ToursByTourPurpose!G13</f>
        <v>108113.22313859199</v>
      </c>
      <c r="C53" s="69">
        <f>ToursByTourPurpose!S13</f>
        <v>154098.90958490764</v>
      </c>
      <c r="D53" s="69">
        <f si="19" t="shared"/>
        <v>45985.686446315653</v>
      </c>
      <c r="E53" s="72">
        <f si="22" t="shared"/>
        <v>0.42534747472439982</v>
      </c>
      <c r="G53" s="78">
        <f si="23" t="shared"/>
        <v>1.3772465081216609</v>
      </c>
      <c r="H53" s="78">
        <f si="20" t="shared"/>
        <v>1.2890950613124106</v>
      </c>
      <c r="I53" s="78">
        <f si="21" t="shared"/>
        <v>-8.8151446809250356E-2</v>
      </c>
      <c r="J53" s="72">
        <f si="24" t="shared"/>
        <v>-6.4005569293092285E-2</v>
      </c>
      <c r="L53" s="188"/>
      <c r="M53" s="188"/>
    </row>
    <row customFormat="1" customHeight="1" ht="18" r="54" s="68" spans="1:15" x14ac:dyDescent="0.2">
      <c r="A54" s="73" t="s">
        <v>246</v>
      </c>
      <c r="B54" s="69">
        <f>ToursByTourPurpose!I13</f>
        <v>772435.58325000003</v>
      </c>
      <c r="C54" s="69">
        <f>ToursByTourPurpose!U13</f>
        <v>726285.81568701344</v>
      </c>
      <c r="D54" s="69">
        <f si="19" t="shared"/>
        <v>-46149.767562986584</v>
      </c>
      <c r="E54" s="72">
        <f si="22" t="shared"/>
        <v>-5.9745781478389166E-2</v>
      </c>
      <c r="G54" s="78">
        <f si="23" t="shared"/>
        <v>1.4972121318071527</v>
      </c>
      <c r="H54" s="78">
        <f si="20" t="shared"/>
        <v>1.4413637144976523</v>
      </c>
      <c r="I54" s="78">
        <f si="21" t="shared"/>
        <v>-5.5848417309500409E-2</v>
      </c>
      <c r="J54" s="72">
        <f si="24" t="shared"/>
        <v>-3.7301606180608959E-2</v>
      </c>
      <c r="L54" s="188"/>
      <c r="M54" s="188"/>
    </row>
    <row customFormat="1" customHeight="1" ht="18" r="55" s="68" spans="1:15" x14ac:dyDescent="0.2">
      <c r="A55" s="73" t="s">
        <v>170</v>
      </c>
      <c r="B55" s="74">
        <f>ToursByTourPurpose!J13</f>
        <v>364335.14600000007</v>
      </c>
      <c r="C55" s="74">
        <f>ToursByTourPurpose!V13</f>
        <v>367755.07602385746</v>
      </c>
      <c r="D55" s="74">
        <f si="19" t="shared"/>
        <v>3419.9300238573924</v>
      </c>
      <c r="E55" s="75">
        <f si="22" t="shared"/>
        <v>9.3867694659833661E-3</v>
      </c>
      <c r="G55" s="79">
        <f si="23" t="shared"/>
        <v>1.3409588234929353</v>
      </c>
      <c r="H55" s="79">
        <f si="20" t="shared"/>
        <v>1.564512958975488</v>
      </c>
      <c r="I55" s="79">
        <f si="21" t="shared"/>
        <v>0.22355413548255276</v>
      </c>
      <c r="J55" s="75">
        <f si="24" t="shared"/>
        <v>0.16671215518776183</v>
      </c>
      <c r="L55" s="188"/>
      <c r="M55" s="188"/>
    </row>
    <row customFormat="1" customHeight="1" ht="18" r="56" s="68" spans="1:15" thickBot="1" x14ac:dyDescent="0.25">
      <c r="A56" s="70" t="s">
        <v>221</v>
      </c>
      <c r="B56" s="76">
        <f>SUM(B48:B55)</f>
        <v>6101317.7216883274</v>
      </c>
      <c r="C56" s="76">
        <f>ToursByTourPurpose!W13</f>
        <v>6014370.9859224148</v>
      </c>
      <c r="D56" s="76">
        <f si="19" t="shared"/>
        <v>-86946.73576591257</v>
      </c>
      <c r="E56" s="77">
        <f si="22" t="shared"/>
        <v>-1.425048485130407E-2</v>
      </c>
      <c r="G56" s="80">
        <f>B56/B26</f>
        <v>1.645217247600951</v>
      </c>
      <c r="H56" s="80">
        <f>C56/C26</f>
        <v>1.6070571687616673</v>
      </c>
      <c r="I56" s="80">
        <f si="21" t="shared"/>
        <v>-3.816007883928374E-2</v>
      </c>
      <c r="J56" s="77">
        <f si="24" t="shared"/>
        <v>-2.3194553117485615E-2</v>
      </c>
      <c r="N56" s="192"/>
      <c r="O56" s="192"/>
    </row>
    <row customFormat="1" customHeight="1" ht="18" r="57" s="68" spans="1:15" x14ac:dyDescent="0.2"/>
    <row customFormat="1" customHeight="1" ht="18" r="58" s="68" spans="1:15" x14ac:dyDescent="0.2"/>
    <row customFormat="1" customHeight="1" ht="18" r="59" s="68" spans="1:15" x14ac:dyDescent="0.2"/>
    <row customHeight="1" ht="18" r="60" spans="1:15" x14ac:dyDescent="0.2">
      <c r="A60" s="64" t="s">
        <v>219</v>
      </c>
      <c r="G60" s="62" t="s">
        <v>3926</v>
      </c>
      <c r="L60" s="62" t="s">
        <v>3929</v>
      </c>
    </row>
    <row customHeight="1" ht="18" r="61" spans="1:15" thickBot="1" x14ac:dyDescent="0.25">
      <c r="B61" s="66"/>
      <c r="C61" s="66"/>
      <c r="D61" s="66"/>
      <c r="E61" s="66"/>
      <c r="G61" s="66"/>
      <c r="H61" s="66"/>
      <c r="I61" s="66"/>
      <c r="J61" s="66"/>
    </row>
    <row customFormat="1" customHeight="1" ht="18" r="62" s="68" spans="1:15" x14ac:dyDescent="0.2">
      <c r="A62" s="67" t="s">
        <v>144</v>
      </c>
      <c r="B62" s="63" t="s">
        <v>260</v>
      </c>
      <c r="C62" s="63" t="s">
        <v>261</v>
      </c>
      <c r="D62" s="63" t="s">
        <v>154</v>
      </c>
      <c r="E62" s="63" t="s">
        <v>262</v>
      </c>
      <c r="G62" s="63" t="s">
        <v>260</v>
      </c>
      <c r="H62" s="63" t="s">
        <v>261</v>
      </c>
      <c r="I62" s="63" t="s">
        <v>154</v>
      </c>
      <c r="J62" s="63" t="s">
        <v>262</v>
      </c>
      <c r="L62" s="63" t="s">
        <v>260</v>
      </c>
      <c r="M62" s="63" t="s">
        <v>261</v>
      </c>
    </row>
    <row customFormat="1" customHeight="1" ht="18" r="63" s="68" spans="1:15" x14ac:dyDescent="0.2">
      <c r="A63" s="68" t="s">
        <v>210</v>
      </c>
      <c r="B63" s="69">
        <f>TripsByDestinationPurpose!F73</f>
        <v>2298251.4039472798</v>
      </c>
      <c r="C63" s="69">
        <f>TripsByDestinationPurpose!W5</f>
        <v>2262007.6084462265</v>
      </c>
      <c r="D63" s="69">
        <f ref="D63:D71" si="25" t="shared">C63-B63</f>
        <v>-36243.795501053333</v>
      </c>
      <c r="E63" s="72">
        <f ref="E63:E71" si="26" t="shared">D63/B63</f>
        <v>-1.5770161366508509E-2</v>
      </c>
      <c r="G63" s="78">
        <f>B63/B$26</f>
        <v>0.61972233238344965</v>
      </c>
      <c r="H63" s="78">
        <f>C63/C$26</f>
        <v>0.60441491744617104</v>
      </c>
      <c r="I63" s="78">
        <f ref="I63:I71" si="27" t="shared">H63-G63</f>
        <v>-1.5307414937278607E-2</v>
      </c>
      <c r="J63" s="72">
        <f ref="J63:J71" si="28" t="shared">I63/G63</f>
        <v>-2.4700441048180966E-2</v>
      </c>
      <c r="L63" s="78">
        <f>B63/B33</f>
        <v>1.3303461509182124</v>
      </c>
      <c r="M63" s="78">
        <f>C63/C33</f>
        <v>1.3315340496918948</v>
      </c>
      <c r="O63" s="192"/>
    </row>
    <row customFormat="1" customHeight="1" ht="18" r="64" s="68" spans="1:15" x14ac:dyDescent="0.2">
      <c r="A64" s="68" t="s">
        <v>211</v>
      </c>
      <c r="B64" s="69">
        <f>TripsByDestinationPurpose!F74</f>
        <v>874992.34978993994</v>
      </c>
      <c r="C64" s="69">
        <f>TripsByDestinationPurpose!W6</f>
        <v>825317.72857450275</v>
      </c>
      <c r="D64" s="69">
        <f si="25" t="shared"/>
        <v>-49674.62121543719</v>
      </c>
      <c r="E64" s="72">
        <f si="26" t="shared"/>
        <v>-5.6771492033459048E-2</v>
      </c>
      <c r="G64" s="78">
        <f ref="G64:G71" si="29" t="shared">B64/B$26</f>
        <v>0.23594124598299848</v>
      </c>
      <c r="H64" s="78">
        <f ref="H64:H71" si="30" t="shared">C64/C$26</f>
        <v>0.2205272630032703</v>
      </c>
      <c r="I64" s="78">
        <f si="27" t="shared"/>
        <v>-1.541398297972818E-2</v>
      </c>
      <c r="J64" s="72">
        <f si="28" t="shared"/>
        <v>-6.5329751546869791E-2</v>
      </c>
      <c r="L64" s="78">
        <f ref="L64:M64" si="31" t="shared">B64/B34</f>
        <v>1.0868437006492981</v>
      </c>
      <c r="M64" s="78">
        <f si="31" t="shared"/>
        <v>1.0874045977865214</v>
      </c>
      <c r="O64" s="192"/>
    </row>
    <row customFormat="1" customHeight="1" ht="18" r="65" s="68" spans="1:15" x14ac:dyDescent="0.2">
      <c r="A65" s="68" t="s">
        <v>212</v>
      </c>
      <c r="B65" s="69">
        <f>TripsByDestinationPurpose!F75</f>
        <v>1245809.4132766738</v>
      </c>
      <c r="C65" s="69">
        <f>TripsByDestinationPurpose!W7</f>
        <v>1233772.6914790208</v>
      </c>
      <c r="D65" s="69">
        <f si="25" t="shared"/>
        <v>-12036.721797653008</v>
      </c>
      <c r="E65" s="72">
        <f si="26" t="shared"/>
        <v>-9.6617682202244284E-3</v>
      </c>
      <c r="G65" s="78">
        <f si="29" t="shared"/>
        <v>0.33593188020033843</v>
      </c>
      <c r="H65" s="78">
        <f si="30" t="shared"/>
        <v>0.32966760000416678</v>
      </c>
      <c r="I65" s="78">
        <f si="27" t="shared"/>
        <v>-6.2642801961716454E-3</v>
      </c>
      <c r="J65" s="72">
        <f si="28" t="shared"/>
        <v>-1.8647471601789745E-2</v>
      </c>
      <c r="L65" s="78">
        <f ref="L65:M65" si="32" t="shared">B65/B35</f>
        <v>1.9201836446946206</v>
      </c>
      <c r="M65" s="78">
        <f si="32" t="shared"/>
        <v>1.9086280908945019</v>
      </c>
      <c r="O65" s="192"/>
    </row>
    <row customFormat="1" customHeight="1" ht="18" r="66" s="68" spans="1:15" x14ac:dyDescent="0.2">
      <c r="A66" s="68" t="s">
        <v>213</v>
      </c>
      <c r="B66" s="69">
        <f>TripsByDestinationPurpose!F76</f>
        <v>1846226.2144744778</v>
      </c>
      <c r="C66" s="69">
        <f>TripsByDestinationPurpose!W8</f>
        <v>1825914.7987901655</v>
      </c>
      <c r="D66" s="69">
        <f si="25" t="shared"/>
        <v>-20311.415684312349</v>
      </c>
      <c r="E66" s="72">
        <f si="26" t="shared"/>
        <v>-1.1001585572271775E-2</v>
      </c>
      <c r="G66" s="78">
        <f si="29" t="shared"/>
        <v>0.49783396793601442</v>
      </c>
      <c r="H66" s="78">
        <f si="30" t="shared"/>
        <v>0.48788966856418747</v>
      </c>
      <c r="I66" s="78">
        <f si="27" t="shared"/>
        <v>-9.9442993718269479E-3</v>
      </c>
      <c r="J66" s="72">
        <f si="28" t="shared"/>
        <v>-1.997513229773238E-2</v>
      </c>
      <c r="L66" s="78">
        <f ref="L66:M66" si="33" t="shared">B66/B36</f>
        <v>2.5708333075026131</v>
      </c>
      <c r="M66" s="78">
        <f si="33" t="shared"/>
        <v>2.5872926123859079</v>
      </c>
      <c r="O66" s="192"/>
    </row>
    <row customFormat="1" customHeight="1" ht="18" r="67" s="68" spans="1:15" x14ac:dyDescent="0.2">
      <c r="A67" s="68" t="s">
        <v>214</v>
      </c>
      <c r="B67" s="69">
        <f>TripsByDestinationPurpose!F77</f>
        <v>2042144.3750582975</v>
      </c>
      <c r="C67" s="69">
        <f>TripsByDestinationPurpose!W9</f>
        <v>2022079.1486018861</v>
      </c>
      <c r="D67" s="69">
        <f si="25" t="shared"/>
        <v>-20065.226456411416</v>
      </c>
      <c r="E67" s="72">
        <f si="26" t="shared"/>
        <v>-9.8255670370213707E-3</v>
      </c>
      <c r="G67" s="78">
        <f si="29" t="shared"/>
        <v>0.55066320116295742</v>
      </c>
      <c r="H67" s="78">
        <f si="30" t="shared"/>
        <v>0.54030534517580375</v>
      </c>
      <c r="I67" s="78">
        <f si="27" t="shared"/>
        <v>-1.0357855987153664E-2</v>
      </c>
      <c r="J67" s="72">
        <f si="28" t="shared"/>
        <v>-1.8809784211617348E-2</v>
      </c>
      <c r="L67" s="78">
        <f ref="L67:M67" si="34" t="shared">B67/B37</f>
        <v>2.9072244269261769</v>
      </c>
      <c r="M67" s="78">
        <f si="34" t="shared"/>
        <v>2.9089412426844921</v>
      </c>
      <c r="O67" s="192"/>
    </row>
    <row customFormat="1" customHeight="1" ht="18" r="68" s="68" spans="1:15" x14ac:dyDescent="0.2">
      <c r="A68" s="68" t="s">
        <v>129</v>
      </c>
      <c r="B68" s="69">
        <f>TripsByDestinationPurpose!F78</f>
        <v>828105.01502485911</v>
      </c>
      <c r="C68" s="69">
        <f>TripsByDestinationPurpose!W10</f>
        <v>832000.09110362304</v>
      </c>
      <c r="D68" s="69">
        <f si="25" t="shared"/>
        <v>3895.0760787639301</v>
      </c>
      <c r="E68" s="72">
        <f si="26" t="shared"/>
        <v>4.7036016061888031E-3</v>
      </c>
      <c r="G68" s="78">
        <f si="29" t="shared"/>
        <v>0.22329809980240509</v>
      </c>
      <c r="H68" s="78">
        <f si="30" t="shared"/>
        <v>0.22231280942729759</v>
      </c>
      <c r="I68" s="78">
        <f si="27" t="shared"/>
        <v>-9.8529037510750039E-4</v>
      </c>
      <c r="J68" s="72">
        <f si="28" t="shared"/>
        <v>-4.4124440645906832E-3</v>
      </c>
      <c r="L68" s="78">
        <f ref="L68:M68" si="35" t="shared">B68/B38</f>
        <v>3.6763729903758042</v>
      </c>
      <c r="M68" s="78">
        <f si="35" t="shared"/>
        <v>3.6089687967486235</v>
      </c>
      <c r="O68" s="192"/>
    </row>
    <row customFormat="1" customHeight="1" ht="18" r="69" s="68" spans="1:15" x14ac:dyDescent="0.2">
      <c r="A69" s="68" t="s">
        <v>130</v>
      </c>
      <c r="B69" s="69">
        <f>TripsByDestinationPurpose!F79</f>
        <v>1716147.0657603382</v>
      </c>
      <c r="C69" s="69">
        <f>TripsByDestinationPurpose!W11</f>
        <v>1706750.2515681253</v>
      </c>
      <c r="D69" s="69">
        <f si="25" t="shared"/>
        <v>-9396.8141922128852</v>
      </c>
      <c r="E69" s="72">
        <f si="26" t="shared"/>
        <v>-5.4755296790660714E-3</v>
      </c>
      <c r="G69" s="78">
        <f si="29" t="shared"/>
        <v>0.46275819106620536</v>
      </c>
      <c r="H69" s="78">
        <f si="30" t="shared"/>
        <v>0.45604855993891918</v>
      </c>
      <c r="I69" s="78">
        <f si="27" t="shared"/>
        <v>-6.7096311272861753E-3</v>
      </c>
      <c r="J69" s="72">
        <f si="28" t="shared"/>
        <v>-1.4499216344127876E-2</v>
      </c>
      <c r="L69" s="78">
        <f ref="L69:M69" si="36" t="shared">B69/B39</f>
        <v>1.5744315374305295</v>
      </c>
      <c r="M69" s="78">
        <f si="36" t="shared"/>
        <v>1.5657320660702077</v>
      </c>
      <c r="O69" s="192"/>
    </row>
    <row customFormat="1" customHeight="1" ht="18" r="70" s="68" spans="1:15" x14ac:dyDescent="0.2">
      <c r="A70" s="81" t="s">
        <v>145</v>
      </c>
      <c r="B70" s="74">
        <f>TripsByDestinationPurpose!F80</f>
        <v>5897768.1955870669</v>
      </c>
      <c r="C70" s="74">
        <f>TripsByDestinationPurpose!W12</f>
        <v>5790533.6369073316</v>
      </c>
      <c r="D70" s="74">
        <f si="25" t="shared"/>
        <v>-107234.55867973529</v>
      </c>
      <c r="E70" s="75">
        <f si="26" t="shared"/>
        <v>-1.8182226754854869E-2</v>
      </c>
      <c r="G70" s="78">
        <f si="29" t="shared"/>
        <v>1.5903302205096743</v>
      </c>
      <c r="H70" s="78">
        <f si="30" t="shared"/>
        <v>1.5472471874330667</v>
      </c>
      <c r="I70" s="79">
        <f si="27" t="shared"/>
        <v>-4.3083033076607657E-2</v>
      </c>
      <c r="J70" s="75">
        <f si="28" t="shared"/>
        <v>-2.7090620879228634E-2</v>
      </c>
      <c r="L70" s="78"/>
      <c r="M70" s="78"/>
      <c r="O70" s="192"/>
    </row>
    <row customFormat="1" customHeight="1" ht="18" r="71" s="68" spans="1:15" thickBot="1" x14ac:dyDescent="0.25">
      <c r="A71" s="70" t="s">
        <v>221</v>
      </c>
      <c r="B71" s="71">
        <f>SUM(B63:B70)</f>
        <v>16749444.032918934</v>
      </c>
      <c r="C71" s="71">
        <f>TripsByDestinationPurpose!W13</f>
        <v>16498375.955470882</v>
      </c>
      <c r="D71" s="71">
        <f si="25" t="shared"/>
        <v>-251068.07744805142</v>
      </c>
      <c r="E71" s="82">
        <f si="26" t="shared"/>
        <v>-1.498963648910427E-2</v>
      </c>
      <c r="G71" s="184">
        <f si="29" t="shared"/>
        <v>4.5164791390440433</v>
      </c>
      <c r="H71" s="184">
        <f si="30" t="shared"/>
        <v>4.4084133509928831</v>
      </c>
      <c r="I71" s="80">
        <f si="27" t="shared"/>
        <v>-0.10806578805116018</v>
      </c>
      <c r="J71" s="77">
        <f si="28" t="shared"/>
        <v>-2.3926998160348718E-2</v>
      </c>
      <c r="L71" s="184">
        <f>B71/B41</f>
        <v>2.7452174754610401</v>
      </c>
      <c r="M71" s="184">
        <f>C71/C41</f>
        <v>2.7431590093274818</v>
      </c>
      <c r="O71" s="196"/>
    </row>
    <row customFormat="1" customHeight="1" ht="18" r="72" s="68" spans="1:15" x14ac:dyDescent="0.2"/>
    <row customFormat="1" customHeight="1" ht="18" r="73" s="68" spans="1:15" x14ac:dyDescent="0.2"/>
    <row customFormat="1" customHeight="1" ht="18" r="74" s="68" spans="1:15" x14ac:dyDescent="0.2"/>
    <row customFormat="1" customHeight="1" ht="18" r="75" s="68" spans="1:15" x14ac:dyDescent="0.2">
      <c r="A75" s="62" t="s">
        <v>220</v>
      </c>
      <c r="G75" s="62" t="s">
        <v>3928</v>
      </c>
    </row>
    <row customFormat="1" customHeight="1" ht="18" r="76" s="68" spans="1:15" thickBot="1" x14ac:dyDescent="0.25">
      <c r="A76" s="65"/>
      <c r="B76" s="83"/>
      <c r="C76" s="83"/>
      <c r="D76" s="83"/>
      <c r="E76" s="83"/>
      <c r="G76" s="83"/>
      <c r="H76" s="83"/>
      <c r="I76" s="83"/>
      <c r="J76" s="83"/>
    </row>
    <row customFormat="1" customHeight="1" ht="18" r="77" s="68" spans="1:15" x14ac:dyDescent="0.2">
      <c r="A77" s="67" t="s">
        <v>155</v>
      </c>
      <c r="B77" s="63" t="s">
        <v>260</v>
      </c>
      <c r="C77" s="63" t="s">
        <v>261</v>
      </c>
      <c r="D77" s="63" t="s">
        <v>154</v>
      </c>
      <c r="E77" s="63" t="s">
        <v>262</v>
      </c>
      <c r="G77" s="63" t="s">
        <v>260</v>
      </c>
      <c r="H77" s="63" t="s">
        <v>261</v>
      </c>
      <c r="I77" s="63" t="s">
        <v>154</v>
      </c>
      <c r="J77" s="63" t="s">
        <v>262</v>
      </c>
    </row>
    <row customFormat="1" customHeight="1" ht="18" r="78" s="68" spans="1:15" x14ac:dyDescent="0.2">
      <c r="A78" s="68" t="s">
        <v>146</v>
      </c>
      <c r="B78" s="69">
        <f>TripsByDestinationPurpose!B13</f>
        <v>6681016.6974591678</v>
      </c>
      <c r="C78" s="69">
        <f>TripsByDestinationPurpose!N13</f>
        <v>6944406.1304044891</v>
      </c>
      <c r="D78" s="69">
        <f ref="D78:D85" si="37" t="shared">C78-B78</f>
        <v>263389.43294532131</v>
      </c>
      <c r="E78" s="72">
        <f>D78/B78</f>
        <v>3.9423555556370629E-2</v>
      </c>
      <c r="G78" s="78">
        <f ref="G78:H78" si="38" t="shared">B78/B18</f>
        <v>4.7296228316850666</v>
      </c>
      <c r="H78" s="78">
        <f si="38" t="shared"/>
        <v>4.9243340855769375</v>
      </c>
      <c r="I78" s="78">
        <f ref="I78:I86" si="39" t="shared">H78-G78</f>
        <v>0.19471125389187094</v>
      </c>
      <c r="J78" s="72">
        <f>I78/G78</f>
        <v>4.1168452712010306E-2</v>
      </c>
    </row>
    <row customFormat="1" customHeight="1" ht="18" r="79" s="68" spans="1:15" x14ac:dyDescent="0.2">
      <c r="A79" s="68" t="s">
        <v>147</v>
      </c>
      <c r="B79" s="69">
        <f>TripsByDestinationPurpose!C13</f>
        <v>1763383.0219881674</v>
      </c>
      <c r="C79" s="69">
        <f>TripsByDestinationPurpose!O13</f>
        <v>1553760.3359049677</v>
      </c>
      <c r="D79" s="69">
        <f si="37" t="shared"/>
        <v>-209622.68608319969</v>
      </c>
      <c r="E79" s="72">
        <f ref="E79:E86" si="40" t="shared">D79/B79</f>
        <v>-0.11887530018682821</v>
      </c>
      <c r="G79" s="78">
        <f ref="G79:G85" si="41" t="shared">B79/B19</f>
        <v>5.1718833694960367</v>
      </c>
      <c r="H79" s="78">
        <f ref="H79:H85" si="42" t="shared">C79/C19</f>
        <v>4.6999930536888916</v>
      </c>
      <c r="I79" s="78">
        <f si="39" t="shared"/>
        <v>-0.47189031580714502</v>
      </c>
      <c r="J79" s="72">
        <f ref="J79:J86" si="43" t="shared">I79/G79</f>
        <v>-9.1241484405926845E-2</v>
      </c>
    </row>
    <row customFormat="1" customHeight="1" ht="18" r="80" s="68" spans="1:15" x14ac:dyDescent="0.2">
      <c r="A80" s="68" t="s">
        <v>148</v>
      </c>
      <c r="B80" s="69">
        <f>TripsByDestinationPurpose!D13</f>
        <v>1620215.6443693901</v>
      </c>
      <c r="C80" s="69">
        <f>TripsByDestinationPurpose!P13</f>
        <v>1508315.8145959694</v>
      </c>
      <c r="D80" s="69">
        <f si="37" t="shared"/>
        <v>-111899.8297734207</v>
      </c>
      <c r="E80" s="72">
        <f si="40" t="shared"/>
        <v>-6.9064775520652155E-2</v>
      </c>
      <c r="G80" s="78">
        <f si="41" t="shared"/>
        <v>4.2073471670356399</v>
      </c>
      <c r="H80" s="78">
        <f si="42" t="shared"/>
        <v>3.8310599697093708</v>
      </c>
      <c r="I80" s="78">
        <f si="39" t="shared"/>
        <v>-0.37628719732626914</v>
      </c>
      <c r="J80" s="72">
        <f si="43" t="shared"/>
        <v>-8.9435737624520506E-2</v>
      </c>
    </row>
    <row customFormat="1" customHeight="1" ht="18" r="81" s="68" spans="1:12" x14ac:dyDescent="0.2">
      <c r="A81" s="68" t="s">
        <v>243</v>
      </c>
      <c r="B81" s="69">
        <f>TripsByDestinationPurpose!E13</f>
        <v>2927381.5097038737</v>
      </c>
      <c r="C81" s="69">
        <f>TripsByDestinationPurpose!Q13</f>
        <v>2529230.9339904035</v>
      </c>
      <c r="D81" s="69">
        <f si="37" t="shared"/>
        <v>-398150.57571347011</v>
      </c>
      <c r="E81" s="72">
        <f si="40" t="shared"/>
        <v>-0.13600911749755024</v>
      </c>
      <c r="G81" s="78">
        <f si="41" t="shared"/>
        <v>4.9424911633238899</v>
      </c>
      <c r="H81" s="78">
        <f si="42" t="shared"/>
        <v>4.4070736583670849</v>
      </c>
      <c r="I81" s="78">
        <f si="39" t="shared"/>
        <v>-0.53541750495680507</v>
      </c>
      <c r="J81" s="72">
        <f si="43" t="shared"/>
        <v>-0.10832948148292283</v>
      </c>
    </row>
    <row customFormat="1" customHeight="1" ht="18" r="82" s="68" spans="1:12" x14ac:dyDescent="0.2">
      <c r="A82" s="68" t="s">
        <v>244</v>
      </c>
      <c r="B82" s="69">
        <f>TripsByDestinationPurpose!F13</f>
        <v>601583.16774615063</v>
      </c>
      <c r="C82" s="69">
        <f>TripsByDestinationPurpose!R13</f>
        <v>827320.27704522968</v>
      </c>
      <c r="D82" s="69">
        <f si="37" t="shared"/>
        <v>225737.10929907905</v>
      </c>
      <c r="E82" s="72">
        <f si="40" t="shared"/>
        <v>0.37523840659440305</v>
      </c>
      <c r="G82" s="78">
        <f si="41" t="shared"/>
        <v>5.3963842093425107</v>
      </c>
      <c r="H82" s="78">
        <f si="42" t="shared"/>
        <v>4.7122999297250363</v>
      </c>
      <c r="I82" s="78">
        <f si="39" t="shared"/>
        <v>-0.68408427961747442</v>
      </c>
      <c r="J82" s="72">
        <f si="43" t="shared"/>
        <v>-0.12676715613264727</v>
      </c>
    </row>
    <row customFormat="1" customHeight="1" ht="18" r="83" s="68" spans="1:12" x14ac:dyDescent="0.2">
      <c r="A83" s="68" t="s">
        <v>245</v>
      </c>
      <c r="B83" s="69">
        <f>TripsByDestinationPurpose!G13</f>
        <v>254816.91840218398</v>
      </c>
      <c r="C83" s="69">
        <f>TripsByDestinationPurpose!S13</f>
        <v>387106.71831460542</v>
      </c>
      <c r="D83" s="69">
        <f si="37" t="shared"/>
        <v>132289.79991242144</v>
      </c>
      <c r="E83" s="72">
        <f si="40" t="shared"/>
        <v>0.51915626616135868</v>
      </c>
      <c r="G83" s="78">
        <f si="41" t="shared"/>
        <v>3.2460942416807557</v>
      </c>
      <c r="H83" s="78">
        <f si="42" t="shared"/>
        <v>3.2382926013195217</v>
      </c>
      <c r="I83" s="78">
        <f si="39" t="shared"/>
        <v>-7.8016403612339857E-3</v>
      </c>
      <c r="J83" s="72">
        <f si="43" t="shared"/>
        <v>-2.4033930565104202E-3</v>
      </c>
    </row>
    <row customFormat="1" customHeight="1" ht="18" r="84" s="68" spans="1:12" x14ac:dyDescent="0.2">
      <c r="A84" s="73" t="s">
        <v>246</v>
      </c>
      <c r="B84" s="69">
        <f>TripsByDestinationPurpose!I13</f>
        <v>1903241.35775</v>
      </c>
      <c r="C84" s="69">
        <f>TripsByDestinationPurpose!U13</f>
        <v>1774902.4690364101</v>
      </c>
      <c r="D84" s="69">
        <f si="37" t="shared"/>
        <v>-128338.88871358987</v>
      </c>
      <c r="E84" s="72">
        <f si="40" t="shared"/>
        <v>-6.7431746473453735E-2</v>
      </c>
      <c r="G84" s="78">
        <f si="41" t="shared"/>
        <v>3.6890533170300026</v>
      </c>
      <c r="H84" s="78">
        <f si="42" t="shared"/>
        <v>3.5224149506780993</v>
      </c>
      <c r="I84" s="78">
        <f si="39" t="shared"/>
        <v>-0.16663836635190332</v>
      </c>
      <c r="J84" s="72">
        <f si="43" t="shared"/>
        <v>-4.5171037670461531E-2</v>
      </c>
    </row>
    <row customFormat="1" customHeight="1" ht="18" r="85" s="68" spans="1:12" x14ac:dyDescent="0.2">
      <c r="A85" s="73" t="s">
        <v>170</v>
      </c>
      <c r="B85" s="74">
        <f>TripsByDestinationPurpose!J13</f>
        <v>997805.71549999993</v>
      </c>
      <c r="C85" s="74">
        <f>TripsByDestinationPurpose!V13</f>
        <v>973333.27617880632</v>
      </c>
      <c r="D85" s="74">
        <f si="37" t="shared"/>
        <v>-24472.439321193611</v>
      </c>
      <c r="E85" s="75">
        <f si="40" t="shared"/>
        <v>-2.452625690656671E-2</v>
      </c>
      <c r="G85" s="78">
        <f si="41" t="shared"/>
        <v>3.6724877987242168</v>
      </c>
      <c r="H85" s="78">
        <f si="42" t="shared"/>
        <v>4.1407790762486218</v>
      </c>
      <c r="I85" s="79">
        <f si="39" t="shared"/>
        <v>0.46829127752440503</v>
      </c>
      <c r="J85" s="75">
        <f si="43" t="shared"/>
        <v>0.12751336510555172</v>
      </c>
    </row>
    <row customFormat="1" customHeight="1" ht="18" r="86" s="68" spans="1:12" thickBot="1" x14ac:dyDescent="0.25">
      <c r="A86" s="70" t="s">
        <v>221</v>
      </c>
      <c r="B86" s="76">
        <f>SUM(B78:B85)</f>
        <v>16749444.032918934</v>
      </c>
      <c r="C86" s="76">
        <f>SUM(C78:C85)</f>
        <v>16498375.95547088</v>
      </c>
      <c r="D86" s="76">
        <f>SUM(D78:D85)</f>
        <v>-251068.07744805218</v>
      </c>
      <c r="E86" s="77">
        <f si="40" t="shared"/>
        <v>-1.4989636489104315E-2</v>
      </c>
      <c r="G86" s="184">
        <f ref="G86" si="44" t="shared">B86/B26</f>
        <v>4.5164791390440433</v>
      </c>
      <c r="H86" s="184">
        <f ref="H86" si="45" t="shared">C86/C26</f>
        <v>4.4084133509928822</v>
      </c>
      <c r="I86" s="80">
        <f si="39" t="shared"/>
        <v>-0.10806578805116107</v>
      </c>
      <c r="J86" s="77">
        <f si="43" t="shared"/>
        <v>-2.3926998160348913E-2</v>
      </c>
      <c r="K86" s="78"/>
      <c r="L86" s="78"/>
    </row>
    <row customFormat="1" customHeight="1" ht="18" r="87" s="68" spans="1:12" x14ac:dyDescent="0.2"/>
    <row customFormat="1" customHeight="1" ht="18" r="88" s="68" spans="1:12" x14ac:dyDescent="0.2">
      <c r="A88"/>
      <c r="B88" s="191"/>
      <c r="C88" s="191"/>
      <c r="D88"/>
      <c r="E88"/>
    </row>
    <row customFormat="1" customHeight="1" ht="18" r="89" s="68" spans="1:12" x14ac:dyDescent="0.2">
      <c r="A89"/>
      <c r="B89"/>
      <c r="C89"/>
      <c r="D89"/>
      <c r="E89"/>
    </row>
    <row customFormat="1" customHeight="1" ht="18" r="90" s="68" spans="1:12" x14ac:dyDescent="0.2">
      <c r="A90"/>
      <c r="B90"/>
      <c r="C90"/>
      <c r="D90"/>
      <c r="E90"/>
    </row>
    <row customFormat="1" customHeight="1" ht="18" r="91" s="68" spans="1:12" x14ac:dyDescent="0.2">
      <c r="A91"/>
      <c r="B91"/>
      <c r="C91"/>
      <c r="D91"/>
      <c r="E91"/>
    </row>
    <row customFormat="1" customHeight="1" ht="18" r="92" s="68" spans="1:12" x14ac:dyDescent="0.2">
      <c r="A92"/>
      <c r="B92"/>
      <c r="C92"/>
      <c r="D92"/>
      <c r="E92"/>
    </row>
    <row customFormat="1" customHeight="1" ht="18" r="93" s="68" spans="1:12" x14ac:dyDescent="0.2">
      <c r="A93"/>
      <c r="B93"/>
      <c r="C93"/>
      <c r="D93"/>
      <c r="E93"/>
    </row>
    <row customFormat="1" customHeight="1" ht="18" r="94" s="68" spans="1:12" x14ac:dyDescent="0.2">
      <c r="A94"/>
      <c r="B94"/>
      <c r="C94"/>
      <c r="D94"/>
      <c r="E94"/>
    </row>
    <row customFormat="1" customHeight="1" ht="18" r="95" s="68" spans="1:12" x14ac:dyDescent="0.2">
      <c r="A95"/>
      <c r="B95"/>
      <c r="C95"/>
      <c r="D95"/>
      <c r="E95"/>
    </row>
    <row customHeight="1" ht="18" r="96" spans="1:12" x14ac:dyDescent="0.2">
      <c r="A96"/>
      <c r="B96"/>
      <c r="C96"/>
      <c r="D96"/>
      <c r="E96"/>
    </row>
    <row customHeight="1" ht="18" r="97" spans="1:5" x14ac:dyDescent="0.2">
      <c r="A97"/>
      <c r="B97"/>
      <c r="C97"/>
      <c r="D97"/>
      <c r="E97"/>
    </row>
    <row customHeight="1" ht="18" r="98" spans="1:5" x14ac:dyDescent="0.2">
      <c r="A98"/>
      <c r="B98"/>
      <c r="C98"/>
      <c r="D98"/>
      <c r="E98"/>
    </row>
    <row customHeight="1" ht="18" r="99" spans="1:5" x14ac:dyDescent="0.2">
      <c r="A99"/>
      <c r="B99"/>
      <c r="C99"/>
      <c r="D99"/>
      <c r="E99"/>
    </row>
    <row customHeight="1" ht="18" r="100" spans="1:5" x14ac:dyDescent="0.2">
      <c r="A100"/>
      <c r="B100"/>
      <c r="C100"/>
      <c r="D100"/>
      <c r="E100"/>
    </row>
    <row customHeight="1" ht="18" r="101" spans="1:5" x14ac:dyDescent="0.2">
      <c r="A101"/>
      <c r="B101"/>
      <c r="C101"/>
      <c r="D101"/>
      <c r="E101"/>
    </row>
    <row r="102" spans="1:5" x14ac:dyDescent="0.2">
      <c r="A102"/>
      <c r="B102"/>
      <c r="C102"/>
      <c r="D102"/>
      <c r="E102"/>
    </row>
    <row r="103" spans="1:5" x14ac:dyDescent="0.2">
      <c r="A103"/>
      <c r="B103"/>
      <c r="C103"/>
      <c r="D103"/>
      <c r="E103"/>
    </row>
    <row r="104" spans="1:5" x14ac:dyDescent="0.2">
      <c r="A104"/>
      <c r="B104"/>
      <c r="C104"/>
      <c r="D104"/>
      <c r="E104"/>
    </row>
    <row r="105" spans="1:5" x14ac:dyDescent="0.2">
      <c r="A105"/>
      <c r="B105"/>
      <c r="C105"/>
      <c r="D105"/>
      <c r="E105"/>
    </row>
    <row r="106" spans="1:5" x14ac:dyDescent="0.2">
      <c r="A106"/>
      <c r="B106"/>
      <c r="C106"/>
      <c r="D106"/>
      <c r="E106"/>
    </row>
    <row r="107" spans="1:5" x14ac:dyDescent="0.2">
      <c r="A107"/>
      <c r="B107"/>
      <c r="C107"/>
      <c r="D107"/>
      <c r="E107"/>
    </row>
    <row r="108" spans="1:5" x14ac:dyDescent="0.2">
      <c r="A108"/>
      <c r="B108"/>
      <c r="C108"/>
      <c r="D108"/>
      <c r="E108"/>
    </row>
    <row r="109" spans="1:5" x14ac:dyDescent="0.2">
      <c r="A109"/>
      <c r="B109"/>
      <c r="C109"/>
      <c r="D109"/>
      <c r="E109"/>
    </row>
    <row r="110" spans="1:5" x14ac:dyDescent="0.2">
      <c r="A110"/>
      <c r="B110"/>
      <c r="C110"/>
      <c r="D110"/>
      <c r="E110"/>
    </row>
    <row r="111" spans="1:5" x14ac:dyDescent="0.2">
      <c r="A111"/>
      <c r="B111"/>
      <c r="C111"/>
      <c r="D111"/>
      <c r="E111"/>
    </row>
    <row r="112" spans="1:5" x14ac:dyDescent="0.2">
      <c r="A112"/>
      <c r="B112"/>
      <c r="C112"/>
      <c r="D112"/>
      <c r="E112"/>
    </row>
    <row r="113" spans="1:5" x14ac:dyDescent="0.2">
      <c r="A113"/>
      <c r="B113"/>
      <c r="C113"/>
      <c r="D113"/>
      <c r="E113"/>
    </row>
    <row r="114" spans="1:5" x14ac:dyDescent="0.2">
      <c r="A114"/>
      <c r="B114"/>
      <c r="C114"/>
      <c r="D114"/>
      <c r="E114"/>
    </row>
    <row r="115" spans="1:5" x14ac:dyDescent="0.2">
      <c r="A115"/>
      <c r="B115"/>
      <c r="C115"/>
      <c r="D115"/>
      <c r="E115"/>
    </row>
    <row r="116" spans="1:5" x14ac:dyDescent="0.2">
      <c r="A116"/>
      <c r="B116"/>
      <c r="C116"/>
      <c r="D116"/>
      <c r="E116"/>
    </row>
  </sheetData>
  <phoneticPr fontId="6"/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F54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272</v>
      </c>
      <c r="L2" s="2" t="s">
        <v>95</v>
      </c>
      <c r="W2" s="2" t="s">
        <v>96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3" t="s">
        <v>222</v>
      </c>
      <c r="B5" s="12">
        <f>output_NHTS!B4/SUM(output_NHTS!B$4:B$7)</f>
        <v>9.4570446882214304E-2</v>
      </c>
      <c r="C5" s="12">
        <f>output_NHTS!C4/SUM(output_NHTS!C$4:C$7)</f>
        <v>0.15352584411438966</v>
      </c>
      <c r="D5" s="12">
        <f>output_NHTS!D4/SUM(output_NHTS!D$4:D$7)</f>
        <v>0.25657309978389309</v>
      </c>
      <c r="E5" s="12">
        <f>output_NHTS!E4/SUM(output_NHTS!E$4:E$7)</f>
        <v>0.23433507832411532</v>
      </c>
      <c r="F5" s="12">
        <f>output_NHTS!F4/SUM(output_NHTS!F$4:F$7)</f>
        <v>0.12872323657169901</v>
      </c>
      <c r="G5" s="12">
        <f>output_NHTS!G4/SUM(output_NHTS!G$4:G$7)</f>
        <v>0.13935442060821546</v>
      </c>
      <c r="H5" s="12">
        <f>output_NHTS!H4/SUM(output_NHTS!H$4:H$7)</f>
        <v>0.14231125850964935</v>
      </c>
      <c r="I5" s="12">
        <f>output_NHTS!I4/SUM(output_NHTS!I$4:I$7)</f>
        <v>0.27695810370122759</v>
      </c>
      <c r="J5" s="12">
        <f>output_NHTS!J4/SUM(output_NHTS!J$4:J$7)</f>
        <v>0.16111332496732794</v>
      </c>
      <c r="L5" s="3" t="s">
        <v>222</v>
      </c>
      <c r="M5" s="12">
        <f>output!B4/SUM(output!B$4:B$7)</f>
        <v>1.8182223732075068E-2</v>
      </c>
      <c r="N5" s="12">
        <f>output!C4/SUM(output!C$4:C$7)</f>
        <v>5.6119846677233361E-2</v>
      </c>
      <c r="O5" s="12">
        <f>output!D4/SUM(output!D$4:D$7)</f>
        <v>0.14619608538178835</v>
      </c>
      <c r="P5" s="12">
        <f>output!E4/SUM(output!E$4:E$7)</f>
        <v>0.108261149594217</v>
      </c>
      <c r="Q5" s="12">
        <f>output!F4/SUM(output!F$4:F$7)</f>
        <v>3.0340474400698939E-2</v>
      </c>
      <c r="R5" s="12">
        <f>output!G4/SUM(output!G$4:G$7)</f>
        <v>5.5467610160185123E-2</v>
      </c>
      <c r="S5" s="12">
        <f>output!H4/SUM(output!H$4:H$7)</f>
        <v>5.7856267798970962E-2</v>
      </c>
      <c r="T5" s="12">
        <f>output!I4/SUM(output!I$4:I$7)</f>
        <v>0.12998819700180037</v>
      </c>
      <c r="U5" s="12">
        <f>output!J4/SUM(output!J$4:J$7)</f>
        <v>6.2939328529261665E-2</v>
      </c>
      <c r="W5" s="3" t="s">
        <v>222</v>
      </c>
      <c r="X5" s="12">
        <f ref="X5:AF9" si="0" t="shared">M5-B5</f>
        <v>-7.6388223150139239E-2</v>
      </c>
      <c r="Y5" s="12">
        <f si="0" t="shared"/>
        <v>-9.7405997437156305E-2</v>
      </c>
      <c r="Z5" s="12">
        <f si="0" t="shared"/>
        <v>-0.11037701440210473</v>
      </c>
      <c r="AA5" s="12">
        <f si="0" t="shared"/>
        <v>-0.12607392872989831</v>
      </c>
      <c r="AB5" s="12">
        <f si="0" t="shared"/>
        <v>-9.8382762171000074E-2</v>
      </c>
      <c r="AC5" s="12">
        <f si="0" t="shared"/>
        <v>-8.3886810448030341E-2</v>
      </c>
      <c r="AD5" s="12">
        <f si="0" t="shared"/>
        <v>-8.4454990710678385E-2</v>
      </c>
      <c r="AE5" s="12">
        <f si="0" t="shared"/>
        <v>-0.14696990669942722</v>
      </c>
      <c r="AF5" s="12">
        <f si="0" t="shared"/>
        <v>-9.8173996438066277E-2</v>
      </c>
    </row>
    <row r="6" spans="1:32" x14ac:dyDescent="0.2">
      <c r="A6" s="3" t="s">
        <v>223</v>
      </c>
      <c r="B6" s="12">
        <f>output_NHTS!B5/SUM(output_NHTS!B$4:B$7)</f>
        <v>0.59541609736667156</v>
      </c>
      <c r="C6" s="12">
        <f>output_NHTS!C5/SUM(output_NHTS!C$4:C$7)</f>
        <v>0.44374531513343562</v>
      </c>
      <c r="D6" s="12">
        <f>output_NHTS!D5/SUM(output_NHTS!D$4:D$7)</f>
        <v>0.44052619819514788</v>
      </c>
      <c r="E6" s="12">
        <f>output_NHTS!E5/SUM(output_NHTS!E$4:E$7)</f>
        <v>0.39388479089126532</v>
      </c>
      <c r="F6" s="12">
        <f>output_NHTS!F5/SUM(output_NHTS!F$4:F$7)</f>
        <v>0.54310654989784457</v>
      </c>
      <c r="G6" s="12">
        <f>output_NHTS!G5/SUM(output_NHTS!G$4:G$7)</f>
        <v>0.66643774092130337</v>
      </c>
      <c r="H6" s="12">
        <f>output_NHTS!H5/SUM(output_NHTS!H$4:H$7)</f>
        <v>0.56844528338294509</v>
      </c>
      <c r="I6" s="12">
        <f>output_NHTS!I5/SUM(output_NHTS!I$4:I$7)</f>
        <v>0.4441509661265563</v>
      </c>
      <c r="J6" s="12">
        <f>output_NHTS!J5/SUM(output_NHTS!J$4:J$7)</f>
        <v>0.51829799807123844</v>
      </c>
      <c r="L6" s="3" t="s">
        <v>223</v>
      </c>
      <c r="M6" s="12">
        <f>output!B5/SUM(output!B$4:B$7)</f>
        <v>0.51134523783272312</v>
      </c>
      <c r="N6" s="12">
        <f>output!C5/SUM(output!C$4:C$7)</f>
        <v>0.43503102313776515</v>
      </c>
      <c r="O6" s="12">
        <f>output!D5/SUM(output!D$4:D$7)</f>
        <v>0.46669447377593393</v>
      </c>
      <c r="P6" s="12">
        <f>output!E5/SUM(output!E$4:E$7)</f>
        <v>0.41140355161966596</v>
      </c>
      <c r="Q6" s="12">
        <f>output!F5/SUM(output!F$4:F$7)</f>
        <v>0.4531140572822267</v>
      </c>
      <c r="R6" s="12">
        <f>output!G5/SUM(output!G$4:G$7)</f>
        <v>0.65645352257419642</v>
      </c>
      <c r="S6" s="12">
        <f>output!H5/SUM(output!H$4:H$7)</f>
        <v>0.56294227486451665</v>
      </c>
      <c r="T6" s="12">
        <f>output!I5/SUM(output!I$4:I$7)</f>
        <v>0.43733669923232044</v>
      </c>
      <c r="U6" s="12">
        <f>output!J5/SUM(output!J$4:J$7)</f>
        <v>0.48878285688073153</v>
      </c>
      <c r="W6" s="3" t="s">
        <v>223</v>
      </c>
      <c r="X6" s="12">
        <f si="0" t="shared"/>
        <v>-8.4070859533948439E-2</v>
      </c>
      <c r="Y6" s="12">
        <f si="0" t="shared"/>
        <v>-8.7142919956704756E-3</v>
      </c>
      <c r="Z6" s="12">
        <f si="0" t="shared"/>
        <v>2.6168275580786049E-2</v>
      </c>
      <c r="AA6" s="12">
        <f si="0" t="shared"/>
        <v>1.751876072840064E-2</v>
      </c>
      <c r="AB6" s="12">
        <f si="0" t="shared"/>
        <v>-8.999249261561787E-2</v>
      </c>
      <c r="AC6" s="12">
        <f si="0" t="shared"/>
        <v>-9.9842183471069434E-3</v>
      </c>
      <c r="AD6" s="12">
        <f si="0" t="shared"/>
        <v>-5.5030085184284427E-3</v>
      </c>
      <c r="AE6" s="12">
        <f si="0" t="shared"/>
        <v>-6.8142668942358653E-3</v>
      </c>
      <c r="AF6" s="12">
        <f si="0" t="shared"/>
        <v>-2.9515141190506911E-2</v>
      </c>
    </row>
    <row r="7" spans="1:32" x14ac:dyDescent="0.2">
      <c r="A7" s="3" t="s">
        <v>224</v>
      </c>
      <c r="B7" s="12">
        <f>output_NHTS!B6/SUM(output_NHTS!B$4:B$7)</f>
        <v>0.24373467955036737</v>
      </c>
      <c r="C7" s="12">
        <f>output_NHTS!C6/SUM(output_NHTS!C$4:C$7)</f>
        <v>0.25968893891033934</v>
      </c>
      <c r="D7" s="12">
        <f>output_NHTS!D6/SUM(output_NHTS!D$4:D$7)</f>
        <v>0.22847588040021352</v>
      </c>
      <c r="E7" s="12">
        <f>output_NHTS!E6/SUM(output_NHTS!E$4:E$7)</f>
        <v>0.224777888558369</v>
      </c>
      <c r="F7" s="12">
        <f>output_NHTS!F6/SUM(output_NHTS!F$4:F$7)</f>
        <v>0.22522754244883553</v>
      </c>
      <c r="G7" s="12">
        <f>output_NHTS!G6/SUM(output_NHTS!G$4:G$7)</f>
        <v>0.16478087142829548</v>
      </c>
      <c r="H7" s="12">
        <f>output_NHTS!H6/SUM(output_NHTS!H$4:H$7)</f>
        <v>0.24997860489578655</v>
      </c>
      <c r="I7" s="12">
        <f>output_NHTS!I6/SUM(output_NHTS!I$4:I$7)</f>
        <v>0.2209248969814552</v>
      </c>
      <c r="J7" s="12">
        <f>output_NHTS!J6/SUM(output_NHTS!J$4:J$7)</f>
        <v>0.23755936841468289</v>
      </c>
      <c r="L7" s="3" t="s">
        <v>224</v>
      </c>
      <c r="M7" s="12">
        <f>output!B6/SUM(output!B$4:B$7)</f>
        <v>0.36401200461181404</v>
      </c>
      <c r="N7" s="12">
        <f>output!C6/SUM(output!C$4:C$7)</f>
        <v>0.3406282015999223</v>
      </c>
      <c r="O7" s="12">
        <f>output!D6/SUM(output!D$4:D$7)</f>
        <v>0.26450310232917318</v>
      </c>
      <c r="P7" s="12">
        <f>output!E6/SUM(output!E$4:E$7)</f>
        <v>0.28990267835356243</v>
      </c>
      <c r="Q7" s="12">
        <f>output!F6/SUM(output!F$4:F$7)</f>
        <v>0.3898793408610936</v>
      </c>
      <c r="R7" s="12">
        <f>output!G6/SUM(output!G$4:G$7)</f>
        <v>0.24402783582728935</v>
      </c>
      <c r="S7" s="12">
        <f>output!H6/SUM(output!H$4:H$7)</f>
        <v>0.29158354543092602</v>
      </c>
      <c r="T7" s="12">
        <f>output!I6/SUM(output!I$4:I$7)</f>
        <v>0.26166586862949848</v>
      </c>
      <c r="U7" s="12">
        <f>output!J6/SUM(output!J$4:J$7)</f>
        <v>0.32131454131912063</v>
      </c>
      <c r="W7" s="3" t="s">
        <v>224</v>
      </c>
      <c r="X7" s="12">
        <f si="0" t="shared"/>
        <v>0.12027732506144667</v>
      </c>
      <c r="Y7" s="12">
        <f si="0" t="shared"/>
        <v>8.0939262689582958E-2</v>
      </c>
      <c r="Z7" s="12">
        <f si="0" t="shared"/>
        <v>3.6027221928959657E-2</v>
      </c>
      <c r="AA7" s="12">
        <f si="0" t="shared"/>
        <v>6.5124789795193427E-2</v>
      </c>
      <c r="AB7" s="12">
        <f si="0" t="shared"/>
        <v>0.16465179841225808</v>
      </c>
      <c r="AC7" s="12">
        <f si="0" t="shared"/>
        <v>7.9246964398993869E-2</v>
      </c>
      <c r="AD7" s="12">
        <f si="0" t="shared"/>
        <v>4.1604940535139467E-2</v>
      </c>
      <c r="AE7" s="12">
        <f si="0" t="shared"/>
        <v>4.0740971648043273E-2</v>
      </c>
      <c r="AF7" s="12">
        <f si="0" t="shared"/>
        <v>8.3755172904437736E-2</v>
      </c>
    </row>
    <row r="8" spans="1:32" x14ac:dyDescent="0.2">
      <c r="A8" s="8" t="s">
        <v>225</v>
      </c>
      <c r="B8" s="13">
        <f>output_NHTS!B7/SUM(output_NHTS!B$4:B$7)</f>
        <v>6.6278776200746681E-2</v>
      </c>
      <c r="C8" s="13">
        <f>output_NHTS!C7/SUM(output_NHTS!C$4:C$7)</f>
        <v>0.14303990184183529</v>
      </c>
      <c r="D8" s="13">
        <f>output_NHTS!D7/SUM(output_NHTS!D$4:D$7)</f>
        <v>7.4424821620745554E-2</v>
      </c>
      <c r="E8" s="13">
        <f>output_NHTS!E7/SUM(output_NHTS!E$4:E$7)</f>
        <v>0.14700224222625022</v>
      </c>
      <c r="F8" s="13">
        <f>output_NHTS!F7/SUM(output_NHTS!F$4:F$7)</f>
        <v>0.1029426710816209</v>
      </c>
      <c r="G8" s="13">
        <f>output_NHTS!G7/SUM(output_NHTS!G$4:G$7)</f>
        <v>2.9426967042185701E-2</v>
      </c>
      <c r="H8" s="13">
        <f>output_NHTS!H7/SUM(output_NHTS!H$4:H$7)</f>
        <v>3.9264853211618989E-2</v>
      </c>
      <c r="I8" s="13">
        <f>output_NHTS!I7/SUM(output_NHTS!I$4:I$7)</f>
        <v>5.7966033190760845E-2</v>
      </c>
      <c r="J8" s="13">
        <f>output_NHTS!J7/SUM(output_NHTS!J$4:J$7)</f>
        <v>8.3029308546750724E-2</v>
      </c>
      <c r="L8" s="8" t="s">
        <v>225</v>
      </c>
      <c r="M8" s="13">
        <f>output!B7/SUM(output!B$4:B$7)</f>
        <v>0.10646053382338776</v>
      </c>
      <c r="N8" s="13">
        <f>output!C7/SUM(output!C$4:C$7)</f>
        <v>0.16822092858507928</v>
      </c>
      <c r="O8" s="13">
        <f>output!D7/SUM(output!D$4:D$7)</f>
        <v>0.1226063385131044</v>
      </c>
      <c r="P8" s="13">
        <f>output!E7/SUM(output!E$4:E$7)</f>
        <v>0.19043262043255477</v>
      </c>
      <c r="Q8" s="13">
        <f>output!F7/SUM(output!F$4:F$7)</f>
        <v>0.12666612745598074</v>
      </c>
      <c r="R8" s="13">
        <f>output!G7/SUM(output!G$4:G$7)</f>
        <v>4.4051031438329162E-2</v>
      </c>
      <c r="S8" s="13">
        <f>output!H7/SUM(output!H$4:H$7)</f>
        <v>8.7617911905586432E-2</v>
      </c>
      <c r="T8" s="13">
        <f>output!I7/SUM(output!I$4:I$7)</f>
        <v>0.17100923513638058</v>
      </c>
      <c r="U8" s="13">
        <f>output!J7/SUM(output!J$4:J$7)</f>
        <v>0.12696327327088613</v>
      </c>
      <c r="W8" s="8" t="s">
        <v>225</v>
      </c>
      <c r="X8" s="13">
        <f si="0" t="shared"/>
        <v>4.0181757622641076E-2</v>
      </c>
      <c r="Y8" s="13">
        <f si="0" t="shared"/>
        <v>2.5181026743243989E-2</v>
      </c>
      <c r="Z8" s="13">
        <f si="0" t="shared"/>
        <v>4.8181516892358847E-2</v>
      </c>
      <c r="AA8" s="13">
        <f si="0" t="shared"/>
        <v>4.3430378206304548E-2</v>
      </c>
      <c r="AB8" s="13">
        <f si="0" t="shared"/>
        <v>2.3723456374359839E-2</v>
      </c>
      <c r="AC8" s="13">
        <f si="0" t="shared"/>
        <v>1.4624064396143461E-2</v>
      </c>
      <c r="AD8" s="13">
        <f si="0" t="shared"/>
        <v>4.8353058693967443E-2</v>
      </c>
      <c r="AE8" s="13">
        <f si="0" t="shared"/>
        <v>0.11304320194561973</v>
      </c>
      <c r="AF8" s="13">
        <f si="0" t="shared"/>
        <v>4.393396472413541E-2</v>
      </c>
    </row>
    <row ht="13.5" r="9" spans="1:32" thickBot="1" x14ac:dyDescent="0.25">
      <c r="A9" s="15" t="s">
        <v>221</v>
      </c>
      <c r="B9" s="17">
        <f>SUM(B5:B8)</f>
        <v>0.99999999999999978</v>
      </c>
      <c r="C9" s="17">
        <f ref="C9:J9" si="1" t="shared">SUM(C5:C8)</f>
        <v>1</v>
      </c>
      <c r="D9" s="17">
        <f si="1" t="shared"/>
        <v>1</v>
      </c>
      <c r="E9" s="17">
        <f si="1" t="shared"/>
        <v>0.99999999999999989</v>
      </c>
      <c r="F9" s="17">
        <f si="1" t="shared"/>
        <v>1</v>
      </c>
      <c r="G9" s="17">
        <f si="1" t="shared"/>
        <v>1</v>
      </c>
      <c r="H9" s="17">
        <f si="1" t="shared"/>
        <v>0.99999999999999989</v>
      </c>
      <c r="I9" s="17">
        <f si="1" t="shared"/>
        <v>1</v>
      </c>
      <c r="J9" s="17">
        <f si="1" t="shared"/>
        <v>0.99999999999999989</v>
      </c>
      <c r="L9" s="15" t="s">
        <v>221</v>
      </c>
      <c r="M9" s="17">
        <f>SUM(M5:M8)</f>
        <v>1</v>
      </c>
      <c r="N9" s="17">
        <f ref="N9:U9" si="2" t="shared">SUM(N5:N8)</f>
        <v>1</v>
      </c>
      <c r="O9" s="17">
        <f si="2" t="shared"/>
        <v>0.99999999999999989</v>
      </c>
      <c r="P9" s="17">
        <f si="2" t="shared"/>
        <v>1.0000000000000002</v>
      </c>
      <c r="Q9" s="17">
        <f si="2" t="shared"/>
        <v>0.99999999999999989</v>
      </c>
      <c r="R9" s="17">
        <f si="2" t="shared"/>
        <v>1</v>
      </c>
      <c r="S9" s="17">
        <f si="2" t="shared"/>
        <v>1</v>
      </c>
      <c r="T9" s="17">
        <f si="2" t="shared"/>
        <v>0.99999999999999989</v>
      </c>
      <c r="U9" s="17">
        <f si="2" t="shared"/>
        <v>1</v>
      </c>
      <c r="W9" s="15" t="s">
        <v>221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>
        <f si="0" t="shared"/>
        <v>0</v>
      </c>
      <c r="AF9" s="14">
        <f si="0" t="shared"/>
        <v>0</v>
      </c>
    </row>
    <row r="17" spans="11:23" x14ac:dyDescent="0.2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2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2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2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2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2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2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2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2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2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2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2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2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2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2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2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2">
      <c r="A44"/>
      <c r="B44"/>
      <c r="C44"/>
      <c r="D44"/>
      <c r="E44"/>
      <c r="F44"/>
      <c r="G44"/>
      <c r="H44"/>
      <c r="I44"/>
      <c r="J44"/>
      <c r="K44"/>
    </row>
    <row r="45" spans="1:22" x14ac:dyDescent="0.2">
      <c r="A45"/>
      <c r="B45"/>
      <c r="C45"/>
      <c r="D45"/>
      <c r="E45"/>
      <c r="F45"/>
      <c r="G45"/>
      <c r="H45"/>
      <c r="I45"/>
      <c r="J45"/>
      <c r="K45"/>
    </row>
    <row r="46" spans="1:22" x14ac:dyDescent="0.2">
      <c r="A46"/>
      <c r="B46"/>
      <c r="C46"/>
      <c r="D46"/>
      <c r="E46"/>
      <c r="F46"/>
      <c r="G46"/>
      <c r="H46"/>
      <c r="I46"/>
      <c r="J46"/>
      <c r="K46"/>
    </row>
    <row r="47" spans="1:22" x14ac:dyDescent="0.2">
      <c r="A47"/>
      <c r="B47"/>
      <c r="C47"/>
      <c r="D47"/>
      <c r="E47"/>
      <c r="F47"/>
      <c r="G47"/>
      <c r="H47"/>
      <c r="I47"/>
      <c r="J47"/>
      <c r="K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</row>
    <row r="49" spans="1:11" x14ac:dyDescent="0.2">
      <c r="A49"/>
      <c r="B49"/>
      <c r="C49"/>
      <c r="D49"/>
      <c r="E49"/>
      <c r="F49"/>
      <c r="G49"/>
      <c r="H49"/>
      <c r="I49"/>
      <c r="J49"/>
      <c r="K49"/>
    </row>
    <row r="50" spans="1:11" x14ac:dyDescent="0.2">
      <c r="A50"/>
      <c r="B50"/>
      <c r="C50"/>
      <c r="D50"/>
      <c r="E50"/>
      <c r="F50"/>
      <c r="G50"/>
      <c r="H50"/>
      <c r="I50"/>
      <c r="J50"/>
      <c r="K50"/>
    </row>
    <row r="51" spans="1:11" x14ac:dyDescent="0.2">
      <c r="A51"/>
      <c r="B51"/>
      <c r="C51"/>
      <c r="D51"/>
      <c r="E51"/>
      <c r="F51"/>
      <c r="G51"/>
      <c r="H51"/>
      <c r="I51"/>
      <c r="J51"/>
      <c r="K51"/>
    </row>
    <row r="52" spans="1:11" x14ac:dyDescent="0.2">
      <c r="A52"/>
      <c r="B52"/>
      <c r="C52"/>
      <c r="D52"/>
      <c r="E52"/>
      <c r="F52"/>
      <c r="G52"/>
      <c r="H52"/>
      <c r="I52"/>
      <c r="J52"/>
      <c r="K52"/>
    </row>
    <row r="53" spans="1:11" x14ac:dyDescent="0.2">
      <c r="A53"/>
      <c r="B53"/>
      <c r="C53"/>
      <c r="D53"/>
      <c r="E53"/>
      <c r="F53"/>
      <c r="G53"/>
      <c r="H53"/>
      <c r="I53"/>
      <c r="J53"/>
      <c r="K53"/>
    </row>
    <row r="54" spans="1:11" x14ac:dyDescent="0.2">
      <c r="A54"/>
      <c r="B54"/>
      <c r="C54"/>
      <c r="D54"/>
      <c r="E54"/>
      <c r="F54"/>
      <c r="G54"/>
      <c r="H54"/>
      <c r="I54"/>
      <c r="J54"/>
      <c r="K54"/>
    </row>
  </sheetData>
  <phoneticPr fontId="6" type="noConversion"/>
  <conditionalFormatting sqref="X5:AF9">
    <cfRule dxfId="38" operator="notBetween" priority="1" stopIfTrue="1" type="cellIs">
      <formula>-0.15</formula>
      <formula>0.15</formula>
    </cfRule>
    <cfRule dxfId="37" operator="notBetween" priority="2" stopIfTrue="1" type="cellIs">
      <formula>-0.1</formula>
      <formula>0.1</formula>
    </cfRule>
    <cfRule dxfId="3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F53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104</v>
      </c>
      <c r="L2" s="2" t="s">
        <v>179</v>
      </c>
      <c r="W2" s="2" t="s">
        <v>194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27" t="s">
        <v>226</v>
      </c>
      <c r="B5" s="28">
        <f>output_NHTS!B11/SUM(output_NHTS!B$11:B$23)</f>
        <v>9.4570446882214318E-2</v>
      </c>
      <c r="C5" s="28">
        <f>output_NHTS!C11/SUM(output_NHTS!C$11:C$23)</f>
        <v>0.15352584411438966</v>
      </c>
      <c r="D5" s="28">
        <f>output_NHTS!D11/SUM(output_NHTS!D$11:D$23)</f>
        <v>0.25657309978389309</v>
      </c>
      <c r="E5" s="28">
        <f>output_NHTS!E11/SUM(output_NHTS!E$11:E$23)</f>
        <v>0.23433507832411532</v>
      </c>
      <c r="F5" s="28">
        <f>output_NHTS!F11/SUM(output_NHTS!F$11:F$23)</f>
        <v>0.12872323657169901</v>
      </c>
      <c r="G5" s="28">
        <f>output_NHTS!G11/SUM(output_NHTS!G$11:G$23)</f>
        <v>0.13935442060821548</v>
      </c>
      <c r="H5" s="28">
        <f>output_NHTS!H11/SUM(output_NHTS!H$11:H$23)</f>
        <v>0.14231125850964937</v>
      </c>
      <c r="I5" s="28">
        <f>output_NHTS!I11/SUM(output_NHTS!I$11:I$23)</f>
        <v>0.27695810370122764</v>
      </c>
      <c r="J5" s="28">
        <f>output_NHTS!J11/SUM(output_NHTS!J$11:J$23)</f>
        <v>0.16111332496732794</v>
      </c>
      <c r="L5" s="27" t="s">
        <v>226</v>
      </c>
      <c r="M5" s="28">
        <f>output!B11/SUM(output!B$11:B$23)</f>
        <v>1.8182223732075065E-2</v>
      </c>
      <c r="N5" s="28">
        <f>output!C11/SUM(output!C$11:C$23)</f>
        <v>5.611984667723334E-2</v>
      </c>
      <c r="O5" s="28">
        <f>output!D11/SUM(output!D$11:D$23)</f>
        <v>0.14619608538178841</v>
      </c>
      <c r="P5" s="28">
        <f>output!E11/SUM(output!E$11:E$23)</f>
        <v>0.10826114959421695</v>
      </c>
      <c r="Q5" s="28">
        <f>output!F11/SUM(output!F$11:F$23)</f>
        <v>3.0340474400698932E-2</v>
      </c>
      <c r="R5" s="28">
        <f>output!G11/SUM(output!G$11:G$23)</f>
        <v>5.5467610160185109E-2</v>
      </c>
      <c r="S5" s="28">
        <f>output!H11/SUM(output!H$11:H$23)</f>
        <v>5.7856267798970969E-2</v>
      </c>
      <c r="T5" s="28">
        <f>output!I11/SUM(output!I$11:I$23)</f>
        <v>0.12998819700180039</v>
      </c>
      <c r="U5" s="28">
        <f>output!J11/SUM(output!J$11:J$23)</f>
        <v>6.2939328529261679E-2</v>
      </c>
      <c r="W5" s="27" t="s">
        <v>226</v>
      </c>
      <c r="X5" s="12">
        <f ref="X5:X18" si="0" t="shared">M5-B5</f>
        <v>-7.6388223150139253E-2</v>
      </c>
      <c r="Y5" s="12">
        <f ref="Y5:Y18" si="1" t="shared">N5-C5</f>
        <v>-9.7405997437156319E-2</v>
      </c>
      <c r="Z5" s="12">
        <f ref="Z5:Z18" si="2" t="shared">O5-D5</f>
        <v>-0.11037701440210468</v>
      </c>
      <c r="AA5" s="12">
        <f ref="AA5:AA18" si="3" t="shared">P5-E5</f>
        <v>-0.12607392872989837</v>
      </c>
      <c r="AB5" s="12">
        <f ref="AB5:AB18" si="4" t="shared">Q5-F5</f>
        <v>-9.8382762171000088E-2</v>
      </c>
      <c r="AC5" s="12">
        <f ref="AC5:AC18" si="5" t="shared">R5-G5</f>
        <v>-8.3886810448030369E-2</v>
      </c>
      <c r="AD5" s="12">
        <f ref="AD5:AD18" si="6" t="shared">S5-H5</f>
        <v>-8.4454990710678413E-2</v>
      </c>
      <c r="AE5" s="12">
        <f ref="AE5:AE18" si="7" t="shared">T5-I5</f>
        <v>-0.14696990669942725</v>
      </c>
      <c r="AF5" s="12">
        <f ref="AF5:AF18" si="8" t="shared">U5-J5</f>
        <v>-9.8173996438066263E-2</v>
      </c>
    </row>
    <row r="6" spans="1:32" x14ac:dyDescent="0.2">
      <c r="A6" s="27" t="s">
        <v>231</v>
      </c>
      <c r="B6" s="28">
        <f>output_NHTS!B12/SUM(output_NHTS!B$11:B$23)</f>
        <v>0.26741474538686982</v>
      </c>
      <c r="C6" s="28">
        <f>output_NHTS!C12/SUM(output_NHTS!C$11:C$23)</f>
        <v>0.17183341025188326</v>
      </c>
      <c r="D6" s="28">
        <f>output_NHTS!D12/SUM(output_NHTS!D$11:D$23)</f>
        <v>0.17182749605671871</v>
      </c>
      <c r="E6" s="28">
        <f>output_NHTS!E12/SUM(output_NHTS!E$11:E$23)</f>
        <v>0.19321039858678477</v>
      </c>
      <c r="F6" s="28">
        <f>output_NHTS!F12/SUM(output_NHTS!F$11:F$23)</f>
        <v>0.18917063108377938</v>
      </c>
      <c r="G6" s="28">
        <f>output_NHTS!G12/SUM(output_NHTS!G$11:G$23)</f>
        <v>0.53967621763592355</v>
      </c>
      <c r="H6" s="28">
        <f>output_NHTS!H12/SUM(output_NHTS!H$11:H$23)</f>
        <v>0.38543086502536672</v>
      </c>
      <c r="I6" s="28">
        <f>output_NHTS!I12/SUM(output_NHTS!I$11:I$23)</f>
        <v>0.25466933022409494</v>
      </c>
      <c r="J6" s="28">
        <f>output_NHTS!J12/SUM(output_NHTS!J$11:J$23)</f>
        <v>0.25574540815007418</v>
      </c>
      <c r="L6" s="27" t="s">
        <v>231</v>
      </c>
      <c r="M6" s="28">
        <f>output!B12/SUM(output!B$11:B$23)</f>
        <v>5.7952205630170041E-2</v>
      </c>
      <c r="N6" s="28">
        <f>output!C12/SUM(output!C$11:C$23)</f>
        <v>9.4450053155941405E-2</v>
      </c>
      <c r="O6" s="28">
        <f>output!D12/SUM(output!D$11:D$23)</f>
        <v>9.4438112557997972E-2</v>
      </c>
      <c r="P6" s="28">
        <f>output!E12/SUM(output!E$11:E$23)</f>
        <v>7.3709809358346104E-2</v>
      </c>
      <c r="Q6" s="28">
        <f>output!F12/SUM(output!F$11:F$23)</f>
        <v>8.2995242429015806E-2</v>
      </c>
      <c r="R6" s="28">
        <f>output!G12/SUM(output!G$11:G$23)</f>
        <v>0.28515638545674826</v>
      </c>
      <c r="S6" s="28">
        <f>output!H12/SUM(output!H$11:H$23)</f>
        <v>0.26037344472030399</v>
      </c>
      <c r="T6" s="28">
        <f>output!I12/SUM(output!I$11:I$23)</f>
        <v>0.10480177138948159</v>
      </c>
      <c r="U6" s="28">
        <f>output!J12/SUM(output!J$11:J$23)</f>
        <v>0.10605960248622008</v>
      </c>
      <c r="W6" s="27" t="s">
        <v>231</v>
      </c>
      <c r="X6" s="12">
        <f si="0" t="shared"/>
        <v>-0.20946253975669979</v>
      </c>
      <c r="Y6" s="12">
        <f si="1" t="shared"/>
        <v>-7.7383357095941852E-2</v>
      </c>
      <c r="Z6" s="12">
        <f si="2" t="shared"/>
        <v>-7.7389383498720737E-2</v>
      </c>
      <c r="AA6" s="12">
        <f si="3" t="shared"/>
        <v>-0.11950058922843866</v>
      </c>
      <c r="AB6" s="12">
        <f si="4" t="shared"/>
        <v>-0.10617538865476357</v>
      </c>
      <c r="AC6" s="12">
        <f si="5" t="shared"/>
        <v>-0.25451983217917529</v>
      </c>
      <c r="AD6" s="12">
        <f si="6" t="shared"/>
        <v>-0.12505742030506273</v>
      </c>
      <c r="AE6" s="12">
        <f si="7" t="shared"/>
        <v>-0.14986755883461333</v>
      </c>
      <c r="AF6" s="12">
        <f si="8" t="shared"/>
        <v>-0.14968580566385409</v>
      </c>
    </row>
    <row r="7" spans="1:32" x14ac:dyDescent="0.2">
      <c r="A7" s="27" t="s">
        <v>232</v>
      </c>
      <c r="B7" s="28">
        <f>output_NHTS!B13/SUM(output_NHTS!B$11:B$23)</f>
        <v>0.14160161304877958</v>
      </c>
      <c r="C7" s="28">
        <f>output_NHTS!C13/SUM(output_NHTS!C$11:C$23)</f>
        <v>0.12253755837905712</v>
      </c>
      <c r="D7" s="28">
        <f>output_NHTS!D13/SUM(output_NHTS!D$11:D$23)</f>
        <v>9.327842882951104E-2</v>
      </c>
      <c r="E7" s="28">
        <f>output_NHTS!E13/SUM(output_NHTS!E$11:E$23)</f>
        <v>0.10138873104262143</v>
      </c>
      <c r="F7" s="28">
        <f>output_NHTS!F13/SUM(output_NHTS!F$11:F$23)</f>
        <v>0.1396430636533634</v>
      </c>
      <c r="G7" s="28">
        <f>output_NHTS!G13/SUM(output_NHTS!G$11:G$23)</f>
        <v>8.3478333113684508E-2</v>
      </c>
      <c r="H7" s="28">
        <f>output_NHTS!H13/SUM(output_NHTS!H$11:H$23)</f>
        <v>7.8646175981519559E-2</v>
      </c>
      <c r="I7" s="28">
        <f>output_NHTS!I13/SUM(output_NHTS!I$11:I$23)</f>
        <v>0.103706670759022</v>
      </c>
      <c r="J7" s="28">
        <f>output_NHTS!J13/SUM(output_NHTS!J$11:J$23)</f>
        <v>0.11558497652176378</v>
      </c>
      <c r="L7" s="27" t="s">
        <v>232</v>
      </c>
      <c r="M7" s="28">
        <f>output!B13/SUM(output!B$11:B$23)</f>
        <v>0.14582062334346407</v>
      </c>
      <c r="N7" s="28">
        <f>output!C13/SUM(output!C$11:C$23)</f>
        <v>0.15901697609664883</v>
      </c>
      <c r="O7" s="28">
        <f>output!D13/SUM(output!D$11:D$23)</f>
        <v>0.18298166244173686</v>
      </c>
      <c r="P7" s="28">
        <f>output!E13/SUM(output!E$11:E$23)</f>
        <v>0.15445694779721819</v>
      </c>
      <c r="Q7" s="28">
        <f>output!F13/SUM(output!F$11:F$23)</f>
        <v>0.14365587492162082</v>
      </c>
      <c r="R7" s="28">
        <f>output!G13/SUM(output!G$11:G$23)</f>
        <v>0.24719917665119323</v>
      </c>
      <c r="S7" s="28">
        <f>output!H13/SUM(output!H$11:H$23)</f>
        <v>0.19848990594484997</v>
      </c>
      <c r="T7" s="28">
        <f>output!I13/SUM(output!I$11:I$23)</f>
        <v>0.16080252756547403</v>
      </c>
      <c r="U7" s="28">
        <f>output!J13/SUM(output!J$11:J$23)</f>
        <v>0.16338904448974728</v>
      </c>
      <c r="W7" s="27" t="s">
        <v>232</v>
      </c>
      <c r="X7" s="12">
        <f si="0" t="shared"/>
        <v>4.2190102946844943E-3</v>
      </c>
      <c r="Y7" s="12">
        <f si="1" t="shared"/>
        <v>3.6479417717591708E-2</v>
      </c>
      <c r="Z7" s="12">
        <f si="2" t="shared"/>
        <v>8.9703233612225819E-2</v>
      </c>
      <c r="AA7" s="12">
        <f si="3" t="shared"/>
        <v>5.3068216754596761E-2</v>
      </c>
      <c r="AB7" s="12">
        <f si="4" t="shared"/>
        <v>4.0128112682574213E-3</v>
      </c>
      <c r="AC7" s="12">
        <f si="5" t="shared"/>
        <v>0.16372084353750871</v>
      </c>
      <c r="AD7" s="12">
        <f si="6" t="shared"/>
        <v>0.11984372996333041</v>
      </c>
      <c r="AE7" s="12">
        <f si="7" t="shared"/>
        <v>5.7095856806452031E-2</v>
      </c>
      <c r="AF7" s="12">
        <f si="8" t="shared"/>
        <v>4.7804067967983505E-2</v>
      </c>
    </row>
    <row r="8" spans="1:32" x14ac:dyDescent="0.2">
      <c r="A8" s="27" t="s">
        <v>207</v>
      </c>
      <c r="B8" s="28">
        <f>output_NHTS!B14/SUM(output_NHTS!B$11:B$23)</f>
        <v>0.1010027420683329</v>
      </c>
      <c r="C8" s="28">
        <f>output_NHTS!C14/SUM(output_NHTS!C$11:C$23)</f>
        <v>7.4957686414225025E-2</v>
      </c>
      <c r="D8" s="28">
        <f>output_NHTS!D14/SUM(output_NHTS!D$11:D$23)</f>
        <v>8.3593280321624067E-2</v>
      </c>
      <c r="E8" s="28">
        <f>output_NHTS!E14/SUM(output_NHTS!E$11:E$23)</f>
        <v>4.5858942183334868E-2</v>
      </c>
      <c r="F8" s="28">
        <f>output_NHTS!F14/SUM(output_NHTS!F$11:F$23)</f>
        <v>0.105239768722729</v>
      </c>
      <c r="G8" s="28">
        <f>output_NHTS!G14/SUM(output_NHTS!G$11:G$23)</f>
        <v>2.3792577638941249E-2</v>
      </c>
      <c r="H8" s="28">
        <f>output_NHTS!H14/SUM(output_NHTS!H$11:H$23)</f>
        <v>7.3114935411611029E-2</v>
      </c>
      <c r="I8" s="28">
        <f>output_NHTS!I14/SUM(output_NHTS!I$11:I$23)</f>
        <v>4.4900046437528811E-2</v>
      </c>
      <c r="J8" s="28">
        <f>output_NHTS!J14/SUM(output_NHTS!J$11:J$23)</f>
        <v>7.8496487281923044E-2</v>
      </c>
      <c r="L8" s="27" t="s">
        <v>207</v>
      </c>
      <c r="M8" s="28">
        <f>output!B14/SUM(output!B$11:B$23)</f>
        <v>0.16408891490862246</v>
      </c>
      <c r="N8" s="28">
        <f>output!C14/SUM(output!C$11:C$23)</f>
        <v>0.12069468595695911</v>
      </c>
      <c r="O8" s="28">
        <f>output!D14/SUM(output!D$11:D$23)</f>
        <v>0.14026621116185228</v>
      </c>
      <c r="P8" s="28">
        <f>output!E14/SUM(output!E$11:E$23)</f>
        <v>0.12576283693528625</v>
      </c>
      <c r="Q8" s="28">
        <f>output!F14/SUM(output!F$11:F$23)</f>
        <v>0.13424779005696746</v>
      </c>
      <c r="R8" s="28">
        <f>output!G14/SUM(output!G$11:G$23)</f>
        <v>9.6592734878494749E-2</v>
      </c>
      <c r="S8" s="28">
        <f>output!H14/SUM(output!H$11:H$23)</f>
        <v>7.8530679553053373E-2</v>
      </c>
      <c r="T8" s="28">
        <f>output!I14/SUM(output!I$11:I$23)</f>
        <v>0.11688033038076912</v>
      </c>
      <c r="U8" s="28">
        <f>output!J14/SUM(output!J$11:J$23)</f>
        <v>0.1338318106710443</v>
      </c>
      <c r="W8" s="27" t="s">
        <v>207</v>
      </c>
      <c r="X8" s="12">
        <f si="0" t="shared"/>
        <v>6.3086172840289556E-2</v>
      </c>
      <c r="Y8" s="12">
        <f si="1" t="shared"/>
        <v>4.573699954273408E-2</v>
      </c>
      <c r="Z8" s="12">
        <f si="2" t="shared"/>
        <v>5.6672930840228217E-2</v>
      </c>
      <c r="AA8" s="12">
        <f si="3" t="shared"/>
        <v>7.9903894751951393E-2</v>
      </c>
      <c r="AB8" s="12">
        <f si="4" t="shared"/>
        <v>2.9008021334238465E-2</v>
      </c>
      <c r="AC8" s="12">
        <f si="5" t="shared"/>
        <v>7.2800157239553492E-2</v>
      </c>
      <c r="AD8" s="12">
        <f si="6" t="shared"/>
        <v>5.4157441414423441E-3</v>
      </c>
      <c r="AE8" s="12">
        <f si="7" t="shared"/>
        <v>7.1980283943240297E-2</v>
      </c>
      <c r="AF8" s="12">
        <f si="8" t="shared"/>
        <v>5.5335323389121255E-2</v>
      </c>
    </row>
    <row r="9" spans="1:32" x14ac:dyDescent="0.2">
      <c r="A9" s="27" t="s">
        <v>9</v>
      </c>
      <c r="B9" s="28">
        <f>output_NHTS!B15/SUM(output_NHTS!B$11:B$23)</f>
        <v>8.5396996862689381E-2</v>
      </c>
      <c r="C9" s="28">
        <f>output_NHTS!C15/SUM(output_NHTS!C$11:C$23)</f>
        <v>7.4416660088270165E-2</v>
      </c>
      <c r="D9" s="28">
        <f>output_NHTS!D15/SUM(output_NHTS!D$11:D$23)</f>
        <v>9.1826992987294076E-2</v>
      </c>
      <c r="E9" s="28">
        <f>output_NHTS!E15/SUM(output_NHTS!E$11:E$23)</f>
        <v>5.342671907852424E-2</v>
      </c>
      <c r="F9" s="28">
        <f>output_NHTS!F15/SUM(output_NHTS!F$11:F$23)</f>
        <v>0.10905308643797276</v>
      </c>
      <c r="G9" s="28">
        <f>output_NHTS!G15/SUM(output_NHTS!G$11:G$23)</f>
        <v>1.9490612532754047E-2</v>
      </c>
      <c r="H9" s="28">
        <f>output_NHTS!H15/SUM(output_NHTS!H$11:H$23)</f>
        <v>3.1253306964447794E-2</v>
      </c>
      <c r="I9" s="28">
        <f>output_NHTS!I15/SUM(output_NHTS!I$11:I$23)</f>
        <v>4.0874918705910639E-2</v>
      </c>
      <c r="J9" s="28">
        <f>output_NHTS!J15/SUM(output_NHTS!J$11:J$23)</f>
        <v>6.8471126117477563E-2</v>
      </c>
      <c r="L9" s="27" t="s">
        <v>9</v>
      </c>
      <c r="M9" s="28">
        <f>output!B15/SUM(output!B$11:B$23)</f>
        <v>0.1434834939504665</v>
      </c>
      <c r="N9" s="28">
        <f>output!C15/SUM(output!C$11:C$23)</f>
        <v>6.0869307928215717E-2</v>
      </c>
      <c r="O9" s="28">
        <f>output!D15/SUM(output!D$11:D$23)</f>
        <v>4.9008487614346924E-2</v>
      </c>
      <c r="P9" s="28">
        <f>output!E15/SUM(output!E$11:E$23)</f>
        <v>5.7473957528815282E-2</v>
      </c>
      <c r="Q9" s="28">
        <f>output!F15/SUM(output!F$11:F$23)</f>
        <v>9.2215149874622607E-2</v>
      </c>
      <c r="R9" s="28">
        <f>output!G15/SUM(output!G$11:G$23)</f>
        <v>2.7505225587760047E-2</v>
      </c>
      <c r="S9" s="28">
        <f>output!H15/SUM(output!H$11:H$23)</f>
        <v>2.5548244646309368E-2</v>
      </c>
      <c r="T9" s="28">
        <f>output!I15/SUM(output!I$11:I$23)</f>
        <v>5.4852069896595815E-2</v>
      </c>
      <c r="U9" s="28">
        <f>output!J15/SUM(output!J$11:J$23)</f>
        <v>8.5502399233719897E-2</v>
      </c>
      <c r="W9" s="27" t="s">
        <v>9</v>
      </c>
      <c r="X9" s="12">
        <f si="0" t="shared"/>
        <v>5.808649708777712E-2</v>
      </c>
      <c r="Y9" s="12">
        <f si="1" t="shared"/>
        <v>-1.3547352160054447E-2</v>
      </c>
      <c r="Z9" s="12">
        <f si="2" t="shared"/>
        <v>-4.2818505372947152E-2</v>
      </c>
      <c r="AA9" s="12">
        <f si="3" t="shared"/>
        <v>4.0472384502910422E-3</v>
      </c>
      <c r="AB9" s="12">
        <f si="4" t="shared"/>
        <v>-1.6837936563350156E-2</v>
      </c>
      <c r="AC9" s="12">
        <f si="5" t="shared"/>
        <v>8.014613055006E-3</v>
      </c>
      <c r="AD9" s="12">
        <f si="6" t="shared"/>
        <v>-5.7050623181384257E-3</v>
      </c>
      <c r="AE9" s="12">
        <f si="7" t="shared"/>
        <v>1.3977151190685176E-2</v>
      </c>
      <c r="AF9" s="12">
        <f si="8" t="shared"/>
        <v>1.7031273116242335E-2</v>
      </c>
    </row>
    <row r="10" spans="1:32" x14ac:dyDescent="0.2">
      <c r="A10" s="27" t="s">
        <v>233</v>
      </c>
      <c r="B10" s="28">
        <f>output_NHTS!B16/SUM(output_NHTS!B$11:B$23)</f>
        <v>9.1026068178533884E-2</v>
      </c>
      <c r="C10" s="28">
        <f>output_NHTS!C16/SUM(output_NHTS!C$11:C$23)</f>
        <v>9.3819922293062144E-2</v>
      </c>
      <c r="D10" s="28">
        <f>output_NHTS!D16/SUM(output_NHTS!D$11:D$23)</f>
        <v>8.6544366980769089E-2</v>
      </c>
      <c r="E10" s="28">
        <f>output_NHTS!E16/SUM(output_NHTS!E$11:E$23)</f>
        <v>7.4471816790206202E-2</v>
      </c>
      <c r="F10" s="28">
        <f>output_NHTS!F16/SUM(output_NHTS!F$11:F$23)</f>
        <v>6.449198103036069E-2</v>
      </c>
      <c r="G10" s="28">
        <f>output_NHTS!G16/SUM(output_NHTS!G$11:G$23)</f>
        <v>8.0810706159488779E-2</v>
      </c>
      <c r="H10" s="28">
        <f>output_NHTS!H16/SUM(output_NHTS!H$11:H$23)</f>
        <v>0.13887169847493169</v>
      </c>
      <c r="I10" s="28">
        <f>output_NHTS!I16/SUM(output_NHTS!I$11:I$23)</f>
        <v>7.4640916004989108E-2</v>
      </c>
      <c r="J10" s="28">
        <f>output_NHTS!J16/SUM(output_NHTS!J$11:J$23)</f>
        <v>9.2615501662215952E-2</v>
      </c>
      <c r="L10" s="27" t="s">
        <v>233</v>
      </c>
      <c r="M10" s="28">
        <f>output!B16/SUM(output!B$11:B$23)</f>
        <v>3.6451991779587592E-2</v>
      </c>
      <c r="N10" s="28">
        <f>output!C16/SUM(output!C$11:C$23)</f>
        <v>5.9736370792693005E-2</v>
      </c>
      <c r="O10" s="28">
        <f>output!D16/SUM(output!D$11:D$23)</f>
        <v>4.3273640835395553E-2</v>
      </c>
      <c r="P10" s="28">
        <f>output!E16/SUM(output!E$11:E$23)</f>
        <v>4.282115634785956E-2</v>
      </c>
      <c r="Q10" s="28">
        <f>output!F16/SUM(output!F$11:F$23)</f>
        <v>5.6671249441912486E-2</v>
      </c>
      <c r="R10" s="28">
        <f>output!G16/SUM(output!G$11:G$23)</f>
        <v>8.9007090923902799E-2</v>
      </c>
      <c r="S10" s="28">
        <f>output!H16/SUM(output!H$11:H$23)</f>
        <v>0.12644206456178486</v>
      </c>
      <c r="T10" s="28">
        <f>output!I16/SUM(output!I$11:I$23)</f>
        <v>5.0047942938776561E-2</v>
      </c>
      <c r="U10" s="28">
        <f>output!J16/SUM(output!J$11:J$23)</f>
        <v>5.5800579080877807E-2</v>
      </c>
      <c r="W10" s="27" t="s">
        <v>233</v>
      </c>
      <c r="X10" s="12">
        <f si="0" t="shared"/>
        <v>-5.4574076398946292E-2</v>
      </c>
      <c r="Y10" s="12">
        <f si="1" t="shared"/>
        <v>-3.4083551500369139E-2</v>
      </c>
      <c r="Z10" s="12">
        <f si="2" t="shared"/>
        <v>-4.3270726145373535E-2</v>
      </c>
      <c r="AA10" s="12">
        <f si="3" t="shared"/>
        <v>-3.1650660442346643E-2</v>
      </c>
      <c r="AB10" s="12">
        <f si="4" t="shared"/>
        <v>-7.8207315884482043E-3</v>
      </c>
      <c r="AC10" s="12">
        <f si="5" t="shared"/>
        <v>8.1963847644140192E-3</v>
      </c>
      <c r="AD10" s="12">
        <f si="6" t="shared"/>
        <v>-1.2429633913146831E-2</v>
      </c>
      <c r="AE10" s="12">
        <f si="7" t="shared"/>
        <v>-2.4592973066212546E-2</v>
      </c>
      <c r="AF10" s="12">
        <f si="8" t="shared"/>
        <v>-3.6814922581338144E-2</v>
      </c>
    </row>
    <row r="11" spans="1:32" x14ac:dyDescent="0.2">
      <c r="A11" s="27" t="s">
        <v>234</v>
      </c>
      <c r="B11" s="28">
        <f>output_NHTS!B17/SUM(output_NHTS!B$11:B$23)</f>
        <v>5.8953870044752499E-2</v>
      </c>
      <c r="C11" s="28">
        <f>output_NHTS!C17/SUM(output_NHTS!C$11:C$23)</f>
        <v>6.1564083257728462E-2</v>
      </c>
      <c r="D11" s="28">
        <f>output_NHTS!D17/SUM(output_NHTS!D$11:D$23)</f>
        <v>4.8364546250439379E-2</v>
      </c>
      <c r="E11" s="28">
        <f>output_NHTS!E17/SUM(output_NHTS!E$11:E$23)</f>
        <v>5.3784236301624301E-2</v>
      </c>
      <c r="F11" s="28">
        <f>output_NHTS!F17/SUM(output_NHTS!F$11:F$23)</f>
        <v>6.6031050264172067E-2</v>
      </c>
      <c r="G11" s="28">
        <f>output_NHTS!G17/SUM(output_NHTS!G$11:G$23)</f>
        <v>4.6766216764861174E-2</v>
      </c>
      <c r="H11" s="28">
        <f>output_NHTS!H17/SUM(output_NHTS!H$11:H$23)</f>
        <v>6.4173243231916297E-2</v>
      </c>
      <c r="I11" s="28">
        <f>output_NHTS!I17/SUM(output_NHTS!I$11:I$23)</f>
        <v>6.0829251401371812E-2</v>
      </c>
      <c r="J11" s="28">
        <f>output_NHTS!J17/SUM(output_NHTS!J$11:J$23)</f>
        <v>5.8086869617486409E-2</v>
      </c>
      <c r="L11" s="27" t="s">
        <v>234</v>
      </c>
      <c r="M11" s="28">
        <f>output!B17/SUM(output!B$11:B$23)</f>
        <v>0.10925356496064172</v>
      </c>
      <c r="N11" s="28">
        <f>output!C17/SUM(output!C$11:C$23)</f>
        <v>0.12548440211256429</v>
      </c>
      <c r="O11" s="28">
        <f>output!D17/SUM(output!D$11:D$23)</f>
        <v>0.10277388824563481</v>
      </c>
      <c r="P11" s="28">
        <f>output!E17/SUM(output!E$11:E$23)</f>
        <v>0.10556053035419212</v>
      </c>
      <c r="Q11" s="28">
        <f>output!F17/SUM(output!F$11:F$23)</f>
        <v>0.12070845381690291</v>
      </c>
      <c r="R11" s="28">
        <f>output!G17/SUM(output!G$11:G$23)</f>
        <v>9.9188565083406163E-2</v>
      </c>
      <c r="S11" s="28">
        <f>output!H17/SUM(output!H$11:H$23)</f>
        <v>0.10413051101503662</v>
      </c>
      <c r="T11" s="28">
        <f>output!I17/SUM(output!I$11:I$23)</f>
        <v>9.9950778236625556E-2</v>
      </c>
      <c r="U11" s="28">
        <f>output!J17/SUM(output!J$11:J$23)</f>
        <v>0.10838112992228537</v>
      </c>
      <c r="W11" s="27" t="s">
        <v>234</v>
      </c>
      <c r="X11" s="12">
        <f si="0" t="shared"/>
        <v>5.0299694915889218E-2</v>
      </c>
      <c r="Y11" s="12">
        <f si="1" t="shared"/>
        <v>6.3920318854835817E-2</v>
      </c>
      <c r="Z11" s="12">
        <f si="2" t="shared"/>
        <v>5.4409341995195433E-2</v>
      </c>
      <c r="AA11" s="12">
        <f si="3" t="shared"/>
        <v>5.1776294052567819E-2</v>
      </c>
      <c r="AB11" s="12">
        <f si="4" t="shared"/>
        <v>5.4677403552730847E-2</v>
      </c>
      <c r="AC11" s="12">
        <f si="5" t="shared"/>
        <v>5.242234831854499E-2</v>
      </c>
      <c r="AD11" s="12">
        <f si="6" t="shared"/>
        <v>3.9957267783120323E-2</v>
      </c>
      <c r="AE11" s="12">
        <f si="7" t="shared"/>
        <v>3.9121526835253745E-2</v>
      </c>
      <c r="AF11" s="12">
        <f si="8" t="shared"/>
        <v>5.0294260304798957E-2</v>
      </c>
    </row>
    <row r="12" spans="1:32" x14ac:dyDescent="0.2">
      <c r="A12" s="27" t="s">
        <v>208</v>
      </c>
      <c r="B12" s="28">
        <f>output_NHTS!B18/SUM(output_NHTS!B$11:B$23)</f>
        <v>4.4775276997650673E-2</v>
      </c>
      <c r="C12" s="28">
        <f>output_NHTS!C18/SUM(output_NHTS!C$11:C$23)</f>
        <v>4.6784863656624771E-2</v>
      </c>
      <c r="D12" s="28">
        <f>output_NHTS!D18/SUM(output_NHTS!D$11:D$23)</f>
        <v>4.0850798984079804E-2</v>
      </c>
      <c r="E12" s="28">
        <f>output_NHTS!E18/SUM(output_NHTS!E$11:E$23)</f>
        <v>3.6148778867976732E-2</v>
      </c>
      <c r="F12" s="28">
        <f>output_NHTS!F18/SUM(output_NHTS!F$11:F$23)</f>
        <v>3.9906304056961238E-2</v>
      </c>
      <c r="G12" s="28">
        <f>output_NHTS!G18/SUM(output_NHTS!G$11:G$23)</f>
        <v>9.1322950636954156E-3</v>
      </c>
      <c r="H12" s="28">
        <f>output_NHTS!H18/SUM(output_NHTS!H$11:H$23)</f>
        <v>3.172115179707035E-2</v>
      </c>
      <c r="I12" s="28">
        <f>output_NHTS!I18/SUM(output_NHTS!I$11:I$23)</f>
        <v>3.4773642972960324E-2</v>
      </c>
      <c r="J12" s="28">
        <f>output_NHTS!J18/SUM(output_NHTS!J$11:J$23)</f>
        <v>3.9725152399643228E-2</v>
      </c>
      <c r="L12" s="27" t="s">
        <v>208</v>
      </c>
      <c r="M12" s="28">
        <f>output!B18/SUM(output!B$11:B$23)</f>
        <v>0.13342912067941198</v>
      </c>
      <c r="N12" s="28">
        <f>output!C18/SUM(output!C$11:C$23)</f>
        <v>0.108315841629418</v>
      </c>
      <c r="O12" s="28">
        <f>output!D18/SUM(output!D$11:D$23)</f>
        <v>8.6606998823299711E-2</v>
      </c>
      <c r="P12" s="28">
        <f>output!E18/SUM(output!E$11:E$23)</f>
        <v>9.8134195445258102E-2</v>
      </c>
      <c r="Q12" s="28">
        <f>output!F18/SUM(output!F$11:F$23)</f>
        <v>0.13592487449260165</v>
      </c>
      <c r="R12" s="28">
        <f>output!G18/SUM(output!G$11:G$23)</f>
        <v>4.3779836679065827E-2</v>
      </c>
      <c r="S12" s="28">
        <f>output!H18/SUM(output!H$11:H$23)</f>
        <v>4.6595069114231669E-2</v>
      </c>
      <c r="T12" s="28">
        <f>output!I18/SUM(output!I$11:I$23)</f>
        <v>7.9065982401496149E-2</v>
      </c>
      <c r="U12" s="28">
        <f>output!J18/SUM(output!J$11:J$23)</f>
        <v>0.1030203677916348</v>
      </c>
      <c r="W12" s="27" t="s">
        <v>208</v>
      </c>
      <c r="X12" s="12">
        <f si="0" t="shared"/>
        <v>8.865384368176131E-2</v>
      </c>
      <c r="Y12" s="12">
        <f si="1" t="shared"/>
        <v>6.1530977972793229E-2</v>
      </c>
      <c r="Z12" s="12">
        <f si="2" t="shared"/>
        <v>4.5756199839219906E-2</v>
      </c>
      <c r="AA12" s="12">
        <f si="3" t="shared"/>
        <v>6.198541657728137E-2</v>
      </c>
      <c r="AB12" s="12">
        <f si="4" t="shared"/>
        <v>9.601857043564041E-2</v>
      </c>
      <c r="AC12" s="12">
        <f si="5" t="shared"/>
        <v>3.4647541615370411E-2</v>
      </c>
      <c r="AD12" s="12">
        <f si="6" t="shared"/>
        <v>1.4873917317161318E-2</v>
      </c>
      <c r="AE12" s="12">
        <f si="7" t="shared"/>
        <v>4.4292339428535825E-2</v>
      </c>
      <c r="AF12" s="12">
        <f si="8" t="shared"/>
        <v>6.3295215391991566E-2</v>
      </c>
    </row>
    <row r="13" spans="1:32" x14ac:dyDescent="0.2">
      <c r="A13" s="27" t="s">
        <v>10</v>
      </c>
      <c r="B13" s="28">
        <f>output_NHTS!B19/SUM(output_NHTS!B$11:B$23)</f>
        <v>4.8979464329430351E-2</v>
      </c>
      <c r="C13" s="28">
        <f>output_NHTS!C19/SUM(output_NHTS!C$11:C$23)</f>
        <v>5.7520069702924004E-2</v>
      </c>
      <c r="D13" s="28">
        <f>output_NHTS!D19/SUM(output_NHTS!D$11:D$23)</f>
        <v>5.2716168184925249E-2</v>
      </c>
      <c r="E13" s="28">
        <f>output_NHTS!E19/SUM(output_NHTS!E$11:E$23)</f>
        <v>6.0373056598561792E-2</v>
      </c>
      <c r="F13" s="28">
        <f>output_NHTS!F19/SUM(output_NHTS!F$11:F$23)</f>
        <v>5.4798207097341539E-2</v>
      </c>
      <c r="G13" s="28">
        <f>output_NHTS!G19/SUM(output_NHTS!G$11:G$23)</f>
        <v>2.8071653440250172E-2</v>
      </c>
      <c r="H13" s="28">
        <f>output_NHTS!H19/SUM(output_NHTS!H$11:H$23)</f>
        <v>1.5212511391868239E-2</v>
      </c>
      <c r="I13" s="28">
        <f>output_NHTS!I19/SUM(output_NHTS!I$11:I$23)</f>
        <v>5.0681086602134003E-2</v>
      </c>
      <c r="J13" s="28">
        <f>output_NHTS!J19/SUM(output_NHTS!J$11:J$23)</f>
        <v>4.7131844735337311E-2</v>
      </c>
      <c r="L13" s="27" t="s">
        <v>10</v>
      </c>
      <c r="M13" s="28">
        <f>output!B19/SUM(output!B$11:B$23)</f>
        <v>8.4877327192172627E-2</v>
      </c>
      <c r="N13" s="28">
        <f>output!C19/SUM(output!C$11:C$23)</f>
        <v>4.709158706524693E-2</v>
      </c>
      <c r="O13" s="28">
        <f>output!D19/SUM(output!D$11:D$23)</f>
        <v>3.1848574424843172E-2</v>
      </c>
      <c r="P13" s="28">
        <f>output!E19/SUM(output!E$11:E$23)</f>
        <v>4.3386796206252541E-2</v>
      </c>
      <c r="Q13" s="28">
        <f>output!F19/SUM(output!F$11:F$23)</f>
        <v>7.6574763109676494E-2</v>
      </c>
      <c r="R13" s="28">
        <f>output!G19/SUM(output!G$11:G$23)</f>
        <v>1.2052343140914518E-2</v>
      </c>
      <c r="S13" s="28">
        <f>output!H19/SUM(output!H$11:H$23)</f>
        <v>1.4415900739872915E-2</v>
      </c>
      <c r="T13" s="28">
        <f>output!I19/SUM(output!I$11:I$23)</f>
        <v>3.2601165052600252E-2</v>
      </c>
      <c r="U13" s="28">
        <f>output!J19/SUM(output!J$11:J$23)</f>
        <v>5.4112464524322668E-2</v>
      </c>
      <c r="W13" s="27" t="s">
        <v>10</v>
      </c>
      <c r="X13" s="12">
        <f si="0" t="shared"/>
        <v>3.5897862862742276E-2</v>
      </c>
      <c r="Y13" s="12">
        <f si="1" t="shared"/>
        <v>-1.0428482637677074E-2</v>
      </c>
      <c r="Z13" s="12">
        <f si="2" t="shared"/>
        <v>-2.0867593760082077E-2</v>
      </c>
      <c r="AA13" s="12">
        <f si="3" t="shared"/>
        <v>-1.6986260392309251E-2</v>
      </c>
      <c r="AB13" s="12">
        <f si="4" t="shared"/>
        <v>2.1776556012334955E-2</v>
      </c>
      <c r="AC13" s="12">
        <f si="5" t="shared"/>
        <v>-1.6019310299335655E-2</v>
      </c>
      <c r="AD13" s="12">
        <f si="6" t="shared"/>
        <v>-7.9661065199532373E-4</v>
      </c>
      <c r="AE13" s="12">
        <f si="7" t="shared"/>
        <v>-1.8079921549533751E-2</v>
      </c>
      <c r="AF13" s="12">
        <f si="8" t="shared"/>
        <v>6.9806197889853566E-3</v>
      </c>
    </row>
    <row r="14" spans="1:32" x14ac:dyDescent="0.2">
      <c r="A14" s="27" t="s">
        <v>227</v>
      </c>
      <c r="B14" s="28">
        <f>output_NHTS!B20/SUM(output_NHTS!B$11:B$23)</f>
        <v>2.1374693156627867E-2</v>
      </c>
      <c r="C14" s="28">
        <f>output_NHTS!C20/SUM(output_NHTS!C$11:C$23)</f>
        <v>3.8259886797176214E-2</v>
      </c>
      <c r="D14" s="28">
        <f>output_NHTS!D20/SUM(output_NHTS!D$11:D$23)</f>
        <v>2.8207277505835477E-2</v>
      </c>
      <c r="E14" s="28">
        <f>output_NHTS!E20/SUM(output_NHTS!E$11:E$23)</f>
        <v>5.2954251994600535E-2</v>
      </c>
      <c r="F14" s="28">
        <f>output_NHTS!F20/SUM(output_NHTS!F$11:F$23)</f>
        <v>2.6186060032672216E-2</v>
      </c>
      <c r="G14" s="28">
        <f>output_NHTS!G20/SUM(output_NHTS!G$11:G$23)</f>
        <v>1.6257815417990672E-2</v>
      </c>
      <c r="H14" s="28">
        <f>output_NHTS!H20/SUM(output_NHTS!H$11:H$23)</f>
        <v>1.5894821206952785E-2</v>
      </c>
      <c r="I14" s="28">
        <f>output_NHTS!I20/SUM(output_NHTS!I$11:I$23)</f>
        <v>1.4428571297333034E-2</v>
      </c>
      <c r="J14" s="28">
        <f>output_NHTS!J20/SUM(output_NHTS!J$11:J$23)</f>
        <v>2.744525492843004E-2</v>
      </c>
      <c r="L14" s="27" t="s">
        <v>227</v>
      </c>
      <c r="M14" s="28">
        <f>output!B20/SUM(output!B$11:B$23)</f>
        <v>1.1575914654916072E-2</v>
      </c>
      <c r="N14" s="28">
        <f>output!C20/SUM(output!C$11:C$23)</f>
        <v>2.7089009292070358E-2</v>
      </c>
      <c r="O14" s="28">
        <f>output!D20/SUM(output!D$11:D$23)</f>
        <v>2.2828923862146633E-2</v>
      </c>
      <c r="P14" s="28">
        <f>output!E20/SUM(output!E$11:E$23)</f>
        <v>3.2111246106876032E-2</v>
      </c>
      <c r="Q14" s="28">
        <f>output!F20/SUM(output!F$11:F$23)</f>
        <v>2.0261900166657552E-2</v>
      </c>
      <c r="R14" s="28">
        <f>output!G20/SUM(output!G$11:G$23)</f>
        <v>1.4903491846786103E-2</v>
      </c>
      <c r="S14" s="28">
        <f>output!H20/SUM(output!H$11:H$23)</f>
        <v>3.5175640305136646E-2</v>
      </c>
      <c r="T14" s="28">
        <f>output!I20/SUM(output!I$11:I$23)</f>
        <v>4.2584523094076648E-2</v>
      </c>
      <c r="U14" s="28">
        <f>output!J20/SUM(output!J$11:J$23)</f>
        <v>2.2917973261813895E-2</v>
      </c>
      <c r="W14" s="27" t="s">
        <v>227</v>
      </c>
      <c r="X14" s="12">
        <f si="0" t="shared"/>
        <v>-9.7987785017117947E-3</v>
      </c>
      <c r="Y14" s="12">
        <f si="1" t="shared"/>
        <v>-1.1170877505105856E-2</v>
      </c>
      <c r="Z14" s="12">
        <f si="2" t="shared"/>
        <v>-5.3783536436888442E-3</v>
      </c>
      <c r="AA14" s="12">
        <f si="3" t="shared"/>
        <v>-2.0843005887724503E-2</v>
      </c>
      <c r="AB14" s="12">
        <f si="4" t="shared"/>
        <v>-5.9241598660146645E-3</v>
      </c>
      <c r="AC14" s="12">
        <f si="5" t="shared"/>
        <v>-1.354323571204569E-3</v>
      </c>
      <c r="AD14" s="12">
        <f si="6" t="shared"/>
        <v>1.9280819098183861E-2</v>
      </c>
      <c r="AE14" s="12">
        <f si="7" t="shared"/>
        <v>2.8155951796743614E-2</v>
      </c>
      <c r="AF14" s="12">
        <f si="8" t="shared"/>
        <v>-4.5272816666161453E-3</v>
      </c>
    </row>
    <row r="15" spans="1:32" x14ac:dyDescent="0.2">
      <c r="A15" s="27" t="s">
        <v>230</v>
      </c>
      <c r="B15" s="28">
        <f>output_NHTS!B21/SUM(output_NHTS!B$11:B$23)</f>
        <v>1.8857595592292616E-2</v>
      </c>
      <c r="C15" s="28">
        <f>output_NHTS!C21/SUM(output_NHTS!C$11:C$23)</f>
        <v>4.0857228758294388E-2</v>
      </c>
      <c r="D15" s="28">
        <f>output_NHTS!D21/SUM(output_NHTS!D$11:D$23)</f>
        <v>1.6732088855164789E-2</v>
      </c>
      <c r="E15" s="28">
        <f>output_NHTS!E21/SUM(output_NHTS!E$11:E$23)</f>
        <v>3.1836133807755955E-2</v>
      </c>
      <c r="F15" s="28">
        <f>output_NHTS!F21/SUM(output_NHTS!F$11:F$23)</f>
        <v>1.8180083879451754E-2</v>
      </c>
      <c r="G15" s="28">
        <f>output_NHTS!G21/SUM(output_NHTS!G$11:G$23)</f>
        <v>7.9571672213607589E-3</v>
      </c>
      <c r="H15" s="28">
        <f>output_NHTS!H21/SUM(output_NHTS!H$11:H$23)</f>
        <v>1.4769689822440119E-2</v>
      </c>
      <c r="I15" s="28">
        <f>output_NHTS!I21/SUM(output_NHTS!I$11:I$23)</f>
        <v>1.0905081987919849E-2</v>
      </c>
      <c r="J15" s="28">
        <f>output_NHTS!J21/SUM(output_NHTS!J$11:J$23)</f>
        <v>2.1329883692736057E-2</v>
      </c>
      <c r="L15" s="27" t="s">
        <v>230</v>
      </c>
      <c r="M15" s="28">
        <f>output!B21/SUM(output!B$11:B$23)</f>
        <v>4.0125730492311697E-2</v>
      </c>
      <c r="N15" s="28">
        <f>output!C21/SUM(output!C$11:C$23)</f>
        <v>6.8694950666295537E-2</v>
      </c>
      <c r="O15" s="28">
        <f>output!D21/SUM(output!D$11:D$23)</f>
        <v>4.7020088615505475E-2</v>
      </c>
      <c r="P15" s="28">
        <f>output!E21/SUM(output!E$11:E$23)</f>
        <v>7.0978147221889124E-2</v>
      </c>
      <c r="Q15" s="28">
        <f>output!F21/SUM(output!F$11:F$23)</f>
        <v>4.4585744223437918E-2</v>
      </c>
      <c r="R15" s="28">
        <f>output!G21/SUM(output!G$11:G$23)</f>
        <v>1.9194773296163214E-2</v>
      </c>
      <c r="S15" s="28">
        <f>output!H21/SUM(output!H$11:H$23)</f>
        <v>3.4420229790148985E-2</v>
      </c>
      <c r="T15" s="28">
        <f>output!I21/SUM(output!I$11:I$23)</f>
        <v>6.4218369143688614E-2</v>
      </c>
      <c r="U15" s="28">
        <f>output!J21/SUM(output!J$11:J$23)</f>
        <v>4.8391517794697844E-2</v>
      </c>
      <c r="W15" s="27" t="s">
        <v>230</v>
      </c>
      <c r="X15" s="12">
        <f si="0" t="shared"/>
        <v>2.1268134900019081E-2</v>
      </c>
      <c r="Y15" s="12">
        <f si="1" t="shared"/>
        <v>2.7837721908001149E-2</v>
      </c>
      <c r="Z15" s="12">
        <f si="2" t="shared"/>
        <v>3.0287999760340686E-2</v>
      </c>
      <c r="AA15" s="12">
        <f si="3" t="shared"/>
        <v>3.9142013414133169E-2</v>
      </c>
      <c r="AB15" s="12">
        <f si="4" t="shared"/>
        <v>2.6405660343986163E-2</v>
      </c>
      <c r="AC15" s="12">
        <f si="5" t="shared"/>
        <v>1.1237606074802455E-2</v>
      </c>
      <c r="AD15" s="12">
        <f si="6" t="shared"/>
        <v>1.9650539967708866E-2</v>
      </c>
      <c r="AE15" s="12">
        <f si="7" t="shared"/>
        <v>5.3313287155768767E-2</v>
      </c>
      <c r="AF15" s="12">
        <f si="8" t="shared"/>
        <v>2.7061634101961787E-2</v>
      </c>
    </row>
    <row r="16" spans="1:32" x14ac:dyDescent="0.2">
      <c r="A16" s="27" t="s">
        <v>11</v>
      </c>
      <c r="B16" s="28">
        <f>output_NHTS!B22/SUM(output_NHTS!B$11:B$23)</f>
        <v>8.4476867145626827E-3</v>
      </c>
      <c r="C16" s="28">
        <f>output_NHTS!C22/SUM(output_NHTS!C$11:C$23)</f>
        <v>1.8198376873449967E-2</v>
      </c>
      <c r="D16" s="28">
        <f>output_NHTS!D22/SUM(output_NHTS!D$11:D$23)</f>
        <v>1.1678406594407525E-2</v>
      </c>
      <c r="E16" s="28">
        <f>output_NHTS!E22/SUM(output_NHTS!E$11:E$23)</f>
        <v>1.784842571538213E-2</v>
      </c>
      <c r="F16" s="28">
        <f>output_NHTS!F22/SUM(output_NHTS!F$11:F$23)</f>
        <v>2.5187431911576307E-2</v>
      </c>
      <c r="G16" s="28">
        <f>output_NHTS!G22/SUM(output_NHTS!G$11:G$23)</f>
        <v>5.2119844028342783E-3</v>
      </c>
      <c r="H16" s="28">
        <f>output_NHTS!H22/SUM(output_NHTS!H$11:H$23)</f>
        <v>2.5911097775630815E-3</v>
      </c>
      <c r="I16" s="28">
        <f>output_NHTS!I22/SUM(output_NHTS!I$11:I$23)</f>
        <v>1.6053964305748965E-2</v>
      </c>
      <c r="J16" s="28">
        <f>output_NHTS!J22/SUM(output_NHTS!J$11:J$23)</f>
        <v>1.1358246091663955E-2</v>
      </c>
      <c r="L16" s="27" t="s">
        <v>11</v>
      </c>
      <c r="M16" s="28">
        <f>output!B22/SUM(output!B$11:B$23)</f>
        <v>4.5113916325171005E-2</v>
      </c>
      <c r="N16" s="28">
        <f>output!C22/SUM(output!C$11:C$23)</f>
        <v>5.9729693281993235E-2</v>
      </c>
      <c r="O16" s="28">
        <f>output!D22/SUM(output!D$11:D$23)</f>
        <v>4.2821602101473441E-2</v>
      </c>
      <c r="P16" s="28">
        <f>output!E22/SUM(output!E$11:E$23)</f>
        <v>6.8597688066957027E-2</v>
      </c>
      <c r="Q16" s="28">
        <f>output!F22/SUM(output!F$11:F$23)</f>
        <v>4.7789462343508907E-2</v>
      </c>
      <c r="R16" s="28">
        <f>output!G22/SUM(output!G$11:G$23)</f>
        <v>8.7387022793237266E-3</v>
      </c>
      <c r="S16" s="28">
        <f>output!H22/SUM(output!H$11:H$23)</f>
        <v>1.5804855796503026E-2</v>
      </c>
      <c r="T16" s="28">
        <f>output!I22/SUM(output!I$11:I$23)</f>
        <v>5.388438469667714E-2</v>
      </c>
      <c r="U16" s="28">
        <f>output!J22/SUM(output!J$11:J$23)</f>
        <v>4.5333351310493167E-2</v>
      </c>
      <c r="W16" s="27" t="s">
        <v>11</v>
      </c>
      <c r="X16" s="12">
        <f si="0" t="shared"/>
        <v>3.6666229610608322E-2</v>
      </c>
      <c r="Y16" s="12">
        <f si="1" t="shared"/>
        <v>4.1531316408543267E-2</v>
      </c>
      <c r="Z16" s="12">
        <f si="2" t="shared"/>
        <v>3.1143195507065916E-2</v>
      </c>
      <c r="AA16" s="12">
        <f si="3" t="shared"/>
        <v>5.0749262351574898E-2</v>
      </c>
      <c r="AB16" s="12">
        <f si="4" t="shared"/>
        <v>2.2602030431932599E-2</v>
      </c>
      <c r="AC16" s="12">
        <f si="5" t="shared"/>
        <v>3.5267178764894483E-3</v>
      </c>
      <c r="AD16" s="12">
        <f si="6" t="shared"/>
        <v>1.3213746018939945E-2</v>
      </c>
      <c r="AE16" s="12">
        <f si="7" t="shared"/>
        <v>3.7830420390928175E-2</v>
      </c>
      <c r="AF16" s="12">
        <f si="8" t="shared"/>
        <v>3.397510521882921E-2</v>
      </c>
    </row>
    <row r="17" spans="1:32" x14ac:dyDescent="0.2">
      <c r="A17" s="29" t="s">
        <v>206</v>
      </c>
      <c r="B17" s="30">
        <f>output_NHTS!B23/SUM(output_NHTS!B$11:B$23)</f>
        <v>1.7598800737263515E-2</v>
      </c>
      <c r="C17" s="30">
        <f>output_NHTS!C23/SUM(output_NHTS!C$11:C$23)</f>
        <v>4.5724409412914717E-2</v>
      </c>
      <c r="D17" s="30">
        <f>output_NHTS!D23/SUM(output_NHTS!D$11:D$23)</f>
        <v>1.7807048665337766E-2</v>
      </c>
      <c r="E17" s="30">
        <f>output_NHTS!E23/SUM(output_NHTS!E$11:E$23)</f>
        <v>4.4363430708511585E-2</v>
      </c>
      <c r="F17" s="30">
        <f>output_NHTS!F23/SUM(output_NHTS!F$11:F$23)</f>
        <v>3.3389095257920637E-2</v>
      </c>
      <c r="G17" s="30">
        <f>output_NHTS!G23/SUM(output_NHTS!G$11:G$23)</f>
        <v>0</v>
      </c>
      <c r="H17" s="30">
        <f>output_NHTS!H23/SUM(output_NHTS!H$11:H$23)</f>
        <v>6.0092324046630095E-3</v>
      </c>
      <c r="I17" s="30">
        <f>output_NHTS!I23/SUM(output_NHTS!I$11:I$23)</f>
        <v>1.6578415599759005E-2</v>
      </c>
      <c r="J17" s="30">
        <f>output_NHTS!J23/SUM(output_NHTS!J$11:J$23)</f>
        <v>2.2895923833920685E-2</v>
      </c>
      <c r="L17" s="29" t="s">
        <v>206</v>
      </c>
      <c r="M17" s="30">
        <f>output!B23/SUM(output!B$11:B$23)</f>
        <v>9.6449723509889548E-3</v>
      </c>
      <c r="N17" s="30">
        <f>output!C23/SUM(output!C$11:C$23)</f>
        <v>1.2707275344720093E-2</v>
      </c>
      <c r="O17" s="30">
        <f>output!D23/SUM(output!D$11:D$23)</f>
        <v>9.9357239339788808E-3</v>
      </c>
      <c r="P17" s="30">
        <f>output!E23/SUM(output!E$11:E$23)</f>
        <v>1.8745539036832518E-2</v>
      </c>
      <c r="Q17" s="30">
        <f>output!F23/SUM(output!F$11:F$23)</f>
        <v>1.4029020722376344E-2</v>
      </c>
      <c r="R17" s="30">
        <f>output!G23/SUM(output!G$11:G$23)</f>
        <v>1.2140640160561104E-3</v>
      </c>
      <c r="S17" s="30">
        <f>output!H23/SUM(output!H$11:H$23)</f>
        <v>2.2171860137977948E-3</v>
      </c>
      <c r="T17" s="30">
        <f>output!I23/SUM(output!I$11:I$23)</f>
        <v>1.032195820193821E-2</v>
      </c>
      <c r="U17" s="30">
        <f>output!J23/SUM(output!J$11:J$23)</f>
        <v>1.032043090388125E-2</v>
      </c>
      <c r="W17" s="29" t="s">
        <v>206</v>
      </c>
      <c r="X17" s="12">
        <f si="0" t="shared"/>
        <v>-7.9538283862745605E-3</v>
      </c>
      <c r="Y17" s="12">
        <f si="1" t="shared"/>
        <v>-3.301713406819462E-2</v>
      </c>
      <c r="Z17" s="12">
        <f si="2" t="shared"/>
        <v>-7.8713247313588856E-3</v>
      </c>
      <c r="AA17" s="12">
        <f si="3" t="shared"/>
        <v>-2.5617891671679067E-2</v>
      </c>
      <c r="AB17" s="12">
        <f si="4" t="shared"/>
        <v>-1.9360074535544294E-2</v>
      </c>
      <c r="AC17" s="12">
        <f si="5" t="shared"/>
        <v>1.2140640160561104E-3</v>
      </c>
      <c r="AD17" s="12">
        <f si="6" t="shared"/>
        <v>-3.7920463908652146E-3</v>
      </c>
      <c r="AE17" s="12">
        <f si="7" t="shared"/>
        <v>-6.2564573978207954E-3</v>
      </c>
      <c r="AF17" s="12">
        <f si="8" t="shared"/>
        <v>-1.2575492930039435E-2</v>
      </c>
    </row>
    <row ht="13.5" r="18" spans="1:32" thickBot="1" x14ac:dyDescent="0.25">
      <c r="A18" s="15" t="s">
        <v>221</v>
      </c>
      <c r="B18" s="31">
        <f>SUM(B5:B17)</f>
        <v>1.0000000000000002</v>
      </c>
      <c r="C18" s="31">
        <f ref="C18:J18" si="9" t="shared">SUM(C5:C17)</f>
        <v>0.99999999999999978</v>
      </c>
      <c r="D18" s="31">
        <f si="9" t="shared"/>
        <v>1</v>
      </c>
      <c r="E18" s="31">
        <f si="9" t="shared"/>
        <v>1</v>
      </c>
      <c r="F18" s="31">
        <f si="9" t="shared"/>
        <v>1</v>
      </c>
      <c r="G18" s="31">
        <f si="9" t="shared"/>
        <v>1</v>
      </c>
      <c r="H18" s="31">
        <f si="9" t="shared"/>
        <v>1.0000000000000002</v>
      </c>
      <c r="I18" s="31">
        <f si="9" t="shared"/>
        <v>1.0000000000000002</v>
      </c>
      <c r="J18" s="31">
        <f si="9" t="shared"/>
        <v>1</v>
      </c>
      <c r="L18" s="15" t="s">
        <v>221</v>
      </c>
      <c r="M18" s="31">
        <f>SUM(M5:M17)</f>
        <v>0.99999999999999989</v>
      </c>
      <c r="N18" s="31">
        <f ref="N18:U18" si="10" t="shared">SUM(N5:N17)</f>
        <v>0.99999999999999989</v>
      </c>
      <c r="O18" s="31">
        <f si="10" t="shared"/>
        <v>1</v>
      </c>
      <c r="P18" s="31">
        <f si="10" t="shared"/>
        <v>0.99999999999999967</v>
      </c>
      <c r="Q18" s="31">
        <f si="10" t="shared"/>
        <v>0.99999999999999978</v>
      </c>
      <c r="R18" s="31">
        <f si="10" t="shared"/>
        <v>0.99999999999999978</v>
      </c>
      <c r="S18" s="31">
        <f si="10" t="shared"/>
        <v>1.0000000000000002</v>
      </c>
      <c r="T18" s="31">
        <f si="10" t="shared"/>
        <v>1.0000000000000002</v>
      </c>
      <c r="U18" s="31">
        <f si="10" t="shared"/>
        <v>1.0000000000000002</v>
      </c>
      <c r="W18" s="15" t="s">
        <v>221</v>
      </c>
      <c r="X18" s="14">
        <f si="0" t="shared"/>
        <v>0</v>
      </c>
      <c r="Y18" s="14">
        <f si="1" t="shared"/>
        <v>0</v>
      </c>
      <c r="Z18" s="14">
        <f si="2" t="shared"/>
        <v>0</v>
      </c>
      <c r="AA18" s="14">
        <f si="3" t="shared"/>
        <v>0</v>
      </c>
      <c r="AB18" s="14">
        <f si="4" t="shared"/>
        <v>0</v>
      </c>
      <c r="AC18" s="14">
        <f si="5" t="shared"/>
        <v>0</v>
      </c>
      <c r="AD18" s="14">
        <f si="6" t="shared"/>
        <v>0</v>
      </c>
      <c r="AE18" s="14">
        <f si="7" t="shared"/>
        <v>0</v>
      </c>
      <c r="AF18" s="14">
        <f si="8" t="shared"/>
        <v>0</v>
      </c>
    </row>
    <row r="22" spans="1:32" x14ac:dyDescent="0.2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2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2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2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2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2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2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2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2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2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2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2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2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2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2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2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2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2">
      <c r="L48"/>
      <c r="M48"/>
      <c r="N48"/>
      <c r="O48"/>
      <c r="P48"/>
      <c r="Q48"/>
      <c r="R48"/>
      <c r="S48"/>
      <c r="T48"/>
      <c r="U48"/>
      <c r="V48"/>
    </row>
    <row r="49" spans="12:22" x14ac:dyDescent="0.2">
      <c r="L49"/>
      <c r="M49"/>
      <c r="N49"/>
      <c r="O49"/>
      <c r="P49"/>
      <c r="Q49"/>
      <c r="R49"/>
      <c r="S49"/>
      <c r="T49"/>
      <c r="U49"/>
      <c r="V49"/>
    </row>
    <row r="50" spans="12:22" x14ac:dyDescent="0.2">
      <c r="L50"/>
      <c r="M50"/>
      <c r="N50"/>
      <c r="O50"/>
      <c r="P50"/>
      <c r="Q50"/>
      <c r="R50"/>
      <c r="S50"/>
      <c r="T50"/>
      <c r="U50"/>
      <c r="V50"/>
    </row>
    <row r="51" spans="12:22" x14ac:dyDescent="0.2">
      <c r="L51"/>
      <c r="M51"/>
      <c r="N51"/>
      <c r="O51"/>
      <c r="P51"/>
      <c r="Q51"/>
      <c r="R51"/>
      <c r="S51"/>
      <c r="T51"/>
      <c r="U51"/>
      <c r="V51"/>
    </row>
    <row r="52" spans="12:22" x14ac:dyDescent="0.2">
      <c r="L52"/>
      <c r="M52"/>
      <c r="N52"/>
      <c r="O52"/>
      <c r="P52"/>
      <c r="Q52"/>
      <c r="R52"/>
      <c r="S52"/>
      <c r="T52"/>
      <c r="U52"/>
      <c r="V52"/>
    </row>
    <row r="53" spans="12:22" x14ac:dyDescent="0.2">
      <c r="L53"/>
      <c r="M53"/>
      <c r="N53"/>
      <c r="O53"/>
      <c r="P53"/>
      <c r="Q53"/>
      <c r="R53"/>
      <c r="S53"/>
      <c r="T53"/>
      <c r="U53"/>
      <c r="V53"/>
    </row>
  </sheetData>
  <phoneticPr fontId="6" type="noConversion"/>
  <conditionalFormatting sqref="X5:AF18">
    <cfRule dxfId="35" operator="notBetween" priority="1" stopIfTrue="1" type="cellIs">
      <formula>-0.15</formula>
      <formula>0.15</formula>
    </cfRule>
    <cfRule dxfId="34" operator="notBetween" priority="2" stopIfTrue="1" type="cellIs">
      <formula>-0.1</formula>
      <formula>0.1</formula>
    </cfRule>
    <cfRule dxfId="33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81"/>
  <sheetViews>
    <sheetView workbookViewId="0">
      <selection activeCell="C24" sqref="C24"/>
    </sheetView>
  </sheetViews>
  <sheetFormatPr defaultColWidth="10.75" defaultRowHeight="12.75" x14ac:dyDescent="0.2"/>
  <cols>
    <col min="1" max="1" customWidth="true" style="3" width="15.75" collapsed="true"/>
    <col min="2" max="11" style="3" width="10.75" collapsed="true"/>
    <col min="12" max="12" customWidth="true" style="3" width="15.75" collapsed="true"/>
    <col min="13" max="13" bestFit="true" customWidth="true" style="39" width="11.25" collapsed="true"/>
    <col min="14" max="21" style="39" width="10.75" collapsed="true"/>
    <col min="22" max="22" style="3" width="10.75" collapsed="true"/>
    <col min="23" max="23" customWidth="true" style="3" width="15.75" collapsed="true"/>
    <col min="24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192</v>
      </c>
      <c r="L2" s="2" t="s">
        <v>121</v>
      </c>
      <c r="W2" s="2" t="s">
        <v>165</v>
      </c>
    </row>
    <row ht="13.5" r="3" spans="1:32" thickBot="1" x14ac:dyDescent="0.2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3" t="s">
        <v>226</v>
      </c>
      <c r="B5" s="12">
        <f>output_NHTS!B29/SUM(output_NHTS!B$29:B$32)</f>
        <v>0.21943957307331499</v>
      </c>
      <c r="C5" s="12">
        <f>output_NHTS!C29/SUM(output_NHTS!C$29:C$32)</f>
        <v>0.56601903658375785</v>
      </c>
      <c r="D5" s="12">
        <f>output_NHTS!D29/SUM(output_NHTS!D$29:D$32)</f>
        <v>0.96470918517579796</v>
      </c>
      <c r="E5" s="12">
        <f>output_NHTS!E29/SUM(output_NHTS!E$29:E$32)</f>
        <v>0.95748314421069902</v>
      </c>
      <c r="F5" s="12">
        <f>output_NHTS!F29/SUM(output_NHTS!F$29:F$32)</f>
        <v>0.52276757296200804</v>
      </c>
      <c r="G5" s="12">
        <f>output_NHTS!G29/SUM(output_NHTS!G$29:G$32)</f>
        <v>0.96478965160666497</v>
      </c>
      <c r="H5" s="12">
        <f>output_NHTS!H29/SUM(output_NHTS!H$29:H$32)</f>
        <v>0.99703428228672952</v>
      </c>
      <c r="I5" s="12">
        <f>output_NHTS!I29/SUM(output_NHTS!I$29:I$32)</f>
        <v>0.99790899356178664</v>
      </c>
      <c r="J5" s="12">
        <f>output_NHTS!J29/SUM(output_NHTS!J$29:J$32)</f>
        <v>0.63666997354867283</v>
      </c>
      <c r="L5" s="3" t="s">
        <v>226</v>
      </c>
      <c r="M5" s="42">
        <f>output!B29/SUM(output!B$29:B$32)</f>
        <v>3.7919843870382781E-2</v>
      </c>
      <c r="N5" s="42">
        <f>output!C29/SUM(output!C$29:C$32)</f>
        <v>0.39441778777112085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0.60916700330774187</v>
      </c>
      <c r="R5" s="42">
        <f>output!G29/SUM(output!G$29:G$32)</f>
        <v>0.98086836508742437</v>
      </c>
      <c r="S5" s="42">
        <f>output!H29/SUM(output!H$29:H$32)</f>
        <v>1</v>
      </c>
      <c r="T5" s="42">
        <f>output!I29/SUM(output!I$29:I$32)</f>
        <v>1</v>
      </c>
      <c r="U5" s="42">
        <f>output!J29/SUM(output!J$29:J$32)</f>
        <v>0.5650340552021722</v>
      </c>
      <c r="W5" s="3" t="s">
        <v>226</v>
      </c>
      <c r="X5" s="12">
        <f ref="X5:AF5" si="0" t="shared">M5-B5</f>
        <v>-0.18151972920293222</v>
      </c>
      <c r="Y5" s="12">
        <f si="0" t="shared"/>
        <v>-0.171601248812637</v>
      </c>
      <c r="Z5" s="12">
        <f si="0" t="shared"/>
        <v>3.5290814824202044E-2</v>
      </c>
      <c r="AA5" s="12">
        <f si="0" t="shared"/>
        <v>4.2516855789300978E-2</v>
      </c>
      <c r="AB5" s="12">
        <f si="0" t="shared"/>
        <v>8.639943034573383E-2</v>
      </c>
      <c r="AC5" s="12">
        <f si="0" t="shared"/>
        <v>1.6078713480759399E-2</v>
      </c>
      <c r="AD5" s="12">
        <f si="0" t="shared"/>
        <v>2.9657177132704771E-3</v>
      </c>
      <c r="AE5" s="12">
        <f si="0" t="shared"/>
        <v>2.0910064382133609E-3</v>
      </c>
      <c r="AF5" s="12">
        <f si="0" t="shared"/>
        <v>-7.1635918346500627E-2</v>
      </c>
    </row>
    <row r="6" spans="1:32" x14ac:dyDescent="0.2">
      <c r="A6" s="3" t="s">
        <v>235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9.5168329719861444E-2</v>
      </c>
      <c r="G6" s="12">
        <f>output_NHTS!G30/SUM(output_NHTS!G$29:G$32)</f>
        <v>1.4270905792087386E-2</v>
      </c>
      <c r="H6" s="12">
        <f>output_NHTS!H30/SUM(output_NHTS!H$29:H$32)</f>
        <v>6.0032688360939018E-4</v>
      </c>
      <c r="I6" s="12">
        <f>output_NHTS!I30/SUM(output_NHTS!I$29:I$32)</f>
        <v>7.0484567333300822E-4</v>
      </c>
      <c r="J6" s="12">
        <f>output_NHTS!J30/SUM(output_NHTS!J$29:J$32)</f>
        <v>3.2980146813777604E-3</v>
      </c>
      <c r="L6" s="3" t="s">
        <v>235</v>
      </c>
      <c r="M6" s="42">
        <f>output!B30/SUM(output!B$29:B$32)</f>
        <v>9.1619782444896396E-5</v>
      </c>
      <c r="N6" s="42">
        <f>output!C30/SUM(output!C$29:C$32)</f>
        <v>0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4.0555076340887631E-3</v>
      </c>
      <c r="R6" s="42">
        <f>output!G30/SUM(output!G$29:G$32)</f>
        <v>6.255189008709644E-5</v>
      </c>
      <c r="S6" s="42">
        <f>output!H30/SUM(output!H$29:H$32)</f>
        <v>0</v>
      </c>
      <c r="T6" s="42">
        <f>output!I30/SUM(output!I$29:I$32)</f>
        <v>0</v>
      </c>
      <c r="U6" s="42">
        <f>output!J30/SUM(output!J$29:J$32)</f>
        <v>2.267728117551069E-4</v>
      </c>
      <c r="W6" s="3" t="s">
        <v>235</v>
      </c>
      <c r="X6" s="12"/>
      <c r="Y6" s="12"/>
      <c r="Z6" s="12"/>
      <c r="AA6" s="12"/>
      <c r="AB6" s="12">
        <f ref="AB6:AD8" si="1" t="shared">Q6-F6</f>
        <v>-9.1112822085772677E-2</v>
      </c>
      <c r="AC6" s="12">
        <f si="1" t="shared"/>
        <v>-1.4208353902000289E-2</v>
      </c>
      <c r="AD6" s="12">
        <f si="1" t="shared"/>
        <v>-6.0032688360939018E-4</v>
      </c>
      <c r="AE6" s="12">
        <f ref="AE6:AF9" si="2" t="shared">T6-I6</f>
        <v>-7.0484567333300822E-4</v>
      </c>
      <c r="AF6" s="12">
        <f si="2" t="shared"/>
        <v>-3.0712418696226536E-3</v>
      </c>
    </row>
    <row r="7" spans="1:32" x14ac:dyDescent="0.2">
      <c r="A7" s="3" t="s">
        <v>236</v>
      </c>
      <c r="B7" s="12">
        <f>output_NHTS!B31/SUM(output_NHTS!B$29:B$32)</f>
        <v>0.66428806194338397</v>
      </c>
      <c r="C7" s="12">
        <f>output_NHTS!C31/SUM(output_NHTS!C$29:C$32)</f>
        <v>0.38160133128926671</v>
      </c>
      <c r="D7" s="12">
        <f>output_NHTS!D31/SUM(output_NHTS!D$29:D$32)</f>
        <v>2.8650267257813125E-2</v>
      </c>
      <c r="E7" s="12">
        <f>output_NHTS!E31/SUM(output_NHTS!E$29:E$32)</f>
        <v>3.1955886394263493E-2</v>
      </c>
      <c r="F7" s="12">
        <f>output_NHTS!F31/SUM(output_NHTS!F$29:F$32)</f>
        <v>0.29872307553679228</v>
      </c>
      <c r="G7" s="12">
        <f>output_NHTS!G31/SUM(output_NHTS!G$29:G$32)</f>
        <v>2.093944260124761E-2</v>
      </c>
      <c r="H7" s="12">
        <f>output_NHTS!H31/SUM(output_NHTS!H$29:H$32)</f>
        <v>2.3653908296611473E-3</v>
      </c>
      <c r="I7" s="12">
        <f>output_NHTS!I31/SUM(output_NHTS!I$29:I$32)</f>
        <v>1.3861607648803247E-3</v>
      </c>
      <c r="J7" s="12">
        <f>output_NHTS!J31/SUM(output_NHTS!J$29:J$32)</f>
        <v>0.3060461830364426</v>
      </c>
      <c r="L7" s="3" t="s">
        <v>236</v>
      </c>
      <c r="M7" s="42">
        <f>output!B31/SUM(output!B$29:B$32)</f>
        <v>0.80323567370870175</v>
      </c>
      <c r="N7" s="42">
        <f>output!C31/SUM(output!C$29:C$32)</f>
        <v>0.51284424957776764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0.33437147924653488</v>
      </c>
      <c r="R7" s="42">
        <f>output!G31/SUM(output!G$29:G$32)</f>
        <v>1.6887211752592227E-2</v>
      </c>
      <c r="S7" s="42">
        <f>output!H31/SUM(output!H$29:H$32)</f>
        <v>0</v>
      </c>
      <c r="T7" s="42">
        <f>output!I31/SUM(output!I$29:I$32)</f>
        <v>0</v>
      </c>
      <c r="U7" s="42">
        <f>output!J31/SUM(output!J$29:J$32)</f>
        <v>0.36419857166585995</v>
      </c>
      <c r="W7" s="3" t="s">
        <v>236</v>
      </c>
      <c r="X7" s="12">
        <f ref="X7:AA9" si="3" t="shared">M7-B7</f>
        <v>0.13894761176531778</v>
      </c>
      <c r="Y7" s="12">
        <f si="3" t="shared"/>
        <v>0.13124291828850093</v>
      </c>
      <c r="Z7" s="12">
        <f si="3" t="shared"/>
        <v>-2.8650267257813125E-2</v>
      </c>
      <c r="AA7" s="12">
        <f si="3" t="shared"/>
        <v>-3.1955886394263493E-2</v>
      </c>
      <c r="AB7" s="12">
        <f si="1" t="shared"/>
        <v>3.5648403709742593E-2</v>
      </c>
      <c r="AC7" s="12">
        <f si="1" t="shared"/>
        <v>-4.0522308486553825E-3</v>
      </c>
      <c r="AD7" s="12">
        <f si="1" t="shared"/>
        <v>-2.3653908296611473E-3</v>
      </c>
      <c r="AE7" s="12">
        <f si="2" t="shared"/>
        <v>-1.3861607648803247E-3</v>
      </c>
      <c r="AF7" s="12">
        <f si="2" t="shared"/>
        <v>5.8152388629417351E-2</v>
      </c>
    </row>
    <row r="8" spans="1:32" x14ac:dyDescent="0.2">
      <c r="A8" s="8" t="s">
        <v>173</v>
      </c>
      <c r="B8" s="13">
        <f>output_NHTS!B32/SUM(output_NHTS!B$29:B$32)</f>
        <v>0.11627236498330103</v>
      </c>
      <c r="C8" s="13">
        <f>output_NHTS!C32/SUM(output_NHTS!C$29:C$32)</f>
        <v>5.2379632126975488E-2</v>
      </c>
      <c r="D8" s="13">
        <f>output_NHTS!D32/SUM(output_NHTS!D$29:D$32)</f>
        <v>6.6405475663888812E-3</v>
      </c>
      <c r="E8" s="13">
        <f>output_NHTS!E32/SUM(output_NHTS!E$29:E$32)</f>
        <v>1.0560969395037645E-2</v>
      </c>
      <c r="F8" s="13">
        <f>output_NHTS!F32/SUM(output_NHTS!F$29:F$32)</f>
        <v>8.3341021781338204E-2</v>
      </c>
      <c r="G8" s="13">
        <f>output_NHTS!G32/SUM(output_NHTS!G$29:G$32)</f>
        <v>0</v>
      </c>
      <c r="H8" s="13">
        <f>output_NHTS!H32/SUM(output_NHTS!H$29:H$32)</f>
        <v>0</v>
      </c>
      <c r="I8" s="13">
        <f>output_NHTS!I32/SUM(output_NHTS!I$29:I$32)</f>
        <v>0</v>
      </c>
      <c r="J8" s="13">
        <f>output_NHTS!J32/SUM(output_NHTS!J$29:J$32)</f>
        <v>5.3985828733506658E-2</v>
      </c>
      <c r="L8" s="8" t="s">
        <v>173</v>
      </c>
      <c r="M8" s="43">
        <f>output!B32/SUM(output!B$29:B$32)</f>
        <v>0.15875286263847049</v>
      </c>
      <c r="N8" s="43">
        <f>output!C32/SUM(output!C$29:C$32)</f>
        <v>9.2737962651111422E-2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5.2406009811634471E-2</v>
      </c>
      <c r="R8" s="43">
        <f>output!G32/SUM(output!G$29:G$32)</f>
        <v>2.1818712698962323E-3</v>
      </c>
      <c r="S8" s="43">
        <f>output!H32/SUM(output!H$29:H$32)</f>
        <v>0</v>
      </c>
      <c r="T8" s="43">
        <f>output!I32/SUM(output!I$29:I$32)</f>
        <v>0</v>
      </c>
      <c r="U8" s="43">
        <f>output!J32/SUM(output!J$29:J$32)</f>
        <v>7.0540600320212768E-2</v>
      </c>
      <c r="W8" s="8" t="s">
        <v>173</v>
      </c>
      <c r="X8" s="12">
        <f si="3" t="shared"/>
        <v>4.2480497655169466E-2</v>
      </c>
      <c r="Y8" s="12">
        <f si="3" t="shared"/>
        <v>4.0358330524135934E-2</v>
      </c>
      <c r="Z8" s="12">
        <f si="3" t="shared"/>
        <v>-6.6405475663888812E-3</v>
      </c>
      <c r="AA8" s="12">
        <f si="3" t="shared"/>
        <v>-1.0560969395037645E-2</v>
      </c>
      <c r="AB8" s="12">
        <f>Q8-F8</f>
        <v>-3.0935011969703732E-2</v>
      </c>
      <c r="AC8" s="12">
        <f si="1" t="shared"/>
        <v>2.1818712698962323E-3</v>
      </c>
      <c r="AD8" s="12">
        <f si="1" t="shared"/>
        <v>0</v>
      </c>
      <c r="AE8" s="12">
        <f si="2" t="shared"/>
        <v>0</v>
      </c>
      <c r="AF8" s="12">
        <f si="2" t="shared"/>
        <v>1.655477158670611E-2</v>
      </c>
    </row>
    <row ht="13.5" r="9" spans="1:32" thickBot="1" x14ac:dyDescent="0.25">
      <c r="A9" s="15" t="s">
        <v>221</v>
      </c>
      <c r="B9" s="44">
        <f>SUM(B5:B8)</f>
        <v>1</v>
      </c>
      <c r="C9" s="44">
        <f ref="C9:J9" si="4" t="shared">SUM(C5:C8)</f>
        <v>1</v>
      </c>
      <c r="D9" s="44">
        <f si="4" t="shared"/>
        <v>1</v>
      </c>
      <c r="E9" s="44">
        <f si="4" t="shared"/>
        <v>1.0000000000000002</v>
      </c>
      <c r="F9" s="44">
        <f si="4" t="shared"/>
        <v>1</v>
      </c>
      <c r="G9" s="44">
        <f si="4" t="shared"/>
        <v>0.99999999999999989</v>
      </c>
      <c r="H9" s="44">
        <f si="4" t="shared"/>
        <v>1</v>
      </c>
      <c r="I9" s="44">
        <f si="4" t="shared"/>
        <v>0.99999999999999989</v>
      </c>
      <c r="J9" s="44">
        <f si="4" t="shared"/>
        <v>0.99999999999999989</v>
      </c>
      <c r="L9" s="15" t="s">
        <v>221</v>
      </c>
      <c r="M9" s="44">
        <f>SUM(M5:M8)</f>
        <v>1</v>
      </c>
      <c r="N9" s="44">
        <f ref="N9:U9" si="5" t="shared">SUM(N5:N8)</f>
        <v>0.99999999999999989</v>
      </c>
      <c r="O9" s="44">
        <f si="5" t="shared"/>
        <v>1</v>
      </c>
      <c r="P9" s="44">
        <f si="5" t="shared"/>
        <v>1</v>
      </c>
      <c r="Q9" s="44">
        <f si="5" t="shared"/>
        <v>1</v>
      </c>
      <c r="R9" s="44">
        <f si="5" t="shared"/>
        <v>0.99999999999999989</v>
      </c>
      <c r="S9" s="44">
        <f si="5" t="shared"/>
        <v>1</v>
      </c>
      <c r="T9" s="44">
        <f si="5" t="shared"/>
        <v>1</v>
      </c>
      <c r="U9" s="44">
        <f si="5" t="shared"/>
        <v>1</v>
      </c>
      <c r="W9" s="15" t="s">
        <v>221</v>
      </c>
      <c r="X9" s="14">
        <f si="3" t="shared"/>
        <v>0</v>
      </c>
      <c r="Y9" s="14">
        <f si="3" t="shared"/>
        <v>0</v>
      </c>
      <c r="Z9" s="14">
        <f si="3" t="shared"/>
        <v>0</v>
      </c>
      <c r="AA9" s="14">
        <f si="3" t="shared"/>
        <v>0</v>
      </c>
      <c r="AB9" s="14">
        <f>Q9-F9</f>
        <v>0</v>
      </c>
      <c r="AC9" s="14">
        <f>R9-G9</f>
        <v>0</v>
      </c>
      <c r="AD9" s="14">
        <f>S9-H9</f>
        <v>0</v>
      </c>
      <c r="AE9" s="14">
        <f si="2" t="shared"/>
        <v>0</v>
      </c>
      <c r="AF9" s="14">
        <f si="2" t="shared"/>
        <v>0</v>
      </c>
    </row>
    <row r="10" spans="1:32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x14ac:dyDescent="0.2">
      <c r="A13" s="2" t="s">
        <v>175</v>
      </c>
      <c r="L13" s="2" t="s">
        <v>175</v>
      </c>
      <c r="W13" s="2" t="s">
        <v>175</v>
      </c>
    </row>
    <row r="14" spans="1:32" x14ac:dyDescent="0.2">
      <c r="A14" s="2" t="s">
        <v>112</v>
      </c>
      <c r="L14" s="2" t="s">
        <v>167</v>
      </c>
      <c r="W14" s="2" t="s">
        <v>85</v>
      </c>
    </row>
    <row ht="13.5" r="15" spans="1:32" thickBot="1" x14ac:dyDescent="0.25"/>
    <row r="16" spans="1:32" x14ac:dyDescent="0.2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243</v>
      </c>
      <c r="Q16" s="41" t="s">
        <v>244</v>
      </c>
      <c r="R16" s="41" t="s">
        <v>245</v>
      </c>
      <c r="S16" s="41" t="s">
        <v>246</v>
      </c>
      <c r="T16" s="41" t="s">
        <v>170</v>
      </c>
      <c r="U16" s="41" t="s">
        <v>221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2">
      <c r="A17" s="3" t="s">
        <v>226</v>
      </c>
      <c r="B17" s="12">
        <f>output_NHTS!B36/SUM(output_NHTS!B$36:B$39)</f>
        <v>0.99272322020225379</v>
      </c>
      <c r="C17" s="12">
        <f>output_NHTS!C36/SUM(output_NHTS!C$36:C$39)</f>
        <v>0.91333498061095952</v>
      </c>
      <c r="D17" s="12">
        <f>output_NHTS!D36/SUM(output_NHTS!D$36:D$39)</f>
        <v>0.99702722241902719</v>
      </c>
      <c r="E17" s="12">
        <f>output_NHTS!E36/SUM(output_NHTS!E$36:E$39)</f>
        <v>0.92196031468090822</v>
      </c>
      <c r="F17" s="12">
        <f>output_NHTS!F36/SUM(output_NHTS!F$36:F$39)</f>
        <v>0.66621496160033311</v>
      </c>
      <c r="G17" s="12">
        <f>output_NHTS!G36/SUM(output_NHTS!G$36:G$39)</f>
        <v>0.2306937789837511</v>
      </c>
      <c r="H17" s="12">
        <f>output_NHTS!H36/SUM(output_NHTS!H$36:H$39)</f>
        <v>0.24921973163689845</v>
      </c>
      <c r="I17" s="12">
        <f>output_NHTS!I36/SUM(output_NHTS!I$36:I$39)</f>
        <v>0.81612529481391272</v>
      </c>
      <c r="J17" s="12">
        <f>output_NHTS!J36/SUM(output_NHTS!J$36:J$39)</f>
        <v>0.83225298175639162</v>
      </c>
      <c r="L17" s="3" t="s">
        <v>226</v>
      </c>
      <c r="M17" s="42">
        <f>output!B36/SUM(output!B$36:B$39)</f>
        <v>0.99160394964995002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0.29283094588899006</v>
      </c>
      <c r="R17" s="42">
        <f>output!G36/SUM(output!G$36:G$39)</f>
        <v>9.6442949429680097E-2</v>
      </c>
      <c r="S17" s="42">
        <f>output!H36/SUM(output!H$36:H$39)</f>
        <v>0.12071070626053758</v>
      </c>
      <c r="T17" s="42">
        <f>output!I36/SUM(output!I$36:I$39)</f>
        <v>0.84112789613328653</v>
      </c>
      <c r="U17" s="42">
        <f>output!J36/SUM(output!J$36:J$39)</f>
        <v>0.80643433862442659</v>
      </c>
      <c r="W17" s="3" t="s">
        <v>226</v>
      </c>
      <c r="X17" s="12">
        <f ref="X17:AF18" si="6" t="shared">M17-B17</f>
        <v>-1.1192705523037638E-3</v>
      </c>
      <c r="Y17" s="12">
        <f si="6" t="shared"/>
        <v>8.6665019389040476E-2</v>
      </c>
      <c r="Z17" s="12">
        <f si="6" t="shared"/>
        <v>2.9727775809728074E-3</v>
      </c>
      <c r="AA17" s="12">
        <f si="6" t="shared"/>
        <v>7.8039685319091778E-2</v>
      </c>
      <c r="AB17" s="12">
        <f si="6" t="shared"/>
        <v>-0.37338401571134305</v>
      </c>
      <c r="AC17" s="12">
        <f si="6" t="shared"/>
        <v>-0.134250829554071</v>
      </c>
      <c r="AD17" s="12">
        <f si="6" t="shared"/>
        <v>-0.12850902537636089</v>
      </c>
      <c r="AE17" s="12">
        <f si="6" t="shared"/>
        <v>2.5002601319373818E-2</v>
      </c>
      <c r="AF17" s="12">
        <f si="6" t="shared"/>
        <v>-2.5818643131965024E-2</v>
      </c>
    </row>
    <row r="18" spans="1:32" x14ac:dyDescent="0.2">
      <c r="A18" s="3" t="s">
        <v>235</v>
      </c>
      <c r="B18" s="12">
        <f>output_NHTS!B37/SUM(output_NHTS!B$36:B$39)</f>
        <v>3.1077309768237776E-3</v>
      </c>
      <c r="C18" s="12">
        <f>output_NHTS!C37/SUM(output_NHTS!C$36:C$39)</f>
        <v>5.5964950877115758E-3</v>
      </c>
      <c r="D18" s="12">
        <f>output_NHTS!D37/SUM(output_NHTS!D$36:D$39)</f>
        <v>0</v>
      </c>
      <c r="E18" s="12">
        <f>output_NHTS!E37/SUM(output_NHTS!E$36:E$39)</f>
        <v>1.5356619981554932E-3</v>
      </c>
      <c r="F18" s="12">
        <f>output_NHTS!F37/SUM(output_NHTS!F$36:F$39)</f>
        <v>1.1124614648724723E-2</v>
      </c>
      <c r="G18" s="12">
        <f>output_NHTS!G37/SUM(output_NHTS!G$36:G$39)</f>
        <v>0</v>
      </c>
      <c r="H18" s="12">
        <f>output_NHTS!H37/SUM(output_NHTS!H$36:H$39)</f>
        <v>0</v>
      </c>
      <c r="I18" s="12">
        <f>output_NHTS!I37/SUM(output_NHTS!I$36:I$39)</f>
        <v>0</v>
      </c>
      <c r="J18" s="12">
        <f>output_NHTS!J37/SUM(output_NHTS!J$36:J$39)</f>
        <v>2.2779507005449488E-3</v>
      </c>
      <c r="L18" s="3" t="s">
        <v>235</v>
      </c>
      <c r="M18" s="42">
        <f>output!B37/SUM(output!B$36:B$39)</f>
        <v>2.1921502291918229E-4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6.4379968897824011E-3</v>
      </c>
      <c r="R18" s="42">
        <f>output!G37/SUM(output!G$36:G$39)</f>
        <v>5.4353914565506714E-5</v>
      </c>
      <c r="S18" s="42">
        <f>output!H37/SUM(output!H$36:H$39)</f>
        <v>0</v>
      </c>
      <c r="T18" s="42">
        <f>output!I37/SUM(output!I$36:I$39)</f>
        <v>0</v>
      </c>
      <c r="U18" s="42">
        <f>output!J37/SUM(output!J$36:J$39)</f>
        <v>3.8635761311084328E-4</v>
      </c>
      <c r="W18" s="3" t="s">
        <v>235</v>
      </c>
      <c r="X18" s="12">
        <f ref="X18:Y21" si="7" t="shared">M18-B18</f>
        <v>-2.8885159539045954E-3</v>
      </c>
      <c r="Y18" s="12">
        <f si="7" t="shared"/>
        <v>-5.5964950877115758E-3</v>
      </c>
      <c r="Z18" s="12"/>
      <c r="AA18" s="12">
        <f>P18-E18</f>
        <v>-1.5356619981554932E-3</v>
      </c>
      <c r="AB18" s="12">
        <f si="6" t="shared"/>
        <v>-4.6866177589423219E-3</v>
      </c>
      <c r="AC18" s="12">
        <f si="6" t="shared"/>
        <v>5.4353914565506714E-5</v>
      </c>
      <c r="AD18" s="12">
        <f si="6" t="shared"/>
        <v>0</v>
      </c>
      <c r="AE18" s="12">
        <f si="6" t="shared"/>
        <v>0</v>
      </c>
      <c r="AF18" s="12">
        <f>U18-J18</f>
        <v>-1.8915930874341055E-3</v>
      </c>
    </row>
    <row r="19" spans="1:32" x14ac:dyDescent="0.2">
      <c r="A19" s="3" t="s">
        <v>236</v>
      </c>
      <c r="B19" s="12">
        <f>output_NHTS!B38/SUM(output_NHTS!B$36:B$39)</f>
        <v>4.1690488209225442E-3</v>
      </c>
      <c r="C19" s="12">
        <f>output_NHTS!C38/SUM(output_NHTS!C$36:C$39)</f>
        <v>6.7704922404635298E-2</v>
      </c>
      <c r="D19" s="12">
        <f>output_NHTS!D38/SUM(output_NHTS!D$36:D$39)</f>
        <v>2.9727775809728469E-3</v>
      </c>
      <c r="E19" s="12">
        <f>output_NHTS!E38/SUM(output_NHTS!E$36:E$39)</f>
        <v>7.272777954095333E-2</v>
      </c>
      <c r="F19" s="12">
        <f>output_NHTS!F38/SUM(output_NHTS!F$36:F$39)</f>
        <v>0.26003271419825075</v>
      </c>
      <c r="G19" s="12">
        <f>output_NHTS!G38/SUM(output_NHTS!G$36:G$39)</f>
        <v>0.7454252989153024</v>
      </c>
      <c r="H19" s="12">
        <f>output_NHTS!H38/SUM(output_NHTS!H$36:H$39)</f>
        <v>0.71252392036304846</v>
      </c>
      <c r="I19" s="12">
        <f>output_NHTS!I38/SUM(output_NHTS!I$36:I$39)</f>
        <v>0.1838747051860872</v>
      </c>
      <c r="J19" s="12">
        <f>output_NHTS!J38/SUM(output_NHTS!J$36:J$39)</f>
        <v>0.15592714437626204</v>
      </c>
      <c r="L19" s="3" t="s">
        <v>236</v>
      </c>
      <c r="M19" s="42">
        <f>output!B38/SUM(output!B$36:B$39)</f>
        <v>7.2216988680803814E-3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0.57453582322422625</v>
      </c>
      <c r="R19" s="42">
        <f>output!G38/SUM(output!G$36:G$39)</f>
        <v>0.77076553129634218</v>
      </c>
      <c r="S19" s="42">
        <f>output!H38/SUM(output!H$36:H$39)</f>
        <v>0.76519736072884348</v>
      </c>
      <c r="T19" s="42">
        <f>output!I38/SUM(output!I$36:I$39)</f>
        <v>0.13419354171426331</v>
      </c>
      <c r="U19" s="42">
        <f>output!J38/SUM(output!J$36:J$39)</f>
        <v>0.16574811879471005</v>
      </c>
      <c r="W19" s="3" t="s">
        <v>236</v>
      </c>
      <c r="X19" s="12">
        <f si="7" t="shared"/>
        <v>3.0526500471578372E-3</v>
      </c>
      <c r="Y19" s="12">
        <f si="7" t="shared"/>
        <v>-6.7704922404635298E-2</v>
      </c>
      <c r="Z19" s="12">
        <f>O19-D19</f>
        <v>-2.9727775809728469E-3</v>
      </c>
      <c r="AA19" s="12">
        <f>P19-E19</f>
        <v>-7.272777954095333E-2</v>
      </c>
      <c r="AB19" s="12">
        <f ref="AB19:AE21" si="8" t="shared">Q19-F19</f>
        <v>0.3145031090259755</v>
      </c>
      <c r="AC19" s="12">
        <f si="8" t="shared"/>
        <v>2.5340232381039773E-2</v>
      </c>
      <c r="AD19" s="12">
        <f si="8" t="shared"/>
        <v>5.2673440365795021E-2</v>
      </c>
      <c r="AE19" s="12">
        <f si="8" t="shared"/>
        <v>-4.9681163471823886E-2</v>
      </c>
      <c r="AF19" s="12">
        <f>U19-J19</f>
        <v>9.8209744184480086E-3</v>
      </c>
    </row>
    <row r="20" spans="1:32" x14ac:dyDescent="0.2">
      <c r="A20" s="8" t="s">
        <v>173</v>
      </c>
      <c r="B20" s="13">
        <f>output_NHTS!B39/SUM(output_NHTS!B$36:B$39)</f>
        <v>0</v>
      </c>
      <c r="C20" s="13">
        <f>output_NHTS!C39/SUM(output_NHTS!C$36:C$39)</f>
        <v>1.3363601896693538E-2</v>
      </c>
      <c r="D20" s="13">
        <f>output_NHTS!D39/SUM(output_NHTS!D$36:D$39)</f>
        <v>0</v>
      </c>
      <c r="E20" s="13">
        <f>output_NHTS!E39/SUM(output_NHTS!E$36:E$39)</f>
        <v>3.776243779983147E-3</v>
      </c>
      <c r="F20" s="13">
        <f>output_NHTS!F39/SUM(output_NHTS!F$36:F$39)</f>
        <v>6.2627709552691493E-2</v>
      </c>
      <c r="G20" s="13">
        <f>output_NHTS!G39/SUM(output_NHTS!G$36:G$39)</f>
        <v>2.3880922100946413E-2</v>
      </c>
      <c r="H20" s="13">
        <f>output_NHTS!H39/SUM(output_NHTS!H$36:H$39)</f>
        <v>3.8256348000053078E-2</v>
      </c>
      <c r="I20" s="13">
        <f>output_NHTS!I39/SUM(output_NHTS!I$36:I$39)</f>
        <v>0</v>
      </c>
      <c r="J20" s="13">
        <f>output_NHTS!J39/SUM(output_NHTS!J$36:J$39)</f>
        <v>9.5419231668014623E-3</v>
      </c>
      <c r="L20" s="8" t="s">
        <v>173</v>
      </c>
      <c r="M20" s="43">
        <f>output!B39/SUM(output!B$36:B$39)</f>
        <v>9.551364590503859E-4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0.12619523399700139</v>
      </c>
      <c r="R20" s="43">
        <f>output!G39/SUM(output!G$36:G$39)</f>
        <v>0.13273716535941221</v>
      </c>
      <c r="S20" s="43">
        <f>output!H39/SUM(output!H$36:H$39)</f>
        <v>0.11409193301061898</v>
      </c>
      <c r="T20" s="43">
        <f>output!I39/SUM(output!I$36:I$39)</f>
        <v>2.4678562152450175E-2</v>
      </c>
      <c r="U20" s="43">
        <f>output!J39/SUM(output!J$36:J$39)</f>
        <v>2.7431184967752445E-2</v>
      </c>
      <c r="W20" s="8" t="s">
        <v>173</v>
      </c>
      <c r="X20" s="12">
        <f si="7" t="shared"/>
        <v>9.551364590503859E-4</v>
      </c>
      <c r="Y20" s="12">
        <f si="7" t="shared"/>
        <v>-1.3363601896693538E-2</v>
      </c>
      <c r="Z20" s="12"/>
      <c r="AA20" s="12">
        <f>P20-E20</f>
        <v>-3.776243779983147E-3</v>
      </c>
      <c r="AB20" s="12">
        <f si="8" t="shared"/>
        <v>6.3567524444309895E-2</v>
      </c>
      <c r="AC20" s="12">
        <f si="8" t="shared"/>
        <v>0.1088562432584658</v>
      </c>
      <c r="AD20" s="12">
        <f si="8" t="shared"/>
        <v>7.5835585010565906E-2</v>
      </c>
      <c r="AE20" s="12">
        <f si="8" t="shared"/>
        <v>2.4678562152450175E-2</v>
      </c>
      <c r="AF20" s="12">
        <f>U20-J20</f>
        <v>1.7889261800950983E-2</v>
      </c>
    </row>
    <row ht="13.5" r="21" spans="1:32" thickBot="1" x14ac:dyDescent="0.25">
      <c r="A21" s="15" t="s">
        <v>221</v>
      </c>
      <c r="B21" s="44">
        <f>SUM(B17:B20)</f>
        <v>1.0000000000000002</v>
      </c>
      <c r="C21" s="44">
        <f ref="C21:J21" si="9" t="shared">SUM(C17:C20)</f>
        <v>0.99999999999999989</v>
      </c>
      <c r="D21" s="44">
        <f si="9" t="shared"/>
        <v>1</v>
      </c>
      <c r="E21" s="44">
        <f si="9" t="shared"/>
        <v>1.0000000000000002</v>
      </c>
      <c r="F21" s="44">
        <f si="9" t="shared"/>
        <v>1</v>
      </c>
      <c r="G21" s="44">
        <f si="9" t="shared"/>
        <v>0.99999999999999989</v>
      </c>
      <c r="H21" s="44">
        <f si="9" t="shared"/>
        <v>1</v>
      </c>
      <c r="I21" s="44">
        <f si="9" t="shared"/>
        <v>0.99999999999999989</v>
      </c>
      <c r="J21" s="44">
        <f si="9" t="shared"/>
        <v>1</v>
      </c>
      <c r="L21" s="15" t="s">
        <v>221</v>
      </c>
      <c r="M21" s="44">
        <f>SUM(M17:M20)</f>
        <v>1</v>
      </c>
      <c r="N21" s="44">
        <f ref="N21:U21" si="10" t="shared">SUM(N17:N20)</f>
        <v>1</v>
      </c>
      <c r="O21" s="44">
        <f si="10" t="shared"/>
        <v>1</v>
      </c>
      <c r="P21" s="44">
        <f si="10" t="shared"/>
        <v>1</v>
      </c>
      <c r="Q21" s="44">
        <f si="10" t="shared"/>
        <v>1</v>
      </c>
      <c r="R21" s="44">
        <f si="10" t="shared"/>
        <v>1</v>
      </c>
      <c r="S21" s="44">
        <f si="10" t="shared"/>
        <v>1</v>
      </c>
      <c r="T21" s="44">
        <f si="10" t="shared"/>
        <v>1</v>
      </c>
      <c r="U21" s="44">
        <f si="10" t="shared"/>
        <v>0.99999999999999989</v>
      </c>
      <c r="W21" s="15" t="s">
        <v>221</v>
      </c>
      <c r="X21" s="14">
        <f si="7" t="shared"/>
        <v>0</v>
      </c>
      <c r="Y21" s="14">
        <f si="7" t="shared"/>
        <v>0</v>
      </c>
      <c r="Z21" s="14">
        <f>O21-D21</f>
        <v>0</v>
      </c>
      <c r="AA21" s="14">
        <f>P21-E21</f>
        <v>0</v>
      </c>
      <c r="AB21" s="14">
        <f si="8" t="shared"/>
        <v>0</v>
      </c>
      <c r="AC21" s="14">
        <f si="8" t="shared"/>
        <v>0</v>
      </c>
      <c r="AD21" s="14">
        <f si="8" t="shared"/>
        <v>0</v>
      </c>
      <c r="AE21" s="14">
        <f si="8" t="shared"/>
        <v>0</v>
      </c>
      <c r="AF21" s="14">
        <f>U21-J21</f>
        <v>0</v>
      </c>
    </row>
    <row r="25" spans="1:32" x14ac:dyDescent="0.2">
      <c r="A25" s="2" t="s">
        <v>175</v>
      </c>
      <c r="L25" s="2" t="s">
        <v>175</v>
      </c>
      <c r="W25" s="2" t="s">
        <v>175</v>
      </c>
    </row>
    <row r="26" spans="1:32" x14ac:dyDescent="0.2">
      <c r="A26" s="2" t="s">
        <v>189</v>
      </c>
      <c r="L26" s="2" t="s">
        <v>82</v>
      </c>
      <c r="W26" s="2" t="s">
        <v>12</v>
      </c>
    </row>
    <row ht="13.5" r="27" spans="1:32" thickBot="1" x14ac:dyDescent="0.25"/>
    <row r="28" spans="1:32" x14ac:dyDescent="0.2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243</v>
      </c>
      <c r="F28" s="6" t="s">
        <v>244</v>
      </c>
      <c r="G28" s="6" t="s">
        <v>245</v>
      </c>
      <c r="H28" s="6" t="s">
        <v>246</v>
      </c>
      <c r="I28" s="6" t="s">
        <v>170</v>
      </c>
      <c r="J28" s="6" t="s">
        <v>221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243</v>
      </c>
      <c r="Q28" s="41" t="s">
        <v>244</v>
      </c>
      <c r="R28" s="41" t="s">
        <v>245</v>
      </c>
      <c r="S28" s="41" t="s">
        <v>246</v>
      </c>
      <c r="T28" s="41" t="s">
        <v>170</v>
      </c>
      <c r="U28" s="41" t="s">
        <v>221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243</v>
      </c>
      <c r="AB28" s="6" t="s">
        <v>244</v>
      </c>
      <c r="AC28" s="6" t="s">
        <v>245</v>
      </c>
      <c r="AD28" s="6" t="s">
        <v>246</v>
      </c>
      <c r="AE28" s="6" t="s">
        <v>170</v>
      </c>
      <c r="AF28" s="6" t="s">
        <v>221</v>
      </c>
    </row>
    <row r="29" spans="1:32" x14ac:dyDescent="0.2">
      <c r="A29" s="3" t="s">
        <v>226</v>
      </c>
      <c r="B29" s="12">
        <f>output_NHTS!B43/SUM(output_NHTS!B$43:B$46)</f>
        <v>0.82882268903554801</v>
      </c>
      <c r="C29" s="12">
        <f>output_NHTS!C43/SUM(output_NHTS!C$43:C$46)</f>
        <v>0.79153148537599927</v>
      </c>
      <c r="D29" s="12">
        <f>output_NHTS!D43/SUM(output_NHTS!D$43:D$46)</f>
        <v>0.89282343669820774</v>
      </c>
      <c r="E29" s="12">
        <f>output_NHTS!E43/SUM(output_NHTS!E$43:E$46)</f>
        <v>0.7984439165069801</v>
      </c>
      <c r="F29" s="12">
        <f>output_NHTS!F43/SUM(output_NHTS!F$43:F$46)</f>
        <v>0.87302742151406054</v>
      </c>
      <c r="G29" s="12">
        <f>output_NHTS!G43/SUM(output_NHTS!G$43:G$46)</f>
        <v>0.90194816188499594</v>
      </c>
      <c r="H29" s="12">
        <f>output_NHTS!H43/SUM(output_NHTS!H$43:H$46)</f>
        <v>0.87442331153669861</v>
      </c>
      <c r="I29" s="12">
        <f>output_NHTS!I43/SUM(output_NHTS!I$43:I$46)</f>
        <v>0.84488875122827034</v>
      </c>
      <c r="J29" s="12">
        <f>output_NHTS!J43/SUM(output_NHTS!J$43:J$46)</f>
        <v>0.83758574028098642</v>
      </c>
      <c r="L29" s="3" t="s">
        <v>226</v>
      </c>
      <c r="M29" s="42">
        <f>output!B43/SUM(output!B$43:B$46)</f>
        <v>0.70396189489879524</v>
      </c>
      <c r="N29" s="42">
        <f>output!C43/SUM(output!C$43:C$46)</f>
        <v>0.7663462179579974</v>
      </c>
      <c r="O29" s="42">
        <f>output!D43/SUM(output!D$43:D$46)</f>
        <v>0.87192209662785902</v>
      </c>
      <c r="P29" s="42">
        <f>output!E43/SUM(output!E$43:E$46)</f>
        <v>0.72440672524814731</v>
      </c>
      <c r="Q29" s="42">
        <f>output!F43/SUM(output!F$43:F$46)</f>
        <v>0.8349882925922868</v>
      </c>
      <c r="R29" s="42">
        <f>output!G43/SUM(output!G$43:G$46)</f>
        <v>0.89851339915454298</v>
      </c>
      <c r="S29" s="42">
        <f>output!H43/SUM(output!H$43:H$46)</f>
        <v>0.92107805284707167</v>
      </c>
      <c r="T29" s="42">
        <f>output!I43/SUM(output!I$43:I$46)</f>
        <v>0.72887953553292817</v>
      </c>
      <c r="U29" s="42">
        <f>output!J43/SUM(output!J$43:J$46)</f>
        <v>0.77343568236208049</v>
      </c>
      <c r="W29" s="3" t="s">
        <v>226</v>
      </c>
      <c r="X29" s="12">
        <f ref="X29:AD33" si="11" t="shared">M29-B29</f>
        <v>-0.12486079413675277</v>
      </c>
      <c r="Y29" s="12">
        <f si="11" t="shared"/>
        <v>-2.5185267418001867E-2</v>
      </c>
      <c r="Z29" s="12">
        <f si="11" t="shared"/>
        <v>-2.0901340070348717E-2</v>
      </c>
      <c r="AA29" s="12">
        <f si="11" t="shared"/>
        <v>-7.4037191258832791E-2</v>
      </c>
      <c r="AB29" s="12">
        <f si="11" t="shared"/>
        <v>-3.8039128921773746E-2</v>
      </c>
      <c r="AC29" s="12">
        <f si="11" t="shared"/>
        <v>-3.434762730452956E-3</v>
      </c>
      <c r="AD29" s="12">
        <f si="11" t="shared"/>
        <v>4.665474131037306E-2</v>
      </c>
      <c r="AE29" s="12">
        <f ref="AE29:AF33" si="12" t="shared">T29-I29</f>
        <v>-0.11600921569534217</v>
      </c>
      <c r="AF29" s="12">
        <f si="12" t="shared"/>
        <v>-6.4150057918905934E-2</v>
      </c>
    </row>
    <row r="30" spans="1:32" x14ac:dyDescent="0.2">
      <c r="A30" s="3" t="s">
        <v>235</v>
      </c>
      <c r="B30" s="12">
        <f>output_NHTS!B44/SUM(output_NHTS!B$43:B$46)</f>
        <v>9.3308124038944604E-2</v>
      </c>
      <c r="C30" s="12">
        <f>output_NHTS!C44/SUM(output_NHTS!C$43:C$46)</f>
        <v>5.7693961510899824E-2</v>
      </c>
      <c r="D30" s="12">
        <f>output_NHTS!D44/SUM(output_NHTS!D$43:D$46)</f>
        <v>3.0779921849444576E-3</v>
      </c>
      <c r="E30" s="12">
        <f>output_NHTS!E44/SUM(output_NHTS!E$43:E$46)</f>
        <v>1.3951201062687765E-2</v>
      </c>
      <c r="F30" s="12">
        <f>output_NHTS!F44/SUM(output_NHTS!F$43:F$46)</f>
        <v>5.5844597604859082E-2</v>
      </c>
      <c r="G30" s="12">
        <f>output_NHTS!G44/SUM(output_NHTS!G$43:G$46)</f>
        <v>2.2764589504457276E-2</v>
      </c>
      <c r="H30" s="12">
        <f>output_NHTS!H44/SUM(output_NHTS!H$43:H$46)</f>
        <v>7.9282276329512319E-2</v>
      </c>
      <c r="I30" s="12">
        <f>output_NHTS!I44/SUM(output_NHTS!I$43:I$46)</f>
        <v>3.429728928934498E-2</v>
      </c>
      <c r="J30" s="12">
        <f>output_NHTS!J44/SUM(output_NHTS!J$43:J$46)</f>
        <v>5.9096279396194322E-2</v>
      </c>
      <c r="L30" s="3" t="s">
        <v>235</v>
      </c>
      <c r="M30" s="42">
        <f>output!B44/SUM(output!B$43:B$46)</f>
        <v>0.1884268905934095</v>
      </c>
      <c r="N30" s="42">
        <f>output!C44/SUM(output!C$43:C$46)</f>
        <v>7.6190078049746507E-2</v>
      </c>
      <c r="O30" s="42">
        <f>output!D44/SUM(output!D$43:D$46)</f>
        <v>7.6024597921233485E-3</v>
      </c>
      <c r="P30" s="42">
        <f>output!E44/SUM(output!E$43:E$46)</f>
        <v>1.6165849647228798E-2</v>
      </c>
      <c r="Q30" s="42">
        <f>output!F44/SUM(output!F$43:F$46)</f>
        <v>0.11256772692143197</v>
      </c>
      <c r="R30" s="42">
        <f>output!G44/SUM(output!G$43:G$46)</f>
        <v>5.407676283979141E-2</v>
      </c>
      <c r="S30" s="42">
        <f>output!H44/SUM(output!H$43:H$46)</f>
        <v>3.163571020055591E-2</v>
      </c>
      <c r="T30" s="42">
        <f>output!I44/SUM(output!I$43:I$46)</f>
        <v>3.4944147850159597E-2</v>
      </c>
      <c r="U30" s="42">
        <f>output!J44/SUM(output!J$43:J$46)</f>
        <v>9.4473413281436228E-2</v>
      </c>
      <c r="W30" s="3" t="s">
        <v>235</v>
      </c>
      <c r="X30" s="12">
        <f si="11" t="shared"/>
        <v>9.5118766554464898E-2</v>
      </c>
      <c r="Y30" s="12">
        <f si="11" t="shared"/>
        <v>1.8496116538846682E-2</v>
      </c>
      <c r="Z30" s="12">
        <f si="11" t="shared"/>
        <v>4.5244676071788913E-3</v>
      </c>
      <c r="AA30" s="12">
        <f si="11" t="shared"/>
        <v>2.2146485845410332E-3</v>
      </c>
      <c r="AB30" s="12">
        <f si="11" t="shared"/>
        <v>5.6723129316572883E-2</v>
      </c>
      <c r="AC30" s="12">
        <f si="11" t="shared"/>
        <v>3.1312173335334134E-2</v>
      </c>
      <c r="AD30" s="12">
        <f si="11" t="shared"/>
        <v>-4.7646566128956409E-2</v>
      </c>
      <c r="AE30" s="12">
        <f si="12" t="shared"/>
        <v>6.4685856081461712E-4</v>
      </c>
      <c r="AF30" s="12">
        <f si="12" t="shared"/>
        <v>3.5377133885241906E-2</v>
      </c>
    </row>
    <row r="31" spans="1:32" x14ac:dyDescent="0.2">
      <c r="A31" s="3" t="s">
        <v>236</v>
      </c>
      <c r="B31" s="12">
        <f>output_NHTS!B45/SUM(output_NHTS!B$43:B$46)</f>
        <v>5.3646686525733893E-2</v>
      </c>
      <c r="C31" s="12">
        <f>output_NHTS!C45/SUM(output_NHTS!C$43:C$46)</f>
        <v>9.9968062682126491E-2</v>
      </c>
      <c r="D31" s="12">
        <f>output_NHTS!D45/SUM(output_NHTS!D$43:D$46)</f>
        <v>7.6255484785761496E-2</v>
      </c>
      <c r="E31" s="12">
        <f>output_NHTS!E45/SUM(output_NHTS!E$43:E$46)</f>
        <v>0.13447994035605629</v>
      </c>
      <c r="F31" s="12">
        <f>output_NHTS!F45/SUM(output_NHTS!F$43:F$46)</f>
        <v>4.7689820246184698E-2</v>
      </c>
      <c r="G31" s="12">
        <f>output_NHTS!G45/SUM(output_NHTS!G$43:G$46)</f>
        <v>6.380041885644476E-2</v>
      </c>
      <c r="H31" s="12">
        <f>output_NHTS!H45/SUM(output_NHTS!H$43:H$46)</f>
        <v>3.7170763756800715E-2</v>
      </c>
      <c r="I31" s="12">
        <f>output_NHTS!I45/SUM(output_NHTS!I$43:I$46)</f>
        <v>7.5547755079441836E-2</v>
      </c>
      <c r="J31" s="12">
        <f>output_NHTS!J45/SUM(output_NHTS!J$43:J$46)</f>
        <v>7.2511337257060271E-2</v>
      </c>
      <c r="L31" s="3" t="s">
        <v>236</v>
      </c>
      <c r="M31" s="42">
        <f>output!B45/SUM(output!B$43:B$46)</f>
        <v>5.9296008278235057E-2</v>
      </c>
      <c r="N31" s="42">
        <f>output!C45/SUM(output!C$43:C$46)</f>
        <v>0.11402153281244877</v>
      </c>
      <c r="O31" s="42">
        <f>output!D45/SUM(output!D$43:D$46)</f>
        <v>9.5362984828574221E-2</v>
      </c>
      <c r="P31" s="42">
        <f>output!E45/SUM(output!E$43:E$46)</f>
        <v>0.2052492676939299</v>
      </c>
      <c r="Q31" s="42">
        <f>output!F45/SUM(output!F$43:F$46)</f>
        <v>3.1396645894333872E-2</v>
      </c>
      <c r="R31" s="42">
        <f>output!G45/SUM(output!G$43:G$46)</f>
        <v>2.8870316942584309E-2</v>
      </c>
      <c r="S31" s="42">
        <f>output!H45/SUM(output!H$43:H$46)</f>
        <v>3.1035754117374387E-2</v>
      </c>
      <c r="T31" s="42">
        <f>output!I45/SUM(output!I$43:I$46)</f>
        <v>0.1848532676237411</v>
      </c>
      <c r="U31" s="42">
        <f>output!J45/SUM(output!J$43:J$46)</f>
        <v>9.2106550686957916E-2</v>
      </c>
      <c r="W31" s="3" t="s">
        <v>236</v>
      </c>
      <c r="X31" s="12">
        <f si="11" t="shared"/>
        <v>5.6493217525011644E-3</v>
      </c>
      <c r="Y31" s="12">
        <f si="11" t="shared"/>
        <v>1.4053470130322279E-2</v>
      </c>
      <c r="Z31" s="12">
        <f si="11" t="shared"/>
        <v>1.9107500042812725E-2</v>
      </c>
      <c r="AA31" s="12">
        <f si="11" t="shared"/>
        <v>7.0769327337873611E-2</v>
      </c>
      <c r="AB31" s="12">
        <f si="11" t="shared"/>
        <v>-1.6293174351850827E-2</v>
      </c>
      <c r="AC31" s="12">
        <f si="11" t="shared"/>
        <v>-3.4930101913860451E-2</v>
      </c>
      <c r="AD31" s="12">
        <f si="11" t="shared"/>
        <v>-6.1350096394263282E-3</v>
      </c>
      <c r="AE31" s="12">
        <f si="12" t="shared"/>
        <v>0.10930551254429927</v>
      </c>
      <c r="AF31" s="12">
        <f si="12" t="shared"/>
        <v>1.9595213429897645E-2</v>
      </c>
    </row>
    <row r="32" spans="1:32" x14ac:dyDescent="0.2">
      <c r="A32" s="8" t="s">
        <v>173</v>
      </c>
      <c r="B32" s="13">
        <f>output_NHTS!B46/SUM(output_NHTS!B$43:B$46)</f>
        <v>2.4222500399773538E-2</v>
      </c>
      <c r="C32" s="13">
        <f>output_NHTS!C46/SUM(output_NHTS!C$43:C$46)</f>
        <v>5.0806490430974398E-2</v>
      </c>
      <c r="D32" s="13">
        <f>output_NHTS!D46/SUM(output_NHTS!D$43:D$46)</f>
        <v>2.7843086331086245E-2</v>
      </c>
      <c r="E32" s="13">
        <f>output_NHTS!E46/SUM(output_NHTS!E$43:E$46)</f>
        <v>5.3124942074275892E-2</v>
      </c>
      <c r="F32" s="13">
        <f>output_NHTS!F46/SUM(output_NHTS!F$43:F$46)</f>
        <v>2.3438160634895764E-2</v>
      </c>
      <c r="G32" s="13">
        <f>output_NHTS!G46/SUM(output_NHTS!G$43:G$46)</f>
        <v>1.1486829754101936E-2</v>
      </c>
      <c r="H32" s="13">
        <f>output_NHTS!H46/SUM(output_NHTS!H$43:H$46)</f>
        <v>9.1236483769883952E-3</v>
      </c>
      <c r="I32" s="13">
        <f>output_NHTS!I46/SUM(output_NHTS!I$43:I$46)</f>
        <v>4.5266204402942697E-2</v>
      </c>
      <c r="J32" s="13">
        <f>output_NHTS!J46/SUM(output_NHTS!J$43:J$46)</f>
        <v>3.0806643065758851E-2</v>
      </c>
      <c r="L32" s="8" t="s">
        <v>173</v>
      </c>
      <c r="M32" s="43">
        <f>output!B46/SUM(output!B$43:B$46)</f>
        <v>4.8315206229560183E-2</v>
      </c>
      <c r="N32" s="43">
        <f>output!C46/SUM(output!C$43:C$46)</f>
        <v>4.3442171179807296E-2</v>
      </c>
      <c r="O32" s="43">
        <f>output!D46/SUM(output!D$43:D$46)</f>
        <v>2.5112458751443432E-2</v>
      </c>
      <c r="P32" s="43">
        <f>output!E46/SUM(output!E$43:E$46)</f>
        <v>5.4178157410693983E-2</v>
      </c>
      <c r="Q32" s="43">
        <f>output!F46/SUM(output!F$43:F$46)</f>
        <v>2.104733459194728E-2</v>
      </c>
      <c r="R32" s="43">
        <f>output!G46/SUM(output!G$43:G$46)</f>
        <v>1.8539521063081335E-2</v>
      </c>
      <c r="S32" s="43">
        <f>output!H46/SUM(output!H$43:H$46)</f>
        <v>1.6250482834998116E-2</v>
      </c>
      <c r="T32" s="43">
        <f>output!I46/SUM(output!I$43:I$46)</f>
        <v>5.1323048993171187E-2</v>
      </c>
      <c r="U32" s="43">
        <f>output!J46/SUM(output!J$43:J$46)</f>
        <v>3.9984353669525484E-2</v>
      </c>
      <c r="W32" s="8" t="s">
        <v>173</v>
      </c>
      <c r="X32" s="12">
        <f si="11" t="shared"/>
        <v>2.4092705829786645E-2</v>
      </c>
      <c r="Y32" s="12">
        <f si="11" t="shared"/>
        <v>-7.3643192511671021E-3</v>
      </c>
      <c r="Z32" s="12">
        <f si="11" t="shared"/>
        <v>-2.7306275796428123E-3</v>
      </c>
      <c r="AA32" s="12">
        <f si="11" t="shared"/>
        <v>1.053215336418091E-3</v>
      </c>
      <c r="AB32" s="12">
        <f si="11" t="shared"/>
        <v>-2.3908260429484837E-3</v>
      </c>
      <c r="AC32" s="12">
        <f si="11" t="shared"/>
        <v>7.0526913089793992E-3</v>
      </c>
      <c r="AD32" s="12">
        <f si="11" t="shared"/>
        <v>7.1268344580097207E-3</v>
      </c>
      <c r="AE32" s="12">
        <f si="12" t="shared"/>
        <v>6.0568445902284898E-3</v>
      </c>
      <c r="AF32" s="12">
        <f si="12" t="shared"/>
        <v>9.1777106037666326E-3</v>
      </c>
    </row>
    <row ht="13.5" r="33" spans="1:32" thickBot="1" x14ac:dyDescent="0.25">
      <c r="A33" s="15" t="s">
        <v>221</v>
      </c>
      <c r="B33" s="44">
        <f>SUM(B29:B32)</f>
        <v>1</v>
      </c>
      <c r="C33" s="44">
        <f ref="C33:J33" si="13" t="shared">SUM(C29:C32)</f>
        <v>1</v>
      </c>
      <c r="D33" s="44">
        <f si="13" t="shared"/>
        <v>0.99999999999999989</v>
      </c>
      <c r="E33" s="44">
        <f si="13" t="shared"/>
        <v>1</v>
      </c>
      <c r="F33" s="44">
        <f si="13" t="shared"/>
        <v>1</v>
      </c>
      <c r="G33" s="44">
        <f si="13" t="shared"/>
        <v>0.99999999999999989</v>
      </c>
      <c r="H33" s="44">
        <f si="13" t="shared"/>
        <v>1</v>
      </c>
      <c r="I33" s="44">
        <f si="13" t="shared"/>
        <v>0.99999999999999989</v>
      </c>
      <c r="J33" s="44">
        <f si="13" t="shared"/>
        <v>0.99999999999999989</v>
      </c>
      <c r="L33" s="15" t="s">
        <v>221</v>
      </c>
      <c r="M33" s="44">
        <f>SUM(M29:M32)</f>
        <v>1</v>
      </c>
      <c r="N33" s="44">
        <f ref="N33:U33" si="14" t="shared">SUM(N29:N32)</f>
        <v>1</v>
      </c>
      <c r="O33" s="44">
        <f si="14" t="shared"/>
        <v>1</v>
      </c>
      <c r="P33" s="44">
        <f si="14" t="shared"/>
        <v>1</v>
      </c>
      <c r="Q33" s="44">
        <f si="14" t="shared"/>
        <v>0.99999999999999989</v>
      </c>
      <c r="R33" s="44">
        <f si="14" t="shared"/>
        <v>1.0000000000000002</v>
      </c>
      <c r="S33" s="44">
        <f si="14" t="shared"/>
        <v>1</v>
      </c>
      <c r="T33" s="44">
        <f si="14" t="shared"/>
        <v>1</v>
      </c>
      <c r="U33" s="44">
        <f si="14" t="shared"/>
        <v>1.0000000000000002</v>
      </c>
      <c r="W33" s="15" t="s">
        <v>221</v>
      </c>
      <c r="X33" s="14">
        <f si="11" t="shared"/>
        <v>0</v>
      </c>
      <c r="Y33" s="14">
        <f si="11" t="shared"/>
        <v>0</v>
      </c>
      <c r="Z33" s="14">
        <f si="11" t="shared"/>
        <v>0</v>
      </c>
      <c r="AA33" s="14">
        <f si="11" t="shared"/>
        <v>0</v>
      </c>
      <c r="AB33" s="14">
        <f si="11" t="shared"/>
        <v>0</v>
      </c>
      <c r="AC33" s="14">
        <f si="11" t="shared"/>
        <v>0</v>
      </c>
      <c r="AD33" s="14">
        <f si="11" t="shared"/>
        <v>0</v>
      </c>
      <c r="AE33" s="14">
        <f si="12" t="shared"/>
        <v>0</v>
      </c>
      <c r="AF33" s="14">
        <f si="12" t="shared"/>
        <v>0</v>
      </c>
    </row>
    <row r="34" spans="1:32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x14ac:dyDescent="0.2">
      <c r="A37" s="2" t="s">
        <v>175</v>
      </c>
      <c r="L37" s="2" t="s">
        <v>175</v>
      </c>
      <c r="W37" s="2" t="s">
        <v>175</v>
      </c>
    </row>
    <row r="38" spans="1:32" x14ac:dyDescent="0.2">
      <c r="A38" s="2" t="s">
        <v>190</v>
      </c>
      <c r="L38" s="2" t="s">
        <v>201</v>
      </c>
      <c r="W38" s="2" t="s">
        <v>13</v>
      </c>
    </row>
    <row ht="13.5" r="39" spans="1:32" thickBot="1" x14ac:dyDescent="0.25"/>
    <row r="40" spans="1:32" x14ac:dyDescent="0.2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243</v>
      </c>
      <c r="Q40" s="41" t="s">
        <v>244</v>
      </c>
      <c r="R40" s="41" t="s">
        <v>245</v>
      </c>
      <c r="S40" s="41" t="s">
        <v>246</v>
      </c>
      <c r="T40" s="41" t="s">
        <v>170</v>
      </c>
      <c r="U40" s="41" t="s">
        <v>221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2">
      <c r="A41" s="3" t="s">
        <v>226</v>
      </c>
      <c r="B41" s="12">
        <f>output_NHTS!B50/SUM(output_NHTS!B$50:B$53)</f>
        <v>0.78810755443299618</v>
      </c>
      <c r="C41" s="12">
        <f>output_NHTS!C50/SUM(output_NHTS!C$50:C$53)</f>
        <v>0.68128669060242064</v>
      </c>
      <c r="D41" s="12">
        <f>output_NHTS!D50/SUM(output_NHTS!D$50:D$53)</f>
        <v>0.57740184442128073</v>
      </c>
      <c r="E41" s="12">
        <f>output_NHTS!E50/SUM(output_NHTS!E$50:E$53)</f>
        <v>0.64865942351700756</v>
      </c>
      <c r="F41" s="12">
        <f>output_NHTS!F50/SUM(output_NHTS!F$50:F$53)</f>
        <v>0.73315085006965208</v>
      </c>
      <c r="G41" s="12">
        <f>output_NHTS!G50/SUM(output_NHTS!G$50:G$53)</f>
        <v>0.87402827620494628</v>
      </c>
      <c r="H41" s="12">
        <f>output_NHTS!H50/SUM(output_NHTS!H$50:H$53)</f>
        <v>0.80698301447801846</v>
      </c>
      <c r="I41" s="12">
        <f>output_NHTS!I50/SUM(output_NHTS!I$50:I$53)</f>
        <v>0.73064337654446987</v>
      </c>
      <c r="J41" s="12">
        <f>output_NHTS!J50/SUM(output_NHTS!J$50:J$53)</f>
        <v>0.73271822945790976</v>
      </c>
      <c r="L41" s="3" t="s">
        <v>226</v>
      </c>
      <c r="M41" s="42">
        <f>output!B50/SUM(output!B$50:B$53)</f>
        <v>0.61923437707121909</v>
      </c>
      <c r="N41" s="42">
        <f>output!C50/SUM(output!C$50:C$53)</f>
        <v>0.57486778818978002</v>
      </c>
      <c r="O41" s="42">
        <f>output!D50/SUM(output!D$50:D$53)</f>
        <v>0.45889750081020947</v>
      </c>
      <c r="P41" s="42">
        <f>output!E50/SUM(output!E$50:E$53)</f>
        <v>0.52260084518942962</v>
      </c>
      <c r="Q41" s="42">
        <f>output!F50/SUM(output!F$50:F$53)</f>
        <v>0.692138402579342</v>
      </c>
      <c r="R41" s="42">
        <f>output!G50/SUM(output!G$50:G$53)</f>
        <v>0.8663945551692126</v>
      </c>
      <c r="S41" s="42">
        <f>output!H50/SUM(output!H$50:H$53)</f>
        <v>0.76207389434874284</v>
      </c>
      <c r="T41" s="42">
        <f>output!I50/SUM(output!I$50:I$53)</f>
        <v>0.54742915314979546</v>
      </c>
      <c r="U41" s="42">
        <f>output!J50/SUM(output!J$50:J$53)</f>
        <v>0.60966599732517124</v>
      </c>
      <c r="W41" s="3" t="s">
        <v>226</v>
      </c>
      <c r="X41" s="12">
        <f ref="X41:AD45" si="15" t="shared">M41-B41</f>
        <v>-0.16887317736177709</v>
      </c>
      <c r="Y41" s="12">
        <f si="15" t="shared"/>
        <v>-0.10641890241264063</v>
      </c>
      <c r="Z41" s="12">
        <f si="15" t="shared"/>
        <v>-0.11850434361107126</v>
      </c>
      <c r="AA41" s="12">
        <f si="15" t="shared"/>
        <v>-0.12605857832757794</v>
      </c>
      <c r="AB41" s="12">
        <f si="15" t="shared"/>
        <v>-4.1012447490310078E-2</v>
      </c>
      <c r="AC41" s="12">
        <f si="15" t="shared"/>
        <v>-7.633721035733676E-3</v>
      </c>
      <c r="AD41" s="12">
        <f si="15" t="shared"/>
        <v>-4.4909120129275615E-2</v>
      </c>
      <c r="AE41" s="12">
        <f ref="AE41:AF45" si="16" t="shared">T41-I41</f>
        <v>-0.18321422339467441</v>
      </c>
      <c r="AF41" s="12">
        <f si="16" t="shared"/>
        <v>-0.12305223213273853</v>
      </c>
    </row>
    <row r="42" spans="1:32" x14ac:dyDescent="0.2">
      <c r="A42" s="3" t="s">
        <v>235</v>
      </c>
      <c r="B42" s="12">
        <f>output_NHTS!B51/SUM(output_NHTS!B$50:B$53)</f>
        <v>0.13732304205354393</v>
      </c>
      <c r="C42" s="12">
        <f>output_NHTS!C51/SUM(output_NHTS!C$50:C$53)</f>
        <v>0.16654495871796468</v>
      </c>
      <c r="D42" s="12">
        <f>output_NHTS!D51/SUM(output_NHTS!D$50:D$53)</f>
        <v>0.14196434142082875</v>
      </c>
      <c r="E42" s="12">
        <f>output_NHTS!E51/SUM(output_NHTS!E$50:E$53)</f>
        <v>0.13758753889406675</v>
      </c>
      <c r="F42" s="12">
        <f>output_NHTS!F51/SUM(output_NHTS!F$50:F$53)</f>
        <v>0.1624736108441997</v>
      </c>
      <c r="G42" s="12">
        <f>output_NHTS!G51/SUM(output_NHTS!G$50:G$53)</f>
        <v>7.5196749995906351E-2</v>
      </c>
      <c r="H42" s="12">
        <f>output_NHTS!H51/SUM(output_NHTS!H$50:H$53)</f>
        <v>0.10721781752231038</v>
      </c>
      <c r="I42" s="12">
        <f>output_NHTS!I51/SUM(output_NHTS!I$50:I$53)</f>
        <v>0.11742050670754522</v>
      </c>
      <c r="J42" s="12">
        <f>output_NHTS!J51/SUM(output_NHTS!J$50:J$53)</f>
        <v>0.13432858535042155</v>
      </c>
      <c r="L42" s="3" t="s">
        <v>235</v>
      </c>
      <c r="M42" s="42">
        <f>output!B51/SUM(output!B$50:B$53)</f>
        <v>0.29198372675130785</v>
      </c>
      <c r="N42" s="42">
        <f>output!C51/SUM(output!C$50:C$53)</f>
        <v>0.23364703033257736</v>
      </c>
      <c r="O42" s="42">
        <f>output!D51/SUM(output!D$50:D$53)</f>
        <v>0.19215077906391839</v>
      </c>
      <c r="P42" s="42">
        <f>output!E51/SUM(output!E$50:E$53)</f>
        <v>0.19321154116497563</v>
      </c>
      <c r="Q42" s="42">
        <f>output!F51/SUM(output!F$50:F$53)</f>
        <v>0.23410903973830025</v>
      </c>
      <c r="R42" s="42">
        <f>output!G51/SUM(output!G$50:G$53)</f>
        <v>8.3945924417171636E-2</v>
      </c>
      <c r="S42" s="42">
        <f>output!H51/SUM(output!H$50:H$53)</f>
        <v>0.13632182632580964</v>
      </c>
      <c r="T42" s="42">
        <f>output!I51/SUM(output!I$50:I$53)</f>
        <v>0.20654402927706586</v>
      </c>
      <c r="U42" s="42">
        <f>output!J51/SUM(output!J$50:J$53)</f>
        <v>0.22549687714231245</v>
      </c>
      <c r="W42" s="3" t="s">
        <v>235</v>
      </c>
      <c r="X42" s="12">
        <f si="15" t="shared"/>
        <v>0.15466068469776392</v>
      </c>
      <c r="Y42" s="12">
        <f si="15" t="shared"/>
        <v>6.7102071614612679E-2</v>
      </c>
      <c r="Z42" s="12">
        <f si="15" t="shared"/>
        <v>5.0186437643089638E-2</v>
      </c>
      <c r="AA42" s="12">
        <f si="15" t="shared"/>
        <v>5.5624002270908884E-2</v>
      </c>
      <c r="AB42" s="12">
        <f si="15" t="shared"/>
        <v>7.1635428894100545E-2</v>
      </c>
      <c r="AC42" s="12">
        <f si="15" t="shared"/>
        <v>8.749174421265285E-3</v>
      </c>
      <c r="AD42" s="12">
        <f si="15" t="shared"/>
        <v>2.9104008803499254E-2</v>
      </c>
      <c r="AE42" s="12">
        <f si="16" t="shared"/>
        <v>8.9123522569520636E-2</v>
      </c>
      <c r="AF42" s="12">
        <f si="16" t="shared"/>
        <v>9.1168291791890899E-2</v>
      </c>
    </row>
    <row r="43" spans="1:32" x14ac:dyDescent="0.2">
      <c r="A43" s="3" t="s">
        <v>236</v>
      </c>
      <c r="B43" s="12">
        <f>output_NHTS!B52/SUM(output_NHTS!B$50:B$53)</f>
        <v>5.2002363315476384E-2</v>
      </c>
      <c r="C43" s="12">
        <f>output_NHTS!C52/SUM(output_NHTS!C$50:C$53)</f>
        <v>9.1861553698388998E-2</v>
      </c>
      <c r="D43" s="12">
        <f>output_NHTS!D52/SUM(output_NHTS!D$50:D$53)</f>
        <v>0.17404851479503061</v>
      </c>
      <c r="E43" s="12">
        <f>output_NHTS!E52/SUM(output_NHTS!E$50:E$53)</f>
        <v>0.14466514956543783</v>
      </c>
      <c r="F43" s="12">
        <f>output_NHTS!F52/SUM(output_NHTS!F$50:F$53)</f>
        <v>7.4329283423836351E-2</v>
      </c>
      <c r="G43" s="12">
        <f>output_NHTS!G52/SUM(output_NHTS!G$50:G$53)</f>
        <v>4.0348243194003153E-2</v>
      </c>
      <c r="H43" s="12">
        <f>output_NHTS!H52/SUM(output_NHTS!H$50:H$53)</f>
        <v>6.6785413805346541E-2</v>
      </c>
      <c r="I43" s="12">
        <f>output_NHTS!I52/SUM(output_NHTS!I$50:I$53)</f>
        <v>9.622806908702479E-2</v>
      </c>
      <c r="J43" s="12">
        <f>output_NHTS!J52/SUM(output_NHTS!J$50:J$53)</f>
        <v>8.8860562054152839E-2</v>
      </c>
      <c r="L43" s="3" t="s">
        <v>236</v>
      </c>
      <c r="M43" s="42">
        <f>output!B52/SUM(output!B$50:B$53)</f>
        <v>4.9467317570069128E-2</v>
      </c>
      <c r="N43" s="42">
        <f>output!C52/SUM(output!C$50:C$53)</f>
        <v>9.6517900827049877E-2</v>
      </c>
      <c r="O43" s="42">
        <f>output!D52/SUM(output!D$50:D$53)</f>
        <v>0.17246830635711963</v>
      </c>
      <c r="P43" s="42">
        <f>output!E52/SUM(output!E$50:E$53)</f>
        <v>0.13528952632699343</v>
      </c>
      <c r="Q43" s="42">
        <f>output!F52/SUM(output!F$50:F$53)</f>
        <v>4.1057221431577862E-2</v>
      </c>
      <c r="R43" s="42">
        <f>output!G52/SUM(output!G$50:G$53)</f>
        <v>3.0391844031459229E-2</v>
      </c>
      <c r="S43" s="42">
        <f>output!H52/SUM(output!H$50:H$53)</f>
        <v>6.3786055858948226E-2</v>
      </c>
      <c r="T43" s="42">
        <f>output!I52/SUM(output!I$50:I$53)</f>
        <v>0.12289021704123718</v>
      </c>
      <c r="U43" s="42">
        <f>output!J52/SUM(output!J$50:J$53)</f>
        <v>8.525950171664988E-2</v>
      </c>
      <c r="W43" s="3" t="s">
        <v>236</v>
      </c>
      <c r="X43" s="12">
        <f si="15" t="shared"/>
        <v>-2.5350457454072564E-3</v>
      </c>
      <c r="Y43" s="12">
        <f si="15" t="shared"/>
        <v>4.6563471286608787E-3</v>
      </c>
      <c r="Z43" s="12">
        <f si="15" t="shared"/>
        <v>-1.5802084379109849E-3</v>
      </c>
      <c r="AA43" s="12">
        <f si="15" t="shared"/>
        <v>-9.3756232384444027E-3</v>
      </c>
      <c r="AB43" s="12">
        <f si="15" t="shared"/>
        <v>-3.3272061992258489E-2</v>
      </c>
      <c r="AC43" s="12">
        <f si="15" t="shared"/>
        <v>-9.956399162543924E-3</v>
      </c>
      <c r="AD43" s="12">
        <f si="15" t="shared"/>
        <v>-2.999357946398315E-3</v>
      </c>
      <c r="AE43" s="12">
        <f si="16" t="shared"/>
        <v>2.6662147954212387E-2</v>
      </c>
      <c r="AF43" s="12">
        <f si="16" t="shared"/>
        <v>-3.6010603375029593E-3</v>
      </c>
    </row>
    <row r="44" spans="1:32" x14ac:dyDescent="0.2">
      <c r="A44" s="8" t="s">
        <v>173</v>
      </c>
      <c r="B44" s="13">
        <f>output_NHTS!B53/SUM(output_NHTS!B$50:B$53)</f>
        <v>2.2567040197983529E-2</v>
      </c>
      <c r="C44" s="13">
        <f>output_NHTS!C53/SUM(output_NHTS!C$50:C$53)</f>
        <v>6.030679698122561E-2</v>
      </c>
      <c r="D44" s="13">
        <f>output_NHTS!D53/SUM(output_NHTS!D$50:D$53)</f>
        <v>0.10658529936285996</v>
      </c>
      <c r="E44" s="13">
        <f>output_NHTS!E53/SUM(output_NHTS!E$50:E$53)</f>
        <v>6.9087888023487976E-2</v>
      </c>
      <c r="F44" s="13">
        <f>output_NHTS!F53/SUM(output_NHTS!F$50:F$53)</f>
        <v>3.0046255662311866E-2</v>
      </c>
      <c r="G44" s="13">
        <f>output_NHTS!G53/SUM(output_NHTS!G$50:G$53)</f>
        <v>1.0426730605144074E-2</v>
      </c>
      <c r="H44" s="13">
        <f>output_NHTS!H53/SUM(output_NHTS!H$50:H$53)</f>
        <v>1.901375419432463E-2</v>
      </c>
      <c r="I44" s="13">
        <f>output_NHTS!I53/SUM(output_NHTS!I$50:I$53)</f>
        <v>5.5708047660960054E-2</v>
      </c>
      <c r="J44" s="13">
        <f>output_NHTS!J53/SUM(output_NHTS!J$50:J$53)</f>
        <v>4.4092623137515739E-2</v>
      </c>
      <c r="L44" s="8" t="s">
        <v>173</v>
      </c>
      <c r="M44" s="43">
        <f>output!B53/SUM(output!B$50:B$53)</f>
        <v>3.9314578607403936E-2</v>
      </c>
      <c r="N44" s="43">
        <f>output!C53/SUM(output!C$50:C$53)</f>
        <v>9.4967280650592789E-2</v>
      </c>
      <c r="O44" s="43">
        <f>output!D53/SUM(output!D$50:D$53)</f>
        <v>0.17648341376875254</v>
      </c>
      <c r="P44" s="43">
        <f>output!E53/SUM(output!E$50:E$53)</f>
        <v>0.14889808731860132</v>
      </c>
      <c r="Q44" s="43">
        <f>output!F53/SUM(output!F$50:F$53)</f>
        <v>3.2695336250779861E-2</v>
      </c>
      <c r="R44" s="43">
        <f>output!G53/SUM(output!G$50:G$53)</f>
        <v>1.9267676382156596E-2</v>
      </c>
      <c r="S44" s="43">
        <f>output!H53/SUM(output!H$50:H$53)</f>
        <v>3.7818223466499302E-2</v>
      </c>
      <c r="T44" s="43">
        <f>output!I53/SUM(output!I$50:I$53)</f>
        <v>0.12313660053190154</v>
      </c>
      <c r="U44" s="43">
        <f>output!J53/SUM(output!J$50:J$53)</f>
        <v>7.9577623815866416E-2</v>
      </c>
      <c r="W44" s="8" t="s">
        <v>173</v>
      </c>
      <c r="X44" s="12">
        <f si="15" t="shared"/>
        <v>1.6747538409420407E-2</v>
      </c>
      <c r="Y44" s="12">
        <f si="15" t="shared"/>
        <v>3.4660483669367179E-2</v>
      </c>
      <c r="Z44" s="12">
        <f si="15" t="shared"/>
        <v>6.9898114405892581E-2</v>
      </c>
      <c r="AA44" s="12">
        <f si="15" t="shared"/>
        <v>7.9810199295113349E-2</v>
      </c>
      <c r="AB44" s="12">
        <f si="15" t="shared"/>
        <v>2.6490805884679947E-3</v>
      </c>
      <c r="AC44" s="12">
        <f si="15" t="shared"/>
        <v>8.8409457770125214E-3</v>
      </c>
      <c r="AD44" s="12">
        <f si="15" t="shared"/>
        <v>1.8804469272174672E-2</v>
      </c>
      <c r="AE44" s="12">
        <f si="16" t="shared"/>
        <v>6.7428552870941488E-2</v>
      </c>
      <c r="AF44" s="12">
        <f si="16" t="shared"/>
        <v>3.5485000678350677E-2</v>
      </c>
    </row>
    <row ht="13.5" r="45" spans="1:32" thickBot="1" x14ac:dyDescent="0.25">
      <c r="A45" s="15" t="s">
        <v>221</v>
      </c>
      <c r="B45" s="44">
        <f>SUM(B41:B44)</f>
        <v>1</v>
      </c>
      <c r="C45" s="44">
        <f ref="C45:J45" si="17" t="shared">SUM(C41:C44)</f>
        <v>1</v>
      </c>
      <c r="D45" s="44">
        <f si="17" t="shared"/>
        <v>1</v>
      </c>
      <c r="E45" s="44">
        <f si="17" t="shared"/>
        <v>1</v>
      </c>
      <c r="F45" s="44">
        <f si="17" t="shared"/>
        <v>1</v>
      </c>
      <c r="G45" s="44">
        <f si="17" t="shared"/>
        <v>0.99999999999999989</v>
      </c>
      <c r="H45" s="44">
        <f si="17" t="shared"/>
        <v>1</v>
      </c>
      <c r="I45" s="44">
        <f si="17" t="shared"/>
        <v>0.99999999999999989</v>
      </c>
      <c r="J45" s="44">
        <f si="17" t="shared"/>
        <v>0.99999999999999989</v>
      </c>
      <c r="L45" s="15" t="s">
        <v>221</v>
      </c>
      <c r="M45" s="44">
        <f>SUM(M41:M44)</f>
        <v>1</v>
      </c>
      <c r="N45" s="44">
        <f ref="N45:U45" si="18" t="shared">SUM(N41:N44)</f>
        <v>1</v>
      </c>
      <c r="O45" s="44">
        <f si="18" t="shared"/>
        <v>1</v>
      </c>
      <c r="P45" s="44">
        <f si="18" t="shared"/>
        <v>1</v>
      </c>
      <c r="Q45" s="44">
        <f si="18" t="shared"/>
        <v>1</v>
      </c>
      <c r="R45" s="44">
        <f si="18" t="shared"/>
        <v>1</v>
      </c>
      <c r="S45" s="44">
        <f si="18" t="shared"/>
        <v>1</v>
      </c>
      <c r="T45" s="44">
        <f si="18" t="shared"/>
        <v>1</v>
      </c>
      <c r="U45" s="44">
        <f si="18" t="shared"/>
        <v>1</v>
      </c>
      <c r="W45" s="15" t="s">
        <v>221</v>
      </c>
      <c r="X45" s="14">
        <f si="15" t="shared"/>
        <v>0</v>
      </c>
      <c r="Y45" s="14">
        <f si="15" t="shared"/>
        <v>0</v>
      </c>
      <c r="Z45" s="14">
        <f si="15" t="shared"/>
        <v>0</v>
      </c>
      <c r="AA45" s="14">
        <f si="15" t="shared"/>
        <v>0</v>
      </c>
      <c r="AB45" s="14">
        <f si="15" t="shared"/>
        <v>0</v>
      </c>
      <c r="AC45" s="14">
        <f si="15" t="shared"/>
        <v>0</v>
      </c>
      <c r="AD45" s="14">
        <f si="15" t="shared"/>
        <v>0</v>
      </c>
      <c r="AE45" s="14">
        <f si="16" t="shared"/>
        <v>0</v>
      </c>
      <c r="AF45" s="14">
        <f si="16" t="shared"/>
        <v>0</v>
      </c>
    </row>
    <row r="49" spans="1:32" x14ac:dyDescent="0.2">
      <c r="A49" s="2" t="s">
        <v>175</v>
      </c>
      <c r="L49" s="2" t="s">
        <v>175</v>
      </c>
      <c r="W49" s="2" t="s">
        <v>175</v>
      </c>
    </row>
    <row r="50" spans="1:32" x14ac:dyDescent="0.2">
      <c r="A50" s="2" t="s">
        <v>162</v>
      </c>
      <c r="L50" s="2" t="s">
        <v>294</v>
      </c>
      <c r="W50" s="2" t="s">
        <v>14</v>
      </c>
    </row>
    <row ht="13.5" r="51" spans="1:32" thickBot="1" x14ac:dyDescent="0.25"/>
    <row r="52" spans="1:32" x14ac:dyDescent="0.2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243</v>
      </c>
      <c r="Q52" s="41" t="s">
        <v>244</v>
      </c>
      <c r="R52" s="41" t="s">
        <v>245</v>
      </c>
      <c r="S52" s="41" t="s">
        <v>246</v>
      </c>
      <c r="T52" s="41" t="s">
        <v>170</v>
      </c>
      <c r="U52" s="41" t="s">
        <v>221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2">
      <c r="A53" s="3" t="s">
        <v>226</v>
      </c>
      <c r="B53" s="12">
        <f>output_NHTS!B57/SUM(output_NHTS!B$57:B$60)</f>
        <v>0.72540447530011753</v>
      </c>
      <c r="C53" s="12">
        <f>output_NHTS!C57/SUM(output_NHTS!C$57:C$60)</f>
        <v>0.64986687077710381</v>
      </c>
      <c r="D53" s="12">
        <f>output_NHTS!D57/SUM(output_NHTS!D$57:D$60)</f>
        <v>0.57755553341850652</v>
      </c>
      <c r="E53" s="12">
        <f>output_NHTS!E57/SUM(output_NHTS!E$57:E$60)</f>
        <v>0.58053273875533085</v>
      </c>
      <c r="F53" s="12">
        <f>output_NHTS!F57/SUM(output_NHTS!F$57:F$60)</f>
        <v>0.68480107285846736</v>
      </c>
      <c r="G53" s="12">
        <f>output_NHTS!G57/SUM(output_NHTS!G$57:G$60)</f>
        <v>0.94936738498922379</v>
      </c>
      <c r="H53" s="12">
        <f>output_NHTS!H57/SUM(output_NHTS!H$57:H$60)</f>
        <v>0.86101893622508929</v>
      </c>
      <c r="I53" s="12">
        <f>output_NHTS!I57/SUM(output_NHTS!I$57:I$60)</f>
        <v>0.67275478205228134</v>
      </c>
      <c r="J53" s="12">
        <f>output_NHTS!J57/SUM(output_NHTS!J$57:J$60)</f>
        <v>0.69849861347035491</v>
      </c>
      <c r="L53" s="3" t="s">
        <v>226</v>
      </c>
      <c r="M53" s="42">
        <f>output!B57/SUM(output!B$57:B$60)</f>
        <v>0.41760524108070307</v>
      </c>
      <c r="N53" s="42">
        <f>output!C57/SUM(output!C$57:C$60)</f>
        <v>0.53757849829098481</v>
      </c>
      <c r="O53" s="42">
        <f>output!D57/SUM(output!D$57:D$60)</f>
        <v>0.41753027117672814</v>
      </c>
      <c r="P53" s="42">
        <f>output!E57/SUM(output!E$57:E$60)</f>
        <v>0.34233383273770185</v>
      </c>
      <c r="Q53" s="42">
        <f>output!F57/SUM(output!F$57:F$60)</f>
        <v>0.53693684497757943</v>
      </c>
      <c r="R53" s="42">
        <f>output!G57/SUM(output!G$57:G$60)</f>
        <v>0.9392689852359728</v>
      </c>
      <c r="S53" s="42">
        <f>output!H57/SUM(output!H$57:H$60)</f>
        <v>0.93330180333533186</v>
      </c>
      <c r="T53" s="42">
        <f>output!I57/SUM(output!I$57:I$60)</f>
        <v>0.52520869027275419</v>
      </c>
      <c r="U53" s="42">
        <f>output!J57/SUM(output!J$57:J$60)</f>
        <v>0.51510510635321116</v>
      </c>
      <c r="W53" s="3" t="s">
        <v>226</v>
      </c>
      <c r="X53" s="12">
        <f ref="X53:AD57" si="19" t="shared">M53-B53</f>
        <v>-0.30779923421941446</v>
      </c>
      <c r="Y53" s="12">
        <f si="19" t="shared"/>
        <v>-0.112288372486119</v>
      </c>
      <c r="Z53" s="12">
        <f si="19" t="shared"/>
        <v>-0.16002526224177838</v>
      </c>
      <c r="AA53" s="12">
        <f si="19" t="shared"/>
        <v>-0.238198906017629</v>
      </c>
      <c r="AB53" s="12">
        <f si="19" t="shared"/>
        <v>-0.14786422788088793</v>
      </c>
      <c r="AC53" s="12">
        <f si="19" t="shared"/>
        <v>-1.0098399753250997E-2</v>
      </c>
      <c r="AD53" s="12">
        <f si="19" t="shared"/>
        <v>7.2282867110242566E-2</v>
      </c>
      <c r="AE53" s="12">
        <f ref="AE53:AF57" si="20" t="shared">T53-I53</f>
        <v>-0.14754609177952716</v>
      </c>
      <c r="AF53" s="12">
        <f si="20" t="shared"/>
        <v>-0.18339350711714375</v>
      </c>
    </row>
    <row r="54" spans="1:32" x14ac:dyDescent="0.2">
      <c r="A54" s="3" t="s">
        <v>235</v>
      </c>
      <c r="B54" s="12">
        <f>output_NHTS!B58/SUM(output_NHTS!B$57:B$60)</f>
        <v>0.19100765176276988</v>
      </c>
      <c r="C54" s="12">
        <f>output_NHTS!C58/SUM(output_NHTS!C$57:C$60)</f>
        <v>0.1963573581987241</v>
      </c>
      <c r="D54" s="12">
        <f>output_NHTS!D58/SUM(output_NHTS!D$57:D$60)</f>
        <v>0.16845110087600826</v>
      </c>
      <c r="E54" s="12">
        <f>output_NHTS!E58/SUM(output_NHTS!E$57:E$60)</f>
        <v>0.16122371116428402</v>
      </c>
      <c r="F54" s="12">
        <f>output_NHTS!F58/SUM(output_NHTS!F$57:F$60)</f>
        <v>0.19413057618034882</v>
      </c>
      <c r="G54" s="12">
        <f>output_NHTS!G58/SUM(output_NHTS!G$57:G$60)</f>
        <v>4.122939608100297E-2</v>
      </c>
      <c r="H54" s="12">
        <f>output_NHTS!H58/SUM(output_NHTS!H$57:H$60)</f>
        <v>8.9565675103731077E-2</v>
      </c>
      <c r="I54" s="12">
        <f>output_NHTS!I58/SUM(output_NHTS!I$57:I$60)</f>
        <v>0.12156697306488473</v>
      </c>
      <c r="J54" s="12">
        <f>output_NHTS!J58/SUM(output_NHTS!J$57:J$60)</f>
        <v>0.16212420037194056</v>
      </c>
      <c r="L54" s="3" t="s">
        <v>235</v>
      </c>
      <c r="M54" s="42">
        <f>output!B58/SUM(output!B$57:B$60)</f>
        <v>0.48387250356964512</v>
      </c>
      <c r="N54" s="42">
        <f>output!C58/SUM(output!C$57:C$60)</f>
        <v>0.30564551264312101</v>
      </c>
      <c r="O54" s="42">
        <f>output!D58/SUM(output!D$57:D$60)</f>
        <v>0.28319408128948104</v>
      </c>
      <c r="P54" s="42">
        <f>output!E58/SUM(output!E$57:E$60)</f>
        <v>0.34120798309678457</v>
      </c>
      <c r="Q54" s="42">
        <f>output!F58/SUM(output!F$57:F$60)</f>
        <v>0.39019674348992123</v>
      </c>
      <c r="R54" s="42">
        <f>output!G58/SUM(output!G$57:G$60)</f>
        <v>4.7558583113032953E-2</v>
      </c>
      <c r="S54" s="42">
        <f>output!H58/SUM(output!H$57:H$60)</f>
        <v>3.3090807670461679E-2</v>
      </c>
      <c r="T54" s="42">
        <f>output!I58/SUM(output!I$57:I$60)</f>
        <v>0.23364033533329759</v>
      </c>
      <c r="U54" s="42">
        <f>output!J58/SUM(output!J$57:J$60)</f>
        <v>0.33039911093554603</v>
      </c>
      <c r="W54" s="3" t="s">
        <v>235</v>
      </c>
      <c r="X54" s="12">
        <f si="19" t="shared"/>
        <v>0.29286485180687527</v>
      </c>
      <c r="Y54" s="12">
        <f si="19" t="shared"/>
        <v>0.10928815444439691</v>
      </c>
      <c r="Z54" s="12">
        <f si="19" t="shared"/>
        <v>0.11474298041347278</v>
      </c>
      <c r="AA54" s="12">
        <f si="19" t="shared"/>
        <v>0.17998427193250055</v>
      </c>
      <c r="AB54" s="12">
        <f si="19" t="shared"/>
        <v>0.19606616730957241</v>
      </c>
      <c r="AC54" s="12">
        <f si="19" t="shared"/>
        <v>6.3291870320299828E-3</v>
      </c>
      <c r="AD54" s="12">
        <f si="19" t="shared"/>
        <v>-5.6474867433269398E-2</v>
      </c>
      <c r="AE54" s="12">
        <f si="20" t="shared"/>
        <v>0.11207336226841286</v>
      </c>
      <c r="AF54" s="12">
        <f si="20" t="shared"/>
        <v>0.16827491056360547</v>
      </c>
    </row>
    <row r="55" spans="1:32" x14ac:dyDescent="0.2">
      <c r="A55" s="3" t="s">
        <v>236</v>
      </c>
      <c r="B55" s="12">
        <f>output_NHTS!B59/SUM(output_NHTS!B$57:B$60)</f>
        <v>5.6778004605734143E-2</v>
      </c>
      <c r="C55" s="12">
        <f>output_NHTS!C59/SUM(output_NHTS!C$57:C$60)</f>
        <v>7.711904092065576E-2</v>
      </c>
      <c r="D55" s="12">
        <f>output_NHTS!D59/SUM(output_NHTS!D$57:D$60)</f>
        <v>0.15194693471184492</v>
      </c>
      <c r="E55" s="12">
        <f>output_NHTS!E59/SUM(output_NHTS!E$57:E$60)</f>
        <v>0.17454974527755124</v>
      </c>
      <c r="F55" s="12">
        <f>output_NHTS!F59/SUM(output_NHTS!F$57:F$60)</f>
        <v>6.6062456197330241E-2</v>
      </c>
      <c r="G55" s="12">
        <f>output_NHTS!G59/SUM(output_NHTS!G$57:G$60)</f>
        <v>9.4032189297730967E-3</v>
      </c>
      <c r="H55" s="12">
        <f>output_NHTS!H59/SUM(output_NHTS!H$57:H$60)</f>
        <v>3.9803063772798332E-2</v>
      </c>
      <c r="I55" s="12">
        <f>output_NHTS!I59/SUM(output_NHTS!I$57:I$60)</f>
        <v>0.11883293860216808</v>
      </c>
      <c r="J55" s="12">
        <f>output_NHTS!J59/SUM(output_NHTS!J$57:J$60)</f>
        <v>8.8800958567803109E-2</v>
      </c>
      <c r="L55" s="3" t="s">
        <v>236</v>
      </c>
      <c r="M55" s="42">
        <f>output!B59/SUM(output!B$57:B$60)</f>
        <v>5.4736304370847574E-2</v>
      </c>
      <c r="N55" s="42">
        <f>output!C59/SUM(output!C$57:C$60)</f>
        <v>7.3021757878236393E-2</v>
      </c>
      <c r="O55" s="42">
        <f>output!D59/SUM(output!D$57:D$60)</f>
        <v>0.13073267681396769</v>
      </c>
      <c r="P55" s="42">
        <f>output!E59/SUM(output!E$57:E$60)</f>
        <v>0.14119463460689191</v>
      </c>
      <c r="Q55" s="42">
        <f>output!F59/SUM(output!F$57:F$60)</f>
        <v>4.0141917763655152E-2</v>
      </c>
      <c r="R55" s="42">
        <f>output!G59/SUM(output!G$57:G$60)</f>
        <v>7.4272170799421265E-3</v>
      </c>
      <c r="S55" s="42">
        <f>output!H59/SUM(output!H$57:H$60)</f>
        <v>1.9992453927414916E-2</v>
      </c>
      <c r="T55" s="42">
        <f>output!I59/SUM(output!I$57:I$60)</f>
        <v>0.11475413975430135</v>
      </c>
      <c r="U55" s="42">
        <f>output!J59/SUM(output!J$57:J$60)</f>
        <v>7.4500527550886583E-2</v>
      </c>
      <c r="W55" s="3" t="s">
        <v>236</v>
      </c>
      <c r="X55" s="12">
        <f si="19" t="shared"/>
        <v>-2.041700234886569E-3</v>
      </c>
      <c r="Y55" s="12">
        <f si="19" t="shared"/>
        <v>-4.0972830424193668E-3</v>
      </c>
      <c r="Z55" s="12">
        <f si="19" t="shared"/>
        <v>-2.1214257897877231E-2</v>
      </c>
      <c r="AA55" s="12">
        <f si="19" t="shared"/>
        <v>-3.3355110670659327E-2</v>
      </c>
      <c r="AB55" s="12">
        <f si="19" t="shared"/>
        <v>-2.5920538433675089E-2</v>
      </c>
      <c r="AC55" s="12">
        <f si="19" t="shared"/>
        <v>-1.9760018498309702E-3</v>
      </c>
      <c r="AD55" s="12">
        <f si="19" t="shared"/>
        <v>-1.9810609845383416E-2</v>
      </c>
      <c r="AE55" s="12">
        <f si="20" t="shared"/>
        <v>-4.0787988478667297E-3</v>
      </c>
      <c r="AF55" s="12">
        <f si="20" t="shared"/>
        <v>-1.4300431016916526E-2</v>
      </c>
    </row>
    <row r="56" spans="1:32" x14ac:dyDescent="0.2">
      <c r="A56" s="8" t="s">
        <v>173</v>
      </c>
      <c r="B56" s="13">
        <f>output_NHTS!B60/SUM(output_NHTS!B$57:B$60)</f>
        <v>2.6809868331378592E-2</v>
      </c>
      <c r="C56" s="13">
        <f>output_NHTS!C60/SUM(output_NHTS!C$57:C$60)</f>
        <v>7.6656730103516285E-2</v>
      </c>
      <c r="D56" s="13">
        <f>output_NHTS!D60/SUM(output_NHTS!D$57:D$60)</f>
        <v>0.10204643099364025</v>
      </c>
      <c r="E56" s="13">
        <f>output_NHTS!E60/SUM(output_NHTS!E$57:E$60)</f>
        <v>8.3693804802833879E-2</v>
      </c>
      <c r="F56" s="13">
        <f>output_NHTS!F60/SUM(output_NHTS!F$57:F$60)</f>
        <v>5.500589476385348E-2</v>
      </c>
      <c r="G56" s="13">
        <f>output_NHTS!G60/SUM(output_NHTS!G$57:G$60)</f>
        <v>0</v>
      </c>
      <c r="H56" s="13">
        <f>output_NHTS!H60/SUM(output_NHTS!H$57:H$60)</f>
        <v>9.6123248983812758E-3</v>
      </c>
      <c r="I56" s="13">
        <f>output_NHTS!I60/SUM(output_NHTS!I$57:I$60)</f>
        <v>8.6845306280665752E-2</v>
      </c>
      <c r="J56" s="13">
        <f>output_NHTS!J60/SUM(output_NHTS!J$57:J$60)</f>
        <v>5.0576227589901414E-2</v>
      </c>
      <c r="L56" s="8" t="s">
        <v>173</v>
      </c>
      <c r="M56" s="43">
        <f>output!B60/SUM(output!B$57:B$60)</f>
        <v>4.3785950978804181E-2</v>
      </c>
      <c r="N56" s="43">
        <f>output!C60/SUM(output!C$57:C$60)</f>
        <v>8.3754231187657777E-2</v>
      </c>
      <c r="O56" s="43">
        <f>output!D60/SUM(output!D$57:D$60)</f>
        <v>0.16854297071982316</v>
      </c>
      <c r="P56" s="43">
        <f>output!E60/SUM(output!E$57:E$60)</f>
        <v>0.17526354955862178</v>
      </c>
      <c r="Q56" s="43">
        <f>output!F60/SUM(output!F$57:F$60)</f>
        <v>3.2724493768844135E-2</v>
      </c>
      <c r="R56" s="43">
        <f>output!G60/SUM(output!G$57:G$60)</f>
        <v>5.7452145710521711E-3</v>
      </c>
      <c r="S56" s="43">
        <f>output!H60/SUM(output!H$57:H$60)</f>
        <v>1.361493506679155E-2</v>
      </c>
      <c r="T56" s="43">
        <f>output!I60/SUM(output!I$57:I$60)</f>
        <v>0.12639683463964682</v>
      </c>
      <c r="U56" s="43">
        <f>output!J60/SUM(output!J$57:J$60)</f>
        <v>7.999525516035623E-2</v>
      </c>
      <c r="W56" s="8" t="s">
        <v>173</v>
      </c>
      <c r="X56" s="12">
        <f si="19" t="shared"/>
        <v>1.6976082647425589E-2</v>
      </c>
      <c r="Y56" s="12">
        <f si="19" t="shared"/>
        <v>7.0975010841414915E-3</v>
      </c>
      <c r="Z56" s="12">
        <f si="19" t="shared"/>
        <v>6.6496539726182913E-2</v>
      </c>
      <c r="AA56" s="12">
        <f si="19" t="shared"/>
        <v>9.1569744755787899E-2</v>
      </c>
      <c r="AB56" s="12">
        <f si="19" t="shared"/>
        <v>-2.2281400995009346E-2</v>
      </c>
      <c r="AC56" s="12">
        <f si="19" t="shared"/>
        <v>5.7452145710521711E-3</v>
      </c>
      <c r="AD56" s="12">
        <f si="19" t="shared"/>
        <v>4.0026101684102738E-3</v>
      </c>
      <c r="AE56" s="12">
        <f si="20" t="shared"/>
        <v>3.955152835898107E-2</v>
      </c>
      <c r="AF56" s="12">
        <f si="20" t="shared"/>
        <v>2.9419027570454816E-2</v>
      </c>
    </row>
    <row ht="13.5" r="57" spans="1:32" thickBot="1" x14ac:dyDescent="0.25">
      <c r="A57" s="15" t="s">
        <v>221</v>
      </c>
      <c r="B57" s="44">
        <f>SUM(B53:B56)</f>
        <v>1.0000000000000002</v>
      </c>
      <c r="C57" s="44">
        <f ref="C57:J57" si="21" t="shared">SUM(C53:C56)</f>
        <v>1</v>
      </c>
      <c r="D57" s="44">
        <f si="21" t="shared"/>
        <v>1</v>
      </c>
      <c r="E57" s="44">
        <f si="21" t="shared"/>
        <v>0.99999999999999989</v>
      </c>
      <c r="F57" s="44">
        <f si="21" t="shared"/>
        <v>0.99999999999999978</v>
      </c>
      <c r="G57" s="44">
        <f si="21" t="shared"/>
        <v>0.99999999999999989</v>
      </c>
      <c r="H57" s="44">
        <f si="21" t="shared"/>
        <v>0.99999999999999989</v>
      </c>
      <c r="I57" s="44">
        <f si="21" t="shared"/>
        <v>0.99999999999999989</v>
      </c>
      <c r="J57" s="44">
        <f si="21" t="shared"/>
        <v>1</v>
      </c>
      <c r="L57" s="15" t="s">
        <v>221</v>
      </c>
      <c r="M57" s="44">
        <f>SUM(M53:M56)</f>
        <v>0.99999999999999989</v>
      </c>
      <c r="N57" s="44">
        <f ref="N57:U57" si="22" t="shared">SUM(N53:N56)</f>
        <v>1</v>
      </c>
      <c r="O57" s="44">
        <f si="22" t="shared"/>
        <v>1</v>
      </c>
      <c r="P57" s="44">
        <f si="22" t="shared"/>
        <v>1</v>
      </c>
      <c r="Q57" s="44">
        <f si="22" t="shared"/>
        <v>1</v>
      </c>
      <c r="R57" s="44">
        <f si="22" t="shared"/>
        <v>1</v>
      </c>
      <c r="S57" s="44">
        <f si="22" t="shared"/>
        <v>1</v>
      </c>
      <c r="T57" s="44">
        <f si="22" t="shared"/>
        <v>1</v>
      </c>
      <c r="U57" s="44">
        <f si="22" t="shared"/>
        <v>1</v>
      </c>
      <c r="W57" s="15" t="s">
        <v>221</v>
      </c>
      <c r="X57" s="14">
        <f si="19" t="shared"/>
        <v>0</v>
      </c>
      <c r="Y57" s="14">
        <f si="19" t="shared"/>
        <v>0</v>
      </c>
      <c r="Z57" s="14">
        <f si="19" t="shared"/>
        <v>0</v>
      </c>
      <c r="AA57" s="14">
        <f si="19" t="shared"/>
        <v>0</v>
      </c>
      <c r="AB57" s="14">
        <f si="19" t="shared"/>
        <v>0</v>
      </c>
      <c r="AC57" s="14">
        <f si="19" t="shared"/>
        <v>0</v>
      </c>
      <c r="AD57" s="14">
        <f si="19" t="shared"/>
        <v>0</v>
      </c>
      <c r="AE57" s="14">
        <f si="20" t="shared"/>
        <v>0</v>
      </c>
      <c r="AF57" s="14">
        <f si="20" t="shared"/>
        <v>0</v>
      </c>
    </row>
    <row r="61" spans="1:32" x14ac:dyDescent="0.2">
      <c r="A61" s="2" t="s">
        <v>175</v>
      </c>
      <c r="L61" s="2" t="s">
        <v>175</v>
      </c>
      <c r="W61" s="2" t="s">
        <v>175</v>
      </c>
    </row>
    <row r="62" spans="1:32" x14ac:dyDescent="0.2">
      <c r="A62" s="2" t="s">
        <v>256</v>
      </c>
      <c r="L62" s="2" t="s">
        <v>295</v>
      </c>
      <c r="W62" s="2" t="s">
        <v>92</v>
      </c>
    </row>
    <row ht="13.5" r="63" spans="1:32" thickBot="1" x14ac:dyDescent="0.25"/>
    <row r="64" spans="1:32" x14ac:dyDescent="0.2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243</v>
      </c>
      <c r="Q64" s="41" t="s">
        <v>244</v>
      </c>
      <c r="R64" s="41" t="s">
        <v>245</v>
      </c>
      <c r="S64" s="41" t="s">
        <v>246</v>
      </c>
      <c r="T64" s="41" t="s">
        <v>170</v>
      </c>
      <c r="U64" s="41" t="s">
        <v>221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2">
      <c r="A65" s="3" t="s">
        <v>226</v>
      </c>
      <c r="B65" s="12">
        <f>output_NHTS!B64/SUM(output_NHTS!B$64:B$67)</f>
        <v>0.82188526155334773</v>
      </c>
      <c r="C65" s="12">
        <f>output_NHTS!C64/SUM(output_NHTS!C$64:C$67)</f>
        <v>0.832918334872355</v>
      </c>
      <c r="D65" s="12">
        <f>output_NHTS!D64/SUM(output_NHTS!D$64:D$67)</f>
        <v>0.82320451679395457</v>
      </c>
      <c r="E65" s="12">
        <f>output_NHTS!E64/SUM(output_NHTS!E$64:E$67)</f>
        <v>0.81962733460932802</v>
      </c>
      <c r="F65" s="12">
        <f>output_NHTS!F64/SUM(output_NHTS!F$64:F$67)</f>
        <v>0.8079990431842623</v>
      </c>
      <c r="G65" s="12">
        <f>output_NHTS!G64/SUM(output_NHTS!G$64:G$67)</f>
        <v>0.94437301458879042</v>
      </c>
      <c r="H65" s="12">
        <f>output_NHTS!H64/SUM(output_NHTS!H$64:H$67)</f>
        <v>0.93774829717851127</v>
      </c>
      <c r="I65" s="12">
        <f>output_NHTS!I64/SUM(output_NHTS!I$64:I$67)</f>
        <v>0.90607655691788191</v>
      </c>
      <c r="J65" s="12">
        <f>output_NHTS!J64/SUM(output_NHTS!J$64:J$67)</f>
        <v>0.84713789368001069</v>
      </c>
      <c r="L65" s="3" t="s">
        <v>226</v>
      </c>
      <c r="M65" s="42">
        <f>output!B64/SUM(output!B$64:B$67)</f>
        <v>0.70205178508454202</v>
      </c>
      <c r="N65" s="42">
        <f>output!C64/SUM(output!C$64:C$67)</f>
        <v>0.80392972406131724</v>
      </c>
      <c r="O65" s="42">
        <f>output!D64/SUM(output!D$64:D$67)</f>
        <v>0.79835470730002089</v>
      </c>
      <c r="P65" s="42">
        <f>output!E64/SUM(output!E$64:E$67)</f>
        <v>0.75137855036660295</v>
      </c>
      <c r="Q65" s="42">
        <f>output!F64/SUM(output!F$64:F$67)</f>
        <v>0.69942515318117049</v>
      </c>
      <c r="R65" s="42">
        <f>output!G64/SUM(output!G$64:G$67)</f>
        <v>0.69943343051007612</v>
      </c>
      <c r="S65" s="42">
        <f>output!H64/SUM(output!H$64:H$67)</f>
        <v>0.8563474135609267</v>
      </c>
      <c r="T65" s="42">
        <f>output!I64/SUM(output!I$64:I$67)</f>
        <v>0.87021221562870632</v>
      </c>
      <c r="U65" s="42">
        <f>output!J64/SUM(output!J$64:J$67)</f>
        <v>0.75987580450904901</v>
      </c>
      <c r="W65" s="3" t="s">
        <v>226</v>
      </c>
      <c r="X65" s="12">
        <f ref="X65:AD69" si="23" t="shared">M65-B65</f>
        <v>-0.11983347646880571</v>
      </c>
      <c r="Y65" s="12">
        <f si="23" t="shared"/>
        <v>-2.8988610811037763E-2</v>
      </c>
      <c r="Z65" s="12">
        <f si="23" t="shared"/>
        <v>-2.4849809493933672E-2</v>
      </c>
      <c r="AA65" s="12">
        <f si="23" t="shared"/>
        <v>-6.8248784242725069E-2</v>
      </c>
      <c r="AB65" s="12">
        <f si="23" t="shared"/>
        <v>-0.10857389000309181</v>
      </c>
      <c r="AC65" s="12">
        <f si="23" t="shared"/>
        <v>-0.2449395840787143</v>
      </c>
      <c r="AD65" s="12">
        <f si="23" t="shared"/>
        <v>-8.1400883617584574E-2</v>
      </c>
      <c r="AE65" s="12">
        <f ref="AE65:AF69" si="24" t="shared">T65-I65</f>
        <v>-3.5864341289175594E-2</v>
      </c>
      <c r="AF65" s="12">
        <f si="24" t="shared"/>
        <v>-8.7262089170961676E-2</v>
      </c>
    </row>
    <row r="66" spans="1:32" x14ac:dyDescent="0.2">
      <c r="A66" s="3" t="s">
        <v>235</v>
      </c>
      <c r="B66" s="12">
        <f>output_NHTS!B65/SUM(output_NHTS!B$64:B$67)</f>
        <v>0.13769797540050435</v>
      </c>
      <c r="C66" s="12">
        <f>output_NHTS!C65/SUM(output_NHTS!C$64:C$67)</f>
        <v>0.12288650314298429</v>
      </c>
      <c r="D66" s="12">
        <f>output_NHTS!D65/SUM(output_NHTS!D$64:D$67)</f>
        <v>9.7088503259251474E-2</v>
      </c>
      <c r="E66" s="12">
        <f>output_NHTS!E65/SUM(output_NHTS!E$64:E$67)</f>
        <v>0.10402152579828086</v>
      </c>
      <c r="F66" s="12">
        <f>output_NHTS!F65/SUM(output_NHTS!F$64:F$67)</f>
        <v>0.14279345254171946</v>
      </c>
      <c r="G66" s="12">
        <f>output_NHTS!G65/SUM(output_NHTS!G$64:G$67)</f>
        <v>5.5626985411209556E-2</v>
      </c>
      <c r="H66" s="12">
        <f>output_NHTS!H65/SUM(output_NHTS!H$64:H$67)</f>
        <v>4.0398071572692262E-2</v>
      </c>
      <c r="I66" s="12">
        <f>output_NHTS!I65/SUM(output_NHTS!I$64:I$67)</f>
        <v>7.2413174405715972E-2</v>
      </c>
      <c r="J66" s="12">
        <f>output_NHTS!J65/SUM(output_NHTS!J$64:J$67)</f>
        <v>0.10683783084466182</v>
      </c>
      <c r="L66" s="3" t="s">
        <v>235</v>
      </c>
      <c r="M66" s="42">
        <f>output!B65/SUM(output!B$64:B$67)</f>
        <v>0.24904914474217746</v>
      </c>
      <c r="N66" s="42">
        <f>output!C65/SUM(output!C$64:C$67)</f>
        <v>0.13895624815800817</v>
      </c>
      <c r="O66" s="42">
        <f>output!D65/SUM(output!D$64:D$67)</f>
        <v>0.11324176342551673</v>
      </c>
      <c r="P66" s="42">
        <f>output!E65/SUM(output!E$64:E$67)</f>
        <v>0.14509127851058068</v>
      </c>
      <c r="Q66" s="42">
        <f>output!F65/SUM(output!F$64:F$67)</f>
        <v>0.26733796859563619</v>
      </c>
      <c r="R66" s="42">
        <f>output!G65/SUM(output!G$64:G$67)</f>
        <v>0.23717103132430847</v>
      </c>
      <c r="S66" s="42">
        <f>output!H65/SUM(output!H$64:H$67)</f>
        <v>0.11053937905506496</v>
      </c>
      <c r="T66" s="42">
        <f>output!I65/SUM(output!I$64:I$67)</f>
        <v>8.7880120842607976E-2</v>
      </c>
      <c r="U66" s="42">
        <f>output!J65/SUM(output!J$64:J$67)</f>
        <v>0.18080225299676889</v>
      </c>
      <c r="W66" s="3" t="s">
        <v>235</v>
      </c>
      <c r="X66" s="12">
        <f si="23" t="shared"/>
        <v>0.11135116934167311</v>
      </c>
      <c r="Y66" s="12">
        <f si="23" t="shared"/>
        <v>1.6069745015023881E-2</v>
      </c>
      <c r="Z66" s="12">
        <f si="23" t="shared"/>
        <v>1.6153260166265254E-2</v>
      </c>
      <c r="AA66" s="12">
        <f si="23" t="shared"/>
        <v>4.1069752712299817E-2</v>
      </c>
      <c r="AB66" s="12">
        <f si="23" t="shared"/>
        <v>0.12454451605391673</v>
      </c>
      <c r="AC66" s="12">
        <f si="23" t="shared"/>
        <v>0.18154404591309892</v>
      </c>
      <c r="AD66" s="12">
        <f si="23" t="shared"/>
        <v>7.0141307482372697E-2</v>
      </c>
      <c r="AE66" s="12">
        <f si="24" t="shared"/>
        <v>1.5466946436892004E-2</v>
      </c>
      <c r="AF66" s="12">
        <f si="24" t="shared"/>
        <v>7.3964422152107065E-2</v>
      </c>
    </row>
    <row r="67" spans="1:32" x14ac:dyDescent="0.2">
      <c r="A67" s="3" t="s">
        <v>236</v>
      </c>
      <c r="B67" s="12">
        <f>output_NHTS!B66/SUM(output_NHTS!B$64:B$67)</f>
        <v>3.3105991425752261E-2</v>
      </c>
      <c r="C67" s="12">
        <f>output_NHTS!C66/SUM(output_NHTS!C$64:C$67)</f>
        <v>3.9349013682268244E-2</v>
      </c>
      <c r="D67" s="12">
        <f>output_NHTS!D66/SUM(output_NHTS!D$64:D$67)</f>
        <v>7.2542924981373741E-2</v>
      </c>
      <c r="E67" s="12">
        <f>output_NHTS!E66/SUM(output_NHTS!E$64:E$67)</f>
        <v>6.3644547179724523E-2</v>
      </c>
      <c r="F67" s="12">
        <f>output_NHTS!F66/SUM(output_NHTS!F$64:F$67)</f>
        <v>3.592411407989797E-2</v>
      </c>
      <c r="G67" s="12">
        <f>output_NHTS!G66/SUM(output_NHTS!G$64:G$67)</f>
        <v>0</v>
      </c>
      <c r="H67" s="12">
        <f>output_NHTS!H66/SUM(output_NHTS!H$64:H$67)</f>
        <v>1.8258360959816224E-2</v>
      </c>
      <c r="I67" s="12">
        <f>output_NHTS!I66/SUM(output_NHTS!I$64:I$67)</f>
        <v>2.0661092998188677E-2</v>
      </c>
      <c r="J67" s="12">
        <f>output_NHTS!J66/SUM(output_NHTS!J$64:J$67)</f>
        <v>3.9059059684912578E-2</v>
      </c>
      <c r="L67" s="3" t="s">
        <v>236</v>
      </c>
      <c r="M67" s="42">
        <f>output!B66/SUM(output!B$64:B$67)</f>
        <v>3.5744518033482435E-2</v>
      </c>
      <c r="N67" s="42">
        <f>output!C66/SUM(output!C$64:C$67)</f>
        <v>4.1224771235759655E-2</v>
      </c>
      <c r="O67" s="42">
        <f>output!D66/SUM(output!D$64:D$67)</f>
        <v>6.6635836006222707E-2</v>
      </c>
      <c r="P67" s="42">
        <f>output!E66/SUM(output!E$64:E$67)</f>
        <v>7.6756318846768659E-2</v>
      </c>
      <c r="Q67" s="42">
        <f>output!F66/SUM(output!F$64:F$67)</f>
        <v>2.3382147140432172E-2</v>
      </c>
      <c r="R67" s="42">
        <f>output!G66/SUM(output!G$64:G$67)</f>
        <v>4.6303748899486956E-2</v>
      </c>
      <c r="S67" s="42">
        <f>output!H66/SUM(output!H$64:H$67)</f>
        <v>2.3789361523536647E-2</v>
      </c>
      <c r="T67" s="42">
        <f>output!I66/SUM(output!I$64:I$67)</f>
        <v>3.141973702844169E-2</v>
      </c>
      <c r="U67" s="42">
        <f>output!J66/SUM(output!J$64:J$67)</f>
        <v>4.3643519280841585E-2</v>
      </c>
      <c r="W67" s="3" t="s">
        <v>236</v>
      </c>
      <c r="X67" s="12">
        <f si="23" t="shared"/>
        <v>2.6385266077301739E-3</v>
      </c>
      <c r="Y67" s="12">
        <f si="23" t="shared"/>
        <v>1.8757575534914112E-3</v>
      </c>
      <c r="Z67" s="12">
        <f si="23" t="shared"/>
        <v>-5.9070889751510341E-3</v>
      </c>
      <c r="AA67" s="12">
        <f si="23" t="shared"/>
        <v>1.3111771667044136E-2</v>
      </c>
      <c r="AB67" s="12">
        <f si="23" t="shared"/>
        <v>-1.2541966939465798E-2</v>
      </c>
      <c r="AC67" s="12">
        <f si="23" t="shared"/>
        <v>4.6303748899486956E-2</v>
      </c>
      <c r="AD67" s="12">
        <f si="23" t="shared"/>
        <v>5.5310005637204222E-3</v>
      </c>
      <c r="AE67" s="12">
        <f si="24" t="shared"/>
        <v>1.0758644030253013E-2</v>
      </c>
      <c r="AF67" s="12">
        <f si="24" t="shared"/>
        <v>4.5844595959290066E-3</v>
      </c>
    </row>
    <row r="68" spans="1:32" x14ac:dyDescent="0.2">
      <c r="A68" s="8" t="s">
        <v>173</v>
      </c>
      <c r="B68" s="13">
        <f>output_NHTS!B67/SUM(output_NHTS!B$64:B$67)</f>
        <v>7.3107716203957042E-3</v>
      </c>
      <c r="C68" s="13">
        <f>output_NHTS!C67/SUM(output_NHTS!C$64:C$67)</f>
        <v>4.846148302392524E-3</v>
      </c>
      <c r="D68" s="13">
        <f>output_NHTS!D67/SUM(output_NHTS!D$64:D$67)</f>
        <v>7.1640549654201774E-3</v>
      </c>
      <c r="E68" s="13">
        <f>output_NHTS!E67/SUM(output_NHTS!E$64:E$67)</f>
        <v>1.2706592412666867E-2</v>
      </c>
      <c r="F68" s="13">
        <f>output_NHTS!F67/SUM(output_NHTS!F$64:F$67)</f>
        <v>1.3283390194120222E-2</v>
      </c>
      <c r="G68" s="13">
        <f>output_NHTS!G67/SUM(output_NHTS!G$64:G$67)</f>
        <v>0</v>
      </c>
      <c r="H68" s="13">
        <f>output_NHTS!H67/SUM(output_NHTS!H$64:H$67)</f>
        <v>3.5952702889802375E-3</v>
      </c>
      <c r="I68" s="13">
        <f>output_NHTS!I67/SUM(output_NHTS!I$64:I$67)</f>
        <v>8.4917567821355398E-4</v>
      </c>
      <c r="J68" s="13">
        <f>output_NHTS!J67/SUM(output_NHTS!J$64:J$67)</f>
        <v>6.9652157904149872E-3</v>
      </c>
      <c r="L68" s="8" t="s">
        <v>173</v>
      </c>
      <c r="M68" s="43">
        <f>output!B67/SUM(output!B$64:B$67)</f>
        <v>1.3154552139798057E-2</v>
      </c>
      <c r="N68" s="43">
        <f>output!C67/SUM(output!C$64:C$67)</f>
        <v>1.5889256544914993E-2</v>
      </c>
      <c r="O68" s="43">
        <f>output!D67/SUM(output!D$64:D$67)</f>
        <v>2.1767693268239643E-2</v>
      </c>
      <c r="P68" s="43">
        <f>output!E67/SUM(output!E$64:E$67)</f>
        <v>2.6773852276047682E-2</v>
      </c>
      <c r="Q68" s="43">
        <f>output!F67/SUM(output!F$64:F$67)</f>
        <v>9.8547310827610431E-3</v>
      </c>
      <c r="R68" s="43">
        <f>output!G67/SUM(output!G$64:G$67)</f>
        <v>1.7091789266128535E-2</v>
      </c>
      <c r="S68" s="43">
        <f>output!H67/SUM(output!H$64:H$67)</f>
        <v>9.3238458604717363E-3</v>
      </c>
      <c r="T68" s="43">
        <f>output!I67/SUM(output!I$64:I$67)</f>
        <v>1.048792650024406E-2</v>
      </c>
      <c r="U68" s="43">
        <f>output!J67/SUM(output!J$64:J$67)</f>
        <v>1.567842321334038E-2</v>
      </c>
      <c r="W68" s="8" t="s">
        <v>173</v>
      </c>
      <c r="X68" s="12">
        <f si="23" t="shared"/>
        <v>5.8437805194023525E-3</v>
      </c>
      <c r="Y68" s="12">
        <f si="23" t="shared"/>
        <v>1.1043108242522469E-2</v>
      </c>
      <c r="Z68" s="12">
        <f si="23" t="shared"/>
        <v>1.4603638302819466E-2</v>
      </c>
      <c r="AA68" s="12">
        <f si="23" t="shared"/>
        <v>1.4067259863380815E-2</v>
      </c>
      <c r="AB68" s="12">
        <f si="23" t="shared"/>
        <v>-3.4286591113591794E-3</v>
      </c>
      <c r="AC68" s="12">
        <f si="23" t="shared"/>
        <v>1.7091789266128535E-2</v>
      </c>
      <c r="AD68" s="12">
        <f si="23" t="shared"/>
        <v>5.7285755714914987E-3</v>
      </c>
      <c r="AE68" s="12">
        <f si="24" t="shared"/>
        <v>9.6387508220305059E-3</v>
      </c>
      <c r="AF68" s="12">
        <f si="24" t="shared"/>
        <v>8.7132074229253932E-3</v>
      </c>
    </row>
    <row ht="13.5" r="69" spans="1:32" thickBot="1" x14ac:dyDescent="0.25">
      <c r="A69" s="15" t="s">
        <v>221</v>
      </c>
      <c r="B69" s="44">
        <f>SUM(B65:B68)</f>
        <v>1</v>
      </c>
      <c r="C69" s="44">
        <f ref="C69:J69" si="25" t="shared">SUM(C65:C68)</f>
        <v>1.0000000000000002</v>
      </c>
      <c r="D69" s="44">
        <f si="25" t="shared"/>
        <v>0.99999999999999989</v>
      </c>
      <c r="E69" s="44">
        <f si="25" t="shared"/>
        <v>1.0000000000000002</v>
      </c>
      <c r="F69" s="44">
        <f si="25" t="shared"/>
        <v>0.99999999999999989</v>
      </c>
      <c r="G69" s="44">
        <f si="25" t="shared"/>
        <v>1</v>
      </c>
      <c r="H69" s="44">
        <f si="25" t="shared"/>
        <v>1</v>
      </c>
      <c r="I69" s="44">
        <f si="25" t="shared"/>
        <v>1</v>
      </c>
      <c r="J69" s="44">
        <f si="25" t="shared"/>
        <v>1</v>
      </c>
      <c r="L69" s="15" t="s">
        <v>221</v>
      </c>
      <c r="M69" s="44">
        <f>SUM(M65:M68)</f>
        <v>1</v>
      </c>
      <c r="N69" s="44">
        <f ref="N69:U69" si="26" t="shared">SUM(N65:N68)</f>
        <v>1</v>
      </c>
      <c r="O69" s="44">
        <f si="26" t="shared"/>
        <v>1</v>
      </c>
      <c r="P69" s="44">
        <f si="26" t="shared"/>
        <v>1</v>
      </c>
      <c r="Q69" s="44">
        <f si="26" t="shared"/>
        <v>0.99999999999999989</v>
      </c>
      <c r="R69" s="44">
        <f si="26" t="shared"/>
        <v>1.0000000000000002</v>
      </c>
      <c r="S69" s="44">
        <f si="26" t="shared"/>
        <v>1</v>
      </c>
      <c r="T69" s="44">
        <f si="26" t="shared"/>
        <v>1</v>
      </c>
      <c r="U69" s="44">
        <f si="26" t="shared"/>
        <v>0.99999999999999978</v>
      </c>
      <c r="W69" s="15" t="s">
        <v>221</v>
      </c>
      <c r="X69" s="14">
        <f si="23" t="shared"/>
        <v>0</v>
      </c>
      <c r="Y69" s="14">
        <f si="23" t="shared"/>
        <v>0</v>
      </c>
      <c r="Z69" s="14">
        <f si="23" t="shared"/>
        <v>0</v>
      </c>
      <c r="AA69" s="14">
        <f si="23" t="shared"/>
        <v>0</v>
      </c>
      <c r="AB69" s="14">
        <f si="23" t="shared"/>
        <v>0</v>
      </c>
      <c r="AC69" s="14">
        <f si="23" t="shared"/>
        <v>0</v>
      </c>
      <c r="AD69" s="14">
        <f si="23" t="shared"/>
        <v>0</v>
      </c>
      <c r="AE69" s="14">
        <f si="24" t="shared"/>
        <v>0</v>
      </c>
      <c r="AF69" s="14">
        <f si="24" t="shared"/>
        <v>0</v>
      </c>
    </row>
    <row r="73" spans="1:32" x14ac:dyDescent="0.2">
      <c r="A73" s="2" t="s">
        <v>175</v>
      </c>
      <c r="L73" s="2" t="s">
        <v>175</v>
      </c>
      <c r="W73" s="2" t="s">
        <v>175</v>
      </c>
    </row>
    <row r="74" spans="1:32" x14ac:dyDescent="0.2">
      <c r="A74" s="2" t="s">
        <v>120</v>
      </c>
      <c r="L74" s="2" t="s">
        <v>171</v>
      </c>
      <c r="W74" s="2" t="s">
        <v>93</v>
      </c>
    </row>
    <row ht="13.5" r="75" spans="1:32" thickBot="1" x14ac:dyDescent="0.25"/>
    <row r="76" spans="1:32" x14ac:dyDescent="0.2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243</v>
      </c>
      <c r="Q76" s="41" t="s">
        <v>244</v>
      </c>
      <c r="R76" s="41" t="s">
        <v>245</v>
      </c>
      <c r="S76" s="41" t="s">
        <v>246</v>
      </c>
      <c r="T76" s="41" t="s">
        <v>170</v>
      </c>
      <c r="U76" s="41" t="s">
        <v>221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2">
      <c r="A77" s="3" t="s">
        <v>226</v>
      </c>
      <c r="B77" s="12">
        <f>output_NHTS!B71/SUM(output_NHTS!B$71:B$74)</f>
        <v>0.75473487234066716</v>
      </c>
      <c r="C77" s="12">
        <f>output_NHTS!C71/SUM(output_NHTS!C$71:C$74)</f>
        <v>0.69193948183214637</v>
      </c>
      <c r="D77" s="12">
        <f>output_NHTS!D71/SUM(output_NHTS!D$71:D$74)</f>
        <v>0.68125134309471236</v>
      </c>
      <c r="E77" s="12">
        <f>output_NHTS!E71/SUM(output_NHTS!E$71:E$74)</f>
        <v>0.65703646171597085</v>
      </c>
      <c r="F77" s="12">
        <f>output_NHTS!F71/SUM(output_NHTS!F$71:F$74)</f>
        <v>0.75613311022678986</v>
      </c>
      <c r="G77" s="12">
        <f>output_NHTS!G71/SUM(output_NHTS!G$71:G$74)</f>
        <v>0.82474880790454319</v>
      </c>
      <c r="H77" s="12">
        <f>output_NHTS!H71/SUM(output_NHTS!H$71:H$74)</f>
        <v>0.72754186439430468</v>
      </c>
      <c r="I77" s="12">
        <f>output_NHTS!I71/SUM(output_NHTS!I$71:I$74)</f>
        <v>0.67907520739933991</v>
      </c>
      <c r="J77" s="12">
        <f>output_NHTS!J71/SUM(output_NHTS!J$71:J$74)</f>
        <v>0.7179255764374648</v>
      </c>
      <c r="L77" s="3" t="s">
        <v>226</v>
      </c>
      <c r="M77" s="42">
        <f>output!B71/SUM(output!B$71:B$74)</f>
        <v>0.62455541228786504</v>
      </c>
      <c r="N77" s="42">
        <f>output!C71/SUM(output!C$71:C$74)</f>
        <v>0.53727296569941352</v>
      </c>
      <c r="O77" s="42">
        <f>output!D71/SUM(output!D$71:D$74)</f>
        <v>0.56761591185732596</v>
      </c>
      <c r="P77" s="42">
        <f>output!E71/SUM(output!E$71:E$74)</f>
        <v>0.51687992238356095</v>
      </c>
      <c r="Q77" s="42">
        <f>output!F71/SUM(output!F$71:F$74)</f>
        <v>0.66609625233550518</v>
      </c>
      <c r="R77" s="42">
        <f>output!G71/SUM(output!G$71:G$74)</f>
        <v>0.70970801922695614</v>
      </c>
      <c r="S77" s="42">
        <f>output!H71/SUM(output!H$71:H$74)</f>
        <v>0.56063291406601723</v>
      </c>
      <c r="T77" s="42">
        <f>output!I71/SUM(output!I$71:I$74)</f>
        <v>0.48509536085423111</v>
      </c>
      <c r="U77" s="42">
        <f>output!J71/SUM(output!J$71:J$74)</f>
        <v>0.58164631424320967</v>
      </c>
      <c r="W77" s="3" t="s">
        <v>226</v>
      </c>
      <c r="X77" s="12">
        <f ref="X77:AD81" si="27" t="shared">M77-B77</f>
        <v>-0.13017946005280212</v>
      </c>
      <c r="Y77" s="12">
        <f si="27" t="shared"/>
        <v>-0.15466651613273286</v>
      </c>
      <c r="Z77" s="12">
        <f si="27" t="shared"/>
        <v>-0.1136354312373864</v>
      </c>
      <c r="AA77" s="12">
        <f si="27" t="shared"/>
        <v>-0.1401565393324099</v>
      </c>
      <c r="AB77" s="12">
        <f si="27" t="shared"/>
        <v>-9.0036857891284683E-2</v>
      </c>
      <c r="AC77" s="12">
        <f si="27" t="shared"/>
        <v>-0.11504078867758705</v>
      </c>
      <c r="AD77" s="12">
        <f si="27" t="shared"/>
        <v>-0.16690895032828745</v>
      </c>
      <c r="AE77" s="12">
        <f ref="AE77:AF81" si="28" t="shared">T77-I77</f>
        <v>-0.1939798465451088</v>
      </c>
      <c r="AF77" s="12">
        <f si="28" t="shared"/>
        <v>-0.13627926219425512</v>
      </c>
    </row>
    <row r="78" spans="1:32" x14ac:dyDescent="0.2">
      <c r="A78" s="3" t="s">
        <v>235</v>
      </c>
      <c r="B78" s="12">
        <f>output_NHTS!B72/SUM(output_NHTS!B$71:B$74)</f>
        <v>9.6343870491919822E-2</v>
      </c>
      <c r="C78" s="12">
        <f>output_NHTS!C72/SUM(output_NHTS!C$71:C$74)</f>
        <v>8.2227726276100685E-2</v>
      </c>
      <c r="D78" s="12">
        <f>output_NHTS!D72/SUM(output_NHTS!D$71:D$74)</f>
        <v>5.4596672429674274E-2</v>
      </c>
      <c r="E78" s="12">
        <f>output_NHTS!E72/SUM(output_NHTS!E$71:E$74)</f>
        <v>6.8642114173528557E-2</v>
      </c>
      <c r="F78" s="12">
        <f>output_NHTS!F72/SUM(output_NHTS!F$71:F$74)</f>
        <v>9.2473049231374255E-2</v>
      </c>
      <c r="G78" s="12">
        <f>output_NHTS!G72/SUM(output_NHTS!G$71:G$74)</f>
        <v>5.1336214000590338E-2</v>
      </c>
      <c r="H78" s="12">
        <f>output_NHTS!H72/SUM(output_NHTS!H$71:H$74)</f>
        <v>8.3430970898818693E-2</v>
      </c>
      <c r="I78" s="12">
        <f>output_NHTS!I72/SUM(output_NHTS!I$71:I$74)</f>
        <v>3.4300685345750793E-2</v>
      </c>
      <c r="J78" s="12">
        <f>output_NHTS!J72/SUM(output_NHTS!J$71:J$74)</f>
        <v>7.887584920295744E-2</v>
      </c>
      <c r="L78" s="3" t="s">
        <v>235</v>
      </c>
      <c r="M78" s="42">
        <f>output!B72/SUM(output!B$71:B$74)</f>
        <v>0.18800878454687373</v>
      </c>
      <c r="N78" s="42">
        <f>output!C72/SUM(output!C$71:C$74)</f>
        <v>0.15944525796946191</v>
      </c>
      <c r="O78" s="42">
        <f>output!D72/SUM(output!D$71:D$74)</f>
        <v>9.4020839027420186E-2</v>
      </c>
      <c r="P78" s="42">
        <f>output!E72/SUM(output!E$71:E$74)</f>
        <v>0.11335397538808142</v>
      </c>
      <c r="Q78" s="42">
        <f>output!F72/SUM(output!F$71:F$74)</f>
        <v>0.20786352531017491</v>
      </c>
      <c r="R78" s="42">
        <f>output!G72/SUM(output!G$71:G$74)</f>
        <v>0.14392372344574067</v>
      </c>
      <c r="S78" s="42">
        <f>output!H72/SUM(output!H$71:H$74)</f>
        <v>0.20193517843254372</v>
      </c>
      <c r="T78" s="42">
        <f>output!I72/SUM(output!I$71:I$74)</f>
        <v>0.15966468456692431</v>
      </c>
      <c r="U78" s="42">
        <f>output!J72/SUM(output!J$71:J$74)</f>
        <v>0.16376802603416979</v>
      </c>
      <c r="W78" s="3" t="s">
        <v>235</v>
      </c>
      <c r="X78" s="12">
        <f si="27" t="shared"/>
        <v>9.1664914054953903E-2</v>
      </c>
      <c r="Y78" s="12">
        <f si="27" t="shared"/>
        <v>7.7217531693361222E-2</v>
      </c>
      <c r="Z78" s="12">
        <f si="27" t="shared"/>
        <v>3.9424166597745912E-2</v>
      </c>
      <c r="AA78" s="12">
        <f si="27" t="shared"/>
        <v>4.4711861214552867E-2</v>
      </c>
      <c r="AB78" s="12">
        <f si="27" t="shared"/>
        <v>0.11539047607880065</v>
      </c>
      <c r="AC78" s="12">
        <f si="27" t="shared"/>
        <v>9.2587509445150332E-2</v>
      </c>
      <c r="AD78" s="12">
        <f si="27" t="shared"/>
        <v>0.11850420753372502</v>
      </c>
      <c r="AE78" s="12">
        <f si="28" t="shared"/>
        <v>0.12536399922117353</v>
      </c>
      <c r="AF78" s="12">
        <f si="28" t="shared"/>
        <v>8.4892176831212349E-2</v>
      </c>
    </row>
    <row r="79" spans="1:32" x14ac:dyDescent="0.2">
      <c r="A79" s="3" t="s">
        <v>236</v>
      </c>
      <c r="B79" s="12">
        <f>output_NHTS!B73/SUM(output_NHTS!B$71:B$74)</f>
        <v>0.13132020694475063</v>
      </c>
      <c r="C79" s="12">
        <f>output_NHTS!C73/SUM(output_NHTS!C$71:C$74)</f>
        <v>0.19115287945512144</v>
      </c>
      <c r="D79" s="12">
        <f>output_NHTS!D73/SUM(output_NHTS!D$71:D$74)</f>
        <v>0.21484206979264359</v>
      </c>
      <c r="E79" s="12">
        <f>output_NHTS!E73/SUM(output_NHTS!E$71:E$74)</f>
        <v>0.22933224497934696</v>
      </c>
      <c r="F79" s="12">
        <f>output_NHTS!F73/SUM(output_NHTS!F$71:F$74)</f>
        <v>0.12249046984980363</v>
      </c>
      <c r="G79" s="12">
        <f>output_NHTS!G73/SUM(output_NHTS!G$71:G$74)</f>
        <v>0.12391497809486643</v>
      </c>
      <c r="H79" s="12">
        <f>output_NHTS!H73/SUM(output_NHTS!H$71:H$74)</f>
        <v>0.17109898603345286</v>
      </c>
      <c r="I79" s="12">
        <f>output_NHTS!I73/SUM(output_NHTS!I$71:I$74)</f>
        <v>0.24595383379648272</v>
      </c>
      <c r="J79" s="12">
        <f>output_NHTS!J73/SUM(output_NHTS!J$71:J$74)</f>
        <v>0.17465769310909829</v>
      </c>
      <c r="L79" s="3" t="s">
        <v>236</v>
      </c>
      <c r="M79" s="42">
        <f>output!B73/SUM(output!B$71:B$74)</f>
        <v>0.15065732034652637</v>
      </c>
      <c r="N79" s="42">
        <f>output!C73/SUM(output!C$71:C$74)</f>
        <v>0.2395510655248573</v>
      </c>
      <c r="O79" s="42">
        <f>output!D73/SUM(output!D$71:D$74)</f>
        <v>0.26601756210311867</v>
      </c>
      <c r="P79" s="42">
        <f>output!E73/SUM(output!E$71:E$74)</f>
        <v>0.29402402448351445</v>
      </c>
      <c r="Q79" s="42">
        <f>output!F73/SUM(output!F$71:F$74)</f>
        <v>9.9403979584010191E-2</v>
      </c>
      <c r="R79" s="42">
        <f>output!G73/SUM(output!G$71:G$74)</f>
        <v>0.11894735213349097</v>
      </c>
      <c r="S79" s="42">
        <f>output!H73/SUM(output!H$71:H$74)</f>
        <v>0.19233945067136987</v>
      </c>
      <c r="T79" s="42">
        <f>output!I73/SUM(output!I$71:I$74)</f>
        <v>0.28319289470583653</v>
      </c>
      <c r="U79" s="42">
        <f>output!J73/SUM(output!J$71:J$74)</f>
        <v>0.20314982656285666</v>
      </c>
      <c r="W79" s="3" t="s">
        <v>236</v>
      </c>
      <c r="X79" s="12">
        <f si="27" t="shared"/>
        <v>1.9337113401775741E-2</v>
      </c>
      <c r="Y79" s="12">
        <f si="27" t="shared"/>
        <v>4.8398186069735866E-2</v>
      </c>
      <c r="Z79" s="12">
        <f si="27" t="shared"/>
        <v>5.1175492310475079E-2</v>
      </c>
      <c r="AA79" s="12">
        <f si="27" t="shared"/>
        <v>6.469177950416749E-2</v>
      </c>
      <c r="AB79" s="12">
        <f si="27" t="shared"/>
        <v>-2.3086490265793444E-2</v>
      </c>
      <c r="AC79" s="12">
        <f si="27" t="shared"/>
        <v>-4.9676259613754548E-3</v>
      </c>
      <c r="AD79" s="12">
        <f si="27" t="shared"/>
        <v>2.1240464637917011E-2</v>
      </c>
      <c r="AE79" s="12">
        <f si="28" t="shared"/>
        <v>3.7239060909353805E-2</v>
      </c>
      <c r="AF79" s="12">
        <f si="28" t="shared"/>
        <v>2.8492133453758367E-2</v>
      </c>
    </row>
    <row r="80" spans="1:32" x14ac:dyDescent="0.2">
      <c r="A80" s="8" t="s">
        <v>173</v>
      </c>
      <c r="B80" s="13">
        <f>output_NHTS!B74/SUM(output_NHTS!B$71:B$74)</f>
        <v>1.7601050222662298E-2</v>
      </c>
      <c r="C80" s="13">
        <f>output_NHTS!C74/SUM(output_NHTS!C$71:C$74)</f>
        <v>3.4679912436631606E-2</v>
      </c>
      <c r="D80" s="13">
        <f>output_NHTS!D74/SUM(output_NHTS!D$71:D$74)</f>
        <v>4.9309914682969663E-2</v>
      </c>
      <c r="E80" s="13">
        <f>output_NHTS!E74/SUM(output_NHTS!E$71:E$74)</f>
        <v>4.498917913115353E-2</v>
      </c>
      <c r="F80" s="13">
        <f>output_NHTS!F74/SUM(output_NHTS!F$71:F$74)</f>
        <v>2.8903370692032335E-2</v>
      </c>
      <c r="G80" s="13">
        <f>output_NHTS!G74/SUM(output_NHTS!G$71:G$74)</f>
        <v>0</v>
      </c>
      <c r="H80" s="13">
        <f>output_NHTS!H74/SUM(output_NHTS!H$71:H$74)</f>
        <v>1.7928178673423657E-2</v>
      </c>
      <c r="I80" s="13">
        <f>output_NHTS!I74/SUM(output_NHTS!I$71:I$74)</f>
        <v>4.0670273458426533E-2</v>
      </c>
      <c r="J80" s="13">
        <f>output_NHTS!J74/SUM(output_NHTS!J$71:J$74)</f>
        <v>2.8540881250479416E-2</v>
      </c>
      <c r="L80" s="8" t="s">
        <v>173</v>
      </c>
      <c r="M80" s="43">
        <f>output!B74/SUM(output!B$71:B$74)</f>
        <v>3.6778482818734866E-2</v>
      </c>
      <c r="N80" s="43">
        <f>output!C74/SUM(output!C$71:C$74)</f>
        <v>6.3730710806267202E-2</v>
      </c>
      <c r="O80" s="43">
        <f>output!D74/SUM(output!D$71:D$74)</f>
        <v>7.2345687012135104E-2</v>
      </c>
      <c r="P80" s="43">
        <f>output!E74/SUM(output!E$71:E$74)</f>
        <v>7.5742077744843095E-2</v>
      </c>
      <c r="Q80" s="43">
        <f>output!F74/SUM(output!F$71:F$74)</f>
        <v>2.6636242770309616E-2</v>
      </c>
      <c r="R80" s="43">
        <f>output!G74/SUM(output!G$71:G$74)</f>
        <v>2.7420905193812142E-2</v>
      </c>
      <c r="S80" s="43">
        <f>output!H74/SUM(output!H$71:H$74)</f>
        <v>4.5092456830069218E-2</v>
      </c>
      <c r="T80" s="43">
        <f>output!I74/SUM(output!I$71:I$74)</f>
        <v>7.2047059873007982E-2</v>
      </c>
      <c r="U80" s="43">
        <f>output!J74/SUM(output!J$71:J$74)</f>
        <v>5.1435833159763758E-2</v>
      </c>
      <c r="W80" s="8" t="s">
        <v>173</v>
      </c>
      <c r="X80" s="12">
        <f si="27" t="shared"/>
        <v>1.9177432596072568E-2</v>
      </c>
      <c r="Y80" s="12">
        <f si="27" t="shared"/>
        <v>2.9050798369635596E-2</v>
      </c>
      <c r="Z80" s="12">
        <f si="27" t="shared"/>
        <v>2.3035772329165441E-2</v>
      </c>
      <c r="AA80" s="12">
        <f si="27" t="shared"/>
        <v>3.0752898613689565E-2</v>
      </c>
      <c r="AB80" s="12">
        <f si="27" t="shared"/>
        <v>-2.2671279217227197E-3</v>
      </c>
      <c r="AC80" s="12">
        <f si="27" t="shared"/>
        <v>2.7420905193812142E-2</v>
      </c>
      <c r="AD80" s="12">
        <f si="27" t="shared"/>
        <v>2.7164278156645561E-2</v>
      </c>
      <c r="AE80" s="12">
        <f si="28" t="shared"/>
        <v>3.1376786414581449E-2</v>
      </c>
      <c r="AF80" s="12">
        <f si="28" t="shared"/>
        <v>2.2894951909284342E-2</v>
      </c>
    </row>
    <row ht="13.5" r="81" spans="1:32" thickBot="1" x14ac:dyDescent="0.25">
      <c r="A81" s="15" t="s">
        <v>221</v>
      </c>
      <c r="B81" s="44">
        <f>SUM(B77:B80)</f>
        <v>1</v>
      </c>
      <c r="C81" s="44">
        <f ref="C81:J81" si="29" t="shared">SUM(C77:C80)</f>
        <v>1.0000000000000002</v>
      </c>
      <c r="D81" s="44">
        <f si="29" t="shared"/>
        <v>0.99999999999999978</v>
      </c>
      <c r="E81" s="44">
        <f si="29" t="shared"/>
        <v>0.99999999999999989</v>
      </c>
      <c r="F81" s="44">
        <f si="29" t="shared"/>
        <v>1</v>
      </c>
      <c r="G81" s="44">
        <f si="29" t="shared"/>
        <v>0.99999999999999989</v>
      </c>
      <c r="H81" s="44">
        <f si="29" t="shared"/>
        <v>0.99999999999999989</v>
      </c>
      <c r="I81" s="44">
        <f si="29" t="shared"/>
        <v>1</v>
      </c>
      <c r="J81" s="44">
        <f si="29" t="shared"/>
        <v>0.99999999999999989</v>
      </c>
      <c r="L81" s="15" t="s">
        <v>221</v>
      </c>
      <c r="M81" s="51">
        <f>SUM(M77:M80)</f>
        <v>1</v>
      </c>
      <c r="N81" s="51">
        <f ref="N81:U81" si="30" t="shared">SUM(N77:N80)</f>
        <v>0.99999999999999989</v>
      </c>
      <c r="O81" s="51">
        <f si="30" t="shared"/>
        <v>0.99999999999999989</v>
      </c>
      <c r="P81" s="51">
        <f si="30" t="shared"/>
        <v>0.99999999999999989</v>
      </c>
      <c r="Q81" s="51">
        <f si="30" t="shared"/>
        <v>0.99999999999999989</v>
      </c>
      <c r="R81" s="51">
        <f si="30" t="shared"/>
        <v>0.99999999999999989</v>
      </c>
      <c r="S81" s="51">
        <f si="30" t="shared"/>
        <v>1</v>
      </c>
      <c r="T81" s="51">
        <f si="30" t="shared"/>
        <v>0.99999999999999989</v>
      </c>
      <c r="U81" s="51">
        <f si="30" t="shared"/>
        <v>0.99999999999999978</v>
      </c>
      <c r="W81" s="15" t="s">
        <v>221</v>
      </c>
      <c r="X81" s="14">
        <f si="27" t="shared"/>
        <v>0</v>
      </c>
      <c r="Y81" s="14">
        <f si="27" t="shared"/>
        <v>0</v>
      </c>
      <c r="Z81" s="14">
        <f si="27" t="shared"/>
        <v>0</v>
      </c>
      <c r="AA81" s="14">
        <f si="27" t="shared"/>
        <v>0</v>
      </c>
      <c r="AB81" s="14">
        <f si="27" t="shared"/>
        <v>0</v>
      </c>
      <c r="AC81" s="14">
        <f si="27" t="shared"/>
        <v>0</v>
      </c>
      <c r="AD81" s="14">
        <f si="27" t="shared"/>
        <v>0</v>
      </c>
      <c r="AE81" s="14">
        <f si="28" t="shared"/>
        <v>0</v>
      </c>
      <c r="AF81" s="14">
        <f si="28" t="shared"/>
        <v>0</v>
      </c>
    </row>
  </sheetData>
  <phoneticPr fontId="6"/>
  <conditionalFormatting sqref="X29:AF33 X41:AF45 X53:AF57 X65:AF69 X77:AF81 X5:AF9 X17:AF21">
    <cfRule dxfId="32" operator="notBetween" priority="1" stopIfTrue="1" type="cellIs">
      <formula>-0.15</formula>
      <formula>0.15</formula>
    </cfRule>
    <cfRule dxfId="31" operator="notBetween" priority="2" stopIfTrue="1" type="cellIs">
      <formula>-0.1</formula>
      <formula>0.1</formula>
    </cfRule>
    <cfRule dxfId="3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F74"/>
  <sheetViews>
    <sheetView workbookViewId="0">
      <selection activeCell="C5" sqref="C5"/>
    </sheetView>
  </sheetViews>
  <sheetFormatPr defaultColWidth="10.75" defaultRowHeight="12.75" x14ac:dyDescent="0.2"/>
  <cols>
    <col min="1" max="11" style="3" width="10.75" collapsed="true"/>
    <col min="12" max="21" style="39" width="10.75" collapsed="true"/>
    <col min="22" max="23" style="3" width="10.75" collapsed="true"/>
    <col min="24" max="32" style="39" width="10.75" collapsed="true"/>
    <col min="33" max="16384" style="3" width="10.75" collapsed="true"/>
  </cols>
  <sheetData>
    <row r="1" spans="1:32" x14ac:dyDescent="0.2">
      <c r="A1" s="2" t="s">
        <v>175</v>
      </c>
      <c r="L1" s="46" t="s">
        <v>175</v>
      </c>
      <c r="W1" s="2" t="s">
        <v>175</v>
      </c>
    </row>
    <row r="2" spans="1:32" x14ac:dyDescent="0.2">
      <c r="A2" s="2" t="s">
        <v>123</v>
      </c>
      <c r="L2" s="46" t="s">
        <v>202</v>
      </c>
      <c r="W2" s="2" t="s">
        <v>242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243</v>
      </c>
      <c r="AB4" s="41" t="s">
        <v>244</v>
      </c>
      <c r="AC4" s="41" t="s">
        <v>245</v>
      </c>
      <c r="AD4" s="41" t="s">
        <v>246</v>
      </c>
      <c r="AE4" s="41" t="s">
        <v>170</v>
      </c>
      <c r="AF4" s="41" t="s">
        <v>221</v>
      </c>
    </row>
    <row r="5" spans="1:32" x14ac:dyDescent="0.2">
      <c r="A5" s="18">
        <v>1</v>
      </c>
      <c r="B5" s="12">
        <f>output_NHTS!B81/SUM(output_NHTS!B$81:B$83)</f>
        <v>0.96366651775101464</v>
      </c>
      <c r="C5" s="12">
        <f>output_NHTS!C81/SUM(output_NHTS!C$81:C$83)</f>
        <v>0.93717045647205</v>
      </c>
      <c r="D5" s="12">
        <f>output_NHTS!D81/SUM(output_NHTS!D$81:D$83)</f>
        <v>0.9784380589800612</v>
      </c>
      <c r="E5" s="12">
        <f>output_NHTS!E81/SUM(output_NHTS!E$81:E$83)</f>
        <v>0.96724246889135435</v>
      </c>
      <c r="F5" s="12">
        <f>output_NHTS!F81/SUM(output_NHTS!F$81:F$83)</f>
        <v>0.896986433791362</v>
      </c>
      <c r="G5" s="12">
        <f>output_NHTS!G81/SUM(output_NHTS!G$81:G$83)</f>
        <v>1</v>
      </c>
      <c r="H5" s="12">
        <f>output_NHTS!H81/SUM(output_NHTS!H$81:H$83)</f>
        <v>1</v>
      </c>
      <c r="I5" s="12">
        <f>output_NHTS!I81/SUM(output_NHTS!I$81:I$83)</f>
        <v>1</v>
      </c>
      <c r="J5" s="12">
        <f>output_NHTS!J81/SUM(output_NHTS!J$81:J$83)</f>
        <v>0.95890906785872343</v>
      </c>
      <c r="L5" s="48">
        <v>1</v>
      </c>
      <c r="M5" s="42">
        <f>output!B81/SUM(output!B$81:B$83)</f>
        <v>0.97327367947810495</v>
      </c>
      <c r="N5" s="42">
        <f>output!C81/SUM(output!C$81:C$83)</f>
        <v>0.94757112317200787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0.95584921971020154</v>
      </c>
      <c r="R5" s="42">
        <f>output!G81/SUM(output!G$81:G$83)</f>
        <v>0.96600906322180624</v>
      </c>
      <c r="S5" s="42" t="e">
        <f>output!H81/SUM(output!H$81:H$83)</f>
        <v>#DIV/0!</v>
      </c>
      <c r="T5" s="42" t="e">
        <f>output!I81/SUM(output!I$81:I$83)</f>
        <v>#DIV/0!</v>
      </c>
      <c r="U5" s="42">
        <f>output!J81/SUM(output!J$81:J$83)</f>
        <v>0.96937363685076494</v>
      </c>
      <c r="W5" s="18">
        <v>1</v>
      </c>
      <c r="X5" s="12">
        <f ref="X5:AD8" si="0" t="shared">M5-B5</f>
        <v>9.6071617270903076E-3</v>
      </c>
      <c r="Y5" s="12">
        <f si="0" t="shared"/>
        <v>1.0400666699957872E-2</v>
      </c>
      <c r="Z5" s="12" t="e">
        <f si="0" t="shared"/>
        <v>#DIV/0!</v>
      </c>
      <c r="AA5" s="12" t="e">
        <f si="0" t="shared"/>
        <v>#DIV/0!</v>
      </c>
      <c r="AB5" s="12">
        <f si="0" t="shared"/>
        <v>5.8862785918839533E-2</v>
      </c>
      <c r="AC5" s="12">
        <f si="0" t="shared"/>
        <v>-3.3990936778193759E-2</v>
      </c>
      <c r="AD5" s="12" t="e">
        <f si="0" t="shared"/>
        <v>#DIV/0!</v>
      </c>
      <c r="AE5" s="12" t="e">
        <f ref="AE5:AF8" si="1" t="shared">T5-I5</f>
        <v>#DIV/0!</v>
      </c>
      <c r="AF5" s="12">
        <f si="1" t="shared"/>
        <v>1.0464568992041512E-2</v>
      </c>
    </row>
    <row r="6" spans="1:32" x14ac:dyDescent="0.2">
      <c r="A6" s="18">
        <v>2</v>
      </c>
      <c r="B6" s="12">
        <f>output_NHTS!B82/SUM(output_NHTS!B$81:B$83)</f>
        <v>3.5009781744983856E-2</v>
      </c>
      <c r="C6" s="12">
        <f>output_NHTS!C82/SUM(output_NHTS!C$81:C$83)</f>
        <v>6.2201511608616075E-2</v>
      </c>
      <c r="D6" s="12">
        <f>output_NHTS!D82/SUM(output_NHTS!D$81:D$83)</f>
        <v>2.1561941019938784E-2</v>
      </c>
      <c r="E6" s="12">
        <f>output_NHTS!E82/SUM(output_NHTS!E$81:E$83)</f>
        <v>2.2482619991582246E-2</v>
      </c>
      <c r="F6" s="12">
        <f>output_NHTS!F82/SUM(output_NHTS!F$81:F$83)</f>
        <v>7.5281140934803745E-2</v>
      </c>
      <c r="G6" s="12">
        <f>output_NHTS!G82/SUM(output_NHTS!G$81:G$83)</f>
        <v>0</v>
      </c>
      <c r="H6" s="12">
        <f>output_NHTS!H82/SUM(output_NHTS!H$81:H$83)</f>
        <v>0</v>
      </c>
      <c r="I6" s="12">
        <f>output_NHTS!I82/SUM(output_NHTS!I$81:I$83)</f>
        <v>0</v>
      </c>
      <c r="J6" s="12">
        <f>output_NHTS!J82/SUM(output_NHTS!J$81:J$83)</f>
        <v>3.8849756883034769E-2</v>
      </c>
      <c r="L6" s="48">
        <v>2</v>
      </c>
      <c r="M6" s="42">
        <f>output!B82/SUM(output!B$81:B$83)</f>
        <v>2.5741447684844047E-2</v>
      </c>
      <c r="N6" s="42">
        <f>output!C82/SUM(output!C$81:C$83)</f>
        <v>5.0119549433183905E-2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4.1628884994543196E-2</v>
      </c>
      <c r="R6" s="42">
        <f>output!G82/SUM(output!G$81:G$83)</f>
        <v>3.3990936778193655E-2</v>
      </c>
      <c r="S6" s="42" t="e">
        <f>output!H82/SUM(output!H$81:H$83)</f>
        <v>#DIV/0!</v>
      </c>
      <c r="T6" s="42" t="e">
        <f>output!I82/SUM(output!I$81:I$83)</f>
        <v>#DIV/0!</v>
      </c>
      <c r="U6" s="42">
        <f>output!J82/SUM(output!J$81:J$83)</f>
        <v>2.941574987627453E-2</v>
      </c>
      <c r="W6" s="18">
        <v>2</v>
      </c>
      <c r="X6" s="12">
        <f si="0" t="shared"/>
        <v>-9.2683340601398094E-3</v>
      </c>
      <c r="Y6" s="12">
        <f si="0" t="shared"/>
        <v>-1.208196217543217E-2</v>
      </c>
      <c r="Z6" s="12" t="e">
        <f si="0" t="shared"/>
        <v>#DIV/0!</v>
      </c>
      <c r="AA6" s="12" t="e">
        <f si="0" t="shared"/>
        <v>#DIV/0!</v>
      </c>
      <c r="AB6" s="12">
        <f si="0" t="shared"/>
        <v>-3.3652255940260549E-2</v>
      </c>
      <c r="AC6" s="12">
        <f si="0" t="shared"/>
        <v>3.3990936778193655E-2</v>
      </c>
      <c r="AD6" s="12" t="e">
        <f si="0" t="shared"/>
        <v>#DIV/0!</v>
      </c>
      <c r="AE6" s="12" t="e">
        <f si="1" t="shared"/>
        <v>#DIV/0!</v>
      </c>
      <c r="AF6" s="12">
        <f si="1" t="shared"/>
        <v>-9.4340070067602394E-3</v>
      </c>
    </row>
    <row r="7" spans="1:32" x14ac:dyDescent="0.2">
      <c r="A7" s="23" t="s">
        <v>116</v>
      </c>
      <c r="B7" s="12">
        <f>output_NHTS!B83/SUM(output_NHTS!B$81:B$83)</f>
        <v>1.3237005040016754E-3</v>
      </c>
      <c r="C7" s="12">
        <f>output_NHTS!C83/SUM(output_NHTS!C$81:C$83)</f>
        <v>6.2803191933397367E-4</v>
      </c>
      <c r="D7" s="12">
        <f>output_NHTS!D83/SUM(output_NHTS!D$81:D$83)</f>
        <v>0</v>
      </c>
      <c r="E7" s="12">
        <f>output_NHTS!E83/SUM(output_NHTS!E$81:E$83)</f>
        <v>1.0274911117063364E-2</v>
      </c>
      <c r="F7" s="12">
        <f>output_NHTS!F83/SUM(output_NHTS!F$81:F$83)</f>
        <v>2.7732425273834061E-2</v>
      </c>
      <c r="G7" s="12">
        <f>output_NHTS!G83/SUM(output_NHTS!G$81:G$83)</f>
        <v>0</v>
      </c>
      <c r="H7" s="12">
        <f>output_NHTS!H83/SUM(output_NHTS!H$81:H$83)</f>
        <v>0</v>
      </c>
      <c r="I7" s="12">
        <f>output_NHTS!I83/SUM(output_NHTS!I$81:I$83)</f>
        <v>0</v>
      </c>
      <c r="J7" s="12">
        <f>output_NHTS!J83/SUM(output_NHTS!J$81:J$83)</f>
        <v>2.241175258241755E-3</v>
      </c>
      <c r="L7" s="49" t="s">
        <v>116</v>
      </c>
      <c r="M7" s="43">
        <f>output!B83/SUM(output!B$81:B$83)</f>
        <v>9.8487283705103366E-4</v>
      </c>
      <c r="N7" s="43">
        <f>output!C83/SUM(output!C$81:C$83)</f>
        <v>2.3093273948081314E-3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2.5218952952552943E-3</v>
      </c>
      <c r="R7" s="43">
        <f>output!G83/SUM(output!G$81:G$83)</f>
        <v>0</v>
      </c>
      <c r="S7" s="43" t="e">
        <f>output!H83/SUM(output!H$81:H$83)</f>
        <v>#DIV/0!</v>
      </c>
      <c r="T7" s="43" t="e">
        <f>output!I83/SUM(output!I$81:I$83)</f>
        <v>#DIV/0!</v>
      </c>
      <c r="U7" s="43">
        <f>output!J83/SUM(output!J$81:J$83)</f>
        <v>1.21061327296051E-3</v>
      </c>
      <c r="W7" s="23" t="s">
        <v>116</v>
      </c>
      <c r="X7" s="12">
        <f si="0" t="shared"/>
        <v>-3.3882766695064173E-4</v>
      </c>
      <c r="Y7" s="12">
        <f si="0" t="shared"/>
        <v>1.6812954754741576E-3</v>
      </c>
      <c r="Z7" s="12" t="e">
        <f si="0" t="shared"/>
        <v>#DIV/0!</v>
      </c>
      <c r="AA7" s="12" t="e">
        <f si="0" t="shared"/>
        <v>#DIV/0!</v>
      </c>
      <c r="AB7" s="12">
        <f si="0" t="shared"/>
        <v>-2.5210529978578766E-2</v>
      </c>
      <c r="AC7" s="12">
        <f si="0" t="shared"/>
        <v>0</v>
      </c>
      <c r="AD7" s="12" t="e">
        <f si="0" t="shared"/>
        <v>#DIV/0!</v>
      </c>
      <c r="AE7" s="12" t="e">
        <f si="1" t="shared"/>
        <v>#DIV/0!</v>
      </c>
      <c r="AF7" s="12">
        <f si="1" t="shared"/>
        <v>-1.030561985281245E-3</v>
      </c>
    </row>
    <row ht="13.5" r="8" spans="1:32" thickBot="1" x14ac:dyDescent="0.25">
      <c r="A8" s="21" t="s">
        <v>221</v>
      </c>
      <c r="B8" s="51">
        <f>SUM(B5:B7)</f>
        <v>1.0000000000000002</v>
      </c>
      <c r="C8" s="51">
        <f ref="C8:J8" si="2" t="shared">SUM(C5:C7)</f>
        <v>1</v>
      </c>
      <c r="D8" s="51">
        <f si="2" t="shared"/>
        <v>1</v>
      </c>
      <c r="E8" s="51">
        <f si="2" t="shared"/>
        <v>1</v>
      </c>
      <c r="F8" s="51">
        <f si="2" t="shared"/>
        <v>0.99999999999999978</v>
      </c>
      <c r="G8" s="51">
        <f si="2" t="shared"/>
        <v>1</v>
      </c>
      <c r="H8" s="51">
        <f si="2" t="shared"/>
        <v>1</v>
      </c>
      <c r="I8" s="51">
        <f si="2" t="shared"/>
        <v>1</v>
      </c>
      <c r="J8" s="51">
        <f si="2" t="shared"/>
        <v>0.99999999999999989</v>
      </c>
      <c r="L8" s="50" t="s">
        <v>221</v>
      </c>
      <c r="M8" s="51">
        <f>SUM(M5:M7)</f>
        <v>1</v>
      </c>
      <c r="N8" s="51">
        <f ref="N8:U8" si="3" t="shared">SUM(N5:N7)</f>
        <v>0.99999999999999989</v>
      </c>
      <c r="O8" s="51" t="e">
        <f si="3" t="shared"/>
        <v>#DIV/0!</v>
      </c>
      <c r="P8" s="51" t="e">
        <f si="3" t="shared"/>
        <v>#DIV/0!</v>
      </c>
      <c r="Q8" s="51">
        <f si="3" t="shared"/>
        <v>1</v>
      </c>
      <c r="R8" s="51">
        <f si="3" t="shared"/>
        <v>0.99999999999999989</v>
      </c>
      <c r="S8" s="51" t="e">
        <f si="3" t="shared"/>
        <v>#DIV/0!</v>
      </c>
      <c r="T8" s="51" t="e">
        <f si="3" t="shared"/>
        <v>#DIV/0!</v>
      </c>
      <c r="U8" s="51">
        <f si="3" t="shared"/>
        <v>0.99999999999999989</v>
      </c>
      <c r="W8" s="21" t="s">
        <v>221</v>
      </c>
      <c r="X8" s="14">
        <f si="0" t="shared"/>
        <v>0</v>
      </c>
      <c r="Y8" s="14">
        <f si="0" t="shared"/>
        <v>0</v>
      </c>
      <c r="Z8" s="14" t="e">
        <f si="0" t="shared"/>
        <v>#DIV/0!</v>
      </c>
      <c r="AA8" s="14" t="e">
        <f si="0" t="shared"/>
        <v>#DIV/0!</v>
      </c>
      <c r="AB8" s="14">
        <f si="0" t="shared"/>
        <v>0</v>
      </c>
      <c r="AC8" s="14">
        <f si="0" t="shared"/>
        <v>0</v>
      </c>
      <c r="AD8" s="14" t="e">
        <f si="0" t="shared"/>
        <v>#DIV/0!</v>
      </c>
      <c r="AE8" s="14" t="e">
        <f si="1" t="shared"/>
        <v>#DIV/0!</v>
      </c>
      <c r="AF8" s="14">
        <f si="1" t="shared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199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253</v>
      </c>
      <c r="X13" s="42"/>
      <c r="Y13" s="42"/>
      <c r="Z13" s="42"/>
      <c r="AA13" s="42"/>
      <c r="AB13" s="42"/>
      <c r="AC13" s="42"/>
      <c r="AD13" s="42"/>
      <c r="AE13" s="42"/>
      <c r="AF13" s="42"/>
    </row>
    <row ht="13.5" r="14" spans="1:32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x14ac:dyDescent="0.2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243</v>
      </c>
      <c r="F15" s="6" t="s">
        <v>244</v>
      </c>
      <c r="G15" s="6" t="s">
        <v>245</v>
      </c>
      <c r="H15" s="6" t="s">
        <v>246</v>
      </c>
      <c r="I15" s="6" t="s">
        <v>170</v>
      </c>
      <c r="J15" s="6" t="s">
        <v>221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243</v>
      </c>
      <c r="Q15" s="41" t="s">
        <v>244</v>
      </c>
      <c r="R15" s="41" t="s">
        <v>245</v>
      </c>
      <c r="S15" s="41" t="s">
        <v>246</v>
      </c>
      <c r="T15" s="41" t="s">
        <v>170</v>
      </c>
      <c r="U15" s="41" t="s">
        <v>221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243</v>
      </c>
      <c r="AB15" s="41" t="s">
        <v>244</v>
      </c>
      <c r="AC15" s="41" t="s">
        <v>245</v>
      </c>
      <c r="AD15" s="41" t="s">
        <v>246</v>
      </c>
      <c r="AE15" s="41" t="s">
        <v>170</v>
      </c>
      <c r="AF15" s="41" t="s">
        <v>221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0.95883359127352952</v>
      </c>
      <c r="D16" s="12">
        <f>output_NHTS!D88/SUM(output_NHTS!D$88:D$90)</f>
        <v>1</v>
      </c>
      <c r="E16" s="12">
        <f>output_NHTS!E88/SUM(output_NHTS!E$88:E$90)</f>
        <v>0.94043140812413206</v>
      </c>
      <c r="F16" s="12">
        <f>output_NHTS!F88/SUM(output_NHTS!F$88:F$90)</f>
        <v>0.90155039219161848</v>
      </c>
      <c r="G16" s="12">
        <f>output_NHTS!G88/SUM(output_NHTS!G$88:G$90)</f>
        <v>0.98662028003599</v>
      </c>
      <c r="H16" s="12">
        <f>output_NHTS!H88/SUM(output_NHTS!H$88:H$90)</f>
        <v>0.98728492954028524</v>
      </c>
      <c r="I16" s="12">
        <f>output_NHTS!I88/SUM(output_NHTS!I$88:I$90)</f>
        <v>0.98482005665213268</v>
      </c>
      <c r="J16" s="12">
        <f>output_NHTS!J88/SUM(output_NHTS!J$88:J$90)</f>
        <v>0.97739783657287438</v>
      </c>
      <c r="L16" s="48">
        <v>1</v>
      </c>
      <c r="M16" s="42">
        <f>output!B88/SUM(output!B$88:B$90)</f>
        <v>0.9913694901564406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0.83561029709342205</v>
      </c>
      <c r="R16" s="42">
        <f>output!G88/SUM(output!G$88:G$90)</f>
        <v>0.98864000432697086</v>
      </c>
      <c r="S16" s="42">
        <f>output!H88/SUM(output!H$88:H$90)</f>
        <v>0.98436901449083125</v>
      </c>
      <c r="T16" s="42">
        <f>output!I88/SUM(output!I$88:I$90)</f>
        <v>0.98840374123045571</v>
      </c>
      <c r="U16" s="42">
        <f>output!J88/SUM(output!J$88:J$90)</f>
        <v>0.96001346303885182</v>
      </c>
      <c r="W16" s="18">
        <v>1</v>
      </c>
      <c r="X16" s="12">
        <f ref="X16:AF19" si="4" t="shared">M16-B16</f>
        <v>-8.6305098435593974E-3</v>
      </c>
      <c r="Y16" s="12" t="e">
        <f si="4" t="shared"/>
        <v>#DIV/0!</v>
      </c>
      <c r="Z16" s="12" t="e">
        <f si="4" t="shared"/>
        <v>#DIV/0!</v>
      </c>
      <c r="AA16" s="12" t="e">
        <f si="4" t="shared"/>
        <v>#DIV/0!</v>
      </c>
      <c r="AB16" s="12">
        <f si="4" t="shared"/>
        <v>-6.5940095098196427E-2</v>
      </c>
      <c r="AC16" s="12">
        <f si="4" t="shared"/>
        <v>2.019724290980851E-3</v>
      </c>
      <c r="AD16" s="12">
        <f si="4" t="shared"/>
        <v>-2.9159150494539876E-3</v>
      </c>
      <c r="AE16" s="12">
        <f si="4" t="shared"/>
        <v>3.583684578323032E-3</v>
      </c>
      <c r="AF16" s="12">
        <f si="4" t="shared"/>
        <v>-1.7384373534022557E-2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4.1166408726470538E-2</v>
      </c>
      <c r="D17" s="12">
        <f>output_NHTS!D89/SUM(output_NHTS!D$88:D$90)</f>
        <v>0</v>
      </c>
      <c r="E17" s="12">
        <f>output_NHTS!E89/SUM(output_NHTS!E$88:E$90)</f>
        <v>5.9568591875867896E-2</v>
      </c>
      <c r="F17" s="12">
        <f>output_NHTS!F89/SUM(output_NHTS!F$88:F$90)</f>
        <v>7.9150161705192554E-2</v>
      </c>
      <c r="G17" s="12">
        <f>output_NHTS!G89/SUM(output_NHTS!G$88:G$90)</f>
        <v>1.3379719964009979E-2</v>
      </c>
      <c r="H17" s="12">
        <f>output_NHTS!H89/SUM(output_NHTS!H$88:H$90)</f>
        <v>1.2715070459714773E-2</v>
      </c>
      <c r="I17" s="12">
        <f>output_NHTS!I89/SUM(output_NHTS!I$88:I$90)</f>
        <v>8.7544839750118147E-3</v>
      </c>
      <c r="J17" s="12">
        <f>output_NHTS!J89/SUM(output_NHTS!J$88:J$90)</f>
        <v>2.0947781848816436E-2</v>
      </c>
      <c r="L17" s="48">
        <v>2</v>
      </c>
      <c r="M17" s="42">
        <f>output!B89/SUM(output!B$88:B$90)</f>
        <v>8.1752215860166327E-3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0.1458323333470358</v>
      </c>
      <c r="R17" s="42">
        <f>output!G89/SUM(output!G$88:G$90)</f>
        <v>1.0148479219006371E-2</v>
      </c>
      <c r="S17" s="42">
        <f>output!H89/SUM(output!H$88:H$90)</f>
        <v>1.3092522236289655E-2</v>
      </c>
      <c r="T17" s="42">
        <f>output!I89/SUM(output!I$88:I$90)</f>
        <v>9.9154793449697191E-3</v>
      </c>
      <c r="U17" s="42">
        <f>output!J89/SUM(output!J$88:J$90)</f>
        <v>3.4997964751774815E-2</v>
      </c>
      <c r="W17" s="18">
        <v>2</v>
      </c>
      <c r="X17" s="12">
        <f si="4" t="shared"/>
        <v>8.1752215860166327E-3</v>
      </c>
      <c r="Y17" s="12" t="e">
        <f si="4" t="shared"/>
        <v>#DIV/0!</v>
      </c>
      <c r="Z17" s="12" t="e">
        <f si="4" t="shared"/>
        <v>#DIV/0!</v>
      </c>
      <c r="AA17" s="12" t="e">
        <f si="4" t="shared"/>
        <v>#DIV/0!</v>
      </c>
      <c r="AB17" s="12">
        <f si="4" t="shared"/>
        <v>6.6682171641843244E-2</v>
      </c>
      <c r="AC17" s="12">
        <f si="4" t="shared"/>
        <v>-3.231240745003609E-3</v>
      </c>
      <c r="AD17" s="12">
        <f si="4" t="shared"/>
        <v>3.7745177657488166E-4</v>
      </c>
      <c r="AE17" s="12">
        <f si="4" t="shared"/>
        <v>1.1609953699579043E-3</v>
      </c>
      <c r="AF17" s="12">
        <f si="4" t="shared"/>
        <v>1.405018290295838E-2</v>
      </c>
    </row>
    <row r="18" spans="1:32" x14ac:dyDescent="0.2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1.9299446103189018E-2</v>
      </c>
      <c r="G18" s="12">
        <f>output_NHTS!G90/SUM(output_NHTS!G$88:G$90)</f>
        <v>0</v>
      </c>
      <c r="H18" s="12">
        <f>output_NHTS!H90/SUM(output_NHTS!H$88:H$90)</f>
        <v>0</v>
      </c>
      <c r="I18" s="12">
        <f>output_NHTS!I90/SUM(output_NHTS!I$88:I$90)</f>
        <v>6.4254593728555491E-3</v>
      </c>
      <c r="J18" s="12">
        <f>output_NHTS!J90/SUM(output_NHTS!J$88:J$90)</f>
        <v>1.6543815783093196E-3</v>
      </c>
      <c r="L18" s="49" t="s">
        <v>116</v>
      </c>
      <c r="M18" s="43">
        <f>output!B90/SUM(output!B$88:B$90)</f>
        <v>4.552882575427903E-4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1.8557369559542177E-2</v>
      </c>
      <c r="R18" s="43">
        <f>output!G90/SUM(output!G$88:G$90)</f>
        <v>1.2115164540227573E-3</v>
      </c>
      <c r="S18" s="43">
        <f>output!H90/SUM(output!H$88:H$90)</f>
        <v>2.5384632728791164E-3</v>
      </c>
      <c r="T18" s="43">
        <f>output!I90/SUM(output!I$88:I$90)</f>
        <v>1.6807794245745299E-3</v>
      </c>
      <c r="U18" s="43">
        <f>output!J90/SUM(output!J$88:J$90)</f>
        <v>4.9885722093732871E-3</v>
      </c>
      <c r="W18" s="23" t="s">
        <v>116</v>
      </c>
      <c r="X18" s="12">
        <f si="4" t="shared"/>
        <v>4.552882575427903E-4</v>
      </c>
      <c r="Y18" s="12" t="e">
        <f si="4" t="shared"/>
        <v>#DIV/0!</v>
      </c>
      <c r="Z18" s="12" t="e">
        <f si="4" t="shared"/>
        <v>#DIV/0!</v>
      </c>
      <c r="AA18" s="12" t="e">
        <f si="4" t="shared"/>
        <v>#DIV/0!</v>
      </c>
      <c r="AB18" s="12">
        <f si="4" t="shared"/>
        <v>-7.4207654364684059E-4</v>
      </c>
      <c r="AC18" s="12">
        <f si="4" t="shared"/>
        <v>1.2115164540227573E-3</v>
      </c>
      <c r="AD18" s="12">
        <f si="4" t="shared"/>
        <v>2.5384632728791164E-3</v>
      </c>
      <c r="AE18" s="12">
        <f si="4" t="shared"/>
        <v>-4.7446799482810196E-3</v>
      </c>
      <c r="AF18" s="12">
        <f si="4" t="shared"/>
        <v>3.3341906310639675E-3</v>
      </c>
    </row>
    <row ht="13.5" r="19" spans="1:32" thickBot="1" x14ac:dyDescent="0.25">
      <c r="A19" s="21" t="s">
        <v>221</v>
      </c>
      <c r="B19" s="51">
        <f>SUM(B16:B18)</f>
        <v>1</v>
      </c>
      <c r="C19" s="51">
        <f ref="C19:J19" si="5" t="shared">SUM(C16:C18)</f>
        <v>1</v>
      </c>
      <c r="D19" s="51">
        <f si="5" t="shared"/>
        <v>1</v>
      </c>
      <c r="E19" s="51">
        <f si="5" t="shared"/>
        <v>1</v>
      </c>
      <c r="F19" s="51">
        <f si="5" t="shared"/>
        <v>1</v>
      </c>
      <c r="G19" s="51">
        <f si="5" t="shared"/>
        <v>1</v>
      </c>
      <c r="H19" s="51">
        <f si="5" t="shared"/>
        <v>1</v>
      </c>
      <c r="I19" s="51">
        <f si="5" t="shared"/>
        <v>1</v>
      </c>
      <c r="J19" s="51">
        <f si="5" t="shared"/>
        <v>1</v>
      </c>
      <c r="L19" s="50" t="s">
        <v>221</v>
      </c>
      <c r="M19" s="51">
        <f ref="M19:U19" si="6" t="shared">SUM(M16:M18)</f>
        <v>1</v>
      </c>
      <c r="N19" s="51" t="e">
        <f si="6" t="shared"/>
        <v>#DIV/0!</v>
      </c>
      <c r="O19" s="51" t="e">
        <f si="6" t="shared"/>
        <v>#DIV/0!</v>
      </c>
      <c r="P19" s="51" t="e">
        <f si="6" t="shared"/>
        <v>#DIV/0!</v>
      </c>
      <c r="Q19" s="51">
        <f si="6" t="shared"/>
        <v>1</v>
      </c>
      <c r="R19" s="51">
        <f si="6" t="shared"/>
        <v>1</v>
      </c>
      <c r="S19" s="51">
        <f si="6" t="shared"/>
        <v>1</v>
      </c>
      <c r="T19" s="51">
        <f si="6" t="shared"/>
        <v>1</v>
      </c>
      <c r="U19" s="51">
        <f si="6" t="shared"/>
        <v>1</v>
      </c>
      <c r="W19" s="21" t="s">
        <v>221</v>
      </c>
      <c r="X19" s="14">
        <f si="4" t="shared"/>
        <v>0</v>
      </c>
      <c r="Y19" s="14" t="e">
        <f si="4" t="shared"/>
        <v>#DIV/0!</v>
      </c>
      <c r="Z19" s="14" t="e">
        <f si="4" t="shared"/>
        <v>#DIV/0!</v>
      </c>
      <c r="AA19" s="14" t="e">
        <f si="4" t="shared"/>
        <v>#DIV/0!</v>
      </c>
      <c r="AB19" s="14">
        <f si="4" t="shared"/>
        <v>0</v>
      </c>
      <c r="AC19" s="14">
        <f si="4" t="shared"/>
        <v>0</v>
      </c>
      <c r="AD19" s="14">
        <f si="4" t="shared"/>
        <v>0</v>
      </c>
      <c r="AE19" s="14">
        <f si="4" t="shared"/>
        <v>0</v>
      </c>
      <c r="AF19" s="14">
        <f si="4" t="shared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x14ac:dyDescent="0.2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x14ac:dyDescent="0.2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200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204</v>
      </c>
      <c r="X24" s="42"/>
      <c r="Y24" s="42"/>
      <c r="Z24" s="42"/>
      <c r="AA24" s="42"/>
      <c r="AB24" s="42"/>
      <c r="AC24" s="42"/>
      <c r="AD24" s="42"/>
      <c r="AE24" s="42"/>
      <c r="AF24" s="42"/>
    </row>
    <row ht="13.5" r="25" spans="1:32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2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243</v>
      </c>
      <c r="F26" s="24" t="s">
        <v>244</v>
      </c>
      <c r="G26" s="24" t="s">
        <v>245</v>
      </c>
      <c r="H26" s="24" t="s">
        <v>246</v>
      </c>
      <c r="I26" s="24" t="s">
        <v>170</v>
      </c>
      <c r="J26" s="24" t="s">
        <v>221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243</v>
      </c>
      <c r="Q26" s="52" t="s">
        <v>244</v>
      </c>
      <c r="R26" s="52" t="s">
        <v>245</v>
      </c>
      <c r="S26" s="52" t="s">
        <v>246</v>
      </c>
      <c r="T26" s="52" t="s">
        <v>170</v>
      </c>
      <c r="U26" s="52" t="s">
        <v>221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243</v>
      </c>
      <c r="AB26" s="52" t="s">
        <v>244</v>
      </c>
      <c r="AC26" s="52" t="s">
        <v>245</v>
      </c>
      <c r="AD26" s="52" t="s">
        <v>246</v>
      </c>
      <c r="AE26" s="52" t="s">
        <v>170</v>
      </c>
      <c r="AF26" s="52" t="s">
        <v>221</v>
      </c>
    </row>
    <row r="27" spans="1:32" x14ac:dyDescent="0.2">
      <c r="A27" s="18">
        <v>1</v>
      </c>
      <c r="B27" s="12">
        <f>output_NHTS!B95/SUM(output_NHTS!B$95:B$97)</f>
        <v>0.70398854744819284</v>
      </c>
      <c r="C27" s="12">
        <f>output_NHTS!C95/SUM(output_NHTS!C$95:C$97)</f>
        <v>0.57506526788653234</v>
      </c>
      <c r="D27" s="12">
        <f>output_NHTS!D95/SUM(output_NHTS!D$95:D$97)</f>
        <v>0.88402440822194239</v>
      </c>
      <c r="E27" s="12">
        <f>output_NHTS!E95/SUM(output_NHTS!E$95:E$97)</f>
        <v>0.56898840426988506</v>
      </c>
      <c r="F27" s="12">
        <f>output_NHTS!F95/SUM(output_NHTS!F$95:F$97)</f>
        <v>0.85270850099270146</v>
      </c>
      <c r="G27" s="12">
        <f>output_NHTS!G95/SUM(output_NHTS!G$95:G$97)</f>
        <v>0.93077201652307229</v>
      </c>
      <c r="H27" s="12">
        <f>output_NHTS!H95/SUM(output_NHTS!H$95:H$97)</f>
        <v>0.95990768222499512</v>
      </c>
      <c r="I27" s="12">
        <f>output_NHTS!I95/SUM(output_NHTS!I$95:I$97)</f>
        <v>0.9323109158505053</v>
      </c>
      <c r="J27" s="12">
        <f>output_NHTS!J95/SUM(output_NHTS!J$95:J$97)</f>
        <v>0.70846564095719411</v>
      </c>
      <c r="L27" s="48">
        <v>1</v>
      </c>
      <c r="M27" s="42">
        <f>output!B95/SUM(output!B$95:B$97)</f>
        <v>0.8864556917937495</v>
      </c>
      <c r="N27" s="42">
        <f>output!C95/SUM(output!C$95:C$97)</f>
        <v>0.59964173428910905</v>
      </c>
      <c r="O27" s="42">
        <f>output!D95/SUM(output!D$95:D$97)</f>
        <v>0.73570209273898468</v>
      </c>
      <c r="P27" s="42">
        <f>output!E95/SUM(output!E$95:E$97)</f>
        <v>0.56159059863101934</v>
      </c>
      <c r="Q27" s="42">
        <f>output!F95/SUM(output!F$95:F$97)</f>
        <v>0.81842522460066724</v>
      </c>
      <c r="R27" s="42">
        <f>output!G95/SUM(output!G$95:G$97)</f>
        <v>0.86435778224974635</v>
      </c>
      <c r="S27" s="42">
        <f>output!H95/SUM(output!H$95:H$97)</f>
        <v>0.83406407798792825</v>
      </c>
      <c r="T27" s="42">
        <f>output!I95/SUM(output!I$95:I$97)</f>
        <v>0.90824830482414576</v>
      </c>
      <c r="U27" s="42">
        <f>output!J95/SUM(output!J$95:J$97)</f>
        <v>0.74234873314169081</v>
      </c>
      <c r="W27" s="18">
        <v>1</v>
      </c>
      <c r="X27" s="12">
        <f ref="X27:AD30" si="7" t="shared">M27-B27</f>
        <v>0.18246714434555666</v>
      </c>
      <c r="Y27" s="12">
        <f si="7" t="shared"/>
        <v>2.4576466402576713E-2</v>
      </c>
      <c r="Z27" s="12">
        <f si="7" t="shared"/>
        <v>-0.14832231548295771</v>
      </c>
      <c r="AA27" s="12">
        <f si="7" t="shared"/>
        <v>-7.3978056388657176E-3</v>
      </c>
      <c r="AB27" s="12">
        <f si="7" t="shared"/>
        <v>-3.4283276392034212E-2</v>
      </c>
      <c r="AC27" s="12">
        <f si="7" t="shared"/>
        <v>-6.6414234273325934E-2</v>
      </c>
      <c r="AD27" s="12">
        <f si="7" t="shared"/>
        <v>-0.12584360423706686</v>
      </c>
      <c r="AE27" s="12">
        <f ref="AE27:AF30" si="8" t="shared">T27-I27</f>
        <v>-2.4062611026359537E-2</v>
      </c>
      <c r="AF27" s="12">
        <f si="8" t="shared"/>
        <v>3.3883092184496699E-2</v>
      </c>
    </row>
    <row r="28" spans="1:32" x14ac:dyDescent="0.2">
      <c r="A28" s="18">
        <v>2</v>
      </c>
      <c r="B28" s="12">
        <f>output_NHTS!B96/SUM(output_NHTS!B$95:B$97)</f>
        <v>0.27143752668130061</v>
      </c>
      <c r="C28" s="12">
        <f>output_NHTS!C96/SUM(output_NHTS!C$95:C$97)</f>
        <v>0.34494339910787153</v>
      </c>
      <c r="D28" s="12">
        <f>output_NHTS!D96/SUM(output_NHTS!D$95:D$97)</f>
        <v>0.10937758898343754</v>
      </c>
      <c r="E28" s="12">
        <f>output_NHTS!E96/SUM(output_NHTS!E$95:E$97)</f>
        <v>0.31053317082004372</v>
      </c>
      <c r="F28" s="12">
        <f>output_NHTS!F96/SUM(output_NHTS!F$95:F$97)</f>
        <v>0.11371304269612861</v>
      </c>
      <c r="G28" s="12">
        <f>output_NHTS!G96/SUM(output_NHTS!G$95:G$97)</f>
        <v>6.9227983476927726E-2</v>
      </c>
      <c r="H28" s="12">
        <f>output_NHTS!H96/SUM(output_NHTS!H$95:H$97)</f>
        <v>4.0092317775004792E-2</v>
      </c>
      <c r="I28" s="12">
        <f>output_NHTS!I96/SUM(output_NHTS!I$95:I$97)</f>
        <v>6.7689084149494733E-2</v>
      </c>
      <c r="J28" s="12">
        <f>output_NHTS!J96/SUM(output_NHTS!J$95:J$97)</f>
        <v>0.23742313026239634</v>
      </c>
      <c r="L28" s="48">
        <v>2</v>
      </c>
      <c r="M28" s="42">
        <f>output!B96/SUM(output!B$95:B$97)</f>
        <v>9.8141885568063289E-2</v>
      </c>
      <c r="N28" s="42">
        <f>output!C96/SUM(output!C$95:C$97)</f>
        <v>0.34257177542450706</v>
      </c>
      <c r="O28" s="42">
        <f>output!D96/SUM(output!D$95:D$97)</f>
        <v>0.22465482733530678</v>
      </c>
      <c r="P28" s="42">
        <f>output!E96/SUM(output!E$95:E$97)</f>
        <v>0.37644770496754199</v>
      </c>
      <c r="Q28" s="42">
        <f>output!F96/SUM(output!F$95:F$97)</f>
        <v>0.14960682965413272</v>
      </c>
      <c r="R28" s="42">
        <f>output!G96/SUM(output!G$95:G$97)</f>
        <v>0.11045514144791624</v>
      </c>
      <c r="S28" s="42">
        <f>output!H96/SUM(output!H$95:H$97)</f>
        <v>0.12701069927780176</v>
      </c>
      <c r="T28" s="42">
        <f>output!I96/SUM(output!I$95:I$97)</f>
        <v>7.0791664981678937E-2</v>
      </c>
      <c r="U28" s="42">
        <f>output!J96/SUM(output!J$95:J$97)</f>
        <v>0.21925865491191648</v>
      </c>
      <c r="W28" s="18">
        <v>2</v>
      </c>
      <c r="X28" s="12">
        <f si="7" t="shared"/>
        <v>-0.17329564111323731</v>
      </c>
      <c r="Y28" s="12">
        <f si="7" t="shared"/>
        <v>-2.3716236833644655E-3</v>
      </c>
      <c r="Z28" s="12">
        <f si="7" t="shared"/>
        <v>0.11527723835186925</v>
      </c>
      <c r="AA28" s="12">
        <f si="7" t="shared"/>
        <v>6.591453414749826E-2</v>
      </c>
      <c r="AB28" s="12">
        <f si="7" t="shared"/>
        <v>3.5893786958004104E-2</v>
      </c>
      <c r="AC28" s="12">
        <f si="7" t="shared"/>
        <v>4.1227157970988512E-2</v>
      </c>
      <c r="AD28" s="12">
        <f si="7" t="shared"/>
        <v>8.691838150279696E-2</v>
      </c>
      <c r="AE28" s="12">
        <f si="8" t="shared"/>
        <v>3.1025808321842041E-3</v>
      </c>
      <c r="AF28" s="12">
        <f si="8" t="shared"/>
        <v>-1.8164475350479853E-2</v>
      </c>
    </row>
    <row r="29" spans="1:32" x14ac:dyDescent="0.2">
      <c r="A29" s="18" t="s">
        <v>116</v>
      </c>
      <c r="B29" s="12">
        <f>output_NHTS!B97/SUM(output_NHTS!B$95:B$97)</f>
        <v>2.4573925870506611E-2</v>
      </c>
      <c r="C29" s="12">
        <f>output_NHTS!C97/SUM(output_NHTS!C$95:C$97)</f>
        <v>7.9991333005596077E-2</v>
      </c>
      <c r="D29" s="12">
        <f>output_NHTS!D97/SUM(output_NHTS!D$95:D$97)</f>
        <v>6.5980027946200438E-3</v>
      </c>
      <c r="E29" s="12">
        <f>output_NHTS!E97/SUM(output_NHTS!E$95:E$97)</f>
        <v>0.12047842491007121</v>
      </c>
      <c r="F29" s="12">
        <f>output_NHTS!F97/SUM(output_NHTS!F$95:F$97)</f>
        <v>3.3578456311169867E-2</v>
      </c>
      <c r="G29" s="12">
        <f>output_NHTS!G97/SUM(output_NHTS!G$95:G$97)</f>
        <v>0</v>
      </c>
      <c r="H29" s="12">
        <f>output_NHTS!H97/SUM(output_NHTS!H$95:H$97)</f>
        <v>0</v>
      </c>
      <c r="I29" s="12">
        <f>output_NHTS!I97/SUM(output_NHTS!I$95:I$97)</f>
        <v>0</v>
      </c>
      <c r="J29" s="12">
        <f>output_NHTS!J97/SUM(output_NHTS!J$95:J$97)</f>
        <v>5.411122878040945E-2</v>
      </c>
      <c r="L29" s="48">
        <v>3</v>
      </c>
      <c r="M29" s="43">
        <f>output!B97/SUM(output!B$95:B$97)</f>
        <v>1.5402422638187266E-2</v>
      </c>
      <c r="N29" s="43">
        <f>output!C97/SUM(output!C$95:C$97)</f>
        <v>5.7786490286383822E-2</v>
      </c>
      <c r="O29" s="43">
        <f>output!D97/SUM(output!D$95:D$97)</f>
        <v>3.9643079925708556E-2</v>
      </c>
      <c r="P29" s="43">
        <f>output!E97/SUM(output!E$95:E$97)</f>
        <v>6.1961696401438691E-2</v>
      </c>
      <c r="Q29" s="43">
        <f>output!F97/SUM(output!F$95:F$97)</f>
        <v>3.1967945745200128E-2</v>
      </c>
      <c r="R29" s="43">
        <f>output!G97/SUM(output!G$95:G$97)</f>
        <v>2.5187076302337408E-2</v>
      </c>
      <c r="S29" s="43">
        <f>output!H97/SUM(output!H$95:H$97)</f>
        <v>3.8925222734269821E-2</v>
      </c>
      <c r="T29" s="43">
        <f>output!I97/SUM(output!I$95:I$97)</f>
        <v>2.0960030194175291E-2</v>
      </c>
      <c r="U29" s="43">
        <f>output!J97/SUM(output!J$95:J$97)</f>
        <v>3.8392611946392784E-2</v>
      </c>
      <c r="W29" s="18">
        <v>3</v>
      </c>
      <c r="X29" s="12">
        <f si="7" t="shared"/>
        <v>-9.1715032323193453E-3</v>
      </c>
      <c r="Y29" s="12">
        <f si="7" t="shared"/>
        <v>-2.2204842719212255E-2</v>
      </c>
      <c r="Z29" s="12">
        <f si="7" t="shared"/>
        <v>3.3045077131088514E-2</v>
      </c>
      <c r="AA29" s="12">
        <f si="7" t="shared"/>
        <v>-5.8516728508632522E-2</v>
      </c>
      <c r="AB29" s="12">
        <f si="7" t="shared"/>
        <v>-1.6105105659697388E-3</v>
      </c>
      <c r="AC29" s="12">
        <f si="7" t="shared"/>
        <v>2.5187076302337408E-2</v>
      </c>
      <c r="AD29" s="12">
        <f si="7" t="shared"/>
        <v>3.8925222734269821E-2</v>
      </c>
      <c r="AE29" s="12">
        <f si="8" t="shared"/>
        <v>2.0960030194175291E-2</v>
      </c>
      <c r="AF29" s="12">
        <f si="8" t="shared"/>
        <v>-1.5718616834016666E-2</v>
      </c>
    </row>
    <row ht="13.5" r="30" spans="1:32" thickBot="1" x14ac:dyDescent="0.25">
      <c r="A30" s="21" t="s">
        <v>221</v>
      </c>
      <c r="B30" s="51">
        <f>SUM(B27:B29)</f>
        <v>1</v>
      </c>
      <c r="C30" s="51">
        <f ref="C30:J30" si="9" t="shared">SUM(C27:C29)</f>
        <v>1</v>
      </c>
      <c r="D30" s="51">
        <f si="9" t="shared"/>
        <v>1</v>
      </c>
      <c r="E30" s="51">
        <f si="9" t="shared"/>
        <v>1</v>
      </c>
      <c r="F30" s="51">
        <f si="9" t="shared"/>
        <v>0.99999999999999989</v>
      </c>
      <c r="G30" s="51">
        <f si="9" t="shared"/>
        <v>1</v>
      </c>
      <c r="H30" s="51">
        <f si="9" t="shared"/>
        <v>0.99999999999999989</v>
      </c>
      <c r="I30" s="51">
        <f si="9" t="shared"/>
        <v>1</v>
      </c>
      <c r="J30" s="51">
        <f si="9" t="shared"/>
        <v>0.99999999999999989</v>
      </c>
      <c r="L30" s="50" t="s">
        <v>221</v>
      </c>
      <c r="M30" s="44">
        <f>SUM(M27:M29)</f>
        <v>1</v>
      </c>
      <c r="N30" s="44">
        <f ref="N30:U30" si="10" t="shared">SUM(N27:N29)</f>
        <v>1</v>
      </c>
      <c r="O30" s="44">
        <f si="10" t="shared"/>
        <v>1</v>
      </c>
      <c r="P30" s="44">
        <f si="10" t="shared"/>
        <v>1</v>
      </c>
      <c r="Q30" s="44">
        <f si="10" t="shared"/>
        <v>1.0000000000000002</v>
      </c>
      <c r="R30" s="44">
        <f si="10" t="shared"/>
        <v>1</v>
      </c>
      <c r="S30" s="44">
        <f si="10" t="shared"/>
        <v>0.99999999999999978</v>
      </c>
      <c r="T30" s="44">
        <f si="10" t="shared"/>
        <v>1</v>
      </c>
      <c r="U30" s="44">
        <f si="10" t="shared"/>
        <v>1.0000000000000002</v>
      </c>
      <c r="W30" s="21" t="s">
        <v>221</v>
      </c>
      <c r="X30" s="14">
        <f si="7" t="shared"/>
        <v>0</v>
      </c>
      <c r="Y30" s="14">
        <f si="7" t="shared"/>
        <v>0</v>
      </c>
      <c r="Z30" s="14">
        <f si="7" t="shared"/>
        <v>0</v>
      </c>
      <c r="AA30" s="14">
        <f si="7" t="shared"/>
        <v>0</v>
      </c>
      <c r="AB30" s="14">
        <f si="7" t="shared"/>
        <v>0</v>
      </c>
      <c r="AC30" s="14">
        <f si="7" t="shared"/>
        <v>0</v>
      </c>
      <c r="AD30" s="14">
        <f si="7" t="shared"/>
        <v>0</v>
      </c>
      <c r="AE30" s="14">
        <f si="8" t="shared"/>
        <v>0</v>
      </c>
      <c r="AF30" s="14">
        <f si="8" t="shared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x14ac:dyDescent="0.2">
      <c r="A35" s="2" t="s">
        <v>203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264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205</v>
      </c>
      <c r="X35" s="42"/>
      <c r="Y35" s="42"/>
      <c r="Z35" s="42"/>
      <c r="AA35" s="42"/>
      <c r="AB35" s="42"/>
      <c r="AC35" s="42"/>
      <c r="AD35" s="42"/>
      <c r="AE35" s="42"/>
      <c r="AF35" s="42"/>
    </row>
    <row ht="13.5" r="36" spans="1:32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x14ac:dyDescent="0.2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243</v>
      </c>
      <c r="F37" s="6" t="s">
        <v>244</v>
      </c>
      <c r="G37" s="6" t="s">
        <v>245</v>
      </c>
      <c r="H37" s="6" t="s">
        <v>246</v>
      </c>
      <c r="I37" s="6" t="s">
        <v>170</v>
      </c>
      <c r="J37" s="6" t="s">
        <v>221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243</v>
      </c>
      <c r="Q37" s="41" t="s">
        <v>244</v>
      </c>
      <c r="R37" s="41" t="s">
        <v>245</v>
      </c>
      <c r="S37" s="41" t="s">
        <v>246</v>
      </c>
      <c r="T37" s="41" t="s">
        <v>170</v>
      </c>
      <c r="U37" s="41" t="s">
        <v>221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243</v>
      </c>
      <c r="AB37" s="41" t="s">
        <v>244</v>
      </c>
      <c r="AC37" s="41" t="s">
        <v>245</v>
      </c>
      <c r="AD37" s="41" t="s">
        <v>246</v>
      </c>
      <c r="AE37" s="41" t="s">
        <v>170</v>
      </c>
      <c r="AF37" s="41" t="s">
        <v>221</v>
      </c>
    </row>
    <row r="38" spans="1:32" x14ac:dyDescent="0.2">
      <c r="A38" s="18">
        <v>1</v>
      </c>
      <c r="B38" s="12">
        <f>output_NHTS!B102/SUM(output_NHTS!B$102:B$104)</f>
        <v>0.92670092020651507</v>
      </c>
      <c r="C38" s="12">
        <f>output_NHTS!C102/SUM(output_NHTS!C$102:C$104)</f>
        <v>0.82862999605660193</v>
      </c>
      <c r="D38" s="12">
        <f>output_NHTS!D102/SUM(output_NHTS!D$102:D$104)</f>
        <v>0.83884461012670031</v>
      </c>
      <c r="E38" s="12">
        <f>output_NHTS!E102/SUM(output_NHTS!E$102:E$104)</f>
        <v>0.87545525162487214</v>
      </c>
      <c r="F38" s="12">
        <f>output_NHTS!F102/SUM(output_NHTS!F$102:F$104)</f>
        <v>0.9433860814594841</v>
      </c>
      <c r="G38" s="12">
        <f>output_NHTS!G102/SUM(output_NHTS!G$102:G$104)</f>
        <v>0.99194099029700922</v>
      </c>
      <c r="H38" s="12">
        <f>output_NHTS!H102/SUM(output_NHTS!H$102:H$104)</f>
        <v>0.86842559772949368</v>
      </c>
      <c r="I38" s="12">
        <f>output_NHTS!I102/SUM(output_NHTS!I$102:I$104)</f>
        <v>0.79089781058862152</v>
      </c>
      <c r="J38" s="12">
        <f>output_NHTS!J102/SUM(output_NHTS!J$102:J$104)</f>
        <v>0.86828581559836637</v>
      </c>
      <c r="L38" s="48">
        <v>1</v>
      </c>
      <c r="M38" s="42">
        <f>output!B102/SUM(output!B$102:B$104)</f>
        <v>0.94137884439526798</v>
      </c>
      <c r="N38" s="42">
        <f>output!C102/SUM(output!C$102:C$104)</f>
        <v>0.86618438954551757</v>
      </c>
      <c r="O38" s="42">
        <f>output!D102/SUM(output!D$102:D$104)</f>
        <v>0.85046726716700816</v>
      </c>
      <c r="P38" s="42">
        <f>output!E102/SUM(output!E$102:E$104)</f>
        <v>0.84628502538870154</v>
      </c>
      <c r="Q38" s="42">
        <f>output!F102/SUM(output!F$102:F$104)</f>
        <v>0.90202921006041925</v>
      </c>
      <c r="R38" s="42">
        <f>output!G102/SUM(output!G$102:G$104)</f>
        <v>0.91542005187938835</v>
      </c>
      <c r="S38" s="42">
        <f>output!H102/SUM(output!H$102:H$104)</f>
        <v>0.90910197354105482</v>
      </c>
      <c r="T38" s="42">
        <f>output!I102/SUM(output!I$102:I$104)</f>
        <v>0.85554172088737712</v>
      </c>
      <c r="U38" s="42">
        <f>output!J102/SUM(output!J$102:J$104)</f>
        <v>0.87647441853131081</v>
      </c>
      <c r="W38" s="18">
        <v>1</v>
      </c>
      <c r="X38" s="12">
        <f ref="X38:AF41" si="11" t="shared">M38-B38</f>
        <v>1.4677924188752911E-2</v>
      </c>
      <c r="Y38" s="12">
        <f si="11" t="shared"/>
        <v>3.7554393488915649E-2</v>
      </c>
      <c r="Z38" s="12">
        <f si="11" t="shared"/>
        <v>1.1622657040307849E-2</v>
      </c>
      <c r="AA38" s="12">
        <f si="11" t="shared"/>
        <v>-2.9170226236170604E-2</v>
      </c>
      <c r="AB38" s="12">
        <f si="11" t="shared"/>
        <v>-4.1356871399064854E-2</v>
      </c>
      <c r="AC38" s="12">
        <f si="11" t="shared"/>
        <v>-7.6520938417620865E-2</v>
      </c>
      <c r="AD38" s="12">
        <f si="11" t="shared"/>
        <v>4.0676375811561138E-2</v>
      </c>
      <c r="AE38" s="12">
        <f si="11" t="shared"/>
        <v>6.4643910298755602E-2</v>
      </c>
      <c r="AF38" s="12">
        <f si="11" t="shared"/>
        <v>8.1886029329444332E-3</v>
      </c>
    </row>
    <row r="39" spans="1:32" x14ac:dyDescent="0.2">
      <c r="A39" s="18">
        <v>2</v>
      </c>
      <c r="B39" s="12">
        <f>output_NHTS!B103/SUM(output_NHTS!B$102:B$104)</f>
        <v>6.5771690373453567E-2</v>
      </c>
      <c r="C39" s="12">
        <f>output_NHTS!C103/SUM(output_NHTS!C$102:C$104)</f>
        <v>0.11161748021118377</v>
      </c>
      <c r="D39" s="12">
        <f>output_NHTS!D103/SUM(output_NHTS!D$102:D$104)</f>
        <v>0.13832678188881442</v>
      </c>
      <c r="E39" s="12">
        <f>output_NHTS!E103/SUM(output_NHTS!E$102:E$104)</f>
        <v>0.10673716039861204</v>
      </c>
      <c r="F39" s="12">
        <f>output_NHTS!F103/SUM(output_NHTS!F$102:F$104)</f>
        <v>4.6180951786720735E-2</v>
      </c>
      <c r="G39" s="12">
        <f>output_NHTS!G103/SUM(output_NHTS!G$102:G$104)</f>
        <v>8.0590097029907791E-3</v>
      </c>
      <c r="H39" s="12">
        <f>output_NHTS!H103/SUM(output_NHTS!H$102:H$104)</f>
        <v>8.1947089527110051E-2</v>
      </c>
      <c r="I39" s="12">
        <f>output_NHTS!I103/SUM(output_NHTS!I$102:I$104)</f>
        <v>0.16540508198978349</v>
      </c>
      <c r="J39" s="12">
        <f>output_NHTS!J103/SUM(output_NHTS!J$102:J$104)</f>
        <v>0.10588237609791973</v>
      </c>
      <c r="L39" s="48">
        <v>2</v>
      </c>
      <c r="M39" s="42">
        <f>output!B103/SUM(output!B$102:B$104)</f>
        <v>5.1138372526321488E-2</v>
      </c>
      <c r="N39" s="42">
        <f>output!C103/SUM(output!C$102:C$104)</f>
        <v>0.1184914139366703</v>
      </c>
      <c r="O39" s="42">
        <f>output!D103/SUM(output!D$102:D$104)</f>
        <v>0.13032810611695558</v>
      </c>
      <c r="P39" s="42">
        <f>output!E103/SUM(output!E$102:E$104)</f>
        <v>0.13412468040959072</v>
      </c>
      <c r="Q39" s="42">
        <f>output!F103/SUM(output!F$102:F$104)</f>
        <v>8.9304944971868819E-2</v>
      </c>
      <c r="R39" s="42">
        <f>output!G103/SUM(output!G$102:G$104)</f>
        <v>7.7796331788062653E-2</v>
      </c>
      <c r="S39" s="42">
        <f>output!H103/SUM(output!H$102:H$104)</f>
        <v>7.7472798211270608E-2</v>
      </c>
      <c r="T39" s="42">
        <f>output!I103/SUM(output!I$102:I$104)</f>
        <v>0.1259862085997227</v>
      </c>
      <c r="U39" s="42">
        <f>output!J103/SUM(output!J$102:J$104)</f>
        <v>0.10788522006019521</v>
      </c>
      <c r="W39" s="18">
        <v>2</v>
      </c>
      <c r="X39" s="12">
        <f si="11" t="shared"/>
        <v>-1.463331784713208E-2</v>
      </c>
      <c r="Y39" s="12">
        <f si="11" t="shared"/>
        <v>6.8739337254865307E-3</v>
      </c>
      <c r="Z39" s="12">
        <f si="11" t="shared"/>
        <v>-7.9986757718588375E-3</v>
      </c>
      <c r="AA39" s="12">
        <f si="11" t="shared"/>
        <v>2.7387520010978675E-2</v>
      </c>
      <c r="AB39" s="12">
        <f si="11" t="shared"/>
        <v>4.3123993185148084E-2</v>
      </c>
      <c r="AC39" s="12">
        <f si="11" t="shared"/>
        <v>6.9737322085071871E-2</v>
      </c>
      <c r="AD39" s="12">
        <f si="11" t="shared"/>
        <v>-4.4742913158394432E-3</v>
      </c>
      <c r="AE39" s="12">
        <f si="11" t="shared"/>
        <v>-3.9418873390060782E-2</v>
      </c>
      <c r="AF39" s="12">
        <f si="11" t="shared"/>
        <v>2.0028439622754857E-3</v>
      </c>
    </row>
    <row r="40" spans="1:32" x14ac:dyDescent="0.2">
      <c r="A40" s="23" t="s">
        <v>116</v>
      </c>
      <c r="B40" s="12">
        <f>output_NHTS!B104/SUM(output_NHTS!B$102:B$104)</f>
        <v>7.5273894200314252E-3</v>
      </c>
      <c r="C40" s="12">
        <f>output_NHTS!C104/SUM(output_NHTS!C$102:C$104)</f>
        <v>5.9752523732214388E-2</v>
      </c>
      <c r="D40" s="12">
        <f>output_NHTS!D104/SUM(output_NHTS!D$102:D$104)</f>
        <v>2.2828607984485352E-2</v>
      </c>
      <c r="E40" s="12">
        <f>output_NHTS!E104/SUM(output_NHTS!E$102:E$104)</f>
        <v>1.7807587976515847E-2</v>
      </c>
      <c r="F40" s="12">
        <f>output_NHTS!F104/SUM(output_NHTS!F$102:F$104)</f>
        <v>1.0432966753795268E-2</v>
      </c>
      <c r="G40" s="12">
        <f>output_NHTS!G104/SUM(output_NHTS!G$102:G$104)</f>
        <v>0</v>
      </c>
      <c r="H40" s="12">
        <f>output_NHTS!H104/SUM(output_NHTS!H$102:H$104)</f>
        <v>4.9627312743396289E-2</v>
      </c>
      <c r="I40" s="12">
        <f>output_NHTS!I104/SUM(output_NHTS!I$102:I$104)</f>
        <v>4.3697107421594973E-2</v>
      </c>
      <c r="J40" s="12">
        <f>output_NHTS!J104/SUM(output_NHTS!J$102:J$104)</f>
        <v>2.5831808303713968E-2</v>
      </c>
      <c r="L40" s="49" t="s">
        <v>116</v>
      </c>
      <c r="M40" s="43">
        <f>output!B104/SUM(output!B$102:B$104)</f>
        <v>7.4827830784105192E-3</v>
      </c>
      <c r="N40" s="43">
        <f>output!C104/SUM(output!C$102:C$104)</f>
        <v>1.5324196517812123E-2</v>
      </c>
      <c r="O40" s="43">
        <f>output!D104/SUM(output!D$102:D$104)</f>
        <v>1.9204626716036229E-2</v>
      </c>
      <c r="P40" s="43">
        <f>output!E104/SUM(output!E$102:E$104)</f>
        <v>1.9590294201707728E-2</v>
      </c>
      <c r="Q40" s="43">
        <f>output!F104/SUM(output!F$102:F$104)</f>
        <v>8.6658449677119651E-3</v>
      </c>
      <c r="R40" s="43">
        <f>output!G104/SUM(output!G$102:G$104)</f>
        <v>6.7836163325489703E-3</v>
      </c>
      <c r="S40" s="43">
        <f>output!H104/SUM(output!H$102:H$104)</f>
        <v>1.3425228247674597E-2</v>
      </c>
      <c r="T40" s="43">
        <f>output!I104/SUM(output!I$102:I$104)</f>
        <v>1.8472070512900098E-2</v>
      </c>
      <c r="U40" s="43">
        <f>output!J104/SUM(output!J$102:J$104)</f>
        <v>1.5640361408493803E-2</v>
      </c>
      <c r="W40" s="23" t="s">
        <v>116</v>
      </c>
      <c r="X40" s="12">
        <f si="11" t="shared"/>
        <v>-4.4606341620906029E-5</v>
      </c>
      <c r="Y40" s="12">
        <f si="11" t="shared"/>
        <v>-4.4428327214402263E-2</v>
      </c>
      <c r="Z40" s="12">
        <f si="11" t="shared"/>
        <v>-3.6239812684491224E-3</v>
      </c>
      <c r="AA40" s="12">
        <f si="11" t="shared"/>
        <v>1.782706225191881E-3</v>
      </c>
      <c r="AB40" s="12">
        <f si="11" t="shared"/>
        <v>-1.7671217860833026E-3</v>
      </c>
      <c r="AC40" s="12">
        <f si="11" t="shared"/>
        <v>6.7836163325489703E-3</v>
      </c>
      <c r="AD40" s="12">
        <f si="11" t="shared"/>
        <v>-3.6202084495721695E-2</v>
      </c>
      <c r="AE40" s="12">
        <f si="11" t="shared"/>
        <v>-2.5225036908694876E-2</v>
      </c>
      <c r="AF40" s="12">
        <f si="11" t="shared"/>
        <v>-1.0191446895220165E-2</v>
      </c>
    </row>
    <row ht="13.5" r="41" spans="1:32" thickBot="1" x14ac:dyDescent="0.25">
      <c r="A41" s="21" t="s">
        <v>221</v>
      </c>
      <c r="B41" s="51">
        <f>SUM(B38:B40)</f>
        <v>1</v>
      </c>
      <c r="C41" s="51">
        <f ref="C41:J41" si="12" t="shared">SUM(C38:C40)</f>
        <v>1</v>
      </c>
      <c r="D41" s="51">
        <f si="12" t="shared"/>
        <v>1</v>
      </c>
      <c r="E41" s="51">
        <f si="12" t="shared"/>
        <v>1</v>
      </c>
      <c r="F41" s="51">
        <f si="12" t="shared"/>
        <v>1.0000000000000002</v>
      </c>
      <c r="G41" s="51">
        <f si="12" t="shared"/>
        <v>1</v>
      </c>
      <c r="H41" s="51">
        <f si="12" t="shared"/>
        <v>1</v>
      </c>
      <c r="I41" s="51">
        <f si="12" t="shared"/>
        <v>0.99999999999999989</v>
      </c>
      <c r="J41" s="51">
        <f si="12" t="shared"/>
        <v>1</v>
      </c>
      <c r="L41" s="50" t="s">
        <v>221</v>
      </c>
      <c r="M41" s="51">
        <f>SUM(M38:M40)</f>
        <v>1</v>
      </c>
      <c r="N41" s="51">
        <f ref="N41:U41" si="13" t="shared">SUM(N38:N40)</f>
        <v>1</v>
      </c>
      <c r="O41" s="51">
        <f si="13" t="shared"/>
        <v>0.99999999999999989</v>
      </c>
      <c r="P41" s="51">
        <f si="13" t="shared"/>
        <v>1</v>
      </c>
      <c r="Q41" s="51">
        <f si="13" t="shared"/>
        <v>1</v>
      </c>
      <c r="R41" s="51">
        <f si="13" t="shared"/>
        <v>1</v>
      </c>
      <c r="S41" s="51">
        <f si="13" t="shared"/>
        <v>1</v>
      </c>
      <c r="T41" s="51">
        <f si="13" t="shared"/>
        <v>0.99999999999999989</v>
      </c>
      <c r="U41" s="51">
        <f si="13" t="shared"/>
        <v>0.99999999999999978</v>
      </c>
      <c r="W41" s="21" t="s">
        <v>221</v>
      </c>
      <c r="X41" s="14">
        <f si="11" t="shared"/>
        <v>0</v>
      </c>
      <c r="Y41" s="14">
        <f si="11" t="shared"/>
        <v>0</v>
      </c>
      <c r="Z41" s="14">
        <f si="11" t="shared"/>
        <v>0</v>
      </c>
      <c r="AA41" s="14">
        <f si="11" t="shared"/>
        <v>0</v>
      </c>
      <c r="AB41" s="14">
        <f si="11" t="shared"/>
        <v>0</v>
      </c>
      <c r="AC41" s="14">
        <f si="11" t="shared"/>
        <v>0</v>
      </c>
      <c r="AD41" s="14">
        <f si="11" t="shared"/>
        <v>0</v>
      </c>
      <c r="AE41" s="14">
        <f si="11" t="shared"/>
        <v>0</v>
      </c>
      <c r="AF41" s="14">
        <f si="11" t="shared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x14ac:dyDescent="0.2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x14ac:dyDescent="0.2">
      <c r="A46" s="2" t="s">
        <v>266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254</v>
      </c>
      <c r="X46" s="42"/>
      <c r="Y46" s="42"/>
      <c r="Z46" s="42"/>
      <c r="AA46" s="42"/>
      <c r="AB46" s="42"/>
      <c r="AC46" s="42"/>
      <c r="AD46" s="42"/>
      <c r="AE46" s="42"/>
      <c r="AF46" s="42"/>
    </row>
    <row ht="13.5" r="47" spans="1:32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x14ac:dyDescent="0.2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243</v>
      </c>
      <c r="F48" s="6" t="s">
        <v>244</v>
      </c>
      <c r="G48" s="6" t="s">
        <v>245</v>
      </c>
      <c r="H48" s="6" t="s">
        <v>246</v>
      </c>
      <c r="I48" s="6" t="s">
        <v>170</v>
      </c>
      <c r="J48" s="6" t="s">
        <v>221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243</v>
      </c>
      <c r="Q48" s="41" t="s">
        <v>244</v>
      </c>
      <c r="R48" s="41" t="s">
        <v>245</v>
      </c>
      <c r="S48" s="41" t="s">
        <v>246</v>
      </c>
      <c r="T48" s="41" t="s">
        <v>170</v>
      </c>
      <c r="U48" s="41" t="s">
        <v>221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243</v>
      </c>
      <c r="AB48" s="41" t="s">
        <v>244</v>
      </c>
      <c r="AC48" s="41" t="s">
        <v>245</v>
      </c>
      <c r="AD48" s="41" t="s">
        <v>246</v>
      </c>
      <c r="AE48" s="41" t="s">
        <v>170</v>
      </c>
      <c r="AF48" s="41" t="s">
        <v>221</v>
      </c>
    </row>
    <row r="49" spans="1:32" x14ac:dyDescent="0.2">
      <c r="A49" s="18">
        <v>1</v>
      </c>
      <c r="B49" s="12">
        <f>output_NHTS!B109/SUM(output_NHTS!B$109:B$111)</f>
        <v>0.93263826510124248</v>
      </c>
      <c r="C49" s="12">
        <f>output_NHTS!C109/SUM(output_NHTS!C$109:C$111)</f>
        <v>0.9397479316463897</v>
      </c>
      <c r="D49" s="12">
        <f>output_NHTS!D109/SUM(output_NHTS!D$109:D$111)</f>
        <v>0.90370748875842277</v>
      </c>
      <c r="E49" s="12">
        <f>output_NHTS!E109/SUM(output_NHTS!E$109:E$111)</f>
        <v>0.91251326232291885</v>
      </c>
      <c r="F49" s="12">
        <f>output_NHTS!F109/SUM(output_NHTS!F$109:F$111)</f>
        <v>0.88239635002399019</v>
      </c>
      <c r="G49" s="12">
        <f>output_NHTS!G109/SUM(output_NHTS!G$109:G$111)</f>
        <v>1</v>
      </c>
      <c r="H49" s="12">
        <f>output_NHTS!H109/SUM(output_NHTS!H$109:H$111)</f>
        <v>0.97810350563850124</v>
      </c>
      <c r="I49" s="12">
        <f>output_NHTS!I109/SUM(output_NHTS!I$109:I$111)</f>
        <v>0.97323339240300055</v>
      </c>
      <c r="J49" s="12">
        <f>output_NHTS!J109/SUM(output_NHTS!J$109:J$111)</f>
        <v>0.92734515856852873</v>
      </c>
      <c r="L49" s="48">
        <v>1</v>
      </c>
      <c r="M49" s="42">
        <f>output!B109/SUM(output!B$109:B$111)</f>
        <v>0.94161778765422988</v>
      </c>
      <c r="N49" s="42">
        <f>output!C109/SUM(output!C$109:C$111)</f>
        <v>0.91983286405405629</v>
      </c>
      <c r="O49" s="42">
        <f>output!D109/SUM(output!D$109:D$111)</f>
        <v>0.90316688067073769</v>
      </c>
      <c r="P49" s="42">
        <f>output!E109/SUM(output!E$109:E$111)</f>
        <v>0.88833944678217069</v>
      </c>
      <c r="Q49" s="42">
        <f>output!F109/SUM(output!F$109:F$111)</f>
        <v>0.89761967666209463</v>
      </c>
      <c r="R49" s="42">
        <f>output!G109/SUM(output!G$109:G$111)</f>
        <v>0.92725405260507843</v>
      </c>
      <c r="S49" s="42">
        <f>output!H109/SUM(output!H$109:H$111)</f>
        <v>0.32318466071866586</v>
      </c>
      <c r="T49" s="42">
        <f>output!I109/SUM(output!I$109:I$111)</f>
        <v>0.67031309320405552</v>
      </c>
      <c r="U49" s="42">
        <f>output!J109/SUM(output!J$109:J$111)</f>
        <v>0.8693707248417587</v>
      </c>
      <c r="W49" s="18">
        <v>1</v>
      </c>
      <c r="X49" s="12">
        <f ref="X49:AF52" si="14" t="shared">M49-B49</f>
        <v>8.9795225529873957E-3</v>
      </c>
      <c r="Y49" s="12">
        <f si="14" t="shared"/>
        <v>-1.9915067592333413E-2</v>
      </c>
      <c r="Z49" s="12">
        <f si="14" t="shared"/>
        <v>-5.406080876850794E-4</v>
      </c>
      <c r="AA49" s="12">
        <f si="14" t="shared"/>
        <v>-2.4173815540748156E-2</v>
      </c>
      <c r="AB49" s="12">
        <f si="14" t="shared"/>
        <v>1.522332663810444E-2</v>
      </c>
      <c r="AC49" s="12">
        <f si="14" t="shared"/>
        <v>-7.2745947394921573E-2</v>
      </c>
      <c r="AD49" s="12">
        <f si="14" t="shared"/>
        <v>-0.65491884491983532</v>
      </c>
      <c r="AE49" s="12">
        <f si="14" t="shared"/>
        <v>-0.30292029919894503</v>
      </c>
      <c r="AF49" s="12">
        <f si="14" t="shared"/>
        <v>-5.7974433726770025E-2</v>
      </c>
    </row>
    <row r="50" spans="1:32" x14ac:dyDescent="0.2">
      <c r="A50" s="18">
        <v>2</v>
      </c>
      <c r="B50" s="12">
        <f>output_NHTS!B110/SUM(output_NHTS!B$109:B$111)</f>
        <v>6.3110945831371973E-2</v>
      </c>
      <c r="C50" s="12">
        <f>output_NHTS!C110/SUM(output_NHTS!C$109:C$111)</f>
        <v>6.0252068353610279E-2</v>
      </c>
      <c r="D50" s="12">
        <f>output_NHTS!D110/SUM(output_NHTS!D$109:D$111)</f>
        <v>9.6292511241577242E-2</v>
      </c>
      <c r="E50" s="12">
        <f>output_NHTS!E110/SUM(output_NHTS!E$109:E$111)</f>
        <v>8.4749500951027817E-2</v>
      </c>
      <c r="F50" s="12">
        <f>output_NHTS!F110/SUM(output_NHTS!F$109:F$111)</f>
        <v>0.11760364997600985</v>
      </c>
      <c r="G50" s="12">
        <f>output_NHTS!G110/SUM(output_NHTS!G$109:G$111)</f>
        <v>0</v>
      </c>
      <c r="H50" s="12">
        <f>output_NHTS!H110/SUM(output_NHTS!H$109:H$111)</f>
        <v>1.2217122758890987E-2</v>
      </c>
      <c r="I50" s="12">
        <f>output_NHTS!I110/SUM(output_NHTS!I$109:I$111)</f>
        <v>2.6766607596999458E-2</v>
      </c>
      <c r="J50" s="12">
        <f>output_NHTS!J110/SUM(output_NHTS!J$109:J$111)</f>
        <v>7.039639038171977E-2</v>
      </c>
      <c r="L50" s="48">
        <v>2</v>
      </c>
      <c r="M50" s="42">
        <f>output!B110/SUM(output!B$109:B$111)</f>
        <v>5.190785759540878E-2</v>
      </c>
      <c r="N50" s="42">
        <f>output!C110/SUM(output!C$109:C$111)</f>
        <v>6.6686451574359082E-2</v>
      </c>
      <c r="O50" s="42">
        <f>output!D110/SUM(output!D$109:D$111)</f>
        <v>7.434868597849692E-2</v>
      </c>
      <c r="P50" s="42">
        <f>output!E110/SUM(output!E$109:E$111)</f>
        <v>8.5967743191034979E-2</v>
      </c>
      <c r="Q50" s="42">
        <f>output!F110/SUM(output!F$109:F$111)</f>
        <v>6.3303712123650824E-2</v>
      </c>
      <c r="R50" s="42">
        <f>output!G110/SUM(output!G$109:G$111)</f>
        <v>7.1475813748562433E-2</v>
      </c>
      <c r="S50" s="42">
        <f>output!H110/SUM(output!H$109:H$111)</f>
        <v>2.3731761616742106E-2</v>
      </c>
      <c r="T50" s="42">
        <f>output!I110/SUM(output!I$109:I$111)</f>
        <v>4.3885651517936254E-2</v>
      </c>
      <c r="U50" s="42">
        <f>output!J110/SUM(output!J$109:J$111)</f>
        <v>6.7197854705682597E-2</v>
      </c>
      <c r="W50" s="18">
        <v>2</v>
      </c>
      <c r="X50" s="12">
        <f si="14" t="shared"/>
        <v>-1.1203088235963193E-2</v>
      </c>
      <c r="Y50" s="12">
        <f si="14" t="shared"/>
        <v>6.434383220748803E-3</v>
      </c>
      <c r="Z50" s="12">
        <f si="14" t="shared"/>
        <v>-2.1943825263080322E-2</v>
      </c>
      <c r="AA50" s="12">
        <f si="14" t="shared"/>
        <v>1.2182422400071613E-3</v>
      </c>
      <c r="AB50" s="12">
        <f si="14" t="shared"/>
        <v>-5.4299937852359023E-2</v>
      </c>
      <c r="AC50" s="12">
        <f si="14" t="shared"/>
        <v>7.1475813748562433E-2</v>
      </c>
      <c r="AD50" s="12">
        <f si="14" t="shared"/>
        <v>1.1514638857851119E-2</v>
      </c>
      <c r="AE50" s="12">
        <f si="14" t="shared"/>
        <v>1.7119043920936796E-2</v>
      </c>
      <c r="AF50" s="12">
        <f si="14" t="shared"/>
        <v>-3.198535676037173E-3</v>
      </c>
    </row>
    <row r="51" spans="1:32" x14ac:dyDescent="0.2">
      <c r="A51" s="23" t="s">
        <v>116</v>
      </c>
      <c r="B51" s="12">
        <f>output_NHTS!B111/SUM(output_NHTS!B$109:B$111)</f>
        <v>4.2507890673855247E-3</v>
      </c>
      <c r="C51" s="12">
        <f>output_NHTS!C111/SUM(output_NHTS!C$109:C$111)</f>
        <v>0</v>
      </c>
      <c r="D51" s="12">
        <f>output_NHTS!D111/SUM(output_NHTS!D$109:D$111)</f>
        <v>0</v>
      </c>
      <c r="E51" s="12">
        <f>output_NHTS!E111/SUM(output_NHTS!E$109:E$111)</f>
        <v>2.7372367260533803E-3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9.6793716026077458E-3</v>
      </c>
      <c r="I51" s="12">
        <f>output_NHTS!I111/SUM(output_NHTS!I$109:I$111)</f>
        <v>0</v>
      </c>
      <c r="J51" s="12">
        <f>output_NHTS!J111/SUM(output_NHTS!J$109:J$111)</f>
        <v>2.2584510497514151E-3</v>
      </c>
      <c r="L51" s="49" t="s">
        <v>116</v>
      </c>
      <c r="M51" s="43">
        <f>output!B111/SUM(output!B$109:B$111)</f>
        <v>6.4743547503612938E-3</v>
      </c>
      <c r="N51" s="43">
        <f>output!C111/SUM(output!C$109:C$111)</f>
        <v>1.3480684371584652E-2</v>
      </c>
      <c r="O51" s="43">
        <f>output!D111/SUM(output!D$109:D$111)</f>
        <v>2.2484433350765321E-2</v>
      </c>
      <c r="P51" s="43">
        <f>output!E111/SUM(output!E$109:E$111)</f>
        <v>2.5692810026794362E-2</v>
      </c>
      <c r="Q51" s="43">
        <f>output!F111/SUM(output!F$109:F$111)</f>
        <v>3.907661121425457E-2</v>
      </c>
      <c r="R51" s="43">
        <f>output!G111/SUM(output!G$109:G$111)</f>
        <v>1.2701336463591174E-3</v>
      </c>
      <c r="S51" s="43">
        <f>output!H111/SUM(output!H$109:H$111)</f>
        <v>0.65308357766459202</v>
      </c>
      <c r="T51" s="43">
        <f>output!I111/SUM(output!I$109:I$111)</f>
        <v>0.2858012552780082</v>
      </c>
      <c r="U51" s="43">
        <f>output!J111/SUM(output!J$109:J$111)</f>
        <v>6.3431420452558757E-2</v>
      </c>
      <c r="W51" s="23" t="s">
        <v>116</v>
      </c>
      <c r="X51" s="12">
        <f si="14" t="shared"/>
        <v>2.2235656829757691E-3</v>
      </c>
      <c r="Y51" s="12">
        <f si="14" t="shared"/>
        <v>1.3480684371584652E-2</v>
      </c>
      <c r="Z51" s="12">
        <f si="14" t="shared"/>
        <v>2.2484433350765321E-2</v>
      </c>
      <c r="AA51" s="12">
        <f si="14" t="shared"/>
        <v>2.2955573300740981E-2</v>
      </c>
      <c r="AB51" s="12">
        <f si="14" t="shared"/>
        <v>3.907661121425457E-2</v>
      </c>
      <c r="AC51" s="12">
        <f si="14" t="shared"/>
        <v>1.2701336463591174E-3</v>
      </c>
      <c r="AD51" s="12">
        <f si="14" t="shared"/>
        <v>0.64340420606198423</v>
      </c>
      <c r="AE51" s="12">
        <f si="14" t="shared"/>
        <v>0.2858012552780082</v>
      </c>
      <c r="AF51" s="12">
        <f si="14" t="shared"/>
        <v>6.1172969402807344E-2</v>
      </c>
    </row>
    <row ht="13.5" r="52" spans="1:32" thickBot="1" x14ac:dyDescent="0.25">
      <c r="A52" s="21" t="s">
        <v>221</v>
      </c>
      <c r="B52" s="51">
        <f>SUM(B49:B51)</f>
        <v>1</v>
      </c>
      <c r="C52" s="51">
        <f ref="C52:J52" si="15" t="shared">SUM(C49:C51)</f>
        <v>1</v>
      </c>
      <c r="D52" s="51">
        <f si="15" t="shared"/>
        <v>1</v>
      </c>
      <c r="E52" s="51">
        <f si="15" t="shared"/>
        <v>1</v>
      </c>
      <c r="F52" s="51">
        <f si="15" t="shared"/>
        <v>1</v>
      </c>
      <c r="G52" s="51">
        <f si="15" t="shared"/>
        <v>1</v>
      </c>
      <c r="H52" s="51">
        <f si="15" t="shared"/>
        <v>1</v>
      </c>
      <c r="I52" s="51">
        <f si="15" t="shared"/>
        <v>1</v>
      </c>
      <c r="J52" s="51">
        <f si="15" t="shared"/>
        <v>0.99999999999999989</v>
      </c>
      <c r="L52" s="50" t="s">
        <v>221</v>
      </c>
      <c r="M52" s="51">
        <f>SUM(M49:M51)</f>
        <v>0.99999999999999989</v>
      </c>
      <c r="N52" s="51">
        <f ref="N52:U52" si="16" t="shared">SUM(N49:N51)</f>
        <v>1</v>
      </c>
      <c r="O52" s="51">
        <f si="16" t="shared"/>
        <v>0.99999999999999989</v>
      </c>
      <c r="P52" s="51">
        <f si="16" t="shared"/>
        <v>1</v>
      </c>
      <c r="Q52" s="51">
        <f si="16" t="shared"/>
        <v>1</v>
      </c>
      <c r="R52" s="51">
        <f si="16" t="shared"/>
        <v>0.99999999999999989</v>
      </c>
      <c r="S52" s="51">
        <f si="16" t="shared"/>
        <v>1</v>
      </c>
      <c r="T52" s="51">
        <f si="16" t="shared"/>
        <v>1</v>
      </c>
      <c r="U52" s="51">
        <f si="16" t="shared"/>
        <v>1</v>
      </c>
      <c r="W52" s="21" t="s">
        <v>221</v>
      </c>
      <c r="X52" s="14">
        <f si="14" t="shared"/>
        <v>0</v>
      </c>
      <c r="Y52" s="14">
        <f si="14" t="shared"/>
        <v>0</v>
      </c>
      <c r="Z52" s="14">
        <f si="14" t="shared"/>
        <v>0</v>
      </c>
      <c r="AA52" s="14">
        <f si="14" t="shared"/>
        <v>0</v>
      </c>
      <c r="AB52" s="14">
        <f si="14" t="shared"/>
        <v>0</v>
      </c>
      <c r="AC52" s="14">
        <f si="14" t="shared"/>
        <v>0</v>
      </c>
      <c r="AD52" s="14">
        <f si="14" t="shared"/>
        <v>0</v>
      </c>
      <c r="AE52" s="14">
        <f si="14" t="shared"/>
        <v>0</v>
      </c>
      <c r="AF52" s="14">
        <f si="14" t="shared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x14ac:dyDescent="0.2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x14ac:dyDescent="0.2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255</v>
      </c>
      <c r="X57" s="42"/>
      <c r="Y57" s="42"/>
      <c r="Z57" s="42"/>
      <c r="AA57" s="42"/>
      <c r="AB57" s="42"/>
      <c r="AC57" s="42"/>
      <c r="AD57" s="42"/>
      <c r="AE57" s="42"/>
      <c r="AF57" s="42"/>
    </row>
    <row ht="13.5" r="58" spans="1:32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x14ac:dyDescent="0.2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243</v>
      </c>
      <c r="F59" s="6" t="s">
        <v>244</v>
      </c>
      <c r="G59" s="6" t="s">
        <v>245</v>
      </c>
      <c r="H59" s="6" t="s">
        <v>246</v>
      </c>
      <c r="I59" s="6" t="s">
        <v>170</v>
      </c>
      <c r="J59" s="6" t="s">
        <v>221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243</v>
      </c>
      <c r="Q59" s="41" t="s">
        <v>244</v>
      </c>
      <c r="R59" s="41" t="s">
        <v>245</v>
      </c>
      <c r="S59" s="41" t="s">
        <v>246</v>
      </c>
      <c r="T59" s="41" t="s">
        <v>170</v>
      </c>
      <c r="U59" s="41" t="s">
        <v>221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243</v>
      </c>
      <c r="AB59" s="41" t="s">
        <v>244</v>
      </c>
      <c r="AC59" s="41" t="s">
        <v>245</v>
      </c>
      <c r="AD59" s="41" t="s">
        <v>246</v>
      </c>
      <c r="AE59" s="41" t="s">
        <v>170</v>
      </c>
      <c r="AF59" s="41" t="s">
        <v>221</v>
      </c>
    </row>
    <row r="60" spans="1:32" x14ac:dyDescent="0.2">
      <c r="A60" s="18">
        <v>1</v>
      </c>
      <c r="B60" s="12">
        <f>output_NHTS!B116/SUM(output_NHTS!B$116:B$118)</f>
        <v>0.98006876930274367</v>
      </c>
      <c r="C60" s="12">
        <f>output_NHTS!C116/SUM(output_NHTS!C$116:C$118)</f>
        <v>0.90254510580803049</v>
      </c>
      <c r="D60" s="12">
        <f>output_NHTS!D116/SUM(output_NHTS!D$116:D$118)</f>
        <v>0.94119380976380584</v>
      </c>
      <c r="E60" s="12">
        <f>output_NHTS!E116/SUM(output_NHTS!E$116:E$118)</f>
        <v>0.93539765370572059</v>
      </c>
      <c r="F60" s="12">
        <f>output_NHTS!F116/SUM(output_NHTS!F$116:F$118)</f>
        <v>0.97998942759262686</v>
      </c>
      <c r="G60" s="12" t="e">
        <f>output_NHTS!G116/SUM(output_NHTS!G$116:G$118)</f>
        <v>#DIV/0!</v>
      </c>
      <c r="H60" s="12">
        <f>output_NHTS!H116/SUM(output_NHTS!H$116:H$118)</f>
        <v>1</v>
      </c>
      <c r="I60" s="12">
        <f>output_NHTS!I116/SUM(output_NHTS!I$116:I$118)</f>
        <v>1</v>
      </c>
      <c r="J60" s="12">
        <f>output_NHTS!J116/SUM(output_NHTS!J$116:J$118)</f>
        <v>0.95639450069830945</v>
      </c>
      <c r="L60" s="48">
        <v>1</v>
      </c>
      <c r="M60" s="42">
        <f>output!B116/SUM(output!B$116:B$118)</f>
        <v>0.99143779776567142</v>
      </c>
      <c r="N60" s="42">
        <f>output!C116/SUM(output!C$116:C$118)</f>
        <v>0.93436815689485575</v>
      </c>
      <c r="O60" s="42">
        <f>output!D116/SUM(output!D$116:D$118)</f>
        <v>0.8976593283355444</v>
      </c>
      <c r="P60" s="42">
        <f>output!E116/SUM(output!E$116:E$118)</f>
        <v>0.96206810545056087</v>
      </c>
      <c r="Q60" s="42">
        <f>output!F116/SUM(output!F$116:F$118)</f>
        <v>0.98139758266249399</v>
      </c>
      <c r="R60" s="42">
        <f>output!G116/SUM(output!G$116:G$118)</f>
        <v>0.98914674934152547</v>
      </c>
      <c r="S60" s="42">
        <f>output!H116/SUM(output!H$116:H$118)</f>
        <v>0.99897106065316865</v>
      </c>
      <c r="T60" s="42">
        <f>output!I116/SUM(output!I$116:I$118)</f>
        <v>0.9956342593700549</v>
      </c>
      <c r="U60" s="42">
        <f>output!J116/SUM(output!J$116:J$118)</f>
        <v>0.96443252114449118</v>
      </c>
      <c r="W60" s="18">
        <v>1</v>
      </c>
      <c r="X60" s="12">
        <f ref="X60:AF63" si="17" t="shared">M60-B60</f>
        <v>1.1369028462927755E-2</v>
      </c>
      <c r="Y60" s="12">
        <f si="17" t="shared"/>
        <v>3.182305108682526E-2</v>
      </c>
      <c r="Z60" s="12">
        <f si="17" t="shared"/>
        <v>-4.353448142826144E-2</v>
      </c>
      <c r="AA60" s="12">
        <f si="17" t="shared"/>
        <v>2.6670451744840284E-2</v>
      </c>
      <c r="AB60" s="12">
        <f si="17" t="shared"/>
        <v>1.4081550698671341E-3</v>
      </c>
      <c r="AC60" s="12" t="e">
        <f si="17" t="shared"/>
        <v>#DIV/0!</v>
      </c>
      <c r="AD60" s="12">
        <f si="17" t="shared"/>
        <v>-1.0289393468313479E-3</v>
      </c>
      <c r="AE60" s="12">
        <f si="17" t="shared"/>
        <v>-4.3657406299451029E-3</v>
      </c>
      <c r="AF60" s="12">
        <f si="17" t="shared"/>
        <v>8.0380204461817373E-3</v>
      </c>
    </row>
    <row r="61" spans="1:32" x14ac:dyDescent="0.2">
      <c r="A61" s="18">
        <v>2</v>
      </c>
      <c r="B61" s="12">
        <f>output_NHTS!B117/SUM(output_NHTS!B$116:B$118)</f>
        <v>1.9931230697256361E-2</v>
      </c>
      <c r="C61" s="12">
        <f>output_NHTS!C117/SUM(output_NHTS!C$116:C$118)</f>
        <v>9.7454894191969482E-2</v>
      </c>
      <c r="D61" s="12">
        <f>output_NHTS!D117/SUM(output_NHTS!D$116:D$118)</f>
        <v>5.8806190236194156E-2</v>
      </c>
      <c r="E61" s="12">
        <f>output_NHTS!E117/SUM(output_NHTS!E$116:E$118)</f>
        <v>6.4602346294279425E-2</v>
      </c>
      <c r="F61" s="12">
        <f>output_NHTS!F117/SUM(output_NHTS!F$116:F$118)</f>
        <v>2.0010572407373035E-2</v>
      </c>
      <c r="G61" s="12" t="e">
        <f>output_NHTS!G117/SUM(output_NHTS!G$116:G$118)</f>
        <v>#DIV/0!</v>
      </c>
      <c r="H61" s="12">
        <f>output_NHTS!H117/SUM(output_NHTS!H$116:H$118)</f>
        <v>0</v>
      </c>
      <c r="I61" s="12">
        <f>output_NHTS!I117/SUM(output_NHTS!I$116:I$118)</f>
        <v>0</v>
      </c>
      <c r="J61" s="12">
        <f>output_NHTS!J117/SUM(output_NHTS!J$116:J$118)</f>
        <v>4.360549930169056E-2</v>
      </c>
      <c r="L61" s="48">
        <v>2</v>
      </c>
      <c r="M61" s="42">
        <f>output!B117/SUM(output!B$116:B$118)</f>
        <v>8.5622022343285614E-3</v>
      </c>
      <c r="N61" s="42">
        <f>output!C117/SUM(output!C$116:C$118)</f>
        <v>6.5631843105144236E-2</v>
      </c>
      <c r="O61" s="42">
        <f>output!D117/SUM(output!D$116:D$118)</f>
        <v>0.10234067166445558</v>
      </c>
      <c r="P61" s="42">
        <f>output!E117/SUM(output!E$116:E$118)</f>
        <v>3.7931894549439134E-2</v>
      </c>
      <c r="Q61" s="42">
        <f>output!F117/SUM(output!F$116:F$118)</f>
        <v>1.8602417337506082E-2</v>
      </c>
      <c r="R61" s="42">
        <f>output!G117/SUM(output!G$116:G$118)</f>
        <v>1.0853250658474515E-2</v>
      </c>
      <c r="S61" s="42">
        <f>output!H117/SUM(output!H$116:H$118)</f>
        <v>1.0289393468312883E-3</v>
      </c>
      <c r="T61" s="42">
        <f>output!I117/SUM(output!I$116:I$118)</f>
        <v>4.3657406299451706E-3</v>
      </c>
      <c r="U61" s="42">
        <f>output!J117/SUM(output!J$116:J$118)</f>
        <v>3.5567478855508733E-2</v>
      </c>
      <c r="W61" s="18">
        <v>2</v>
      </c>
      <c r="X61" s="12">
        <f si="17" t="shared"/>
        <v>-1.13690284629278E-2</v>
      </c>
      <c r="Y61" s="12">
        <f si="17" t="shared"/>
        <v>-3.1823051086825246E-2</v>
      </c>
      <c r="Z61" s="12">
        <f si="17" t="shared"/>
        <v>4.3534481428261426E-2</v>
      </c>
      <c r="AA61" s="12">
        <f si="17" t="shared"/>
        <v>-2.6670451744840291E-2</v>
      </c>
      <c r="AB61" s="12">
        <f si="17" t="shared"/>
        <v>-1.4081550698669537E-3</v>
      </c>
      <c r="AC61" s="12" t="e">
        <f si="17" t="shared"/>
        <v>#DIV/0!</v>
      </c>
      <c r="AD61" s="12">
        <f si="17" t="shared"/>
        <v>1.0289393468312883E-3</v>
      </c>
      <c r="AE61" s="12">
        <f si="17" t="shared"/>
        <v>4.3657406299451706E-3</v>
      </c>
      <c r="AF61" s="12">
        <f si="17" t="shared"/>
        <v>-8.0380204461818275E-3</v>
      </c>
    </row>
    <row r="62" spans="1:32" x14ac:dyDescent="0.2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0</v>
      </c>
      <c r="G62" s="12" t="e">
        <f>output_NHTS!G118/SUM(output_NHTS!G$116:G$118)</f>
        <v>#DIV/0!</v>
      </c>
      <c r="H62" s="12">
        <f>output_NHTS!H118/SUM(output_NHTS!H$116:H$118)</f>
        <v>0</v>
      </c>
      <c r="I62" s="12">
        <f>output_NHTS!I118/SUM(output_NHTS!I$116:I$118)</f>
        <v>0</v>
      </c>
      <c r="J62" s="12">
        <f>output_NHTS!J118/SUM(output_NHTS!J$116:J$118)</f>
        <v>0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>
        <f>output!I118/SUM(output!I$116:I$118)</f>
        <v>0</v>
      </c>
      <c r="U62" s="43">
        <f>output!J118/SUM(output!J$116:J$118)</f>
        <v>0</v>
      </c>
      <c r="W62" s="23" t="s">
        <v>116</v>
      </c>
      <c r="X62" s="12">
        <f si="17" t="shared"/>
        <v>0</v>
      </c>
      <c r="Y62" s="12">
        <f si="17" t="shared"/>
        <v>0</v>
      </c>
      <c r="Z62" s="12">
        <f si="17" t="shared"/>
        <v>0</v>
      </c>
      <c r="AA62" s="12">
        <f si="17" t="shared"/>
        <v>0</v>
      </c>
      <c r="AB62" s="12">
        <f si="17" t="shared"/>
        <v>0</v>
      </c>
      <c r="AC62" s="12" t="e">
        <f si="17" t="shared"/>
        <v>#DIV/0!</v>
      </c>
      <c r="AD62" s="12">
        <f si="17" t="shared"/>
        <v>0</v>
      </c>
      <c r="AE62" s="12">
        <f si="17" t="shared"/>
        <v>0</v>
      </c>
      <c r="AF62" s="12">
        <f si="17" t="shared"/>
        <v>0</v>
      </c>
    </row>
    <row ht="13.5" r="63" spans="1:32" thickBot="1" x14ac:dyDescent="0.25">
      <c r="A63" s="21" t="s">
        <v>221</v>
      </c>
      <c r="B63" s="51">
        <f>SUM(B60:B62)</f>
        <v>1</v>
      </c>
      <c r="C63" s="51">
        <f ref="C63:J63" si="18" t="shared">SUM(C60:C62)</f>
        <v>1</v>
      </c>
      <c r="D63" s="51">
        <f si="18" t="shared"/>
        <v>1</v>
      </c>
      <c r="E63" s="51">
        <f si="18" t="shared"/>
        <v>1</v>
      </c>
      <c r="F63" s="51">
        <f si="18" t="shared"/>
        <v>0.99999999999999989</v>
      </c>
      <c r="G63" s="51" t="e">
        <f si="18" t="shared"/>
        <v>#DIV/0!</v>
      </c>
      <c r="H63" s="51">
        <f si="18" t="shared"/>
        <v>1</v>
      </c>
      <c r="I63" s="51">
        <f si="18" t="shared"/>
        <v>1</v>
      </c>
      <c r="J63" s="51">
        <f si="18" t="shared"/>
        <v>1</v>
      </c>
      <c r="L63" s="50" t="s">
        <v>221</v>
      </c>
      <c r="M63" s="51">
        <f>SUM(M60:M62)</f>
        <v>1</v>
      </c>
      <c r="N63" s="51">
        <f ref="N63:U63" si="19" t="shared">SUM(N60:N62)</f>
        <v>1</v>
      </c>
      <c r="O63" s="51">
        <f si="19" t="shared"/>
        <v>1</v>
      </c>
      <c r="P63" s="51">
        <f si="19" t="shared"/>
        <v>1</v>
      </c>
      <c r="Q63" s="51">
        <f si="19" t="shared"/>
        <v>1</v>
      </c>
      <c r="R63" s="51">
        <f si="19" t="shared"/>
        <v>1</v>
      </c>
      <c r="S63" s="51">
        <f si="19" t="shared"/>
        <v>0.99999999999999989</v>
      </c>
      <c r="T63" s="51">
        <f si="19" t="shared"/>
        <v>1</v>
      </c>
      <c r="U63" s="51">
        <f si="19" t="shared"/>
        <v>0.99999999999999989</v>
      </c>
      <c r="W63" s="21" t="s">
        <v>221</v>
      </c>
      <c r="X63" s="14">
        <f si="17" t="shared"/>
        <v>0</v>
      </c>
      <c r="Y63" s="14">
        <f si="17" t="shared"/>
        <v>0</v>
      </c>
      <c r="Z63" s="14">
        <f si="17" t="shared"/>
        <v>0</v>
      </c>
      <c r="AA63" s="14">
        <f si="17" t="shared"/>
        <v>0</v>
      </c>
      <c r="AB63" s="14">
        <f si="17" t="shared"/>
        <v>0</v>
      </c>
      <c r="AC63" s="14" t="e">
        <f si="17" t="shared"/>
        <v>#DIV/0!</v>
      </c>
      <c r="AD63" s="14">
        <f si="17" t="shared"/>
        <v>0</v>
      </c>
      <c r="AE63" s="14">
        <f si="17" t="shared"/>
        <v>0</v>
      </c>
      <c r="AF63" s="14">
        <f si="17" t="shared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x14ac:dyDescent="0.2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x14ac:dyDescent="0.2">
      <c r="A68" s="2" t="s">
        <v>241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ht="13.5" r="69" spans="1:32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x14ac:dyDescent="0.2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243</v>
      </c>
      <c r="F70" s="6" t="s">
        <v>244</v>
      </c>
      <c r="G70" s="6" t="s">
        <v>245</v>
      </c>
      <c r="H70" s="6" t="s">
        <v>246</v>
      </c>
      <c r="I70" s="6" t="s">
        <v>170</v>
      </c>
      <c r="J70" s="6" t="s">
        <v>221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243</v>
      </c>
      <c r="Q70" s="41" t="s">
        <v>244</v>
      </c>
      <c r="R70" s="41" t="s">
        <v>245</v>
      </c>
      <c r="S70" s="41" t="s">
        <v>246</v>
      </c>
      <c r="T70" s="41" t="s">
        <v>170</v>
      </c>
      <c r="U70" s="41" t="s">
        <v>221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243</v>
      </c>
      <c r="AB70" s="41" t="s">
        <v>244</v>
      </c>
      <c r="AC70" s="41" t="s">
        <v>245</v>
      </c>
      <c r="AD70" s="41" t="s">
        <v>246</v>
      </c>
      <c r="AE70" s="41" t="s">
        <v>170</v>
      </c>
      <c r="AF70" s="41" t="s">
        <v>221</v>
      </c>
    </row>
    <row r="71" spans="1:32" x14ac:dyDescent="0.2">
      <c r="A71" s="18">
        <v>1</v>
      </c>
      <c r="B71" s="12">
        <f>output_NHTS!B123/SUM(output_NHTS!B$123:B$125)</f>
        <v>0.86977973693233845</v>
      </c>
      <c r="C71" s="12">
        <f>output_NHTS!C123/SUM(output_NHTS!C$123:C$125)</f>
        <v>0.79950830669254525</v>
      </c>
      <c r="D71" s="12">
        <f>output_NHTS!D123/SUM(output_NHTS!D$123:D$125)</f>
        <v>0.9040706359643309</v>
      </c>
      <c r="E71" s="12">
        <f>output_NHTS!E123/SUM(output_NHTS!E$123:E$125)</f>
        <v>0.85383616538443041</v>
      </c>
      <c r="F71" s="12">
        <f>output_NHTS!F123/SUM(output_NHTS!F$123:F$125)</f>
        <v>0.88112003631497648</v>
      </c>
      <c r="G71" s="12">
        <f>output_NHTS!G123/SUM(output_NHTS!G$123:G$125)</f>
        <v>0.78455238203387667</v>
      </c>
      <c r="H71" s="12">
        <f>output_NHTS!H123/SUM(output_NHTS!H$123:H$125)</f>
        <v>0.89538740022960139</v>
      </c>
      <c r="I71" s="12">
        <f>output_NHTS!I123/SUM(output_NHTS!I$123:I$125)</f>
        <v>0.85745109835588618</v>
      </c>
      <c r="J71" s="12">
        <f>output_NHTS!J123/SUM(output_NHTS!J$123:J$125)</f>
        <v>0.86498446892007508</v>
      </c>
      <c r="L71" s="48">
        <v>1</v>
      </c>
      <c r="M71" s="42">
        <f>output!B123/SUM(output!B$123:B$125)</f>
        <v>0.89752513808175838</v>
      </c>
      <c r="N71" s="42">
        <f>output!C123/SUM(output!C$123:C$125)</f>
        <v>0.86764976161371354</v>
      </c>
      <c r="O71" s="42">
        <f>output!D123/SUM(output!D$123:D$125)</f>
        <v>0.83926801640257065</v>
      </c>
      <c r="P71" s="42">
        <f>output!E123/SUM(output!E$123:E$125)</f>
        <v>0.83949540408737233</v>
      </c>
      <c r="Q71" s="42">
        <f>output!F123/SUM(output!F$123:F$125)</f>
        <v>0.90963040318065691</v>
      </c>
      <c r="R71" s="42">
        <f>output!G123/SUM(output!G$123:G$125)</f>
        <v>0.90144513454985831</v>
      </c>
      <c r="S71" s="42">
        <f>output!H123/SUM(output!H$123:H$125)</f>
        <v>0.91741309679784089</v>
      </c>
      <c r="T71" s="42">
        <f>output!I123/SUM(output!I$123:I$125)</f>
        <v>0.86017559387855824</v>
      </c>
      <c r="U71" s="42">
        <f>output!J123/SUM(output!J$123:J$125)</f>
        <v>0.87288823606893273</v>
      </c>
      <c r="W71" s="18">
        <v>1</v>
      </c>
      <c r="X71" s="12">
        <f ref="X71:AF74" si="20" t="shared">M71-B71</f>
        <v>2.7745401149419924E-2</v>
      </c>
      <c r="Y71" s="12">
        <f si="20" t="shared"/>
        <v>6.8141454921168298E-2</v>
      </c>
      <c r="Z71" s="12">
        <f si="20" t="shared"/>
        <v>-6.4802619561760255E-2</v>
      </c>
      <c r="AA71" s="12">
        <f si="20" t="shared"/>
        <v>-1.434076129705808E-2</v>
      </c>
      <c r="AB71" s="12">
        <f si="20" t="shared"/>
        <v>2.8510366865680425E-2</v>
      </c>
      <c r="AC71" s="12">
        <f si="20" t="shared"/>
        <v>0.11689275251598163</v>
      </c>
      <c r="AD71" s="12">
        <f si="20" t="shared"/>
        <v>2.2025696568239495E-2</v>
      </c>
      <c r="AE71" s="12">
        <f si="20" t="shared"/>
        <v>2.7244955226720657E-3</v>
      </c>
      <c r="AF71" s="12">
        <f si="20" t="shared"/>
        <v>7.9037671488576544E-3</v>
      </c>
    </row>
    <row r="72" spans="1:32" x14ac:dyDescent="0.2">
      <c r="A72" s="18">
        <v>2</v>
      </c>
      <c r="B72" s="12">
        <f>output_NHTS!B124/SUM(output_NHTS!B$123:B$125)</f>
        <v>0.12071270230484643</v>
      </c>
      <c r="C72" s="12">
        <f>output_NHTS!C124/SUM(output_NHTS!C$123:C$125)</f>
        <v>0.18243232920185312</v>
      </c>
      <c r="D72" s="12">
        <f>output_NHTS!D124/SUM(output_NHTS!D$123:D$125)</f>
        <v>9.3826380453431099E-2</v>
      </c>
      <c r="E72" s="12">
        <f>output_NHTS!E124/SUM(output_NHTS!E$123:E$125)</f>
        <v>0.12727003117866109</v>
      </c>
      <c r="F72" s="12">
        <f>output_NHTS!F124/SUM(output_NHTS!F$123:F$125)</f>
        <v>0.10374497484011617</v>
      </c>
      <c r="G72" s="12">
        <f>output_NHTS!G124/SUM(output_NHTS!G$123:G$125)</f>
        <v>0.21544761796612336</v>
      </c>
      <c r="H72" s="12">
        <f>output_NHTS!H124/SUM(output_NHTS!H$123:H$125)</f>
        <v>8.3715635042967848E-2</v>
      </c>
      <c r="I72" s="12">
        <f>output_NHTS!I124/SUM(output_NHTS!I$123:I$125)</f>
        <v>0.14062232183158882</v>
      </c>
      <c r="J72" s="12">
        <f>output_NHTS!J124/SUM(output_NHTS!J$123:J$125)</f>
        <v>0.12291607771050329</v>
      </c>
      <c r="L72" s="48">
        <v>2</v>
      </c>
      <c r="M72" s="42">
        <f>output!B124/SUM(output!B$123:B$125)</f>
        <v>9.29551709721647E-2</v>
      </c>
      <c r="N72" s="42">
        <f>output!C124/SUM(output!C$123:C$125)</f>
        <v>0.11957119451645447</v>
      </c>
      <c r="O72" s="42">
        <f>output!D124/SUM(output!D$123:D$125)</f>
        <v>0.14703326238376493</v>
      </c>
      <c r="P72" s="42">
        <f>output!E124/SUM(output!E$123:E$125)</f>
        <v>0.1443220400048007</v>
      </c>
      <c r="Q72" s="42">
        <f>output!F124/SUM(output!F$123:F$125)</f>
        <v>8.0959726163474521E-2</v>
      </c>
      <c r="R72" s="42">
        <f>output!G124/SUM(output!G$123:G$125)</f>
        <v>8.8707638649979645E-2</v>
      </c>
      <c r="S72" s="42">
        <f>output!H124/SUM(output!H$123:H$125)</f>
        <v>7.578482118406013E-2</v>
      </c>
      <c r="T72" s="42">
        <f>output!I124/SUM(output!I$123:I$125)</f>
        <v>0.12798648295311549</v>
      </c>
      <c r="U72" s="42">
        <f>output!J124/SUM(output!J$123:J$125)</f>
        <v>0.11531539639760162</v>
      </c>
      <c r="W72" s="18">
        <v>2</v>
      </c>
      <c r="X72" s="12">
        <f si="20" t="shared"/>
        <v>-2.7757531332681731E-2</v>
      </c>
      <c r="Y72" s="12">
        <f si="20" t="shared"/>
        <v>-6.2861134685398654E-2</v>
      </c>
      <c r="Z72" s="12">
        <f si="20" t="shared"/>
        <v>5.3206881930333835E-2</v>
      </c>
      <c r="AA72" s="12">
        <f si="20" t="shared"/>
        <v>1.7052008826139609E-2</v>
      </c>
      <c r="AB72" s="12">
        <f si="20" t="shared"/>
        <v>-2.2785248676641653E-2</v>
      </c>
      <c r="AC72" s="12">
        <f si="20" t="shared"/>
        <v>-0.12673997931614372</v>
      </c>
      <c r="AD72" s="12">
        <f si="20" t="shared"/>
        <v>-7.9308138589077176E-3</v>
      </c>
      <c r="AE72" s="12">
        <f si="20" t="shared"/>
        <v>-1.2635838878473332E-2</v>
      </c>
      <c r="AF72" s="12">
        <f si="20" t="shared"/>
        <v>-7.6006813129016748E-3</v>
      </c>
    </row>
    <row r="73" spans="1:32" x14ac:dyDescent="0.2">
      <c r="A73" s="23" t="s">
        <v>116</v>
      </c>
      <c r="B73" s="12">
        <f>output_NHTS!B125/SUM(output_NHTS!B$123:B$125)</f>
        <v>9.5075607628151374E-3</v>
      </c>
      <c r="C73" s="12">
        <f>output_NHTS!C125/SUM(output_NHTS!C$123:C$125)</f>
        <v>1.8059364105601529E-2</v>
      </c>
      <c r="D73" s="12">
        <f>output_NHTS!D125/SUM(output_NHTS!D$123:D$125)</f>
        <v>2.1029835822378965E-3</v>
      </c>
      <c r="E73" s="12">
        <f>output_NHTS!E125/SUM(output_NHTS!E$123:E$125)</f>
        <v>1.8893803436908493E-2</v>
      </c>
      <c r="F73" s="12">
        <f>output_NHTS!F125/SUM(output_NHTS!F$123:F$125)</f>
        <v>1.5134988844907327E-2</v>
      </c>
      <c r="G73" s="12">
        <f>output_NHTS!G125/SUM(output_NHTS!G$123:G$125)</f>
        <v>0</v>
      </c>
      <c r="H73" s="12">
        <f>output_NHTS!H125/SUM(output_NHTS!H$123:H$125)</f>
        <v>2.089696472743072E-2</v>
      </c>
      <c r="I73" s="12">
        <f>output_NHTS!I125/SUM(output_NHTS!I$123:I$125)</f>
        <v>1.9265798125249109E-3</v>
      </c>
      <c r="J73" s="12">
        <f>output_NHTS!J125/SUM(output_NHTS!J$123:J$125)</f>
        <v>1.2099453369421601E-2</v>
      </c>
      <c r="L73" s="49" t="s">
        <v>116</v>
      </c>
      <c r="M73" s="43">
        <f>output!B125/SUM(output!B$123:B$125)</f>
        <v>9.5196909460768409E-3</v>
      </c>
      <c r="N73" s="43">
        <f>output!C125/SUM(output!C$123:C$125)</f>
        <v>1.2779043869831905E-2</v>
      </c>
      <c r="O73" s="43">
        <f>output!D125/SUM(output!D$123:D$125)</f>
        <v>1.3698721213664229E-2</v>
      </c>
      <c r="P73" s="43">
        <f>output!E125/SUM(output!E$123:E$125)</f>
        <v>1.6182555907827013E-2</v>
      </c>
      <c r="Q73" s="43">
        <f>output!F125/SUM(output!F$123:F$125)</f>
        <v>9.4098706558686154E-3</v>
      </c>
      <c r="R73" s="43">
        <f>output!G125/SUM(output!G$123:G$125)</f>
        <v>9.847226800162057E-3</v>
      </c>
      <c r="S73" s="43">
        <f>output!H125/SUM(output!H$123:H$125)</f>
        <v>6.8020820180990111E-3</v>
      </c>
      <c r="T73" s="43">
        <f>output!I125/SUM(output!I$123:I$125)</f>
        <v>1.183792316832636E-2</v>
      </c>
      <c r="U73" s="43">
        <f>output!J125/SUM(output!J$123:J$125)</f>
        <v>1.1796367533465578E-2</v>
      </c>
      <c r="W73" s="23" t="s">
        <v>116</v>
      </c>
      <c r="X73" s="12">
        <f si="20" t="shared"/>
        <v>1.2130183261703509E-5</v>
      </c>
      <c r="Y73" s="12">
        <f si="20" t="shared"/>
        <v>-5.2803202357696241E-3</v>
      </c>
      <c r="Z73" s="12">
        <f si="20" t="shared"/>
        <v>1.1595737631426333E-2</v>
      </c>
      <c r="AA73" s="12">
        <f si="20" t="shared"/>
        <v>-2.71124752908148E-3</v>
      </c>
      <c r="AB73" s="12">
        <f si="20" t="shared"/>
        <v>-5.7251181890387113E-3</v>
      </c>
      <c r="AC73" s="12">
        <f si="20" t="shared"/>
        <v>9.847226800162057E-3</v>
      </c>
      <c r="AD73" s="12">
        <f si="20" t="shared"/>
        <v>-1.4094882709331709E-2</v>
      </c>
      <c r="AE73" s="12">
        <f si="20" t="shared"/>
        <v>9.9113433558014486E-3</v>
      </c>
      <c r="AF73" s="12">
        <f si="20" t="shared"/>
        <v>-3.0308583595602297E-4</v>
      </c>
    </row>
    <row ht="13.5" r="74" spans="1:32" thickBot="1" x14ac:dyDescent="0.25">
      <c r="A74" s="21" t="s">
        <v>221</v>
      </c>
      <c r="B74" s="51">
        <f>SUM(B71:B73)</f>
        <v>1</v>
      </c>
      <c r="C74" s="51">
        <f ref="C74:J74" si="21" t="shared">SUM(C71:C73)</f>
        <v>0.99999999999999989</v>
      </c>
      <c r="D74" s="51">
        <f si="21" t="shared"/>
        <v>0.99999999999999989</v>
      </c>
      <c r="E74" s="51">
        <f si="21" t="shared"/>
        <v>1</v>
      </c>
      <c r="F74" s="51">
        <f si="21" t="shared"/>
        <v>1</v>
      </c>
      <c r="G74" s="51">
        <f si="21" t="shared"/>
        <v>1</v>
      </c>
      <c r="H74" s="51">
        <f si="21" t="shared"/>
        <v>1</v>
      </c>
      <c r="I74" s="51">
        <f si="21" t="shared"/>
        <v>0.99999999999999989</v>
      </c>
      <c r="J74" s="51">
        <f si="21" t="shared"/>
        <v>1</v>
      </c>
      <c r="L74" s="50" t="s">
        <v>221</v>
      </c>
      <c r="M74" s="51">
        <f>SUM(M71:M73)</f>
        <v>0.99999999999999989</v>
      </c>
      <c r="N74" s="51">
        <f ref="N74:U74" si="22" t="shared">SUM(N71:N73)</f>
        <v>0.99999999999999989</v>
      </c>
      <c r="O74" s="51">
        <f si="22" t="shared"/>
        <v>0.99999999999999978</v>
      </c>
      <c r="P74" s="51">
        <f si="22" t="shared"/>
        <v>1</v>
      </c>
      <c r="Q74" s="51">
        <f si="22" t="shared"/>
        <v>1</v>
      </c>
      <c r="R74" s="51">
        <f si="22" t="shared"/>
        <v>1</v>
      </c>
      <c r="S74" s="51">
        <f si="22" t="shared"/>
        <v>1</v>
      </c>
      <c r="T74" s="51">
        <f si="22" t="shared"/>
        <v>1</v>
      </c>
      <c r="U74" s="51">
        <f si="22" t="shared"/>
        <v>0.99999999999999989</v>
      </c>
      <c r="W74" s="21" t="s">
        <v>221</v>
      </c>
      <c r="X74" s="14">
        <f si="20" t="shared"/>
        <v>0</v>
      </c>
      <c r="Y74" s="14">
        <f si="20" t="shared"/>
        <v>0</v>
      </c>
      <c r="Z74" s="14">
        <f si="20" t="shared"/>
        <v>0</v>
      </c>
      <c r="AA74" s="14">
        <f si="20" t="shared"/>
        <v>0</v>
      </c>
      <c r="AB74" s="14">
        <f si="20" t="shared"/>
        <v>0</v>
      </c>
      <c r="AC74" s="14">
        <f si="20" t="shared"/>
        <v>0</v>
      </c>
      <c r="AD74" s="14">
        <f si="20" t="shared"/>
        <v>0</v>
      </c>
      <c r="AE74" s="14">
        <f si="20" t="shared"/>
        <v>0</v>
      </c>
      <c r="AF74" s="14">
        <f si="20" t="shared"/>
        <v>0</v>
      </c>
    </row>
  </sheetData>
  <phoneticPr fontId="6" type="noConversion"/>
  <conditionalFormatting sqref="X5:AF8 X16:AF19 X27:AF30 X38:AF41 X49:AF52 X60:AF63 X71:AF74">
    <cfRule dxfId="29" operator="notBetween" priority="1" stopIfTrue="1" type="cellIs">
      <formula>-0.15</formula>
      <formula>0.15</formula>
    </cfRule>
    <cfRule dxfId="28" operator="notBetween" priority="2" stopIfTrue="1" type="cellIs">
      <formula>-0.1</formula>
      <formula>0.1</formula>
    </cfRule>
    <cfRule dxfId="27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F81"/>
  <sheetViews>
    <sheetView workbookViewId="0">
      <selection activeCell="K64" sqref="K64"/>
    </sheetView>
  </sheetViews>
  <sheetFormatPr defaultColWidth="10.75" defaultRowHeight="12.75" x14ac:dyDescent="0.2"/>
  <cols>
    <col min="1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131</v>
      </c>
      <c r="L2" s="2" t="s">
        <v>152</v>
      </c>
      <c r="W2" s="2" t="s">
        <v>132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18">
        <v>0</v>
      </c>
      <c r="B5" s="12">
        <f>output_NHTS!B80/SUM(output_NHTS!B$80:B$83)</f>
        <v>0.21943957307331502</v>
      </c>
      <c r="C5" s="12">
        <f>output_NHTS!C80/SUM(output_NHTS!C$80:C$83)</f>
        <v>0.56601903658375785</v>
      </c>
      <c r="D5" s="12">
        <f>output_NHTS!D80/SUM(output_NHTS!D$80:D$83)</f>
        <v>0.96470918517579807</v>
      </c>
      <c r="E5" s="12">
        <f>output_NHTS!E80/SUM(output_NHTS!E$80:E$83)</f>
        <v>0.95748314421069902</v>
      </c>
      <c r="F5" s="12">
        <f>output_NHTS!F80/SUM(output_NHTS!F$80:F$83)</f>
        <v>0.61793590268186949</v>
      </c>
      <c r="G5" s="12">
        <f>output_NHTS!G80/SUM(output_NHTS!G$80:G$83)</f>
        <v>0.97906055739875242</v>
      </c>
      <c r="H5" s="12">
        <f>output_NHTS!H80/SUM(output_NHTS!H$80:H$83)</f>
        <v>0.99763460917033886</v>
      </c>
      <c r="I5" s="12">
        <f>output_NHTS!I80/SUM(output_NHTS!I$80:I$83)</f>
        <v>0.9986138392351197</v>
      </c>
      <c r="J5" s="12">
        <f>output_NHTS!J80/SUM(output_NHTS!J$80:J$83)</f>
        <v>0.63996798823005063</v>
      </c>
      <c r="L5" s="18">
        <v>0</v>
      </c>
      <c r="M5" s="12">
        <f>output!B80/SUM(output!B$80:B$83)</f>
        <v>3.8011463652827676E-2</v>
      </c>
      <c r="N5" s="12">
        <f>output!C80/SUM(output!C$80:C$83)</f>
        <v>0.39441778777112091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0.61322251094183067</v>
      </c>
      <c r="R5" s="12">
        <f>output!G80/SUM(output!G$80:G$83)</f>
        <v>0.98093091697751156</v>
      </c>
      <c r="S5" s="28">
        <f>output!H80/SUM(output!H$80:H$83)</f>
        <v>1</v>
      </c>
      <c r="T5" s="28">
        <f>output!I80/SUM(output!I$80:I$83)</f>
        <v>1</v>
      </c>
      <c r="U5" s="12">
        <f>output!J80/SUM(output!J$80:J$83)</f>
        <v>0.5652608280139273</v>
      </c>
      <c r="W5" s="18">
        <v>0</v>
      </c>
      <c r="X5" s="12">
        <f ref="X5:AF9" si="0" t="shared">M5-B5</f>
        <v>-0.18142810942048734</v>
      </c>
      <c r="Y5" s="12">
        <f si="0" t="shared"/>
        <v>-0.17160124881263694</v>
      </c>
      <c r="Z5" s="12">
        <f si="0" t="shared"/>
        <v>3.5290814824201933E-2</v>
      </c>
      <c r="AA5" s="12">
        <f si="0" t="shared"/>
        <v>4.2516855789300978E-2</v>
      </c>
      <c r="AB5" s="12">
        <f si="0" t="shared"/>
        <v>-4.7133917400388192E-3</v>
      </c>
      <c r="AC5" s="12">
        <f si="0" t="shared"/>
        <v>1.8703595787591398E-3</v>
      </c>
      <c r="AD5" s="12">
        <f si="0" t="shared"/>
        <v>2.3653908296611403E-3</v>
      </c>
      <c r="AE5" s="12">
        <f si="0" t="shared"/>
        <v>1.3861607648802954E-3</v>
      </c>
      <c r="AF5" s="12">
        <f si="0" t="shared"/>
        <v>-7.4707160216123336E-2</v>
      </c>
    </row>
    <row r="6" spans="1:32" x14ac:dyDescent="0.2">
      <c r="A6" s="18">
        <v>1</v>
      </c>
      <c r="B6" s="12">
        <f>output_NHTS!B81/SUM(output_NHTS!B$80:B$83)</f>
        <v>0.75219994851068372</v>
      </c>
      <c r="C6" s="12">
        <f>output_NHTS!C81/SUM(output_NHTS!C$80:C$83)</f>
        <v>0.40671413758497971</v>
      </c>
      <c r="D6" s="12">
        <f>output_NHTS!D81/SUM(output_NHTS!D$80:D$83)</f>
        <v>3.4529876356416987E-2</v>
      </c>
      <c r="E6" s="12">
        <f>output_NHTS!E81/SUM(output_NHTS!E$80:E$83)</f>
        <v>4.1124108563141304E-2</v>
      </c>
      <c r="F6" s="12">
        <f>output_NHTS!F81/SUM(output_NHTS!F$80:F$83)</f>
        <v>0.34270631213310582</v>
      </c>
      <c r="G6" s="12">
        <f>output_NHTS!G81/SUM(output_NHTS!G$80:G$83)</f>
        <v>2.0939442601247617E-2</v>
      </c>
      <c r="H6" s="12">
        <f>output_NHTS!H81/SUM(output_NHTS!H$80:H$83)</f>
        <v>2.3653908296611473E-3</v>
      </c>
      <c r="I6" s="12">
        <f>output_NHTS!I81/SUM(output_NHTS!I$80:I$83)</f>
        <v>1.3861607648803247E-3</v>
      </c>
      <c r="J6" s="12">
        <f>output_NHTS!J81/SUM(output_NHTS!J$80:J$83)</f>
        <v>0.34523796080562313</v>
      </c>
      <c r="L6" s="18">
        <v>1</v>
      </c>
      <c r="M6" s="12">
        <f>output!B81/SUM(output!B$80:B$83)</f>
        <v>0.93627812238636909</v>
      </c>
      <c r="N6" s="12">
        <f>output!C81/SUM(output!C$80:C$83)</f>
        <v>0.57383221701470832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0.36970096111772216</v>
      </c>
      <c r="R6" s="12">
        <f>output!G81/SUM(output!G$80:G$83)</f>
        <v>1.842090702705293E-2</v>
      </c>
      <c r="S6" s="28">
        <f>output!H81/SUM(output!H$80:H$83)</f>
        <v>0</v>
      </c>
      <c r="T6" s="28">
        <f>output!I81/SUM(output!I$80:I$83)</f>
        <v>0</v>
      </c>
      <c r="U6" s="12">
        <f>output!J81/SUM(output!J$80:J$83)</f>
        <v>0.42142469222962958</v>
      </c>
      <c r="W6" s="18">
        <v>1</v>
      </c>
      <c r="X6" s="12">
        <f si="0" t="shared"/>
        <v>0.18407817387568537</v>
      </c>
      <c r="Y6" s="12">
        <f si="0" t="shared"/>
        <v>0.16711807942972862</v>
      </c>
      <c r="Z6" s="12">
        <f si="0" t="shared"/>
        <v>-3.4529876356416987E-2</v>
      </c>
      <c r="AA6" s="12">
        <f si="0" t="shared"/>
        <v>-4.1124108563141304E-2</v>
      </c>
      <c r="AB6" s="12">
        <f si="0" t="shared"/>
        <v>2.6994648984616343E-2</v>
      </c>
      <c r="AC6" s="12">
        <f si="0" t="shared"/>
        <v>-2.5185355741946872E-3</v>
      </c>
      <c r="AD6" s="12">
        <f si="0" t="shared"/>
        <v>-2.3653908296611473E-3</v>
      </c>
      <c r="AE6" s="12">
        <f si="0" t="shared"/>
        <v>-1.3861607648803247E-3</v>
      </c>
      <c r="AF6" s="12">
        <f si="0" t="shared"/>
        <v>7.6186731424006449E-2</v>
      </c>
    </row>
    <row r="7" spans="1:32" x14ac:dyDescent="0.2">
      <c r="A7" s="18">
        <v>2</v>
      </c>
      <c r="B7" s="12">
        <f>output_NHTS!B82/SUM(output_NHTS!B$80:B$83)</f>
        <v>2.7327250185474661E-2</v>
      </c>
      <c r="C7" s="12">
        <f>output_NHTS!C82/SUM(output_NHTS!C$80:C$83)</f>
        <v>2.6994271933853776E-2</v>
      </c>
      <c r="D7" s="12">
        <f>output_NHTS!D82/SUM(output_NHTS!D$80:D$83)</f>
        <v>7.6093846778502519E-4</v>
      </c>
      <c r="E7" s="12">
        <f>output_NHTS!E82/SUM(output_NHTS!E$80:E$83)</f>
        <v>9.5589031194776117E-4</v>
      </c>
      <c r="F7" s="12">
        <f>output_NHTS!F82/SUM(output_NHTS!F$80:F$83)</f>
        <v>2.8762221156334759E-2</v>
      </c>
      <c r="G7" s="12">
        <f>output_NHTS!G82/SUM(output_NHTS!G$80:G$83)</f>
        <v>0</v>
      </c>
      <c r="H7" s="12">
        <f>output_NHTS!H82/SUM(output_NHTS!H$80:H$83)</f>
        <v>0</v>
      </c>
      <c r="I7" s="12">
        <f>output_NHTS!I82/SUM(output_NHTS!I$80:I$83)</f>
        <v>0</v>
      </c>
      <c r="J7" s="12">
        <f>output_NHTS!J82/SUM(output_NHTS!J$80:J$83)</f>
        <v>1.3987156127372448E-2</v>
      </c>
      <c r="L7" s="18">
        <v>2</v>
      </c>
      <c r="M7" s="12">
        <f>output!B82/SUM(output!B$80:B$83)</f>
        <v>2.4762977581800429E-2</v>
      </c>
      <c r="N7" s="12">
        <f>output!C82/SUM(output!C$80:C$83)</f>
        <v>3.035150762166218E-2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1.6101115610480721E-2</v>
      </c>
      <c r="R7" s="12">
        <f>output!G82/SUM(output!G$80:G$83)</f>
        <v>6.4817599543553128E-4</v>
      </c>
      <c r="S7" s="28">
        <f>output!H82/SUM(output!H$80:H$83)</f>
        <v>0</v>
      </c>
      <c r="T7" s="28">
        <f>output!I82/SUM(output!I$80:I$83)</f>
        <v>0</v>
      </c>
      <c r="U7" s="12">
        <f>output!J82/SUM(output!J$80:J$83)</f>
        <v>1.2788178744561013E-2</v>
      </c>
      <c r="W7" s="18">
        <v>2</v>
      </c>
      <c r="X7" s="12">
        <f si="0" t="shared"/>
        <v>-2.5642726036742315E-3</v>
      </c>
      <c r="Y7" s="12">
        <f si="0" t="shared"/>
        <v>3.3572356878084041E-3</v>
      </c>
      <c r="Z7" s="12">
        <f si="0" t="shared"/>
        <v>-7.6093846778502519E-4</v>
      </c>
      <c r="AA7" s="12">
        <f si="0" t="shared"/>
        <v>-9.5589031194776117E-4</v>
      </c>
      <c r="AB7" s="12">
        <f si="0" t="shared"/>
        <v>-1.2661105545854038E-2</v>
      </c>
      <c r="AC7" s="12">
        <f si="0" t="shared"/>
        <v>6.4817599543553128E-4</v>
      </c>
      <c r="AD7" s="12">
        <f si="0" t="shared"/>
        <v>0</v>
      </c>
      <c r="AE7" s="12">
        <f si="0" t="shared"/>
        <v>0</v>
      </c>
      <c r="AF7" s="12">
        <f si="0" t="shared"/>
        <v>-1.1989773828114357E-3</v>
      </c>
    </row>
    <row r="8" spans="1:32" x14ac:dyDescent="0.2">
      <c r="A8" s="23" t="s">
        <v>116</v>
      </c>
      <c r="B8" s="12">
        <f>output_NHTS!B83/SUM(output_NHTS!B$80:B$83)</f>
        <v>1.0332282305266158E-3</v>
      </c>
      <c r="C8" s="12">
        <f>output_NHTS!C83/SUM(output_NHTS!C$80:C$83)</f>
        <v>2.725538974087096E-4</v>
      </c>
      <c r="D8" s="12">
        <f>output_NHTS!D83/SUM(output_NHTS!D$80:D$83)</f>
        <v>0</v>
      </c>
      <c r="E8" s="12">
        <f>output_NHTS!E83/SUM(output_NHTS!E$80:E$83)</f>
        <v>4.3685691421207009E-4</v>
      </c>
      <c r="F8" s="12">
        <f>output_NHTS!F83/SUM(output_NHTS!F$80:F$83)</f>
        <v>1.0595564028689919E-2</v>
      </c>
      <c r="G8" s="12">
        <f>output_NHTS!G83/SUM(output_NHTS!G$80:G$83)</f>
        <v>0</v>
      </c>
      <c r="H8" s="12">
        <f>output_NHTS!H83/SUM(output_NHTS!H$80:H$83)</f>
        <v>0</v>
      </c>
      <c r="I8" s="12">
        <f>output_NHTS!I83/SUM(output_NHTS!I$80:I$83)</f>
        <v>0</v>
      </c>
      <c r="J8" s="12">
        <f>output_NHTS!J83/SUM(output_NHTS!J$80:J$83)</f>
        <v>8.068948369538149E-4</v>
      </c>
      <c r="L8" s="23" t="s">
        <v>116</v>
      </c>
      <c r="M8" s="13">
        <f>output!B83/SUM(output!B$80:B$83)</f>
        <v>9.4743637900281097E-4</v>
      </c>
      <c r="N8" s="13">
        <f>output!C83/SUM(output!C$80:C$83)</f>
        <v>1.3984875925086627E-3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9.7541232996645319E-4</v>
      </c>
      <c r="R8" s="13">
        <f>output!G83/SUM(output!G$80:G$83)</f>
        <v>0</v>
      </c>
      <c r="S8" s="30">
        <f>output!H83/SUM(output!H$80:H$83)</f>
        <v>0</v>
      </c>
      <c r="T8" s="30">
        <f>output!I83/SUM(output!I$80:I$83)</f>
        <v>0</v>
      </c>
      <c r="U8" s="13">
        <f>output!J83/SUM(output!J$80:J$83)</f>
        <v>5.2630101188220167E-4</v>
      </c>
      <c r="W8" s="23" t="s">
        <v>116</v>
      </c>
      <c r="X8" s="12">
        <f si="0" t="shared"/>
        <v>-8.5791851523804802E-5</v>
      </c>
      <c r="Y8" s="12">
        <f si="0" t="shared"/>
        <v>1.125933695099953E-3</v>
      </c>
      <c r="Z8" s="12">
        <f si="0" t="shared"/>
        <v>0</v>
      </c>
      <c r="AA8" s="12">
        <f si="0" t="shared"/>
        <v>-4.3685691421207009E-4</v>
      </c>
      <c r="AB8" s="12">
        <f si="0" t="shared"/>
        <v>-9.6201516987234649E-3</v>
      </c>
      <c r="AC8" s="12">
        <f si="0" t="shared"/>
        <v>0</v>
      </c>
      <c r="AD8" s="12">
        <f si="0" t="shared"/>
        <v>0</v>
      </c>
      <c r="AE8" s="12">
        <f si="0" t="shared"/>
        <v>0</v>
      </c>
      <c r="AF8" s="12">
        <f si="0" t="shared"/>
        <v>-2.8059382507161323E-4</v>
      </c>
    </row>
    <row ht="13.5" r="9" spans="1:32" thickBot="1" x14ac:dyDescent="0.25">
      <c r="A9" s="21" t="s">
        <v>221</v>
      </c>
      <c r="B9" s="14">
        <f ref="B9:J9" si="1" t="shared">SUM(B5:B8)</f>
        <v>1</v>
      </c>
      <c r="C9" s="14">
        <f si="1" t="shared"/>
        <v>0.99999999999999989</v>
      </c>
      <c r="D9" s="14">
        <f si="1" t="shared"/>
        <v>1.0000000000000002</v>
      </c>
      <c r="E9" s="14">
        <f si="1" t="shared"/>
        <v>1.0000000000000002</v>
      </c>
      <c r="F9" s="14">
        <f si="1" t="shared"/>
        <v>1</v>
      </c>
      <c r="G9" s="14">
        <f si="1" t="shared"/>
        <v>1</v>
      </c>
      <c r="H9" s="14">
        <f si="1" t="shared"/>
        <v>1</v>
      </c>
      <c r="I9" s="14">
        <f si="1" t="shared"/>
        <v>1</v>
      </c>
      <c r="J9" s="14">
        <f si="1" t="shared"/>
        <v>1</v>
      </c>
      <c r="L9" s="21" t="s">
        <v>221</v>
      </c>
      <c r="M9" s="14">
        <f>SUM(M5:M8)</f>
        <v>1</v>
      </c>
      <c r="N9" s="14">
        <f ref="N9:U9" si="2" t="shared">SUM(N5:N8)</f>
        <v>1</v>
      </c>
      <c r="O9" s="14">
        <f si="2" t="shared"/>
        <v>1</v>
      </c>
      <c r="P9" s="14">
        <f si="2" t="shared"/>
        <v>1</v>
      </c>
      <c r="Q9" s="14">
        <f si="2" t="shared"/>
        <v>0.99999999999999989</v>
      </c>
      <c r="R9" s="14">
        <f si="2" t="shared"/>
        <v>1</v>
      </c>
      <c r="S9" s="14">
        <f si="2" t="shared"/>
        <v>1</v>
      </c>
      <c r="T9" s="14">
        <f si="2" t="shared"/>
        <v>1</v>
      </c>
      <c r="U9" s="14">
        <f si="2" t="shared"/>
        <v>1.0000000000000002</v>
      </c>
      <c r="W9" s="21" t="s">
        <v>221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>
        <f si="0" t="shared"/>
        <v>0</v>
      </c>
      <c r="AF9" s="14">
        <f si="0" t="shared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ht="13.5" r="15" spans="1:32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243</v>
      </c>
      <c r="Q16" s="6" t="s">
        <v>244</v>
      </c>
      <c r="R16" s="6" t="s">
        <v>245</v>
      </c>
      <c r="S16" s="6" t="s">
        <v>246</v>
      </c>
      <c r="T16" s="6" t="s">
        <v>170</v>
      </c>
      <c r="U16" s="6" t="s">
        <v>221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2">
      <c r="A17" s="18">
        <v>0</v>
      </c>
      <c r="B17" s="12">
        <f>output_NHTS!B87/SUM(output_NHTS!B$87:B$90)</f>
        <v>0.99583095117907749</v>
      </c>
      <c r="C17" s="12">
        <f>output_NHTS!C87/SUM(output_NHTS!C$87:C$90)</f>
        <v>0.91893147569867106</v>
      </c>
      <c r="D17" s="12">
        <f>output_NHTS!D87/SUM(output_NHTS!D$87:D$90)</f>
        <v>0.99702722241902719</v>
      </c>
      <c r="E17" s="12">
        <f>output_NHTS!E87/SUM(output_NHTS!E$87:E$90)</f>
        <v>0.92349597667906358</v>
      </c>
      <c r="F17" s="12">
        <f>output_NHTS!F87/SUM(output_NHTS!F$87:F$90)</f>
        <v>0.67733957624905772</v>
      </c>
      <c r="G17" s="12">
        <f>output_NHTS!G87/SUM(output_NHTS!G$87:G$90)</f>
        <v>0.2306937789837511</v>
      </c>
      <c r="H17" s="12">
        <f>output_NHTS!H87/SUM(output_NHTS!H$87:H$90)</f>
        <v>0.24921973163689848</v>
      </c>
      <c r="I17" s="12">
        <f>output_NHTS!I87/SUM(output_NHTS!I$87:I$90)</f>
        <v>0.81612529481391272</v>
      </c>
      <c r="J17" s="12">
        <f>output_NHTS!J87/SUM(output_NHTS!J$87:J$90)</f>
        <v>0.83453093245693644</v>
      </c>
      <c r="L17" s="18">
        <v>0</v>
      </c>
      <c r="M17" s="12">
        <f>output!B87/SUM(output!B$87:B$90)</f>
        <v>0.99182316467286935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0.29926894277877247</v>
      </c>
      <c r="R17" s="12">
        <f>output!G87/SUM(output!G$87:G$90)</f>
        <v>9.6497303344245625E-2</v>
      </c>
      <c r="S17" s="28">
        <f>output!H87/SUM(output!H$87:H$90)</f>
        <v>0.12071070626053758</v>
      </c>
      <c r="T17" s="28">
        <f>output!I87/SUM(output!I$87:I$90)</f>
        <v>0.84112789613328653</v>
      </c>
      <c r="U17" s="12">
        <f>output!J87/SUM(output!J$87:J$90)</f>
        <v>0.8068206962375376</v>
      </c>
      <c r="W17" s="18">
        <v>0</v>
      </c>
      <c r="X17" s="12">
        <f ref="X17:AF21" si="3" t="shared">M17-B17</f>
        <v>-4.0077865062081441E-3</v>
      </c>
      <c r="Y17" s="12">
        <f si="3" t="shared"/>
        <v>8.1068524301328937E-2</v>
      </c>
      <c r="Z17" s="12">
        <f si="3" t="shared"/>
        <v>2.9727775809728074E-3</v>
      </c>
      <c r="AA17" s="12">
        <f si="3" t="shared"/>
        <v>7.6504023320936421E-2</v>
      </c>
      <c r="AB17" s="12">
        <f si="3" t="shared"/>
        <v>-0.37807063347028524</v>
      </c>
      <c r="AC17" s="12">
        <f si="3" t="shared"/>
        <v>-0.13419647563950549</v>
      </c>
      <c r="AD17" s="12">
        <f si="3" t="shared"/>
        <v>-0.12850902537636089</v>
      </c>
      <c r="AE17" s="12">
        <f si="3" t="shared"/>
        <v>2.5002601319373818E-2</v>
      </c>
      <c r="AF17" s="12">
        <f si="3" t="shared"/>
        <v>-2.7710236219398832E-2</v>
      </c>
    </row>
    <row r="18" spans="1:32" x14ac:dyDescent="0.2">
      <c r="A18" s="18">
        <v>1</v>
      </c>
      <c r="B18" s="12">
        <f>output_NHTS!B88/SUM(output_NHTS!B$87:B$90)</f>
        <v>4.1690488209225442E-3</v>
      </c>
      <c r="C18" s="12">
        <f>output_NHTS!C88/SUM(output_NHTS!C$87:C$90)</f>
        <v>7.7731224295088525E-2</v>
      </c>
      <c r="D18" s="12">
        <f>output_NHTS!D88/SUM(output_NHTS!D$87:D$90)</f>
        <v>2.9727775809728469E-3</v>
      </c>
      <c r="E18" s="12">
        <f>output_NHTS!E88/SUM(output_NHTS!E$87:E$90)</f>
        <v>7.1946786378869726E-2</v>
      </c>
      <c r="F18" s="12">
        <f>output_NHTS!F88/SUM(output_NHTS!F$87:F$90)</f>
        <v>0.29089463157737572</v>
      </c>
      <c r="G18" s="12">
        <f>output_NHTS!G88/SUM(output_NHTS!G$87:G$90)</f>
        <v>0.75901311921248071</v>
      </c>
      <c r="H18" s="12">
        <f>output_NHTS!H88/SUM(output_NHTS!H$87:H$90)</f>
        <v>0.74123404435110118</v>
      </c>
      <c r="I18" s="12">
        <f>output_NHTS!I88/SUM(output_NHTS!I$87:I$90)</f>
        <v>0.18108349757825659</v>
      </c>
      <c r="J18" s="12">
        <f>output_NHTS!J88/SUM(output_NHTS!J$87:J$90)</f>
        <v>0.16172910863632106</v>
      </c>
      <c r="L18" s="18">
        <v>1</v>
      </c>
      <c r="M18" s="12">
        <f>output!B88/SUM(output!B$87:B$90)</f>
        <v>8.1062650693508008E-3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0.58553808690721765</v>
      </c>
      <c r="R18" s="12">
        <f>output!G88/SUM(output!G$87:G$90)</f>
        <v>0.89323890993117483</v>
      </c>
      <c r="S18" s="28">
        <f>output!H88/SUM(output!H$87:H$90)</f>
        <v>0.8655451355306536</v>
      </c>
      <c r="T18" s="28">
        <f>output!I88/SUM(output!I$87:I$90)</f>
        <v>0.15702978183901317</v>
      </c>
      <c r="U18" s="12">
        <f>output!J88/SUM(output!J$87:J$90)</f>
        <v>0.18545473239243596</v>
      </c>
      <c r="W18" s="18">
        <v>1</v>
      </c>
      <c r="X18" s="12">
        <f si="3" t="shared"/>
        <v>3.9372162484282566E-3</v>
      </c>
      <c r="Y18" s="12">
        <f si="3" t="shared"/>
        <v>-7.7731224295088525E-2</v>
      </c>
      <c r="Z18" s="12">
        <f si="3" t="shared"/>
        <v>-2.9727775809728469E-3</v>
      </c>
      <c r="AA18" s="12">
        <f si="3" t="shared"/>
        <v>-7.1946786378869726E-2</v>
      </c>
      <c r="AB18" s="12">
        <f si="3" t="shared"/>
        <v>0.29464345532984193</v>
      </c>
      <c r="AC18" s="12">
        <f si="3" t="shared"/>
        <v>0.13422579071869412</v>
      </c>
      <c r="AD18" s="12">
        <f si="3" t="shared"/>
        <v>0.12431109117955241</v>
      </c>
      <c r="AE18" s="12">
        <f si="3" t="shared"/>
        <v>-2.405371573924342E-2</v>
      </c>
      <c r="AF18" s="12">
        <f si="3" t="shared"/>
        <v>2.3725623756114894E-2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3.3373000062403122E-3</v>
      </c>
      <c r="D19" s="12">
        <f>output_NHTS!D89/SUM(output_NHTS!D$87:D$90)</f>
        <v>0</v>
      </c>
      <c r="E19" s="12">
        <f>output_NHTS!E89/SUM(output_NHTS!E$87:E$90)</f>
        <v>4.5572369420667442E-3</v>
      </c>
      <c r="F19" s="12">
        <f>output_NHTS!F89/SUM(output_NHTS!F$87:F$90)</f>
        <v>2.5538624715753026E-2</v>
      </c>
      <c r="G19" s="12">
        <f>output_NHTS!G89/SUM(output_NHTS!G$87:G$90)</f>
        <v>1.0293101803768179E-2</v>
      </c>
      <c r="H19" s="12">
        <f>output_NHTS!H89/SUM(output_NHTS!H$87:H$90)</f>
        <v>9.5462240120004014E-3</v>
      </c>
      <c r="I19" s="12">
        <f>output_NHTS!I89/SUM(output_NHTS!I$87:I$90)</f>
        <v>1.6097281599616222E-3</v>
      </c>
      <c r="J19" s="12">
        <f>output_NHTS!J89/SUM(output_NHTS!J$87:J$90)</f>
        <v>3.4662099296191655E-3</v>
      </c>
      <c r="L19" s="18">
        <v>2</v>
      </c>
      <c r="M19" s="12">
        <f>output!B89/SUM(output!B$87:B$90)</f>
        <v>6.6847440671662821E-5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0.10218924512330686</v>
      </c>
      <c r="R19" s="12">
        <f>output!G89/SUM(output!G$87:G$90)</f>
        <v>9.1691783413271402E-3</v>
      </c>
      <c r="S19" s="28">
        <f>output!H89/SUM(output!H$87:H$90)</f>
        <v>1.1512114630415338E-2</v>
      </c>
      <c r="T19" s="28">
        <f>output!I89/SUM(output!I$87:I$90)</f>
        <v>1.5752930643822816E-3</v>
      </c>
      <c r="U19" s="12">
        <f>output!J89/SUM(output!J$87:J$90)</f>
        <v>6.7608824638510645E-3</v>
      </c>
      <c r="W19" s="18">
        <v>2</v>
      </c>
      <c r="X19" s="12">
        <f si="3" t="shared"/>
        <v>6.6847440671662821E-5</v>
      </c>
      <c r="Y19" s="12">
        <f si="3" t="shared"/>
        <v>-3.3373000062403122E-3</v>
      </c>
      <c r="Z19" s="12">
        <f si="3" t="shared"/>
        <v>0</v>
      </c>
      <c r="AA19" s="12">
        <f si="3" t="shared"/>
        <v>-4.5572369420667442E-3</v>
      </c>
      <c r="AB19" s="12">
        <f si="3" t="shared"/>
        <v>7.6650620407553841E-2</v>
      </c>
      <c r="AC19" s="12">
        <f si="3" t="shared"/>
        <v>-1.1239234624410392E-3</v>
      </c>
      <c r="AD19" s="12">
        <f si="3" t="shared"/>
        <v>1.965890618414937E-3</v>
      </c>
      <c r="AE19" s="12">
        <f si="3" t="shared"/>
        <v>-3.4435095579340644E-5</v>
      </c>
      <c r="AF19" s="12">
        <f si="3" t="shared"/>
        <v>3.294672534231899E-3</v>
      </c>
    </row>
    <row r="20" spans="1:32" x14ac:dyDescent="0.2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6.2271674578134378E-3</v>
      </c>
      <c r="G20" s="12">
        <f>output_NHTS!G90/SUM(output_NHTS!G$87:G$90)</f>
        <v>0</v>
      </c>
      <c r="H20" s="12">
        <f>output_NHTS!H90/SUM(output_NHTS!H$87:H$90)</f>
        <v>0</v>
      </c>
      <c r="I20" s="12">
        <f>output_NHTS!I90/SUM(output_NHTS!I$87:I$90)</f>
        <v>1.1814794478689947E-3</v>
      </c>
      <c r="J20" s="12">
        <f>output_NHTS!J90/SUM(output_NHTS!J$87:J$90)</f>
        <v>2.7374897712326477E-4</v>
      </c>
      <c r="L20" s="23" t="s">
        <v>116</v>
      </c>
      <c r="M20" s="13">
        <f>output!B90/SUM(output!B$87:B$90)</f>
        <v>3.722817108303699E-6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1.3003725190703013E-2</v>
      </c>
      <c r="R20" s="13">
        <f>output!G90/SUM(output!G$87:G$90)</f>
        <v>1.0946083832523784E-3</v>
      </c>
      <c r="S20" s="30">
        <f>output!H90/SUM(output!H$87:H$90)</f>
        <v>2.2320435783934425E-3</v>
      </c>
      <c r="T20" s="30">
        <f>output!I90/SUM(output!I$87:I$90)</f>
        <v>2.670289633180397E-4</v>
      </c>
      <c r="U20" s="13">
        <f>output!J90/SUM(output!J$87:J$90)</f>
        <v>9.6368890617550104E-4</v>
      </c>
      <c r="W20" s="23" t="s">
        <v>116</v>
      </c>
      <c r="X20" s="12">
        <f si="3" t="shared"/>
        <v>3.722817108303699E-6</v>
      </c>
      <c r="Y20" s="12">
        <f si="3" t="shared"/>
        <v>0</v>
      </c>
      <c r="Z20" s="12">
        <f si="3" t="shared"/>
        <v>0</v>
      </c>
      <c r="AA20" s="12">
        <f si="3" t="shared"/>
        <v>0</v>
      </c>
      <c r="AB20" s="12">
        <f si="3" t="shared"/>
        <v>6.7765577328895753E-3</v>
      </c>
      <c r="AC20" s="12">
        <f si="3" t="shared"/>
        <v>1.0946083832523784E-3</v>
      </c>
      <c r="AD20" s="12">
        <f si="3" t="shared"/>
        <v>2.2320435783934425E-3</v>
      </c>
      <c r="AE20" s="12">
        <f si="3" t="shared"/>
        <v>-9.1445048455095505E-4</v>
      </c>
      <c r="AF20" s="12">
        <f si="3" t="shared"/>
        <v>6.8993992905223627E-4</v>
      </c>
    </row>
    <row ht="13.5" r="21" spans="1:32" thickBot="1" x14ac:dyDescent="0.25">
      <c r="A21" s="21" t="s">
        <v>221</v>
      </c>
      <c r="B21" s="14">
        <f ref="B21:J21" si="4" t="shared">SUM(B17:B20)</f>
        <v>1</v>
      </c>
      <c r="C21" s="14">
        <f si="4" t="shared"/>
        <v>0.99999999999999989</v>
      </c>
      <c r="D21" s="14">
        <f si="4" t="shared"/>
        <v>1</v>
      </c>
      <c r="E21" s="14">
        <f si="4" t="shared"/>
        <v>1</v>
      </c>
      <c r="F21" s="14">
        <f si="4" t="shared"/>
        <v>1</v>
      </c>
      <c r="G21" s="14">
        <f si="4" t="shared"/>
        <v>1</v>
      </c>
      <c r="H21" s="14">
        <f si="4" t="shared"/>
        <v>1</v>
      </c>
      <c r="I21" s="14">
        <f si="4" t="shared"/>
        <v>0.99999999999999989</v>
      </c>
      <c r="J21" s="14">
        <f si="4" t="shared"/>
        <v>1</v>
      </c>
      <c r="L21" s="21" t="s">
        <v>221</v>
      </c>
      <c r="M21" s="14">
        <f>SUM(M17:M20)</f>
        <v>1</v>
      </c>
      <c r="N21" s="14">
        <f ref="N21:U21" si="5" t="shared">SUM(N17:N20)</f>
        <v>1</v>
      </c>
      <c r="O21" s="14">
        <f si="5" t="shared"/>
        <v>1</v>
      </c>
      <c r="P21" s="14">
        <f si="5" t="shared"/>
        <v>1</v>
      </c>
      <c r="Q21" s="14">
        <f si="5" t="shared"/>
        <v>1</v>
      </c>
      <c r="R21" s="14">
        <f si="5" t="shared"/>
        <v>1</v>
      </c>
      <c r="S21" s="14">
        <f si="5" t="shared"/>
        <v>1</v>
      </c>
      <c r="T21" s="14">
        <f si="5" t="shared"/>
        <v>1</v>
      </c>
      <c r="U21" s="14">
        <f si="5" t="shared"/>
        <v>1.0000000000000002</v>
      </c>
      <c r="W21" s="21" t="s">
        <v>221</v>
      </c>
      <c r="X21" s="14">
        <f si="3" t="shared"/>
        <v>0</v>
      </c>
      <c r="Y21" s="14">
        <f si="3" t="shared"/>
        <v>0</v>
      </c>
      <c r="Z21" s="14">
        <f si="3" t="shared"/>
        <v>0</v>
      </c>
      <c r="AA21" s="14">
        <f si="3" t="shared"/>
        <v>0</v>
      </c>
      <c r="AB21" s="14">
        <f si="3" t="shared"/>
        <v>0</v>
      </c>
      <c r="AC21" s="14">
        <f si="3" t="shared"/>
        <v>0</v>
      </c>
      <c r="AD21" s="14">
        <f si="3" t="shared"/>
        <v>0</v>
      </c>
      <c r="AE21" s="14">
        <f si="3" t="shared"/>
        <v>0</v>
      </c>
      <c r="AF21" s="14">
        <f si="3" t="shared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ht="13.5" r="27" spans="1:32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243</v>
      </c>
      <c r="F28" s="24" t="s">
        <v>244</v>
      </c>
      <c r="G28" s="24" t="s">
        <v>245</v>
      </c>
      <c r="H28" s="24" t="s">
        <v>246</v>
      </c>
      <c r="I28" s="24" t="s">
        <v>170</v>
      </c>
      <c r="J28" s="24" t="s">
        <v>221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243</v>
      </c>
      <c r="Q28" s="24" t="s">
        <v>244</v>
      </c>
      <c r="R28" s="24" t="s">
        <v>245</v>
      </c>
      <c r="S28" s="24" t="s">
        <v>246</v>
      </c>
      <c r="T28" s="24" t="s">
        <v>170</v>
      </c>
      <c r="U28" s="24" t="s">
        <v>221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243</v>
      </c>
      <c r="AB28" s="24" t="s">
        <v>244</v>
      </c>
      <c r="AC28" s="24" t="s">
        <v>245</v>
      </c>
      <c r="AD28" s="24" t="s">
        <v>246</v>
      </c>
      <c r="AE28" s="24" t="s">
        <v>170</v>
      </c>
      <c r="AF28" s="24" t="s">
        <v>221</v>
      </c>
    </row>
    <row r="29" spans="1:32" x14ac:dyDescent="0.2">
      <c r="A29" s="18">
        <v>0</v>
      </c>
      <c r="B29" s="12">
        <f>output_NHTS!B94/SUM(output_NHTS!B$94:B$97)</f>
        <v>0.92213081307449263</v>
      </c>
      <c r="C29" s="12">
        <f>output_NHTS!C94/SUM(output_NHTS!C$94:C$97)</f>
        <v>0.84922544688689905</v>
      </c>
      <c r="D29" s="12">
        <f>output_NHTS!D94/SUM(output_NHTS!D$94:D$97)</f>
        <v>0.89590142888315227</v>
      </c>
      <c r="E29" s="12">
        <f>output_NHTS!E94/SUM(output_NHTS!E$94:E$97)</f>
        <v>0.81239511756966765</v>
      </c>
      <c r="F29" s="12">
        <f>output_NHTS!F94/SUM(output_NHTS!F$94:F$97)</f>
        <v>0.92887201911891948</v>
      </c>
      <c r="G29" s="12">
        <f>output_NHTS!G94/SUM(output_NHTS!G$94:G$97)</f>
        <v>0.9247127513894533</v>
      </c>
      <c r="H29" s="12">
        <f>output_NHTS!H94/SUM(output_NHTS!H$94:H$97)</f>
        <v>0.95370558786621085</v>
      </c>
      <c r="I29" s="12">
        <f>output_NHTS!I94/SUM(output_NHTS!I$94:I$97)</f>
        <v>0.87918604051761529</v>
      </c>
      <c r="J29" s="12">
        <f>output_NHTS!J94/SUM(output_NHTS!J$94:J$97)</f>
        <v>0.89668201967718086</v>
      </c>
      <c r="L29" s="18">
        <v>0</v>
      </c>
      <c r="M29" s="12">
        <f>output!B94/SUM(output!B$94:B$97)</f>
        <v>0.89238878549220468</v>
      </c>
      <c r="N29" s="12">
        <f>output!C94/SUM(output!C$94:C$97)</f>
        <v>0.84253629600774393</v>
      </c>
      <c r="O29" s="12">
        <f>output!D94/SUM(output!D$94:D$97)</f>
        <v>0.87952455641998228</v>
      </c>
      <c r="P29" s="12">
        <f>output!E94/SUM(output!E$94:E$97)</f>
        <v>0.7405725748953762</v>
      </c>
      <c r="Q29" s="12">
        <f>output!F94/SUM(output!F$94:F$97)</f>
        <v>0.94755601951371882</v>
      </c>
      <c r="R29" s="12">
        <f>output!G94/SUM(output!G$94:G$97)</f>
        <v>0.95259016199433444</v>
      </c>
      <c r="S29" s="28">
        <f>output!H94/SUM(output!H$94:H$97)</f>
        <v>0.95271376304762734</v>
      </c>
      <c r="T29" s="28">
        <f>output!I94/SUM(output!I$94:I$97)</f>
        <v>0.7638236833830877</v>
      </c>
      <c r="U29" s="12">
        <f>output!J94/SUM(output!J$94:J$97)</f>
        <v>0.86790909564351659</v>
      </c>
      <c r="W29" s="18">
        <v>0</v>
      </c>
      <c r="X29" s="12">
        <f ref="X29:AF33" si="6" t="shared">M29-B29</f>
        <v>-2.9742027582287944E-2</v>
      </c>
      <c r="Y29" s="12">
        <f si="6" t="shared"/>
        <v>-6.6891508791551146E-3</v>
      </c>
      <c r="Z29" s="12">
        <f si="6" t="shared"/>
        <v>-1.6376872463169989E-2</v>
      </c>
      <c r="AA29" s="12">
        <f si="6" t="shared"/>
        <v>-7.1822542674291445E-2</v>
      </c>
      <c r="AB29" s="12">
        <f si="6" t="shared"/>
        <v>1.8684000394799338E-2</v>
      </c>
      <c r="AC29" s="12">
        <f si="6" t="shared"/>
        <v>2.7877410604881137E-2</v>
      </c>
      <c r="AD29" s="12">
        <f si="6" t="shared"/>
        <v>-9.9182481858350879E-4</v>
      </c>
      <c r="AE29" s="12">
        <f si="6" t="shared"/>
        <v>-0.11536235713452758</v>
      </c>
      <c r="AF29" s="12">
        <f si="6" t="shared"/>
        <v>-2.8772924033664271E-2</v>
      </c>
    </row>
    <row r="30" spans="1:32" x14ac:dyDescent="0.2">
      <c r="A30" s="18">
        <v>1</v>
      </c>
      <c r="B30" s="12">
        <f>output_NHTS!B95/SUM(output_NHTS!B$94:B$97)</f>
        <v>5.4819015794659795E-2</v>
      </c>
      <c r="C30" s="12">
        <f>output_NHTS!C95/SUM(output_NHTS!C$94:C$97)</f>
        <v>8.6705208776457571E-2</v>
      </c>
      <c r="D30" s="12">
        <f>output_NHTS!D95/SUM(output_NHTS!D$94:D$97)</f>
        <v>9.2025677728321112E-2</v>
      </c>
      <c r="E30" s="12">
        <f>output_NHTS!E95/SUM(output_NHTS!E$94:E$97)</f>
        <v>0.10674500268727409</v>
      </c>
      <c r="F30" s="12">
        <f>output_NHTS!F95/SUM(output_NHTS!F$94:F$97)</f>
        <v>6.0651433955743642E-2</v>
      </c>
      <c r="G30" s="12">
        <f>output_NHTS!G95/SUM(output_NHTS!G$94:G$97)</f>
        <v>7.0075264207712429E-2</v>
      </c>
      <c r="H30" s="12">
        <f>output_NHTS!H95/SUM(output_NHTS!H$94:H$97)</f>
        <v>4.4438361851314195E-2</v>
      </c>
      <c r="I30" s="12">
        <f>output_NHTS!I95/SUM(output_NHTS!I$94:I$97)</f>
        <v>0.11263617321254776</v>
      </c>
      <c r="J30" s="12">
        <f>output_NHTS!J95/SUM(output_NHTS!J$94:J$97)</f>
        <v>7.3197239151808841E-2</v>
      </c>
      <c r="L30" s="18">
        <v>1</v>
      </c>
      <c r="M30" s="12">
        <f>output!B95/SUM(output!B$94:B$97)</f>
        <v>9.5392573601273192E-2</v>
      </c>
      <c r="N30" s="12">
        <f>output!C95/SUM(output!C$94:C$97)</f>
        <v>9.4421808549503342E-2</v>
      </c>
      <c r="O30" s="12">
        <f>output!D95/SUM(output!D$94:D$97)</f>
        <v>8.8634035965476449E-2</v>
      </c>
      <c r="P30" s="12">
        <f>output!E95/SUM(output!E$94:E$97)</f>
        <v>0.1456920029658097</v>
      </c>
      <c r="Q30" s="12">
        <f>output!F95/SUM(output!F$94:F$97)</f>
        <v>4.2921476508437667E-2</v>
      </c>
      <c r="R30" s="12">
        <f>output!G95/SUM(output!G$94:G$97)</f>
        <v>4.0979062435396896E-2</v>
      </c>
      <c r="S30" s="28">
        <f>output!H95/SUM(output!H$94:H$97)</f>
        <v>3.9439751625199269E-2</v>
      </c>
      <c r="T30" s="28">
        <f>output!I95/SUM(output!I$94:I$97)</f>
        <v>0.21450673920692129</v>
      </c>
      <c r="U30" s="12">
        <f>output!J95/SUM(output!J$94:J$97)</f>
        <v>9.8057515508575679E-2</v>
      </c>
      <c r="W30" s="18">
        <v>1</v>
      </c>
      <c r="X30" s="12">
        <f si="6" t="shared"/>
        <v>4.0573557806613397E-2</v>
      </c>
      <c r="Y30" s="12">
        <f si="6" t="shared"/>
        <v>7.7165997730457708E-3</v>
      </c>
      <c r="Z30" s="12">
        <f si="6" t="shared"/>
        <v>-3.3916417628446632E-3</v>
      </c>
      <c r="AA30" s="12">
        <f si="6" t="shared"/>
        <v>3.8947000278535607E-2</v>
      </c>
      <c r="AB30" s="12">
        <f si="6" t="shared"/>
        <v>-1.7729957447305975E-2</v>
      </c>
      <c r="AC30" s="12">
        <f si="6" t="shared"/>
        <v>-2.9096201772315533E-2</v>
      </c>
      <c r="AD30" s="12">
        <f si="6" t="shared"/>
        <v>-4.9986102261149259E-3</v>
      </c>
      <c r="AE30" s="12">
        <f si="6" t="shared"/>
        <v>0.10187056599437352</v>
      </c>
      <c r="AF30" s="12">
        <f si="6" t="shared"/>
        <v>2.4860276356766839E-2</v>
      </c>
    </row>
    <row r="31" spans="1:32" x14ac:dyDescent="0.2">
      <c r="A31" s="18">
        <v>2</v>
      </c>
      <c r="B31" s="12">
        <f>output_NHTS!B96/SUM(output_NHTS!B$94:B$97)</f>
        <v>2.1136619503743612E-2</v>
      </c>
      <c r="C31" s="12">
        <f>output_NHTS!C96/SUM(output_NHTS!C$94:C$97)</f>
        <v>5.2008686849803337E-2</v>
      </c>
      <c r="D31" s="12">
        <f>output_NHTS!D96/SUM(output_NHTS!D$94:D$97)</f>
        <v>1.1386050725381715E-2</v>
      </c>
      <c r="E31" s="12">
        <f>output_NHTS!E96/SUM(output_NHTS!E$94:E$97)</f>
        <v>5.8257539002412553E-2</v>
      </c>
      <c r="F31" s="12">
        <f>output_NHTS!F96/SUM(output_NHTS!F$94:F$97)</f>
        <v>8.0881791268197206E-3</v>
      </c>
      <c r="G31" s="12">
        <f>output_NHTS!G96/SUM(output_NHTS!G$94:G$97)</f>
        <v>5.2119844028342775E-3</v>
      </c>
      <c r="H31" s="12">
        <f>output_NHTS!H96/SUM(output_NHTS!H$94:H$97)</f>
        <v>1.8560502824749108E-3</v>
      </c>
      <c r="I31" s="12">
        <f>output_NHTS!I96/SUM(output_NHTS!I$94:I$97)</f>
        <v>8.1777862698367738E-3</v>
      </c>
      <c r="J31" s="12">
        <f>output_NHTS!J96/SUM(output_NHTS!J$94:J$97)</f>
        <v>2.4530078300632394E-2</v>
      </c>
      <c r="L31" s="18">
        <v>2</v>
      </c>
      <c r="M31" s="12">
        <f>output!B96/SUM(output!B$94:B$97)</f>
        <v>1.0561167500064353E-2</v>
      </c>
      <c r="N31" s="12">
        <f>output!C96/SUM(output!C$94:C$97)</f>
        <v>5.3942620641546202E-2</v>
      </c>
      <c r="O31" s="12">
        <f>output!D96/SUM(output!D$94:D$97)</f>
        <v>2.706538997561336E-2</v>
      </c>
      <c r="P31" s="12">
        <f>output!E96/SUM(output!E$94:E$97)</f>
        <v>9.7660858786274549E-2</v>
      </c>
      <c r="Q31" s="12">
        <f>output!F96/SUM(output!F$94:F$97)</f>
        <v>7.8459776549957248E-3</v>
      </c>
      <c r="R31" s="12">
        <f>output!G96/SUM(output!G$94:G$97)</f>
        <v>5.2366603629385939E-3</v>
      </c>
      <c r="S31" s="28">
        <f>output!H96/SUM(output!H$94:H$97)</f>
        <v>6.0058580215366607E-3</v>
      </c>
      <c r="T31" s="28">
        <f>output!I96/SUM(output!I$94:I$97)</f>
        <v>1.6719314682551386E-2</v>
      </c>
      <c r="U31" s="12">
        <f>output!J96/SUM(output!J$94:J$97)</f>
        <v>2.8962074015301154E-2</v>
      </c>
      <c r="W31" s="18">
        <v>2</v>
      </c>
      <c r="X31" s="12">
        <f si="6" t="shared"/>
        <v>-1.0575452003679259E-2</v>
      </c>
      <c r="Y31" s="12">
        <f si="6" t="shared"/>
        <v>1.9339337917428645E-3</v>
      </c>
      <c r="Z31" s="12">
        <f si="6" t="shared"/>
        <v>1.5679339250231645E-2</v>
      </c>
      <c r="AA31" s="12">
        <f si="6" t="shared"/>
        <v>3.9403319783861995E-2</v>
      </c>
      <c r="AB31" s="12">
        <f si="6" t="shared"/>
        <v>-2.4220147182399572E-4</v>
      </c>
      <c r="AC31" s="12">
        <f si="6" t="shared"/>
        <v>2.4675960104316406E-5</v>
      </c>
      <c r="AD31" s="12">
        <f si="6" t="shared"/>
        <v>4.1498077390617494E-3</v>
      </c>
      <c r="AE31" s="12">
        <f si="6" t="shared"/>
        <v>8.5415284127146121E-3</v>
      </c>
      <c r="AF31" s="12">
        <f si="6" t="shared"/>
        <v>4.4319957146687593E-3</v>
      </c>
    </row>
    <row r="32" spans="1:32" x14ac:dyDescent="0.2">
      <c r="A32" s="18" t="s">
        <v>116</v>
      </c>
      <c r="B32" s="12">
        <f>output_NHTS!B97/SUM(output_NHTS!B$94:B$97)</f>
        <v>1.9135516271040424E-3</v>
      </c>
      <c r="C32" s="12">
        <f>output_NHTS!C97/SUM(output_NHTS!C$94:C$97)</f>
        <v>1.2060657486839987E-2</v>
      </c>
      <c r="D32" s="12">
        <f>output_NHTS!D97/SUM(output_NHTS!D$94:D$97)</f>
        <v>6.8684266314491486E-4</v>
      </c>
      <c r="E32" s="12">
        <f>output_NHTS!E97/SUM(output_NHTS!E$94:E$97)</f>
        <v>2.2602340740645509E-2</v>
      </c>
      <c r="F32" s="12">
        <f>output_NHTS!F97/SUM(output_NHTS!F$94:F$97)</f>
        <v>2.3883677985170855E-3</v>
      </c>
      <c r="G32" s="12">
        <f>output_NHTS!G97/SUM(output_NHTS!G$94:G$97)</f>
        <v>0</v>
      </c>
      <c r="H32" s="12">
        <f>output_NHTS!H97/SUM(output_NHTS!H$94:H$97)</f>
        <v>0</v>
      </c>
      <c r="I32" s="12">
        <f>output_NHTS!I97/SUM(output_NHTS!I$94:I$97)</f>
        <v>0</v>
      </c>
      <c r="J32" s="12">
        <f>output_NHTS!J97/SUM(output_NHTS!J$94:J$97)</f>
        <v>5.5906628703779084E-3</v>
      </c>
      <c r="L32" s="18" t="s">
        <v>116</v>
      </c>
      <c r="M32" s="13">
        <f>output!B97/SUM(output!B$94:B$97)</f>
        <v>1.6574734064576913E-3</v>
      </c>
      <c r="N32" s="13">
        <f>output!C97/SUM(output!C$94:C$97)</f>
        <v>9.0992748012065239E-3</v>
      </c>
      <c r="O32" s="13">
        <f>output!D97/SUM(output!D$94:D$97)</f>
        <v>4.7760176389278312E-3</v>
      </c>
      <c r="P32" s="13">
        <f>output!E97/SUM(output!E$94:E$97)</f>
        <v>1.6074563352539682E-2</v>
      </c>
      <c r="Q32" s="13">
        <f>output!F97/SUM(output!F$94:F$97)</f>
        <v>1.6765263228477702E-3</v>
      </c>
      <c r="R32" s="13">
        <f>output!G97/SUM(output!G$94:G$97)</f>
        <v>1.1941152073301567E-3</v>
      </c>
      <c r="S32" s="30">
        <f>output!H97/SUM(output!H$94:H$97)</f>
        <v>1.8406273056365597E-3</v>
      </c>
      <c r="T32" s="30">
        <f>output!I97/SUM(output!I$94:I$97)</f>
        <v>4.9502627274395855E-3</v>
      </c>
      <c r="U32" s="13">
        <f>output!J97/SUM(output!J$94:J$97)</f>
        <v>5.0713148326065501E-3</v>
      </c>
      <c r="W32" s="18" t="s">
        <v>116</v>
      </c>
      <c r="X32" s="12">
        <f si="6" t="shared"/>
        <v>-2.5607822064635109E-4</v>
      </c>
      <c r="Y32" s="12">
        <f si="6" t="shared"/>
        <v>-2.9613826856334634E-3</v>
      </c>
      <c r="Z32" s="12">
        <f si="6" t="shared"/>
        <v>4.0891749757829164E-3</v>
      </c>
      <c r="AA32" s="12">
        <f si="6" t="shared"/>
        <v>-6.5277773881058272E-3</v>
      </c>
      <c r="AB32" s="12">
        <f si="6" t="shared"/>
        <v>-7.118414756693153E-4</v>
      </c>
      <c r="AC32" s="12">
        <f si="6" t="shared"/>
        <v>1.1941152073301567E-3</v>
      </c>
      <c r="AD32" s="12">
        <f si="6" t="shared"/>
        <v>1.8406273056365597E-3</v>
      </c>
      <c r="AE32" s="12">
        <f si="6" t="shared"/>
        <v>4.9502627274395855E-3</v>
      </c>
      <c r="AF32" s="12">
        <f si="6" t="shared"/>
        <v>-5.193480377713583E-4</v>
      </c>
    </row>
    <row ht="13.5" r="33" spans="1:32" thickBot="1" x14ac:dyDescent="0.25">
      <c r="A33" s="21" t="s">
        <v>221</v>
      </c>
      <c r="B33" s="14">
        <f ref="B33:J33" si="7" t="shared">SUM(B29:B32)</f>
        <v>1</v>
      </c>
      <c r="C33" s="14">
        <f si="7" t="shared"/>
        <v>1</v>
      </c>
      <c r="D33" s="14">
        <f si="7" t="shared"/>
        <v>1</v>
      </c>
      <c r="E33" s="14">
        <f si="7" t="shared"/>
        <v>0.99999999999999978</v>
      </c>
      <c r="F33" s="14">
        <f si="7" t="shared"/>
        <v>0.99999999999999989</v>
      </c>
      <c r="G33" s="14">
        <f si="7" t="shared"/>
        <v>1</v>
      </c>
      <c r="H33" s="14">
        <f si="7" t="shared"/>
        <v>1</v>
      </c>
      <c r="I33" s="14">
        <f si="7" t="shared"/>
        <v>0.99999999999999989</v>
      </c>
      <c r="J33" s="14">
        <f si="7" t="shared"/>
        <v>1</v>
      </c>
      <c r="L33" s="21" t="s">
        <v>221</v>
      </c>
      <c r="M33" s="14">
        <f>SUM(M29:M32)</f>
        <v>0.99999999999999989</v>
      </c>
      <c r="N33" s="14">
        <f ref="N33:U33" si="8" t="shared">SUM(N29:N32)</f>
        <v>1</v>
      </c>
      <c r="O33" s="14">
        <f si="8" t="shared"/>
        <v>1</v>
      </c>
      <c r="P33" s="14">
        <f si="8" t="shared"/>
        <v>1.0000000000000002</v>
      </c>
      <c r="Q33" s="14">
        <f si="8" t="shared"/>
        <v>1</v>
      </c>
      <c r="R33" s="14">
        <f si="8" t="shared"/>
        <v>1.0000000000000002</v>
      </c>
      <c r="S33" s="14">
        <f si="8" t="shared"/>
        <v>0.99999999999999989</v>
      </c>
      <c r="T33" s="14">
        <f si="8" t="shared"/>
        <v>1</v>
      </c>
      <c r="U33" s="14">
        <f si="8" t="shared"/>
        <v>1</v>
      </c>
      <c r="W33" s="21" t="s">
        <v>221</v>
      </c>
      <c r="X33" s="14">
        <f si="6" t="shared"/>
        <v>0</v>
      </c>
      <c r="Y33" s="14">
        <f si="6" t="shared"/>
        <v>0</v>
      </c>
      <c r="Z33" s="14">
        <f si="6" t="shared"/>
        <v>0</v>
      </c>
      <c r="AA33" s="14">
        <f si="6" t="shared"/>
        <v>0</v>
      </c>
      <c r="AB33" s="14">
        <f si="6" t="shared"/>
        <v>0</v>
      </c>
      <c r="AC33" s="14">
        <f si="6" t="shared"/>
        <v>0</v>
      </c>
      <c r="AD33" s="14">
        <f si="6" t="shared"/>
        <v>0</v>
      </c>
      <c r="AE33" s="14">
        <f si="6" t="shared"/>
        <v>0</v>
      </c>
      <c r="AF33" s="14">
        <f si="6" t="shared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ht="13.5" r="39" spans="1:32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243</v>
      </c>
      <c r="Q40" s="6" t="s">
        <v>244</v>
      </c>
      <c r="R40" s="6" t="s">
        <v>245</v>
      </c>
      <c r="S40" s="6" t="s">
        <v>246</v>
      </c>
      <c r="T40" s="6" t="s">
        <v>170</v>
      </c>
      <c r="U40" s="6" t="s">
        <v>221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2">
      <c r="A41" s="18">
        <v>0</v>
      </c>
      <c r="B41" s="12">
        <f>output_NHTS!B101/SUM(output_NHTS!B$101:B$104)</f>
        <v>0.92543059648654002</v>
      </c>
      <c r="C41" s="12">
        <f>output_NHTS!C101/SUM(output_NHTS!C$101:C$104)</f>
        <v>0.84783164932038546</v>
      </c>
      <c r="D41" s="12">
        <f>output_NHTS!D101/SUM(output_NHTS!D$101:D$104)</f>
        <v>0.71936618584210943</v>
      </c>
      <c r="E41" s="12">
        <f>output_NHTS!E101/SUM(output_NHTS!E$101:E$104)</f>
        <v>0.78624696241107406</v>
      </c>
      <c r="F41" s="12">
        <f>output_NHTS!F101/SUM(output_NHTS!F$101:F$104)</f>
        <v>0.89562446091385184</v>
      </c>
      <c r="G41" s="12">
        <f>output_NHTS!G101/SUM(output_NHTS!G$101:G$104)</f>
        <v>0.9492250262008527</v>
      </c>
      <c r="H41" s="12">
        <f>output_NHTS!H101/SUM(output_NHTS!H$101:H$104)</f>
        <v>0.91420083200032876</v>
      </c>
      <c r="I41" s="12">
        <f>output_NHTS!I101/SUM(output_NHTS!I$101:I$104)</f>
        <v>0.84806388325201509</v>
      </c>
      <c r="J41" s="12">
        <f>output_NHTS!J101/SUM(output_NHTS!J$101:J$104)</f>
        <v>0.86704681480833135</v>
      </c>
      <c r="L41" s="18">
        <v>0</v>
      </c>
      <c r="M41" s="12">
        <f>output!B101/SUM(output!B$101:B$104)</f>
        <v>0.91121810382252699</v>
      </c>
      <c r="N41" s="12">
        <f>output!C101/SUM(output!C$101:C$104)</f>
        <v>0.80851481852235729</v>
      </c>
      <c r="O41" s="12">
        <f>output!D101/SUM(output!D$101:D$104)</f>
        <v>0.65104827987412783</v>
      </c>
      <c r="P41" s="12">
        <f>output!E101/SUM(output!E$101:E$104)</f>
        <v>0.71581238635440525</v>
      </c>
      <c r="Q41" s="12">
        <f>output!F101/SUM(output!F$101:F$104)</f>
        <v>0.92624744231764222</v>
      </c>
      <c r="R41" s="12">
        <f>output!G101/SUM(output!G$101:G$104)</f>
        <v>0.95034047958638423</v>
      </c>
      <c r="S41" s="28">
        <f>output!H101/SUM(output!H$101:H$104)</f>
        <v>0.89839572067455253</v>
      </c>
      <c r="T41" s="28">
        <f>output!I101/SUM(output!I$101:I$104)</f>
        <v>0.75397318242686129</v>
      </c>
      <c r="U41" s="12">
        <f>output!J101/SUM(output!J$101:J$104)</f>
        <v>0.83516287446748361</v>
      </c>
      <c r="W41" s="18">
        <v>0</v>
      </c>
      <c r="X41" s="12">
        <f ref="X41:AF45" si="9" t="shared">M41-B41</f>
        <v>-1.4212492664013032E-2</v>
      </c>
      <c r="Y41" s="12">
        <f si="9" t="shared"/>
        <v>-3.9316830798028168E-2</v>
      </c>
      <c r="Z41" s="12">
        <f si="9" t="shared"/>
        <v>-6.8317905967981596E-2</v>
      </c>
      <c r="AA41" s="12">
        <f si="9" t="shared"/>
        <v>-7.0434576056668807E-2</v>
      </c>
      <c r="AB41" s="12">
        <f si="9" t="shared"/>
        <v>3.0622981403790384E-2</v>
      </c>
      <c r="AC41" s="12">
        <f si="9" t="shared"/>
        <v>1.1154533855315396E-3</v>
      </c>
      <c r="AD41" s="12">
        <f si="9" t="shared"/>
        <v>-1.5805111325776222E-2</v>
      </c>
      <c r="AE41" s="12">
        <f si="9" t="shared"/>
        <v>-9.4090700825153806E-2</v>
      </c>
      <c r="AF41" s="12">
        <f si="9" t="shared"/>
        <v>-3.1883940340847738E-2</v>
      </c>
    </row>
    <row r="42" spans="1:32" x14ac:dyDescent="0.2">
      <c r="A42" s="18">
        <v>1</v>
      </c>
      <c r="B42" s="12">
        <f>output_NHTS!B102/SUM(output_NHTS!B$101:B$104)</f>
        <v>6.9103534855174231E-2</v>
      </c>
      <c r="C42" s="12">
        <f>output_NHTS!C102/SUM(output_NHTS!C$101:C$104)</f>
        <v>0.12609125982358868</v>
      </c>
      <c r="D42" s="12">
        <f>output_NHTS!D102/SUM(output_NHTS!D$101:D$104)</f>
        <v>0.23540816242564455</v>
      </c>
      <c r="E42" s="12">
        <f>output_NHTS!E102/SUM(output_NHTS!E$101:E$104)</f>
        <v>0.18713121930799376</v>
      </c>
      <c r="F42" s="12">
        <f>output_NHTS!F102/SUM(output_NHTS!F$101:F$104)</f>
        <v>9.8466430818702586E-2</v>
      </c>
      <c r="G42" s="12">
        <f>output_NHTS!G102/SUM(output_NHTS!G$101:G$104)</f>
        <v>5.0365777792630795E-2</v>
      </c>
      <c r="H42" s="12">
        <f>output_NHTS!H102/SUM(output_NHTS!H$101:H$104)</f>
        <v>7.4510193754807677E-2</v>
      </c>
      <c r="I42" s="12">
        <f>output_NHTS!I102/SUM(output_NHTS!I$101:I$104)</f>
        <v>0.1201659420853184</v>
      </c>
      <c r="J42" s="12">
        <f>output_NHTS!J102/SUM(output_NHTS!J$101:J$104)</f>
        <v>0.11544136484054861</v>
      </c>
      <c r="L42" s="18">
        <v>1</v>
      </c>
      <c r="M42" s="12">
        <f>output!B102/SUM(output!B$101:B$104)</f>
        <v>8.3577398826770261E-2</v>
      </c>
      <c r="N42" s="12">
        <f>output!C102/SUM(output!C$101:C$104)</f>
        <v>0.16586147502522455</v>
      </c>
      <c r="O42" s="12">
        <f>output!D102/SUM(output!D$101:D$104)</f>
        <v>0.29677201578867718</v>
      </c>
      <c r="P42" s="12">
        <f>output!E102/SUM(output!E$101:E$104)</f>
        <v>0.24050372182921667</v>
      </c>
      <c r="Q42" s="12">
        <f>output!F102/SUM(output!F$101:F$104)</f>
        <v>6.6526961346152644E-2</v>
      </c>
      <c r="R42" s="12">
        <f>output!G102/SUM(output!G$101:G$104)</f>
        <v>4.5459320753337744E-2</v>
      </c>
      <c r="S42" s="28">
        <f>output!H102/SUM(output!H$101:H$104)</f>
        <v>9.2368650854980958E-2</v>
      </c>
      <c r="T42" s="28">
        <f>output!I102/SUM(output!I$101:I$104)</f>
        <v>0.21048620689096792</v>
      </c>
      <c r="U42" s="12">
        <f>output!J102/SUM(output!J$101:J$104)</f>
        <v>0.14447552375348499</v>
      </c>
      <c r="W42" s="18">
        <v>1</v>
      </c>
      <c r="X42" s="12">
        <f si="9" t="shared"/>
        <v>1.4473863971596029E-2</v>
      </c>
      <c r="Y42" s="12">
        <f si="9" t="shared"/>
        <v>3.9770215201635872E-2</v>
      </c>
      <c r="Z42" s="12">
        <f si="9" t="shared"/>
        <v>6.1363853363032628E-2</v>
      </c>
      <c r="AA42" s="12">
        <f si="9" t="shared"/>
        <v>5.3372502521222914E-2</v>
      </c>
      <c r="AB42" s="12">
        <f si="9" t="shared"/>
        <v>-3.1939469472549942E-2</v>
      </c>
      <c r="AC42" s="12">
        <f si="9" t="shared"/>
        <v>-4.9064570392930509E-3</v>
      </c>
      <c r="AD42" s="12">
        <f si="9" t="shared"/>
        <v>1.7858457100173281E-2</v>
      </c>
      <c r="AE42" s="12">
        <f si="9" t="shared"/>
        <v>9.0320264805649517E-2</v>
      </c>
      <c r="AF42" s="12">
        <f si="9" t="shared"/>
        <v>2.9034158912936384E-2</v>
      </c>
    </row>
    <row r="43" spans="1:32" x14ac:dyDescent="0.2">
      <c r="A43" s="18">
        <v>2</v>
      </c>
      <c r="B43" s="12">
        <f>output_NHTS!B103/SUM(output_NHTS!B$101:B$104)</f>
        <v>4.904555719220406E-3</v>
      </c>
      <c r="C43" s="12">
        <f>output_NHTS!C103/SUM(output_NHTS!C$101:C$104)</f>
        <v>1.6984647870750356E-2</v>
      </c>
      <c r="D43" s="12">
        <f>output_NHTS!D103/SUM(output_NHTS!D$101:D$104)</f>
        <v>3.8819172401644605E-2</v>
      </c>
      <c r="E43" s="12">
        <f>output_NHTS!E103/SUM(output_NHTS!E$101:E$104)</f>
        <v>2.2815392258819716E-2</v>
      </c>
      <c r="F43" s="12">
        <f>output_NHTS!F103/SUM(output_NHTS!F$101:F$104)</f>
        <v>4.8201617382503965E-3</v>
      </c>
      <c r="G43" s="12">
        <f>output_NHTS!G103/SUM(output_NHTS!G$101:G$104)</f>
        <v>4.0919600651643015E-4</v>
      </c>
      <c r="H43" s="12">
        <f>output_NHTS!H103/SUM(output_NHTS!H$101:H$104)</f>
        <v>7.0309921014206078E-3</v>
      </c>
      <c r="I43" s="12">
        <f>output_NHTS!I103/SUM(output_NHTS!I$101:I$104)</f>
        <v>2.5131005847909751E-2</v>
      </c>
      <c r="J43" s="12">
        <f>output_NHTS!J103/SUM(output_NHTS!J$101:J$104)</f>
        <v>1.4077399157880626E-2</v>
      </c>
      <c r="L43" s="18">
        <v>2</v>
      </c>
      <c r="M43" s="12">
        <f>output!B103/SUM(output!B$101:B$104)</f>
        <v>4.5401616803168159E-3</v>
      </c>
      <c r="N43" s="12">
        <f>output!C103/SUM(output!C$101:C$104)</f>
        <v>2.2689349901205788E-2</v>
      </c>
      <c r="O43" s="12">
        <f>output!D103/SUM(output!D$101:D$104)</f>
        <v>4.5478216810258848E-2</v>
      </c>
      <c r="P43" s="12">
        <f>output!E103/SUM(output!E$101:E$104)</f>
        <v>3.8116572856579642E-2</v>
      </c>
      <c r="Q43" s="12">
        <f>output!F103/SUM(output!F$101:F$104)</f>
        <v>6.5864681053575376E-3</v>
      </c>
      <c r="R43" s="12">
        <f>output!G103/SUM(output!G$101:G$104)</f>
        <v>3.8633285265337268E-3</v>
      </c>
      <c r="S43" s="28">
        <f>output!H103/SUM(output!H$101:H$104)</f>
        <v>7.871567829581972E-3</v>
      </c>
      <c r="T43" s="28">
        <f>output!I103/SUM(output!I$101:I$104)</f>
        <v>3.0995985959895379E-2</v>
      </c>
      <c r="U43" s="12">
        <f>output!J103/SUM(output!J$101:J$104)</f>
        <v>1.778348956216555E-2</v>
      </c>
      <c r="W43" s="18">
        <v>2</v>
      </c>
      <c r="X43" s="12">
        <f si="9" t="shared"/>
        <v>-3.6439403890359007E-4</v>
      </c>
      <c r="Y43" s="12">
        <f si="9" t="shared"/>
        <v>5.7047020304554323E-3</v>
      </c>
      <c r="Z43" s="12">
        <f si="9" t="shared"/>
        <v>6.6590444086142425E-3</v>
      </c>
      <c r="AA43" s="12">
        <f si="9" t="shared"/>
        <v>1.5301180597759926E-2</v>
      </c>
      <c r="AB43" s="12">
        <f si="9" t="shared"/>
        <v>1.7663063671071412E-3</v>
      </c>
      <c r="AC43" s="12">
        <f si="9" t="shared"/>
        <v>3.4541325200172965E-3</v>
      </c>
      <c r="AD43" s="12">
        <f si="9" t="shared"/>
        <v>8.4057572816136419E-4</v>
      </c>
      <c r="AE43" s="12">
        <f si="9" t="shared"/>
        <v>5.8649801119856279E-3</v>
      </c>
      <c r="AF43" s="12">
        <f si="9" t="shared"/>
        <v>3.7060904042849237E-3</v>
      </c>
    </row>
    <row r="44" spans="1:32" x14ac:dyDescent="0.2">
      <c r="A44" s="23" t="s">
        <v>116</v>
      </c>
      <c r="B44" s="12">
        <f>output_NHTS!B104/SUM(output_NHTS!B$101:B$104)</f>
        <v>5.6131293906527238E-4</v>
      </c>
      <c r="C44" s="12">
        <f>output_NHTS!C104/SUM(output_NHTS!C$101:C$104)</f>
        <v>9.0924429852755929E-3</v>
      </c>
      <c r="D44" s="12">
        <f>output_NHTS!D104/SUM(output_NHTS!D$101:D$104)</f>
        <v>6.4064793306013983E-3</v>
      </c>
      <c r="E44" s="12">
        <f>output_NHTS!E104/SUM(output_NHTS!E$101:E$104)</f>
        <v>3.8064260221122937E-3</v>
      </c>
      <c r="F44" s="12">
        <f>output_NHTS!F104/SUM(output_NHTS!F$101:F$104)</f>
        <v>1.0889465291952429E-3</v>
      </c>
      <c r="G44" s="12">
        <f>output_NHTS!G104/SUM(output_NHTS!G$101:G$104)</f>
        <v>0</v>
      </c>
      <c r="H44" s="12">
        <f>output_NHTS!H104/SUM(output_NHTS!H$101:H$104)</f>
        <v>4.2579821434428795E-3</v>
      </c>
      <c r="I44" s="12">
        <f>output_NHTS!I104/SUM(output_NHTS!I$101:I$104)</f>
        <v>6.6391688147566883E-3</v>
      </c>
      <c r="J44" s="12">
        <f>output_NHTS!J104/SUM(output_NHTS!J$101:J$104)</f>
        <v>3.4344211932393655E-3</v>
      </c>
      <c r="L44" s="23" t="s">
        <v>116</v>
      </c>
      <c r="M44" s="13">
        <f>output!B104/SUM(output!B$101:B$104)</f>
        <v>6.6433567038599504E-4</v>
      </c>
      <c r="N44" s="13">
        <f>output!C104/SUM(output!C$101:C$104)</f>
        <v>2.934356551212314E-3</v>
      </c>
      <c r="O44" s="13">
        <f>output!D104/SUM(output!D$101:D$104)</f>
        <v>6.7014875269361214E-3</v>
      </c>
      <c r="P44" s="13">
        <f>output!E104/SUM(output!E$101:E$104)</f>
        <v>5.5673189597984507E-3</v>
      </c>
      <c r="Q44" s="13">
        <f>output!F104/SUM(output!F$101:F$104)</f>
        <v>6.3912823084754614E-4</v>
      </c>
      <c r="R44" s="13">
        <f>output!G104/SUM(output!G$101:G$104)</f>
        <v>3.368711337443533E-4</v>
      </c>
      <c r="S44" s="30">
        <f>output!H104/SUM(output!H$101:H$104)</f>
        <v>1.3640606408846184E-3</v>
      </c>
      <c r="T44" s="30">
        <f>output!I104/SUM(output!I$101:I$104)</f>
        <v>4.5446247222754275E-3</v>
      </c>
      <c r="U44" s="13">
        <f>output!J104/SUM(output!J$101:J$104)</f>
        <v>2.5781122168658174E-3</v>
      </c>
      <c r="W44" s="23" t="s">
        <v>116</v>
      </c>
      <c r="X44" s="12">
        <f si="9" t="shared"/>
        <v>1.0302273132072265E-4</v>
      </c>
      <c r="Y44" s="12">
        <f si="9" t="shared"/>
        <v>-6.1580864340632785E-3</v>
      </c>
      <c r="Z44" s="12">
        <f si="9" t="shared"/>
        <v>2.9500819633472303E-4</v>
      </c>
      <c r="AA44" s="12">
        <f si="9" t="shared"/>
        <v>1.760892937686157E-3</v>
      </c>
      <c r="AB44" s="12">
        <f si="9" t="shared"/>
        <v>-4.4981829834769675E-4</v>
      </c>
      <c r="AC44" s="12">
        <f si="9" t="shared"/>
        <v>3.368711337443533E-4</v>
      </c>
      <c r="AD44" s="12">
        <f si="9" t="shared"/>
        <v>-2.8939215025582613E-3</v>
      </c>
      <c r="AE44" s="12">
        <f si="9" t="shared"/>
        <v>-2.0945440924812608E-3</v>
      </c>
      <c r="AF44" s="12">
        <f si="9" t="shared"/>
        <v>-8.5630897637354805E-4</v>
      </c>
    </row>
    <row ht="13.5" r="45" spans="1:32" thickBot="1" x14ac:dyDescent="0.25">
      <c r="A45" s="21" t="s">
        <v>221</v>
      </c>
      <c r="B45" s="14">
        <f ref="B45:J45" si="10" t="shared">SUM(B41:B44)</f>
        <v>0.99999999999999989</v>
      </c>
      <c r="C45" s="14">
        <f si="10" t="shared"/>
        <v>1.0000000000000002</v>
      </c>
      <c r="D45" s="14">
        <f si="10" t="shared"/>
        <v>0.99999999999999989</v>
      </c>
      <c r="E45" s="14">
        <f si="10" t="shared"/>
        <v>0.99999999999999989</v>
      </c>
      <c r="F45" s="14">
        <f si="10" t="shared"/>
        <v>1</v>
      </c>
      <c r="G45" s="14">
        <f si="10" t="shared"/>
        <v>1</v>
      </c>
      <c r="H45" s="14">
        <f si="10" t="shared"/>
        <v>0.99999999999999989</v>
      </c>
      <c r="I45" s="14">
        <f si="10" t="shared"/>
        <v>0.99999999999999989</v>
      </c>
      <c r="J45" s="14">
        <f si="10" t="shared"/>
        <v>0.99999999999999989</v>
      </c>
      <c r="L45" s="21" t="s">
        <v>221</v>
      </c>
      <c r="M45" s="14">
        <f>SUM(M41:M44)</f>
        <v>1</v>
      </c>
      <c r="N45" s="14">
        <f ref="N45:U45" si="11" t="shared">SUM(N41:N44)</f>
        <v>0.99999999999999989</v>
      </c>
      <c r="O45" s="14">
        <f si="11" t="shared"/>
        <v>1</v>
      </c>
      <c r="P45" s="14">
        <f si="11" t="shared"/>
        <v>1</v>
      </c>
      <c r="Q45" s="14">
        <f si="11" t="shared"/>
        <v>1</v>
      </c>
      <c r="R45" s="14">
        <f si="11" t="shared"/>
        <v>1</v>
      </c>
      <c r="S45" s="14">
        <f si="11" t="shared"/>
        <v>1</v>
      </c>
      <c r="T45" s="14">
        <f si="11" t="shared"/>
        <v>1</v>
      </c>
      <c r="U45" s="14">
        <f si="11" t="shared"/>
        <v>1</v>
      </c>
      <c r="W45" s="21" t="s">
        <v>221</v>
      </c>
      <c r="X45" s="14">
        <f si="9" t="shared"/>
        <v>0</v>
      </c>
      <c r="Y45" s="14">
        <f si="9" t="shared"/>
        <v>0</v>
      </c>
      <c r="Z45" s="14">
        <f si="9" t="shared"/>
        <v>0</v>
      </c>
      <c r="AA45" s="14">
        <f si="9" t="shared"/>
        <v>0</v>
      </c>
      <c r="AB45" s="14">
        <f si="9" t="shared"/>
        <v>0</v>
      </c>
      <c r="AC45" s="14">
        <f si="9" t="shared"/>
        <v>0</v>
      </c>
      <c r="AD45" s="14">
        <f si="9" t="shared"/>
        <v>0</v>
      </c>
      <c r="AE45" s="14">
        <f si="9" t="shared"/>
        <v>0</v>
      </c>
      <c r="AF45" s="14">
        <f si="9" t="shared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228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ht="13.5" r="51" spans="1:32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243</v>
      </c>
      <c r="Q52" s="6" t="s">
        <v>244</v>
      </c>
      <c r="R52" s="6" t="s">
        <v>245</v>
      </c>
      <c r="S52" s="6" t="s">
        <v>246</v>
      </c>
      <c r="T52" s="6" t="s">
        <v>170</v>
      </c>
      <c r="U52" s="6" t="s">
        <v>221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2">
      <c r="A53" s="18">
        <v>0</v>
      </c>
      <c r="B53" s="12">
        <f>output_NHTS!B108/SUM(output_NHTS!B$108:B$111)</f>
        <v>0.91641212706288722</v>
      </c>
      <c r="C53" s="12">
        <f>output_NHTS!C108/SUM(output_NHTS!C$108:C$111)</f>
        <v>0.84622422897582794</v>
      </c>
      <c r="D53" s="12">
        <f>output_NHTS!D108/SUM(output_NHTS!D$108:D$111)</f>
        <v>0.74600663429451486</v>
      </c>
      <c r="E53" s="12">
        <f>output_NHTS!E108/SUM(output_NHTS!E$108:E$111)</f>
        <v>0.74175644991961498</v>
      </c>
      <c r="F53" s="12">
        <f>output_NHTS!F108/SUM(output_NHTS!F$108:F$111)</f>
        <v>0.87893164903881627</v>
      </c>
      <c r="G53" s="12">
        <f>output_NHTS!G108/SUM(output_NHTS!G$108:G$111)</f>
        <v>0.99059678107022686</v>
      </c>
      <c r="H53" s="12">
        <f>output_NHTS!H108/SUM(output_NHTS!H$108:H$111)</f>
        <v>0.95058461132882033</v>
      </c>
      <c r="I53" s="12">
        <f>output_NHTS!I108/SUM(output_NHTS!I$108:I$111)</f>
        <v>0.79432175511716607</v>
      </c>
      <c r="J53" s="12">
        <f>output_NHTS!J108/SUM(output_NHTS!J$108:J$111)</f>
        <v>0.86062281384229544</v>
      </c>
      <c r="L53" s="18">
        <v>0</v>
      </c>
      <c r="M53" s="12">
        <f>output!B108/SUM(output!B$108:B$111)</f>
        <v>0.90147774465034813</v>
      </c>
      <c r="N53" s="12">
        <f>output!C108/SUM(output!C$108:C$111)</f>
        <v>0.84322401093410593</v>
      </c>
      <c r="O53" s="12">
        <f>output!D108/SUM(output!D$108:D$111)</f>
        <v>0.70072435246620923</v>
      </c>
      <c r="P53" s="12">
        <f>output!E108/SUM(output!E$108:E$111)</f>
        <v>0.68354181583448637</v>
      </c>
      <c r="Q53" s="12">
        <f>output!F108/SUM(output!F$108:F$111)</f>
        <v>0.92713358846750071</v>
      </c>
      <c r="R53" s="12">
        <f>output!G108/SUM(output!G$108:G$111)</f>
        <v>0.98682756834900565</v>
      </c>
      <c r="S53" s="28">
        <f>output!H108/SUM(output!H$108:H$111)</f>
        <v>0.96639261100579366</v>
      </c>
      <c r="T53" s="28">
        <f>output!I108/SUM(output!I$108:I$111)</f>
        <v>0.75884902560605183</v>
      </c>
      <c r="U53" s="12">
        <f>output!J108/SUM(output!J$108:J$111)</f>
        <v>0.84550421728875713</v>
      </c>
      <c r="W53" s="18">
        <v>0</v>
      </c>
      <c r="X53" s="12">
        <f ref="X53:AF57" si="12" t="shared">M53-B53</f>
        <v>-1.4934382412539082E-2</v>
      </c>
      <c r="Y53" s="12">
        <f si="12" t="shared"/>
        <v>-3.0002180417220137E-3</v>
      </c>
      <c r="Z53" s="12">
        <f si="12" t="shared"/>
        <v>-4.5282281828305626E-2</v>
      </c>
      <c r="AA53" s="12">
        <f si="12" t="shared"/>
        <v>-5.8214634085128614E-2</v>
      </c>
      <c r="AB53" s="12">
        <f si="12" t="shared"/>
        <v>4.8201939428684448E-2</v>
      </c>
      <c r="AC53" s="12">
        <f si="12" t="shared"/>
        <v>-3.7692127212212156E-3</v>
      </c>
      <c r="AD53" s="12">
        <f si="12" t="shared"/>
        <v>1.5807999676973328E-2</v>
      </c>
      <c r="AE53" s="12">
        <f si="12" t="shared"/>
        <v>-3.5472729511114243E-2</v>
      </c>
      <c r="AF53" s="12">
        <f si="12" t="shared"/>
        <v>-1.511859655353831E-2</v>
      </c>
    </row>
    <row r="54" spans="1:32" x14ac:dyDescent="0.2">
      <c r="A54" s="18">
        <v>1</v>
      </c>
      <c r="B54" s="12">
        <f>output_NHTS!B109/SUM(output_NHTS!B$108:B$111)</f>
        <v>7.7957248799571915E-2</v>
      </c>
      <c r="C54" s="12">
        <f>output_NHTS!C109/SUM(output_NHTS!C$108:C$111)</f>
        <v>0.14451046275729451</v>
      </c>
      <c r="D54" s="12">
        <f>output_NHTS!D109/SUM(output_NHTS!D$108:D$111)</f>
        <v>0.22953570668300369</v>
      </c>
      <c r="E54" s="12">
        <f>output_NHTS!E109/SUM(output_NHTS!E$108:E$111)</f>
        <v>0.23565066435770429</v>
      </c>
      <c r="F54" s="12">
        <f>output_NHTS!F109/SUM(output_NHTS!F$108:F$111)</f>
        <v>0.10683027099157195</v>
      </c>
      <c r="G54" s="12">
        <f>output_NHTS!G109/SUM(output_NHTS!G$108:G$111)</f>
        <v>9.4032189297730984E-3</v>
      </c>
      <c r="H54" s="12">
        <f>output_NHTS!H109/SUM(output_NHTS!H$108:H$111)</f>
        <v>4.8333364891769856E-2</v>
      </c>
      <c r="I54" s="12">
        <f>output_NHTS!I109/SUM(output_NHTS!I$108:I$111)</f>
        <v>0.20017293601081543</v>
      </c>
      <c r="J54" s="12">
        <f>output_NHTS!J109/SUM(output_NHTS!J$108:J$111)</f>
        <v>0.12925075879825187</v>
      </c>
      <c r="L54" s="18">
        <v>1</v>
      </c>
      <c r="M54" s="12">
        <f>output!B109/SUM(output!B$108:B$111)</f>
        <v>9.277030811704419E-2</v>
      </c>
      <c r="N54" s="12">
        <f>output!C109/SUM(output!C$108:C$111)</f>
        <v>0.14420770703738886</v>
      </c>
      <c r="O54" s="12">
        <f>output!D109/SUM(output!D$108:D$111)</f>
        <v>0.27029585304380915</v>
      </c>
      <c r="P54" s="12">
        <f>output!E109/SUM(output!E$108:E$111)</f>
        <v>0.2811222882512826</v>
      </c>
      <c r="Q54" s="12">
        <f>output!F109/SUM(output!F$108:F$111)</f>
        <v>6.5406324759329129E-2</v>
      </c>
      <c r="R54" s="12">
        <f>output!G109/SUM(output!G$108:G$111)</f>
        <v>1.2214190631047867E-2</v>
      </c>
      <c r="S54" s="28">
        <f>output!H109/SUM(output!H$108:H$111)</f>
        <v>1.0861392609732842E-2</v>
      </c>
      <c r="T54" s="28">
        <f>output!I109/SUM(output!I$108:I$111)</f>
        <v>0.1616466555751794</v>
      </c>
      <c r="U54" s="12">
        <f>output!J109/SUM(output!J$108:J$111)</f>
        <v>0.13431411060066803</v>
      </c>
      <c r="W54" s="18">
        <v>1</v>
      </c>
      <c r="X54" s="12">
        <f si="12" t="shared"/>
        <v>1.4813059317472274E-2</v>
      </c>
      <c r="Y54" s="12">
        <f si="12" t="shared"/>
        <v>-3.0275571990565076E-4</v>
      </c>
      <c r="Z54" s="12">
        <f si="12" t="shared"/>
        <v>4.0760146360805466E-2</v>
      </c>
      <c r="AA54" s="12">
        <f si="12" t="shared"/>
        <v>4.5471623893578311E-2</v>
      </c>
      <c r="AB54" s="12">
        <f si="12" t="shared"/>
        <v>-4.1423946232242825E-2</v>
      </c>
      <c r="AC54" s="12">
        <f si="12" t="shared"/>
        <v>2.8109717012747681E-3</v>
      </c>
      <c r="AD54" s="12">
        <f si="12" t="shared"/>
        <v>-3.7471972282037011E-2</v>
      </c>
      <c r="AE54" s="12">
        <f si="12" t="shared"/>
        <v>-3.8526280435636023E-2</v>
      </c>
      <c r="AF54" s="12">
        <f si="12" t="shared"/>
        <v>5.063351802416155E-3</v>
      </c>
    </row>
    <row r="55" spans="1:32" x14ac:dyDescent="0.2">
      <c r="A55" s="18">
        <v>2</v>
      </c>
      <c r="B55" s="12">
        <f>output_NHTS!B110/SUM(output_NHTS!B$108:B$111)</f>
        <v>5.2753097210937235E-3</v>
      </c>
      <c r="C55" s="12">
        <f>output_NHTS!C110/SUM(output_NHTS!C$108:C$111)</f>
        <v>9.265308266877539E-3</v>
      </c>
      <c r="D55" s="12">
        <f>output_NHTS!D110/SUM(output_NHTS!D$108:D$111)</f>
        <v>2.4457659022481471E-2</v>
      </c>
      <c r="E55" s="12">
        <f>output_NHTS!E110/SUM(output_NHTS!E$108:E$111)</f>
        <v>2.1886011993134395E-2</v>
      </c>
      <c r="F55" s="12">
        <f>output_NHTS!F110/SUM(output_NHTS!F$108:F$111)</f>
        <v>1.4238079969611765E-2</v>
      </c>
      <c r="G55" s="12">
        <f>output_NHTS!G110/SUM(output_NHTS!G$108:G$111)</f>
        <v>0</v>
      </c>
      <c r="H55" s="12">
        <f>output_NHTS!H110/SUM(output_NHTS!H$108:H$111)</f>
        <v>6.0371386957411223E-4</v>
      </c>
      <c r="I55" s="12">
        <f>output_NHTS!I110/SUM(output_NHTS!I$108:I$111)</f>
        <v>5.5053088720183737E-3</v>
      </c>
      <c r="J55" s="12">
        <f>output_NHTS!J110/SUM(output_NHTS!J$108:J$111)</f>
        <v>9.8116508070634004E-3</v>
      </c>
      <c r="L55" s="18">
        <v>2</v>
      </c>
      <c r="M55" s="12">
        <f>output!B110/SUM(output!B$108:B$111)</f>
        <v>5.1140792006682239E-3</v>
      </c>
      <c r="N55" s="12">
        <f>output!C110/SUM(output!C$108:C$111)</f>
        <v>1.0454834402865001E-2</v>
      </c>
      <c r="O55" s="12">
        <f>output!D110/SUM(output!D$108:D$111)</f>
        <v>2.2250751139501156E-2</v>
      </c>
      <c r="P55" s="12">
        <f>output!E110/SUM(output!E$108:E$111)</f>
        <v>2.7205195907042127E-2</v>
      </c>
      <c r="Q55" s="12">
        <f>output!F110/SUM(output!F$108:F$111)</f>
        <v>4.612714339136805E-3</v>
      </c>
      <c r="R55" s="12">
        <f>output!G110/SUM(output!G$108:G$111)</f>
        <v>9.4151027130213712E-4</v>
      </c>
      <c r="S55" s="28">
        <f>output!H110/SUM(output!H$108:H$111)</f>
        <v>7.9756254417163021E-4</v>
      </c>
      <c r="T55" s="28">
        <f>output!I110/SUM(output!I$108:I$111)</f>
        <v>1.0583067625463578E-2</v>
      </c>
      <c r="U55" s="12">
        <f>output!J110/SUM(output!J$108:J$111)</f>
        <v>1.0381785159270804E-2</v>
      </c>
      <c r="W55" s="18">
        <v>2</v>
      </c>
      <c r="X55" s="12">
        <f si="12" t="shared"/>
        <v>-1.6123052042549962E-4</v>
      </c>
      <c r="Y55" s="12">
        <f si="12" t="shared"/>
        <v>1.1895261359874624E-3</v>
      </c>
      <c r="Z55" s="12">
        <f si="12" t="shared"/>
        <v>-2.2069078829803149E-3</v>
      </c>
      <c r="AA55" s="12">
        <f si="12" t="shared"/>
        <v>5.3191839139077324E-3</v>
      </c>
      <c r="AB55" s="12">
        <f si="12" t="shared"/>
        <v>-9.6253656304749607E-3</v>
      </c>
      <c r="AC55" s="12">
        <f si="12" t="shared"/>
        <v>9.4151027130213712E-4</v>
      </c>
      <c r="AD55" s="12">
        <f si="12" t="shared"/>
        <v>1.9384867459751797E-4</v>
      </c>
      <c r="AE55" s="12">
        <f si="12" t="shared"/>
        <v>5.0777587534452046E-3</v>
      </c>
      <c r="AF55" s="12">
        <f si="12" t="shared"/>
        <v>5.7013435220740379E-4</v>
      </c>
    </row>
    <row r="56" spans="1:32" x14ac:dyDescent="0.2">
      <c r="A56" s="23" t="s">
        <v>116</v>
      </c>
      <c r="B56" s="12">
        <f>output_NHTS!B111/SUM(output_NHTS!B$108:B$111)</f>
        <v>3.5531441644708913E-4</v>
      </c>
      <c r="C56" s="12">
        <f>output_NHTS!C111/SUM(output_NHTS!C$108:C$111)</f>
        <v>0</v>
      </c>
      <c r="D56" s="12">
        <f>output_NHTS!D111/SUM(output_NHTS!D$108:D$111)</f>
        <v>0</v>
      </c>
      <c r="E56" s="12">
        <f>output_NHTS!E111/SUM(output_NHTS!E$108:E$111)</f>
        <v>7.0687372954643553E-4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4.7830990983564048E-4</v>
      </c>
      <c r="I56" s="12">
        <f>output_NHTS!I111/SUM(output_NHTS!I$108:I$111)</f>
        <v>0</v>
      </c>
      <c r="J56" s="12">
        <f>output_NHTS!J111/SUM(output_NHTS!J$108:J$111)</f>
        <v>3.1477655238926628E-4</v>
      </c>
      <c r="L56" s="23" t="s">
        <v>116</v>
      </c>
      <c r="M56" s="13">
        <f>output!B111/SUM(output!B$108:B$111)</f>
        <v>6.3786803193932628E-4</v>
      </c>
      <c r="N56" s="13">
        <f>output!C111/SUM(output!C$108:C$111)</f>
        <v>2.1134476256403261E-3</v>
      </c>
      <c r="O56" s="13">
        <f>output!D111/SUM(output!D$108:D$111)</f>
        <v>6.7290433504806572E-3</v>
      </c>
      <c r="P56" s="13">
        <f>output!E111/SUM(output!E$108:E$111)</f>
        <v>8.1307000071888444E-3</v>
      </c>
      <c r="Q56" s="13">
        <f>output!F111/SUM(output!F$108:F$111)</f>
        <v>2.84737243403335E-3</v>
      </c>
      <c r="R56" s="13">
        <f>output!G111/SUM(output!G$108:G$111)</f>
        <v>1.6730748644293636E-5</v>
      </c>
      <c r="S56" s="30">
        <f>output!H111/SUM(output!H$108:H$111)</f>
        <v>2.1948433840301994E-2</v>
      </c>
      <c r="T56" s="30">
        <f>output!I111/SUM(output!I$108:I$111)</f>
        <v>6.8921251193305208E-2</v>
      </c>
      <c r="U56" s="13">
        <f>output!J111/SUM(output!J$108:J$111)</f>
        <v>9.7998869513040016E-3</v>
      </c>
      <c r="W56" s="23" t="s">
        <v>116</v>
      </c>
      <c r="X56" s="12">
        <f si="12" t="shared"/>
        <v>2.8255361549223715E-4</v>
      </c>
      <c r="Y56" s="12">
        <f si="12" t="shared"/>
        <v>2.1134476256403261E-3</v>
      </c>
      <c r="Z56" s="12">
        <f si="12" t="shared"/>
        <v>6.7290433504806572E-3</v>
      </c>
      <c r="AA56" s="12">
        <f si="12" t="shared"/>
        <v>7.4238262776424088E-3</v>
      </c>
      <c r="AB56" s="12">
        <f si="12" t="shared"/>
        <v>2.84737243403335E-3</v>
      </c>
      <c r="AC56" s="12">
        <f si="12" t="shared"/>
        <v>1.6730748644293636E-5</v>
      </c>
      <c r="AD56" s="12">
        <f si="12" t="shared"/>
        <v>2.1470123930466354E-2</v>
      </c>
      <c r="AE56" s="12">
        <f si="12" t="shared"/>
        <v>6.8921251193305208E-2</v>
      </c>
      <c r="AF56" s="12">
        <f si="12" t="shared"/>
        <v>9.485110398914736E-3</v>
      </c>
    </row>
    <row ht="13.5" r="57" spans="1:32" thickBot="1" x14ac:dyDescent="0.25">
      <c r="A57" s="21" t="s">
        <v>221</v>
      </c>
      <c r="B57" s="14">
        <f ref="B57:J57" si="13" t="shared">SUM(B53:B56)</f>
        <v>0.99999999999999989</v>
      </c>
      <c r="C57" s="14">
        <f si="13" t="shared"/>
        <v>1</v>
      </c>
      <c r="D57" s="14">
        <f si="13" t="shared"/>
        <v>1</v>
      </c>
      <c r="E57" s="14">
        <f si="13" t="shared"/>
        <v>1.0000000000000002</v>
      </c>
      <c r="F57" s="14">
        <f si="13" t="shared"/>
        <v>1</v>
      </c>
      <c r="G57" s="14">
        <f si="13" t="shared"/>
        <v>1</v>
      </c>
      <c r="H57" s="14">
        <f si="13" t="shared"/>
        <v>1</v>
      </c>
      <c r="I57" s="14">
        <f si="13" t="shared"/>
        <v>0.99999999999999989</v>
      </c>
      <c r="J57" s="14">
        <f si="13" t="shared"/>
        <v>1</v>
      </c>
      <c r="L57" s="21" t="s">
        <v>221</v>
      </c>
      <c r="M57" s="14">
        <f>SUM(M53:M56)</f>
        <v>0.99999999999999989</v>
      </c>
      <c r="N57" s="14">
        <f ref="N57:U57" si="14" t="shared">SUM(N53:N56)</f>
        <v>1</v>
      </c>
      <c r="O57" s="14">
        <f si="14" t="shared"/>
        <v>1.0000000000000002</v>
      </c>
      <c r="P57" s="14">
        <f si="14" t="shared"/>
        <v>1</v>
      </c>
      <c r="Q57" s="14">
        <f si="14" t="shared"/>
        <v>1</v>
      </c>
      <c r="R57" s="14">
        <f si="14" t="shared"/>
        <v>1</v>
      </c>
      <c r="S57" s="14">
        <f si="14" t="shared"/>
        <v>1.0000000000000002</v>
      </c>
      <c r="T57" s="14">
        <f si="14" t="shared"/>
        <v>1</v>
      </c>
      <c r="U57" s="14">
        <f si="14" t="shared"/>
        <v>0.99999999999999989</v>
      </c>
      <c r="W57" s="21" t="s">
        <v>221</v>
      </c>
      <c r="X57" s="14">
        <f si="12" t="shared"/>
        <v>0</v>
      </c>
      <c r="Y57" s="14">
        <f si="12" t="shared"/>
        <v>0</v>
      </c>
      <c r="Z57" s="14">
        <f si="12" t="shared"/>
        <v>0</v>
      </c>
      <c r="AA57" s="14">
        <f si="12" t="shared"/>
        <v>0</v>
      </c>
      <c r="AB57" s="14">
        <f si="12" t="shared"/>
        <v>0</v>
      </c>
      <c r="AC57" s="14">
        <f si="12" t="shared"/>
        <v>0</v>
      </c>
      <c r="AD57" s="14">
        <f si="12" t="shared"/>
        <v>0</v>
      </c>
      <c r="AE57" s="14">
        <f si="12" t="shared"/>
        <v>0</v>
      </c>
      <c r="AF57" s="14">
        <f si="12" t="shared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229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ht="13.5" r="63" spans="1:32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243</v>
      </c>
      <c r="Q64" s="6" t="s">
        <v>244</v>
      </c>
      <c r="R64" s="6" t="s">
        <v>245</v>
      </c>
      <c r="S64" s="6" t="s">
        <v>246</v>
      </c>
      <c r="T64" s="6" t="s">
        <v>170</v>
      </c>
      <c r="U64" s="6" t="s">
        <v>221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2">
      <c r="A65" s="18">
        <v>0</v>
      </c>
      <c r="B65" s="12">
        <f>output_NHTS!B115/SUM(output_NHTS!B$115:B$118)</f>
        <v>0.95958323695385195</v>
      </c>
      <c r="C65" s="12">
        <f>output_NHTS!C115/SUM(output_NHTS!C$115:C$118)</f>
        <v>0.95580483801533933</v>
      </c>
      <c r="D65" s="12">
        <f>output_NHTS!D115/SUM(output_NHTS!D$115:D$118)</f>
        <v>0.92029302005320623</v>
      </c>
      <c r="E65" s="12">
        <f>output_NHTS!E115/SUM(output_NHTS!E$115:E$118)</f>
        <v>0.92364886040760863</v>
      </c>
      <c r="F65" s="12">
        <f>output_NHTS!F115/SUM(output_NHTS!F$115:F$118)</f>
        <v>0.95079249572598179</v>
      </c>
      <c r="G65" s="12">
        <f>output_NHTS!G115/SUM(output_NHTS!G$115:G$118)</f>
        <v>1</v>
      </c>
      <c r="H65" s="12">
        <f>output_NHTS!H115/SUM(output_NHTS!H$115:H$118)</f>
        <v>0.97814636875120353</v>
      </c>
      <c r="I65" s="12">
        <f>output_NHTS!I115/SUM(output_NHTS!I$115:I$118)</f>
        <v>0.97848973132359773</v>
      </c>
      <c r="J65" s="12">
        <f>output_NHTS!J115/SUM(output_NHTS!J$115:J$118)</f>
        <v>0.95397572452467239</v>
      </c>
      <c r="L65" s="18">
        <v>0</v>
      </c>
      <c r="M65" s="12">
        <f>output!B115/SUM(output!B$115:B$118)</f>
        <v>0.95110092982671945</v>
      </c>
      <c r="N65" s="12">
        <f>output!C115/SUM(output!C$115:C$118)</f>
        <v>0.94288597221932535</v>
      </c>
      <c r="O65" s="12">
        <f>output!D115/SUM(output!D$115:D$118)</f>
        <v>0.91159647072553751</v>
      </c>
      <c r="P65" s="12">
        <f>output!E115/SUM(output!E$115:E$118)</f>
        <v>0.89646982887718363</v>
      </c>
      <c r="Q65" s="12">
        <f>output!F115/SUM(output!F$115:F$118)</f>
        <v>0.96676312177680668</v>
      </c>
      <c r="R65" s="12">
        <f>output!G115/SUM(output!G$115:G$118)</f>
        <v>0.93660446183438451</v>
      </c>
      <c r="S65" s="28">
        <f>output!H115/SUM(output!H$115:H$118)</f>
        <v>0.96688679261599164</v>
      </c>
      <c r="T65" s="28">
        <f>output!I115/SUM(output!I$115:I$118)</f>
        <v>0.95809233647131431</v>
      </c>
      <c r="U65" s="12">
        <f>output!J115/SUM(output!J$115:J$118)</f>
        <v>0.94067805750581801</v>
      </c>
      <c r="W65" s="18">
        <v>0</v>
      </c>
      <c r="X65" s="12">
        <f ref="X65:AF69" si="15" t="shared">M65-B65</f>
        <v>-8.4823071271324935E-3</v>
      </c>
      <c r="Y65" s="12">
        <f si="15" t="shared"/>
        <v>-1.2918865796013979E-2</v>
      </c>
      <c r="Z65" s="12">
        <f si="15" t="shared"/>
        <v>-8.6965493276687234E-3</v>
      </c>
      <c r="AA65" s="12">
        <f si="15" t="shared"/>
        <v>-2.7179031530425002E-2</v>
      </c>
      <c r="AB65" s="12">
        <f si="15" t="shared"/>
        <v>1.5970626050824888E-2</v>
      </c>
      <c r="AC65" s="12">
        <f si="15" t="shared"/>
        <v>-6.3395538165615495E-2</v>
      </c>
      <c r="AD65" s="12">
        <f si="15" t="shared"/>
        <v>-1.1259576135211891E-2</v>
      </c>
      <c r="AE65" s="12">
        <f si="15" t="shared"/>
        <v>-2.0397394852283424E-2</v>
      </c>
      <c r="AF65" s="12">
        <f si="15" t="shared"/>
        <v>-1.3297667018854376E-2</v>
      </c>
    </row>
    <row r="66" spans="1:32" x14ac:dyDescent="0.2">
      <c r="A66" s="18">
        <v>1</v>
      </c>
      <c r="B66" s="12">
        <f>output_NHTS!B116/SUM(output_NHTS!B$115:B$118)</f>
        <v>3.9611207217838847E-2</v>
      </c>
      <c r="C66" s="12">
        <f>output_NHTS!C116/SUM(output_NHTS!C$115:C$118)</f>
        <v>3.9888127149648699E-2</v>
      </c>
      <c r="D66" s="12">
        <f>output_NHTS!D116/SUM(output_NHTS!D$115:D$118)</f>
        <v>7.5019716120890256E-2</v>
      </c>
      <c r="E66" s="12">
        <f>output_NHTS!E116/SUM(output_NHTS!E$115:E$118)</f>
        <v>7.1418676832480821E-2</v>
      </c>
      <c r="F66" s="12">
        <f>output_NHTS!F116/SUM(output_NHTS!F$115:F$118)</f>
        <v>4.8222833946756839E-2</v>
      </c>
      <c r="G66" s="12">
        <f>output_NHTS!G116/SUM(output_NHTS!G$115:G$118)</f>
        <v>0</v>
      </c>
      <c r="H66" s="12">
        <f>output_NHTS!H116/SUM(output_NHTS!H$115:H$118)</f>
        <v>2.1853631248796461E-2</v>
      </c>
      <c r="I66" s="12">
        <f>output_NHTS!I116/SUM(output_NHTS!I$115:I$118)</f>
        <v>2.1510268676402225E-2</v>
      </c>
      <c r="J66" s="12">
        <f>output_NHTS!J116/SUM(output_NHTS!J$115:J$118)</f>
        <v>4.4017363963227335E-2</v>
      </c>
      <c r="L66" s="18">
        <v>1</v>
      </c>
      <c r="M66" s="12">
        <f>output!B116/SUM(output!B$115:B$118)</f>
        <v>4.8480386445386242E-2</v>
      </c>
      <c r="N66" s="12">
        <f>output!C116/SUM(output!C$115:C$118)</f>
        <v>5.3365528870270552E-2</v>
      </c>
      <c r="O66" s="12">
        <f>output!D116/SUM(output!D$115:D$118)</f>
        <v>7.9356252711005507E-2</v>
      </c>
      <c r="P66" s="12">
        <f>output!E116/SUM(output!E$115:E$118)</f>
        <v>9.9603075589100282E-2</v>
      </c>
      <c r="Q66" s="12">
        <f>output!F116/SUM(output!F$115:F$118)</f>
        <v>3.2618591943489511E-2</v>
      </c>
      <c r="R66" s="12">
        <f>output!G116/SUM(output!G$115:G$118)</f>
        <v>6.2707490499275181E-2</v>
      </c>
      <c r="S66" s="28">
        <f>output!H116/SUM(output!H$115:H$118)</f>
        <v>3.3079135902031188E-2</v>
      </c>
      <c r="T66" s="28">
        <f>output!I116/SUM(output!I$115:I$118)</f>
        <v>4.1724705539312491E-2</v>
      </c>
      <c r="U66" s="12">
        <f>output!J116/SUM(output!J$115:J$118)</f>
        <v>5.7212010558852444E-2</v>
      </c>
      <c r="W66" s="18">
        <v>1</v>
      </c>
      <c r="X66" s="12">
        <f si="15" t="shared"/>
        <v>8.8691792275473955E-3</v>
      </c>
      <c r="Y66" s="12">
        <f si="15" t="shared"/>
        <v>1.3477401720621854E-2</v>
      </c>
      <c r="Z66" s="12">
        <f si="15" t="shared"/>
        <v>4.3365365901152503E-3</v>
      </c>
      <c r="AA66" s="12">
        <f si="15" t="shared"/>
        <v>2.8184398756619461E-2</v>
      </c>
      <c r="AB66" s="12">
        <f si="15" t="shared"/>
        <v>-1.5604242003267328E-2</v>
      </c>
      <c r="AC66" s="12">
        <f si="15" t="shared"/>
        <v>6.2707490499275181E-2</v>
      </c>
      <c r="AD66" s="12">
        <f si="15" t="shared"/>
        <v>1.1225504653234727E-2</v>
      </c>
      <c r="AE66" s="12">
        <f si="15" t="shared"/>
        <v>2.0214436862910266E-2</v>
      </c>
      <c r="AF66" s="12">
        <f si="15" t="shared"/>
        <v>1.3194646595625109E-2</v>
      </c>
    </row>
    <row r="67" spans="1:32" x14ac:dyDescent="0.2">
      <c r="A67" s="18">
        <v>2</v>
      </c>
      <c r="B67" s="12">
        <f>output_NHTS!B117/SUM(output_NHTS!B$115:B$118)</f>
        <v>8.0555582830912095E-4</v>
      </c>
      <c r="C67" s="12">
        <f>output_NHTS!C117/SUM(output_NHTS!C$115:C$118)</f>
        <v>4.3070348350120668E-3</v>
      </c>
      <c r="D67" s="12">
        <f>output_NHTS!D117/SUM(output_NHTS!D$115:D$118)</f>
        <v>4.6872638259036767E-3</v>
      </c>
      <c r="E67" s="12">
        <f>output_NHTS!E117/SUM(output_NHTS!E$115:E$118)</f>
        <v>4.932462759910535E-3</v>
      </c>
      <c r="F67" s="12">
        <f>output_NHTS!F117/SUM(output_NHTS!F$115:F$118)</f>
        <v>9.8467032726135928E-4</v>
      </c>
      <c r="G67" s="12">
        <f>output_NHTS!G117/SUM(output_NHTS!G$115:G$118)</f>
        <v>0</v>
      </c>
      <c r="H67" s="12">
        <f>output_NHTS!H117/SUM(output_NHTS!H$115:H$118)</f>
        <v>0</v>
      </c>
      <c r="I67" s="12">
        <f>output_NHTS!I117/SUM(output_NHTS!I$115:I$118)</f>
        <v>0</v>
      </c>
      <c r="J67" s="12">
        <f>output_NHTS!J117/SUM(output_NHTS!J$115:J$118)</f>
        <v>2.0069115121002091E-3</v>
      </c>
      <c r="L67" s="18">
        <v>2</v>
      </c>
      <c r="M67" s="12">
        <f>output!B117/SUM(output!B$115:B$118)</f>
        <v>4.1868372789425143E-4</v>
      </c>
      <c r="N67" s="12">
        <f>output!C117/SUM(output!C$115:C$118)</f>
        <v>3.748498910404087E-3</v>
      </c>
      <c r="O67" s="12">
        <f>output!D117/SUM(output!D$115:D$118)</f>
        <v>9.0472765634568384E-3</v>
      </c>
      <c r="P67" s="12">
        <f>output!E117/SUM(output!E$115:E$118)</f>
        <v>3.9270955337160577E-3</v>
      </c>
      <c r="Q67" s="12">
        <f>output!F117/SUM(output!F$115:F$118)</f>
        <v>6.182862797037078E-4</v>
      </c>
      <c r="R67" s="12">
        <f>output!G117/SUM(output!G$115:G$118)</f>
        <v>6.8804766634031247E-4</v>
      </c>
      <c r="S67" s="28">
        <f>output!H117/SUM(output!H$115:H$118)</f>
        <v>3.407148197719058E-5</v>
      </c>
      <c r="T67" s="28">
        <f>output!I117/SUM(output!I$115:I$118)</f>
        <v>1.8295798937325477E-4</v>
      </c>
      <c r="U67" s="12">
        <f>output!J117/SUM(output!J$115:J$118)</f>
        <v>2.109931935329522E-3</v>
      </c>
      <c r="W67" s="18">
        <v>2</v>
      </c>
      <c r="X67" s="12">
        <f si="15" t="shared"/>
        <v>-3.8687210041486953E-4</v>
      </c>
      <c r="Y67" s="12">
        <f si="15" t="shared"/>
        <v>-5.5853592460797978E-4</v>
      </c>
      <c r="Z67" s="12">
        <f si="15" t="shared"/>
        <v>4.3600127375531617E-3</v>
      </c>
      <c r="AA67" s="12">
        <f si="15" t="shared"/>
        <v>-1.0053672261944773E-3</v>
      </c>
      <c r="AB67" s="12">
        <f si="15" t="shared"/>
        <v>-3.6638404755765148E-4</v>
      </c>
      <c r="AC67" s="12">
        <f si="15" t="shared"/>
        <v>6.8804766634031247E-4</v>
      </c>
      <c r="AD67" s="12">
        <f si="15" t="shared"/>
        <v>3.407148197719058E-5</v>
      </c>
      <c r="AE67" s="12">
        <f si="15" t="shared"/>
        <v>1.8295798937325477E-4</v>
      </c>
      <c r="AF67" s="12">
        <f si="15" t="shared"/>
        <v>1.0302042322931282E-4</v>
      </c>
    </row>
    <row r="68" spans="1:32" x14ac:dyDescent="0.2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0</v>
      </c>
      <c r="G68" s="12">
        <f>output_NHTS!G118/SUM(output_NHTS!G$115:G$118)</f>
        <v>0</v>
      </c>
      <c r="H68" s="12">
        <f>output_NHTS!H118/SUM(output_NHTS!H$115:H$118)</f>
        <v>0</v>
      </c>
      <c r="I68" s="12">
        <f>output_NHTS!I118/SUM(output_NHTS!I$115:I$118)</f>
        <v>0</v>
      </c>
      <c r="J68" s="12">
        <f>output_NHTS!J118/SUM(output_NHTS!J$115:J$118)</f>
        <v>0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>
        <f>output!I118/SUM(output!I$115:I$118)</f>
        <v>0</v>
      </c>
      <c r="U68" s="13">
        <f>output!J118/SUM(output!J$115:J$118)</f>
        <v>0</v>
      </c>
      <c r="W68" s="23" t="s">
        <v>116</v>
      </c>
      <c r="X68" s="12">
        <f si="15" t="shared"/>
        <v>0</v>
      </c>
      <c r="Y68" s="12">
        <f si="15" t="shared"/>
        <v>0</v>
      </c>
      <c r="Z68" s="12">
        <f si="15" t="shared"/>
        <v>0</v>
      </c>
      <c r="AA68" s="12">
        <f si="15" t="shared"/>
        <v>0</v>
      </c>
      <c r="AB68" s="12">
        <f si="15" t="shared"/>
        <v>0</v>
      </c>
      <c r="AC68" s="12">
        <f si="15" t="shared"/>
        <v>0</v>
      </c>
      <c r="AD68" s="12">
        <f si="15" t="shared"/>
        <v>0</v>
      </c>
      <c r="AE68" s="12">
        <f si="15" t="shared"/>
        <v>0</v>
      </c>
      <c r="AF68" s="12">
        <f si="15" t="shared"/>
        <v>0</v>
      </c>
    </row>
    <row ht="13.5" r="69" spans="1:32" thickBot="1" x14ac:dyDescent="0.25">
      <c r="A69" s="21" t="s">
        <v>221</v>
      </c>
      <c r="B69" s="14">
        <f ref="B69:J69" si="16" t="shared">SUM(B65:B68)</f>
        <v>0.99999999999999989</v>
      </c>
      <c r="C69" s="14">
        <f si="16" t="shared"/>
        <v>1.0000000000000002</v>
      </c>
      <c r="D69" s="14">
        <f si="16" t="shared"/>
        <v>1.0000000000000002</v>
      </c>
      <c r="E69" s="14">
        <f si="16" t="shared"/>
        <v>1</v>
      </c>
      <c r="F69" s="14">
        <f si="16" t="shared"/>
        <v>1</v>
      </c>
      <c r="G69" s="14">
        <f si="16" t="shared"/>
        <v>1</v>
      </c>
      <c r="H69" s="14">
        <f si="16" t="shared"/>
        <v>1</v>
      </c>
      <c r="I69" s="14">
        <f si="16" t="shared"/>
        <v>1</v>
      </c>
      <c r="J69" s="14">
        <f si="16" t="shared"/>
        <v>0.99999999999999989</v>
      </c>
      <c r="L69" s="21" t="s">
        <v>221</v>
      </c>
      <c r="M69" s="14">
        <f>SUM(M65:M68)</f>
        <v>0.99999999999999989</v>
      </c>
      <c r="N69" s="14">
        <f ref="N69:U69" si="17" t="shared">SUM(N65:N68)</f>
        <v>1</v>
      </c>
      <c r="O69" s="14">
        <f si="17" t="shared"/>
        <v>0.99999999999999989</v>
      </c>
      <c r="P69" s="14">
        <f si="17" t="shared"/>
        <v>1</v>
      </c>
      <c r="Q69" s="14">
        <f si="17" t="shared"/>
        <v>0.99999999999999989</v>
      </c>
      <c r="R69" s="14">
        <f si="17" t="shared"/>
        <v>1</v>
      </c>
      <c r="S69" s="14">
        <f si="17" t="shared"/>
        <v>1</v>
      </c>
      <c r="T69" s="14">
        <f si="17" t="shared"/>
        <v>1</v>
      </c>
      <c r="U69" s="14">
        <f si="17" t="shared"/>
        <v>1</v>
      </c>
      <c r="W69" s="21" t="s">
        <v>221</v>
      </c>
      <c r="X69" s="14">
        <f si="15" t="shared"/>
        <v>0</v>
      </c>
      <c r="Y69" s="14">
        <f si="15" t="shared"/>
        <v>0</v>
      </c>
      <c r="Z69" s="14">
        <f si="15" t="shared"/>
        <v>0</v>
      </c>
      <c r="AA69" s="14">
        <f si="15" t="shared"/>
        <v>0</v>
      </c>
      <c r="AB69" s="14">
        <f si="15" t="shared"/>
        <v>0</v>
      </c>
      <c r="AC69" s="14">
        <f si="15" t="shared"/>
        <v>0</v>
      </c>
      <c r="AD69" s="14">
        <f si="15" t="shared"/>
        <v>0</v>
      </c>
      <c r="AE69" s="14">
        <f si="15" t="shared"/>
        <v>0</v>
      </c>
      <c r="AF69" s="14">
        <f si="15" t="shared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ht="13.5" r="75" spans="1:32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243</v>
      </c>
      <c r="Q76" s="6" t="s">
        <v>244</v>
      </c>
      <c r="R76" s="6" t="s">
        <v>245</v>
      </c>
      <c r="S76" s="6" t="s">
        <v>246</v>
      </c>
      <c r="T76" s="6" t="s">
        <v>170</v>
      </c>
      <c r="U76" s="6" t="s">
        <v>221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2">
      <c r="A77" s="18">
        <v>0</v>
      </c>
      <c r="B77" s="12">
        <f>output_NHTS!B122/SUM(output_NHTS!B$122:B$125)</f>
        <v>0.85107874283258711</v>
      </c>
      <c r="C77" s="12">
        <f>output_NHTS!C122/SUM(output_NHTS!C$122:C$125)</f>
        <v>0.77416720810824691</v>
      </c>
      <c r="D77" s="12">
        <f>output_NHTS!D122/SUM(output_NHTS!D$122:D$125)</f>
        <v>0.73584801552438672</v>
      </c>
      <c r="E77" s="12">
        <f>output_NHTS!E122/SUM(output_NHTS!E$122:E$125)</f>
        <v>0.72567857588949936</v>
      </c>
      <c r="F77" s="12">
        <f>output_NHTS!F122/SUM(output_NHTS!F$122:F$125)</f>
        <v>0.84860615945816398</v>
      </c>
      <c r="G77" s="12">
        <f>output_NHTS!G122/SUM(output_NHTS!G$122:G$125)</f>
        <v>0.8760850219051336</v>
      </c>
      <c r="H77" s="12">
        <f>output_NHTS!H122/SUM(output_NHTS!H$122:H$125)</f>
        <v>0.81097283529312347</v>
      </c>
      <c r="I77" s="12">
        <f>output_NHTS!I122/SUM(output_NHTS!I$122:I$125)</f>
        <v>0.71337589274509072</v>
      </c>
      <c r="J77" s="12">
        <f>output_NHTS!J122/SUM(output_NHTS!J$122:J$125)</f>
        <v>0.79680142564042222</v>
      </c>
      <c r="L77" s="18">
        <v>0</v>
      </c>
      <c r="M77" s="12">
        <f>output!B122/SUM(output!B$122:B$125)</f>
        <v>0.81256419683473879</v>
      </c>
      <c r="N77" s="12">
        <f>output!C122/SUM(output!C$122:C$125)</f>
        <v>0.69671822366887548</v>
      </c>
      <c r="O77" s="12">
        <f>output!D122/SUM(output!D$122:D$125)</f>
        <v>0.66163675088474616</v>
      </c>
      <c r="P77" s="12">
        <f>output!E122/SUM(output!E$122:E$125)</f>
        <v>0.63023389777164252</v>
      </c>
      <c r="Q77" s="12">
        <f>output!F122/SUM(output!F$122:F$125)</f>
        <v>0.87395977764568011</v>
      </c>
      <c r="R77" s="12">
        <f>output!G122/SUM(output!G$122:G$125)</f>
        <v>0.85363174267269681</v>
      </c>
      <c r="S77" s="28">
        <f>output!H122/SUM(output!H$122:H$125)</f>
        <v>0.76256809249856095</v>
      </c>
      <c r="T77" s="28">
        <f>output!I122/SUM(output!I$122:I$125)</f>
        <v>0.6447600454211555</v>
      </c>
      <c r="U77" s="12">
        <f>output!J122/SUM(output!J$122:J$125)</f>
        <v>0.74541434027737952</v>
      </c>
      <c r="W77" s="18">
        <v>0</v>
      </c>
      <c r="X77" s="12">
        <f ref="X77:AF81" si="18" t="shared">M77-B77</f>
        <v>-3.8514545997848315E-2</v>
      </c>
      <c r="Y77" s="12">
        <f si="18" t="shared"/>
        <v>-7.7448984439371427E-2</v>
      </c>
      <c r="Z77" s="12">
        <f si="18" t="shared"/>
        <v>-7.4211264639640562E-2</v>
      </c>
      <c r="AA77" s="12">
        <f si="18" t="shared"/>
        <v>-9.544467811785684E-2</v>
      </c>
      <c r="AB77" s="12">
        <f si="18" t="shared"/>
        <v>2.5353618187516136E-2</v>
      </c>
      <c r="AC77" s="12">
        <f si="18" t="shared"/>
        <v>-2.2453279232436785E-2</v>
      </c>
      <c r="AD77" s="12">
        <f si="18" t="shared"/>
        <v>-4.8404742794562527E-2</v>
      </c>
      <c r="AE77" s="12">
        <f si="18" t="shared"/>
        <v>-6.861584732393522E-2</v>
      </c>
      <c r="AF77" s="12">
        <f si="18" t="shared"/>
        <v>-5.1387085363042706E-2</v>
      </c>
    </row>
    <row r="78" spans="1:32" x14ac:dyDescent="0.2">
      <c r="A78" s="18">
        <v>1</v>
      </c>
      <c r="B78" s="12">
        <f>output_NHTS!B123/SUM(output_NHTS!B$122:B$125)</f>
        <v>0.12952869188270558</v>
      </c>
      <c r="C78" s="12">
        <f>output_NHTS!C123/SUM(output_NHTS!C$122:C$125)</f>
        <v>0.18055519304102544</v>
      </c>
      <c r="D78" s="12">
        <f>output_NHTS!D123/SUM(output_NHTS!D$122:D$125)</f>
        <v>0.23881205259610777</v>
      </c>
      <c r="E78" s="12">
        <f>output_NHTS!E123/SUM(output_NHTS!E$122:E$125)</f>
        <v>0.23422555284530575</v>
      </c>
      <c r="F78" s="12">
        <f>output_NHTS!F123/SUM(output_NHTS!F$122:F$125)</f>
        <v>0.13339614627608623</v>
      </c>
      <c r="G78" s="12">
        <f>output_NHTS!G123/SUM(output_NHTS!G$122:G$125)</f>
        <v>9.7217791234003106E-2</v>
      </c>
      <c r="H78" s="12">
        <f>output_NHTS!H123/SUM(output_NHTS!H$122:H$125)</f>
        <v>0.16925254157966282</v>
      </c>
      <c r="I78" s="12">
        <f>output_NHTS!I123/SUM(output_NHTS!I$122:I$125)</f>
        <v>0.24576615558099735</v>
      </c>
      <c r="J78" s="12">
        <f>output_NHTS!J123/SUM(output_NHTS!J$122:J$125)</f>
        <v>0.17576361092773571</v>
      </c>
      <c r="L78" s="18">
        <v>1</v>
      </c>
      <c r="M78" s="12">
        <f>output!B123/SUM(output!B$122:B$125)</f>
        <v>0.1682283451173664</v>
      </c>
      <c r="N78" s="12">
        <f>output!C123/SUM(output!C$122:C$125)</f>
        <v>0.26314236093548382</v>
      </c>
      <c r="O78" s="12">
        <f>output!D123/SUM(output!D$122:D$125)</f>
        <v>0.28397745290848797</v>
      </c>
      <c r="P78" s="12">
        <f>output!E123/SUM(output!E$122:E$125)</f>
        <v>0.31041694340800763</v>
      </c>
      <c r="Q78" s="12">
        <f>output!F123/SUM(output!F$122:F$125)</f>
        <v>0.11465001827713958</v>
      </c>
      <c r="R78" s="12">
        <f>output!G123/SUM(output!G$122:G$125)</f>
        <v>0.13194295342023904</v>
      </c>
      <c r="S78" s="28">
        <f>output!H123/SUM(output!H$122:H$125)</f>
        <v>0.21782314153951374</v>
      </c>
      <c r="T78" s="28">
        <f>output!I123/SUM(output!I$122:I$125)</f>
        <v>0.30556873889924963</v>
      </c>
      <c r="U78" s="12">
        <f>output!J123/SUM(output!J$122:J$125)</f>
        <v>0.22222482744372377</v>
      </c>
      <c r="W78" s="18">
        <v>1</v>
      </c>
      <c r="X78" s="12">
        <f si="18" t="shared"/>
        <v>3.8699653234660819E-2</v>
      </c>
      <c r="Y78" s="12">
        <f si="18" t="shared"/>
        <v>8.2587167894458385E-2</v>
      </c>
      <c r="Z78" s="12">
        <f si="18" t="shared"/>
        <v>4.5165400312380199E-2</v>
      </c>
      <c r="AA78" s="12">
        <f si="18" t="shared"/>
        <v>7.6191390562701883E-2</v>
      </c>
      <c r="AB78" s="12">
        <f si="18" t="shared"/>
        <v>-1.8746127998946649E-2</v>
      </c>
      <c r="AC78" s="12">
        <f si="18" t="shared"/>
        <v>3.4725162186235933E-2</v>
      </c>
      <c r="AD78" s="12">
        <f si="18" t="shared"/>
        <v>4.8570599959850913E-2</v>
      </c>
      <c r="AE78" s="12">
        <f si="18" t="shared"/>
        <v>5.9802583318252278E-2</v>
      </c>
      <c r="AF78" s="12">
        <f si="18" t="shared"/>
        <v>4.6461216515988057E-2</v>
      </c>
    </row>
    <row r="79" spans="1:32" x14ac:dyDescent="0.2">
      <c r="A79" s="18">
        <v>2</v>
      </c>
      <c r="B79" s="12">
        <f>output_NHTS!B124/SUM(output_NHTS!B$122:B$125)</f>
        <v>1.7976687383313397E-2</v>
      </c>
      <c r="C79" s="12">
        <f>output_NHTS!C124/SUM(output_NHTS!C$122:C$125)</f>
        <v>4.1199202234969874E-2</v>
      </c>
      <c r="D79" s="12">
        <f>output_NHTS!D124/SUM(output_NHTS!D$122:D$125)</f>
        <v>2.4784424592937716E-2</v>
      </c>
      <c r="E79" s="12">
        <f>output_NHTS!E124/SUM(output_NHTS!E$122:E$125)</f>
        <v>3.4912896199518102E-2</v>
      </c>
      <c r="F79" s="12">
        <f>output_NHTS!F124/SUM(output_NHTS!F$122:F$125)</f>
        <v>1.5706350177961331E-2</v>
      </c>
      <c r="G79" s="12">
        <f>output_NHTS!G124/SUM(output_NHTS!G$122:G$125)</f>
        <v>2.6697186860863326E-2</v>
      </c>
      <c r="H79" s="12">
        <f>output_NHTS!H124/SUM(output_NHTS!H$122:H$125)</f>
        <v>1.5824529133807847E-2</v>
      </c>
      <c r="I79" s="12">
        <f>output_NHTS!I124/SUM(output_NHTS!I$122:I$125)</f>
        <v>4.0305747455091689E-2</v>
      </c>
      <c r="J79" s="12">
        <f>output_NHTS!J124/SUM(output_NHTS!J$122:J$125)</f>
        <v>2.4976371756645334E-2</v>
      </c>
      <c r="L79" s="18">
        <v>2</v>
      </c>
      <c r="M79" s="12">
        <f>output!B124/SUM(output!B$122:B$125)</f>
        <v>1.7423127129531871E-2</v>
      </c>
      <c r="N79" s="12">
        <f>output!C124/SUM(output!C$122:C$125)</f>
        <v>3.6263764270984732E-2</v>
      </c>
      <c r="O79" s="12">
        <f>output!D124/SUM(output!D$122:D$125)</f>
        <v>4.975065238818633E-2</v>
      </c>
      <c r="P79" s="12">
        <f>output!E124/SUM(output!E$122:E$125)</f>
        <v>5.336539819822024E-2</v>
      </c>
      <c r="Q79" s="12">
        <f>output!F124/SUM(output!F$122:F$125)</f>
        <v>1.0204181887389172E-2</v>
      </c>
      <c r="R79" s="12">
        <f>output!G124/SUM(output!G$122:G$125)</f>
        <v>1.2983982480817639E-2</v>
      </c>
      <c r="S79" s="28">
        <f>output!H124/SUM(output!H$122:H$125)</f>
        <v>1.7993734653386866E-2</v>
      </c>
      <c r="T79" s="28">
        <f>output!I124/SUM(output!I$122:I$125)</f>
        <v>4.5465912390970808E-2</v>
      </c>
      <c r="U79" s="12">
        <f>output!J124/SUM(output!J$122:J$125)</f>
        <v>2.9357646268058906E-2</v>
      </c>
      <c r="W79" s="18">
        <v>2</v>
      </c>
      <c r="X79" s="12">
        <f si="18" t="shared"/>
        <v>-5.5356025378152512E-4</v>
      </c>
      <c r="Y79" s="12">
        <f si="18" t="shared"/>
        <v>-4.9354379639851426E-3</v>
      </c>
      <c r="Z79" s="12">
        <f si="18" t="shared"/>
        <v>2.4966227795248614E-2</v>
      </c>
      <c r="AA79" s="12">
        <f si="18" t="shared"/>
        <v>1.8452501998702138E-2</v>
      </c>
      <c r="AB79" s="12">
        <f si="18" t="shared"/>
        <v>-5.5021682905721583E-3</v>
      </c>
      <c r="AC79" s="12">
        <f si="18" t="shared"/>
        <v>-1.3713204380045687E-2</v>
      </c>
      <c r="AD79" s="12">
        <f si="18" t="shared"/>
        <v>2.1692055195790191E-3</v>
      </c>
      <c r="AE79" s="12">
        <f si="18" t="shared"/>
        <v>5.1601649358791191E-3</v>
      </c>
      <c r="AF79" s="12">
        <f si="18" t="shared"/>
        <v>4.3812745114135722E-3</v>
      </c>
    </row>
    <row r="80" spans="1:32" x14ac:dyDescent="0.2">
      <c r="A80" s="23" t="s">
        <v>116</v>
      </c>
      <c r="B80" s="12">
        <f>output_NHTS!B125/SUM(output_NHTS!B$122:B$125)</f>
        <v>1.4158779013939979E-3</v>
      </c>
      <c r="C80" s="12">
        <f>output_NHTS!C125/SUM(output_NHTS!C$122:C$125)</f>
        <v>4.078396615757705E-3</v>
      </c>
      <c r="D80" s="12">
        <f>output_NHTS!D125/SUM(output_NHTS!D$122:D$125)</f>
        <v>5.555072865677744E-4</v>
      </c>
      <c r="E80" s="12">
        <f>output_NHTS!E125/SUM(output_NHTS!E$122:E$125)</f>
        <v>5.1829750656766059E-3</v>
      </c>
      <c r="F80" s="12">
        <f>output_NHTS!F125/SUM(output_NHTS!F$122:F$125)</f>
        <v>2.2913440877883658E-3</v>
      </c>
      <c r="G80" s="12">
        <f>output_NHTS!G125/SUM(output_NHTS!G$122:G$125)</f>
        <v>0</v>
      </c>
      <c r="H80" s="12">
        <f>output_NHTS!H125/SUM(output_NHTS!H$122:H$125)</f>
        <v>3.9500939934058359E-3</v>
      </c>
      <c r="I80" s="12">
        <f>output_NHTS!I125/SUM(output_NHTS!I$122:I$125)</f>
        <v>5.5220421882028322E-4</v>
      </c>
      <c r="J80" s="12">
        <f>output_NHTS!J125/SUM(output_NHTS!J$122:J$125)</f>
        <v>2.4585916751966581E-3</v>
      </c>
      <c r="L80" s="23" t="s">
        <v>116</v>
      </c>
      <c r="M80" s="13">
        <f>output!B125/SUM(output!B$122:B$125)</f>
        <v>1.7843309183629785E-3</v>
      </c>
      <c r="N80" s="13">
        <f>output!C125/SUM(output!C$122:C$125)</f>
        <v>3.8756511246559881E-3</v>
      </c>
      <c r="O80" s="13">
        <f>output!D125/SUM(output!D$122:D$125)</f>
        <v>4.6351438185794815E-3</v>
      </c>
      <c r="P80" s="13">
        <f>output!E125/SUM(output!E$122:E$125)</f>
        <v>5.9837606221296745E-3</v>
      </c>
      <c r="Q80" s="13">
        <f>output!F125/SUM(output!F$122:F$125)</f>
        <v>1.1860221897910695E-3</v>
      </c>
      <c r="R80" s="13">
        <f>output!G125/SUM(output!G$122:G$125)</f>
        <v>1.4413214262464355E-3</v>
      </c>
      <c r="S80" s="30">
        <f>output!H125/SUM(output!H$122:H$125)</f>
        <v>1.6150313085384865E-3</v>
      </c>
      <c r="T80" s="30">
        <f>output!I125/SUM(output!I$122:I$125)</f>
        <v>4.2053032886241069E-3</v>
      </c>
      <c r="U80" s="13">
        <f>output!J125/SUM(output!J$122:J$125)</f>
        <v>3.003186010837836E-3</v>
      </c>
      <c r="W80" s="23" t="s">
        <v>116</v>
      </c>
      <c r="X80" s="12">
        <f si="18" t="shared"/>
        <v>3.6845301696898061E-4</v>
      </c>
      <c r="Y80" s="12">
        <f si="18" t="shared"/>
        <v>-2.0274549110171685E-4</v>
      </c>
      <c r="Z80" s="12">
        <f si="18" t="shared"/>
        <v>4.0796365320117075E-3</v>
      </c>
      <c r="AA80" s="12">
        <f si="18" t="shared"/>
        <v>8.0078555645306856E-4</v>
      </c>
      <c r="AB80" s="12">
        <f si="18" t="shared"/>
        <v>-1.1053218979972964E-3</v>
      </c>
      <c r="AC80" s="12">
        <f si="18" t="shared"/>
        <v>1.4413214262464355E-3</v>
      </c>
      <c r="AD80" s="12">
        <f si="18" t="shared"/>
        <v>-2.3350626848673492E-3</v>
      </c>
      <c r="AE80" s="12">
        <f si="18" t="shared"/>
        <v>3.6530990698038237E-3</v>
      </c>
      <c r="AF80" s="12">
        <f si="18" t="shared"/>
        <v>5.4459433564117785E-4</v>
      </c>
    </row>
    <row ht="13.5" r="81" spans="1:32" thickBot="1" x14ac:dyDescent="0.25">
      <c r="A81" s="21" t="s">
        <v>221</v>
      </c>
      <c r="B81" s="14">
        <f ref="B81:J81" si="19" t="shared">SUM(B77:B80)</f>
        <v>1</v>
      </c>
      <c r="C81" s="14">
        <f si="19" t="shared"/>
        <v>0.99999999999999989</v>
      </c>
      <c r="D81" s="14">
        <f si="19" t="shared"/>
        <v>0.99999999999999989</v>
      </c>
      <c r="E81" s="14">
        <f si="19" t="shared"/>
        <v>0.99999999999999978</v>
      </c>
      <c r="F81" s="14">
        <f si="19" t="shared"/>
        <v>0.99999999999999989</v>
      </c>
      <c r="G81" s="14">
        <f si="19" t="shared"/>
        <v>1</v>
      </c>
      <c r="H81" s="14">
        <f si="19" t="shared"/>
        <v>1</v>
      </c>
      <c r="I81" s="14">
        <f si="19" t="shared"/>
        <v>1</v>
      </c>
      <c r="J81" s="14">
        <f si="19" t="shared"/>
        <v>1</v>
      </c>
      <c r="L81" s="21" t="s">
        <v>221</v>
      </c>
      <c r="M81" s="14">
        <f>SUM(M77:M80)</f>
        <v>1</v>
      </c>
      <c r="N81" s="14">
        <f ref="N81:U81" si="20" t="shared">SUM(N77:N80)</f>
        <v>1</v>
      </c>
      <c r="O81" s="14">
        <f si="20" t="shared"/>
        <v>0.99999999999999989</v>
      </c>
      <c r="P81" s="14">
        <f si="20" t="shared"/>
        <v>1</v>
      </c>
      <c r="Q81" s="14">
        <f si="20" t="shared"/>
        <v>0.99999999999999989</v>
      </c>
      <c r="R81" s="14">
        <f si="20" t="shared"/>
        <v>1</v>
      </c>
      <c r="S81" s="14">
        <f si="20" t="shared"/>
        <v>1</v>
      </c>
      <c r="T81" s="14">
        <f si="20" t="shared"/>
        <v>1</v>
      </c>
      <c r="U81" s="14">
        <f si="20" t="shared"/>
        <v>1</v>
      </c>
      <c r="W81" s="21" t="s">
        <v>221</v>
      </c>
      <c r="X81" s="14">
        <f si="18" t="shared"/>
        <v>0</v>
      </c>
      <c r="Y81" s="14">
        <f si="18" t="shared"/>
        <v>0</v>
      </c>
      <c r="Z81" s="14">
        <f si="18" t="shared"/>
        <v>0</v>
      </c>
      <c r="AA81" s="14">
        <f si="18" t="shared"/>
        <v>0</v>
      </c>
      <c r="AB81" s="14">
        <f si="18" t="shared"/>
        <v>0</v>
      </c>
      <c r="AC81" s="14">
        <f si="18" t="shared"/>
        <v>0</v>
      </c>
      <c r="AD81" s="14">
        <f si="18" t="shared"/>
        <v>0</v>
      </c>
      <c r="AE81" s="14">
        <f si="18" t="shared"/>
        <v>0</v>
      </c>
      <c r="AF81" s="14">
        <f si="18" t="shared"/>
        <v>0</v>
      </c>
    </row>
  </sheetData>
  <phoneticPr fontId="6"/>
  <conditionalFormatting sqref="X5:AF9 X17:AF21 X29:AF33 X41:AF45 X53:AF57 X65:AF69 X77:AF81">
    <cfRule dxfId="26" operator="notBetween" priority="1" stopIfTrue="1" type="cellIs">
      <formula>-0.15</formula>
      <formula>0.15</formula>
    </cfRule>
    <cfRule dxfId="25" operator="notBetween" priority="2" stopIfTrue="1" type="cellIs">
      <formula>-0.1</formula>
      <formula>0.1</formula>
    </cfRule>
    <cfRule dxfId="24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Q51"/>
  <sheetViews>
    <sheetView workbookViewId="0"/>
  </sheetViews>
  <sheetFormatPr defaultColWidth="10.75" defaultRowHeight="12.75" x14ac:dyDescent="0.2"/>
  <cols>
    <col min="1" max="1" customWidth="true" style="3" width="21.375" collapsed="true"/>
    <col min="2" max="5" style="3" width="10.75" collapsed="true"/>
    <col min="6" max="6" customWidth="true" style="3" width="21.375" collapsed="true"/>
    <col min="7" max="9" bestFit="true" customWidth="true" style="3" width="12.125" collapsed="true"/>
    <col min="10" max="10" style="3" width="10.75" collapsed="true"/>
    <col min="11" max="11" customWidth="true" style="3" width="21.375" collapsed="true"/>
    <col min="12" max="16384" style="3" width="10.75" collapsed="true"/>
  </cols>
  <sheetData>
    <row r="1" spans="1:17" x14ac:dyDescent="0.2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x14ac:dyDescent="0.2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ht="13.5" r="3" spans="1:17" thickBot="1" x14ac:dyDescent="0.25">
      <c r="J3"/>
      <c r="O3"/>
      <c r="P3"/>
      <c r="Q3"/>
    </row>
    <row r="4" spans="1:17" x14ac:dyDescent="0.2">
      <c r="A4" s="5" t="s">
        <v>87</v>
      </c>
      <c r="B4" s="6" t="s">
        <v>249</v>
      </c>
      <c r="C4" s="6" t="s">
        <v>250</v>
      </c>
      <c r="D4" s="6" t="s">
        <v>221</v>
      </c>
      <c r="F4" s="5" t="s">
        <v>87</v>
      </c>
      <c r="G4" s="6" t="s">
        <v>249</v>
      </c>
      <c r="H4" s="94" t="s">
        <v>250</v>
      </c>
      <c r="I4" s="6" t="s">
        <v>221</v>
      </c>
      <c r="J4"/>
      <c r="K4" s="5" t="s">
        <v>87</v>
      </c>
      <c r="L4" s="6" t="s">
        <v>249</v>
      </c>
      <c r="M4" s="6" t="s">
        <v>250</v>
      </c>
      <c r="N4" s="6" t="s">
        <v>221</v>
      </c>
      <c r="O4"/>
      <c r="P4"/>
      <c r="Q4"/>
    </row>
    <row r="5" spans="1:17" x14ac:dyDescent="0.2">
      <c r="A5" s="18">
        <v>0</v>
      </c>
      <c r="B5" s="12">
        <f>output_NHTS!B129/SUM(output_NHTS!B$129:B$132)</f>
        <v>0.89353114203256168</v>
      </c>
      <c r="C5" s="12">
        <f>output_NHTS!C129/SUM(output_NHTS!C$129:C$132)</f>
        <v>0.96354745383421836</v>
      </c>
      <c r="D5" s="12">
        <f>output_NHTS!D129/SUM(output_NHTS!D$129:D$132)</f>
        <v>0.90615533455955133</v>
      </c>
      <c r="F5" s="18">
        <v>0</v>
      </c>
      <c r="G5" s="12">
        <f>output!B129/SUM(output!B$129:B$132)</f>
        <v>0.89345457179410603</v>
      </c>
      <c r="H5" s="92">
        <f>output!C129/SUM(output!C$129:C$132)</f>
        <v>0.92510865219011873</v>
      </c>
      <c r="I5" s="12">
        <f>output!D129/SUM(output!D$129:D$132)</f>
        <v>0.89875603405479143</v>
      </c>
      <c r="J5"/>
      <c r="K5" s="18">
        <v>0</v>
      </c>
      <c r="L5" s="12">
        <f ref="L5:N9" si="0" t="shared">G5-B5</f>
        <v>-7.6570238455642148E-5</v>
      </c>
      <c r="M5" s="12">
        <f si="0" t="shared"/>
        <v>-3.8438801644099629E-2</v>
      </c>
      <c r="N5" s="12">
        <f si="0" t="shared"/>
        <v>-7.3993005047598981E-3</v>
      </c>
      <c r="O5"/>
      <c r="P5"/>
      <c r="Q5"/>
    </row>
    <row r="6" spans="1:17" x14ac:dyDescent="0.2">
      <c r="A6" s="18">
        <v>1</v>
      </c>
      <c r="B6" s="12">
        <f>output_NHTS!B130/SUM(output_NHTS!B$129:B$132)</f>
        <v>9.538973481934683E-2</v>
      </c>
      <c r="C6" s="12">
        <f>output_NHTS!C130/SUM(output_NHTS!C$129:C$132)</f>
        <v>3.3209319776591903E-2</v>
      </c>
      <c r="D6" s="12">
        <f>output_NHTS!D130/SUM(output_NHTS!D$129:D$132)</f>
        <v>8.4178382625710119E-2</v>
      </c>
      <c r="F6" s="18">
        <v>1</v>
      </c>
      <c r="G6" s="12">
        <f>output!B130/SUM(output!B$129:B$132)</f>
        <v>9.9077314946226E-2</v>
      </c>
      <c r="H6" s="92">
        <f>output!C130/SUM(output!C$129:C$132)</f>
        <v>7.0928942465701528E-2</v>
      </c>
      <c r="I6" s="12">
        <f>output!D130/SUM(output!D$129:D$132)</f>
        <v>9.4362992731260809E-2</v>
      </c>
      <c r="J6"/>
      <c r="K6" s="18">
        <v>1</v>
      </c>
      <c r="L6" s="12">
        <f si="0" t="shared"/>
        <v>3.6875801268791697E-3</v>
      </c>
      <c r="M6" s="12">
        <f si="0" t="shared"/>
        <v>3.7719622689109625E-2</v>
      </c>
      <c r="N6" s="12">
        <f si="0" t="shared"/>
        <v>1.018461010555069E-2</v>
      </c>
      <c r="O6"/>
      <c r="P6"/>
      <c r="Q6"/>
    </row>
    <row r="7" spans="1:17" x14ac:dyDescent="0.2">
      <c r="A7" s="18">
        <v>2</v>
      </c>
      <c r="B7" s="12">
        <f>output_NHTS!B131/SUM(output_NHTS!B$129:B$132)</f>
        <v>1.0168253257582508E-2</v>
      </c>
      <c r="C7" s="12">
        <f>output_NHTS!C131/SUM(output_NHTS!C$129:C$132)</f>
        <v>3.243226389189786E-3</v>
      </c>
      <c r="D7" s="12">
        <f>output_NHTS!D131/SUM(output_NHTS!D$129:D$132)</f>
        <v>8.9196460374704571E-3</v>
      </c>
      <c r="F7" s="18">
        <v>2</v>
      </c>
      <c r="G7" s="12">
        <f>output!B131/SUM(output!B$129:B$132)</f>
        <v>6.9356891994205713E-3</v>
      </c>
      <c r="H7" s="92">
        <f>output!C131/SUM(output!C$129:C$132)</f>
        <v>3.6556964756974753E-3</v>
      </c>
      <c r="I7" s="12">
        <f>output!D131/SUM(output!D$129:D$132)</f>
        <v>6.3863521969679217E-3</v>
      </c>
      <c r="J7"/>
      <c r="K7" s="18">
        <v>2</v>
      </c>
      <c r="L7" s="12">
        <f si="0" t="shared"/>
        <v>-3.2325640581619365E-3</v>
      </c>
      <c r="M7" s="12">
        <f si="0" t="shared"/>
        <v>4.1247008650768932E-4</v>
      </c>
      <c r="N7" s="12">
        <f si="0" t="shared"/>
        <v>-2.5332938405025355E-3</v>
      </c>
      <c r="O7"/>
      <c r="P7"/>
      <c r="Q7"/>
    </row>
    <row r="8" spans="1:17" x14ac:dyDescent="0.2">
      <c r="A8" s="23" t="s">
        <v>116</v>
      </c>
      <c r="B8" s="13">
        <f>output_NHTS!B132/SUM(output_NHTS!B$129:B$132)</f>
        <v>9.108698905088197E-4</v>
      </c>
      <c r="C8" s="13">
        <f>output_NHTS!C132/SUM(output_NHTS!C$129:C$132)</f>
        <v>0</v>
      </c>
      <c r="D8" s="13">
        <f>output_NHTS!D132/SUM(output_NHTS!D$129:D$132)</f>
        <v>7.4663677726806844E-4</v>
      </c>
      <c r="F8" s="23" t="s">
        <v>116</v>
      </c>
      <c r="G8" s="13">
        <f>output!B132/SUM(output!B$129:B$132)</f>
        <v>5.324240602473209E-4</v>
      </c>
      <c r="H8" s="90">
        <f>output!C132/SUM(output!C$129:C$132)</f>
        <v>3.0670886848241174E-4</v>
      </c>
      <c r="I8" s="13">
        <f>output!D132/SUM(output!D$129:D$132)</f>
        <v>4.9462101697976882E-4</v>
      </c>
      <c r="J8"/>
      <c r="K8" s="23" t="s">
        <v>116</v>
      </c>
      <c r="L8" s="12">
        <f si="0" t="shared"/>
        <v>-3.7844583026149881E-4</v>
      </c>
      <c r="M8" s="12">
        <f si="0" t="shared"/>
        <v>3.0670886848241174E-4</v>
      </c>
      <c r="N8" s="12">
        <f si="0" t="shared"/>
        <v>-2.5201576028829962E-4</v>
      </c>
      <c r="O8"/>
      <c r="P8"/>
      <c r="Q8"/>
    </row>
    <row ht="13.5" r="9" spans="1:17" thickBot="1" x14ac:dyDescent="0.25">
      <c r="A9" s="21" t="s">
        <v>221</v>
      </c>
      <c r="B9" s="17">
        <f>SUM(B5:B8)</f>
        <v>0.99999999999999989</v>
      </c>
      <c r="C9" s="91">
        <f>SUM(C5:C8)</f>
        <v>1</v>
      </c>
      <c r="D9" s="17">
        <f>SUM(D5:D8)</f>
        <v>0.99999999999999989</v>
      </c>
      <c r="F9" s="21" t="s">
        <v>221</v>
      </c>
      <c r="G9" s="17">
        <f>SUM(G5:G8)</f>
        <v>0.99999999999999989</v>
      </c>
      <c r="H9" s="91">
        <f>SUM(H5:H8)</f>
        <v>1.0000000000000002</v>
      </c>
      <c r="I9" s="17">
        <f>SUM(I5:I8)</f>
        <v>0.99999999999999989</v>
      </c>
      <c r="K9" s="21" t="s">
        <v>221</v>
      </c>
      <c r="L9" s="14">
        <f si="0" t="shared"/>
        <v>0</v>
      </c>
      <c r="M9" s="14">
        <f si="0" t="shared"/>
        <v>0</v>
      </c>
      <c r="N9" s="14">
        <f si="0" t="shared"/>
        <v>0</v>
      </c>
    </row>
    <row r="10" spans="1:17" x14ac:dyDescent="0.2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x14ac:dyDescent="0.2">
      <c r="A12" s="2" t="s">
        <v>175</v>
      </c>
      <c r="F12" s="2" t="s">
        <v>175</v>
      </c>
      <c r="K12" s="2" t="s">
        <v>175</v>
      </c>
    </row>
    <row r="13" spans="1:17" x14ac:dyDescent="0.2">
      <c r="A13" s="2" t="s">
        <v>177</v>
      </c>
      <c r="F13" s="2" t="s">
        <v>138</v>
      </c>
      <c r="K13" s="2" t="s">
        <v>140</v>
      </c>
    </row>
    <row ht="13.5" r="14" spans="1:17" thickBot="1" x14ac:dyDescent="0.25"/>
    <row r="15" spans="1:17" x14ac:dyDescent="0.2">
      <c r="A15" s="5" t="s">
        <v>159</v>
      </c>
      <c r="B15" s="6" t="s">
        <v>249</v>
      </c>
      <c r="C15" s="6" t="s">
        <v>250</v>
      </c>
      <c r="D15" s="6" t="s">
        <v>221</v>
      </c>
      <c r="F15" s="5" t="s">
        <v>159</v>
      </c>
      <c r="G15" s="6" t="s">
        <v>249</v>
      </c>
      <c r="H15" s="6" t="s">
        <v>250</v>
      </c>
      <c r="I15" s="6" t="s">
        <v>221</v>
      </c>
      <c r="K15" s="5" t="s">
        <v>159</v>
      </c>
      <c r="L15" s="6" t="s">
        <v>249</v>
      </c>
      <c r="M15" s="6" t="s">
        <v>250</v>
      </c>
      <c r="N15" s="6" t="s">
        <v>221</v>
      </c>
    </row>
    <row r="16" spans="1:17" x14ac:dyDescent="0.2">
      <c r="A16" s="18" t="s">
        <v>117</v>
      </c>
      <c r="B16" s="12">
        <f>output_NHTS!B136/SUM(output_NHTS!B$136:B$142)</f>
        <v>0.21383701681362488</v>
      </c>
      <c r="C16" s="12">
        <f>output_NHTS!C136/SUM(output_NHTS!C$136:C$142)</f>
        <v>3.7409269941807106E-2</v>
      </c>
      <c r="D16" s="12">
        <f>output_NHTS!D136/SUM(output_NHTS!D$136:D$142)</f>
        <v>0.20172927269740068</v>
      </c>
      <c r="F16" s="18" t="s">
        <v>117</v>
      </c>
      <c r="G16" s="12">
        <f>output!B136/SUM(output!B$136:B$142)</f>
        <v>0.19785278872984344</v>
      </c>
      <c r="H16" s="12">
        <f>output!C136/SUM(output!C$136:C$142)</f>
        <v>0.20588601803734222</v>
      </c>
      <c r="I16" s="12">
        <f>output!D136/SUM(output!D$136:D$142)</f>
        <v>0.19883403300533573</v>
      </c>
      <c r="K16" s="18" t="s">
        <v>117</v>
      </c>
      <c r="L16" s="12">
        <f ref="L16:L23" si="1" t="shared">G16-B16</f>
        <v>-1.5984228083781443E-2</v>
      </c>
      <c r="M16" s="12">
        <f ref="M16:M23" si="2" t="shared">H16-C16</f>
        <v>0.16847674809553512</v>
      </c>
      <c r="N16" s="12">
        <f ref="N16:N23" si="3" t="shared">I16-D16</f>
        <v>-2.8952396920649548E-3</v>
      </c>
    </row>
    <row r="17" spans="1:15" x14ac:dyDescent="0.2">
      <c r="A17" s="18" t="s">
        <v>118</v>
      </c>
      <c r="B17" s="12">
        <f>output_NHTS!B137/SUM(output_NHTS!B$136:B$142)</f>
        <v>0</v>
      </c>
      <c r="C17" s="12">
        <f>output_NHTS!C137/SUM(output_NHTS!C$136:C$142)</f>
        <v>4.6794532955085864E-2</v>
      </c>
      <c r="D17" s="12">
        <f>output_NHTS!D137/SUM(output_NHTS!D$136:D$142)</f>
        <v>3.2113782616633472E-3</v>
      </c>
      <c r="F17" s="18" t="s">
        <v>118</v>
      </c>
      <c r="G17" s="12">
        <f>output!B137/SUM(output!B$136:B$142)</f>
        <v>1.2347612587606648E-3</v>
      </c>
      <c r="H17" s="12">
        <f>output!C137/SUM(output!C$136:C$142)</f>
        <v>1.8222073103489347E-2</v>
      </c>
      <c r="I17" s="12">
        <f>output!D137/SUM(output!D$136:D$142)</f>
        <v>3.3097303484743382E-3</v>
      </c>
      <c r="K17" s="18" t="s">
        <v>118</v>
      </c>
      <c r="L17" s="12"/>
      <c r="M17" s="12"/>
      <c r="N17" s="12"/>
    </row>
    <row r="18" spans="1:15" x14ac:dyDescent="0.2">
      <c r="A18" s="18" t="s">
        <v>4</v>
      </c>
      <c r="B18" s="12">
        <f>output_NHTS!B138/SUM(output_NHTS!B$136:B$142)</f>
        <v>2.5741300221934226E-2</v>
      </c>
      <c r="C18" s="12">
        <f>output_NHTS!C138/SUM(output_NHTS!C$136:C$142)</f>
        <v>9.0592370136231948E-2</v>
      </c>
      <c r="D18" s="12">
        <f>output_NHTS!D138/SUM(output_NHTS!D$136:D$142)</f>
        <v>3.0191848245744574E-2</v>
      </c>
      <c r="F18" s="18" t="s">
        <v>4</v>
      </c>
      <c r="G18" s="12">
        <f>output!B138/SUM(output!B$136:B$142)</f>
        <v>3.2991258923234165E-2</v>
      </c>
      <c r="H18" s="12">
        <f>output!C138/SUM(output!C$136:C$142)</f>
        <v>2.678295417019232E-2</v>
      </c>
      <c r="I18" s="12">
        <f>output!D138/SUM(output!D$136:D$142)</f>
        <v>3.2232925846180441E-2</v>
      </c>
      <c r="K18" s="18" t="s">
        <v>4</v>
      </c>
      <c r="L18" s="12">
        <f si="1" t="shared"/>
        <v>7.2499587012999391E-3</v>
      </c>
      <c r="M18" s="12">
        <f si="2" t="shared"/>
        <v>-6.3809415966039632E-2</v>
      </c>
      <c r="N18" s="12">
        <f si="3" t="shared"/>
        <v>2.0410776004358665E-3</v>
      </c>
    </row>
    <row r="19" spans="1:15" x14ac:dyDescent="0.2">
      <c r="A19" s="18" t="s">
        <v>5</v>
      </c>
      <c r="B19" s="12">
        <f>output_NHTS!B139/SUM(output_NHTS!B$136:B$142)</f>
        <v>0.10248148945984278</v>
      </c>
      <c r="C19" s="12">
        <f>output_NHTS!C139/SUM(output_NHTS!C$136:C$142)</f>
        <v>0.15476630534005867</v>
      </c>
      <c r="D19" s="12">
        <f>output_NHTS!D139/SUM(output_NHTS!D$136:D$142)</f>
        <v>0.10606965052331475</v>
      </c>
      <c r="F19" s="18" t="s">
        <v>5</v>
      </c>
      <c r="G19" s="12">
        <f>output!B139/SUM(output!B$136:B$142)</f>
        <v>0.11159179233472118</v>
      </c>
      <c r="H19" s="12">
        <f>output!C139/SUM(output!C$136:C$142)</f>
        <v>0.11810434962057205</v>
      </c>
      <c r="I19" s="12">
        <f>output!D139/SUM(output!D$136:D$142)</f>
        <v>0.11238728930249618</v>
      </c>
      <c r="K19" s="18" t="s">
        <v>5</v>
      </c>
      <c r="L19" s="12">
        <f si="1" t="shared"/>
        <v>9.1103028748783926E-3</v>
      </c>
      <c r="M19" s="12">
        <f si="2" t="shared"/>
        <v>-3.6661955719486619E-2</v>
      </c>
      <c r="N19" s="12">
        <f si="3" t="shared"/>
        <v>6.3176387791814281E-3</v>
      </c>
    </row>
    <row r="20" spans="1:15" x14ac:dyDescent="0.2">
      <c r="A20" s="18" t="s">
        <v>6</v>
      </c>
      <c r="B20" s="12">
        <f>output_NHTS!B140/SUM(output_NHTS!B$136:B$142)</f>
        <v>0.10766178597966503</v>
      </c>
      <c r="C20" s="12">
        <f>output_NHTS!C140/SUM(output_NHTS!C$136:C$142)</f>
        <v>0.19381770594640252</v>
      </c>
      <c r="D20" s="12">
        <f>output_NHTS!D140/SUM(output_NHTS!D$136:D$142)</f>
        <v>0.1135744264319236</v>
      </c>
      <c r="F20" s="18" t="s">
        <v>6</v>
      </c>
      <c r="G20" s="12">
        <f>output!B140/SUM(output!B$136:B$142)</f>
        <v>0.11178500697656066</v>
      </c>
      <c r="H20" s="12">
        <f>output!C140/SUM(output!C$136:C$142)</f>
        <v>8.9676678245317734E-2</v>
      </c>
      <c r="I20" s="12">
        <f>output!D140/SUM(output!D$136:D$142)</f>
        <v>0.10908451503517132</v>
      </c>
      <c r="K20" s="18" t="s">
        <v>6</v>
      </c>
      <c r="L20" s="12">
        <f si="1" t="shared"/>
        <v>4.1232209968956324E-3</v>
      </c>
      <c r="M20" s="12">
        <f si="2" t="shared"/>
        <v>-0.10414102770108478</v>
      </c>
      <c r="N20" s="12">
        <f si="3" t="shared"/>
        <v>-4.489911396752283E-3</v>
      </c>
    </row>
    <row r="21" spans="1:15" x14ac:dyDescent="0.2">
      <c r="A21" s="18" t="s">
        <v>7</v>
      </c>
      <c r="B21" s="12">
        <f>output_NHTS!B141/SUM(output_NHTS!B$136:B$142)</f>
        <v>0.43534785065126752</v>
      </c>
      <c r="C21" s="12">
        <f>output_NHTS!C141/SUM(output_NHTS!C$136:C$142)</f>
        <v>0.43590415082661282</v>
      </c>
      <c r="D21" s="12">
        <f>output_NHTS!D141/SUM(output_NHTS!D$136:D$142)</f>
        <v>0.43538602798048193</v>
      </c>
      <c r="F21" s="18" t="s">
        <v>7</v>
      </c>
      <c r="G21" s="12">
        <f>output!B141/SUM(output!B$136:B$142)</f>
        <v>0.43616573910218176</v>
      </c>
      <c r="H21" s="12">
        <f>output!C141/SUM(output!C$136:C$142)</f>
        <v>0.39969173478364506</v>
      </c>
      <c r="I21" s="12">
        <f>output!D141/SUM(output!D$136:D$142)</f>
        <v>0.43171050614767925</v>
      </c>
      <c r="K21" s="18" t="s">
        <v>7</v>
      </c>
      <c r="L21" s="12">
        <f si="1" t="shared"/>
        <v>8.1788845091423923E-4</v>
      </c>
      <c r="M21" s="12">
        <f si="2" t="shared"/>
        <v>-3.6212416042967766E-2</v>
      </c>
      <c r="N21" s="12">
        <f si="3" t="shared"/>
        <v>-3.6755218328026751E-3</v>
      </c>
    </row>
    <row r="22" spans="1:15" x14ac:dyDescent="0.2">
      <c r="A22" s="23" t="s">
        <v>8</v>
      </c>
      <c r="B22" s="13">
        <f>output_NHTS!B142/SUM(output_NHTS!B$136:B$142)</f>
        <v>0.1149305568736657</v>
      </c>
      <c r="C22" s="13">
        <f>output_NHTS!C142/SUM(output_NHTS!C$136:C$142)</f>
        <v>4.071566485380114E-2</v>
      </c>
      <c r="D22" s="13">
        <f>output_NHTS!D142/SUM(output_NHTS!D$136:D$142)</f>
        <v>0.10983739585947112</v>
      </c>
      <c r="F22" s="23" t="s">
        <v>8</v>
      </c>
      <c r="G22" s="13">
        <f>output!B142/SUM(output!B$136:B$142)</f>
        <v>0.10837865267469812</v>
      </c>
      <c r="H22" s="13">
        <f>output!C142/SUM(output!C$136:C$142)</f>
        <v>0.14163619203944128</v>
      </c>
      <c r="I22" s="13">
        <f>output!D142/SUM(output!D$136:D$142)</f>
        <v>0.11244100031466281</v>
      </c>
      <c r="K22" s="23" t="s">
        <v>8</v>
      </c>
      <c r="L22" s="12">
        <f si="1" t="shared"/>
        <v>-6.5519041989675758E-3</v>
      </c>
      <c r="M22" s="12">
        <f si="2" t="shared"/>
        <v>0.10092052718564014</v>
      </c>
      <c r="N22" s="12">
        <f si="3" t="shared"/>
        <v>2.6036044551916854E-3</v>
      </c>
      <c r="O22" s="36"/>
    </row>
    <row ht="13.5" r="23" spans="1:15" thickBot="1" x14ac:dyDescent="0.25">
      <c r="A23" s="21" t="s">
        <v>221</v>
      </c>
      <c r="B23" s="17">
        <f>SUM(B19:B22)</f>
        <v>0.76042168296444101</v>
      </c>
      <c r="C23" s="91">
        <f>SUM(C19:C22)</f>
        <v>0.82520382696687522</v>
      </c>
      <c r="D23" s="17">
        <f>SUM(D19:D22)</f>
        <v>0.7648675007951915</v>
      </c>
      <c r="F23" s="21" t="s">
        <v>221</v>
      </c>
      <c r="G23" s="14">
        <f>SUM(G16:G22)</f>
        <v>1</v>
      </c>
      <c r="H23" s="14">
        <f>SUM(H16:H22)</f>
        <v>1</v>
      </c>
      <c r="I23" s="14">
        <f>SUM(I16:I22)</f>
        <v>1</v>
      </c>
      <c r="K23" s="21" t="s">
        <v>221</v>
      </c>
      <c r="L23" s="14">
        <f si="1" t="shared"/>
        <v>0.23957831703555899</v>
      </c>
      <c r="M23" s="14">
        <f si="2" t="shared"/>
        <v>0.17479617303312478</v>
      </c>
      <c r="N23" s="14">
        <f si="3" t="shared"/>
        <v>0.2351324992048085</v>
      </c>
      <c r="O23" s="36"/>
    </row>
    <row r="24" spans="1:15" x14ac:dyDescent="0.2">
      <c r="B24" s="34"/>
      <c r="C24" s="34"/>
      <c r="D24" s="34"/>
      <c r="M24" s="36"/>
      <c r="N24" s="36"/>
      <c r="O24" s="36"/>
    </row>
    <row r="25" spans="1:15" x14ac:dyDescent="0.2">
      <c r="M25" s="36"/>
      <c r="N25" s="36"/>
      <c r="O25" s="36"/>
    </row>
    <row r="26" spans="1:15" x14ac:dyDescent="0.2">
      <c r="G26" s="87"/>
      <c r="H26" s="87"/>
      <c r="I26" s="87"/>
      <c r="M26" s="36"/>
      <c r="N26" s="36"/>
      <c r="O26" s="36"/>
    </row>
    <row r="27" spans="1:15" x14ac:dyDescent="0.2">
      <c r="G27" s="87"/>
      <c r="H27" s="87"/>
      <c r="I27" s="87"/>
      <c r="M27" s="36"/>
      <c r="N27" s="36"/>
      <c r="O27" s="36"/>
    </row>
    <row r="28" spans="1:15" x14ac:dyDescent="0.2">
      <c r="F28" s="25"/>
      <c r="G28" s="96"/>
      <c r="H28" s="96"/>
      <c r="I28" s="96"/>
      <c r="M28" s="36"/>
      <c r="N28" s="36"/>
      <c r="O28" s="36"/>
    </row>
    <row r="29" spans="1:15" x14ac:dyDescent="0.2">
      <c r="F29" s="88"/>
      <c r="G29" s="25"/>
      <c r="H29" s="25"/>
      <c r="I29" s="25"/>
    </row>
    <row r="30" spans="1:15" x14ac:dyDescent="0.2">
      <c r="F30" s="88"/>
      <c r="G30" s="97"/>
      <c r="H30" s="25"/>
      <c r="I30" s="25"/>
    </row>
    <row r="31" spans="1:15" x14ac:dyDescent="0.2">
      <c r="F31" s="25"/>
      <c r="G31" s="25"/>
      <c r="H31" s="25"/>
      <c r="I31" s="25"/>
    </row>
    <row r="32" spans="1:15" x14ac:dyDescent="0.2">
      <c r="F32" s="98"/>
      <c r="G32" s="89"/>
      <c r="H32" s="89"/>
      <c r="I32" s="89"/>
    </row>
    <row r="33" spans="6:9" x14ac:dyDescent="0.2">
      <c r="F33" s="19"/>
      <c r="G33" s="34"/>
      <c r="H33" s="34"/>
      <c r="I33" s="34"/>
    </row>
    <row r="34" spans="6:9" x14ac:dyDescent="0.2">
      <c r="F34" s="19"/>
      <c r="G34" s="34"/>
      <c r="H34" s="34"/>
      <c r="I34" s="34"/>
    </row>
    <row r="35" spans="6:9" x14ac:dyDescent="0.2">
      <c r="F35" s="19"/>
      <c r="G35" s="34"/>
      <c r="H35" s="34"/>
      <c r="I35" s="34"/>
    </row>
    <row r="36" spans="6:9" x14ac:dyDescent="0.2">
      <c r="F36" s="19"/>
      <c r="G36" s="34"/>
      <c r="H36" s="34"/>
      <c r="I36" s="34"/>
    </row>
    <row r="37" spans="6:9" x14ac:dyDescent="0.2">
      <c r="F37" s="19"/>
      <c r="G37" s="34"/>
      <c r="H37" s="34"/>
      <c r="I37" s="34"/>
    </row>
    <row r="38" spans="6:9" x14ac:dyDescent="0.2">
      <c r="F38" s="19"/>
      <c r="G38" s="34"/>
      <c r="H38" s="34"/>
      <c r="I38" s="34"/>
    </row>
    <row r="39" spans="6:9" x14ac:dyDescent="0.2">
      <c r="F39" s="25"/>
      <c r="G39" s="25"/>
      <c r="H39" s="25"/>
      <c r="I39" s="25"/>
    </row>
    <row r="40" spans="6:9" x14ac:dyDescent="0.2">
      <c r="F40" s="88"/>
      <c r="G40" s="25"/>
      <c r="H40" s="25"/>
      <c r="I40" s="25"/>
    </row>
    <row r="41" spans="6:9" x14ac:dyDescent="0.2">
      <c r="F41" s="88"/>
      <c r="G41" s="25"/>
      <c r="H41" s="25"/>
      <c r="I41" s="25"/>
    </row>
    <row r="42" spans="6:9" x14ac:dyDescent="0.2">
      <c r="F42" s="25"/>
      <c r="G42" s="25"/>
      <c r="H42" s="25"/>
      <c r="I42" s="25"/>
    </row>
    <row r="43" spans="6:9" x14ac:dyDescent="0.2">
      <c r="F43" s="98"/>
      <c r="G43" s="89"/>
      <c r="H43" s="89"/>
      <c r="I43" s="89"/>
    </row>
    <row r="44" spans="6:9" x14ac:dyDescent="0.2">
      <c r="F44" s="19"/>
      <c r="G44" s="34"/>
      <c r="H44" s="34"/>
      <c r="I44" s="34"/>
    </row>
    <row r="45" spans="6:9" x14ac:dyDescent="0.2">
      <c r="F45" s="19"/>
      <c r="G45" s="34"/>
      <c r="H45" s="34"/>
      <c r="I45" s="34"/>
    </row>
    <row r="46" spans="6:9" x14ac:dyDescent="0.2">
      <c r="F46" s="19"/>
      <c r="G46" s="34"/>
      <c r="H46" s="34"/>
      <c r="I46" s="34"/>
    </row>
    <row r="47" spans="6:9" x14ac:dyDescent="0.2">
      <c r="F47" s="19"/>
      <c r="G47" s="34"/>
      <c r="H47" s="34"/>
      <c r="I47" s="34"/>
    </row>
    <row r="48" spans="6:9" x14ac:dyDescent="0.2">
      <c r="F48" s="19"/>
      <c r="G48" s="34"/>
      <c r="H48" s="34"/>
      <c r="I48" s="34"/>
    </row>
    <row r="49" spans="6:9" x14ac:dyDescent="0.2">
      <c r="F49" s="19"/>
      <c r="G49" s="34"/>
      <c r="H49" s="34"/>
      <c r="I49" s="34"/>
    </row>
    <row r="50" spans="6:9" x14ac:dyDescent="0.2">
      <c r="F50" s="19"/>
      <c r="G50" s="34"/>
      <c r="H50" s="34"/>
      <c r="I50" s="34"/>
    </row>
    <row r="51" spans="6:9" x14ac:dyDescent="0.2">
      <c r="F51" s="25"/>
      <c r="G51" s="25"/>
      <c r="H51" s="25"/>
      <c r="I51" s="25"/>
    </row>
  </sheetData>
  <phoneticPr fontId="6"/>
  <conditionalFormatting sqref="L5:N9 L16:N23">
    <cfRule dxfId="23" operator="notBetween" priority="1" stopIfTrue="1" type="cellIs">
      <formula>-0.15</formula>
      <formula>0.15</formula>
    </cfRule>
    <cfRule dxfId="22" operator="notBetween" priority="2" stopIfTrue="1" type="cellIs">
      <formula>-0.1</formula>
      <formula>0.1</formula>
    </cfRule>
    <cfRule dxfId="21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AC86"/>
  <sheetViews>
    <sheetView workbookViewId="0">
      <selection activeCell="I12" sqref="I12"/>
    </sheetView>
  </sheetViews>
  <sheetFormatPr defaultColWidth="10.75" defaultRowHeight="12.75" x14ac:dyDescent="0.2"/>
  <cols>
    <col min="1" max="16384" style="3" width="10.75" collapsed="true"/>
  </cols>
  <sheetData>
    <row r="1" spans="1:29" x14ac:dyDescent="0.2">
      <c r="A1" s="2" t="s">
        <v>175</v>
      </c>
      <c r="K1" s="2" t="s">
        <v>175</v>
      </c>
      <c r="U1" s="2" t="s">
        <v>175</v>
      </c>
    </row>
    <row r="2" spans="1:29" x14ac:dyDescent="0.2">
      <c r="A2" s="2" t="s">
        <v>176</v>
      </c>
      <c r="K2" s="2" t="s">
        <v>169</v>
      </c>
      <c r="U2" s="2" t="s">
        <v>292</v>
      </c>
    </row>
    <row ht="13.5" r="3" spans="1:29" thickBot="1" x14ac:dyDescent="0.25"/>
    <row r="4" spans="1:29" x14ac:dyDescent="0.2">
      <c r="A4" s="5" t="s">
        <v>248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221</v>
      </c>
      <c r="K4" s="5" t="s">
        <v>248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221</v>
      </c>
      <c r="U4" s="5" t="s">
        <v>248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221</v>
      </c>
    </row>
    <row r="5" spans="1:29" x14ac:dyDescent="0.2">
      <c r="A5" s="18">
        <v>0</v>
      </c>
      <c r="B5" s="7">
        <f>output_NHTS!B148</f>
        <v>0</v>
      </c>
      <c r="C5" s="7">
        <f>output_NHTS!C148</f>
        <v>0</v>
      </c>
      <c r="D5" s="7">
        <f>output_NHTS!D148</f>
        <v>0</v>
      </c>
      <c r="E5" s="7">
        <f>output_NHTS!E148</f>
        <v>0</v>
      </c>
      <c r="F5" s="7">
        <f>output_NHTS!F148</f>
        <v>0</v>
      </c>
      <c r="G5" s="7">
        <f>output_NHTS!G148</f>
        <v>0</v>
      </c>
      <c r="H5" s="7">
        <f>output_NHTS!H148</f>
        <v>0</v>
      </c>
      <c r="I5" s="7">
        <f>output_NHTS!I148</f>
        <v>0</v>
      </c>
      <c r="K5" s="18">
        <v>0</v>
      </c>
      <c r="L5" s="7">
        <f>output!B148</f>
        <v>597303.08381386334</v>
      </c>
      <c r="M5" s="7">
        <f>output!C148</f>
        <v>421828.77651213185</v>
      </c>
      <c r="N5" s="7">
        <f>output!D148</f>
        <v>327759.54930945125</v>
      </c>
      <c r="O5" s="7">
        <f>output!E148</f>
        <v>427328.84238146665</v>
      </c>
      <c r="P5" s="7">
        <f>output!F148</f>
        <v>446433.40295080893</v>
      </c>
      <c r="Q5" s="7">
        <f>output!G148</f>
        <v>224219.09216549929</v>
      </c>
      <c r="R5" s="7">
        <f>output!H148</f>
        <v>795755.86363764771</v>
      </c>
      <c r="S5" s="7">
        <f>output!I148</f>
        <v>3240628.6107708691</v>
      </c>
      <c r="U5" s="18">
        <v>0</v>
      </c>
      <c r="V5" s="7">
        <f>L5-B5</f>
        <v>597303.08381386334</v>
      </c>
      <c r="W5" s="7">
        <f ref="W5:W12" si="0" t="shared">M5-C5</f>
        <v>421828.77651213185</v>
      </c>
      <c r="X5" s="7">
        <f ref="X5:X12" si="1" t="shared">N5-D5</f>
        <v>327759.54930945125</v>
      </c>
      <c r="Y5" s="7">
        <f ref="Y5:Y12" si="2" t="shared">O5-E5</f>
        <v>427328.84238146665</v>
      </c>
      <c r="Z5" s="7">
        <f ref="Z5:Z12" si="3" t="shared">P5-F5</f>
        <v>446433.40295080893</v>
      </c>
      <c r="AA5" s="7">
        <f ref="AA5:AA12" si="4" t="shared">Q5-G5</f>
        <v>224219.09216549929</v>
      </c>
      <c r="AB5" s="7">
        <f ref="AB5:AB12" si="5" t="shared">R5-H5</f>
        <v>795755.86363764771</v>
      </c>
      <c r="AC5" s="7">
        <f ref="AC5:AC12" si="6" t="shared">S5-I5</f>
        <v>3240628.6107708691</v>
      </c>
    </row>
    <row r="6" spans="1:29" x14ac:dyDescent="0.2">
      <c r="A6" s="18">
        <v>1</v>
      </c>
      <c r="B6" s="7">
        <f>output_NHTS!B149</f>
        <v>0</v>
      </c>
      <c r="C6" s="7">
        <f>output_NHTS!C149</f>
        <v>0</v>
      </c>
      <c r="D6" s="7">
        <f>output_NHTS!D149</f>
        <v>0</v>
      </c>
      <c r="E6" s="7">
        <f>output_NHTS!E149</f>
        <v>0</v>
      </c>
      <c r="F6" s="7">
        <f>output_NHTS!F149</f>
        <v>0</v>
      </c>
      <c r="G6" s="7">
        <f>output_NHTS!G149</f>
        <v>0</v>
      </c>
      <c r="H6" s="7">
        <f>output_NHTS!H149</f>
        <v>0</v>
      </c>
      <c r="I6" s="7">
        <f>output_NHTS!I149</f>
        <v>0</v>
      </c>
      <c r="K6" s="18">
        <v>1</v>
      </c>
      <c r="L6" s="7">
        <f>output!B149</f>
        <v>546482.93668652454</v>
      </c>
      <c r="M6" s="7">
        <f>output!C149</f>
        <v>210585.49207848377</v>
      </c>
      <c r="N6" s="7">
        <f>output!D149</f>
        <v>201582.48238064093</v>
      </c>
      <c r="O6" s="7">
        <f>output!E149</f>
        <v>197215.75565192546</v>
      </c>
      <c r="P6" s="7">
        <f>output!F149</f>
        <v>180102.28159855242</v>
      </c>
      <c r="Q6" s="7">
        <f>output!G149</f>
        <v>62985.043962218784</v>
      </c>
      <c r="R6" s="7">
        <f>output!H149</f>
        <v>238360.45091607966</v>
      </c>
      <c r="S6" s="7">
        <f>output!I149</f>
        <v>1637314.4432744253</v>
      </c>
      <c r="U6" s="18">
        <v>1</v>
      </c>
      <c r="V6" s="7">
        <f ref="V6:V12" si="7" t="shared">L6-B6</f>
        <v>546482.93668652454</v>
      </c>
      <c r="W6" s="7">
        <f si="0" t="shared"/>
        <v>210585.49207848377</v>
      </c>
      <c r="X6" s="7">
        <f si="1" t="shared"/>
        <v>201582.48238064093</v>
      </c>
      <c r="Y6" s="7">
        <f si="2" t="shared"/>
        <v>197215.75565192546</v>
      </c>
      <c r="Z6" s="7">
        <f si="3" t="shared"/>
        <v>180102.28159855242</v>
      </c>
      <c r="AA6" s="7">
        <f si="4" t="shared"/>
        <v>62985.043962218784</v>
      </c>
      <c r="AB6" s="7">
        <f si="5" t="shared"/>
        <v>238360.45091607966</v>
      </c>
      <c r="AC6" s="7">
        <f si="6" t="shared"/>
        <v>1637314.4432744253</v>
      </c>
    </row>
    <row r="7" spans="1:29" x14ac:dyDescent="0.2">
      <c r="A7" s="19">
        <v>2</v>
      </c>
      <c r="B7" s="7">
        <f>output_NHTS!B150</f>
        <v>850163.17855827289</v>
      </c>
      <c r="C7" s="7">
        <f>output_NHTS!C150</f>
        <v>555556.89067634055</v>
      </c>
      <c r="D7" s="7">
        <f>output_NHTS!D150</f>
        <v>366842.74715619418</v>
      </c>
      <c r="E7" s="7">
        <f>output_NHTS!E150</f>
        <v>492186.51275025128</v>
      </c>
      <c r="F7" s="7">
        <f>output_NHTS!F150</f>
        <v>406524.2417937576</v>
      </c>
      <c r="G7" s="7">
        <f>output_NHTS!G150</f>
        <v>220216.38766735839</v>
      </c>
      <c r="H7" s="7">
        <f>output_NHTS!H150</f>
        <v>817674.49637275969</v>
      </c>
      <c r="I7" s="7">
        <f>output_NHTS!I150</f>
        <v>3709164.4549749349</v>
      </c>
      <c r="K7" s="19">
        <v>2</v>
      </c>
      <c r="L7" s="7">
        <f>output!B150</f>
        <v>332669.07597321313</v>
      </c>
      <c r="M7" s="7">
        <f>output!C150</f>
        <v>90172.541594617782</v>
      </c>
      <c r="N7" s="7">
        <f>output!D150</f>
        <v>83875.242921234312</v>
      </c>
      <c r="O7" s="7">
        <f>output!E150</f>
        <v>73168.094795775673</v>
      </c>
      <c r="P7" s="7">
        <f>output!F150</f>
        <v>63807.02472787501</v>
      </c>
      <c r="Q7" s="7">
        <f>output!G150</f>
        <v>18323.886949958924</v>
      </c>
      <c r="R7" s="7">
        <f>output!H150</f>
        <v>60144.209502241087</v>
      </c>
      <c r="S7" s="7">
        <f>output!I150</f>
        <v>722160.076464916</v>
      </c>
      <c r="U7" s="19">
        <v>2</v>
      </c>
      <c r="V7" s="7">
        <f si="7" t="shared"/>
        <v>-517494.10258505977</v>
      </c>
      <c r="W7" s="7">
        <f si="0" t="shared"/>
        <v>-465384.34908172279</v>
      </c>
      <c r="X7" s="7">
        <f si="1" t="shared"/>
        <v>-282967.50423495984</v>
      </c>
      <c r="Y7" s="7">
        <f si="2" t="shared"/>
        <v>-419018.41795447562</v>
      </c>
      <c r="Z7" s="7">
        <f si="3" t="shared"/>
        <v>-342717.21706588258</v>
      </c>
      <c r="AA7" s="7">
        <f si="4" t="shared"/>
        <v>-201892.50071739947</v>
      </c>
      <c r="AB7" s="7">
        <f si="5" t="shared"/>
        <v>-757530.28687051858</v>
      </c>
      <c r="AC7" s="7">
        <f si="6" t="shared"/>
        <v>-2987004.3785100188</v>
      </c>
    </row>
    <row r="8" spans="1:29" x14ac:dyDescent="0.2">
      <c r="A8" s="20">
        <v>3</v>
      </c>
      <c r="B8" s="7">
        <f>output_NHTS!B151</f>
        <v>0</v>
      </c>
      <c r="C8" s="7">
        <f>output_NHTS!C151</f>
        <v>0</v>
      </c>
      <c r="D8" s="7">
        <f>output_NHTS!D151</f>
        <v>0</v>
      </c>
      <c r="E8" s="7">
        <f>output_NHTS!E151</f>
        <v>0</v>
      </c>
      <c r="F8" s="7">
        <f>output_NHTS!F151</f>
        <v>0</v>
      </c>
      <c r="G8" s="7">
        <f>output_NHTS!G151</f>
        <v>0</v>
      </c>
      <c r="H8" s="7">
        <f>output_NHTS!H151</f>
        <v>0</v>
      </c>
      <c r="I8" s="7">
        <f>output_NHTS!I151</f>
        <v>0</v>
      </c>
      <c r="K8" s="20">
        <v>3</v>
      </c>
      <c r="L8" s="7">
        <f>output!B151</f>
        <v>147665.92493722565</v>
      </c>
      <c r="M8" s="7">
        <f>output!C151</f>
        <v>26875.770318369654</v>
      </c>
      <c r="N8" s="7">
        <f>output!D151</f>
        <v>27536.808233233605</v>
      </c>
      <c r="O8" s="7">
        <f>output!E151</f>
        <v>22007.580870439408</v>
      </c>
      <c r="P8" s="7">
        <f>output!F151</f>
        <v>18568.427871592117</v>
      </c>
      <c r="Q8" s="7">
        <f>output!G151</f>
        <v>4697.6578032374646</v>
      </c>
      <c r="R8" s="7">
        <f>output!H151</f>
        <v>13110.526343212714</v>
      </c>
      <c r="S8" s="7">
        <f>output!I151</f>
        <v>260462.69637731061</v>
      </c>
      <c r="U8" s="20">
        <v>3</v>
      </c>
      <c r="V8" s="7">
        <f si="7" t="shared"/>
        <v>147665.92493722565</v>
      </c>
      <c r="W8" s="7">
        <f si="0" t="shared"/>
        <v>26875.770318369654</v>
      </c>
      <c r="X8" s="7">
        <f si="1" t="shared"/>
        <v>27536.808233233605</v>
      </c>
      <c r="Y8" s="7">
        <f si="2" t="shared"/>
        <v>22007.580870439408</v>
      </c>
      <c r="Z8" s="7">
        <f si="3" t="shared"/>
        <v>18568.427871592117</v>
      </c>
      <c r="AA8" s="7">
        <f si="4" t="shared"/>
        <v>4697.6578032374646</v>
      </c>
      <c r="AB8" s="7">
        <f si="5" t="shared"/>
        <v>13110.526343212714</v>
      </c>
      <c r="AC8" s="7">
        <f si="6" t="shared"/>
        <v>260462.69637731061</v>
      </c>
    </row>
    <row r="9" spans="1:29" x14ac:dyDescent="0.2">
      <c r="A9" s="20">
        <v>4</v>
      </c>
      <c r="B9" s="7">
        <f>output_NHTS!B152</f>
        <v>416835.5918039112</v>
      </c>
      <c r="C9" s="7">
        <f>output_NHTS!C152</f>
        <v>122431.65521144291</v>
      </c>
      <c r="D9" s="7">
        <f>output_NHTS!D152</f>
        <v>109380.47835772041</v>
      </c>
      <c r="E9" s="7">
        <f>output_NHTS!E152</f>
        <v>122901.0787472137</v>
      </c>
      <c r="F9" s="7">
        <f>output_NHTS!F152</f>
        <v>166831.39521195189</v>
      </c>
      <c r="G9" s="7">
        <f>output_NHTS!G152</f>
        <v>42079.823639005503</v>
      </c>
      <c r="H9" s="7">
        <f>output_NHTS!H152</f>
        <v>180190.33592293461</v>
      </c>
      <c r="I9" s="7">
        <f>output_NHTS!I152</f>
        <v>1160650.3588941803</v>
      </c>
      <c r="K9" s="20">
        <v>4</v>
      </c>
      <c r="L9" s="7">
        <f>output!B152</f>
        <v>62521.71758651788</v>
      </c>
      <c r="M9" s="7">
        <f>output!C152</f>
        <v>7255.9644202484742</v>
      </c>
      <c r="N9" s="7">
        <f>output!D152</f>
        <v>8485.1024645092602</v>
      </c>
      <c r="O9" s="7">
        <f>output!E152</f>
        <v>5669.4372622812052</v>
      </c>
      <c r="P9" s="7">
        <f>output!F152</f>
        <v>5116.6576638561883</v>
      </c>
      <c r="Q9" s="7">
        <f>output!G152</f>
        <v>1405.6154644372116</v>
      </c>
      <c r="R9" s="7">
        <f>output!H152</f>
        <v>3066.0254838426813</v>
      </c>
      <c r="S9" s="7">
        <f>output!I152</f>
        <v>93520.520345692887</v>
      </c>
      <c r="U9" s="20">
        <v>4</v>
      </c>
      <c r="V9" s="7">
        <f si="7" t="shared"/>
        <v>-354313.87421739334</v>
      </c>
      <c r="W9" s="7">
        <f si="0" t="shared"/>
        <v>-115175.69079119443</v>
      </c>
      <c r="X9" s="7">
        <f si="1" t="shared"/>
        <v>-100895.37589321115</v>
      </c>
      <c r="Y9" s="7">
        <f si="2" t="shared"/>
        <v>-117231.64148493249</v>
      </c>
      <c r="Z9" s="7">
        <f si="3" t="shared"/>
        <v>-161714.7375480957</v>
      </c>
      <c r="AA9" s="7">
        <f si="4" t="shared"/>
        <v>-40674.208174568288</v>
      </c>
      <c r="AB9" s="7">
        <f si="5" t="shared"/>
        <v>-177124.31043909193</v>
      </c>
      <c r="AC9" s="7">
        <f si="6" t="shared"/>
        <v>-1067129.8385484873</v>
      </c>
    </row>
    <row r="10" spans="1:29" x14ac:dyDescent="0.2">
      <c r="A10" s="20">
        <v>5</v>
      </c>
      <c r="B10" s="7">
        <f>output_NHTS!B153</f>
        <v>0</v>
      </c>
      <c r="C10" s="7">
        <f>output_NHTS!C153</f>
        <v>0</v>
      </c>
      <c r="D10" s="7">
        <f>output_NHTS!D153</f>
        <v>0</v>
      </c>
      <c r="E10" s="7">
        <f>output_NHTS!E153</f>
        <v>0</v>
      </c>
      <c r="F10" s="7">
        <f>output_NHTS!F153</f>
        <v>0</v>
      </c>
      <c r="G10" s="7">
        <f>output_NHTS!G153</f>
        <v>0</v>
      </c>
      <c r="H10" s="7">
        <f>output_NHTS!H153</f>
        <v>0</v>
      </c>
      <c r="I10" s="7">
        <f>output_NHTS!I153</f>
        <v>0</v>
      </c>
      <c r="K10" s="20">
        <v>5</v>
      </c>
      <c r="L10" s="7">
        <f>output!B153</f>
        <v>24637.389331742954</v>
      </c>
      <c r="M10" s="7">
        <f>output!C153</f>
        <v>1963.7353186279784</v>
      </c>
      <c r="N10" s="7">
        <f>output!D153</f>
        <v>2242.8824868332704</v>
      </c>
      <c r="O10" s="7">
        <f>output!E153</f>
        <v>1223.5810874424214</v>
      </c>
      <c r="P10" s="7">
        <f>output!F153</f>
        <v>1377.8606293559496</v>
      </c>
      <c r="Q10" s="7">
        <f>output!G153</f>
        <v>257.17140980637674</v>
      </c>
      <c r="R10" s="7">
        <f>output!H153</f>
        <v>735.0588207847436</v>
      </c>
      <c r="S10" s="7">
        <f>output!I153</f>
        <v>32437.679084593696</v>
      </c>
      <c r="U10" s="20">
        <v>5</v>
      </c>
      <c r="V10" s="7">
        <f si="7" t="shared"/>
        <v>24637.389331742954</v>
      </c>
      <c r="W10" s="7">
        <f si="0" t="shared"/>
        <v>1963.7353186279784</v>
      </c>
      <c r="X10" s="7">
        <f si="1" t="shared"/>
        <v>2242.8824868332704</v>
      </c>
      <c r="Y10" s="7">
        <f si="2" t="shared"/>
        <v>1223.5810874424214</v>
      </c>
      <c r="Z10" s="7">
        <f si="3" t="shared"/>
        <v>1377.8606293559496</v>
      </c>
      <c r="AA10" s="7">
        <f si="4" t="shared"/>
        <v>257.17140980637674</v>
      </c>
      <c r="AB10" s="7">
        <f si="5" t="shared"/>
        <v>735.0588207847436</v>
      </c>
      <c r="AC10" s="7">
        <f si="6" t="shared"/>
        <v>32437.679084593696</v>
      </c>
    </row>
    <row r="11" spans="1:29" x14ac:dyDescent="0.2">
      <c r="A11" s="3" t="s">
        <v>209</v>
      </c>
      <c r="B11" s="9">
        <f>output_NHTS!B154</f>
        <v>497687.07679351198</v>
      </c>
      <c r="C11" s="9">
        <f>output_NHTS!C154</f>
        <v>127679.0113816044</v>
      </c>
      <c r="D11" s="9">
        <f>output_NHTS!D154</f>
        <v>178130.390904</v>
      </c>
      <c r="E11" s="9">
        <f>output_NHTS!E154</f>
        <v>122576.90796582621</v>
      </c>
      <c r="F11" s="9">
        <f>output_NHTS!F154</f>
        <v>149984.77525040691</v>
      </c>
      <c r="G11" s="9">
        <f>output_NHTS!G154</f>
        <v>43084.155179826499</v>
      </c>
      <c r="H11" s="9">
        <f>output_NHTS!H154</f>
        <v>112360.5903440359</v>
      </c>
      <c r="I11" s="9">
        <f>output_NHTS!I154</f>
        <v>1231502.9078192119</v>
      </c>
      <c r="K11" s="3" t="s">
        <v>209</v>
      </c>
      <c r="L11" s="9">
        <f>output!B154</f>
        <v>25042.610807930716</v>
      </c>
      <c r="M11" s="9">
        <f>output!C154</f>
        <v>921.77843384777816</v>
      </c>
      <c r="N11" s="9">
        <f>output!D154</f>
        <v>1019.6250936318047</v>
      </c>
      <c r="O11" s="9">
        <f>output!E154</f>
        <v>320.90030553422832</v>
      </c>
      <c r="P11" s="9">
        <f>output!F154</f>
        <v>306.57852283214851</v>
      </c>
      <c r="Q11" s="9">
        <f>output!G154</f>
        <v>122.05445684455042</v>
      </c>
      <c r="R11" s="9">
        <f>output!H154</f>
        <v>113.41198398625531</v>
      </c>
      <c r="S11" s="9">
        <f>output!I154</f>
        <v>27846.95960460748</v>
      </c>
      <c r="U11" s="3" t="s">
        <v>209</v>
      </c>
      <c r="V11" s="9">
        <f si="7" t="shared"/>
        <v>-472644.46598558128</v>
      </c>
      <c r="W11" s="9">
        <f si="0" t="shared"/>
        <v>-126757.23294775662</v>
      </c>
      <c r="X11" s="9">
        <f si="1" t="shared"/>
        <v>-177110.7658103682</v>
      </c>
      <c r="Y11" s="9">
        <f si="2" t="shared"/>
        <v>-122256.00766029197</v>
      </c>
      <c r="Z11" s="9">
        <f si="3" t="shared"/>
        <v>-149678.19672757474</v>
      </c>
      <c r="AA11" s="9">
        <f si="4" t="shared"/>
        <v>-42962.100722981952</v>
      </c>
      <c r="AB11" s="9">
        <f si="5" t="shared"/>
        <v>-112247.17836004964</v>
      </c>
      <c r="AC11" s="9">
        <f si="6" t="shared"/>
        <v>-1203655.9482146045</v>
      </c>
    </row>
    <row ht="13.5" r="12" spans="1:29" thickBot="1" x14ac:dyDescent="0.25">
      <c r="A12" s="21" t="s">
        <v>221</v>
      </c>
      <c r="B12" s="22">
        <f ref="B12:I12" si="8" t="shared">SUM(B5:B11)</f>
        <v>1764685.8471556962</v>
      </c>
      <c r="C12" s="22">
        <f si="8" t="shared"/>
        <v>805667.55726938776</v>
      </c>
      <c r="D12" s="22">
        <f si="8" t="shared"/>
        <v>654353.61641791463</v>
      </c>
      <c r="E12" s="22">
        <f si="8" t="shared"/>
        <v>737664.49946329126</v>
      </c>
      <c r="F12" s="22">
        <f si="8" t="shared"/>
        <v>723340.4122561164</v>
      </c>
      <c r="G12" s="22">
        <f si="8" t="shared"/>
        <v>305380.36648619035</v>
      </c>
      <c r="H12" s="22">
        <f si="8" t="shared"/>
        <v>1110225.4226397302</v>
      </c>
      <c r="I12" s="22">
        <f si="8" t="shared"/>
        <v>6101317.7216883264</v>
      </c>
      <c r="K12" s="21" t="s">
        <v>221</v>
      </c>
      <c r="L12" s="22">
        <f ref="L12:S12" si="9" t="shared">SUM(L5:L11)</f>
        <v>1736322.7391370183</v>
      </c>
      <c r="M12" s="22">
        <f si="9" t="shared"/>
        <v>759604.05867632735</v>
      </c>
      <c r="N12" s="22">
        <f si="9" t="shared"/>
        <v>652501.69288953452</v>
      </c>
      <c r="O12" s="22">
        <f si="9" t="shared"/>
        <v>726934.19235486514</v>
      </c>
      <c r="P12" s="22">
        <f si="9" t="shared"/>
        <v>715712.23396487278</v>
      </c>
      <c r="Q12" s="22">
        <f si="9" t="shared"/>
        <v>312010.5222120026</v>
      </c>
      <c r="R12" s="22">
        <f si="9" t="shared"/>
        <v>1111285.5466877948</v>
      </c>
      <c r="S12" s="22">
        <f si="9" t="shared"/>
        <v>6014370.9859224148</v>
      </c>
      <c r="U12" s="21" t="s">
        <v>221</v>
      </c>
      <c r="V12" s="22">
        <f si="7" t="shared"/>
        <v>-28363.108018677915</v>
      </c>
      <c r="W12" s="22">
        <f si="0" t="shared"/>
        <v>-46063.498593060416</v>
      </c>
      <c r="X12" s="22">
        <f si="1" t="shared"/>
        <v>-1851.9235283801099</v>
      </c>
      <c r="Y12" s="22">
        <f si="2" t="shared"/>
        <v>-10730.307108426117</v>
      </c>
      <c r="Z12" s="22">
        <f si="3" t="shared"/>
        <v>-7628.1782912436174</v>
      </c>
      <c r="AA12" s="22">
        <f si="4" t="shared"/>
        <v>6630.1557258122484</v>
      </c>
      <c r="AB12" s="22">
        <f si="5" t="shared"/>
        <v>1060.1240480646957</v>
      </c>
      <c r="AC12" s="22">
        <f si="6" t="shared"/>
        <v>-86946.735765911639</v>
      </c>
    </row>
    <row r="15" spans="1:29" x14ac:dyDescent="0.2">
      <c r="A15" s="2" t="s">
        <v>175</v>
      </c>
      <c r="K15" s="2" t="s">
        <v>175</v>
      </c>
      <c r="U15" s="2" t="s">
        <v>175</v>
      </c>
    </row>
    <row r="16" spans="1:29" x14ac:dyDescent="0.2">
      <c r="A16" s="2" t="s">
        <v>102</v>
      </c>
      <c r="K16" s="2" t="s">
        <v>0</v>
      </c>
      <c r="U16" s="2" t="s">
        <v>293</v>
      </c>
    </row>
    <row ht="13.5" r="17" spans="1:29" thickBot="1" x14ac:dyDescent="0.25"/>
    <row r="18" spans="1:29" x14ac:dyDescent="0.2">
      <c r="A18" s="5" t="s">
        <v>248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221</v>
      </c>
      <c r="K18" s="5" t="s">
        <v>248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221</v>
      </c>
      <c r="U18" s="5" t="s">
        <v>248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221</v>
      </c>
    </row>
    <row r="19" spans="1:29" x14ac:dyDescent="0.2">
      <c r="A19" s="18">
        <v>0</v>
      </c>
      <c r="B19" s="12">
        <f ref="B19:I24" si="10" t="shared">B5/B$12</f>
        <v>0</v>
      </c>
      <c r="C19" s="12">
        <f si="10" t="shared"/>
        <v>0</v>
      </c>
      <c r="D19" s="12">
        <f si="10" t="shared"/>
        <v>0</v>
      </c>
      <c r="E19" s="12">
        <f si="10" t="shared"/>
        <v>0</v>
      </c>
      <c r="F19" s="12">
        <f si="10" t="shared"/>
        <v>0</v>
      </c>
      <c r="G19" s="12">
        <f si="10" t="shared"/>
        <v>0</v>
      </c>
      <c r="H19" s="12">
        <f si="10" t="shared"/>
        <v>0</v>
      </c>
      <c r="I19" s="12">
        <f si="10" t="shared"/>
        <v>0</v>
      </c>
      <c r="K19" s="18">
        <v>0</v>
      </c>
      <c r="L19" s="12">
        <f>L5/L$12</f>
        <v>0.34400464288726246</v>
      </c>
      <c r="M19" s="12">
        <f ref="M19:S19" si="11" t="shared">M5/M$12</f>
        <v>0.55532717564358891</v>
      </c>
      <c r="N19" s="12">
        <f si="11" t="shared"/>
        <v>0.50231218229948627</v>
      </c>
      <c r="O19" s="12">
        <f si="11" t="shared"/>
        <v>0.58785079430251763</v>
      </c>
      <c r="P19" s="12">
        <f si="11" t="shared"/>
        <v>0.62376103378543046</v>
      </c>
      <c r="Q19" s="12">
        <f si="11" t="shared"/>
        <v>0.71862670071475521</v>
      </c>
      <c r="R19" s="12">
        <f si="11" t="shared"/>
        <v>0.71606786033473702</v>
      </c>
      <c r="S19" s="12">
        <f si="11" t="shared"/>
        <v>0.53881421986706046</v>
      </c>
      <c r="U19" s="18">
        <v>0</v>
      </c>
      <c r="V19" s="12">
        <f ref="V19:AA26" si="12" t="shared">L19-B19</f>
        <v>0.34400464288726246</v>
      </c>
      <c r="W19" s="12">
        <f si="12" t="shared"/>
        <v>0.55532717564358891</v>
      </c>
      <c r="X19" s="12">
        <f si="12" t="shared"/>
        <v>0.50231218229948627</v>
      </c>
      <c r="Y19" s="12">
        <f si="12" t="shared"/>
        <v>0.58785079430251763</v>
      </c>
      <c r="Z19" s="12">
        <f si="12" t="shared"/>
        <v>0.62376103378543046</v>
      </c>
      <c r="AA19" s="12">
        <f si="12" t="shared"/>
        <v>0.71862670071475521</v>
      </c>
      <c r="AB19" s="12">
        <f ref="AB19:AB26" si="13" t="shared">R19-H19</f>
        <v>0.71606786033473702</v>
      </c>
      <c r="AC19" s="12">
        <f ref="AC19:AC26" si="14" t="shared">S19-I19</f>
        <v>0.53881421986706046</v>
      </c>
    </row>
    <row r="20" spans="1:29" x14ac:dyDescent="0.2">
      <c r="A20" s="18">
        <v>1</v>
      </c>
      <c r="B20" s="12">
        <f si="10" t="shared"/>
        <v>0</v>
      </c>
      <c r="C20" s="12">
        <f si="10" t="shared"/>
        <v>0</v>
      </c>
      <c r="D20" s="12">
        <f si="10" t="shared"/>
        <v>0</v>
      </c>
      <c r="E20" s="12">
        <f si="10" t="shared"/>
        <v>0</v>
      </c>
      <c r="F20" s="12">
        <f si="10" t="shared"/>
        <v>0</v>
      </c>
      <c r="G20" s="12">
        <f si="10" t="shared"/>
        <v>0</v>
      </c>
      <c r="H20" s="12">
        <f si="10" t="shared"/>
        <v>0</v>
      </c>
      <c r="I20" s="12">
        <f si="10" t="shared"/>
        <v>0</v>
      </c>
      <c r="K20" s="18">
        <v>1</v>
      </c>
      <c r="L20" s="12">
        <f ref="L20:S20" si="15" t="shared">L6/L$12</f>
        <v>0.31473580594707629</v>
      </c>
      <c r="M20" s="12">
        <f si="15" t="shared"/>
        <v>0.27723060411952821</v>
      </c>
      <c r="N20" s="12">
        <f si="15" t="shared"/>
        <v>0.30893786878613955</v>
      </c>
      <c r="O20" s="12">
        <f si="15" t="shared"/>
        <v>0.27129794928624196</v>
      </c>
      <c r="P20" s="12">
        <f si="15" t="shared"/>
        <v>0.25164063579132817</v>
      </c>
      <c r="Q20" s="12">
        <f si="15" t="shared"/>
        <v>0.20186833288725492</v>
      </c>
      <c r="R20" s="12">
        <f si="15" t="shared"/>
        <v>0.21449073249131781</v>
      </c>
      <c r="S20" s="12">
        <f si="15" t="shared"/>
        <v>0.27223369611000359</v>
      </c>
      <c r="U20" s="18">
        <v>1</v>
      </c>
      <c r="V20" s="12">
        <f si="12" t="shared"/>
        <v>0.31473580594707629</v>
      </c>
      <c r="W20" s="12">
        <f si="12" t="shared"/>
        <v>0.27723060411952821</v>
      </c>
      <c r="X20" s="12">
        <f si="12" t="shared"/>
        <v>0.30893786878613955</v>
      </c>
      <c r="Y20" s="12">
        <f si="12" t="shared"/>
        <v>0.27129794928624196</v>
      </c>
      <c r="Z20" s="12">
        <f si="12" t="shared"/>
        <v>0.25164063579132817</v>
      </c>
      <c r="AA20" s="12">
        <f si="12" t="shared"/>
        <v>0.20186833288725492</v>
      </c>
      <c r="AB20" s="12">
        <f si="13" t="shared"/>
        <v>0.21449073249131781</v>
      </c>
      <c r="AC20" s="12">
        <f si="14" t="shared"/>
        <v>0.27223369611000359</v>
      </c>
    </row>
    <row r="21" spans="1:29" x14ac:dyDescent="0.2">
      <c r="A21" s="19">
        <v>2</v>
      </c>
      <c r="B21" s="12">
        <f si="10" t="shared"/>
        <v>0.4817646041240472</v>
      </c>
      <c r="C21" s="12">
        <f si="10" t="shared"/>
        <v>0.68956095558726993</v>
      </c>
      <c r="D21" s="12">
        <f si="10" t="shared"/>
        <v>0.56061850649558187</v>
      </c>
      <c r="E21" s="12">
        <f si="10" t="shared"/>
        <v>0.66722271860494242</v>
      </c>
      <c r="F21" s="12">
        <f si="10" t="shared"/>
        <v>0.56200958069769469</v>
      </c>
      <c r="G21" s="12">
        <f si="10" t="shared"/>
        <v>0.72112163005514252</v>
      </c>
      <c r="H21" s="12">
        <f si="10" t="shared"/>
        <v>0.73649412065219511</v>
      </c>
      <c r="I21" s="12">
        <f si="10" t="shared"/>
        <v>0.60792842205053255</v>
      </c>
      <c r="K21" s="19">
        <v>2</v>
      </c>
      <c r="L21" s="12">
        <f ref="L21:S21" si="16" t="shared">L7/L$12</f>
        <v>0.19159403288040522</v>
      </c>
      <c r="M21" s="12">
        <f si="16" t="shared"/>
        <v>0.11870992599980425</v>
      </c>
      <c r="N21" s="12">
        <f si="16" t="shared"/>
        <v>0.12854410009237172</v>
      </c>
      <c r="O21" s="12">
        <f si="16" t="shared"/>
        <v>0.10065298284945363</v>
      </c>
      <c r="P21" s="12">
        <f si="16" t="shared"/>
        <v>8.9151787128745191E-2</v>
      </c>
      <c r="Q21" s="12">
        <f si="16" t="shared"/>
        <v>5.8728426272458674E-2</v>
      </c>
      <c r="R21" s="12">
        <f si="16" t="shared"/>
        <v>5.4121291941123424E-2</v>
      </c>
      <c r="S21" s="12">
        <f si="16" t="shared"/>
        <v>0.12007241956893676</v>
      </c>
      <c r="U21" s="19">
        <v>2</v>
      </c>
      <c r="V21" s="12">
        <f si="12" t="shared"/>
        <v>-0.29017057124364198</v>
      </c>
      <c r="W21" s="12">
        <f si="12" t="shared"/>
        <v>-0.5708510295874657</v>
      </c>
      <c r="X21" s="12">
        <f si="12" t="shared"/>
        <v>-0.43207440640321015</v>
      </c>
      <c r="Y21" s="12">
        <f si="12" t="shared"/>
        <v>-0.56656973575548875</v>
      </c>
      <c r="Z21" s="12">
        <f si="12" t="shared"/>
        <v>-0.47285779356894952</v>
      </c>
      <c r="AA21" s="12">
        <f si="12" t="shared"/>
        <v>-0.66239320378268385</v>
      </c>
      <c r="AB21" s="12">
        <f si="13" t="shared"/>
        <v>-0.68237282871107163</v>
      </c>
      <c r="AC21" s="12">
        <f si="14" t="shared"/>
        <v>-0.48785600248159577</v>
      </c>
    </row>
    <row r="22" spans="1:29" x14ac:dyDescent="0.2">
      <c r="A22" s="20">
        <v>3</v>
      </c>
      <c r="B22" s="12">
        <f si="10" t="shared"/>
        <v>0</v>
      </c>
      <c r="C22" s="12">
        <f si="10" t="shared"/>
        <v>0</v>
      </c>
      <c r="D22" s="12">
        <f si="10" t="shared"/>
        <v>0</v>
      </c>
      <c r="E22" s="12">
        <f si="10" t="shared"/>
        <v>0</v>
      </c>
      <c r="F22" s="12">
        <f si="10" t="shared"/>
        <v>0</v>
      </c>
      <c r="G22" s="12">
        <f si="10" t="shared"/>
        <v>0</v>
      </c>
      <c r="H22" s="12">
        <f si="10" t="shared"/>
        <v>0</v>
      </c>
      <c r="I22" s="12">
        <f si="10" t="shared"/>
        <v>0</v>
      </c>
      <c r="K22" s="20">
        <v>3</v>
      </c>
      <c r="L22" s="12">
        <f ref="L22:S22" si="17" t="shared">L8/L$12</f>
        <v>8.5045205945190869E-2</v>
      </c>
      <c r="M22" s="12">
        <f si="17" t="shared"/>
        <v>3.5381288463891172E-2</v>
      </c>
      <c r="N22" s="12">
        <f si="17" t="shared"/>
        <v>4.2201895463734006E-2</v>
      </c>
      <c r="O22" s="12">
        <f si="17" t="shared"/>
        <v>3.0274516045457986E-2</v>
      </c>
      <c r="P22" s="12">
        <f si="17" t="shared"/>
        <v>2.5943985571865266E-2</v>
      </c>
      <c r="Q22" s="12">
        <f si="17" t="shared"/>
        <v>1.5056087756058222E-2</v>
      </c>
      <c r="R22" s="12">
        <f si="17" t="shared"/>
        <v>1.1797621576460575E-2</v>
      </c>
      <c r="S22" s="12">
        <f si="17" t="shared"/>
        <v>4.3306722679223593E-2</v>
      </c>
      <c r="U22" s="20">
        <v>3</v>
      </c>
      <c r="V22" s="12">
        <f si="12" t="shared"/>
        <v>8.5045205945190869E-2</v>
      </c>
      <c r="W22" s="12">
        <f si="12" t="shared"/>
        <v>3.5381288463891172E-2</v>
      </c>
      <c r="X22" s="12">
        <f si="12" t="shared"/>
        <v>4.2201895463734006E-2</v>
      </c>
      <c r="Y22" s="12">
        <f si="12" t="shared"/>
        <v>3.0274516045457986E-2</v>
      </c>
      <c r="Z22" s="12">
        <f si="12" t="shared"/>
        <v>2.5943985571865266E-2</v>
      </c>
      <c r="AA22" s="12">
        <f si="12" t="shared"/>
        <v>1.5056087756058222E-2</v>
      </c>
      <c r="AB22" s="12">
        <f si="13" t="shared"/>
        <v>1.1797621576460575E-2</v>
      </c>
      <c r="AC22" s="12">
        <f si="14" t="shared"/>
        <v>4.3306722679223593E-2</v>
      </c>
    </row>
    <row r="23" spans="1:29" x14ac:dyDescent="0.2">
      <c r="A23" s="20">
        <v>4</v>
      </c>
      <c r="B23" s="12">
        <f si="10" t="shared"/>
        <v>0.23620951710796731</v>
      </c>
      <c r="C23" s="12">
        <f si="10" t="shared"/>
        <v>0.15196299529100429</v>
      </c>
      <c r="D23" s="12">
        <f si="10" t="shared"/>
        <v>0.16715805584829627</v>
      </c>
      <c r="E23" s="12">
        <f si="10" t="shared"/>
        <v>0.16660836848815941</v>
      </c>
      <c r="F23" s="12">
        <f si="10" t="shared"/>
        <v>0.23064022469254924</v>
      </c>
      <c r="G23" s="12">
        <f si="10" t="shared"/>
        <v>0.13779479055313926</v>
      </c>
      <c r="H23" s="12">
        <f si="10" t="shared"/>
        <v>0.16230067538401763</v>
      </c>
      <c r="I23" s="12">
        <f si="10" t="shared"/>
        <v>0.190229457280748</v>
      </c>
      <c r="K23" s="20">
        <v>4</v>
      </c>
      <c r="L23" s="12">
        <f ref="L23:S23" si="18" t="shared">L9/L$12</f>
        <v>3.6008120021276818E-2</v>
      </c>
      <c r="M23" s="12">
        <f si="18" t="shared"/>
        <v>9.5522981181703926E-3</v>
      </c>
      <c r="N23" s="12">
        <f si="18" t="shared"/>
        <v>1.3003954713027462E-2</v>
      </c>
      <c r="O23" s="12">
        <f si="18" t="shared"/>
        <v>7.7991066067691229E-3</v>
      </c>
      <c r="P23" s="12">
        <f si="18" t="shared"/>
        <v>7.149043178305255E-3</v>
      </c>
      <c r="Q23" s="12">
        <f si="18" t="shared"/>
        <v>4.5050258384623787E-3</v>
      </c>
      <c r="R23" s="12">
        <f si="18" t="shared"/>
        <v>2.7589897960798838E-3</v>
      </c>
      <c r="S23" s="12">
        <f si="18" t="shared"/>
        <v>1.5549509759971979E-2</v>
      </c>
      <c r="U23" s="20">
        <v>4</v>
      </c>
      <c r="V23" s="12">
        <f si="12" t="shared"/>
        <v>-0.20020139708669049</v>
      </c>
      <c r="W23" s="12">
        <f si="12" t="shared"/>
        <v>-0.14241069717283389</v>
      </c>
      <c r="X23" s="12">
        <f si="12" t="shared"/>
        <v>-0.15415410113526881</v>
      </c>
      <c r="Y23" s="12">
        <f si="12" t="shared"/>
        <v>-0.15880926188139027</v>
      </c>
      <c r="Z23" s="12">
        <f si="12" t="shared"/>
        <v>-0.22349118151424399</v>
      </c>
      <c r="AA23" s="12">
        <f si="12" t="shared"/>
        <v>-0.13328976471467688</v>
      </c>
      <c r="AB23" s="12">
        <f si="13" t="shared"/>
        <v>-0.15954168558793774</v>
      </c>
      <c r="AC23" s="12">
        <f si="14" t="shared"/>
        <v>-0.17467994752077601</v>
      </c>
    </row>
    <row r="24" spans="1:29" x14ac:dyDescent="0.2">
      <c r="A24" s="20">
        <v>5</v>
      </c>
      <c r="B24" s="12">
        <f si="10" t="shared"/>
        <v>0</v>
      </c>
      <c r="C24" s="12">
        <f si="10" t="shared"/>
        <v>0</v>
      </c>
      <c r="D24" s="12">
        <f si="10" t="shared"/>
        <v>0</v>
      </c>
      <c r="E24" s="12">
        <f si="10" t="shared"/>
        <v>0</v>
      </c>
      <c r="F24" s="12">
        <f si="10" t="shared"/>
        <v>0</v>
      </c>
      <c r="G24" s="12">
        <f si="10" t="shared"/>
        <v>0</v>
      </c>
      <c r="H24" s="12">
        <f si="10" t="shared"/>
        <v>0</v>
      </c>
      <c r="I24" s="12">
        <f si="10" t="shared"/>
        <v>0</v>
      </c>
      <c r="K24" s="20">
        <v>5</v>
      </c>
      <c r="L24" s="12">
        <f ref="L24:S24" si="19" t="shared">L10/L$12</f>
        <v>1.418940659844618E-2</v>
      </c>
      <c r="M24" s="12">
        <f si="19" t="shared"/>
        <v>2.5852090917601847E-3</v>
      </c>
      <c r="N24" s="12">
        <f si="19" t="shared"/>
        <v>3.4373588777998464E-3</v>
      </c>
      <c r="O24" s="12">
        <f si="19" t="shared"/>
        <v>1.683207503940205E-3</v>
      </c>
      <c r="P24" s="12">
        <f si="19" t="shared"/>
        <v>1.9251600908411679E-3</v>
      </c>
      <c r="Q24" s="12">
        <f si="19" t="shared"/>
        <v>8.2423954161275307E-4</v>
      </c>
      <c r="R24" s="12">
        <f si="19" t="shared"/>
        <v>6.6144909647713741E-4</v>
      </c>
      <c r="S24" s="12">
        <f si="19" t="shared"/>
        <v>5.3933618595392949E-3</v>
      </c>
      <c r="U24" s="20">
        <v>5</v>
      </c>
      <c r="V24" s="12">
        <f si="12" t="shared"/>
        <v>1.418940659844618E-2</v>
      </c>
      <c r="W24" s="12">
        <f si="12" t="shared"/>
        <v>2.5852090917601847E-3</v>
      </c>
      <c r="X24" s="12">
        <f si="12" t="shared"/>
        <v>3.4373588777998464E-3</v>
      </c>
      <c r="Y24" s="12">
        <f si="12" t="shared"/>
        <v>1.683207503940205E-3</v>
      </c>
      <c r="Z24" s="12">
        <f si="12" t="shared"/>
        <v>1.9251600908411679E-3</v>
      </c>
      <c r="AA24" s="12">
        <f si="12" t="shared"/>
        <v>8.2423954161275307E-4</v>
      </c>
      <c r="AB24" s="12">
        <f si="13" t="shared"/>
        <v>6.6144909647713741E-4</v>
      </c>
      <c r="AC24" s="12">
        <f si="14" t="shared"/>
        <v>5.3933618595392949E-3</v>
      </c>
    </row>
    <row r="25" spans="1:29" x14ac:dyDescent="0.2">
      <c r="A25" s="3" t="s">
        <v>209</v>
      </c>
      <c r="B25" s="13">
        <f ref="B25:I25" si="20" t="shared">B11/B$12</f>
        <v>0.28202587876798541</v>
      </c>
      <c r="C25" s="13">
        <f si="20" t="shared"/>
        <v>0.15847604912172589</v>
      </c>
      <c r="D25" s="13">
        <f si="20" t="shared"/>
        <v>0.27222343765612178</v>
      </c>
      <c r="E25" s="13">
        <f si="20" t="shared"/>
        <v>0.16616891290689809</v>
      </c>
      <c r="F25" s="13">
        <f si="20" t="shared"/>
        <v>0.20735019460975604</v>
      </c>
      <c r="G25" s="13">
        <f si="20" t="shared"/>
        <v>0.14108357939171839</v>
      </c>
      <c r="H25" s="13">
        <f si="20" t="shared"/>
        <v>0.10120520396378735</v>
      </c>
      <c r="I25" s="13">
        <f si="20" t="shared"/>
        <v>0.20184212066871951</v>
      </c>
      <c r="K25" s="3" t="s">
        <v>209</v>
      </c>
      <c r="L25" s="13">
        <f ref="L25:S25" si="21" t="shared">L11/L$12</f>
        <v>1.4422785720342127E-2</v>
      </c>
      <c r="M25" s="13">
        <f si="21" t="shared"/>
        <v>1.2134985632568276E-3</v>
      </c>
      <c r="N25" s="13">
        <f si="21" t="shared"/>
        <v>1.5626397674410669E-3</v>
      </c>
      <c r="O25" s="13">
        <f si="21" t="shared"/>
        <v>4.4144340561927436E-4</v>
      </c>
      <c r="P25" s="13">
        <f si="21" t="shared"/>
        <v>4.2835445348443689E-4</v>
      </c>
      <c r="Q25" s="13">
        <f si="21" t="shared"/>
        <v>3.9118698939780551E-4</v>
      </c>
      <c r="R25" s="13">
        <f si="21" t="shared"/>
        <v>1.0205476380421002E-4</v>
      </c>
      <c r="S25" s="13">
        <f si="21" t="shared"/>
        <v>4.6300701552643968E-3</v>
      </c>
      <c r="U25" s="3" t="s">
        <v>209</v>
      </c>
      <c r="V25" s="12">
        <f si="12" t="shared"/>
        <v>-0.26760309304764329</v>
      </c>
      <c r="W25" s="12">
        <f si="12" t="shared"/>
        <v>-0.15726255055846905</v>
      </c>
      <c r="X25" s="12">
        <f si="12" t="shared"/>
        <v>-0.27066079788868069</v>
      </c>
      <c r="Y25" s="12">
        <f si="12" t="shared"/>
        <v>-0.16572746950127881</v>
      </c>
      <c r="Z25" s="12">
        <f si="12" t="shared"/>
        <v>-0.2069218401562716</v>
      </c>
      <c r="AA25" s="12">
        <f si="12" t="shared"/>
        <v>-0.14069239240232059</v>
      </c>
      <c r="AB25" s="12">
        <f si="13" t="shared"/>
        <v>-0.10110314919998314</v>
      </c>
      <c r="AC25" s="12">
        <f si="14" t="shared"/>
        <v>-0.19721205051345511</v>
      </c>
    </row>
    <row ht="13.5" r="26" spans="1:29" thickBot="1" x14ac:dyDescent="0.25">
      <c r="A26" s="21" t="s">
        <v>221</v>
      </c>
      <c r="B26" s="17">
        <f ref="B26:I26" si="22" t="shared">B12/B$12</f>
        <v>1</v>
      </c>
      <c r="C26" s="17">
        <f si="22" t="shared"/>
        <v>1</v>
      </c>
      <c r="D26" s="17">
        <f si="22" t="shared"/>
        <v>1</v>
      </c>
      <c r="E26" s="17">
        <f si="22" t="shared"/>
        <v>1</v>
      </c>
      <c r="F26" s="17">
        <f si="22" t="shared"/>
        <v>1</v>
      </c>
      <c r="G26" s="17">
        <f si="22" t="shared"/>
        <v>1</v>
      </c>
      <c r="H26" s="17">
        <f si="22" t="shared"/>
        <v>1</v>
      </c>
      <c r="I26" s="17">
        <f si="22" t="shared"/>
        <v>1</v>
      </c>
      <c r="K26" s="21" t="s">
        <v>221</v>
      </c>
      <c r="L26" s="17">
        <f ref="L26:S26" si="23" t="shared">L12/L$12</f>
        <v>1</v>
      </c>
      <c r="M26" s="17">
        <f si="23" t="shared"/>
        <v>1</v>
      </c>
      <c r="N26" s="17">
        <f si="23" t="shared"/>
        <v>1</v>
      </c>
      <c r="O26" s="17">
        <f si="23" t="shared"/>
        <v>1</v>
      </c>
      <c r="P26" s="17">
        <f si="23" t="shared"/>
        <v>1</v>
      </c>
      <c r="Q26" s="17">
        <f si="23" t="shared"/>
        <v>1</v>
      </c>
      <c r="R26" s="17">
        <f si="23" t="shared"/>
        <v>1</v>
      </c>
      <c r="S26" s="17">
        <f si="23" t="shared"/>
        <v>1</v>
      </c>
      <c r="U26" s="21" t="s">
        <v>221</v>
      </c>
      <c r="V26" s="14">
        <f si="12" t="shared"/>
        <v>0</v>
      </c>
      <c r="W26" s="14">
        <f si="12" t="shared"/>
        <v>0</v>
      </c>
      <c r="X26" s="14">
        <f si="12" t="shared"/>
        <v>0</v>
      </c>
      <c r="Y26" s="14">
        <f si="12" t="shared"/>
        <v>0</v>
      </c>
      <c r="Z26" s="14">
        <f si="12" t="shared"/>
        <v>0</v>
      </c>
      <c r="AA26" s="14">
        <f si="12" t="shared"/>
        <v>0</v>
      </c>
      <c r="AB26" s="14">
        <f si="13" t="shared"/>
        <v>0</v>
      </c>
      <c r="AC26" s="14">
        <f si="14" t="shared"/>
        <v>0</v>
      </c>
    </row>
    <row r="31" spans="1:29" x14ac:dyDescent="0.2">
      <c r="A31" s="2" t="s">
        <v>175</v>
      </c>
      <c r="K31" s="2" t="s">
        <v>175</v>
      </c>
      <c r="U31" s="2" t="s">
        <v>175</v>
      </c>
    </row>
    <row r="32" spans="1:29" x14ac:dyDescent="0.2">
      <c r="A32" s="2" t="s">
        <v>103</v>
      </c>
      <c r="K32" s="2" t="s">
        <v>187</v>
      </c>
      <c r="U32" s="2" t="s">
        <v>270</v>
      </c>
    </row>
    <row ht="13.5" r="33" spans="1:29" thickBot="1" x14ac:dyDescent="0.25"/>
    <row r="34" spans="1:29" x14ac:dyDescent="0.2">
      <c r="A34" s="5" t="s">
        <v>248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221</v>
      </c>
      <c r="K34" s="5" t="s">
        <v>248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221</v>
      </c>
      <c r="U34" s="5" t="s">
        <v>248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221</v>
      </c>
    </row>
    <row r="35" spans="1:29" x14ac:dyDescent="0.2">
      <c r="A35" s="18">
        <v>0</v>
      </c>
      <c r="B35" s="7">
        <f>output_NHTS!B158</f>
        <v>0</v>
      </c>
      <c r="C35" s="7">
        <f>output_NHTS!C158</f>
        <v>0</v>
      </c>
      <c r="D35" s="7">
        <f>output_NHTS!D158</f>
        <v>0</v>
      </c>
      <c r="E35" s="7">
        <f>output_NHTS!E158</f>
        <v>0</v>
      </c>
      <c r="F35" s="7">
        <f>output_NHTS!F158</f>
        <v>0</v>
      </c>
      <c r="G35" s="7">
        <f>output_NHTS!G158</f>
        <v>0</v>
      </c>
      <c r="H35" s="7">
        <f>output_NHTS!H158</f>
        <v>0</v>
      </c>
      <c r="I35" s="7">
        <f>output_NHTS!I158</f>
        <v>0</v>
      </c>
      <c r="K35" s="18">
        <v>0</v>
      </c>
      <c r="L35" s="7">
        <f>output!B158</f>
        <v>1214454.769506925</v>
      </c>
      <c r="M35" s="7">
        <f>output!C158</f>
        <v>633787.71997464099</v>
      </c>
      <c r="N35" s="7">
        <f>output!D158</f>
        <v>489390.98139729991</v>
      </c>
      <c r="O35" s="7">
        <f>output!E158</f>
        <v>579407.02241111733</v>
      </c>
      <c r="P35" s="7">
        <f>output!F158</f>
        <v>580560.58284133289</v>
      </c>
      <c r="Q35" s="7">
        <f>output!G158</f>
        <v>268731.81436633255</v>
      </c>
      <c r="R35" s="7">
        <f>output!H158</f>
        <v>969440.02580220765</v>
      </c>
      <c r="S35" s="7">
        <f>output!I158</f>
        <v>4735772.9162998572</v>
      </c>
      <c r="U35" s="18">
        <v>0</v>
      </c>
      <c r="V35" s="7">
        <f ref="V35:AA42" si="24" t="shared">L35-B35</f>
        <v>1214454.769506925</v>
      </c>
      <c r="W35" s="7">
        <f si="24" t="shared"/>
        <v>633787.71997464099</v>
      </c>
      <c r="X35" s="7">
        <f si="24" t="shared"/>
        <v>489390.98139729991</v>
      </c>
      <c r="Y35" s="7">
        <f si="24" t="shared"/>
        <v>579407.02241111733</v>
      </c>
      <c r="Z35" s="7">
        <f si="24" t="shared"/>
        <v>580560.58284133289</v>
      </c>
      <c r="AA35" s="7">
        <f si="24" t="shared"/>
        <v>268731.81436633255</v>
      </c>
      <c r="AB35" s="7">
        <f ref="AB35:AB42" si="25" t="shared">R35-H35</f>
        <v>969440.02580220765</v>
      </c>
      <c r="AC35" s="7">
        <f ref="AC35:AC42" si="26" t="shared">S35-I35</f>
        <v>4735772.9162998572</v>
      </c>
    </row>
    <row r="36" spans="1:29" x14ac:dyDescent="0.2">
      <c r="A36" s="18">
        <v>1</v>
      </c>
      <c r="B36" s="7">
        <f>output_NHTS!B159</f>
        <v>1353578.9766182671</v>
      </c>
      <c r="C36" s="7">
        <f>output_NHTS!C159</f>
        <v>723621.18630806101</v>
      </c>
      <c r="D36" s="7">
        <f>output_NHTS!D159</f>
        <v>532627.96633201651</v>
      </c>
      <c r="E36" s="7">
        <f>output_NHTS!E159</f>
        <v>649573.33830771246</v>
      </c>
      <c r="F36" s="7">
        <f>output_NHTS!F159</f>
        <v>531670.63336025469</v>
      </c>
      <c r="G36" s="7">
        <f>output_NHTS!G159</f>
        <v>254894.64656995289</v>
      </c>
      <c r="H36" s="7">
        <f>output_NHTS!H159</f>
        <v>954490.24112322112</v>
      </c>
      <c r="I36" s="7">
        <f>output_NHTS!I159</f>
        <v>5000456.9886194859</v>
      </c>
      <c r="K36" s="18">
        <v>1</v>
      </c>
      <c r="L36" s="7">
        <f>output!B159</f>
        <v>382249.25143907563</v>
      </c>
      <c r="M36" s="7">
        <f>output!C159</f>
        <v>102939.34524540626</v>
      </c>
      <c r="N36" s="7">
        <f>output!D159</f>
        <v>126278.02510524368</v>
      </c>
      <c r="O36" s="7">
        <f>output!E159</f>
        <v>115270.35730018</v>
      </c>
      <c r="P36" s="7">
        <f>output!F159</f>
        <v>106474.56146538937</v>
      </c>
      <c r="Q36" s="7">
        <f>output!G159</f>
        <v>35171.705287116354</v>
      </c>
      <c r="R36" s="7">
        <f>output!H159</f>
        <v>120399.68246304382</v>
      </c>
      <c r="S36" s="7">
        <f>output!I159</f>
        <v>988782.92830545513</v>
      </c>
      <c r="U36" s="18">
        <v>1</v>
      </c>
      <c r="V36" s="7">
        <f si="24" t="shared"/>
        <v>-971329.72517919145</v>
      </c>
      <c r="W36" s="7">
        <f si="24" t="shared"/>
        <v>-620681.84106265474</v>
      </c>
      <c r="X36" s="7">
        <f si="24" t="shared"/>
        <v>-406349.94122677285</v>
      </c>
      <c r="Y36" s="7">
        <f si="24" t="shared"/>
        <v>-534302.98100753245</v>
      </c>
      <c r="Z36" s="7">
        <f si="24" t="shared"/>
        <v>-425196.07189486531</v>
      </c>
      <c r="AA36" s="7">
        <f si="24" t="shared"/>
        <v>-219722.94128283655</v>
      </c>
      <c r="AB36" s="7">
        <f si="25" t="shared"/>
        <v>-834090.55866017728</v>
      </c>
      <c r="AC36" s="7">
        <f si="26" t="shared"/>
        <v>-4011674.0603140309</v>
      </c>
    </row>
    <row r="37" spans="1:29" x14ac:dyDescent="0.2">
      <c r="A37" s="19">
        <v>2</v>
      </c>
      <c r="B37" s="7">
        <f>output_NHTS!B160</f>
        <v>0</v>
      </c>
      <c r="C37" s="7">
        <f>output_NHTS!C160</f>
        <v>0</v>
      </c>
      <c r="D37" s="7">
        <f>output_NHTS!D160</f>
        <v>0</v>
      </c>
      <c r="E37" s="7">
        <f>output_NHTS!E160</f>
        <v>0</v>
      </c>
      <c r="F37" s="7">
        <f>output_NHTS!F160</f>
        <v>0</v>
      </c>
      <c r="G37" s="7">
        <f>output_NHTS!G160</f>
        <v>0</v>
      </c>
      <c r="H37" s="7">
        <f>output_NHTS!H160</f>
        <v>0</v>
      </c>
      <c r="I37" s="7">
        <f>output_NHTS!I160</f>
        <v>0</v>
      </c>
      <c r="K37" s="19">
        <v>2</v>
      </c>
      <c r="L37" s="7">
        <f>output!B160</f>
        <v>96453.921266437494</v>
      </c>
      <c r="M37" s="7">
        <f>output!C160</f>
        <v>18769.539892024888</v>
      </c>
      <c r="N37" s="7">
        <f>output!D160</f>
        <v>28943.870767130447</v>
      </c>
      <c r="O37" s="7">
        <f>output!E160</f>
        <v>25857.148450690365</v>
      </c>
      <c r="P37" s="7">
        <f>output!F160</f>
        <v>22666.707180952468</v>
      </c>
      <c r="Q37" s="7">
        <f>output!G160</f>
        <v>6500.2699425275741</v>
      </c>
      <c r="R37" s="7">
        <f>output!H160</f>
        <v>17864.222821609615</v>
      </c>
      <c r="S37" s="7">
        <f>output!I160</f>
        <v>217055.68032137284</v>
      </c>
      <c r="U37" s="19">
        <v>2</v>
      </c>
      <c r="V37" s="7">
        <f si="24" t="shared"/>
        <v>96453.921266437494</v>
      </c>
      <c r="W37" s="7">
        <f si="24" t="shared"/>
        <v>18769.539892024888</v>
      </c>
      <c r="X37" s="7">
        <f si="24" t="shared"/>
        <v>28943.870767130447</v>
      </c>
      <c r="Y37" s="7">
        <f si="24" t="shared"/>
        <v>25857.148450690365</v>
      </c>
      <c r="Z37" s="7">
        <f si="24" t="shared"/>
        <v>22666.707180952468</v>
      </c>
      <c r="AA37" s="7">
        <f si="24" t="shared"/>
        <v>6500.2699425275741</v>
      </c>
      <c r="AB37" s="7">
        <f si="25" t="shared"/>
        <v>17864.222821609615</v>
      </c>
      <c r="AC37" s="7">
        <f si="26" t="shared"/>
        <v>217055.68032137284</v>
      </c>
    </row>
    <row r="38" spans="1:29" x14ac:dyDescent="0.2">
      <c r="A38" s="20">
        <v>3</v>
      </c>
      <c r="B38" s="7">
        <f>output_NHTS!B161</f>
        <v>310379.47150553821</v>
      </c>
      <c r="C38" s="7">
        <f>output_NHTS!C161</f>
        <v>63714.479996736503</v>
      </c>
      <c r="D38" s="7">
        <f>output_NHTS!D161</f>
        <v>63416.685790107404</v>
      </c>
      <c r="E38" s="7">
        <f>output_NHTS!E161</f>
        <v>58920.351676455197</v>
      </c>
      <c r="F38" s="7">
        <f>output_NHTS!F161</f>
        <v>130711.6812053507</v>
      </c>
      <c r="G38" s="7">
        <f>output_NHTS!G161</f>
        <v>28293.553434978101</v>
      </c>
      <c r="H38" s="7">
        <f>output_NHTS!H161</f>
        <v>116031.5814928582</v>
      </c>
      <c r="I38" s="7">
        <f>output_NHTS!I161</f>
        <v>771467.80510202434</v>
      </c>
      <c r="K38" s="20">
        <v>3</v>
      </c>
      <c r="L38" s="7">
        <f>output!B161</f>
        <v>25690.825841373968</v>
      </c>
      <c r="M38" s="7">
        <f>output!C161</f>
        <v>3105.0394938345876</v>
      </c>
      <c r="N38" s="7">
        <f>output!D161</f>
        <v>5637.3394134899372</v>
      </c>
      <c r="O38" s="7">
        <f>output!E161</f>
        <v>5162.0178594015779</v>
      </c>
      <c r="P38" s="7">
        <f>output!F161</f>
        <v>4641.8179570291259</v>
      </c>
      <c r="Q38" s="7">
        <f>output!G161</f>
        <v>1152.5927145260528</v>
      </c>
      <c r="R38" s="7">
        <f>output!H161</f>
        <v>2883.1647034354696</v>
      </c>
      <c r="S38" s="7">
        <f>output!I161</f>
        <v>48272.797983090713</v>
      </c>
      <c r="U38" s="20">
        <v>3</v>
      </c>
      <c r="V38" s="7">
        <f si="24" t="shared"/>
        <v>-284688.64566416421</v>
      </c>
      <c r="W38" s="7">
        <f si="24" t="shared"/>
        <v>-60609.440502901918</v>
      </c>
      <c r="X38" s="7">
        <f si="24" t="shared"/>
        <v>-57779.346376617468</v>
      </c>
      <c r="Y38" s="7">
        <f si="24" t="shared"/>
        <v>-53758.333817053615</v>
      </c>
      <c r="Z38" s="7">
        <f si="24" t="shared"/>
        <v>-126069.86324832158</v>
      </c>
      <c r="AA38" s="7">
        <f si="24" t="shared"/>
        <v>-27140.960720452047</v>
      </c>
      <c r="AB38" s="7">
        <f si="25" t="shared"/>
        <v>-113148.41678942273</v>
      </c>
      <c r="AC38" s="7">
        <f si="26" t="shared"/>
        <v>-723195.0071189336</v>
      </c>
    </row>
    <row r="39" spans="1:29" x14ac:dyDescent="0.2">
      <c r="A39" s="20">
        <v>4</v>
      </c>
      <c r="B39" s="7">
        <f>output_NHTS!B162</f>
        <v>0</v>
      </c>
      <c r="C39" s="7">
        <f>output_NHTS!C162</f>
        <v>0</v>
      </c>
      <c r="D39" s="7">
        <f>output_NHTS!D162</f>
        <v>0</v>
      </c>
      <c r="E39" s="7">
        <f>output_NHTS!E162</f>
        <v>0</v>
      </c>
      <c r="F39" s="7">
        <f>output_NHTS!F162</f>
        <v>0</v>
      </c>
      <c r="G39" s="7">
        <f>output_NHTS!G162</f>
        <v>0</v>
      </c>
      <c r="H39" s="7">
        <f>output_NHTS!H162</f>
        <v>0</v>
      </c>
      <c r="I39" s="7">
        <f>output_NHTS!I162</f>
        <v>0</v>
      </c>
      <c r="K39" s="20">
        <v>4</v>
      </c>
      <c r="L39" s="7">
        <f>output!B162</f>
        <v>10514.34484471623</v>
      </c>
      <c r="M39" s="7">
        <f>output!C162</f>
        <v>755.4935260852692</v>
      </c>
      <c r="N39" s="7">
        <f>output!D162</f>
        <v>1790.3371904901637</v>
      </c>
      <c r="O39" s="7">
        <f>output!E162</f>
        <v>1073.9669462705097</v>
      </c>
      <c r="P39" s="7">
        <f>output!F162</f>
        <v>1120.3901735642776</v>
      </c>
      <c r="Q39" s="7">
        <f>output!G162</f>
        <v>364.04737871026435</v>
      </c>
      <c r="R39" s="7">
        <f>output!H162</f>
        <v>596.74584532307722</v>
      </c>
      <c r="S39" s="7">
        <f>output!I162</f>
        <v>16215.325905159791</v>
      </c>
      <c r="U39" s="20">
        <v>4</v>
      </c>
      <c r="V39" s="7">
        <f si="24" t="shared"/>
        <v>10514.34484471623</v>
      </c>
      <c r="W39" s="7">
        <f si="24" t="shared"/>
        <v>755.4935260852692</v>
      </c>
      <c r="X39" s="7">
        <f si="24" t="shared"/>
        <v>1790.3371904901637</v>
      </c>
      <c r="Y39" s="7">
        <f si="24" t="shared"/>
        <v>1073.9669462705097</v>
      </c>
      <c r="Z39" s="7">
        <f si="24" t="shared"/>
        <v>1120.3901735642776</v>
      </c>
      <c r="AA39" s="7">
        <f si="24" t="shared"/>
        <v>364.04737871026435</v>
      </c>
      <c r="AB39" s="7">
        <f si="25" t="shared"/>
        <v>596.74584532307722</v>
      </c>
      <c r="AC39" s="7">
        <f si="26" t="shared"/>
        <v>16215.325905159791</v>
      </c>
    </row>
    <row r="40" spans="1:29" x14ac:dyDescent="0.2">
      <c r="A40" s="20">
        <v>5</v>
      </c>
      <c r="B40" s="7">
        <f>output_NHTS!B163</f>
        <v>66434.489085606605</v>
      </c>
      <c r="C40" s="7">
        <f>output_NHTS!C163</f>
        <v>10589.5168099973</v>
      </c>
      <c r="D40" s="7">
        <f>output_NHTS!D163</f>
        <v>24651.252896546299</v>
      </c>
      <c r="E40" s="7">
        <f>output_NHTS!E163</f>
        <v>19362.895843436399</v>
      </c>
      <c r="F40" s="7">
        <f>output_NHTS!F163</f>
        <v>36472.595666781002</v>
      </c>
      <c r="G40" s="7">
        <f>output_NHTS!G163</f>
        <v>13375.654605624</v>
      </c>
      <c r="H40" s="7">
        <f>output_NHTS!H163</f>
        <v>26988.078014195598</v>
      </c>
      <c r="I40" s="7">
        <f>output_NHTS!I163</f>
        <v>197874.48292218722</v>
      </c>
      <c r="K40" s="20">
        <v>5</v>
      </c>
      <c r="L40" s="7">
        <f>output!B163</f>
        <v>3117.3946525246597</v>
      </c>
      <c r="M40" s="7">
        <f>output!C163</f>
        <v>164.23116031100571</v>
      </c>
      <c r="N40" s="7">
        <f>output!D163</f>
        <v>334.43874476710084</v>
      </c>
      <c r="O40" s="7">
        <f>output!E163</f>
        <v>133.20142417108428</v>
      </c>
      <c r="P40" s="7">
        <f>output!F163</f>
        <v>194.93048388153136</v>
      </c>
      <c r="Q40" s="7">
        <f>output!G163</f>
        <v>67.190814844224462</v>
      </c>
      <c r="R40" s="7">
        <f>output!H163</f>
        <v>82.197805798339672</v>
      </c>
      <c r="S40" s="7">
        <f>output!I163</f>
        <v>4093.5850862979464</v>
      </c>
      <c r="U40" s="20">
        <v>5</v>
      </c>
      <c r="V40" s="7">
        <f si="24" t="shared"/>
        <v>-63317.094433081947</v>
      </c>
      <c r="W40" s="7">
        <f si="24" t="shared"/>
        <v>-10425.285649686293</v>
      </c>
      <c r="X40" s="7">
        <f si="24" t="shared"/>
        <v>-24316.814151779199</v>
      </c>
      <c r="Y40" s="7">
        <f si="24" t="shared"/>
        <v>-19229.694419265314</v>
      </c>
      <c r="Z40" s="7">
        <f si="24" t="shared"/>
        <v>-36277.665182899473</v>
      </c>
      <c r="AA40" s="7">
        <f si="24" t="shared"/>
        <v>-13308.463790779775</v>
      </c>
      <c r="AB40" s="7">
        <f si="25" t="shared"/>
        <v>-26905.880208397259</v>
      </c>
      <c r="AC40" s="7">
        <f si="26" t="shared"/>
        <v>-193780.89783588928</v>
      </c>
    </row>
    <row r="41" spans="1:29" x14ac:dyDescent="0.2">
      <c r="A41" s="3" t="s">
        <v>209</v>
      </c>
      <c r="B41" s="9">
        <f>output_NHTS!B164</f>
        <v>34292.909946284097</v>
      </c>
      <c r="C41" s="9">
        <f>output_NHTS!C164</f>
        <v>7742.3741545930998</v>
      </c>
      <c r="D41" s="9">
        <f>output_NHTS!D164</f>
        <v>33657.711399244399</v>
      </c>
      <c r="E41" s="9">
        <f>output_NHTS!E164</f>
        <v>9807.9136356871004</v>
      </c>
      <c r="F41" s="9">
        <f>output_NHTS!F164</f>
        <v>24485.502023729998</v>
      </c>
      <c r="G41" s="9">
        <f>output_NHTS!G164</f>
        <v>8816.5118756354004</v>
      </c>
      <c r="H41" s="9">
        <f>output_NHTS!H164</f>
        <v>12715.522009455301</v>
      </c>
      <c r="I41" s="9">
        <f>output_NHTS!I164</f>
        <v>131518.44504462939</v>
      </c>
      <c r="K41" s="3" t="s">
        <v>209</v>
      </c>
      <c r="L41" s="9">
        <f>output!B164</f>
        <v>3842.2315859650162</v>
      </c>
      <c r="M41" s="9">
        <f>output!C164</f>
        <v>82.689384024208735</v>
      </c>
      <c r="N41" s="9">
        <f>output!D164</f>
        <v>126.70027111321603</v>
      </c>
      <c r="O41" s="9">
        <f>output!E164</f>
        <v>30.477963034225951</v>
      </c>
      <c r="P41" s="9">
        <f>output!F164</f>
        <v>53.243862723091411</v>
      </c>
      <c r="Q41" s="9">
        <f>output!G164</f>
        <v>22.901707945561022</v>
      </c>
      <c r="R41" s="9">
        <f>output!H164</f>
        <v>19.50724637681159</v>
      </c>
      <c r="S41" s="9">
        <f>output!I164</f>
        <v>4177.7520211821311</v>
      </c>
      <c r="U41" s="3" t="s">
        <v>209</v>
      </c>
      <c r="V41" s="9">
        <f si="24" t="shared"/>
        <v>-30450.678360319082</v>
      </c>
      <c r="W41" s="9">
        <f si="24" t="shared"/>
        <v>-7659.6847705688906</v>
      </c>
      <c r="X41" s="9">
        <f si="24" t="shared"/>
        <v>-33531.011128131184</v>
      </c>
      <c r="Y41" s="9">
        <f si="24" t="shared"/>
        <v>-9777.4356726528749</v>
      </c>
      <c r="Z41" s="9">
        <f si="24" t="shared"/>
        <v>-24432.258161006906</v>
      </c>
      <c r="AA41" s="9">
        <f si="24" t="shared"/>
        <v>-8793.6101676898397</v>
      </c>
      <c r="AB41" s="9">
        <f si="25" t="shared"/>
        <v>-12696.014763078489</v>
      </c>
      <c r="AC41" s="9">
        <f si="26" t="shared"/>
        <v>-127340.69302344727</v>
      </c>
    </row>
    <row ht="13.5" r="42" spans="1:29" thickBot="1" x14ac:dyDescent="0.25">
      <c r="A42" s="21" t="s">
        <v>221</v>
      </c>
      <c r="B42" s="22">
        <f ref="B42:I42" si="27" t="shared">SUM(B35:B41)</f>
        <v>1764685.8471556958</v>
      </c>
      <c r="C42" s="22">
        <f si="27" t="shared"/>
        <v>805667.55726938788</v>
      </c>
      <c r="D42" s="22">
        <f si="27" t="shared"/>
        <v>654353.61641791451</v>
      </c>
      <c r="E42" s="22">
        <f si="27" t="shared"/>
        <v>737664.49946329114</v>
      </c>
      <c r="F42" s="22">
        <f si="27" t="shared"/>
        <v>723340.41225611628</v>
      </c>
      <c r="G42" s="22">
        <f si="27" t="shared"/>
        <v>305380.36648619041</v>
      </c>
      <c r="H42" s="22">
        <f si="27" t="shared"/>
        <v>1110225.4226397304</v>
      </c>
      <c r="I42" s="22">
        <f si="27" t="shared"/>
        <v>6101317.7216883264</v>
      </c>
      <c r="K42" s="21" t="s">
        <v>221</v>
      </c>
      <c r="L42" s="22">
        <f>SUM(L35:L41)</f>
        <v>1736322.7391370181</v>
      </c>
      <c r="M42" s="22">
        <f ref="M42:S42" si="28" t="shared">SUM(M35:M41)</f>
        <v>759604.05867632735</v>
      </c>
      <c r="N42" s="22">
        <f si="28" t="shared"/>
        <v>652501.6928895344</v>
      </c>
      <c r="O42" s="22">
        <f si="28" t="shared"/>
        <v>726934.19235486502</v>
      </c>
      <c r="P42" s="22">
        <f si="28" t="shared"/>
        <v>715712.23396487266</v>
      </c>
      <c r="Q42" s="22">
        <f si="28" t="shared"/>
        <v>312010.52221200254</v>
      </c>
      <c r="R42" s="22">
        <f si="28" t="shared"/>
        <v>1111285.5466877946</v>
      </c>
      <c r="S42" s="22">
        <f si="28" t="shared"/>
        <v>6014370.9859224167</v>
      </c>
      <c r="U42" s="21" t="s">
        <v>221</v>
      </c>
      <c r="V42" s="22">
        <f si="24" t="shared"/>
        <v>-28363.108018677682</v>
      </c>
      <c r="W42" s="22">
        <f si="24" t="shared"/>
        <v>-46063.498593060533</v>
      </c>
      <c r="X42" s="22">
        <f si="24" t="shared"/>
        <v>-1851.9235283801099</v>
      </c>
      <c r="Y42" s="22">
        <f si="24" t="shared"/>
        <v>-10730.307108426117</v>
      </c>
      <c r="Z42" s="22">
        <f si="24" t="shared"/>
        <v>-7628.1782912436174</v>
      </c>
      <c r="AA42" s="22">
        <f si="24" t="shared"/>
        <v>6630.155725812132</v>
      </c>
      <c r="AB42" s="22">
        <f si="25" t="shared"/>
        <v>1060.12404806423</v>
      </c>
      <c r="AC42" s="22">
        <f si="26" t="shared"/>
        <v>-86946.735765909776</v>
      </c>
    </row>
    <row r="45" spans="1:29" x14ac:dyDescent="0.2">
      <c r="A45" s="2" t="s">
        <v>175</v>
      </c>
      <c r="K45" s="2" t="s">
        <v>175</v>
      </c>
      <c r="U45" s="2" t="s">
        <v>175</v>
      </c>
    </row>
    <row r="46" spans="1:29" x14ac:dyDescent="0.2">
      <c r="A46" s="2" t="s">
        <v>186</v>
      </c>
      <c r="K46" s="2" t="s">
        <v>191</v>
      </c>
      <c r="U46" s="2" t="s">
        <v>271</v>
      </c>
    </row>
    <row ht="13.5" r="47" spans="1:29" thickBot="1" x14ac:dyDescent="0.25"/>
    <row r="48" spans="1:29" x14ac:dyDescent="0.2">
      <c r="A48" s="5" t="s">
        <v>248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221</v>
      </c>
      <c r="K48" s="5" t="s">
        <v>248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221</v>
      </c>
      <c r="U48" s="5" t="s">
        <v>248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221</v>
      </c>
    </row>
    <row r="49" spans="1:29" x14ac:dyDescent="0.2">
      <c r="A49" s="18">
        <v>0</v>
      </c>
      <c r="B49" s="12">
        <f ref="B49:I49" si="29" t="shared">B35/B$12</f>
        <v>0</v>
      </c>
      <c r="C49" s="12">
        <f si="29" t="shared"/>
        <v>0</v>
      </c>
      <c r="D49" s="12">
        <f si="29" t="shared"/>
        <v>0</v>
      </c>
      <c r="E49" s="12">
        <f si="29" t="shared"/>
        <v>0</v>
      </c>
      <c r="F49" s="12">
        <f si="29" t="shared"/>
        <v>0</v>
      </c>
      <c r="G49" s="12">
        <f si="29" t="shared"/>
        <v>0</v>
      </c>
      <c r="H49" s="12">
        <f si="29" t="shared"/>
        <v>0</v>
      </c>
      <c r="I49" s="12">
        <f si="29" t="shared"/>
        <v>0</v>
      </c>
      <c r="K49" s="18">
        <v>0</v>
      </c>
      <c r="L49" s="12">
        <f ref="L49:S54" si="30" t="shared">L35/L$42</f>
        <v>0.699440686994936</v>
      </c>
      <c r="M49" s="12">
        <f si="30" t="shared"/>
        <v>0.83436589462024247</v>
      </c>
      <c r="N49" s="12">
        <f si="30" t="shared"/>
        <v>0.75002254665437562</v>
      </c>
      <c r="O49" s="12">
        <f si="30" t="shared"/>
        <v>0.79705567368369179</v>
      </c>
      <c r="P49" s="12">
        <f si="30" t="shared"/>
        <v>0.81116481637482662</v>
      </c>
      <c r="Q49" s="12">
        <f si="30" t="shared"/>
        <v>0.86129087077305899</v>
      </c>
      <c r="R49" s="12">
        <f si="30" t="shared"/>
        <v>0.87235906981031119</v>
      </c>
      <c r="S49" s="12">
        <f si="30" t="shared"/>
        <v>0.78740951088396116</v>
      </c>
      <c r="U49" s="18">
        <v>0</v>
      </c>
      <c r="V49" s="12">
        <f>L49-B49</f>
        <v>0.699440686994936</v>
      </c>
      <c r="W49" s="12">
        <f ref="V49:AA56" si="31" t="shared">M49-C49</f>
        <v>0.83436589462024247</v>
      </c>
      <c r="X49" s="12">
        <f si="31" t="shared"/>
        <v>0.75002254665437562</v>
      </c>
      <c r="Y49" s="12">
        <f si="31" t="shared"/>
        <v>0.79705567368369179</v>
      </c>
      <c r="Z49" s="12">
        <f si="31" t="shared"/>
        <v>0.81116481637482662</v>
      </c>
      <c r="AA49" s="12">
        <f si="31" t="shared"/>
        <v>0.86129087077305899</v>
      </c>
      <c r="AB49" s="12">
        <f ref="AB49:AB56" si="32" t="shared">R49-H49</f>
        <v>0.87235906981031119</v>
      </c>
      <c r="AC49" s="12">
        <f ref="AC49:AC56" si="33" t="shared">S49-I49</f>
        <v>0.78740951088396116</v>
      </c>
    </row>
    <row r="50" spans="1:29" x14ac:dyDescent="0.2">
      <c r="A50" s="18">
        <v>1</v>
      </c>
      <c r="B50" s="12">
        <f ref="B50:I50" si="34" t="shared">B36/B$12</f>
        <v>0.76703679513265932</v>
      </c>
      <c r="C50" s="12">
        <f si="34" t="shared"/>
        <v>0.89816349160266207</v>
      </c>
      <c r="D50" s="12">
        <f si="34" t="shared"/>
        <v>0.81397573570044146</v>
      </c>
      <c r="E50" s="12">
        <f si="34" t="shared"/>
        <v>0.88058099417869229</v>
      </c>
      <c r="F50" s="12">
        <f si="34" t="shared"/>
        <v>0.73502133207511666</v>
      </c>
      <c r="G50" s="12">
        <f si="34" t="shared"/>
        <v>0.8346792215323362</v>
      </c>
      <c r="H50" s="12">
        <f si="34" t="shared"/>
        <v>0.85972652189298193</v>
      </c>
      <c r="I50" s="12">
        <f si="34" t="shared"/>
        <v>0.81957000384431444</v>
      </c>
      <c r="K50" s="18">
        <v>1</v>
      </c>
      <c r="L50" s="12">
        <f si="30" t="shared"/>
        <v>0.22014873319522382</v>
      </c>
      <c r="M50" s="12">
        <f si="30" t="shared"/>
        <v>0.13551710798489749</v>
      </c>
      <c r="N50" s="12">
        <f si="30" t="shared"/>
        <v>0.19352903828652898</v>
      </c>
      <c r="O50" s="12">
        <f si="30" t="shared"/>
        <v>0.15857055358307984</v>
      </c>
      <c r="P50" s="12">
        <f si="30" t="shared"/>
        <v>0.14876727882035221</v>
      </c>
      <c r="Q50" s="12">
        <f si="30" t="shared"/>
        <v>0.11272602294873296</v>
      </c>
      <c r="R50" s="12">
        <f si="30" t="shared"/>
        <v>0.10834270527669249</v>
      </c>
      <c r="S50" s="12">
        <f si="30" t="shared"/>
        <v>0.16440338160380485</v>
      </c>
      <c r="U50" s="18">
        <v>1</v>
      </c>
      <c r="V50" s="12">
        <f si="31" t="shared"/>
        <v>-0.54688806193743544</v>
      </c>
      <c r="W50" s="12">
        <f si="31" t="shared"/>
        <v>-0.7626463836177646</v>
      </c>
      <c r="X50" s="12">
        <f si="31" t="shared"/>
        <v>-0.62044669741391245</v>
      </c>
      <c r="Y50" s="12">
        <f si="31" t="shared"/>
        <v>-0.72201044059561248</v>
      </c>
      <c r="Z50" s="12">
        <f si="31" t="shared"/>
        <v>-0.58625405325476443</v>
      </c>
      <c r="AA50" s="12">
        <f si="31" t="shared"/>
        <v>-0.72195319858360318</v>
      </c>
      <c r="AB50" s="12">
        <f si="32" t="shared"/>
        <v>-0.75138381661628939</v>
      </c>
      <c r="AC50" s="12">
        <f si="33" t="shared"/>
        <v>-0.65516662224050959</v>
      </c>
    </row>
    <row r="51" spans="1:29" x14ac:dyDescent="0.2">
      <c r="A51" s="19">
        <v>2</v>
      </c>
      <c r="B51" s="12">
        <f ref="B51:I51" si="35" t="shared">B37/B$12</f>
        <v>0</v>
      </c>
      <c r="C51" s="12">
        <f si="35" t="shared"/>
        <v>0</v>
      </c>
      <c r="D51" s="12">
        <f si="35" t="shared"/>
        <v>0</v>
      </c>
      <c r="E51" s="12">
        <f si="35" t="shared"/>
        <v>0</v>
      </c>
      <c r="F51" s="12">
        <f si="35" t="shared"/>
        <v>0</v>
      </c>
      <c r="G51" s="12">
        <f si="35" t="shared"/>
        <v>0</v>
      </c>
      <c r="H51" s="12">
        <f si="35" t="shared"/>
        <v>0</v>
      </c>
      <c r="I51" s="12">
        <f si="35" t="shared"/>
        <v>0</v>
      </c>
      <c r="K51" s="19">
        <v>2</v>
      </c>
      <c r="L51" s="12">
        <f si="30" t="shared"/>
        <v>5.5550687146087095E-2</v>
      </c>
      <c r="M51" s="12">
        <f si="30" t="shared"/>
        <v>2.4709636129028007E-2</v>
      </c>
      <c r="N51" s="12">
        <f si="30" t="shared"/>
        <v>4.4358307545464888E-2</v>
      </c>
      <c r="O51" s="12">
        <f si="30" t="shared"/>
        <v>3.5570136502903374E-2</v>
      </c>
      <c r="P51" s="12">
        <f si="30" t="shared"/>
        <v>3.1670140742717769E-2</v>
      </c>
      <c r="Q51" s="12">
        <f si="30" t="shared"/>
        <v>2.0833495923290753E-2</v>
      </c>
      <c r="R51" s="12">
        <f si="30" t="shared"/>
        <v>1.6075276849279858E-2</v>
      </c>
      <c r="S51" s="12">
        <f si="30" t="shared"/>
        <v>3.6089506422105636E-2</v>
      </c>
      <c r="U51" s="19">
        <v>2</v>
      </c>
      <c r="V51" s="12">
        <f si="31" t="shared"/>
        <v>5.5550687146087095E-2</v>
      </c>
      <c r="W51" s="12">
        <f si="31" t="shared"/>
        <v>2.4709636129028007E-2</v>
      </c>
      <c r="X51" s="12">
        <f si="31" t="shared"/>
        <v>4.4358307545464888E-2</v>
      </c>
      <c r="Y51" s="12">
        <f si="31" t="shared"/>
        <v>3.5570136502903374E-2</v>
      </c>
      <c r="Z51" s="12">
        <f si="31" t="shared"/>
        <v>3.1670140742717769E-2</v>
      </c>
      <c r="AA51" s="12">
        <f si="31" t="shared"/>
        <v>2.0833495923290753E-2</v>
      </c>
      <c r="AB51" s="12">
        <f si="32" t="shared"/>
        <v>1.6075276849279858E-2</v>
      </c>
      <c r="AC51" s="12">
        <f si="33" t="shared"/>
        <v>3.6089506422105636E-2</v>
      </c>
    </row>
    <row r="52" spans="1:29" x14ac:dyDescent="0.2">
      <c r="A52" s="20">
        <v>3</v>
      </c>
      <c r="B52" s="12">
        <f ref="B52:I52" si="36" t="shared">B38/B$12</f>
        <v>0.17588369737639414</v>
      </c>
      <c r="C52" s="12">
        <f si="36" t="shared"/>
        <v>7.9082841827069567E-2</v>
      </c>
      <c r="D52" s="12">
        <f si="36" t="shared"/>
        <v>9.6915007725127636E-2</v>
      </c>
      <c r="E52" s="12">
        <f si="36" t="shared"/>
        <v>7.9874186326337207E-2</v>
      </c>
      <c r="F52" s="12">
        <f si="36" t="shared"/>
        <v>0.18070562489057923</v>
      </c>
      <c r="G52" s="12">
        <f si="36" t="shared"/>
        <v>9.2650204597411689E-2</v>
      </c>
      <c r="H52" s="12">
        <f si="36" t="shared"/>
        <v>0.10451173169587076</v>
      </c>
      <c r="I52" s="12">
        <f si="36" t="shared"/>
        <v>0.12644281781289496</v>
      </c>
      <c r="K52" s="20">
        <v>3</v>
      </c>
      <c r="L52" s="12">
        <f si="30" t="shared"/>
        <v>1.4796112071965805E-2</v>
      </c>
      <c r="M52" s="12">
        <f si="30" t="shared"/>
        <v>4.0877078767132639E-3</v>
      </c>
      <c r="N52" s="12">
        <f si="30" t="shared"/>
        <v>8.6395782186028947E-3</v>
      </c>
      <c r="O52" s="12">
        <f si="30" t="shared"/>
        <v>7.1010800065401973E-3</v>
      </c>
      <c r="P52" s="12">
        <f si="30" t="shared"/>
        <v>6.4855925842074507E-3</v>
      </c>
      <c r="Q52" s="12">
        <f si="30" t="shared"/>
        <v>3.6940828352670036E-3</v>
      </c>
      <c r="R52" s="12">
        <f si="30" t="shared"/>
        <v>2.5944409265726445E-3</v>
      </c>
      <c r="S52" s="12">
        <f si="30" t="shared"/>
        <v>8.0262421616625924E-3</v>
      </c>
      <c r="U52" s="20">
        <v>3</v>
      </c>
      <c r="V52" s="12">
        <f si="31" t="shared"/>
        <v>-0.16108758530442835</v>
      </c>
      <c r="W52" s="12">
        <f si="31" t="shared"/>
        <v>-7.4995133950356299E-2</v>
      </c>
      <c r="X52" s="12">
        <f si="31" t="shared"/>
        <v>-8.8275429506524741E-2</v>
      </c>
      <c r="Y52" s="12">
        <f si="31" t="shared"/>
        <v>-7.2773106319797012E-2</v>
      </c>
      <c r="Z52" s="12">
        <f si="31" t="shared"/>
        <v>-0.17422003230637179</v>
      </c>
      <c r="AA52" s="12">
        <f si="31" t="shared"/>
        <v>-8.895612176214468E-2</v>
      </c>
      <c r="AB52" s="12">
        <f si="32" t="shared"/>
        <v>-0.10191729076929812</v>
      </c>
      <c r="AC52" s="12">
        <f si="33" t="shared"/>
        <v>-0.11841657565123237</v>
      </c>
    </row>
    <row r="53" spans="1:29" x14ac:dyDescent="0.2">
      <c r="A53" s="20">
        <v>4</v>
      </c>
      <c r="B53" s="12">
        <f ref="B53:I53" si="37" t="shared">B39/B$12</f>
        <v>0</v>
      </c>
      <c r="C53" s="12">
        <f si="37" t="shared"/>
        <v>0</v>
      </c>
      <c r="D53" s="12">
        <f si="37" t="shared"/>
        <v>0</v>
      </c>
      <c r="E53" s="12">
        <f si="37" t="shared"/>
        <v>0</v>
      </c>
      <c r="F53" s="12">
        <f si="37" t="shared"/>
        <v>0</v>
      </c>
      <c r="G53" s="12">
        <f si="37" t="shared"/>
        <v>0</v>
      </c>
      <c r="H53" s="12">
        <f si="37" t="shared"/>
        <v>0</v>
      </c>
      <c r="I53" s="12">
        <f si="37" t="shared"/>
        <v>0</v>
      </c>
      <c r="K53" s="20">
        <v>4</v>
      </c>
      <c r="L53" s="12">
        <f si="30" t="shared"/>
        <v>6.055524475790738E-3</v>
      </c>
      <c r="M53" s="12">
        <f si="30" t="shared"/>
        <v>9.9458858527135701E-4</v>
      </c>
      <c r="N53" s="12">
        <f si="30" t="shared"/>
        <v>2.7438046674819277E-3</v>
      </c>
      <c r="O53" s="12">
        <f si="30" t="shared"/>
        <v>1.4773922558126622E-3</v>
      </c>
      <c r="P53" s="12">
        <f si="30" t="shared"/>
        <v>1.5654198997795343E-3</v>
      </c>
      <c r="Q53" s="12">
        <f si="30" t="shared"/>
        <v>1.1667791718348018E-3</v>
      </c>
      <c r="R53" s="12">
        <f si="30" t="shared"/>
        <v>5.3698695812402883E-4</v>
      </c>
      <c r="S53" s="12">
        <f si="30" t="shared"/>
        <v>2.6960967228517024E-3</v>
      </c>
      <c r="U53" s="20">
        <v>4</v>
      </c>
      <c r="V53" s="12">
        <f si="31" t="shared"/>
        <v>6.055524475790738E-3</v>
      </c>
      <c r="W53" s="12">
        <f si="31" t="shared"/>
        <v>9.9458858527135701E-4</v>
      </c>
      <c r="X53" s="12">
        <f si="31" t="shared"/>
        <v>2.7438046674819277E-3</v>
      </c>
      <c r="Y53" s="12">
        <f si="31" t="shared"/>
        <v>1.4773922558126622E-3</v>
      </c>
      <c r="Z53" s="12">
        <f si="31" t="shared"/>
        <v>1.5654198997795343E-3</v>
      </c>
      <c r="AA53" s="12">
        <f si="31" t="shared"/>
        <v>1.1667791718348018E-3</v>
      </c>
      <c r="AB53" s="12">
        <f si="32" t="shared"/>
        <v>5.3698695812402883E-4</v>
      </c>
      <c r="AC53" s="12">
        <f si="33" t="shared"/>
        <v>2.6960967228517024E-3</v>
      </c>
    </row>
    <row r="54" spans="1:29" x14ac:dyDescent="0.2">
      <c r="A54" s="20">
        <v>5</v>
      </c>
      <c r="B54" s="12">
        <f ref="B54:I54" si="38" t="shared">B40/B$12</f>
        <v>3.7646637894606046E-2</v>
      </c>
      <c r="C54" s="12">
        <f si="38" t="shared"/>
        <v>1.3143779607916527E-2</v>
      </c>
      <c r="D54" s="12">
        <f si="38" t="shared"/>
        <v>3.7672677705203259E-2</v>
      </c>
      <c r="E54" s="12">
        <f si="38" t="shared"/>
        <v>2.6248919200428412E-2</v>
      </c>
      <c r="F54" s="12">
        <f si="38" t="shared"/>
        <v>5.0422449857352898E-2</v>
      </c>
      <c r="G54" s="12">
        <f si="38" t="shared"/>
        <v>4.3799982164959721E-2</v>
      </c>
      <c r="H54" s="12">
        <f si="38" t="shared"/>
        <v>2.4308647112428149E-2</v>
      </c>
      <c r="I54" s="12">
        <f si="38" t="shared"/>
        <v>3.2431433986596647E-2</v>
      </c>
      <c r="K54" s="20">
        <v>5</v>
      </c>
      <c r="L54" s="12">
        <f si="30" t="shared"/>
        <v>1.7954004645899285E-3</v>
      </c>
      <c r="M54" s="12">
        <f si="30" t="shared"/>
        <v>2.1620627014183158E-4</v>
      </c>
      <c r="N54" s="12">
        <f si="30" t="shared"/>
        <v>5.125484706194008E-4</v>
      </c>
      <c r="O54" s="12">
        <f si="30" t="shared"/>
        <v>1.8323725252155946E-4</v>
      </c>
      <c r="P54" s="12">
        <f si="30" t="shared"/>
        <v>2.7235874228621692E-4</v>
      </c>
      <c r="Q54" s="12">
        <f si="30" t="shared"/>
        <v>2.1534791316611481E-4</v>
      </c>
      <c r="R54" s="12">
        <f si="30" t="shared"/>
        <v>7.3966413081976654E-5</v>
      </c>
      <c r="S54" s="12">
        <f si="30" t="shared"/>
        <v>6.8063395089521873E-4</v>
      </c>
      <c r="U54" s="20">
        <v>5</v>
      </c>
      <c r="V54" s="12">
        <f si="31" t="shared"/>
        <v>-3.5851237430016114E-2</v>
      </c>
      <c r="W54" s="12">
        <f si="31" t="shared"/>
        <v>-1.2927573337774697E-2</v>
      </c>
      <c r="X54" s="12">
        <f si="31" t="shared"/>
        <v>-3.7160129234583859E-2</v>
      </c>
      <c r="Y54" s="12">
        <f si="31" t="shared"/>
        <v>-2.6065681947906854E-2</v>
      </c>
      <c r="Z54" s="12">
        <f si="31" t="shared"/>
        <v>-5.0150091115066679E-2</v>
      </c>
      <c r="AA54" s="12">
        <f si="31" t="shared"/>
        <v>-4.3584634251793604E-2</v>
      </c>
      <c r="AB54" s="12">
        <f si="32" t="shared"/>
        <v>-2.4234680699346173E-2</v>
      </c>
      <c r="AC54" s="12">
        <f si="33" t="shared"/>
        <v>-3.1750800035701431E-2</v>
      </c>
    </row>
    <row r="55" spans="1:29" x14ac:dyDescent="0.2">
      <c r="A55" s="3" t="s">
        <v>209</v>
      </c>
      <c r="B55" s="13">
        <f ref="B55:I55" si="39" t="shared">B41/B$12</f>
        <v>1.9432869596340382E-2</v>
      </c>
      <c r="C55" s="13">
        <f si="39" t="shared"/>
        <v>9.6098869623520329E-3</v>
      </c>
      <c r="D55" s="13">
        <f si="39" t="shared"/>
        <v>5.1436578869227645E-2</v>
      </c>
      <c r="E55" s="13">
        <f si="39" t="shared"/>
        <v>1.3295900294541932E-2</v>
      </c>
      <c r="F55" s="13">
        <f si="39" t="shared"/>
        <v>3.3850593176951251E-2</v>
      </c>
      <c r="G55" s="13">
        <f si="39" t="shared"/>
        <v>2.887059170529253E-2</v>
      </c>
      <c r="H55" s="13">
        <f si="39" t="shared"/>
        <v>1.1453099298719181E-2</v>
      </c>
      <c r="I55" s="13">
        <f si="39" t="shared"/>
        <v>2.1555744356193968E-2</v>
      </c>
      <c r="K55" s="3" t="s">
        <v>209</v>
      </c>
      <c r="L55" s="13">
        <f ref="L55:S55" si="40" t="shared">L41/L$42</f>
        <v>2.2128556514065295E-3</v>
      </c>
      <c r="M55" s="13">
        <f si="40" t="shared"/>
        <v>1.0885853370544359E-4</v>
      </c>
      <c r="N55" s="13">
        <f si="40" t="shared"/>
        <v>1.9417615692633277E-4</v>
      </c>
      <c r="O55" s="13">
        <f si="40" t="shared"/>
        <v>4.192671545067126E-5</v>
      </c>
      <c r="P55" s="13">
        <f si="40" t="shared"/>
        <v>7.4392835830307515E-5</v>
      </c>
      <c r="Q55" s="13">
        <f si="40" t="shared"/>
        <v>7.3400434649444104E-5</v>
      </c>
      <c r="R55" s="13">
        <f si="40" t="shared"/>
        <v>1.755376593797451E-5</v>
      </c>
      <c r="S55" s="13">
        <f si="40" t="shared"/>
        <v>6.9462825471870932E-4</v>
      </c>
      <c r="U55" s="3" t="s">
        <v>209</v>
      </c>
      <c r="V55" s="12">
        <f si="31" t="shared"/>
        <v>-1.7220013944933853E-2</v>
      </c>
      <c r="W55" s="12">
        <f si="31" t="shared"/>
        <v>-9.5010284286465886E-3</v>
      </c>
      <c r="X55" s="12">
        <f si="31" t="shared"/>
        <v>-5.1242402712301315E-2</v>
      </c>
      <c r="Y55" s="12">
        <f si="31" t="shared"/>
        <v>-1.325397357909126E-2</v>
      </c>
      <c r="Z55" s="12">
        <f si="31" t="shared"/>
        <v>-3.3776200341120943E-2</v>
      </c>
      <c r="AA55" s="12">
        <f si="31" t="shared"/>
        <v>-2.8797191270643088E-2</v>
      </c>
      <c r="AB55" s="12">
        <f si="32" t="shared"/>
        <v>-1.1435545532781206E-2</v>
      </c>
      <c r="AC55" s="12">
        <f si="33" t="shared"/>
        <v>-2.0861116101475258E-2</v>
      </c>
    </row>
    <row ht="13.5" r="56" spans="1:29" thickBot="1" x14ac:dyDescent="0.25">
      <c r="A56" s="21" t="s">
        <v>221</v>
      </c>
      <c r="B56" s="17">
        <f ref="B56:I56" si="41" t="shared">B42/B$12</f>
        <v>0.99999999999999978</v>
      </c>
      <c r="C56" s="17">
        <f si="41" t="shared"/>
        <v>1.0000000000000002</v>
      </c>
      <c r="D56" s="17">
        <f si="41" t="shared"/>
        <v>0.99999999999999978</v>
      </c>
      <c r="E56" s="17">
        <f si="41" t="shared"/>
        <v>0.99999999999999989</v>
      </c>
      <c r="F56" s="17">
        <f si="41" t="shared"/>
        <v>0.99999999999999989</v>
      </c>
      <c r="G56" s="17">
        <f si="41" t="shared"/>
        <v>1.0000000000000002</v>
      </c>
      <c r="H56" s="17">
        <f si="41" t="shared"/>
        <v>1.0000000000000002</v>
      </c>
      <c r="I56" s="17">
        <f si="41" t="shared"/>
        <v>1</v>
      </c>
      <c r="K56" s="21" t="s">
        <v>221</v>
      </c>
      <c r="L56" s="17">
        <f ref="L56:S56" si="42" t="shared">L42/L$42</f>
        <v>1</v>
      </c>
      <c r="M56" s="17">
        <f si="42" t="shared"/>
        <v>1</v>
      </c>
      <c r="N56" s="17">
        <f si="42" t="shared"/>
        <v>1</v>
      </c>
      <c r="O56" s="17">
        <f si="42" t="shared"/>
        <v>1</v>
      </c>
      <c r="P56" s="17">
        <f si="42" t="shared"/>
        <v>1</v>
      </c>
      <c r="Q56" s="17">
        <f si="42" t="shared"/>
        <v>1</v>
      </c>
      <c r="R56" s="17">
        <f si="42" t="shared"/>
        <v>1</v>
      </c>
      <c r="S56" s="17">
        <f si="42" t="shared"/>
        <v>1</v>
      </c>
      <c r="U56" s="21" t="s">
        <v>221</v>
      </c>
      <c r="V56" s="14">
        <f si="31" t="shared"/>
        <v>0</v>
      </c>
      <c r="W56" s="14">
        <f si="31" t="shared"/>
        <v>0</v>
      </c>
      <c r="X56" s="14">
        <f si="31" t="shared"/>
        <v>0</v>
      </c>
      <c r="Y56" s="14">
        <f si="31" t="shared"/>
        <v>0</v>
      </c>
      <c r="Z56" s="14">
        <f si="31" t="shared"/>
        <v>0</v>
      </c>
      <c r="AA56" s="14">
        <f si="31" t="shared"/>
        <v>0</v>
      </c>
      <c r="AB56" s="14">
        <f si="32" t="shared"/>
        <v>0</v>
      </c>
      <c r="AC56" s="14">
        <f si="33" t="shared"/>
        <v>0</v>
      </c>
    </row>
    <row r="61" spans="1:29" x14ac:dyDescent="0.2">
      <c r="A61" s="2" t="s">
        <v>175</v>
      </c>
      <c r="K61" s="2" t="s">
        <v>175</v>
      </c>
      <c r="U61" s="2" t="s">
        <v>175</v>
      </c>
    </row>
    <row r="62" spans="1:29" x14ac:dyDescent="0.2">
      <c r="A62" s="2" t="s">
        <v>106</v>
      </c>
      <c r="K62" s="2" t="s">
        <v>289</v>
      </c>
      <c r="U62" s="2" t="s">
        <v>237</v>
      </c>
    </row>
    <row ht="13.5" r="63" spans="1:29" thickBot="1" x14ac:dyDescent="0.25"/>
    <row r="64" spans="1:29" x14ac:dyDescent="0.2">
      <c r="A64" s="5" t="s">
        <v>248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221</v>
      </c>
      <c r="K64" s="5" t="s">
        <v>248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221</v>
      </c>
      <c r="U64" s="5" t="s">
        <v>248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221</v>
      </c>
    </row>
    <row r="65" spans="1:29" x14ac:dyDescent="0.2">
      <c r="A65" s="18">
        <v>0</v>
      </c>
      <c r="B65" s="7">
        <f>output_NHTS!B168</f>
        <v>0</v>
      </c>
      <c r="C65" s="7">
        <f>output_NHTS!C168</f>
        <v>0</v>
      </c>
      <c r="D65" s="7">
        <f>output_NHTS!D168</f>
        <v>0</v>
      </c>
      <c r="E65" s="7">
        <f>output_NHTS!E168</f>
        <v>0</v>
      </c>
      <c r="F65" s="7">
        <f>output_NHTS!F168</f>
        <v>0</v>
      </c>
      <c r="G65" s="7">
        <f>output_NHTS!G168</f>
        <v>0</v>
      </c>
      <c r="H65" s="7">
        <f>output_NHTS!H168</f>
        <v>0</v>
      </c>
      <c r="I65" s="7">
        <f>output_NHTS!I168</f>
        <v>0</v>
      </c>
      <c r="K65" s="18">
        <v>0</v>
      </c>
      <c r="L65" s="7">
        <f>output!B168</f>
        <v>774714.6372078706</v>
      </c>
      <c r="M65" s="7">
        <f>output!C168</f>
        <v>482542.30140688323</v>
      </c>
      <c r="N65" s="7">
        <f>output!D168</f>
        <v>418162.0459548069</v>
      </c>
      <c r="O65" s="7">
        <f>output!E168</f>
        <v>519805.05158338853</v>
      </c>
      <c r="P65" s="7">
        <f>output!F168</f>
        <v>532408.73565253825</v>
      </c>
      <c r="Q65" s="7">
        <f>output!G168</f>
        <v>254099.20206805406</v>
      </c>
      <c r="R65" s="7">
        <f>output!H168</f>
        <v>896271.86252046016</v>
      </c>
      <c r="S65" s="7">
        <f>output!I168</f>
        <v>3878003.8363940017</v>
      </c>
      <c r="U65" s="18">
        <v>0</v>
      </c>
      <c r="V65" s="7">
        <f ref="V65:AA72" si="43" t="shared">L65-B65</f>
        <v>774714.6372078706</v>
      </c>
      <c r="W65" s="7">
        <f si="43" t="shared"/>
        <v>482542.30140688323</v>
      </c>
      <c r="X65" s="7">
        <f si="43" t="shared"/>
        <v>418162.0459548069</v>
      </c>
      <c r="Y65" s="7">
        <f si="43" t="shared"/>
        <v>519805.05158338853</v>
      </c>
      <c r="Z65" s="7">
        <f si="43" t="shared"/>
        <v>532408.73565253825</v>
      </c>
      <c r="AA65" s="7">
        <f si="43" t="shared"/>
        <v>254099.20206805406</v>
      </c>
      <c r="AB65" s="7">
        <f ref="AB65:AB72" si="44" t="shared">R65-H65</f>
        <v>896271.86252046016</v>
      </c>
      <c r="AC65" s="7">
        <f ref="AC65:AC72" si="45" t="shared">S65-I65</f>
        <v>3878003.8363940017</v>
      </c>
    </row>
    <row r="66" spans="1:29" x14ac:dyDescent="0.2">
      <c r="A66" s="18">
        <v>1</v>
      </c>
      <c r="B66" s="7">
        <f>output_NHTS!B169</f>
        <v>1006866.1643876479</v>
      </c>
      <c r="C66" s="7">
        <f>output_NHTS!C169</f>
        <v>590343.71804805694</v>
      </c>
      <c r="D66" s="7">
        <f>output_NHTS!D169</f>
        <v>441948.67661729018</v>
      </c>
      <c r="E66" s="7">
        <f>output_NHTS!E169</f>
        <v>532877.63366740977</v>
      </c>
      <c r="F66" s="7">
        <f>output_NHTS!F169</f>
        <v>526405.98105220206</v>
      </c>
      <c r="G66" s="7">
        <f>output_NHTS!G169</f>
        <v>250935.44001746021</v>
      </c>
      <c r="H66" s="7">
        <f>output_NHTS!H169</f>
        <v>920402.46608768881</v>
      </c>
      <c r="I66" s="7">
        <f>output_NHTS!I169</f>
        <v>4269780.0798777565</v>
      </c>
      <c r="K66" s="18">
        <v>1</v>
      </c>
      <c r="L66" s="7">
        <f>output!B169</f>
        <v>609019.99275453459</v>
      </c>
      <c r="M66" s="7">
        <f>output!C169</f>
        <v>206658.47769517032</v>
      </c>
      <c r="N66" s="7">
        <f>output!D169</f>
        <v>184840.57612338339</v>
      </c>
      <c r="O66" s="7">
        <f>output!E169</f>
        <v>167476.72173001303</v>
      </c>
      <c r="P66" s="7">
        <f>output!F169</f>
        <v>150302.65127596419</v>
      </c>
      <c r="Q66" s="7">
        <f>output!G169</f>
        <v>49167.676759603346</v>
      </c>
      <c r="R66" s="7">
        <f>output!H169</f>
        <v>186251.47293605356</v>
      </c>
      <c r="S66" s="7">
        <f>output!I169</f>
        <v>1553717.5692747226</v>
      </c>
      <c r="U66" s="18">
        <v>1</v>
      </c>
      <c r="V66" s="7">
        <f si="43" t="shared"/>
        <v>-397846.17163311329</v>
      </c>
      <c r="W66" s="7">
        <f si="43" t="shared"/>
        <v>-383685.24035288661</v>
      </c>
      <c r="X66" s="7">
        <f si="43" t="shared"/>
        <v>-257108.10049390679</v>
      </c>
      <c r="Y66" s="7">
        <f si="43" t="shared"/>
        <v>-365400.91193739674</v>
      </c>
      <c r="Z66" s="7">
        <f si="43" t="shared"/>
        <v>-376103.32977623784</v>
      </c>
      <c r="AA66" s="7">
        <f si="43" t="shared"/>
        <v>-201767.76325785686</v>
      </c>
      <c r="AB66" s="7">
        <f si="44" t="shared"/>
        <v>-734150.99315163528</v>
      </c>
      <c r="AC66" s="7">
        <f si="45" t="shared"/>
        <v>-2716062.5106030339</v>
      </c>
    </row>
    <row r="67" spans="1:29" x14ac:dyDescent="0.2">
      <c r="A67" s="19">
        <v>2</v>
      </c>
      <c r="B67" s="7">
        <f>output_NHTS!B170</f>
        <v>0</v>
      </c>
      <c r="C67" s="7">
        <f>output_NHTS!C170</f>
        <v>0</v>
      </c>
      <c r="D67" s="7">
        <f>output_NHTS!D170</f>
        <v>0</v>
      </c>
      <c r="E67" s="7">
        <f>output_NHTS!E170</f>
        <v>0</v>
      </c>
      <c r="F67" s="7">
        <f>output_NHTS!F170</f>
        <v>0</v>
      </c>
      <c r="G67" s="7">
        <f>output_NHTS!G170</f>
        <v>0</v>
      </c>
      <c r="H67" s="7">
        <f>output_NHTS!H170</f>
        <v>0</v>
      </c>
      <c r="I67" s="7">
        <f>output_NHTS!I170</f>
        <v>0</v>
      </c>
      <c r="K67" s="19">
        <v>2</v>
      </c>
      <c r="L67" s="7">
        <f>output!B170</f>
        <v>248692.55399341648</v>
      </c>
      <c r="M67" s="7">
        <f>output!C170</f>
        <v>58539.154598598332</v>
      </c>
      <c r="N67" s="7">
        <f>output!D170</f>
        <v>42158.665265701733</v>
      </c>
      <c r="O67" s="7">
        <f>output!E170</f>
        <v>34552.89997161374</v>
      </c>
      <c r="P67" s="7">
        <f>output!F170</f>
        <v>28874.96790298021</v>
      </c>
      <c r="Q67" s="7">
        <f>output!G170</f>
        <v>7729.4051706831669</v>
      </c>
      <c r="R67" s="7">
        <f>output!H170</f>
        <v>25946.044738257075</v>
      </c>
      <c r="S67" s="7">
        <f>output!I170</f>
        <v>446493.69164125068</v>
      </c>
      <c r="U67" s="19">
        <v>2</v>
      </c>
      <c r="V67" s="7">
        <f si="43" t="shared"/>
        <v>248692.55399341648</v>
      </c>
      <c r="W67" s="7">
        <f si="43" t="shared"/>
        <v>58539.154598598332</v>
      </c>
      <c r="X67" s="7">
        <f si="43" t="shared"/>
        <v>42158.665265701733</v>
      </c>
      <c r="Y67" s="7">
        <f si="43" t="shared"/>
        <v>34552.89997161374</v>
      </c>
      <c r="Z67" s="7">
        <f si="43" t="shared"/>
        <v>28874.96790298021</v>
      </c>
      <c r="AA67" s="7">
        <f si="43" t="shared"/>
        <v>7729.4051706831669</v>
      </c>
      <c r="AB67" s="7">
        <f si="44" t="shared"/>
        <v>25946.044738257075</v>
      </c>
      <c r="AC67" s="7">
        <f si="45" t="shared"/>
        <v>446493.69164125068</v>
      </c>
    </row>
    <row r="68" spans="1:29" x14ac:dyDescent="0.2">
      <c r="A68" s="20">
        <v>3</v>
      </c>
      <c r="B68" s="7">
        <f>output_NHTS!B171</f>
        <v>437011.86727682297</v>
      </c>
      <c r="C68" s="7">
        <f>output_NHTS!C171</f>
        <v>128201.490035583</v>
      </c>
      <c r="D68" s="7">
        <f>output_NHTS!D171</f>
        <v>94699.7286609125</v>
      </c>
      <c r="E68" s="7">
        <f>output_NHTS!E171</f>
        <v>129960.4586082343</v>
      </c>
      <c r="F68" s="7">
        <f>output_NHTS!F171</f>
        <v>135656.46358124079</v>
      </c>
      <c r="G68" s="7">
        <f>output_NHTS!G171</f>
        <v>37703.640686931103</v>
      </c>
      <c r="H68" s="7">
        <f>output_NHTS!H171</f>
        <v>141112.2164816194</v>
      </c>
      <c r="I68" s="7">
        <f>output_NHTS!I171</f>
        <v>1104345.8653313438</v>
      </c>
      <c r="K68" s="20">
        <v>3</v>
      </c>
      <c r="L68" s="7">
        <f>output!B171</f>
        <v>67594.919548983249</v>
      </c>
      <c r="M68" s="7">
        <f>output!C171</f>
        <v>9622.7256976996832</v>
      </c>
      <c r="N68" s="7">
        <f>output!D171</f>
        <v>5928.6838343214622</v>
      </c>
      <c r="O68" s="7">
        <f>output!E171</f>
        <v>4369.8281360741566</v>
      </c>
      <c r="P68" s="7">
        <f>output!F171</f>
        <v>3494.4731379249761</v>
      </c>
      <c r="Q68" s="7">
        <f>output!G171</f>
        <v>862.88437203286264</v>
      </c>
      <c r="R68" s="7">
        <f>output!H171</f>
        <v>2504.2402970528237</v>
      </c>
      <c r="S68" s="7">
        <f>output!I171</f>
        <v>94377.755024089201</v>
      </c>
      <c r="U68" s="20">
        <v>3</v>
      </c>
      <c r="V68" s="7">
        <f si="43" t="shared"/>
        <v>-369416.9477278397</v>
      </c>
      <c r="W68" s="7">
        <f si="43" t="shared"/>
        <v>-118578.76433788332</v>
      </c>
      <c r="X68" s="7">
        <f si="43" t="shared"/>
        <v>-88771.044826591038</v>
      </c>
      <c r="Y68" s="7">
        <f si="43" t="shared"/>
        <v>-125590.63047216015</v>
      </c>
      <c r="Z68" s="7">
        <f si="43" t="shared"/>
        <v>-132161.99044331582</v>
      </c>
      <c r="AA68" s="7">
        <f si="43" t="shared"/>
        <v>-36840.756314898237</v>
      </c>
      <c r="AB68" s="7">
        <f si="44" t="shared"/>
        <v>-138607.97618456656</v>
      </c>
      <c r="AC68" s="7">
        <f si="45" t="shared"/>
        <v>-1009968.1103072546</v>
      </c>
    </row>
    <row r="69" spans="1:29" x14ac:dyDescent="0.2">
      <c r="A69" s="20">
        <v>4</v>
      </c>
      <c r="B69" s="7">
        <f>output_NHTS!B172</f>
        <v>0</v>
      </c>
      <c r="C69" s="7">
        <f>output_NHTS!C172</f>
        <v>0</v>
      </c>
      <c r="D69" s="7">
        <f>output_NHTS!D172</f>
        <v>0</v>
      </c>
      <c r="E69" s="7">
        <f>output_NHTS!E172</f>
        <v>0</v>
      </c>
      <c r="F69" s="7">
        <f>output_NHTS!F172</f>
        <v>0</v>
      </c>
      <c r="G69" s="7">
        <f>output_NHTS!G172</f>
        <v>0</v>
      </c>
      <c r="H69" s="7">
        <f>output_NHTS!H172</f>
        <v>0</v>
      </c>
      <c r="I69" s="7">
        <f>output_NHTS!I172</f>
        <v>0</v>
      </c>
      <c r="K69" s="20">
        <v>4</v>
      </c>
      <c r="L69" s="7">
        <f>output!B172</f>
        <v>23721.289774779267</v>
      </c>
      <c r="M69" s="7">
        <f>output!C172</f>
        <v>1834.5838569599819</v>
      </c>
      <c r="N69" s="7">
        <f>output!D172</f>
        <v>1199.7822946352121</v>
      </c>
      <c r="O69" s="7">
        <f>output!E172</f>
        <v>608.21387853710519</v>
      </c>
      <c r="P69" s="7">
        <f>output!F172</f>
        <v>533.87882341614682</v>
      </c>
      <c r="Q69" s="7">
        <f>output!G172</f>
        <v>133.58941248402394</v>
      </c>
      <c r="R69" s="7">
        <f>output!H172</f>
        <v>274.73401329498006</v>
      </c>
      <c r="S69" s="7">
        <f>output!I172</f>
        <v>28306.072054106717</v>
      </c>
      <c r="U69" s="20">
        <v>4</v>
      </c>
      <c r="V69" s="7">
        <f si="43" t="shared"/>
        <v>23721.289774779267</v>
      </c>
      <c r="W69" s="7">
        <f si="43" t="shared"/>
        <v>1834.5838569599819</v>
      </c>
      <c r="X69" s="7">
        <f si="43" t="shared"/>
        <v>1199.7822946352121</v>
      </c>
      <c r="Y69" s="7">
        <f si="43" t="shared"/>
        <v>608.21387853710519</v>
      </c>
      <c r="Z69" s="7">
        <f si="43" t="shared"/>
        <v>533.87882341614682</v>
      </c>
      <c r="AA69" s="7">
        <f si="43" t="shared"/>
        <v>133.58941248402394</v>
      </c>
      <c r="AB69" s="7">
        <f si="44" t="shared"/>
        <v>274.73401329498006</v>
      </c>
      <c r="AC69" s="7">
        <f si="45" t="shared"/>
        <v>28306.072054106717</v>
      </c>
    </row>
    <row r="70" spans="1:29" x14ac:dyDescent="0.2">
      <c r="A70" s="20">
        <v>5</v>
      </c>
      <c r="B70" s="7">
        <f>output_NHTS!B173</f>
        <v>221154.7046470725</v>
      </c>
      <c r="C70" s="7">
        <f>output_NHTS!C173</f>
        <v>63150.179185809699</v>
      </c>
      <c r="D70" s="7">
        <f>output_NHTS!D173</f>
        <v>67432.067515017203</v>
      </c>
      <c r="E70" s="7">
        <f>output_NHTS!E173</f>
        <v>45194.760754001902</v>
      </c>
      <c r="F70" s="7">
        <f>output_NHTS!F173</f>
        <v>38478.596849287598</v>
      </c>
      <c r="G70" s="7">
        <f>output_NHTS!G173</f>
        <v>10855.2670758776</v>
      </c>
      <c r="H70" s="7">
        <f>output_NHTS!H173</f>
        <v>33144.076408098597</v>
      </c>
      <c r="I70" s="7">
        <f>output_NHTS!I173</f>
        <v>479409.65243516513</v>
      </c>
      <c r="K70" s="20">
        <v>5</v>
      </c>
      <c r="L70" s="7">
        <f>output!B173</f>
        <v>3527.2902962955877</v>
      </c>
      <c r="M70" s="7">
        <f>output!C173</f>
        <v>240.14025283540136</v>
      </c>
      <c r="N70" s="7">
        <f>output!D173</f>
        <v>101.38307713313314</v>
      </c>
      <c r="O70" s="7">
        <f>output!E173</f>
        <v>85.222440989685396</v>
      </c>
      <c r="P70" s="7">
        <f>output!F173</f>
        <v>53.204662597621891</v>
      </c>
      <c r="Q70" s="7">
        <f>output!G173</f>
        <v>17.014429145152079</v>
      </c>
      <c r="R70" s="7">
        <f>output!H173</f>
        <v>23.748463901689711</v>
      </c>
      <c r="S70" s="7">
        <f>output!I173</f>
        <v>4048.0036228982713</v>
      </c>
      <c r="U70" s="20">
        <v>5</v>
      </c>
      <c r="V70" s="7">
        <f si="43" t="shared"/>
        <v>-217627.4143507769</v>
      </c>
      <c r="W70" s="7">
        <f si="43" t="shared"/>
        <v>-62910.038932974297</v>
      </c>
      <c r="X70" s="7">
        <f si="43" t="shared"/>
        <v>-67330.684437884076</v>
      </c>
      <c r="Y70" s="7">
        <f si="43" t="shared"/>
        <v>-45109.538313012214</v>
      </c>
      <c r="Z70" s="7">
        <f si="43" t="shared"/>
        <v>-38425.392186689976</v>
      </c>
      <c r="AA70" s="7">
        <f si="43" t="shared"/>
        <v>-10838.252646732448</v>
      </c>
      <c r="AB70" s="7">
        <f si="44" t="shared"/>
        <v>-33120.327944196906</v>
      </c>
      <c r="AC70" s="7">
        <f si="45" t="shared"/>
        <v>-475361.64881226688</v>
      </c>
    </row>
    <row r="71" spans="1:29" x14ac:dyDescent="0.2">
      <c r="A71" s="3" t="s">
        <v>209</v>
      </c>
      <c r="B71" s="9">
        <f>output_NHTS!B174</f>
        <v>99653.110844152703</v>
      </c>
      <c r="C71" s="9">
        <f>output_NHTS!C174</f>
        <v>23972.169999938302</v>
      </c>
      <c r="D71" s="9">
        <f>output_NHTS!D174</f>
        <v>50273.143624694698</v>
      </c>
      <c r="E71" s="9">
        <f>output_NHTS!E174</f>
        <v>29631.646433645201</v>
      </c>
      <c r="F71" s="9">
        <f>output_NHTS!F174</f>
        <v>22799.370773385901</v>
      </c>
      <c r="G71" s="9">
        <f>output_NHTS!G174</f>
        <v>5886.0187059215004</v>
      </c>
      <c r="H71" s="9">
        <f>output_NHTS!H174</f>
        <v>15566.663662323399</v>
      </c>
      <c r="I71" s="9">
        <f>output_NHTS!I174</f>
        <v>247782.1240440617</v>
      </c>
      <c r="K71" s="3" t="s">
        <v>209</v>
      </c>
      <c r="L71" s="9">
        <f>output!B174</f>
        <v>9052.0555611384189</v>
      </c>
      <c r="M71" s="9">
        <f>output!C174</f>
        <v>166.67516818033513</v>
      </c>
      <c r="N71" s="9">
        <f>output!D174</f>
        <v>110.5563395526008</v>
      </c>
      <c r="O71" s="9">
        <f>output!E174</f>
        <v>36.254614248800394</v>
      </c>
      <c r="P71" s="9">
        <f>output!F174</f>
        <v>44.322509451406852</v>
      </c>
      <c r="Q71" s="9">
        <f>output!G174</f>
        <v>0.75</v>
      </c>
      <c r="R71" s="9">
        <f>output!H174</f>
        <v>13.443718774453739</v>
      </c>
      <c r="S71" s="9">
        <f>output!I174</f>
        <v>9424.0579113460153</v>
      </c>
      <c r="U71" s="3" t="s">
        <v>209</v>
      </c>
      <c r="V71" s="9">
        <f si="43" t="shared"/>
        <v>-90601.055283014284</v>
      </c>
      <c r="W71" s="9">
        <f si="43" t="shared"/>
        <v>-23805.494831757966</v>
      </c>
      <c r="X71" s="9">
        <f si="43" t="shared"/>
        <v>-50162.587285142094</v>
      </c>
      <c r="Y71" s="9">
        <f si="43" t="shared"/>
        <v>-29595.391819396402</v>
      </c>
      <c r="Z71" s="9">
        <f si="43" t="shared"/>
        <v>-22755.048263934495</v>
      </c>
      <c r="AA71" s="9">
        <f si="43" t="shared"/>
        <v>-5885.2687059215004</v>
      </c>
      <c r="AB71" s="9">
        <f si="44" t="shared"/>
        <v>-15553.219943548946</v>
      </c>
      <c r="AC71" s="9">
        <f si="45" t="shared"/>
        <v>-238358.06613271567</v>
      </c>
    </row>
    <row ht="13.5" r="72" spans="1:29" thickBot="1" x14ac:dyDescent="0.25">
      <c r="A72" s="21" t="s">
        <v>221</v>
      </c>
      <c r="B72" s="22">
        <f ref="B72:I72" si="46" t="shared">SUM(B65:B71)</f>
        <v>1764685.8471556962</v>
      </c>
      <c r="C72" s="22">
        <f si="46" t="shared"/>
        <v>805667.55726938799</v>
      </c>
      <c r="D72" s="22">
        <f si="46" t="shared"/>
        <v>654353.61641791463</v>
      </c>
      <c r="E72" s="22">
        <f si="46" t="shared"/>
        <v>737664.49946329114</v>
      </c>
      <c r="F72" s="22">
        <f si="46" t="shared"/>
        <v>723340.4122561164</v>
      </c>
      <c r="G72" s="22">
        <f si="46" t="shared"/>
        <v>305380.36648619035</v>
      </c>
      <c r="H72" s="22">
        <f si="46" t="shared"/>
        <v>1110225.4226397304</v>
      </c>
      <c r="I72" s="22">
        <f si="46" t="shared"/>
        <v>6101317.7216883274</v>
      </c>
      <c r="K72" s="21" t="s">
        <v>221</v>
      </c>
      <c r="L72" s="22">
        <f>SUM(L65:L71)</f>
        <v>1736322.7391370181</v>
      </c>
      <c r="M72" s="22">
        <f ref="M72:S72" si="47" t="shared">SUM(M65:M71)</f>
        <v>759604.05867632723</v>
      </c>
      <c r="N72" s="22">
        <f si="47" t="shared"/>
        <v>652501.6928895344</v>
      </c>
      <c r="O72" s="22">
        <f si="47" t="shared"/>
        <v>726934.19235486491</v>
      </c>
      <c r="P72" s="22">
        <f si="47" t="shared"/>
        <v>715712.2339648729</v>
      </c>
      <c r="Q72" s="22">
        <f si="47" t="shared"/>
        <v>312010.52221200266</v>
      </c>
      <c r="R72" s="22">
        <f si="47" t="shared"/>
        <v>1111285.5466877948</v>
      </c>
      <c r="S72" s="22">
        <f si="47" t="shared"/>
        <v>6014370.9859224148</v>
      </c>
      <c r="U72" s="21" t="s">
        <v>221</v>
      </c>
      <c r="V72" s="22">
        <f si="43" t="shared"/>
        <v>-28363.108018678147</v>
      </c>
      <c r="W72" s="22">
        <f si="43" t="shared"/>
        <v>-46063.498593060765</v>
      </c>
      <c r="X72" s="22">
        <f si="43" t="shared"/>
        <v>-1851.9235283802263</v>
      </c>
      <c r="Y72" s="22">
        <f si="43" t="shared"/>
        <v>-10730.307108426234</v>
      </c>
      <c r="Z72" s="22">
        <f si="43" t="shared"/>
        <v>-7628.178291243501</v>
      </c>
      <c r="AA72" s="22">
        <f si="43" t="shared"/>
        <v>6630.1557258123066</v>
      </c>
      <c r="AB72" s="22">
        <f si="44" t="shared"/>
        <v>1060.1240480644628</v>
      </c>
      <c r="AC72" s="22">
        <f si="45" t="shared"/>
        <v>-86946.73576591257</v>
      </c>
    </row>
    <row r="74" spans="1:29" x14ac:dyDescent="0.2">
      <c r="B74" s="7">
        <f>SUM(B66:B71)</f>
        <v>1764685.8471556962</v>
      </c>
      <c r="C74" s="7">
        <f ref="C74:H74" si="48" t="shared">SUM(C66:C71)</f>
        <v>805667.55726938799</v>
      </c>
      <c r="D74" s="7">
        <f si="48" t="shared"/>
        <v>654353.61641791463</v>
      </c>
      <c r="E74" s="7">
        <f si="48" t="shared"/>
        <v>737664.49946329114</v>
      </c>
      <c r="F74" s="7">
        <f si="48" t="shared"/>
        <v>723340.4122561164</v>
      </c>
      <c r="G74" s="7">
        <f si="48" t="shared"/>
        <v>305380.36648619035</v>
      </c>
      <c r="H74" s="7">
        <f si="48" t="shared"/>
        <v>1110225.4226397304</v>
      </c>
    </row>
    <row r="75" spans="1:29" x14ac:dyDescent="0.2">
      <c r="A75" s="2" t="s">
        <v>175</v>
      </c>
      <c r="K75" s="2" t="s">
        <v>175</v>
      </c>
      <c r="U75" s="2" t="s">
        <v>175</v>
      </c>
    </row>
    <row r="76" spans="1:29" x14ac:dyDescent="0.2">
      <c r="A76" s="2" t="s">
        <v>215</v>
      </c>
      <c r="K76" s="2" t="s">
        <v>195</v>
      </c>
      <c r="U76" s="2" t="s">
        <v>265</v>
      </c>
    </row>
    <row ht="13.5" r="77" spans="1:29" thickBot="1" x14ac:dyDescent="0.25"/>
    <row r="78" spans="1:29" x14ac:dyDescent="0.2">
      <c r="A78" s="5" t="s">
        <v>248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221</v>
      </c>
      <c r="K78" s="5" t="s">
        <v>248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221</v>
      </c>
      <c r="U78" s="5" t="s">
        <v>248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221</v>
      </c>
    </row>
    <row r="79" spans="1:29" x14ac:dyDescent="0.2">
      <c r="A79" s="18">
        <v>0</v>
      </c>
      <c r="B79" s="12">
        <f ref="B79:I79" si="49" t="shared">B65/B$12</f>
        <v>0</v>
      </c>
      <c r="C79" s="12">
        <f si="49" t="shared"/>
        <v>0</v>
      </c>
      <c r="D79" s="12">
        <f si="49" t="shared"/>
        <v>0</v>
      </c>
      <c r="E79" s="12">
        <f si="49" t="shared"/>
        <v>0</v>
      </c>
      <c r="F79" s="12">
        <f si="49" t="shared"/>
        <v>0</v>
      </c>
      <c r="G79" s="12">
        <f si="49" t="shared"/>
        <v>0</v>
      </c>
      <c r="H79" s="12">
        <f si="49" t="shared"/>
        <v>0</v>
      </c>
      <c r="I79" s="12">
        <f si="49" t="shared"/>
        <v>0</v>
      </c>
      <c r="K79" s="18">
        <v>0</v>
      </c>
      <c r="L79" s="12">
        <f ref="L79:S84" si="50" t="shared">L65/L$72</f>
        <v>0.44618124254533287</v>
      </c>
      <c r="M79" s="12">
        <f si="50" t="shared"/>
        <v>0.6352550330599247</v>
      </c>
      <c r="N79" s="12">
        <f si="50" t="shared"/>
        <v>0.64085971042162471</v>
      </c>
      <c r="O79" s="12">
        <f si="50" t="shared"/>
        <v>0.7150647982309204</v>
      </c>
      <c r="P79" s="12">
        <f si="50" t="shared"/>
        <v>0.74388659350298159</v>
      </c>
      <c r="Q79" s="12">
        <f si="50" t="shared"/>
        <v>0.81439305401181494</v>
      </c>
      <c r="R79" s="12">
        <f si="50" t="shared"/>
        <v>0.80651805936990129</v>
      </c>
      <c r="S79" s="12">
        <f si="50" t="shared"/>
        <v>0.64478959569854977</v>
      </c>
      <c r="U79" s="18">
        <v>0</v>
      </c>
      <c r="V79" s="12">
        <f ref="V79:AA86" si="51" t="shared">L79-B79</f>
        <v>0.44618124254533287</v>
      </c>
      <c r="W79" s="12">
        <f si="51" t="shared"/>
        <v>0.6352550330599247</v>
      </c>
      <c r="X79" s="12">
        <f si="51" t="shared"/>
        <v>0.64085971042162471</v>
      </c>
      <c r="Y79" s="12">
        <f si="51" t="shared"/>
        <v>0.7150647982309204</v>
      </c>
      <c r="Z79" s="12">
        <f si="51" t="shared"/>
        <v>0.74388659350298159</v>
      </c>
      <c r="AA79" s="12">
        <f si="51" t="shared"/>
        <v>0.81439305401181494</v>
      </c>
      <c r="AB79" s="12">
        <f ref="AB79:AB86" si="52" t="shared">R79-H79</f>
        <v>0.80651805936990129</v>
      </c>
      <c r="AC79" s="12">
        <f ref="AC79:AC86" si="53" t="shared">S79-I79</f>
        <v>0.64478959569854977</v>
      </c>
    </row>
    <row r="80" spans="1:29" x14ac:dyDescent="0.2">
      <c r="A80" s="18">
        <v>1</v>
      </c>
      <c r="B80" s="12">
        <f ref="B80:I80" si="54" t="shared">B66/B$12</f>
        <v>0.57056397092462952</v>
      </c>
      <c r="C80" s="12">
        <f si="54" t="shared"/>
        <v>0.73273860008572511</v>
      </c>
      <c r="D80" s="12">
        <f si="54" t="shared"/>
        <v>0.67539731657115465</v>
      </c>
      <c r="E80" s="12">
        <f si="54" t="shared"/>
        <v>0.72238481593613357</v>
      </c>
      <c r="F80" s="12">
        <f si="54" t="shared"/>
        <v>0.7277430821407157</v>
      </c>
      <c r="G80" s="12">
        <f si="54" t="shared"/>
        <v>0.82171438493184135</v>
      </c>
      <c r="H80" s="12">
        <f si="54" t="shared"/>
        <v>0.82902305002104137</v>
      </c>
      <c r="I80" s="12">
        <f si="54" t="shared"/>
        <v>0.69981277400126018</v>
      </c>
      <c r="K80" s="18">
        <v>1</v>
      </c>
      <c r="L80" s="12">
        <f si="50" t="shared"/>
        <v>0.35075275985686155</v>
      </c>
      <c r="M80" s="12">
        <f si="50" t="shared"/>
        <v>0.2720607865830651</v>
      </c>
      <c r="N80" s="12">
        <f si="50" t="shared"/>
        <v>0.28327984147418306</v>
      </c>
      <c r="O80" s="12">
        <f si="50" t="shared"/>
        <v>0.23038773453134875</v>
      </c>
      <c r="P80" s="12">
        <f si="50" t="shared"/>
        <v>0.21000430640024667</v>
      </c>
      <c r="Q80" s="12">
        <f si="50" t="shared"/>
        <v>0.15758339305683816</v>
      </c>
      <c r="R80" s="12">
        <f si="50" t="shared"/>
        <v>0.16760001377789821</v>
      </c>
      <c r="S80" s="12">
        <f si="50" t="shared"/>
        <v>0.25833417541276454</v>
      </c>
      <c r="U80" s="18">
        <v>1</v>
      </c>
      <c r="V80" s="12">
        <f si="51" t="shared"/>
        <v>-0.21981121106776796</v>
      </c>
      <c r="W80" s="12">
        <f si="51" t="shared"/>
        <v>-0.46067781350266002</v>
      </c>
      <c r="X80" s="12">
        <f si="51" t="shared"/>
        <v>-0.39211747509697159</v>
      </c>
      <c r="Y80" s="12">
        <f si="51" t="shared"/>
        <v>-0.49199708140478482</v>
      </c>
      <c r="Z80" s="12">
        <f si="51" t="shared"/>
        <v>-0.517738775740469</v>
      </c>
      <c r="AA80" s="12">
        <f si="51" t="shared"/>
        <v>-0.66413099187500313</v>
      </c>
      <c r="AB80" s="12">
        <f si="52" t="shared"/>
        <v>-0.66142303624314314</v>
      </c>
      <c r="AC80" s="12">
        <f si="53" t="shared"/>
        <v>-0.44147859858849564</v>
      </c>
    </row>
    <row r="81" spans="1:29" x14ac:dyDescent="0.2">
      <c r="A81" s="19">
        <v>2</v>
      </c>
      <c r="B81" s="12">
        <f ref="B81:I81" si="55" t="shared">B67/B$12</f>
        <v>0</v>
      </c>
      <c r="C81" s="12">
        <f si="55" t="shared"/>
        <v>0</v>
      </c>
      <c r="D81" s="12">
        <f si="55" t="shared"/>
        <v>0</v>
      </c>
      <c r="E81" s="12">
        <f si="55" t="shared"/>
        <v>0</v>
      </c>
      <c r="F81" s="12">
        <f si="55" t="shared"/>
        <v>0</v>
      </c>
      <c r="G81" s="12">
        <f si="55" t="shared"/>
        <v>0</v>
      </c>
      <c r="H81" s="12">
        <f si="55" t="shared"/>
        <v>0</v>
      </c>
      <c r="I81" s="12">
        <f si="55" t="shared"/>
        <v>0</v>
      </c>
      <c r="K81" s="19">
        <v>2</v>
      </c>
      <c r="L81" s="12">
        <f si="50" t="shared"/>
        <v>0.14322945175331914</v>
      </c>
      <c r="M81" s="12">
        <f si="50" t="shared"/>
        <v>7.7065352574086615E-2</v>
      </c>
      <c r="N81" s="12">
        <f si="50" t="shared"/>
        <v>6.4610813619511945E-2</v>
      </c>
      <c r="O81" s="12">
        <f si="50" t="shared"/>
        <v>4.753236308734006E-2</v>
      </c>
      <c r="P81" s="12">
        <f si="50" t="shared"/>
        <v>4.0344382186985772E-2</v>
      </c>
      <c r="Q81" s="12">
        <f si="50" t="shared"/>
        <v>2.4772899054446781E-2</v>
      </c>
      <c r="R81" s="12">
        <f si="50" t="shared"/>
        <v>2.334777485011813E-2</v>
      </c>
      <c r="S81" s="12">
        <f si="50" t="shared"/>
        <v>7.4237803535289013E-2</v>
      </c>
      <c r="U81" s="19">
        <v>2</v>
      </c>
      <c r="V81" s="12">
        <f si="51" t="shared"/>
        <v>0.14322945175331914</v>
      </c>
      <c r="W81" s="12">
        <f si="51" t="shared"/>
        <v>7.7065352574086615E-2</v>
      </c>
      <c r="X81" s="12">
        <f si="51" t="shared"/>
        <v>6.4610813619511945E-2</v>
      </c>
      <c r="Y81" s="12">
        <f si="51" t="shared"/>
        <v>4.753236308734006E-2</v>
      </c>
      <c r="Z81" s="12">
        <f si="51" t="shared"/>
        <v>4.0344382186985772E-2</v>
      </c>
      <c r="AA81" s="12">
        <f si="51" t="shared"/>
        <v>2.4772899054446781E-2</v>
      </c>
      <c r="AB81" s="12">
        <f si="52" t="shared"/>
        <v>2.334777485011813E-2</v>
      </c>
      <c r="AC81" s="12">
        <f si="53" t="shared"/>
        <v>7.4237803535289013E-2</v>
      </c>
    </row>
    <row r="82" spans="1:29" x14ac:dyDescent="0.2">
      <c r="A82" s="20">
        <v>3</v>
      </c>
      <c r="B82" s="12">
        <f ref="B82:I82" si="56" t="shared">B68/B$12</f>
        <v>0.2476428696819859</v>
      </c>
      <c r="C82" s="12">
        <f si="56" t="shared"/>
        <v>0.1591245531470703</v>
      </c>
      <c r="D82" s="12">
        <f si="56" t="shared"/>
        <v>0.14472255716919707</v>
      </c>
      <c r="E82" s="12">
        <f si="56" t="shared"/>
        <v>0.17617827440901754</v>
      </c>
      <c r="F82" s="12">
        <f si="56" t="shared"/>
        <v>0.18754166265662522</v>
      </c>
      <c r="G82" s="12">
        <f si="56" t="shared"/>
        <v>0.12346452105209621</v>
      </c>
      <c r="H82" s="12">
        <f si="56" t="shared"/>
        <v>0.12710231057950699</v>
      </c>
      <c r="I82" s="12">
        <f si="56" t="shared"/>
        <v>0.18100120592076865</v>
      </c>
      <c r="K82" s="20">
        <v>3</v>
      </c>
      <c r="L82" s="12">
        <f si="50" t="shared"/>
        <v>3.8929928189835879E-2</v>
      </c>
      <c r="M82" s="12">
        <f si="50" t="shared"/>
        <v>1.2668080940046683E-2</v>
      </c>
      <c r="N82" s="12">
        <f si="50" t="shared"/>
        <v>9.0860819196758192E-3</v>
      </c>
      <c r="O82" s="12">
        <f si="50" t="shared"/>
        <v>6.0113118656839205E-3</v>
      </c>
      <c r="P82" s="12">
        <f si="50" t="shared"/>
        <v>4.882511395070668E-3</v>
      </c>
      <c r="Q82" s="12">
        <f si="50" t="shared"/>
        <v>2.7655617698897866E-3</v>
      </c>
      <c r="R82" s="12">
        <f si="50" t="shared"/>
        <v>2.2534624917211906E-3</v>
      </c>
      <c r="S82" s="12">
        <f si="50" t="shared"/>
        <v>1.5692040821059301E-2</v>
      </c>
      <c r="U82" s="20">
        <v>3</v>
      </c>
      <c r="V82" s="12">
        <f si="51" t="shared"/>
        <v>-0.20871294149215003</v>
      </c>
      <c r="W82" s="12">
        <f si="51" t="shared"/>
        <v>-0.14645647220702362</v>
      </c>
      <c r="X82" s="12">
        <f si="51" t="shared"/>
        <v>-0.13563647524952124</v>
      </c>
      <c r="Y82" s="12">
        <f si="51" t="shared"/>
        <v>-0.17016696254333361</v>
      </c>
      <c r="Z82" s="12">
        <f si="51" t="shared"/>
        <v>-0.18265915126155455</v>
      </c>
      <c r="AA82" s="12">
        <f si="51" t="shared"/>
        <v>-0.12069895928220642</v>
      </c>
      <c r="AB82" s="12">
        <f si="52" t="shared"/>
        <v>-0.1248488480877858</v>
      </c>
      <c r="AC82" s="12">
        <f si="53" t="shared"/>
        <v>-0.16530916509970936</v>
      </c>
    </row>
    <row r="83" spans="1:29" x14ac:dyDescent="0.2">
      <c r="A83" s="20">
        <v>4</v>
      </c>
      <c r="B83" s="12">
        <f ref="B83:I83" si="57" t="shared">B69/B$12</f>
        <v>0</v>
      </c>
      <c r="C83" s="12">
        <f si="57" t="shared"/>
        <v>0</v>
      </c>
      <c r="D83" s="12">
        <f si="57" t="shared"/>
        <v>0</v>
      </c>
      <c r="E83" s="12">
        <f si="57" t="shared"/>
        <v>0</v>
      </c>
      <c r="F83" s="12">
        <f si="57" t="shared"/>
        <v>0</v>
      </c>
      <c r="G83" s="12">
        <f si="57" t="shared"/>
        <v>0</v>
      </c>
      <c r="H83" s="12">
        <f si="57" t="shared"/>
        <v>0</v>
      </c>
      <c r="I83" s="12">
        <f si="57" t="shared"/>
        <v>0</v>
      </c>
      <c r="K83" s="20">
        <v>4</v>
      </c>
      <c r="L83" s="12">
        <f si="50" t="shared"/>
        <v>1.3661797567985056E-2</v>
      </c>
      <c r="M83" s="12">
        <f si="50" t="shared"/>
        <v>2.4151843792895151E-3</v>
      </c>
      <c r="N83" s="12">
        <f si="50" t="shared"/>
        <v>1.8387420411464432E-3</v>
      </c>
      <c r="O83" s="12">
        <f si="50" t="shared"/>
        <v>8.366835470578547E-4</v>
      </c>
      <c r="P83" s="12">
        <f si="50" t="shared"/>
        <v>7.4594061423064839E-4</v>
      </c>
      <c r="Q83" s="12">
        <f si="50" t="shared"/>
        <v>4.2815675425604256E-4</v>
      </c>
      <c r="R83" s="12">
        <f si="50" t="shared"/>
        <v>2.4722180011593726E-4</v>
      </c>
      <c r="S83" s="12">
        <f si="50" t="shared"/>
        <v>4.7064060598126633E-3</v>
      </c>
      <c r="U83" s="20">
        <v>4</v>
      </c>
      <c r="V83" s="12">
        <f si="51" t="shared"/>
        <v>1.3661797567985056E-2</v>
      </c>
      <c r="W83" s="12">
        <f si="51" t="shared"/>
        <v>2.4151843792895151E-3</v>
      </c>
      <c r="X83" s="12">
        <f si="51" t="shared"/>
        <v>1.8387420411464432E-3</v>
      </c>
      <c r="Y83" s="12">
        <f si="51" t="shared"/>
        <v>8.366835470578547E-4</v>
      </c>
      <c r="Z83" s="12">
        <f si="51" t="shared"/>
        <v>7.4594061423064839E-4</v>
      </c>
      <c r="AA83" s="12">
        <f si="51" t="shared"/>
        <v>4.2815675425604256E-4</v>
      </c>
      <c r="AB83" s="12">
        <f si="52" t="shared"/>
        <v>2.4722180011593726E-4</v>
      </c>
      <c r="AC83" s="12">
        <f si="53" t="shared"/>
        <v>4.7064060598126633E-3</v>
      </c>
    </row>
    <row r="84" spans="1:29" x14ac:dyDescent="0.2">
      <c r="A84" s="20">
        <v>5</v>
      </c>
      <c r="B84" s="12">
        <f ref="B84:I84" si="58" t="shared">B70/B$12</f>
        <v>0.12532242212036071</v>
      </c>
      <c r="C84" s="12">
        <f si="58" t="shared"/>
        <v>7.8382427858758166E-2</v>
      </c>
      <c r="D84" s="12">
        <f si="58" t="shared"/>
        <v>0.10305141718961711</v>
      </c>
      <c r="E84" s="12">
        <f si="58" t="shared"/>
        <v>6.1267365837565223E-2</v>
      </c>
      <c r="F84" s="12">
        <f si="58" t="shared"/>
        <v>5.3195696241098871E-2</v>
      </c>
      <c r="G84" s="12">
        <f si="58" t="shared"/>
        <v>3.5546709177089443E-2</v>
      </c>
      <c r="H84" s="12">
        <f si="58" t="shared"/>
        <v>2.9853465550530724E-2</v>
      </c>
      <c r="I84" s="12">
        <f si="58" t="shared"/>
        <v>7.857477258248817E-2</v>
      </c>
      <c r="K84" s="20">
        <v>5</v>
      </c>
      <c r="L84" s="12">
        <f si="50" t="shared"/>
        <v>2.0314715788659838E-3</v>
      </c>
      <c r="M84" s="12">
        <f si="50" t="shared"/>
        <v>3.1613871739161789E-4</v>
      </c>
      <c r="N84" s="12">
        <f si="50" t="shared"/>
        <v>1.5537596030466827E-4</v>
      </c>
      <c r="O84" s="12">
        <f si="50" t="shared"/>
        <v>1.1723542775393713E-4</v>
      </c>
      <c r="P84" s="12">
        <f si="50" t="shared"/>
        <v>7.4338065038906639E-5</v>
      </c>
      <c r="Q84" s="12">
        <f si="50" t="shared"/>
        <v>5.4531587667390387E-5</v>
      </c>
      <c r="R84" s="12">
        <f si="50" t="shared"/>
        <v>2.1370262550855992E-5</v>
      </c>
      <c r="S84" s="12">
        <f si="50" t="shared"/>
        <v>6.7305519269982895E-4</v>
      </c>
      <c r="U84" s="20">
        <v>5</v>
      </c>
      <c r="V84" s="12">
        <f si="51" t="shared"/>
        <v>-0.12329095054149472</v>
      </c>
      <c r="W84" s="12">
        <f si="51" t="shared"/>
        <v>-7.8066289141366554E-2</v>
      </c>
      <c r="X84" s="12">
        <f si="51" t="shared"/>
        <v>-0.10289604122931244</v>
      </c>
      <c r="Y84" s="12">
        <f si="51" t="shared"/>
        <v>-6.1150130409811286E-2</v>
      </c>
      <c r="Z84" s="12">
        <f si="51" t="shared"/>
        <v>-5.3121358176059966E-2</v>
      </c>
      <c r="AA84" s="12">
        <f si="51" t="shared"/>
        <v>-3.5492177589422053E-2</v>
      </c>
      <c r="AB84" s="12">
        <f si="52" t="shared"/>
        <v>-2.9832095287979869E-2</v>
      </c>
      <c r="AC84" s="12">
        <f si="53" t="shared"/>
        <v>-7.7901717389788336E-2</v>
      </c>
    </row>
    <row r="85" spans="1:29" x14ac:dyDescent="0.2">
      <c r="A85" s="3" t="s">
        <v>209</v>
      </c>
      <c r="B85" s="13">
        <f ref="B85:I85" si="59" t="shared">B71/B$12</f>
        <v>5.647073727302377E-2</v>
      </c>
      <c r="C85" s="13">
        <f si="59" t="shared"/>
        <v>2.9754418908446659E-2</v>
      </c>
      <c r="D85" s="13">
        <f si="59" t="shared"/>
        <v>7.6828709070031115E-2</v>
      </c>
      <c r="E85" s="13">
        <f si="59" t="shared"/>
        <v>4.0169543817283528E-2</v>
      </c>
      <c r="F85" s="13">
        <f si="59" t="shared"/>
        <v>3.1519558961560168E-2</v>
      </c>
      <c r="G85" s="13">
        <f si="59" t="shared"/>
        <v>1.9274384838973178E-2</v>
      </c>
      <c r="H85" s="13">
        <f si="59" t="shared"/>
        <v>1.4021173848920954E-2</v>
      </c>
      <c r="I85" s="13">
        <f si="59" t="shared"/>
        <v>4.0611247495483102E-2</v>
      </c>
      <c r="K85" s="3" t="s">
        <v>209</v>
      </c>
      <c r="L85" s="13">
        <f ref="L85:S85" si="60" t="shared">L71/L$72</f>
        <v>5.2133485077995607E-3</v>
      </c>
      <c r="M85" s="13">
        <f si="60" t="shared"/>
        <v>2.1942374619585416E-4</v>
      </c>
      <c r="N85" s="13">
        <f si="60" t="shared"/>
        <v>1.694345635534121E-4</v>
      </c>
      <c r="O85" s="13">
        <f si="60" t="shared"/>
        <v>4.987330989529532E-5</v>
      </c>
      <c r="P85" s="13">
        <f si="60" t="shared"/>
        <v>6.1927835445638334E-5</v>
      </c>
      <c r="Q85" s="13">
        <f si="60" t="shared"/>
        <v>2.4037650867761295E-6</v>
      </c>
      <c r="R85" s="13">
        <f si="60" t="shared"/>
        <v>1.2097447694269909E-5</v>
      </c>
      <c r="S85" s="13">
        <f si="60" t="shared"/>
        <v>1.5669232798250243E-3</v>
      </c>
      <c r="U85" s="3" t="s">
        <v>209</v>
      </c>
      <c r="V85" s="12">
        <f si="51" t="shared"/>
        <v>-5.1257388765224211E-2</v>
      </c>
      <c r="W85" s="12">
        <f si="51" t="shared"/>
        <v>-2.9534995162250804E-2</v>
      </c>
      <c r="X85" s="12">
        <f si="51" t="shared"/>
        <v>-7.6659274506477706E-2</v>
      </c>
      <c r="Y85" s="12">
        <f si="51" t="shared"/>
        <v>-4.0119670507388232E-2</v>
      </c>
      <c r="Z85" s="12">
        <f si="51" t="shared"/>
        <v>-3.1457631126114528E-2</v>
      </c>
      <c r="AA85" s="12">
        <f si="51" t="shared"/>
        <v>-1.9271981073886401E-2</v>
      </c>
      <c r="AB85" s="12">
        <f si="52" t="shared"/>
        <v>-1.4009076401226684E-2</v>
      </c>
      <c r="AC85" s="12">
        <f si="53" t="shared"/>
        <v>-3.904432421565808E-2</v>
      </c>
    </row>
    <row ht="13.5" r="86" spans="1:29" thickBot="1" x14ac:dyDescent="0.25">
      <c r="A86" s="21" t="s">
        <v>221</v>
      </c>
      <c r="B86" s="17">
        <f ref="B86:I86" si="61" t="shared">B72/B$12</f>
        <v>1</v>
      </c>
      <c r="C86" s="17">
        <f si="61" t="shared"/>
        <v>1.0000000000000002</v>
      </c>
      <c r="D86" s="17">
        <f si="61" t="shared"/>
        <v>1</v>
      </c>
      <c r="E86" s="17">
        <f si="61" t="shared"/>
        <v>0.99999999999999989</v>
      </c>
      <c r="F86" s="17">
        <f si="61" t="shared"/>
        <v>1</v>
      </c>
      <c r="G86" s="17">
        <f si="61" t="shared"/>
        <v>1</v>
      </c>
      <c r="H86" s="17">
        <f si="61" t="shared"/>
        <v>1.0000000000000002</v>
      </c>
      <c r="I86" s="17">
        <f si="61" t="shared"/>
        <v>1.0000000000000002</v>
      </c>
      <c r="K86" s="21" t="s">
        <v>221</v>
      </c>
      <c r="L86" s="17">
        <f ref="L86:S86" si="62" t="shared">L72/L$72</f>
        <v>1</v>
      </c>
      <c r="M86" s="17">
        <f si="62" t="shared"/>
        <v>1</v>
      </c>
      <c r="N86" s="17">
        <f si="62" t="shared"/>
        <v>1</v>
      </c>
      <c r="O86" s="17">
        <f si="62" t="shared"/>
        <v>1</v>
      </c>
      <c r="P86" s="17">
        <f si="62" t="shared"/>
        <v>1</v>
      </c>
      <c r="Q86" s="17">
        <f si="62" t="shared"/>
        <v>1</v>
      </c>
      <c r="R86" s="17">
        <f si="62" t="shared"/>
        <v>1</v>
      </c>
      <c r="S86" s="17">
        <f si="62" t="shared"/>
        <v>1</v>
      </c>
      <c r="U86" s="21" t="s">
        <v>221</v>
      </c>
      <c r="V86" s="14">
        <f si="51" t="shared"/>
        <v>0</v>
      </c>
      <c r="W86" s="14">
        <f si="51" t="shared"/>
        <v>0</v>
      </c>
      <c r="X86" s="14">
        <f si="51" t="shared"/>
        <v>0</v>
      </c>
      <c r="Y86" s="14">
        <f si="51" t="shared"/>
        <v>0</v>
      </c>
      <c r="Z86" s="14">
        <f si="51" t="shared"/>
        <v>0</v>
      </c>
      <c r="AA86" s="14">
        <f si="51" t="shared"/>
        <v>0</v>
      </c>
      <c r="AB86" s="14">
        <f si="52" t="shared"/>
        <v>0</v>
      </c>
      <c r="AC86" s="14">
        <f si="53" t="shared"/>
        <v>0</v>
      </c>
    </row>
  </sheetData>
  <phoneticPr fontId="6" type="noConversion"/>
  <conditionalFormatting sqref="V19:AC26 V49:AC56 V79:AC86">
    <cfRule dxfId="20" operator="notBetween" priority="1" stopIfTrue="1" type="cellIs">
      <formula>-0.15</formula>
      <formula>0.15</formula>
    </cfRule>
    <cfRule dxfId="19" operator="notBetween" priority="2" stopIfTrue="1" type="cellIs">
      <formula>-0.1</formula>
      <formula>0.1</formula>
    </cfRule>
    <cfRule dxfId="18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AO138"/>
  <sheetViews>
    <sheetView workbookViewId="0">
      <selection activeCell="N5" sqref="N5"/>
    </sheetView>
  </sheetViews>
  <sheetFormatPr defaultColWidth="10.75" defaultRowHeight="12.75" x14ac:dyDescent="0.2"/>
  <cols>
    <col min="1" max="13" style="3" width="10.75" collapsed="true"/>
    <col min="14" max="23" style="39" width="10.75" collapsed="true"/>
    <col min="24" max="35" style="3" width="10.75" collapsed="true"/>
    <col min="36" max="36" customWidth="true" style="3" width="2.125" collapsed="true"/>
    <col min="37" max="37" style="3" width="10.75" collapsed="true"/>
    <col min="38" max="38" customWidth="true" style="3" width="2.25" collapsed="true"/>
    <col min="39" max="16384" style="3" width="10.75" collapsed="true"/>
  </cols>
  <sheetData>
    <row r="1" spans="1:39" x14ac:dyDescent="0.2">
      <c r="A1" s="2" t="s">
        <v>175</v>
      </c>
      <c r="L1"/>
      <c r="M1" s="2" t="s">
        <v>175</v>
      </c>
      <c r="Y1" s="2" t="s">
        <v>175</v>
      </c>
    </row>
    <row r="2" spans="1:39" x14ac:dyDescent="0.2">
      <c r="A2" s="2" t="s">
        <v>158</v>
      </c>
      <c r="L2"/>
      <c r="M2" s="2" t="s">
        <v>257</v>
      </c>
      <c r="Y2" s="2" t="s">
        <v>84</v>
      </c>
    </row>
    <row ht="13.5" r="3" spans="1:39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243</v>
      </c>
      <c r="R4" s="41" t="s">
        <v>244</v>
      </c>
      <c r="S4" s="41" t="s">
        <v>245</v>
      </c>
      <c r="T4" s="41"/>
      <c r="U4" s="41" t="s">
        <v>246</v>
      </c>
      <c r="V4" s="41" t="s">
        <v>170</v>
      </c>
      <c r="W4" s="41" t="s">
        <v>221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  <c r="AM4" s="3" t="s">
        <v>81</v>
      </c>
    </row>
    <row r="5" spans="1:39" x14ac:dyDescent="0.2">
      <c r="A5" s="3" t="s">
        <v>210</v>
      </c>
      <c r="B5" s="7">
        <f>output_NHTS!B178</f>
        <v>1409852.2488803985</v>
      </c>
      <c r="C5" s="7">
        <f>output_NHTS!C178</f>
        <v>197024.1172217548</v>
      </c>
      <c r="D5" s="7">
        <f>output_NHTS!D178</f>
        <v>17274.135335971201</v>
      </c>
      <c r="E5" s="7">
        <f>output_NHTS!E178</f>
        <v>36504.904088915901</v>
      </c>
      <c r="F5" s="7">
        <f>output_NHTS!F178</f>
        <v>62852.677853105903</v>
      </c>
      <c r="G5" s="7">
        <f>output_NHTS!G178</f>
        <v>2054.6708749999998</v>
      </c>
      <c r="H5" s="7"/>
      <c r="I5" s="7">
        <f>output_NHTS!H178</f>
        <v>1525.4285</v>
      </c>
      <c r="J5" s="7">
        <f>output_NHTS!I178</f>
        <v>470.77049999999997</v>
      </c>
      <c r="K5" s="7">
        <f>output_NHTS!J178</f>
        <v>1727558.953255146</v>
      </c>
      <c r="L5"/>
      <c r="M5" s="3" t="s">
        <v>210</v>
      </c>
      <c r="N5" s="53">
        <f>output!B178</f>
        <v>1412742.9370398901</v>
      </c>
      <c r="O5" s="53">
        <f>output!C178</f>
        <v>212080.122627059</v>
      </c>
      <c r="P5" s="53">
        <f>output!D178</f>
        <v>0</v>
      </c>
      <c r="Q5" s="53">
        <f>output!E178</f>
        <v>0</v>
      </c>
      <c r="R5" s="53">
        <f>output!F178</f>
        <v>71603.614413764473</v>
      </c>
      <c r="S5" s="53">
        <f>output!G178</f>
        <v>2371.4970735538127</v>
      </c>
      <c r="T5" s="53"/>
      <c r="U5" s="53">
        <f>output!H178</f>
        <v>0</v>
      </c>
      <c r="V5" s="53">
        <f>output!I178</f>
        <v>0</v>
      </c>
      <c r="W5" s="53">
        <f>output!J178</f>
        <v>1698798.1711542674</v>
      </c>
      <c r="Y5" s="3" t="s">
        <v>210</v>
      </c>
      <c r="Z5" s="7">
        <f ref="Z5:Z13" si="0" t="shared">N5-B5</f>
        <v>2890.688159491634</v>
      </c>
      <c r="AA5" s="7">
        <f ref="AA5:AA13" si="1" t="shared">O5-C5</f>
        <v>15056.005405304197</v>
      </c>
      <c r="AB5" s="7">
        <f ref="AB5:AB13" si="2" t="shared">P5-D5</f>
        <v>-17274.135335971201</v>
      </c>
      <c r="AC5" s="7">
        <f ref="AC5:AC13" si="3" t="shared">Q5-E5</f>
        <v>-36504.904088915901</v>
      </c>
      <c r="AD5" s="7">
        <f ref="AD5:AD13" si="4" t="shared">R5-F5</f>
        <v>8750.9365606585707</v>
      </c>
      <c r="AE5" s="7">
        <f ref="AE5:AE13" si="5" t="shared">S5-G5</f>
        <v>316.8261985538129</v>
      </c>
      <c r="AF5" s="7"/>
      <c r="AG5" s="7">
        <f ref="AG5:AG13" si="6" t="shared">U5-I5</f>
        <v>-1525.4285</v>
      </c>
      <c r="AH5" s="7">
        <f ref="AH5:AH13" si="7" t="shared">V5-J5</f>
        <v>-470.77049999999997</v>
      </c>
      <c r="AI5" s="7">
        <f ref="AI5:AI13" si="8" t="shared">W5-K5</f>
        <v>-28760.782100878656</v>
      </c>
      <c r="AK5" s="3">
        <v>1424330</v>
      </c>
      <c r="AM5" s="7">
        <f>W5-AK5</f>
        <v>274468.17115426739</v>
      </c>
    </row>
    <row r="6" spans="1:39" x14ac:dyDescent="0.2">
      <c r="A6" s="3" t="s">
        <v>211</v>
      </c>
      <c r="B6" s="7">
        <f>output_NHTS!B179</f>
        <v>7504.0738574372999</v>
      </c>
      <c r="C6" s="7">
        <f>output_NHTS!C179</f>
        <v>41458.994241735199</v>
      </c>
      <c r="D6" s="7">
        <f>output_NHTS!D179</f>
        <v>1402.1807139949999</v>
      </c>
      <c r="E6" s="7">
        <f>output_NHTS!E179</f>
        <v>71975.982674155399</v>
      </c>
      <c r="F6" s="7">
        <f>output_NHTS!F179</f>
        <v>51839.910811920003</v>
      </c>
      <c r="G6" s="7">
        <f>output_NHTS!G179</f>
        <v>76767.618749579997</v>
      </c>
      <c r="H6" s="7"/>
      <c r="I6" s="7">
        <f>output_NHTS!H179</f>
        <v>490330.682875</v>
      </c>
      <c r="J6" s="7">
        <f>output_NHTS!I179</f>
        <v>63797.081124999997</v>
      </c>
      <c r="K6" s="7">
        <f>output_NHTS!J179</f>
        <v>805076.52504882286</v>
      </c>
      <c r="L6"/>
      <c r="M6" s="3" t="s">
        <v>211</v>
      </c>
      <c r="N6" s="53">
        <f>output!B179</f>
        <v>11736.953422291479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146626.20568461696</v>
      </c>
      <c r="S6" s="53">
        <f>output!G179</f>
        <v>109667.44901496237</v>
      </c>
      <c r="T6" s="53"/>
      <c r="U6" s="53">
        <f>output!H179</f>
        <v>452944.03326119937</v>
      </c>
      <c r="V6" s="53">
        <f>output!I179</f>
        <v>38004.794840105125</v>
      </c>
      <c r="W6" s="53">
        <f>output!J179</f>
        <v>758979.43622317526</v>
      </c>
      <c r="Y6" s="3" t="s">
        <v>211</v>
      </c>
      <c r="Z6" s="7">
        <f si="0" t="shared"/>
        <v>4232.8795648541791</v>
      </c>
      <c r="AA6" s="7">
        <f si="1" t="shared"/>
        <v>-41458.994241735199</v>
      </c>
      <c r="AB6" s="7">
        <f si="2" t="shared"/>
        <v>-1402.1807139949999</v>
      </c>
      <c r="AC6" s="7">
        <f si="3" t="shared"/>
        <v>-71975.982674155399</v>
      </c>
      <c r="AD6" s="7">
        <f si="4" t="shared"/>
        <v>94786.294872696948</v>
      </c>
      <c r="AE6" s="7">
        <f si="5" t="shared"/>
        <v>32899.830265382378</v>
      </c>
      <c r="AF6" s="7"/>
      <c r="AG6" s="7">
        <f si="6" t="shared"/>
        <v>-37386.649613800633</v>
      </c>
      <c r="AH6" s="7">
        <f si="7" t="shared"/>
        <v>-25792.286284894872</v>
      </c>
      <c r="AI6" s="7">
        <f si="8" t="shared"/>
        <v>-46097.088825647603</v>
      </c>
      <c r="AK6" s="3">
        <v>741310</v>
      </c>
      <c r="AM6" s="7">
        <f ref="AM6:AM13" si="9" t="shared">W6-AK6</f>
        <v>17669.43622317526</v>
      </c>
    </row>
    <row r="7" spans="1:39" x14ac:dyDescent="0.2">
      <c r="A7" s="3" t="s">
        <v>212</v>
      </c>
      <c r="B7" s="7">
        <f>output_NHTS!B180</f>
        <v>175960.01260278179</v>
      </c>
      <c r="C7" s="7">
        <f>output_NHTS!C180</f>
        <v>95203.5709531881</v>
      </c>
      <c r="D7" s="7">
        <f>output_NHTS!D180</f>
        <v>56287.992597320299</v>
      </c>
      <c r="E7" s="7">
        <f>output_NHTS!E180</f>
        <v>226676.82404124251</v>
      </c>
      <c r="F7" s="7">
        <f>output_NHTS!F180</f>
        <v>11569.829231076399</v>
      </c>
      <c r="G7" s="7">
        <f>output_NHTS!G180</f>
        <v>8238.3787969599998</v>
      </c>
      <c r="H7" s="7"/>
      <c r="I7" s="7">
        <f>output_NHTS!H180</f>
        <v>31051.988000000001</v>
      </c>
      <c r="J7" s="7">
        <f>output_NHTS!I180</f>
        <v>43808.416875000003</v>
      </c>
      <c r="K7" s="7">
        <f>output_NHTS!J180</f>
        <v>778556.41571708291</v>
      </c>
      <c r="L7"/>
      <c r="M7" s="3" t="s">
        <v>212</v>
      </c>
      <c r="N7" s="53">
        <f>output!B180</f>
        <v>174272.86643529322</v>
      </c>
      <c r="O7" s="53">
        <f>output!C180</f>
        <v>76130.461173587493</v>
      </c>
      <c r="P7" s="53">
        <f>output!D180</f>
        <v>61975.105788668821</v>
      </c>
      <c r="Q7" s="53">
        <f>output!E180</f>
        <v>224376.51881642616</v>
      </c>
      <c r="R7" s="53">
        <f>output!F180</f>
        <v>11244.744124976249</v>
      </c>
      <c r="S7" s="53">
        <f>output!G180</f>
        <v>6581.1204203719672</v>
      </c>
      <c r="T7" s="53"/>
      <c r="U7" s="53">
        <f>output!H180</f>
        <v>29076.063074266429</v>
      </c>
      <c r="V7" s="53">
        <f>output!I180</f>
        <v>62761.716521028975</v>
      </c>
      <c r="W7" s="53">
        <f>output!J180</f>
        <v>646418.59635461937</v>
      </c>
      <c r="Y7" s="3" t="s">
        <v>212</v>
      </c>
      <c r="Z7" s="7">
        <f si="0" t="shared"/>
        <v>-1687.146167488565</v>
      </c>
      <c r="AA7" s="7">
        <f si="1" t="shared"/>
        <v>-19073.109779600607</v>
      </c>
      <c r="AB7" s="7">
        <f si="2" t="shared"/>
        <v>5687.1131913485224</v>
      </c>
      <c r="AC7" s="7">
        <f si="3" t="shared"/>
        <v>-2300.305224816344</v>
      </c>
      <c r="AD7" s="7">
        <f si="4" t="shared"/>
        <v>-325.08510610015037</v>
      </c>
      <c r="AE7" s="7">
        <f si="5" t="shared"/>
        <v>-1657.2583765880327</v>
      </c>
      <c r="AF7" s="7"/>
      <c r="AG7" s="7">
        <f si="6" t="shared"/>
        <v>-1975.9249257335723</v>
      </c>
      <c r="AH7" s="7">
        <f si="7" t="shared"/>
        <v>18953.299646028972</v>
      </c>
      <c r="AI7" s="7">
        <f si="8" t="shared"/>
        <v>-132137.81936246355</v>
      </c>
      <c r="AK7" s="3">
        <v>924620</v>
      </c>
      <c r="AM7" s="7">
        <f si="9" t="shared"/>
        <v>-278201.40364538063</v>
      </c>
    </row>
    <row r="8" spans="1:39" x14ac:dyDescent="0.2">
      <c r="A8" s="3" t="s">
        <v>213</v>
      </c>
      <c r="B8" s="7">
        <f>output_NHTS!B181</f>
        <v>139948.29881939929</v>
      </c>
      <c r="C8" s="7">
        <f>output_NHTS!C181</f>
        <v>78011.263471984406</v>
      </c>
      <c r="D8" s="7">
        <f>output_NHTS!D181</f>
        <v>160095.9780834032</v>
      </c>
      <c r="E8" s="7">
        <f>output_NHTS!E181</f>
        <v>187885.90913780901</v>
      </c>
      <c r="F8" s="7">
        <f>output_NHTS!F181</f>
        <v>15998.2777157859</v>
      </c>
      <c r="G8" s="7">
        <f>output_NHTS!G181</f>
        <v>5022.4174999999996</v>
      </c>
      <c r="H8" s="7"/>
      <c r="I8" s="7">
        <f>output_NHTS!H181</f>
        <v>65357.599499999997</v>
      </c>
      <c r="J8" s="7">
        <f>output_NHTS!I181</f>
        <v>65823.361000000004</v>
      </c>
      <c r="K8" s="7">
        <f>output_NHTS!J181</f>
        <v>861771.72627405811</v>
      </c>
      <c r="L8"/>
      <c r="M8" s="3" t="s">
        <v>213</v>
      </c>
      <c r="N8" s="53">
        <f>output!B181</f>
        <v>135495.48840471343</v>
      </c>
      <c r="O8" s="53">
        <f>output!C181</f>
        <v>72852.006932398348</v>
      </c>
      <c r="P8" s="53">
        <f>output!D181</f>
        <v>160702.97304326264</v>
      </c>
      <c r="Q8" s="53">
        <f>output!E181</f>
        <v>191558.39944862467</v>
      </c>
      <c r="R8" s="53">
        <f>output!F181</f>
        <v>14369.498646758684</v>
      </c>
      <c r="S8" s="53">
        <f>output!G181</f>
        <v>6495.7009548277538</v>
      </c>
      <c r="T8" s="53"/>
      <c r="U8" s="53">
        <f>output!H181</f>
        <v>56838.051354573894</v>
      </c>
      <c r="V8" s="53">
        <f>output!I181</f>
        <v>67411.999951597114</v>
      </c>
      <c r="W8" s="53">
        <f>output!J181</f>
        <v>705724.1187367565</v>
      </c>
      <c r="Y8" s="3" t="s">
        <v>213</v>
      </c>
      <c r="Z8" s="7">
        <f si="0" t="shared"/>
        <v>-4452.8104146858677</v>
      </c>
      <c r="AA8" s="7">
        <f si="1" t="shared"/>
        <v>-5159.2565395860584</v>
      </c>
      <c r="AB8" s="7">
        <f si="2" t="shared"/>
        <v>606.9949598594394</v>
      </c>
      <c r="AC8" s="7">
        <f si="3" t="shared"/>
        <v>3672.4903108156577</v>
      </c>
      <c r="AD8" s="7">
        <f si="4" t="shared"/>
        <v>-1628.7790690272159</v>
      </c>
      <c r="AE8" s="7">
        <f si="5" t="shared"/>
        <v>1473.2834548277542</v>
      </c>
      <c r="AF8" s="7"/>
      <c r="AG8" s="7">
        <f si="6" t="shared"/>
        <v>-8519.5481454261026</v>
      </c>
      <c r="AH8" s="7">
        <f si="7" t="shared"/>
        <v>1588.6389515971096</v>
      </c>
      <c r="AI8" s="7">
        <f si="8" t="shared"/>
        <v>-156047.60753730161</v>
      </c>
      <c r="AK8" s="3">
        <v>541880</v>
      </c>
      <c r="AM8" s="7">
        <f si="9" t="shared"/>
        <v>163844.1187367565</v>
      </c>
    </row>
    <row r="9" spans="1:39" x14ac:dyDescent="0.2">
      <c r="A9" s="3" t="s">
        <v>214</v>
      </c>
      <c r="B9" s="7">
        <f>output_NHTS!B182</f>
        <v>155422.9852594453</v>
      </c>
      <c r="C9" s="7">
        <f>output_NHTS!C182</f>
        <v>69258.373600786697</v>
      </c>
      <c r="D9" s="7">
        <f>output_NHTS!D182</f>
        <v>132977.5494189795</v>
      </c>
      <c r="E9" s="7">
        <f>output_NHTS!E182</f>
        <v>219601.48351633549</v>
      </c>
      <c r="F9" s="7">
        <f>output_NHTS!F182</f>
        <v>19537.267189447299</v>
      </c>
      <c r="G9" s="7">
        <f>output_NHTS!G182</f>
        <v>1043.620822394</v>
      </c>
      <c r="H9" s="7"/>
      <c r="I9" s="7">
        <f>output_NHTS!H182</f>
        <v>32873.983749999999</v>
      </c>
      <c r="J9" s="7">
        <f>output_NHTS!I182</f>
        <v>71722.551749999999</v>
      </c>
      <c r="K9" s="7">
        <f>output_NHTS!J182</f>
        <v>842925.37836886593</v>
      </c>
      <c r="L9"/>
      <c r="M9" s="3" t="s">
        <v>214</v>
      </c>
      <c r="N9" s="53">
        <f>output!B182</f>
        <v>149863.63651604491</v>
      </c>
      <c r="O9" s="53">
        <f>output!C182</f>
        <v>56720.405020756756</v>
      </c>
      <c r="P9" s="53">
        <f>output!D182</f>
        <v>131953.84827173653</v>
      </c>
      <c r="Q9" s="53">
        <f>output!E182</f>
        <v>206816.18215743345</v>
      </c>
      <c r="R9" s="53">
        <f>output!F182</f>
        <v>14673.554675229912</v>
      </c>
      <c r="S9" s="53">
        <f>output!G182</f>
        <v>1701.1749489727583</v>
      </c>
      <c r="T9" s="53"/>
      <c r="U9" s="53">
        <f>output!H182</f>
        <v>39941.06938650825</v>
      </c>
      <c r="V9" s="53">
        <f>output!I182</f>
        <v>93455.59905028416</v>
      </c>
      <c r="W9" s="53">
        <f>output!J182</f>
        <v>695125.47002696665</v>
      </c>
      <c r="Y9" s="3" t="s">
        <v>214</v>
      </c>
      <c r="Z9" s="7">
        <f si="0" t="shared"/>
        <v>-5559.348743400391</v>
      </c>
      <c r="AA9" s="7">
        <f si="1" t="shared"/>
        <v>-12537.968580029941</v>
      </c>
      <c r="AB9" s="7">
        <f si="2" t="shared"/>
        <v>-1023.7011472429731</v>
      </c>
      <c r="AC9" s="7">
        <f si="3" t="shared"/>
        <v>-12785.301358902041</v>
      </c>
      <c r="AD9" s="7">
        <f si="4" t="shared"/>
        <v>-4863.7125142173863</v>
      </c>
      <c r="AE9" s="7">
        <f si="5" t="shared"/>
        <v>657.55412657875831</v>
      </c>
      <c r="AF9" s="7"/>
      <c r="AG9" s="7">
        <f si="6" t="shared"/>
        <v>7067.0856365082509</v>
      </c>
      <c r="AH9" s="7">
        <f si="7" t="shared"/>
        <v>21733.047300284161</v>
      </c>
      <c r="AI9" s="7">
        <f si="8" t="shared"/>
        <v>-147799.90834189928</v>
      </c>
      <c r="AK9" s="3">
        <v>394190</v>
      </c>
      <c r="AM9" s="7">
        <f si="9" t="shared"/>
        <v>300935.47002696665</v>
      </c>
    </row>
    <row r="10" spans="1:39" x14ac:dyDescent="0.2">
      <c r="A10" s="3" t="s">
        <v>129</v>
      </c>
      <c r="B10" s="7">
        <f>output_NHTS!B183</f>
        <v>72908.890458873895</v>
      </c>
      <c r="C10" s="7">
        <f>output_NHTS!C183</f>
        <v>20670.231697515501</v>
      </c>
      <c r="D10" s="7">
        <f>output_NHTS!D183</f>
        <v>40669.872001609103</v>
      </c>
      <c r="E10" s="7">
        <f>output_NHTS!E183</f>
        <v>62725.6534069314</v>
      </c>
      <c r="F10" s="7">
        <f>output_NHTS!F183</f>
        <v>6877.2431619211002</v>
      </c>
      <c r="G10" s="7">
        <f>output_NHTS!G183</f>
        <v>0</v>
      </c>
      <c r="H10" s="7"/>
      <c r="I10" s="7">
        <f>output_NHTS!H183</f>
        <v>14093.2955</v>
      </c>
      <c r="J10" s="7">
        <f>output_NHTS!I183</f>
        <v>7305.3575000000001</v>
      </c>
      <c r="K10" s="7">
        <f>output_NHTS!J183</f>
        <v>270300.65247222123</v>
      </c>
      <c r="L10"/>
      <c r="M10" s="3" t="s">
        <v>129</v>
      </c>
      <c r="N10" s="53">
        <f>output!B183</f>
        <v>70025.403949739819</v>
      </c>
      <c r="O10" s="53">
        <f>output!C183</f>
        <v>20130.418751442652</v>
      </c>
      <c r="P10" s="53">
        <f>output!D183</f>
        <v>38379.595156915595</v>
      </c>
      <c r="Q10" s="53">
        <f>output!E183</f>
        <v>61731.099677358303</v>
      </c>
      <c r="R10" s="53">
        <f>output!F183</f>
        <v>5953.8256532726982</v>
      </c>
      <c r="S10" s="53">
        <f>output!G183</f>
        <v>7691.3222898021759</v>
      </c>
      <c r="T10" s="53"/>
      <c r="U10" s="53">
        <f>output!H183</f>
        <v>16731.287904114648</v>
      </c>
      <c r="V10" s="53">
        <f>output!I183</f>
        <v>9893.839247200327</v>
      </c>
      <c r="W10" s="53">
        <f>output!J183</f>
        <v>230536.79262984623</v>
      </c>
      <c r="Y10" s="3" t="s">
        <v>129</v>
      </c>
      <c r="Z10" s="7">
        <f si="0" t="shared"/>
        <v>-2883.4865091340762</v>
      </c>
      <c r="AA10" s="7">
        <f si="1" t="shared"/>
        <v>-539.81294607284872</v>
      </c>
      <c r="AB10" s="7">
        <f si="2" t="shared"/>
        <v>-2290.2768446935079</v>
      </c>
      <c r="AC10" s="7">
        <f si="3" t="shared"/>
        <v>-994.55372957309737</v>
      </c>
      <c r="AD10" s="7">
        <f si="4" t="shared"/>
        <v>-923.41750864840196</v>
      </c>
      <c r="AE10" s="7">
        <f si="5" t="shared"/>
        <v>7691.3222898021759</v>
      </c>
      <c r="AF10" s="7"/>
      <c r="AG10" s="7">
        <f si="6" t="shared"/>
        <v>2637.9924041146478</v>
      </c>
      <c r="AH10" s="7">
        <f si="7" t="shared"/>
        <v>2588.4817472003269</v>
      </c>
      <c r="AI10" s="7">
        <f si="8" t="shared"/>
        <v>-39763.859842375008</v>
      </c>
      <c r="AK10" s="3">
        <v>166390</v>
      </c>
      <c r="AM10" s="7">
        <f si="9" t="shared"/>
        <v>64146.792629846226</v>
      </c>
    </row>
    <row r="11" spans="1:39" x14ac:dyDescent="0.2">
      <c r="A11" s="25" t="s">
        <v>130</v>
      </c>
      <c r="B11" s="7">
        <f>output_NHTS!B184</f>
        <v>298428.71659137728</v>
      </c>
      <c r="C11" s="7">
        <f>output_NHTS!C184</f>
        <v>116955.65387866209</v>
      </c>
      <c r="D11" s="7">
        <f>output_NHTS!D184</f>
        <v>139202.5364632381</v>
      </c>
      <c r="E11" s="7">
        <f>output_NHTS!E184</f>
        <v>247086.65098616161</v>
      </c>
      <c r="F11" s="7">
        <f>output_NHTS!F184</f>
        <v>24740.3139376461</v>
      </c>
      <c r="G11" s="7">
        <f>output_NHTS!G184</f>
        <v>14986.516394658</v>
      </c>
      <c r="H11" s="7"/>
      <c r="I11" s="7">
        <f>output_NHTS!H184</f>
        <v>137202.605125</v>
      </c>
      <c r="J11" s="7">
        <f>output_NHTS!I184</f>
        <v>111407.60725</v>
      </c>
      <c r="K11" s="7">
        <f>output_NHTS!J184</f>
        <v>1308012.7207520921</v>
      </c>
      <c r="L11"/>
      <c r="M11" s="25" t="s">
        <v>130</v>
      </c>
      <c r="N11" s="54">
        <f>output!B184</f>
        <v>297569.93071221275</v>
      </c>
      <c r="O11" s="54">
        <f>output!C184</f>
        <v>115076.26365641083</v>
      </c>
      <c r="P11" s="54">
        <f>output!D184</f>
        <v>156535.74198037435</v>
      </c>
      <c r="Q11" s="54">
        <f>output!E184</f>
        <v>249942.03119939065</v>
      </c>
      <c r="R11" s="54">
        <f>output!F184</f>
        <v>24507.261213533511</v>
      </c>
      <c r="S11" s="54">
        <f>output!G184</f>
        <v>19451.670680972387</v>
      </c>
      <c r="T11" s="53"/>
      <c r="U11" s="54">
        <f>output!H184</f>
        <v>130755.31070635081</v>
      </c>
      <c r="V11" s="54">
        <f>output!I184</f>
        <v>96227.126413641759</v>
      </c>
      <c r="W11" s="54">
        <f>output!J184</f>
        <v>1090065.3365628871</v>
      </c>
      <c r="Y11" s="25" t="s">
        <v>130</v>
      </c>
      <c r="Z11" s="33">
        <f si="0" t="shared"/>
        <v>-858.7858791645267</v>
      </c>
      <c r="AA11" s="33">
        <f si="1" t="shared"/>
        <v>-1879.3902222512697</v>
      </c>
      <c r="AB11" s="33">
        <f si="2" t="shared"/>
        <v>17333.205517136259</v>
      </c>
      <c r="AC11" s="33">
        <f si="3" t="shared"/>
        <v>2855.3802132290439</v>
      </c>
      <c r="AD11" s="33">
        <f si="4" t="shared"/>
        <v>-233.0527241125892</v>
      </c>
      <c r="AE11" s="33">
        <f si="5" t="shared"/>
        <v>4465.1542863143877</v>
      </c>
      <c r="AF11" s="33"/>
      <c r="AG11" s="33">
        <f si="6" t="shared"/>
        <v>-6447.294418649195</v>
      </c>
      <c r="AH11" s="33">
        <f si="7" t="shared"/>
        <v>-15180.480836358242</v>
      </c>
      <c r="AI11" s="33">
        <f si="8" t="shared"/>
        <v>-217947.38418920501</v>
      </c>
      <c r="AK11" s="3">
        <v>630330</v>
      </c>
      <c r="AM11" s="7">
        <f si="9" t="shared"/>
        <v>459735.33656288707</v>
      </c>
    </row>
    <row r="12" spans="1:39" x14ac:dyDescent="0.2">
      <c r="A12" s="25" t="s">
        <v>247</v>
      </c>
      <c r="B12" s="7">
        <f>output_NHTS!B185</f>
        <v>171412.7963512734</v>
      </c>
      <c r="C12" s="7">
        <f>output_NHTS!C185</f>
        <v>6756.4626421812</v>
      </c>
      <c r="D12" s="7">
        <f>output_NHTS!D185</f>
        <v>0</v>
      </c>
      <c r="E12" s="7">
        <f>output_NHTS!E185</f>
        <v>0</v>
      </c>
      <c r="F12" s="7">
        <f>output_NHTS!F185</f>
        <v>5873.9064039696004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184043.16539742419</v>
      </c>
      <c r="L12"/>
      <c r="M12" s="25" t="s">
        <v>247</v>
      </c>
      <c r="N12" s="54">
        <f>output!B185</f>
        <v>165670.88691586486</v>
      </c>
      <c r="O12" s="54">
        <f>output!C185</f>
        <v>16123.772132583021</v>
      </c>
      <c r="P12" s="54">
        <f>output!D185</f>
        <v>0</v>
      </c>
      <c r="Q12" s="54">
        <f>output!E185</f>
        <v>0</v>
      </c>
      <c r="R12" s="54">
        <f>output!F185</f>
        <v>6789.430984004086</v>
      </c>
      <c r="S12" s="54">
        <f>output!G185</f>
        <v>138.97420144443322</v>
      </c>
      <c r="T12" s="53"/>
      <c r="U12" s="54">
        <f>output!H185</f>
        <v>0</v>
      </c>
      <c r="V12" s="54">
        <f>output!I185</f>
        <v>0</v>
      </c>
      <c r="W12" s="54">
        <f>output!J185</f>
        <v>188723.06423389638</v>
      </c>
      <c r="Y12" s="25" t="s">
        <v>247</v>
      </c>
      <c r="Z12" s="33">
        <f si="0" t="shared"/>
        <v>-5741.9094354085391</v>
      </c>
      <c r="AA12" s="33">
        <f si="1" t="shared"/>
        <v>9367.3094904018217</v>
      </c>
      <c r="AB12" s="33">
        <f si="2" t="shared"/>
        <v>0</v>
      </c>
      <c r="AC12" s="33">
        <f si="3" t="shared"/>
        <v>0</v>
      </c>
      <c r="AD12" s="33">
        <f si="4" t="shared"/>
        <v>915.52458003448555</v>
      </c>
      <c r="AE12" s="33">
        <f si="5" t="shared"/>
        <v>138.97420144443322</v>
      </c>
      <c r="AF12" s="33"/>
      <c r="AG12" s="33">
        <f si="6" t="shared"/>
        <v>0</v>
      </c>
      <c r="AH12" s="33">
        <f si="7" t="shared"/>
        <v>0</v>
      </c>
      <c r="AI12" s="33">
        <f si="8" t="shared"/>
        <v>4679.8988364721881</v>
      </c>
      <c r="AK12" s="3">
        <v>147120</v>
      </c>
      <c r="AM12" s="7">
        <f si="9" t="shared"/>
        <v>41603.064233896381</v>
      </c>
    </row>
    <row ht="13.5" r="13" spans="1:39" thickBot="1" x14ac:dyDescent="0.25">
      <c r="A13" s="10" t="s">
        <v>221</v>
      </c>
      <c r="B13" s="55">
        <f>SUM(B5:B12)</f>
        <v>2431438.0228209868</v>
      </c>
      <c r="C13" s="55">
        <f ref="C13:K13" si="10" t="shared">SUM(C5:C12)</f>
        <v>625338.66770780808</v>
      </c>
      <c r="D13" s="55">
        <f si="10" t="shared"/>
        <v>547910.24461451638</v>
      </c>
      <c r="E13" s="55">
        <f si="10" t="shared"/>
        <v>1052457.4078515514</v>
      </c>
      <c r="F13" s="55">
        <f si="10" t="shared"/>
        <v>199289.42630487229</v>
      </c>
      <c r="G13" s="55">
        <f si="10" t="shared"/>
        <v>108113.22313859199</v>
      </c>
      <c r="H13" s="55"/>
      <c r="I13" s="55">
        <f si="10" t="shared"/>
        <v>772435.58325000003</v>
      </c>
      <c r="J13" s="55">
        <f si="10" t="shared"/>
        <v>364335.14600000007</v>
      </c>
      <c r="K13" s="55">
        <f si="10" t="shared"/>
        <v>6778245.5372857135</v>
      </c>
      <c r="L13"/>
      <c r="M13" s="10" t="s">
        <v>221</v>
      </c>
      <c r="N13" s="55">
        <f>SUM(N5:N12)</f>
        <v>2417378.1033960502</v>
      </c>
      <c r="O13" s="55">
        <f ref="O13:W13" si="11" t="shared">SUM(O5:O12)</f>
        <v>569113.45029423805</v>
      </c>
      <c r="P13" s="55">
        <f si="11" t="shared"/>
        <v>549547.26424095791</v>
      </c>
      <c r="Q13" s="55">
        <f si="11" t="shared"/>
        <v>934424.23129923327</v>
      </c>
      <c r="R13" s="55">
        <f si="11" t="shared"/>
        <v>295768.13539615658</v>
      </c>
      <c r="S13" s="55">
        <f si="11" t="shared"/>
        <v>154098.90958490764</v>
      </c>
      <c r="T13" s="55"/>
      <c r="U13" s="55">
        <f si="11" t="shared"/>
        <v>726285.81568701344</v>
      </c>
      <c r="V13" s="55">
        <f si="11" t="shared"/>
        <v>367755.07602385746</v>
      </c>
      <c r="W13" s="55">
        <f si="11" t="shared"/>
        <v>6014370.9859224148</v>
      </c>
      <c r="Y13" s="10" t="s">
        <v>221</v>
      </c>
      <c r="Z13" s="11">
        <f si="0" t="shared"/>
        <v>-14059.919424936641</v>
      </c>
      <c r="AA13" s="11">
        <f si="1" t="shared"/>
        <v>-56225.217413570033</v>
      </c>
      <c r="AB13" s="11">
        <f si="2" t="shared"/>
        <v>1637.0196264415281</v>
      </c>
      <c r="AC13" s="11">
        <f si="3" t="shared"/>
        <v>-118033.17655231815</v>
      </c>
      <c r="AD13" s="11">
        <f si="4" t="shared"/>
        <v>96478.709091284283</v>
      </c>
      <c r="AE13" s="11">
        <f si="5" t="shared"/>
        <v>45985.686446315653</v>
      </c>
      <c r="AF13" s="11"/>
      <c r="AG13" s="11">
        <f si="6" t="shared"/>
        <v>-46149.767562986584</v>
      </c>
      <c r="AH13" s="11">
        <f si="7" t="shared"/>
        <v>3419.9300238573924</v>
      </c>
      <c r="AI13" s="11">
        <f si="8" t="shared"/>
        <v>-763874.55136329867</v>
      </c>
      <c r="AK13" s="3">
        <v>4970170</v>
      </c>
      <c r="AM13" s="7">
        <f si="9" t="shared"/>
        <v>1044200.9859224148</v>
      </c>
    </row>
    <row r="14" spans="1:39" x14ac:dyDescent="0.2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2">
      <c r="A15" s="25" t="s">
        <v>88</v>
      </c>
      <c r="B15" s="33">
        <f>output_NHTS!B306</f>
        <v>1412589.7424000001</v>
      </c>
      <c r="C15" s="33">
        <f>output_NHTS!B307</f>
        <v>340955.68209999998</v>
      </c>
      <c r="D15" s="33">
        <f>output_NHTS!B308</f>
        <v>385091.97840000002</v>
      </c>
      <c r="E15" s="33">
        <f>output_NHTS!B309</f>
        <v>592288.66839999997</v>
      </c>
      <c r="F15" s="33">
        <f>output_NHTS!B310</f>
        <v>111478.9356</v>
      </c>
      <c r="G15" s="33">
        <f>output_NHTS!B311</f>
        <v>78499.544200000004</v>
      </c>
      <c r="H15" s="33"/>
      <c r="I15" s="33">
        <f>output_NHTS!B312</f>
        <v>515915.92589999997</v>
      </c>
      <c r="J15" s="33">
        <f>output_NHTS!B313</f>
        <v>271697.48960000003</v>
      </c>
      <c r="K15" s="33">
        <f>SUM(B15:J15)</f>
        <v>3708517.9665999999</v>
      </c>
      <c r="L15"/>
      <c r="M15" s="25" t="s">
        <v>88</v>
      </c>
      <c r="N15" s="33">
        <f>output!B306</f>
        <v>1410222.3792541239</v>
      </c>
      <c r="O15" s="33">
        <f>output!B307</f>
        <v>330587.79410013492</v>
      </c>
      <c r="P15" s="33">
        <f>output!B308</f>
        <v>393707.17935026012</v>
      </c>
      <c r="Q15" s="33">
        <f>output!B309</f>
        <v>573902.57800400315</v>
      </c>
      <c r="R15" s="33">
        <f>output!B310</f>
        <v>175566.13317979188</v>
      </c>
      <c r="S15" s="33">
        <f>output!B311</f>
        <v>119540.37697423306</v>
      </c>
      <c r="T15" s="33"/>
      <c r="U15" s="33">
        <f>output!B312</f>
        <v>503887.95581699541</v>
      </c>
      <c r="V15" s="33">
        <f>output!B313</f>
        <v>235060.42178434858</v>
      </c>
      <c r="W15" s="33">
        <f>SUM(N15:V15)</f>
        <v>3742474.8184638908</v>
      </c>
      <c r="Y15" s="25" t="s">
        <v>88</v>
      </c>
      <c r="Z15" s="33">
        <f ref="Z15:AE16" si="12" t="shared">N15-B15</f>
        <v>-2367.3631458762102</v>
      </c>
      <c r="AA15" s="33">
        <f si="12" t="shared"/>
        <v>-10367.887999865052</v>
      </c>
      <c r="AB15" s="33">
        <f si="12" t="shared"/>
        <v>8615.2009502600995</v>
      </c>
      <c r="AC15" s="33">
        <f si="12" t="shared"/>
        <v>-18386.090395996813</v>
      </c>
      <c r="AD15" s="33">
        <f si="12" t="shared"/>
        <v>64087.197579791886</v>
      </c>
      <c r="AE15" s="33">
        <f si="12" t="shared"/>
        <v>41040.832774233058</v>
      </c>
      <c r="AF15" s="33"/>
      <c r="AG15" s="33">
        <f ref="AG15:AI16" si="13" t="shared">U15-I15</f>
        <v>-12027.970083004562</v>
      </c>
      <c r="AH15" s="33">
        <f si="13" t="shared"/>
        <v>-36637.067815651448</v>
      </c>
      <c r="AI15" s="33">
        <f si="13" t="shared"/>
        <v>33956.851863890886</v>
      </c>
    </row>
    <row r="16" spans="1:39" x14ac:dyDescent="0.2">
      <c r="A16" s="25" t="s">
        <v>89</v>
      </c>
      <c r="B16" s="37">
        <f>B13/B15</f>
        <v>1.7212626920891809</v>
      </c>
      <c r="C16" s="37">
        <f ref="C16:K16" si="14" t="shared">C13/C15</f>
        <v>1.8340761000263974</v>
      </c>
      <c r="D16" s="37">
        <f si="14" t="shared"/>
        <v>1.4228035777088945</v>
      </c>
      <c r="E16" s="37">
        <f si="14" t="shared"/>
        <v>1.7769332151746962</v>
      </c>
      <c r="F16" s="37">
        <f si="14" t="shared"/>
        <v>1.7876868417540963</v>
      </c>
      <c r="G16" s="37">
        <f si="14" t="shared"/>
        <v>1.3772465081216609</v>
      </c>
      <c r="H16" s="37"/>
      <c r="I16" s="37">
        <f si="14" t="shared"/>
        <v>1.4972121318071527</v>
      </c>
      <c r="J16" s="37">
        <f si="14" t="shared"/>
        <v>1.3409588234929353</v>
      </c>
      <c r="K16" s="37">
        <f si="14" t="shared"/>
        <v>1.8277504917955312</v>
      </c>
      <c r="L16"/>
      <c r="M16" s="25" t="s">
        <v>89</v>
      </c>
      <c r="N16" s="37">
        <f ref="N16:W16" si="15" t="shared">N13/N15</f>
        <v>1.7141822020117266</v>
      </c>
      <c r="O16" s="37">
        <f si="15" t="shared"/>
        <v>1.7215198517639576</v>
      </c>
      <c r="P16" s="37">
        <f si="15" t="shared"/>
        <v>1.3958273891471389</v>
      </c>
      <c r="Q16" s="37">
        <f si="15" t="shared"/>
        <v>1.6281931239080709</v>
      </c>
      <c r="R16" s="37">
        <f si="15" t="shared"/>
        <v>1.6846536973806305</v>
      </c>
      <c r="S16" s="37">
        <f si="15" t="shared"/>
        <v>1.2890950613124106</v>
      </c>
      <c r="T16" s="37"/>
      <c r="U16" s="37">
        <f si="15" t="shared"/>
        <v>1.4413637144976523</v>
      </c>
      <c r="V16" s="37">
        <f si="15" t="shared"/>
        <v>1.564512958975488</v>
      </c>
      <c r="W16" s="37">
        <f si="15" t="shared"/>
        <v>1.6070571687616673</v>
      </c>
      <c r="Y16" s="25" t="s">
        <v>89</v>
      </c>
      <c r="Z16" s="37">
        <f si="12" t="shared"/>
        <v>-7.0804900774543711E-3</v>
      </c>
      <c r="AA16" s="37">
        <f si="12" t="shared"/>
        <v>-0.11255624826243982</v>
      </c>
      <c r="AB16" s="37">
        <f si="12" t="shared"/>
        <v>-2.6976188561755654E-2</v>
      </c>
      <c r="AC16" s="37">
        <f si="12" t="shared"/>
        <v>-0.14874009126662524</v>
      </c>
      <c r="AD16" s="37">
        <f si="12" t="shared"/>
        <v>-0.10303314437346578</v>
      </c>
      <c r="AE16" s="37">
        <f si="12" t="shared"/>
        <v>-8.8151446809250356E-2</v>
      </c>
      <c r="AF16" s="37"/>
      <c r="AG16" s="37">
        <f si="13" t="shared"/>
        <v>-5.5848417309500409E-2</v>
      </c>
      <c r="AH16" s="37">
        <f si="13" t="shared"/>
        <v>0.22355413548255276</v>
      </c>
      <c r="AI16" s="37">
        <f si="13" t="shared"/>
        <v>-0.22069332303386391</v>
      </c>
    </row>
    <row r="17" spans="1:35" x14ac:dyDescent="0.2">
      <c r="L17"/>
    </row>
    <row r="18" spans="1:35" x14ac:dyDescent="0.2">
      <c r="L18"/>
    </row>
    <row r="19" spans="1:35" x14ac:dyDescent="0.2">
      <c r="A19" s="2" t="s">
        <v>175</v>
      </c>
      <c r="L19"/>
      <c r="M19" s="2" t="s">
        <v>175</v>
      </c>
      <c r="Y19" s="2" t="s">
        <v>175</v>
      </c>
    </row>
    <row r="20" spans="1:35" x14ac:dyDescent="0.2">
      <c r="A20" s="2" t="s">
        <v>216</v>
      </c>
      <c r="L20"/>
      <c r="M20" s="2" t="s">
        <v>267</v>
      </c>
      <c r="Y20" s="2" t="s">
        <v>259</v>
      </c>
    </row>
    <row ht="13.5" r="21" spans="1:35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243</v>
      </c>
      <c r="F22" s="6" t="s">
        <v>244</v>
      </c>
      <c r="G22" s="6" t="s">
        <v>245</v>
      </c>
      <c r="H22" s="6"/>
      <c r="I22" s="6" t="s">
        <v>246</v>
      </c>
      <c r="J22" s="6" t="s">
        <v>170</v>
      </c>
      <c r="K22" s="6" t="s">
        <v>221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243</v>
      </c>
      <c r="R22" s="41" t="s">
        <v>244</v>
      </c>
      <c r="S22" s="41" t="s">
        <v>245</v>
      </c>
      <c r="T22" s="41"/>
      <c r="U22" s="41" t="s">
        <v>246</v>
      </c>
      <c r="V22" s="41" t="s">
        <v>170</v>
      </c>
      <c r="W22" s="41" t="s">
        <v>221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243</v>
      </c>
      <c r="AD22" s="6" t="s">
        <v>244</v>
      </c>
      <c r="AE22" s="6" t="s">
        <v>245</v>
      </c>
      <c r="AF22" s="6"/>
      <c r="AG22" s="6" t="s">
        <v>246</v>
      </c>
      <c r="AH22" s="6" t="s">
        <v>170</v>
      </c>
      <c r="AI22" s="6" t="s">
        <v>221</v>
      </c>
    </row>
    <row r="23" spans="1:35" x14ac:dyDescent="0.2">
      <c r="A23" s="3" t="s">
        <v>210</v>
      </c>
      <c r="B23" s="12">
        <f ref="B23:J23" si="16" t="shared">B5/B$13</f>
        <v>0.57984297179192301</v>
      </c>
      <c r="C23" s="12">
        <f si="16" t="shared"/>
        <v>0.31506786225766403</v>
      </c>
      <c r="D23" s="12">
        <f si="16" t="shared"/>
        <v>3.1527308543253217E-2</v>
      </c>
      <c r="E23" s="12">
        <f si="16" t="shared"/>
        <v>3.4685398018562762E-2</v>
      </c>
      <c r="F23" s="12">
        <f si="16" t="shared"/>
        <v>0.31538390680574335</v>
      </c>
      <c r="G23" s="12">
        <f si="16" t="shared"/>
        <v>1.9004806399732305E-2</v>
      </c>
      <c r="H23" s="12"/>
      <c r="I23" s="12">
        <f si="16" t="shared"/>
        <v>1.9748294007660865E-3</v>
      </c>
      <c r="J23" s="12">
        <f si="16" t="shared"/>
        <v>1.2921358402244287E-3</v>
      </c>
      <c r="K23" s="12">
        <f>K5/K$13</f>
        <v>0.25486815780753369</v>
      </c>
      <c r="L23"/>
      <c r="M23" s="3" t="s">
        <v>210</v>
      </c>
      <c r="N23" s="42">
        <f ref="N23:V23" si="17" t="shared">N5/N$13</f>
        <v>0.58441124086265206</v>
      </c>
      <c r="O23" s="42">
        <f si="17" t="shared"/>
        <v>0.37264999187316905</v>
      </c>
      <c r="P23" s="42">
        <f si="17" t="shared"/>
        <v>0</v>
      </c>
      <c r="Q23" s="42">
        <f si="17" t="shared"/>
        <v>0</v>
      </c>
      <c r="R23" s="42">
        <f si="17" t="shared"/>
        <v>0.24209374115929508</v>
      </c>
      <c r="S23" s="42">
        <f si="17" t="shared"/>
        <v>1.538944746553921E-2</v>
      </c>
      <c r="T23" s="42"/>
      <c r="U23" s="42">
        <f si="17" t="shared"/>
        <v>0</v>
      </c>
      <c r="V23" s="42">
        <f si="17" t="shared"/>
        <v>0</v>
      </c>
      <c r="W23" s="42">
        <f>W5/W$13</f>
        <v>0.28245649879772511</v>
      </c>
      <c r="Y23" s="3" t="s">
        <v>210</v>
      </c>
      <c r="Z23" s="12">
        <f ref="Z23:Z31" si="18" t="shared">N23-B23</f>
        <v>4.5682690707290474E-3</v>
      </c>
      <c r="AA23" s="12">
        <f ref="AA23:AA31" si="19" t="shared">O23-C23</f>
        <v>5.7582129615505018E-2</v>
      </c>
      <c r="AB23" s="12">
        <f ref="AB23:AB31" si="20" t="shared">P23-D23</f>
        <v>-3.1527308543253217E-2</v>
      </c>
      <c r="AC23" s="12">
        <f ref="AC23:AC31" si="21" t="shared">Q23-E23</f>
        <v>-3.4685398018562762E-2</v>
      </c>
      <c r="AD23" s="12">
        <f ref="AD23:AD31" si="22" t="shared">R23-F23</f>
        <v>-7.3290165646448274E-2</v>
      </c>
      <c r="AE23" s="12">
        <f ref="AE23:AE31" si="23" t="shared">S23-G23</f>
        <v>-3.6153589341930952E-3</v>
      </c>
      <c r="AF23" s="12"/>
      <c r="AG23" s="12">
        <f ref="AG23:AG31" si="24" t="shared">U23-I23</f>
        <v>-1.9748294007660865E-3</v>
      </c>
      <c r="AH23" s="12">
        <f ref="AH23:AH31" si="25" t="shared">V23-J23</f>
        <v>-1.2921358402244287E-3</v>
      </c>
      <c r="AI23" s="12">
        <f ref="AI23:AI31" si="26" t="shared">W23-K23</f>
        <v>2.7588340990191418E-2</v>
      </c>
    </row>
    <row r="24" spans="1:35" x14ac:dyDescent="0.2">
      <c r="A24" s="3" t="s">
        <v>211</v>
      </c>
      <c r="B24" s="12">
        <f ref="B24:K24" si="27" t="shared">B6/B$13</f>
        <v>3.086269848133317E-3</v>
      </c>
      <c r="C24" s="12">
        <f si="27" t="shared"/>
        <v>6.6298465747694782E-2</v>
      </c>
      <c r="D24" s="12">
        <f si="27" t="shared"/>
        <v>2.5591430855276443E-3</v>
      </c>
      <c r="E24" s="12">
        <f si="27" t="shared"/>
        <v>6.8388499275314693E-2</v>
      </c>
      <c r="F24" s="12">
        <f si="27" t="shared"/>
        <v>0.26012373949341139</v>
      </c>
      <c r="G24" s="12">
        <f si="27" t="shared"/>
        <v>0.71006687730667706</v>
      </c>
      <c r="H24" s="12"/>
      <c r="I24" s="12">
        <f si="27" t="shared"/>
        <v>0.6347852086408915</v>
      </c>
      <c r="J24" s="12">
        <f si="27" t="shared"/>
        <v>0.1751054813827925</v>
      </c>
      <c r="K24" s="12">
        <f si="27" t="shared"/>
        <v>0.11877358537991357</v>
      </c>
      <c r="L24"/>
      <c r="M24" s="3" t="s">
        <v>211</v>
      </c>
      <c r="N24" s="42">
        <f ref="N24:W24" si="28" t="shared">N6/N$13</f>
        <v>4.8552410588160941E-3</v>
      </c>
      <c r="O24" s="42">
        <f si="28" t="shared"/>
        <v>0</v>
      </c>
      <c r="P24" s="42">
        <f si="28" t="shared"/>
        <v>0</v>
      </c>
      <c r="Q24" s="42">
        <f si="28" t="shared"/>
        <v>0</v>
      </c>
      <c r="R24" s="42">
        <f si="28" t="shared"/>
        <v>0.49574713478929522</v>
      </c>
      <c r="S24" s="42">
        <f si="28" t="shared"/>
        <v>0.71166920849972803</v>
      </c>
      <c r="T24" s="42"/>
      <c r="U24" s="42">
        <f si="28" t="shared"/>
        <v>0.62364433323366963</v>
      </c>
      <c r="V24" s="42">
        <f si="28" t="shared"/>
        <v>0.10334267918477251</v>
      </c>
      <c r="W24" s="42">
        <f si="28" t="shared"/>
        <v>0.12619431657935409</v>
      </c>
      <c r="Y24" s="3" t="s">
        <v>211</v>
      </c>
      <c r="Z24" s="12">
        <f si="18" t="shared"/>
        <v>1.768971210682777E-3</v>
      </c>
      <c r="AA24" s="12">
        <f si="19" t="shared"/>
        <v>-6.6298465747694782E-2</v>
      </c>
      <c r="AB24" s="12">
        <f si="20" t="shared"/>
        <v>-2.5591430855276443E-3</v>
      </c>
      <c r="AC24" s="12">
        <f si="21" t="shared"/>
        <v>-6.8388499275314693E-2</v>
      </c>
      <c r="AD24" s="12">
        <f si="22" t="shared"/>
        <v>0.23562339529588383</v>
      </c>
      <c r="AE24" s="12">
        <f si="23" t="shared"/>
        <v>1.6023311930509765E-3</v>
      </c>
      <c r="AF24" s="12"/>
      <c r="AG24" s="12">
        <f si="24" t="shared"/>
        <v>-1.1140875407221862E-2</v>
      </c>
      <c r="AH24" s="12">
        <f si="25" t="shared"/>
        <v>-7.176280219801999E-2</v>
      </c>
      <c r="AI24" s="12">
        <f si="26" t="shared"/>
        <v>7.4207311994405195E-3</v>
      </c>
    </row>
    <row r="25" spans="1:35" x14ac:dyDescent="0.2">
      <c r="A25" s="3" t="s">
        <v>212</v>
      </c>
      <c r="B25" s="12">
        <f ref="B25:K25" si="29" t="shared">B7/B$13</f>
        <v>7.2368701546680028E-2</v>
      </c>
      <c r="C25" s="12">
        <f si="29" t="shared"/>
        <v>0.15224321774656727</v>
      </c>
      <c r="D25" s="12">
        <f si="29" t="shared"/>
        <v>0.10273214116834384</v>
      </c>
      <c r="E25" s="12">
        <f si="29" t="shared"/>
        <v>0.21537861993291718</v>
      </c>
      <c r="F25" s="12">
        <f si="29" t="shared"/>
        <v>5.8055409389241322E-2</v>
      </c>
      <c r="G25" s="12">
        <f si="29" t="shared"/>
        <v>7.6201398476475876E-2</v>
      </c>
      <c r="H25" s="12"/>
      <c r="I25" s="12">
        <f si="29" t="shared"/>
        <v>4.0200100401058265E-2</v>
      </c>
      <c r="J25" s="12">
        <f si="29" t="shared"/>
        <v>0.12024208302703795</v>
      </c>
      <c r="K25" s="12">
        <f si="29" t="shared"/>
        <v>0.11486105238212553</v>
      </c>
      <c r="L25"/>
      <c r="M25" s="3" t="s">
        <v>212</v>
      </c>
      <c r="N25" s="42">
        <f ref="N25:W25" si="30" t="shared">N7/N$13</f>
        <v>7.2091687349391573E-2</v>
      </c>
      <c r="O25" s="42">
        <f si="30" t="shared"/>
        <v>0.13377027222643778</v>
      </c>
      <c r="P25" s="42">
        <f si="30" t="shared"/>
        <v>0.1127748418041343</v>
      </c>
      <c r="Q25" s="42">
        <f si="30" t="shared"/>
        <v>0.2401227529218187</v>
      </c>
      <c r="R25" s="42">
        <f si="30" t="shared"/>
        <v>3.8018781536134236E-2</v>
      </c>
      <c r="S25" s="42">
        <f si="30" t="shared"/>
        <v>4.2707118681756841E-2</v>
      </c>
      <c r="T25" s="42"/>
      <c r="U25" s="42">
        <f si="30" t="shared"/>
        <v>4.0033912884230832E-2</v>
      </c>
      <c r="V25" s="42">
        <f si="30" t="shared"/>
        <v>0.17066172736377791</v>
      </c>
      <c r="W25" s="42">
        <f si="30" t="shared"/>
        <v>0.10747900285294409</v>
      </c>
      <c r="Y25" s="3" t="s">
        <v>212</v>
      </c>
      <c r="Z25" s="12">
        <f si="18" t="shared"/>
        <v>-2.7701419728845544E-4</v>
      </c>
      <c r="AA25" s="12">
        <f si="19" t="shared"/>
        <v>-1.8472945520129486E-2</v>
      </c>
      <c r="AB25" s="12">
        <f si="20" t="shared"/>
        <v>1.0042700635790464E-2</v>
      </c>
      <c r="AC25" s="12">
        <f si="21" t="shared"/>
        <v>2.4744132988901518E-2</v>
      </c>
      <c r="AD25" s="12">
        <f si="22" t="shared"/>
        <v>-2.0036627853107086E-2</v>
      </c>
      <c r="AE25" s="12">
        <f si="23" t="shared"/>
        <v>-3.3494279794719035E-2</v>
      </c>
      <c r="AF25" s="12"/>
      <c r="AG25" s="12">
        <f si="24" t="shared"/>
        <v>-1.6618751682743321E-4</v>
      </c>
      <c r="AH25" s="12">
        <f si="25" t="shared"/>
        <v>5.0419644336739955E-2</v>
      </c>
      <c r="AI25" s="12">
        <f si="26" t="shared"/>
        <v>-7.3820495291814364E-3</v>
      </c>
    </row>
    <row r="26" spans="1:35" x14ac:dyDescent="0.2">
      <c r="A26" s="3" t="s">
        <v>213</v>
      </c>
      <c r="B26" s="12">
        <f ref="B26:K26" si="31" t="shared">B8/B$13</f>
        <v>5.7557831006125916E-2</v>
      </c>
      <c r="C26" s="12">
        <f si="31" t="shared"/>
        <v>0.12475042325135005</v>
      </c>
      <c r="D26" s="12">
        <f si="31" t="shared"/>
        <v>0.29219380301246078</v>
      </c>
      <c r="E26" s="12">
        <f si="31" t="shared"/>
        <v>0.17852115224439583</v>
      </c>
      <c r="F26" s="12">
        <f si="31" t="shared"/>
        <v>8.0276600783183494E-2</v>
      </c>
      <c r="G26" s="12">
        <f si="31" t="shared"/>
        <v>4.6455163893890074E-2</v>
      </c>
      <c r="H26" s="12"/>
      <c r="I26" s="12">
        <f si="31" t="shared"/>
        <v>8.4612362399217572E-2</v>
      </c>
      <c r="J26" s="12">
        <f si="31" t="shared"/>
        <v>0.1806670636162013</v>
      </c>
      <c r="K26" s="12">
        <f si="31" t="shared"/>
        <v>0.12713787388397657</v>
      </c>
      <c r="L26"/>
      <c r="M26" s="3" t="s">
        <v>213</v>
      </c>
      <c r="N26" s="42">
        <f ref="N26:W26" si="32" t="shared">N8/N$13</f>
        <v>5.6050598048506678E-2</v>
      </c>
      <c r="O26" s="42">
        <f si="32" t="shared"/>
        <v>0.12800963831505482</v>
      </c>
      <c r="P26" s="42">
        <f si="32" t="shared"/>
        <v>0.29242793750457069</v>
      </c>
      <c r="Q26" s="42">
        <f si="32" t="shared"/>
        <v>0.20500153252905251</v>
      </c>
      <c r="R26" s="42">
        <f si="32" t="shared"/>
        <v>4.8583660398412921E-2</v>
      </c>
      <c r="S26" s="42">
        <f si="32" t="shared"/>
        <v>4.2152802848021836E-2</v>
      </c>
      <c r="T26" s="42"/>
      <c r="U26" s="42">
        <f si="32" t="shared"/>
        <v>7.8258517689498375E-2</v>
      </c>
      <c r="V26" s="42">
        <f si="32" t="shared"/>
        <v>0.18330678309175502</v>
      </c>
      <c r="W26" s="42">
        <f si="32" t="shared"/>
        <v>0.11733963874004701</v>
      </c>
      <c r="Y26" s="3" t="s">
        <v>213</v>
      </c>
      <c r="Z26" s="12">
        <f si="18" t="shared"/>
        <v>-1.5072329576192381E-3</v>
      </c>
      <c r="AA26" s="12">
        <f si="19" t="shared"/>
        <v>3.2592150637047734E-3</v>
      </c>
      <c r="AB26" s="12">
        <f si="20" t="shared"/>
        <v>2.3413449210990533E-4</v>
      </c>
      <c r="AC26" s="12">
        <f si="21" t="shared"/>
        <v>2.6480380284656685E-2</v>
      </c>
      <c r="AD26" s="12">
        <f si="22" t="shared"/>
        <v>-3.1692940384770572E-2</v>
      </c>
      <c r="AE26" s="12">
        <f si="23" t="shared"/>
        <v>-4.3023610458682374E-3</v>
      </c>
      <c r="AF26" s="12"/>
      <c r="AG26" s="12">
        <f si="24" t="shared"/>
        <v>-6.3538447097191975E-3</v>
      </c>
      <c r="AH26" s="12">
        <f si="25" t="shared"/>
        <v>2.6397194755537201E-3</v>
      </c>
      <c r="AI26" s="12">
        <f si="26" t="shared"/>
        <v>-9.7982351439295651E-3</v>
      </c>
    </row>
    <row r="27" spans="1:35" x14ac:dyDescent="0.2">
      <c r="A27" s="3" t="s">
        <v>214</v>
      </c>
      <c r="B27" s="12">
        <f ref="B27:K27" si="33" t="shared">B9/B$13</f>
        <v>6.3922248398139911E-2</v>
      </c>
      <c r="C27" s="12">
        <f si="33" t="shared"/>
        <v>0.11075338400974741</v>
      </c>
      <c r="D27" s="12">
        <f si="33" t="shared"/>
        <v>0.24269951278705545</v>
      </c>
      <c r="E27" s="12">
        <f si="33" t="shared"/>
        <v>0.20865593408157204</v>
      </c>
      <c r="F27" s="12">
        <f si="33" t="shared"/>
        <v>9.8034640129673778E-2</v>
      </c>
      <c r="G27" s="12">
        <f si="33" t="shared"/>
        <v>9.6530358830960623E-3</v>
      </c>
      <c r="H27" s="12"/>
      <c r="I27" s="12">
        <f si="33" t="shared"/>
        <v>4.2558867642637173E-2</v>
      </c>
      <c r="J27" s="12">
        <f si="33" t="shared"/>
        <v>0.19685872345129171</v>
      </c>
      <c r="K27" s="12">
        <f si="33" t="shared"/>
        <v>0.1243574570634996</v>
      </c>
      <c r="L27"/>
      <c r="M27" s="3" t="s">
        <v>214</v>
      </c>
      <c r="N27" s="42">
        <f ref="N27:W27" si="34" t="shared">N9/N$13</f>
        <v>6.1994288897342618E-2</v>
      </c>
      <c r="O27" s="42">
        <f si="34" t="shared"/>
        <v>9.9664495701923178E-2</v>
      </c>
      <c r="P27" s="42">
        <f si="34" t="shared"/>
        <v>0.2401137388136996</v>
      </c>
      <c r="Q27" s="42">
        <f si="34" t="shared"/>
        <v>0.22133007174896788</v>
      </c>
      <c r="R27" s="42">
        <f si="34" t="shared"/>
        <v>4.9611681987229352E-2</v>
      </c>
      <c r="S27" s="42">
        <f si="34" t="shared"/>
        <v>1.1039500237575791E-2</v>
      </c>
      <c r="T27" s="42"/>
      <c r="U27" s="42">
        <f si="34" t="shared"/>
        <v>5.4993596906098063E-2</v>
      </c>
      <c r="V27" s="42">
        <f si="34" t="shared"/>
        <v>0.25412456589510513</v>
      </c>
      <c r="W27" s="42">
        <f si="34" t="shared"/>
        <v>0.11557741809642565</v>
      </c>
      <c r="Y27" s="3" t="s">
        <v>214</v>
      </c>
      <c r="Z27" s="12">
        <f si="18" t="shared"/>
        <v>-1.9279595007972924E-3</v>
      </c>
      <c r="AA27" s="12">
        <f si="19" t="shared"/>
        <v>-1.108888830782423E-2</v>
      </c>
      <c r="AB27" s="12">
        <f si="20" t="shared"/>
        <v>-2.5857739733558538E-3</v>
      </c>
      <c r="AC27" s="12">
        <f si="21" t="shared"/>
        <v>1.2674137667395835E-2</v>
      </c>
      <c r="AD27" s="12">
        <f si="22" t="shared"/>
        <v>-4.8422958142444426E-2</v>
      </c>
      <c r="AE27" s="12">
        <f si="23" t="shared"/>
        <v>1.386464354479729E-3</v>
      </c>
      <c r="AF27" s="12"/>
      <c r="AG27" s="12">
        <f si="24" t="shared"/>
        <v>1.2434729263460891E-2</v>
      </c>
      <c r="AH27" s="12">
        <f si="25" t="shared"/>
        <v>5.7265842443813414E-2</v>
      </c>
      <c r="AI27" s="12">
        <f si="26" t="shared"/>
        <v>-8.7800389670739526E-3</v>
      </c>
    </row>
    <row r="28" spans="1:35" x14ac:dyDescent="0.2">
      <c r="A28" s="3" t="s">
        <v>129</v>
      </c>
      <c r="B28" s="12">
        <f ref="B28:K28" si="35" t="shared">B10/B$13</f>
        <v>2.9985913592929681E-2</v>
      </c>
      <c r="C28" s="12">
        <f si="35" t="shared"/>
        <v>3.3054459551146366E-2</v>
      </c>
      <c r="D28" s="12">
        <f si="35" t="shared"/>
        <v>7.4227252367260424E-2</v>
      </c>
      <c r="E28" s="12">
        <f si="35" t="shared"/>
        <v>5.9599232176984041E-2</v>
      </c>
      <c r="F28" s="12">
        <f si="35" t="shared"/>
        <v>3.4508821112266726E-2</v>
      </c>
      <c r="G28" s="12">
        <f si="35" t="shared"/>
        <v>0</v>
      </c>
      <c r="H28" s="12"/>
      <c r="I28" s="12">
        <f si="35" t="shared"/>
        <v>1.8245269645273038E-2</v>
      </c>
      <c r="J28" s="12">
        <f si="35" t="shared"/>
        <v>2.0051201703170297E-2</v>
      </c>
      <c r="K28" s="12">
        <f si="35" t="shared"/>
        <v>3.9877672029635658E-2</v>
      </c>
      <c r="L28"/>
      <c r="M28" s="3" t="s">
        <v>129</v>
      </c>
      <c r="N28" s="42">
        <f ref="N28:W28" si="36" t="shared">N10/N$13</f>
        <v>2.8967501546971378E-2</v>
      </c>
      <c r="O28" s="42">
        <f si="36" t="shared"/>
        <v>3.5371539261697296E-2</v>
      </c>
      <c r="P28" s="42">
        <f si="36" t="shared"/>
        <v>6.9838570136321235E-2</v>
      </c>
      <c r="Q28" s="42">
        <f si="36" t="shared"/>
        <v>6.6063247944166362E-2</v>
      </c>
      <c r="R28" s="42">
        <f si="36" t="shared"/>
        <v>2.0130044250027301E-2</v>
      </c>
      <c r="S28" s="42">
        <f si="36" t="shared"/>
        <v>4.9911594511084456E-2</v>
      </c>
      <c r="T28" s="42"/>
      <c r="U28" s="42">
        <f si="36" t="shared"/>
        <v>2.303678186016626E-2</v>
      </c>
      <c r="V28" s="42">
        <f si="36" t="shared"/>
        <v>2.6903338369035815E-2</v>
      </c>
      <c r="W28" s="42">
        <f si="36" t="shared"/>
        <v>3.8330989752619851E-2</v>
      </c>
      <c r="Y28" s="3" t="s">
        <v>129</v>
      </c>
      <c r="Z28" s="12">
        <f si="18" t="shared"/>
        <v>-1.0184120459583029E-3</v>
      </c>
      <c r="AA28" s="12">
        <f si="19" t="shared"/>
        <v>2.3170797105509303E-3</v>
      </c>
      <c r="AB28" s="12">
        <f si="20" t="shared"/>
        <v>-4.3886822309391893E-3</v>
      </c>
      <c r="AC28" s="12">
        <f si="21" t="shared"/>
        <v>6.4640157671823212E-3</v>
      </c>
      <c r="AD28" s="12">
        <f si="22" t="shared"/>
        <v>-1.4378776862239425E-2</v>
      </c>
      <c r="AE28" s="12">
        <f si="23" t="shared"/>
        <v>4.9911594511084456E-2</v>
      </c>
      <c r="AF28" s="12"/>
      <c r="AG28" s="12">
        <f si="24" t="shared"/>
        <v>4.7915122148932225E-3</v>
      </c>
      <c r="AH28" s="12">
        <f si="25" t="shared"/>
        <v>6.8521366658655172E-3</v>
      </c>
      <c r="AI28" s="12">
        <f si="26" t="shared"/>
        <v>-1.5466822770158067E-3</v>
      </c>
    </row>
    <row r="29" spans="1:35" x14ac:dyDescent="0.2">
      <c r="A29" s="25" t="s">
        <v>130</v>
      </c>
      <c r="B29" s="34">
        <f ref="B29:K30" si="37" t="shared">B11/B$13</f>
        <v>0.12273753794683868</v>
      </c>
      <c r="C29" s="34">
        <f si="37" t="shared"/>
        <v>0.18702770181694581</v>
      </c>
      <c r="D29" s="34">
        <f si="37" t="shared"/>
        <v>0.25406083903609866</v>
      </c>
      <c r="E29" s="34">
        <f si="37" t="shared"/>
        <v>0.23477116427025335</v>
      </c>
      <c r="F29" s="34">
        <f si="37" t="shared"/>
        <v>0.12414263213241655</v>
      </c>
      <c r="G29" s="34">
        <f si="37" t="shared"/>
        <v>0.13861871804012868</v>
      </c>
      <c r="H29" s="34"/>
      <c r="I29" s="34">
        <f si="37" t="shared"/>
        <v>0.17762336187015632</v>
      </c>
      <c r="J29" s="34">
        <f si="37" t="shared"/>
        <v>0.30578331097928163</v>
      </c>
      <c r="K29" s="34">
        <f si="37" t="shared"/>
        <v>0.19297216566691</v>
      </c>
      <c r="L29"/>
      <c r="M29" s="25" t="s">
        <v>130</v>
      </c>
      <c r="N29" s="56">
        <f ref="N29:W29" si="38" t="shared">N11/N$13</f>
        <v>0.12309614714147202</v>
      </c>
      <c r="O29" s="56">
        <f si="38" t="shared"/>
        <v>0.20220267786135629</v>
      </c>
      <c r="P29" s="56">
        <f si="38" t="shared"/>
        <v>0.28484491174127419</v>
      </c>
      <c r="Q29" s="56">
        <f si="38" t="shared"/>
        <v>0.26748239485599451</v>
      </c>
      <c r="R29" s="56">
        <f si="38" t="shared"/>
        <v>8.2859707590569529E-2</v>
      </c>
      <c r="S29" s="56">
        <f si="38" t="shared"/>
        <v>0.12622847710842902</v>
      </c>
      <c r="T29" s="56"/>
      <c r="U29" s="56">
        <f si="38" t="shared"/>
        <v>0.18003285742633679</v>
      </c>
      <c r="V29" s="56">
        <f si="38" t="shared"/>
        <v>0.26166090609555365</v>
      </c>
      <c r="W29" s="56">
        <f si="38" t="shared"/>
        <v>0.18124344825325162</v>
      </c>
      <c r="Y29" s="25" t="s">
        <v>130</v>
      </c>
      <c r="Z29" s="12">
        <f si="18" t="shared"/>
        <v>3.5860919463333307E-4</v>
      </c>
      <c r="AA29" s="12">
        <f si="19" t="shared"/>
        <v>1.5174976044410482E-2</v>
      </c>
      <c r="AB29" s="12">
        <f si="20" t="shared"/>
        <v>3.0784072705175525E-2</v>
      </c>
      <c r="AC29" s="12">
        <f si="21" t="shared"/>
        <v>3.2711230585741158E-2</v>
      </c>
      <c r="AD29" s="12">
        <f si="22" t="shared"/>
        <v>-4.1282924541847024E-2</v>
      </c>
      <c r="AE29" s="12">
        <f si="23" t="shared"/>
        <v>-1.2390240931699659E-2</v>
      </c>
      <c r="AF29" s="12"/>
      <c r="AG29" s="12">
        <f si="24" t="shared"/>
        <v>2.4094955561804743E-3</v>
      </c>
      <c r="AH29" s="12">
        <f si="25" t="shared"/>
        <v>-4.4122404883727984E-2</v>
      </c>
      <c r="AI29" s="12">
        <f si="26" t="shared"/>
        <v>-1.1728717413658385E-2</v>
      </c>
    </row>
    <row r="30" spans="1:35" x14ac:dyDescent="0.2">
      <c r="A30" s="25" t="s">
        <v>247</v>
      </c>
      <c r="B30" s="13">
        <f si="37" t="shared"/>
        <v>7.0498525869229431E-2</v>
      </c>
      <c r="C30" s="13">
        <f si="37" t="shared"/>
        <v>1.080448561888417E-2</v>
      </c>
      <c r="D30" s="13">
        <f si="37" t="shared"/>
        <v>0</v>
      </c>
      <c r="E30" s="13">
        <f si="37" t="shared"/>
        <v>0</v>
      </c>
      <c r="F30" s="13">
        <f si="37" t="shared"/>
        <v>2.9474250154063457E-2</v>
      </c>
      <c r="G30" s="13">
        <f si="37" t="shared"/>
        <v>0</v>
      </c>
      <c r="H30" s="13"/>
      <c r="I30" s="13">
        <f si="37" t="shared"/>
        <v>0</v>
      </c>
      <c r="J30" s="13">
        <f si="37" t="shared"/>
        <v>0</v>
      </c>
      <c r="K30" s="13">
        <f si="37" t="shared"/>
        <v>2.7152035786405369E-2</v>
      </c>
      <c r="L30"/>
      <c r="M30" s="25" t="s">
        <v>247</v>
      </c>
      <c r="N30" s="43">
        <f ref="N30:W30" si="39" t="shared">N12/N$13</f>
        <v>6.8533295094847735E-2</v>
      </c>
      <c r="O30" s="43">
        <f si="39" t="shared"/>
        <v>2.8331384760361664E-2</v>
      </c>
      <c r="P30" s="43">
        <f si="39" t="shared"/>
        <v>0</v>
      </c>
      <c r="Q30" s="43">
        <f si="39" t="shared"/>
        <v>0</v>
      </c>
      <c r="R30" s="43">
        <f si="39" t="shared"/>
        <v>2.295524828903632E-2</v>
      </c>
      <c r="S30" s="43">
        <f si="39" t="shared"/>
        <v>9.0185064786496235E-4</v>
      </c>
      <c r="T30" s="43"/>
      <c r="U30" s="43">
        <f si="39" t="shared"/>
        <v>0</v>
      </c>
      <c r="V30" s="43">
        <f si="39" t="shared"/>
        <v>0</v>
      </c>
      <c r="W30" s="43">
        <f si="39" t="shared"/>
        <v>3.1378686927632585E-2</v>
      </c>
      <c r="Y30" s="25" t="s">
        <v>247</v>
      </c>
      <c r="Z30" s="12">
        <f si="18" t="shared"/>
        <v>-1.965230774381696E-3</v>
      </c>
      <c r="AA30" s="12">
        <f si="19" t="shared"/>
        <v>1.7526899141477495E-2</v>
      </c>
      <c r="AB30" s="12">
        <f si="20" t="shared"/>
        <v>0</v>
      </c>
      <c r="AC30" s="12">
        <f si="21" t="shared"/>
        <v>0</v>
      </c>
      <c r="AD30" s="12">
        <f si="22" t="shared"/>
        <v>-6.5190018650271367E-3</v>
      </c>
      <c r="AE30" s="12">
        <f si="23" t="shared"/>
        <v>9.0185064786496235E-4</v>
      </c>
      <c r="AF30" s="12"/>
      <c r="AG30" s="12">
        <f si="24" t="shared"/>
        <v>0</v>
      </c>
      <c r="AH30" s="12">
        <f si="25" t="shared"/>
        <v>0</v>
      </c>
      <c r="AI30" s="12">
        <f si="26" t="shared"/>
        <v>4.2266511412272154E-3</v>
      </c>
    </row>
    <row ht="13.5" r="31" spans="1:35" thickBot="1" x14ac:dyDescent="0.25">
      <c r="A31" s="10" t="s">
        <v>221</v>
      </c>
      <c r="B31" s="17">
        <f ref="B31:K31" si="40" t="shared">B13/B$13</f>
        <v>1</v>
      </c>
      <c r="C31" s="17">
        <f si="40" t="shared"/>
        <v>1</v>
      </c>
      <c r="D31" s="17">
        <f si="40" t="shared"/>
        <v>1</v>
      </c>
      <c r="E31" s="17">
        <f si="40" t="shared"/>
        <v>1</v>
      </c>
      <c r="F31" s="17">
        <f si="40" t="shared"/>
        <v>1</v>
      </c>
      <c r="G31" s="17">
        <f si="40" t="shared"/>
        <v>1</v>
      </c>
      <c r="H31" s="17"/>
      <c r="I31" s="17">
        <f si="40" t="shared"/>
        <v>1</v>
      </c>
      <c r="J31" s="17">
        <f si="40" t="shared"/>
        <v>1</v>
      </c>
      <c r="K31" s="17">
        <f si="40" t="shared"/>
        <v>1</v>
      </c>
      <c r="L31"/>
      <c r="M31" s="10" t="s">
        <v>221</v>
      </c>
      <c r="N31" s="44">
        <f ref="N31:W31" si="41" t="shared">N13/N$13</f>
        <v>1</v>
      </c>
      <c r="O31" s="44">
        <f si="41" t="shared"/>
        <v>1</v>
      </c>
      <c r="P31" s="44">
        <f si="41" t="shared"/>
        <v>1</v>
      </c>
      <c r="Q31" s="44">
        <f si="41" t="shared"/>
        <v>1</v>
      </c>
      <c r="R31" s="44">
        <f si="41" t="shared"/>
        <v>1</v>
      </c>
      <c r="S31" s="44">
        <f si="41" t="shared"/>
        <v>1</v>
      </c>
      <c r="T31" s="44"/>
      <c r="U31" s="44">
        <f si="41" t="shared"/>
        <v>1</v>
      </c>
      <c r="V31" s="44">
        <f si="41" t="shared"/>
        <v>1</v>
      </c>
      <c r="W31" s="44">
        <f si="41" t="shared"/>
        <v>1</v>
      </c>
      <c r="Y31" s="10" t="s">
        <v>221</v>
      </c>
      <c r="Z31" s="14">
        <f si="18" t="shared"/>
        <v>0</v>
      </c>
      <c r="AA31" s="14">
        <f si="19" t="shared"/>
        <v>0</v>
      </c>
      <c r="AB31" s="14">
        <f si="20" t="shared"/>
        <v>0</v>
      </c>
      <c r="AC31" s="14">
        <f si="21" t="shared"/>
        <v>0</v>
      </c>
      <c r="AD31" s="14">
        <f si="22" t="shared"/>
        <v>0</v>
      </c>
      <c r="AE31" s="14">
        <f si="23" t="shared"/>
        <v>0</v>
      </c>
      <c r="AF31" s="14"/>
      <c r="AG31" s="14">
        <f si="24" t="shared"/>
        <v>0</v>
      </c>
      <c r="AH31" s="14">
        <f si="25" t="shared"/>
        <v>0</v>
      </c>
      <c r="AI31" s="14">
        <f si="26" t="shared"/>
        <v>0</v>
      </c>
    </row>
    <row r="32" spans="1:35" x14ac:dyDescent="0.2">
      <c r="L32"/>
    </row>
    <row r="33" spans="1:35" x14ac:dyDescent="0.2">
      <c r="L33"/>
    </row>
    <row r="34" spans="1:35" x14ac:dyDescent="0.2">
      <c r="L34"/>
    </row>
    <row r="35" spans="1:35" x14ac:dyDescent="0.2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x14ac:dyDescent="0.2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 s="2" t="s">
        <v>273</v>
      </c>
      <c r="B37"/>
      <c r="C37"/>
      <c r="D37"/>
      <c r="E37"/>
      <c r="F37"/>
      <c r="G37"/>
      <c r="H37"/>
      <c r="I37"/>
      <c r="J37"/>
      <c r="K37"/>
      <c r="L37"/>
      <c r="M37" s="2" t="s">
        <v>268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238</v>
      </c>
      <c r="Z37"/>
      <c r="AA37"/>
      <c r="AB37"/>
      <c r="AC37"/>
      <c r="AD37"/>
      <c r="AE37"/>
      <c r="AF37"/>
      <c r="AG37"/>
      <c r="AH37"/>
      <c r="AI37"/>
    </row>
    <row ht="13.5" r="38" spans="1:35" thickBot="1" x14ac:dyDescent="0.25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x14ac:dyDescent="0.2">
      <c r="A39" s="5" t="s">
        <v>159</v>
      </c>
      <c r="B39" s="6" t="s">
        <v>296</v>
      </c>
      <c r="C39" s="6" t="s">
        <v>297</v>
      </c>
      <c r="D39" s="6" t="s">
        <v>298</v>
      </c>
      <c r="E39" s="6" t="s">
        <v>301</v>
      </c>
      <c r="F39" s="6" t="s">
        <v>172</v>
      </c>
      <c r="G39" s="6" t="s">
        <v>221</v>
      </c>
      <c r="H39" s="89"/>
      <c r="I39"/>
      <c r="K39"/>
      <c r="L39"/>
      <c r="M39" s="5" t="s">
        <v>159</v>
      </c>
      <c r="N39" s="6" t="s">
        <v>296</v>
      </c>
      <c r="O39" s="6" t="s">
        <v>297</v>
      </c>
      <c r="P39" s="6" t="s">
        <v>298</v>
      </c>
      <c r="Q39" s="6" t="s">
        <v>301</v>
      </c>
      <c r="R39" s="41" t="s">
        <v>172</v>
      </c>
      <c r="S39" s="41" t="s">
        <v>221</v>
      </c>
      <c r="T39" s="101"/>
      <c r="W39" s="57"/>
      <c r="Y39" s="5" t="s">
        <v>159</v>
      </c>
      <c r="Z39" s="6" t="s">
        <v>296</v>
      </c>
      <c r="AA39" s="6" t="s">
        <v>297</v>
      </c>
      <c r="AB39" s="6" t="s">
        <v>298</v>
      </c>
      <c r="AC39" s="6" t="s">
        <v>301</v>
      </c>
      <c r="AD39" s="41" t="s">
        <v>172</v>
      </c>
      <c r="AE39" s="41" t="s">
        <v>221</v>
      </c>
      <c r="AF39" s="101"/>
      <c r="AG39"/>
    </row>
    <row r="40" spans="1:35" x14ac:dyDescent="0.2">
      <c r="A40" s="3" t="s">
        <v>210</v>
      </c>
      <c r="B40" s="7">
        <f>output_NHTS!B189</f>
        <v>23973.1038806467</v>
      </c>
      <c r="C40" s="7">
        <f>output_NHTS!C189</f>
        <v>357867.5113332902</v>
      </c>
      <c r="D40" s="7">
        <f>output_NHTS!D189</f>
        <v>290869.97480684449</v>
      </c>
      <c r="E40" s="7">
        <f>output_NHTS!E189</f>
        <v>942766.21372491436</v>
      </c>
      <c r="F40" s="7"/>
      <c r="G40" s="53">
        <f>SUM(B40:E40)</f>
        <v>1615476.8037456959</v>
      </c>
      <c r="H40" s="53"/>
      <c r="I40"/>
      <c r="K40"/>
      <c r="L40"/>
      <c r="M40" s="3" t="s">
        <v>210</v>
      </c>
      <c r="N40" s="53">
        <f>output!B189</f>
        <v>37856.456145381038</v>
      </c>
      <c r="O40" s="53">
        <f>output!C189</f>
        <v>310306.47216539097</v>
      </c>
      <c r="P40" s="53">
        <f>output!D189</f>
        <v>296181.28918187419</v>
      </c>
      <c r="Q40" s="53">
        <f>output!E189</f>
        <v>1054453.9536616211</v>
      </c>
      <c r="R40" s="53"/>
      <c r="S40" s="53">
        <f>SUM(N40:Q40)</f>
        <v>1698798.1711542672</v>
      </c>
      <c r="T40" s="53"/>
      <c r="W40" s="57"/>
      <c r="Y40" s="3" t="s">
        <v>210</v>
      </c>
      <c r="Z40" s="7">
        <f ref="Z40:Z48" si="42" t="shared">N40-B40</f>
        <v>13883.352264734338</v>
      </c>
      <c r="AA40" s="7">
        <f ref="AA40:AA48" si="43" t="shared">O40-C40</f>
        <v>-47561.039167899231</v>
      </c>
      <c r="AB40" s="7">
        <f ref="AB40:AB48" si="44" t="shared">P40-D40</f>
        <v>5311.3143750297022</v>
      </c>
      <c r="AC40" s="7">
        <f ref="AC40:AC48" si="45" t="shared">Q40-E40</f>
        <v>111687.73993670673</v>
      </c>
      <c r="AD40" s="7">
        <f ref="AD40:AD48" si="46" t="shared">R40-F40</f>
        <v>0</v>
      </c>
      <c r="AE40" s="7">
        <f ref="AE40:AE48" si="47" t="shared">S40-G40</f>
        <v>83321.367408571299</v>
      </c>
      <c r="AF40" s="7"/>
      <c r="AG40"/>
    </row>
    <row r="41" spans="1:35" x14ac:dyDescent="0.2">
      <c r="A41" s="3" t="s">
        <v>211</v>
      </c>
      <c r="B41" s="7">
        <f>output_NHTS!B190</f>
        <v>32332.695402171001</v>
      </c>
      <c r="C41" s="7">
        <f>output_NHTS!C190</f>
        <v>125157.18571351509</v>
      </c>
      <c r="D41" s="7">
        <f>output_NHTS!D190</f>
        <v>102632.6406399655</v>
      </c>
      <c r="E41" s="7">
        <f>output_NHTS!E190</f>
        <v>469654.1482004784</v>
      </c>
      <c r="F41" s="7"/>
      <c r="G41" s="53">
        <f ref="G41:G47" si="48" t="shared">SUM(B41:E41)</f>
        <v>729776.66995612998</v>
      </c>
      <c r="H41" s="53"/>
      <c r="I41"/>
      <c r="K41"/>
      <c r="L41"/>
      <c r="M41" s="3" t="s">
        <v>211</v>
      </c>
      <c r="N41" s="53">
        <f>output!B190</f>
        <v>62527.827563688865</v>
      </c>
      <c r="O41" s="53">
        <f>output!C190</f>
        <v>170401.131451844</v>
      </c>
      <c r="P41" s="53">
        <f>output!D190</f>
        <v>117919.50298682171</v>
      </c>
      <c r="Q41" s="53">
        <f>output!E190</f>
        <v>408130.9742208207</v>
      </c>
      <c r="R41" s="53"/>
      <c r="S41" s="53">
        <f ref="S41:S50" si="49" t="shared">SUM(N41:Q41)</f>
        <v>758979.43622317526</v>
      </c>
      <c r="T41" s="53"/>
      <c r="W41" s="57"/>
      <c r="Y41" s="3" t="s">
        <v>211</v>
      </c>
      <c r="Z41" s="7">
        <f si="42" t="shared"/>
        <v>30195.132161517864</v>
      </c>
      <c r="AA41" s="7">
        <f si="43" t="shared"/>
        <v>45243.945738328912</v>
      </c>
      <c r="AB41" s="7">
        <f si="44" t="shared"/>
        <v>15286.862346856215</v>
      </c>
      <c r="AC41" s="7">
        <f si="45" t="shared"/>
        <v>-61523.173979657702</v>
      </c>
      <c r="AD41" s="7">
        <f si="46" t="shared"/>
        <v>0</v>
      </c>
      <c r="AE41" s="7">
        <f si="47" t="shared"/>
        <v>29202.766267045285</v>
      </c>
      <c r="AF41" s="7"/>
      <c r="AG41"/>
    </row>
    <row r="42" spans="1:35" x14ac:dyDescent="0.2">
      <c r="A42" s="3" t="s">
        <v>212</v>
      </c>
      <c r="B42" s="7">
        <f>output_NHTS!B191</f>
        <v>12395.359192328</v>
      </c>
      <c r="C42" s="7">
        <f>output_NHTS!C191</f>
        <v>115137.03102640119</v>
      </c>
      <c r="D42" s="7">
        <f>output_NHTS!D191</f>
        <v>92875.6482897674</v>
      </c>
      <c r="E42" s="7">
        <f>output_NHTS!E191</f>
        <v>386915.6707161339</v>
      </c>
      <c r="F42" s="7"/>
      <c r="G42" s="53">
        <f si="48" t="shared"/>
        <v>607323.7092246305</v>
      </c>
      <c r="H42" s="53"/>
      <c r="I42"/>
      <c r="K42"/>
      <c r="L42"/>
      <c r="M42" s="3" t="s">
        <v>212</v>
      </c>
      <c r="N42" s="53">
        <f>output!B191</f>
        <v>39697.820982000871</v>
      </c>
      <c r="O42" s="53">
        <f>output!C191</f>
        <v>141113.62755547249</v>
      </c>
      <c r="P42" s="53">
        <f>output!D191</f>
        <v>117104.78007420669</v>
      </c>
      <c r="Q42" s="53">
        <f>output!E191</f>
        <v>348502.36774293927</v>
      </c>
      <c r="R42" s="53"/>
      <c r="S42" s="53">
        <f si="49" t="shared"/>
        <v>646418.59635461937</v>
      </c>
      <c r="T42" s="53"/>
      <c r="W42" s="57"/>
      <c r="Y42" s="3" t="s">
        <v>212</v>
      </c>
      <c r="Z42" s="7">
        <f si="42" t="shared"/>
        <v>27302.461789672871</v>
      </c>
      <c r="AA42" s="7">
        <f si="43" t="shared"/>
        <v>25976.596529071292</v>
      </c>
      <c r="AB42" s="7">
        <f si="44" t="shared"/>
        <v>24229.131784439291</v>
      </c>
      <c r="AC42" s="7">
        <f si="45" t="shared"/>
        <v>-38413.30297319463</v>
      </c>
      <c r="AD42" s="7">
        <f si="46" t="shared"/>
        <v>0</v>
      </c>
      <c r="AE42" s="7">
        <f si="47" t="shared"/>
        <v>39094.887129988871</v>
      </c>
      <c r="AF42" s="7"/>
      <c r="AG42"/>
    </row>
    <row r="43" spans="1:35" x14ac:dyDescent="0.2">
      <c r="A43" s="3" t="s">
        <v>213</v>
      </c>
      <c r="B43" s="7">
        <f>output_NHTS!B192</f>
        <v>29439.6744888787</v>
      </c>
      <c r="C43" s="7">
        <f>output_NHTS!C192</f>
        <v>223389.26797829839</v>
      </c>
      <c r="D43" s="7">
        <f>output_NHTS!D192</f>
        <v>110808.204528332</v>
      </c>
      <c r="E43" s="7">
        <f>output_NHTS!E192</f>
        <v>280900.6964128915</v>
      </c>
      <c r="F43" s="7"/>
      <c r="G43" s="53">
        <f si="48" t="shared"/>
        <v>644537.84340840066</v>
      </c>
      <c r="H43" s="53"/>
      <c r="I43"/>
      <c r="K43"/>
      <c r="L43"/>
      <c r="M43" s="3" t="s">
        <v>213</v>
      </c>
      <c r="N43" s="53">
        <f>output!B192</f>
        <v>68718.688329120952</v>
      </c>
      <c r="O43" s="53">
        <f>output!C192</f>
        <v>211759.41152946017</v>
      </c>
      <c r="P43" s="53">
        <f>output!D192</f>
        <v>122578.14008627173</v>
      </c>
      <c r="Q43" s="53">
        <f>output!E192</f>
        <v>302667.87879190367</v>
      </c>
      <c r="R43" s="53"/>
      <c r="S43" s="53">
        <f si="49" t="shared"/>
        <v>705724.1187367565</v>
      </c>
      <c r="T43" s="53"/>
      <c r="W43" s="57"/>
      <c r="Y43" s="3" t="s">
        <v>213</v>
      </c>
      <c r="Z43" s="7">
        <f si="42" t="shared"/>
        <v>39279.013840242253</v>
      </c>
      <c r="AA43" s="7">
        <f si="43" t="shared"/>
        <v>-11629.856448838225</v>
      </c>
      <c r="AB43" s="7">
        <f si="44" t="shared"/>
        <v>11769.935557939723</v>
      </c>
      <c r="AC43" s="7">
        <f si="45" t="shared"/>
        <v>21767.182379012171</v>
      </c>
      <c r="AD43" s="7">
        <f si="46" t="shared"/>
        <v>0</v>
      </c>
      <c r="AE43" s="7">
        <f si="47" t="shared"/>
        <v>61186.275328355841</v>
      </c>
      <c r="AF43" s="7"/>
      <c r="AG43"/>
    </row>
    <row r="44" spans="1:35" x14ac:dyDescent="0.2">
      <c r="A44" s="3" t="s">
        <v>214</v>
      </c>
      <c r="B44" s="7">
        <f>output_NHTS!B193</f>
        <v>44933.087407614599</v>
      </c>
      <c r="C44" s="7">
        <f>output_NHTS!C193</f>
        <v>217946.06335067839</v>
      </c>
      <c r="D44" s="7">
        <f>output_NHTS!D193</f>
        <v>109450.3372731321</v>
      </c>
      <c r="E44" s="7">
        <f>output_NHTS!E193</f>
        <v>259602.1523556851</v>
      </c>
      <c r="F44" s="7"/>
      <c r="G44" s="53">
        <f si="48" t="shared"/>
        <v>631931.64038711018</v>
      </c>
      <c r="H44" s="53"/>
      <c r="I44"/>
      <c r="K44"/>
      <c r="L44"/>
      <c r="M44" s="3" t="s">
        <v>214</v>
      </c>
      <c r="N44" s="53">
        <f>output!B193</f>
        <v>70731.359002927376</v>
      </c>
      <c r="O44" s="53">
        <f>output!C193</f>
        <v>200787.23845818898</v>
      </c>
      <c r="P44" s="53">
        <f>output!D193</f>
        <v>122065.27945027244</v>
      </c>
      <c r="Q44" s="53">
        <f>output!E193</f>
        <v>301541.59311557794</v>
      </c>
      <c r="R44" s="53"/>
      <c r="S44" s="53">
        <f si="49" t="shared"/>
        <v>695125.47002696677</v>
      </c>
      <c r="T44" s="53"/>
      <c r="W44" s="57"/>
      <c r="Y44" s="3" t="s">
        <v>214</v>
      </c>
      <c r="Z44" s="7">
        <f si="42" t="shared"/>
        <v>25798.271595312777</v>
      </c>
      <c r="AA44" s="7">
        <f si="43" t="shared"/>
        <v>-17158.824892489414</v>
      </c>
      <c r="AB44" s="7">
        <f si="44" t="shared"/>
        <v>12614.942177140343</v>
      </c>
      <c r="AC44" s="7">
        <f si="45" t="shared"/>
        <v>41939.440759892837</v>
      </c>
      <c r="AD44" s="7">
        <f si="46" t="shared"/>
        <v>0</v>
      </c>
      <c r="AE44" s="7">
        <f si="47" t="shared"/>
        <v>63193.829639856587</v>
      </c>
      <c r="AF44" s="7"/>
      <c r="AG44"/>
    </row>
    <row r="45" spans="1:35" x14ac:dyDescent="0.2">
      <c r="A45" s="3" t="s">
        <v>129</v>
      </c>
      <c r="B45" s="7">
        <f>output_NHTS!B194</f>
        <v>13143.7339791591</v>
      </c>
      <c r="C45" s="7">
        <f>output_NHTS!C194</f>
        <v>49814.064367628001</v>
      </c>
      <c r="D45" s="7">
        <f>output_NHTS!D194</f>
        <v>42437.7007725203</v>
      </c>
      <c r="E45" s="7">
        <f>output_NHTS!E194</f>
        <v>102138.39791281951</v>
      </c>
      <c r="F45" s="7"/>
      <c r="G45" s="53">
        <f si="48" t="shared"/>
        <v>207533.8970321269</v>
      </c>
      <c r="H45" s="53"/>
      <c r="I45"/>
      <c r="K45"/>
      <c r="L45"/>
      <c r="M45" s="3" t="s">
        <v>129</v>
      </c>
      <c r="N45" s="53">
        <f>output!B194</f>
        <v>15547.367814482091</v>
      </c>
      <c r="O45" s="53">
        <f>output!C194</f>
        <v>58836.333695016328</v>
      </c>
      <c r="P45" s="53">
        <f>output!D194</f>
        <v>40695.187783477573</v>
      </c>
      <c r="Q45" s="53">
        <f>output!E194</f>
        <v>115457.90333687022</v>
      </c>
      <c r="R45" s="53"/>
      <c r="S45" s="53">
        <f si="49" t="shared"/>
        <v>230536.79262984623</v>
      </c>
      <c r="T45" s="53"/>
      <c r="W45" s="57"/>
      <c r="Y45" s="3" t="s">
        <v>129</v>
      </c>
      <c r="Z45" s="7">
        <f si="42" t="shared"/>
        <v>2403.6338353229912</v>
      </c>
      <c r="AA45" s="7">
        <f si="43" t="shared"/>
        <v>9022.2693273883269</v>
      </c>
      <c r="AB45" s="7">
        <f si="44" t="shared"/>
        <v>-1742.512989042727</v>
      </c>
      <c r="AC45" s="7">
        <f si="45" t="shared"/>
        <v>13319.505424050716</v>
      </c>
      <c r="AD45" s="7">
        <f si="46" t="shared"/>
        <v>0</v>
      </c>
      <c r="AE45" s="7">
        <f si="47" t="shared"/>
        <v>23002.895597719325</v>
      </c>
      <c r="AF45" s="7"/>
      <c r="AG45"/>
    </row>
    <row r="46" spans="1:35" x14ac:dyDescent="0.2">
      <c r="A46" s="25" t="s">
        <v>130</v>
      </c>
      <c r="B46" s="7">
        <f>output_NHTS!B195</f>
        <v>31184.264254218</v>
      </c>
      <c r="C46" s="7">
        <f>output_NHTS!C195</f>
        <v>219310.85452634661</v>
      </c>
      <c r="D46" s="7">
        <f>output_NHTS!D195</f>
        <v>218476.79083731989</v>
      </c>
      <c r="E46" s="7">
        <f>output_NHTS!E195</f>
        <v>549344.97051413718</v>
      </c>
      <c r="F46" s="33"/>
      <c r="G46" s="54">
        <f si="48" t="shared"/>
        <v>1018316.8801320216</v>
      </c>
      <c r="H46" s="54"/>
      <c r="I46"/>
      <c r="K46"/>
      <c r="L46"/>
      <c r="M46" s="25" t="s">
        <v>130</v>
      </c>
      <c r="N46" s="54">
        <f>output!B195</f>
        <v>62863.0452443592</v>
      </c>
      <c r="O46" s="54">
        <f>output!C195</f>
        <v>257440.84292869229</v>
      </c>
      <c r="P46" s="54">
        <f>output!D195</f>
        <v>191375.64263579962</v>
      </c>
      <c r="Q46" s="54">
        <f>output!E195</f>
        <v>578385.80575403594</v>
      </c>
      <c r="R46" s="54"/>
      <c r="S46" s="54">
        <f si="49" t="shared"/>
        <v>1090065.3365628871</v>
      </c>
      <c r="T46" s="54"/>
      <c r="W46" s="57"/>
      <c r="Y46" s="25" t="s">
        <v>130</v>
      </c>
      <c r="Z46" s="33">
        <f si="42" t="shared"/>
        <v>31678.7809901412</v>
      </c>
      <c r="AA46" s="33">
        <f si="43" t="shared"/>
        <v>38129.988402345683</v>
      </c>
      <c r="AB46" s="33">
        <f si="44" t="shared"/>
        <v>-27101.148201520264</v>
      </c>
      <c r="AC46" s="33">
        <f si="45" t="shared"/>
        <v>29040.835239898763</v>
      </c>
      <c r="AD46" s="33">
        <f si="46" t="shared"/>
        <v>0</v>
      </c>
      <c r="AE46" s="33">
        <f si="47" t="shared"/>
        <v>71748.456430865452</v>
      </c>
      <c r="AF46" s="33"/>
      <c r="AG46"/>
    </row>
    <row r="47" spans="1:35" x14ac:dyDescent="0.2">
      <c r="A47" s="25" t="s">
        <v>247</v>
      </c>
      <c r="B47" s="9">
        <f>output_NHTS!B196</f>
        <v>1218.068316504</v>
      </c>
      <c r="C47" s="9">
        <f>output_NHTS!C196</f>
        <v>33725.786522540198</v>
      </c>
      <c r="D47" s="9">
        <f>output_NHTS!D196</f>
        <v>26178.468096921599</v>
      </c>
      <c r="E47" s="9">
        <f>output_NHTS!E196</f>
        <v>110356.1492992104</v>
      </c>
      <c r="F47" s="9"/>
      <c r="G47" s="59">
        <f si="48" t="shared"/>
        <v>171478.47223517619</v>
      </c>
      <c r="H47" s="54"/>
      <c r="I47"/>
      <c r="K47"/>
      <c r="L47"/>
      <c r="M47" s="25" t="s">
        <v>247</v>
      </c>
      <c r="N47" s="59">
        <f>output!B196</f>
        <v>3387.5024535467664</v>
      </c>
      <c r="O47" s="59">
        <f>output!C196</f>
        <v>32086.447232394319</v>
      </c>
      <c r="P47" s="59">
        <f>output!D196</f>
        <v>31430.607851473953</v>
      </c>
      <c r="Q47" s="59">
        <f>output!E196</f>
        <v>121818.50669648136</v>
      </c>
      <c r="R47" s="59"/>
      <c r="S47" s="59">
        <f si="49" t="shared"/>
        <v>188723.06423389638</v>
      </c>
      <c r="T47" s="54"/>
      <c r="W47" s="57"/>
      <c r="Y47" s="25" t="s">
        <v>247</v>
      </c>
      <c r="Z47" s="9">
        <f si="42" t="shared"/>
        <v>2169.4341370427665</v>
      </c>
      <c r="AA47" s="9">
        <f si="43" t="shared"/>
        <v>-1639.3392901458792</v>
      </c>
      <c r="AB47" s="9">
        <f si="44" t="shared"/>
        <v>5252.1397545523541</v>
      </c>
      <c r="AC47" s="9">
        <f si="45" t="shared"/>
        <v>11462.357397270956</v>
      </c>
      <c r="AD47" s="9">
        <f si="46" t="shared"/>
        <v>0</v>
      </c>
      <c r="AE47" s="9">
        <f si="47" t="shared"/>
        <v>17244.591998720192</v>
      </c>
      <c r="AF47" s="33"/>
      <c r="AG47"/>
    </row>
    <row ht="13.5" r="48" spans="1:35" thickBot="1" x14ac:dyDescent="0.25">
      <c r="A48" s="10" t="s">
        <v>221</v>
      </c>
      <c r="B48" s="60">
        <f ref="B48:G48" si="50" t="shared">SUM(B40:B47)</f>
        <v>188619.98692152009</v>
      </c>
      <c r="C48" s="60">
        <f si="50" t="shared"/>
        <v>1342347.7648186982</v>
      </c>
      <c r="D48" s="60">
        <f si="50" t="shared"/>
        <v>993729.76524480316</v>
      </c>
      <c r="E48" s="60">
        <f si="50" t="shared"/>
        <v>3101678.3991362704</v>
      </c>
      <c r="F48" s="60">
        <f si="50" t="shared"/>
        <v>0</v>
      </c>
      <c r="G48" s="60">
        <f si="50" t="shared"/>
        <v>5626375.916121291</v>
      </c>
      <c r="H48" s="54"/>
      <c r="I48"/>
      <c r="K48"/>
      <c r="L48"/>
      <c r="M48" s="10" t="s">
        <v>221</v>
      </c>
      <c r="N48" s="60">
        <f>SUM(N40:N47)</f>
        <v>361330.06753550709</v>
      </c>
      <c r="O48" s="60">
        <f>SUM(O40:O47)</f>
        <v>1382731.5050164594</v>
      </c>
      <c r="P48" s="60">
        <f>SUM(P40:P47)</f>
        <v>1039350.4300501979</v>
      </c>
      <c r="Q48" s="60">
        <f>SUM(Q40:Q47)</f>
        <v>3230958.9833202502</v>
      </c>
      <c r="R48" s="60"/>
      <c r="S48" s="60">
        <f>SUM(S40:S47)</f>
        <v>6014370.9859224148</v>
      </c>
      <c r="T48" s="54"/>
      <c r="W48" s="57"/>
      <c r="Y48" s="10" t="s">
        <v>221</v>
      </c>
      <c r="Z48" s="22">
        <f si="42" t="shared"/>
        <v>172710.080613987</v>
      </c>
      <c r="AA48" s="22">
        <f si="43" t="shared"/>
        <v>40383.740197761217</v>
      </c>
      <c r="AB48" s="22">
        <f si="44" t="shared"/>
        <v>45620.664805394714</v>
      </c>
      <c r="AC48" s="22">
        <f si="45" t="shared"/>
        <v>129280.58418397978</v>
      </c>
      <c r="AD48" s="22">
        <f si="46" t="shared"/>
        <v>0</v>
      </c>
      <c r="AE48" s="22">
        <f si="47" t="shared"/>
        <v>387995.06980112381</v>
      </c>
      <c r="AF48" s="33"/>
      <c r="AG48"/>
    </row>
    <row r="49" spans="1:35" x14ac:dyDescent="0.2">
      <c r="I49"/>
      <c r="K49"/>
      <c r="L49"/>
      <c r="W49" s="57"/>
      <c r="AG49"/>
    </row>
    <row r="50" spans="1:35" x14ac:dyDescent="0.2">
      <c r="A50" s="25" t="s">
        <v>88</v>
      </c>
      <c r="B50" s="7">
        <f>output_NHTS!B317</f>
        <v>119572.32399999999</v>
      </c>
      <c r="C50" s="7">
        <f>output_NHTS!B318</f>
        <v>834810.03260000004</v>
      </c>
      <c r="D50" s="7">
        <f>output_NHTS!B319</f>
        <v>590147.33030000003</v>
      </c>
      <c r="E50" s="7">
        <f>output_NHTS!B320</f>
        <v>1852875.3618999999</v>
      </c>
      <c r="F50" s="7"/>
      <c r="G50" s="54">
        <f>SUM(B50:E50)</f>
        <v>3397405.0488</v>
      </c>
      <c r="H50" s="54"/>
      <c r="I50"/>
      <c r="K50"/>
      <c r="L50"/>
      <c r="M50" s="25" t="s">
        <v>88</v>
      </c>
      <c r="N50" s="53">
        <f>output!B317</f>
        <v>229472.39050954158</v>
      </c>
      <c r="O50" s="53">
        <f>output!B318</f>
        <v>870027.32078039099</v>
      </c>
      <c r="P50" s="53">
        <f>output!B319</f>
        <v>650117.12699459423</v>
      </c>
      <c r="Q50" s="53">
        <f>output!B320</f>
        <v>1992857.9801793641</v>
      </c>
      <c r="R50" s="53"/>
      <c r="S50" s="54">
        <f si="49" t="shared"/>
        <v>3742474.8184638908</v>
      </c>
      <c r="T50" s="54"/>
      <c r="W50" s="57"/>
      <c r="Y50" s="25" t="s">
        <v>88</v>
      </c>
      <c r="Z50" s="7">
        <f ref="Z50:AE51" si="51" t="shared">N50-B50</f>
        <v>109900.06650954159</v>
      </c>
      <c r="AA50" s="7">
        <f si="51" t="shared"/>
        <v>35217.288180390955</v>
      </c>
      <c r="AB50" s="7">
        <f si="51" t="shared"/>
        <v>59969.796694594203</v>
      </c>
      <c r="AC50" s="7">
        <f si="51" t="shared"/>
        <v>139982.61827936419</v>
      </c>
      <c r="AD50" s="7">
        <f si="51" t="shared"/>
        <v>0</v>
      </c>
      <c r="AE50" s="7">
        <f si="51" t="shared"/>
        <v>345069.76966389082</v>
      </c>
      <c r="AF50" s="7"/>
      <c r="AG50"/>
    </row>
    <row r="51" spans="1:35" x14ac:dyDescent="0.2">
      <c r="A51" s="25" t="s">
        <v>89</v>
      </c>
      <c r="B51" s="37">
        <f ref="B51:G51" si="52" t="shared">B48/B50</f>
        <v>1.5774552221759954</v>
      </c>
      <c r="C51" s="37">
        <f si="52" t="shared"/>
        <v>1.6079679356966776</v>
      </c>
      <c r="D51" s="37">
        <f si="52" t="shared"/>
        <v>1.683867255215139</v>
      </c>
      <c r="E51" s="37">
        <f si="52" t="shared"/>
        <v>1.6739811338177149</v>
      </c>
      <c r="F51" s="37" t="e">
        <f si="52" t="shared"/>
        <v>#DIV/0!</v>
      </c>
      <c r="G51" s="37">
        <f si="52" t="shared"/>
        <v>1.6560804011604644</v>
      </c>
      <c r="H51" s="37"/>
      <c r="I51"/>
      <c r="K51"/>
      <c r="L51"/>
      <c r="M51" s="25" t="s">
        <v>89</v>
      </c>
      <c r="N51" s="37">
        <f ref="N51:S51" si="53" t="shared">N48/N50</f>
        <v>1.5746123824882663</v>
      </c>
      <c r="O51" s="37">
        <f si="53" t="shared"/>
        <v>1.5892966484962641</v>
      </c>
      <c r="P51" s="37">
        <f si="53" t="shared"/>
        <v>1.598712581000562</v>
      </c>
      <c r="Q51" s="37">
        <f si="53" t="shared"/>
        <v>1.6212690595390309</v>
      </c>
      <c r="R51" s="37"/>
      <c r="S51" s="37">
        <f si="53" t="shared"/>
        <v>1.6070571687616673</v>
      </c>
      <c r="T51" s="37"/>
      <c r="W51" s="57"/>
      <c r="Y51" s="25" t="s">
        <v>89</v>
      </c>
      <c r="Z51" s="38">
        <f si="51" t="shared"/>
        <v>-2.8428396877291373E-3</v>
      </c>
      <c r="AA51" s="38">
        <f si="51" t="shared"/>
        <v>-1.8671287200413555E-2</v>
      </c>
      <c r="AB51" s="38">
        <f si="51" t="shared"/>
        <v>-8.5154674214577009E-2</v>
      </c>
      <c r="AC51" s="38">
        <f si="51" t="shared"/>
        <v>-5.2712074278683962E-2</v>
      </c>
      <c r="AD51" s="38" t="e">
        <f si="51" t="shared"/>
        <v>#DIV/0!</v>
      </c>
      <c r="AE51" s="38">
        <f si="51" t="shared"/>
        <v>-4.9023232398797134E-2</v>
      </c>
      <c r="AF51" s="38"/>
      <c r="AG51"/>
    </row>
    <row r="52" spans="1:35" x14ac:dyDescent="0.2">
      <c r="I52"/>
      <c r="K52"/>
      <c r="L52"/>
      <c r="W52" s="57"/>
      <c r="AG52"/>
      <c r="AI52"/>
    </row>
    <row r="53" spans="1:35" x14ac:dyDescent="0.2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x14ac:dyDescent="0.2">
      <c r="A54" s="2" t="s">
        <v>278</v>
      </c>
      <c r="B54"/>
      <c r="C54"/>
      <c r="D54"/>
      <c r="E54"/>
      <c r="F54"/>
      <c r="G54"/>
      <c r="H54"/>
      <c r="I54"/>
      <c r="K54"/>
      <c r="L54"/>
      <c r="M54" s="2" t="s">
        <v>269</v>
      </c>
      <c r="N54" s="57"/>
      <c r="O54" s="57"/>
      <c r="P54" s="57"/>
      <c r="Q54" s="57"/>
      <c r="R54" s="57"/>
      <c r="S54" s="57"/>
      <c r="T54" s="57"/>
      <c r="W54" s="57"/>
      <c r="Y54" s="2" t="s">
        <v>239</v>
      </c>
      <c r="Z54"/>
      <c r="AA54"/>
      <c r="AB54"/>
      <c r="AC54"/>
      <c r="AD54"/>
      <c r="AE54"/>
      <c r="AF54"/>
      <c r="AG54"/>
      <c r="AI54"/>
    </row>
    <row ht="13.5" r="55" spans="1:35" thickBot="1" x14ac:dyDescent="0.25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x14ac:dyDescent="0.2">
      <c r="A56" s="5" t="s">
        <v>159</v>
      </c>
      <c r="B56" s="6" t="s">
        <v>296</v>
      </c>
      <c r="C56" s="6" t="s">
        <v>297</v>
      </c>
      <c r="D56" s="6" t="s">
        <v>298</v>
      </c>
      <c r="E56" s="6" t="s">
        <v>301</v>
      </c>
      <c r="F56" s="6" t="s">
        <v>172</v>
      </c>
      <c r="G56" s="6" t="s">
        <v>221</v>
      </c>
      <c r="H56" s="89"/>
      <c r="I56"/>
      <c r="L56"/>
      <c r="M56" s="5" t="s">
        <v>159</v>
      </c>
      <c r="N56" s="6" t="s">
        <v>296</v>
      </c>
      <c r="O56" s="6" t="s">
        <v>297</v>
      </c>
      <c r="P56" s="6" t="s">
        <v>298</v>
      </c>
      <c r="Q56" s="6" t="s">
        <v>301</v>
      </c>
      <c r="R56" s="41" t="s">
        <v>172</v>
      </c>
      <c r="S56" s="41" t="s">
        <v>221</v>
      </c>
      <c r="T56" s="101"/>
      <c r="Y56" s="5" t="s">
        <v>159</v>
      </c>
      <c r="Z56" s="6" t="s">
        <v>296</v>
      </c>
      <c r="AA56" s="6" t="s">
        <v>297</v>
      </c>
      <c r="AB56" s="6" t="s">
        <v>298</v>
      </c>
      <c r="AC56" s="6" t="s">
        <v>301</v>
      </c>
      <c r="AD56" s="41" t="s">
        <v>172</v>
      </c>
      <c r="AE56" s="41" t="s">
        <v>221</v>
      </c>
      <c r="AF56" s="101"/>
      <c r="AG56"/>
    </row>
    <row r="57" spans="1:35" x14ac:dyDescent="0.2">
      <c r="A57" s="3" t="s">
        <v>210</v>
      </c>
      <c r="B57" s="42">
        <f ref="B57:F64" si="54" t="shared">B40/B$48</f>
        <v>0.12709736795083806</v>
      </c>
      <c r="C57" s="42">
        <f si="54" t="shared"/>
        <v>0.26659821002616629</v>
      </c>
      <c r="D57" s="42">
        <f si="54" t="shared"/>
        <v>0.29270530578822834</v>
      </c>
      <c r="E57" s="42">
        <f si="54" t="shared"/>
        <v>0.30395356720008371</v>
      </c>
      <c r="F57" s="42" t="e">
        <f si="54" t="shared"/>
        <v>#DIV/0!</v>
      </c>
      <c r="G57" s="12">
        <v>0.30952398691869515</v>
      </c>
      <c r="H57" s="12"/>
      <c r="I57"/>
      <c r="L57"/>
      <c r="M57" s="3" t="s">
        <v>210</v>
      </c>
      <c r="N57" s="42">
        <f ref="N57:R65" si="55" t="shared">N40/N$48</f>
        <v>0.10476973699859884</v>
      </c>
      <c r="O57" s="42">
        <f si="55" t="shared"/>
        <v>0.22441556516186939</v>
      </c>
      <c r="P57" s="42">
        <f si="55" t="shared"/>
        <v>0.28496768810454953</v>
      </c>
      <c r="Q57" s="42">
        <f si="55" t="shared"/>
        <v>0.32635943665803707</v>
      </c>
      <c r="R57" s="42" t="e">
        <f si="55" t="shared"/>
        <v>#DIV/0!</v>
      </c>
      <c r="S57" s="42">
        <f ref="S57:S65" si="56" t="shared">S40/S$48</f>
        <v>0.28245649879772505</v>
      </c>
      <c r="T57" s="42"/>
      <c r="Y57" s="3" t="s">
        <v>210</v>
      </c>
      <c r="Z57" s="12">
        <f ref="Z57:Z65" si="57" t="shared">N57-B57</f>
        <v>-2.2327630952239219E-2</v>
      </c>
      <c r="AA57" s="12">
        <f ref="AA57:AA65" si="58" t="shared">O57-C57</f>
        <v>-4.2182644864296903E-2</v>
      </c>
      <c r="AB57" s="12">
        <f ref="AB57:AB65" si="59" t="shared">P57-D57</f>
        <v>-7.7376176836788102E-3</v>
      </c>
      <c r="AC57" s="12">
        <f ref="AC57:AC65" si="60" t="shared">Q57-E57</f>
        <v>2.2405869457953365E-2</v>
      </c>
      <c r="AD57" s="12" t="e">
        <f ref="AD57:AD65" si="61" t="shared">R57-F57</f>
        <v>#DIV/0!</v>
      </c>
      <c r="AE57" s="12">
        <f ref="AE57:AE65" si="62" t="shared">S57-G57</f>
        <v>-2.7067488120970096E-2</v>
      </c>
      <c r="AF57" s="12"/>
      <c r="AG57"/>
    </row>
    <row r="58" spans="1:35" x14ac:dyDescent="0.2">
      <c r="A58" s="3" t="s">
        <v>211</v>
      </c>
      <c r="B58" s="42">
        <f si="54" t="shared"/>
        <v>0.17141712248990773</v>
      </c>
      <c r="C58" s="42">
        <f si="54" t="shared"/>
        <v>9.3237526812151569E-2</v>
      </c>
      <c r="D58" s="42">
        <f si="54" t="shared"/>
        <v>0.10328023193979921</v>
      </c>
      <c r="E58" s="42">
        <f si="54" t="shared"/>
        <v>0.15141935680090618</v>
      </c>
      <c r="F58" s="42" t="e">
        <f si="54" t="shared"/>
        <v>#DIV/0!</v>
      </c>
      <c r="G58" s="12">
        <v>0.15602078184518309</v>
      </c>
      <c r="H58" s="12"/>
      <c r="I58"/>
      <c r="L58"/>
      <c r="M58" s="3" t="s">
        <v>211</v>
      </c>
      <c r="N58" s="42">
        <f si="55" t="shared"/>
        <v>0.17304905730698539</v>
      </c>
      <c r="O58" s="42">
        <f si="55" t="shared"/>
        <v>0.12323515507793079</v>
      </c>
      <c r="P58" s="42">
        <f si="55" t="shared"/>
        <v>0.1134549999475408</v>
      </c>
      <c r="Q58" s="42">
        <f si="55" t="shared"/>
        <v>0.12631883484989667</v>
      </c>
      <c r="R58" s="42" t="e">
        <f si="55" t="shared"/>
        <v>#DIV/0!</v>
      </c>
      <c r="S58" s="42">
        <f si="56" t="shared"/>
        <v>0.12619431657935409</v>
      </c>
      <c r="T58" s="42"/>
      <c r="Y58" s="3" t="s">
        <v>211</v>
      </c>
      <c r="Z58" s="12">
        <f si="57" t="shared"/>
        <v>1.6319348170776571E-3</v>
      </c>
      <c r="AA58" s="12">
        <f si="58" t="shared"/>
        <v>2.9997628265779216E-2</v>
      </c>
      <c r="AB58" s="12">
        <f si="59" t="shared"/>
        <v>1.0174768007741586E-2</v>
      </c>
      <c r="AC58" s="12">
        <f si="60" t="shared"/>
        <v>-2.5100521951009508E-2</v>
      </c>
      <c r="AD58" s="12" t="e">
        <f si="61" t="shared"/>
        <v>#DIV/0!</v>
      </c>
      <c r="AE58" s="12">
        <f si="62" t="shared"/>
        <v>-2.9826465265828994E-2</v>
      </c>
      <c r="AF58" s="12"/>
      <c r="AG58"/>
    </row>
    <row r="59" spans="1:35" x14ac:dyDescent="0.2">
      <c r="A59" s="3" t="s">
        <v>212</v>
      </c>
      <c r="B59" s="42">
        <f si="54" t="shared"/>
        <v>6.5716043112045111E-2</v>
      </c>
      <c r="C59" s="42">
        <f si="54" t="shared"/>
        <v>8.5772877970971981E-2</v>
      </c>
      <c r="D59" s="42">
        <f si="54" t="shared"/>
        <v>9.3461674932206223E-2</v>
      </c>
      <c r="E59" s="42">
        <f si="54" t="shared"/>
        <v>0.12474396791874971</v>
      </c>
      <c r="F59" s="42" t="e">
        <f si="54" t="shared"/>
        <v>#DIV/0!</v>
      </c>
      <c r="G59" s="12">
        <v>0.17417353182012749</v>
      </c>
      <c r="H59" s="12"/>
      <c r="I59"/>
      <c r="L59"/>
      <c r="M59" s="3" t="s">
        <v>212</v>
      </c>
      <c r="N59" s="42">
        <f si="55" t="shared"/>
        <v>0.10986581120349155</v>
      </c>
      <c r="O59" s="42">
        <f si="55" t="shared"/>
        <v>0.10205425062170168</v>
      </c>
      <c r="P59" s="42">
        <f si="55" t="shared"/>
        <v>0.1126711229325713</v>
      </c>
      <c r="Q59" s="42">
        <f si="55" t="shared"/>
        <v>0.10786344535541137</v>
      </c>
      <c r="R59" s="42" t="e">
        <f si="55" t="shared"/>
        <v>#DIV/0!</v>
      </c>
      <c r="S59" s="42">
        <f si="56" t="shared"/>
        <v>0.10747900285294409</v>
      </c>
      <c r="T59" s="42"/>
      <c r="Y59" s="3" t="s">
        <v>212</v>
      </c>
      <c r="Z59" s="12">
        <f si="57" t="shared"/>
        <v>4.414976809144644E-2</v>
      </c>
      <c r="AA59" s="12">
        <f si="58" t="shared"/>
        <v>1.6281372650729695E-2</v>
      </c>
      <c r="AB59" s="12">
        <f si="59" t="shared"/>
        <v>1.9209448000365073E-2</v>
      </c>
      <c r="AC59" s="12">
        <f si="60" t="shared"/>
        <v>-1.6880522563338343E-2</v>
      </c>
      <c r="AD59" s="12" t="e">
        <f si="61" t="shared"/>
        <v>#DIV/0!</v>
      </c>
      <c r="AE59" s="12">
        <f si="62" t="shared"/>
        <v>-6.6694528967183392E-2</v>
      </c>
      <c r="AF59" s="12"/>
      <c r="AG59"/>
    </row>
    <row r="60" spans="1:35" x14ac:dyDescent="0.2">
      <c r="A60" s="3" t="s">
        <v>213</v>
      </c>
      <c r="B60" s="42">
        <f si="54" t="shared"/>
        <v>0.15607929450831629</v>
      </c>
      <c r="C60" s="42">
        <f si="54" t="shared"/>
        <v>0.16641683610839109</v>
      </c>
      <c r="D60" s="42">
        <f si="54" t="shared"/>
        <v>0.1115073819903489</v>
      </c>
      <c r="E60" s="42">
        <f si="54" t="shared"/>
        <v>9.0564094746610216E-2</v>
      </c>
      <c r="F60" s="42" t="e">
        <f si="54" t="shared"/>
        <v>#DIV/0!</v>
      </c>
      <c r="G60" s="12">
        <v>0.10623428917932284</v>
      </c>
      <c r="H60" s="12"/>
      <c r="I60"/>
      <c r="L60"/>
      <c r="M60" s="3" t="s">
        <v>213</v>
      </c>
      <c r="N60" s="42">
        <f si="55" t="shared"/>
        <v>0.19018259066516274</v>
      </c>
      <c r="O60" s="42">
        <f si="55" t="shared"/>
        <v>0.15314571973026642</v>
      </c>
      <c r="P60" s="42">
        <f si="55" t="shared"/>
        <v>0.11793725825499637</v>
      </c>
      <c r="Q60" s="42">
        <f si="55" t="shared"/>
        <v>9.3677412914995054E-2</v>
      </c>
      <c r="R60" s="42" t="e">
        <f si="55" t="shared"/>
        <v>#DIV/0!</v>
      </c>
      <c r="S60" s="42">
        <f si="56" t="shared"/>
        <v>0.11733963874004701</v>
      </c>
      <c r="T60" s="42"/>
      <c r="Y60" s="3" t="s">
        <v>213</v>
      </c>
      <c r="Z60" s="12">
        <f si="57" t="shared"/>
        <v>3.4103296156846458E-2</v>
      </c>
      <c r="AA60" s="12">
        <f si="58" t="shared"/>
        <v>-1.327111637812467E-2</v>
      </c>
      <c r="AB60" s="12">
        <f si="59" t="shared"/>
        <v>6.4298762646474716E-3</v>
      </c>
      <c r="AC60" s="12">
        <f si="60" t="shared"/>
        <v>3.1133181683848377E-3</v>
      </c>
      <c r="AD60" s="12" t="e">
        <f si="61" t="shared"/>
        <v>#DIV/0!</v>
      </c>
      <c r="AE60" s="12">
        <f si="62" t="shared"/>
        <v>1.1105349560724162E-2</v>
      </c>
      <c r="AF60" s="12"/>
      <c r="AG60"/>
    </row>
    <row r="61" spans="1:35" x14ac:dyDescent="0.2">
      <c r="A61" s="3" t="s">
        <v>214</v>
      </c>
      <c r="B61" s="42">
        <f si="54" t="shared"/>
        <v>0.23822018090961961</v>
      </c>
      <c r="C61" s="42">
        <f si="54" t="shared"/>
        <v>0.16236184769906842</v>
      </c>
      <c r="D61" s="42">
        <f si="54" t="shared"/>
        <v>0.11014094686614248</v>
      </c>
      <c r="E61" s="42">
        <f si="54" t="shared"/>
        <v>8.3697314469474635E-2</v>
      </c>
      <c r="F61" s="42" t="e">
        <f si="54" t="shared"/>
        <v>#DIV/0!</v>
      </c>
      <c r="G61" s="12">
        <v>7.6967909848880495E-2</v>
      </c>
      <c r="H61" s="12"/>
      <c r="I61"/>
      <c r="L61"/>
      <c r="M61" s="3" t="s">
        <v>214</v>
      </c>
      <c r="N61" s="42">
        <f si="55" t="shared"/>
        <v>0.195752762800391</v>
      </c>
      <c r="O61" s="42">
        <f si="55" t="shared"/>
        <v>0.14521057611672694</v>
      </c>
      <c r="P61" s="42">
        <f si="55" t="shared"/>
        <v>0.11744381482997704</v>
      </c>
      <c r="Q61" s="42">
        <f si="55" t="shared"/>
        <v>9.3328821155662864E-2</v>
      </c>
      <c r="R61" s="42" t="e">
        <f si="55" t="shared"/>
        <v>#DIV/0!</v>
      </c>
      <c r="S61" s="42">
        <f si="56" t="shared"/>
        <v>0.11557741809642566</v>
      </c>
      <c r="T61" s="42"/>
      <c r="Y61" s="3" t="s">
        <v>214</v>
      </c>
      <c r="Z61" s="12">
        <f si="57" t="shared"/>
        <v>-4.2467418109228605E-2</v>
      </c>
      <c r="AA61" s="12">
        <f si="58" t="shared"/>
        <v>-1.7151271582341476E-2</v>
      </c>
      <c r="AB61" s="12">
        <f si="59" t="shared"/>
        <v>7.3028679638345584E-3</v>
      </c>
      <c r="AC61" s="12">
        <f si="60" t="shared"/>
        <v>9.6315066861882292E-3</v>
      </c>
      <c r="AD61" s="12" t="e">
        <f si="61" t="shared"/>
        <v>#DIV/0!</v>
      </c>
      <c r="AE61" s="12">
        <f si="62" t="shared"/>
        <v>3.8609508247545166E-2</v>
      </c>
      <c r="AF61" s="12"/>
      <c r="AG61"/>
    </row>
    <row r="62" spans="1:35" x14ac:dyDescent="0.2">
      <c r="A62" s="3" t="s">
        <v>129</v>
      </c>
      <c r="B62" s="42">
        <f si="54" t="shared"/>
        <v>6.9683675593869426E-2</v>
      </c>
      <c r="C62" s="42">
        <f si="54" t="shared"/>
        <v>3.7109656434192409E-2</v>
      </c>
      <c r="D62" s="42">
        <f si="54" t="shared"/>
        <v>4.2705474120588373E-2</v>
      </c>
      <c r="E62" s="42">
        <f si="54" t="shared"/>
        <v>3.2930041341894811E-2</v>
      </c>
      <c r="F62" s="42" t="e">
        <f si="54" t="shared"/>
        <v>#DIV/0!</v>
      </c>
      <c r="G62" s="12">
        <v>3.6801564719027617E-2</v>
      </c>
      <c r="H62" s="12"/>
      <c r="I62"/>
      <c r="L62"/>
      <c r="M62" s="3" t="s">
        <v>129</v>
      </c>
      <c r="N62" s="42">
        <f si="55" t="shared"/>
        <v>4.3028159600790178E-2</v>
      </c>
      <c r="O62" s="42">
        <f si="55" t="shared"/>
        <v>4.2550801425701203E-2</v>
      </c>
      <c r="P62" s="42">
        <f si="55" t="shared"/>
        <v>3.9154443589841111E-2</v>
      </c>
      <c r="Q62" s="42">
        <f si="55" t="shared"/>
        <v>3.5734871266679319E-2</v>
      </c>
      <c r="R62" s="42" t="e">
        <f si="55" t="shared"/>
        <v>#DIV/0!</v>
      </c>
      <c r="S62" s="42">
        <f si="56" t="shared"/>
        <v>3.8330989752619851E-2</v>
      </c>
      <c r="T62" s="42"/>
      <c r="Y62" s="3" t="s">
        <v>129</v>
      </c>
      <c r="Z62" s="12">
        <f si="57" t="shared"/>
        <v>-2.6655515993079248E-2</v>
      </c>
      <c r="AA62" s="12">
        <f si="58" t="shared"/>
        <v>5.4411449915087937E-3</v>
      </c>
      <c r="AB62" s="12">
        <f si="59" t="shared"/>
        <v>-3.5510305307472623E-3</v>
      </c>
      <c r="AC62" s="12">
        <f si="60" t="shared"/>
        <v>2.8048299247845077E-3</v>
      </c>
      <c r="AD62" s="12" t="e">
        <f si="61" t="shared"/>
        <v>#DIV/0!</v>
      </c>
      <c r="AE62" s="12">
        <f si="62" t="shared"/>
        <v>1.5294250335922341E-3</v>
      </c>
      <c r="AF62" s="12"/>
      <c r="AG62"/>
    </row>
    <row r="63" spans="1:35" x14ac:dyDescent="0.2">
      <c r="A63" s="25" t="s">
        <v>130</v>
      </c>
      <c r="B63" s="42">
        <f si="54" t="shared"/>
        <v>0.16532852516415966</v>
      </c>
      <c r="C63" s="42">
        <f si="54" t="shared"/>
        <v>0.16337856721947716</v>
      </c>
      <c r="D63" s="42">
        <f si="54" t="shared"/>
        <v>0.21985533540247595</v>
      </c>
      <c r="E63" s="42">
        <f si="54" t="shared"/>
        <v>0.17711216310082767</v>
      </c>
      <c r="F63" s="42" t="e">
        <f si="54" t="shared"/>
        <v>#DIV/0!</v>
      </c>
      <c r="G63" s="34">
        <v>0.11596090798118704</v>
      </c>
      <c r="H63" s="34"/>
      <c r="I63"/>
      <c r="L63"/>
      <c r="M63" s="25" t="s">
        <v>130</v>
      </c>
      <c r="N63" s="56">
        <f si="55" t="shared"/>
        <v>0.17397678990050225</v>
      </c>
      <c r="O63" s="56">
        <f si="55" t="shared"/>
        <v>0.18618281423017685</v>
      </c>
      <c r="P63" s="56">
        <f si="55" t="shared"/>
        <v>0.18413004613521611</v>
      </c>
      <c r="Q63" s="56">
        <f si="55" t="shared"/>
        <v>0.179013663974052</v>
      </c>
      <c r="R63" s="56" t="e">
        <f si="55" t="shared"/>
        <v>#DIV/0!</v>
      </c>
      <c r="S63" s="56">
        <f si="56" t="shared"/>
        <v>0.18124344825325162</v>
      </c>
      <c r="T63" s="56"/>
      <c r="Y63" s="25" t="s">
        <v>130</v>
      </c>
      <c r="Z63" s="12">
        <f si="57" t="shared"/>
        <v>8.6482647363425869E-3</v>
      </c>
      <c r="AA63" s="12">
        <f si="58" t="shared"/>
        <v>2.2804247010699691E-2</v>
      </c>
      <c r="AB63" s="12">
        <f si="59" t="shared"/>
        <v>-3.5725289267259847E-2</v>
      </c>
      <c r="AC63" s="12">
        <f si="60" t="shared"/>
        <v>1.9015008732243266E-3</v>
      </c>
      <c r="AD63" s="12" t="e">
        <f si="61" t="shared"/>
        <v>#DIV/0!</v>
      </c>
      <c r="AE63" s="12">
        <f si="62" t="shared"/>
        <v>6.5282540272064579E-2</v>
      </c>
      <c r="AF63" s="12"/>
      <c r="AG63"/>
    </row>
    <row r="64" spans="1:35" x14ac:dyDescent="0.2">
      <c r="A64" s="25" t="s">
        <v>247</v>
      </c>
      <c r="B64" s="42">
        <f si="54" t="shared"/>
        <v>6.4577902712441961E-3</v>
      </c>
      <c r="C64" s="42">
        <f si="54" t="shared"/>
        <v>2.5124477729580989E-2</v>
      </c>
      <c r="D64" s="42">
        <f si="54" t="shared"/>
        <v>2.6343648960210617E-2</v>
      </c>
      <c r="E64" s="42">
        <f si="54" t="shared"/>
        <v>3.5579494421453063E-2</v>
      </c>
      <c r="F64" s="42" t="e">
        <f si="54" t="shared"/>
        <v>#DIV/0!</v>
      </c>
      <c r="G64" s="34">
        <v>2.4317027687576293E-2</v>
      </c>
      <c r="H64" s="34"/>
      <c r="I64"/>
      <c r="L64"/>
      <c r="M64" s="25" t="s">
        <v>247</v>
      </c>
      <c r="N64" s="56">
        <f si="55" t="shared"/>
        <v>9.3750915240782846E-3</v>
      </c>
      <c r="O64" s="56">
        <f si="55" t="shared"/>
        <v>2.3205117635626864E-2</v>
      </c>
      <c r="P64" s="56">
        <f si="55" t="shared"/>
        <v>3.0240626205307809E-2</v>
      </c>
      <c r="Q64" s="56">
        <f si="55" t="shared"/>
        <v>3.7703513825265669E-2</v>
      </c>
      <c r="R64" s="56" t="e">
        <f si="55" t="shared"/>
        <v>#DIV/0!</v>
      </c>
      <c r="S64" s="56">
        <f si="56" t="shared"/>
        <v>3.1378686927632585E-2</v>
      </c>
      <c r="T64" s="56"/>
      <c r="Y64" s="25" t="s">
        <v>247</v>
      </c>
      <c r="Z64" s="12">
        <f si="57" t="shared"/>
        <v>2.9173012528340885E-3</v>
      </c>
      <c r="AA64" s="12">
        <f si="58" t="shared"/>
        <v>-1.9193600939541242E-3</v>
      </c>
      <c r="AB64" s="12">
        <f si="59" t="shared"/>
        <v>3.8969772450971919E-3</v>
      </c>
      <c r="AC64" s="12">
        <f si="60" t="shared"/>
        <v>2.1240194038126062E-3</v>
      </c>
      <c r="AD64" s="12" t="e">
        <f si="61" t="shared"/>
        <v>#DIV/0!</v>
      </c>
      <c r="AE64" s="12">
        <f si="62" t="shared"/>
        <v>7.0616592400562922E-3</v>
      </c>
      <c r="AF64" s="12"/>
      <c r="AG64"/>
    </row>
    <row ht="13.5" r="65" spans="1:41" thickBot="1" x14ac:dyDescent="0.25">
      <c r="A65" s="10" t="s">
        <v>221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221</v>
      </c>
      <c r="N65" s="51">
        <f si="55" t="shared"/>
        <v>1</v>
      </c>
      <c r="O65" s="51">
        <f si="55" t="shared"/>
        <v>1</v>
      </c>
      <c r="P65" s="51">
        <f si="55" t="shared"/>
        <v>1</v>
      </c>
      <c r="Q65" s="51">
        <f si="55" t="shared"/>
        <v>1</v>
      </c>
      <c r="R65" s="51" t="e">
        <f si="55" t="shared"/>
        <v>#DIV/0!</v>
      </c>
      <c r="S65" s="51">
        <f si="56" t="shared"/>
        <v>1</v>
      </c>
      <c r="T65" s="56"/>
      <c r="Y65" s="10" t="s">
        <v>221</v>
      </c>
      <c r="Z65" s="14">
        <f si="57" t="shared"/>
        <v>0</v>
      </c>
      <c r="AA65" s="14">
        <f si="58" t="shared"/>
        <v>0</v>
      </c>
      <c r="AB65" s="14">
        <f si="59" t="shared"/>
        <v>0</v>
      </c>
      <c r="AC65" s="14">
        <f si="60" t="shared"/>
        <v>0</v>
      </c>
      <c r="AD65" s="14" t="e">
        <f si="61" t="shared"/>
        <v>#DIV/0!</v>
      </c>
      <c r="AE65" s="14">
        <f si="62" t="shared"/>
        <v>0</v>
      </c>
      <c r="AF65" s="34"/>
      <c r="AG65"/>
    </row>
    <row r="66" spans="1:41" x14ac:dyDescent="0.2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2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2">
      <c r="L68"/>
      <c r="AH68"/>
      <c r="AI68"/>
      <c r="AJ68"/>
      <c r="AK68"/>
      <c r="AL68"/>
      <c r="AM68"/>
      <c r="AN68"/>
      <c r="AO68"/>
    </row>
    <row r="69" spans="1:41" x14ac:dyDescent="0.2">
      <c r="L69"/>
      <c r="AH69"/>
      <c r="AI69"/>
      <c r="AJ69"/>
      <c r="AK69"/>
      <c r="AL69"/>
      <c r="AM69"/>
      <c r="AN69"/>
      <c r="AO69"/>
    </row>
    <row r="70" spans="1:41" x14ac:dyDescent="0.2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x14ac:dyDescent="0.2">
      <c r="A71" s="2" t="s">
        <v>218</v>
      </c>
      <c r="L71"/>
      <c r="M71" s="2" t="s">
        <v>166</v>
      </c>
      <c r="Y71" s="2" t="s">
        <v>240</v>
      </c>
      <c r="AH71"/>
      <c r="AI71"/>
      <c r="AJ71"/>
      <c r="AK71"/>
      <c r="AL71"/>
      <c r="AM71"/>
      <c r="AN71"/>
      <c r="AO71"/>
    </row>
    <row ht="13.5" r="72" spans="1:41" thickBot="1" x14ac:dyDescent="0.25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x14ac:dyDescent="0.2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221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221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221</v>
      </c>
      <c r="AH73"/>
      <c r="AI73"/>
      <c r="AJ73"/>
      <c r="AK73"/>
      <c r="AL73"/>
      <c r="AM73"/>
      <c r="AN73"/>
      <c r="AO73"/>
    </row>
    <row r="74" spans="1:41" x14ac:dyDescent="0.2">
      <c r="A74" s="3" t="s">
        <v>210</v>
      </c>
      <c r="B74" s="7">
        <f>output_NHTS!B200</f>
        <v>60280.514200637401</v>
      </c>
      <c r="C74" s="7">
        <f>output_NHTS!C200</f>
        <v>391349.90256017592</v>
      </c>
      <c r="D74" s="7">
        <f>output_NHTS!D200</f>
        <v>925814.18518766505</v>
      </c>
      <c r="E74" s="7">
        <f>output_NHTS!E200</f>
        <v>350114.35130666802</v>
      </c>
      <c r="F74" s="7">
        <f>output_NHTS!F200</f>
        <v>1727558.9532551463</v>
      </c>
      <c r="L74"/>
      <c r="M74" s="3" t="s">
        <v>210</v>
      </c>
      <c r="N74" s="53">
        <f>output!B200</f>
        <v>49732.638412656233</v>
      </c>
      <c r="O74" s="53">
        <f>output!C200</f>
        <v>415370.7861392629</v>
      </c>
      <c r="P74" s="53">
        <f>output!D200</f>
        <v>949714.50634871342</v>
      </c>
      <c r="Q74" s="53">
        <f>output!E200</f>
        <v>283980.2402536351</v>
      </c>
      <c r="R74" s="53">
        <f>output!F200</f>
        <v>1698798.1711542676</v>
      </c>
      <c r="Y74" s="3" t="s">
        <v>210</v>
      </c>
      <c r="Z74" s="7">
        <f ref="Z74:Z82" si="63" t="shared">N74-B74</f>
        <v>-10547.875787981167</v>
      </c>
      <c r="AA74" s="7">
        <f ref="AA74:AA82" si="64" t="shared">O74-C74</f>
        <v>24020.883579086978</v>
      </c>
      <c r="AB74" s="7">
        <f ref="AB74:AB82" si="65" t="shared">P74-D74</f>
        <v>23900.32116104837</v>
      </c>
      <c r="AC74" s="7">
        <f ref="AC74:AC82" si="66" t="shared">Q74-E74</f>
        <v>-66134.111053032917</v>
      </c>
      <c r="AD74" s="7">
        <f ref="AD74:AD82" si="67" t="shared">R74-F74</f>
        <v>-28760.782100878656</v>
      </c>
      <c r="AH74"/>
      <c r="AI74"/>
      <c r="AJ74"/>
      <c r="AK74"/>
      <c r="AL74"/>
      <c r="AM74"/>
      <c r="AN74"/>
      <c r="AO74"/>
    </row>
    <row r="75" spans="1:41" x14ac:dyDescent="0.2">
      <c r="A75" s="3" t="s">
        <v>211</v>
      </c>
      <c r="B75" s="7">
        <f>output_NHTS!B201</f>
        <v>30743.897198667699</v>
      </c>
      <c r="C75" s="7">
        <f>output_NHTS!C201</f>
        <v>192782.48298951349</v>
      </c>
      <c r="D75" s="7">
        <f>output_NHTS!D201</f>
        <v>425818.83063079568</v>
      </c>
      <c r="E75" s="7">
        <f>output_NHTS!E201</f>
        <v>155731.314229846</v>
      </c>
      <c r="F75" s="7">
        <f>output_NHTS!F201</f>
        <v>805076.52504882286</v>
      </c>
      <c r="L75"/>
      <c r="M75" s="3" t="s">
        <v>211</v>
      </c>
      <c r="N75" s="53">
        <f>output!B201</f>
        <v>32792.839112070324</v>
      </c>
      <c r="O75" s="53">
        <f>output!C201</f>
        <v>255441.37525646682</v>
      </c>
      <c r="P75" s="53">
        <f>output!D201</f>
        <v>373257.25430377154</v>
      </c>
      <c r="Q75" s="53">
        <f>output!E201</f>
        <v>97487.967550866582</v>
      </c>
      <c r="R75" s="53">
        <f>output!F201</f>
        <v>758979.43622317514</v>
      </c>
      <c r="Y75" s="3" t="s">
        <v>211</v>
      </c>
      <c r="Z75" s="7">
        <f si="63" t="shared"/>
        <v>2048.9419134026248</v>
      </c>
      <c r="AA75" s="7">
        <f si="64" t="shared"/>
        <v>62658.892266953335</v>
      </c>
      <c r="AB75" s="7">
        <f si="65" t="shared"/>
        <v>-52561.576327024144</v>
      </c>
      <c r="AC75" s="7">
        <f si="66" t="shared"/>
        <v>-58243.346678979418</v>
      </c>
      <c r="AD75" s="7">
        <f si="67" t="shared"/>
        <v>-46097.088825647719</v>
      </c>
      <c r="AH75"/>
      <c r="AI75"/>
      <c r="AJ75"/>
      <c r="AK75"/>
      <c r="AL75"/>
      <c r="AM75"/>
      <c r="AN75"/>
      <c r="AO75"/>
    </row>
    <row r="76" spans="1:41" x14ac:dyDescent="0.2">
      <c r="A76" s="3" t="s">
        <v>212</v>
      </c>
      <c r="B76" s="7">
        <f>output_NHTS!B202</f>
        <v>2121.520120229</v>
      </c>
      <c r="C76" s="7">
        <f>output_NHTS!C202</f>
        <v>172596.5724439226</v>
      </c>
      <c r="D76" s="7">
        <f>output_NHTS!D202</f>
        <v>379105.21711695648</v>
      </c>
      <c r="E76" s="7">
        <f>output_NHTS!E202</f>
        <v>94973.703416460994</v>
      </c>
      <c r="F76" s="7">
        <f>output_NHTS!F202</f>
        <v>648797.01309756911</v>
      </c>
      <c r="L76"/>
      <c r="M76" s="3" t="s">
        <v>212</v>
      </c>
      <c r="N76" s="53">
        <f>output!B202</f>
        <v>21311.946784628977</v>
      </c>
      <c r="O76" s="53">
        <f>output!C202</f>
        <v>196134.91053219605</v>
      </c>
      <c r="P76" s="53">
        <f>output!D202</f>
        <v>338297.17494989658</v>
      </c>
      <c r="Q76" s="53">
        <f>output!E202</f>
        <v>90674.564087897728</v>
      </c>
      <c r="R76" s="53">
        <f>output!F202</f>
        <v>646418.59635461937</v>
      </c>
      <c r="Y76" s="3" t="s">
        <v>212</v>
      </c>
      <c r="Z76" s="7">
        <f si="63" t="shared"/>
        <v>19190.426664399976</v>
      </c>
      <c r="AA76" s="7">
        <f si="64" t="shared"/>
        <v>23538.338088273449</v>
      </c>
      <c r="AB76" s="7">
        <f si="65" t="shared"/>
        <v>-40808.042167059903</v>
      </c>
      <c r="AC76" s="7">
        <f si="66" t="shared"/>
        <v>-4299.1393285632657</v>
      </c>
      <c r="AD76" s="7">
        <f si="67" t="shared"/>
        <v>-2378.4167429497465</v>
      </c>
      <c r="AH76"/>
      <c r="AI76"/>
      <c r="AJ76"/>
      <c r="AK76"/>
      <c r="AL76"/>
      <c r="AM76"/>
      <c r="AN76"/>
      <c r="AO76"/>
    </row>
    <row r="77" spans="1:41" x14ac:dyDescent="0.2">
      <c r="A77" s="3" t="s">
        <v>213</v>
      </c>
      <c r="B77" s="7">
        <f>output_NHTS!B203</f>
        <v>44053.570156906397</v>
      </c>
      <c r="C77" s="7">
        <f>output_NHTS!C203</f>
        <v>158707.9126729001</v>
      </c>
      <c r="D77" s="7">
        <f>output_NHTS!D203</f>
        <v>370361.55323061289</v>
      </c>
      <c r="E77" s="7">
        <f>output_NHTS!E203</f>
        <v>145020.06916796241</v>
      </c>
      <c r="F77" s="7">
        <f>output_NHTS!F203</f>
        <v>718143.10522838181</v>
      </c>
      <c r="L77"/>
      <c r="M77" s="3" t="s">
        <v>213</v>
      </c>
      <c r="N77" s="53">
        <f>output!B203</f>
        <v>46176.285262912592</v>
      </c>
      <c r="O77" s="53">
        <f>output!C203</f>
        <v>173889.99806207849</v>
      </c>
      <c r="P77" s="53">
        <f>output!D203</f>
        <v>380995.62934275146</v>
      </c>
      <c r="Q77" s="53">
        <f>output!E203</f>
        <v>104662.20606901399</v>
      </c>
      <c r="R77" s="53">
        <f>output!F203</f>
        <v>705724.11873675662</v>
      </c>
      <c r="Y77" s="3" t="s">
        <v>213</v>
      </c>
      <c r="Z77" s="7">
        <f si="63" t="shared"/>
        <v>2122.7151060061951</v>
      </c>
      <c r="AA77" s="7">
        <f si="64" t="shared"/>
        <v>15182.085389178392</v>
      </c>
      <c r="AB77" s="7">
        <f si="65" t="shared"/>
        <v>10634.076112138573</v>
      </c>
      <c r="AC77" s="7">
        <f si="66" t="shared"/>
        <v>-40357.863098948423</v>
      </c>
      <c r="AD77" s="7">
        <f si="67" t="shared"/>
        <v>-12418.986491625197</v>
      </c>
      <c r="AH77"/>
      <c r="AI77"/>
      <c r="AJ77"/>
      <c r="AK77"/>
      <c r="AL77"/>
      <c r="AM77"/>
      <c r="AN77"/>
      <c r="AO77"/>
    </row>
    <row r="78" spans="1:41" x14ac:dyDescent="0.2">
      <c r="A78" s="3" t="s">
        <v>214</v>
      </c>
      <c r="B78" s="7">
        <f>output_NHTS!B204</f>
        <v>70390.809119538695</v>
      </c>
      <c r="C78" s="7">
        <f>output_NHTS!C204</f>
        <v>171550.67889519571</v>
      </c>
      <c r="D78" s="7">
        <f>output_NHTS!D204</f>
        <v>338030.03311831591</v>
      </c>
      <c r="E78" s="7">
        <f>output_NHTS!E204</f>
        <v>122466.29417433801</v>
      </c>
      <c r="F78" s="7">
        <f>output_NHTS!F204</f>
        <v>702437.81530738831</v>
      </c>
      <c r="L78"/>
      <c r="M78" s="3" t="s">
        <v>214</v>
      </c>
      <c r="N78" s="53">
        <f>output!B204</f>
        <v>58977.952145936615</v>
      </c>
      <c r="O78" s="53">
        <f>output!C204</f>
        <v>170964.68421239007</v>
      </c>
      <c r="P78" s="53">
        <f>output!D204</f>
        <v>365151.8164582199</v>
      </c>
      <c r="Q78" s="53">
        <f>output!E204</f>
        <v>100031.01721042008</v>
      </c>
      <c r="R78" s="53">
        <f>output!F204</f>
        <v>695125.47002696665</v>
      </c>
      <c r="Y78" s="3" t="s">
        <v>214</v>
      </c>
      <c r="Z78" s="7">
        <f si="63" t="shared"/>
        <v>-11412.85697360208</v>
      </c>
      <c r="AA78" s="7">
        <f si="64" t="shared"/>
        <v>-585.99468280564179</v>
      </c>
      <c r="AB78" s="7">
        <f si="65" t="shared"/>
        <v>27121.783339903981</v>
      </c>
      <c r="AC78" s="7">
        <f si="66" t="shared"/>
        <v>-22435.276963917931</v>
      </c>
      <c r="AD78" s="7">
        <f si="67" t="shared"/>
        <v>-7312.3452804216649</v>
      </c>
      <c r="AH78"/>
      <c r="AI78"/>
      <c r="AJ78"/>
      <c r="AK78"/>
      <c r="AL78"/>
      <c r="AM78"/>
      <c r="AN78"/>
      <c r="AO78"/>
    </row>
    <row r="79" spans="1:41" x14ac:dyDescent="0.2">
      <c r="A79" s="3" t="s">
        <v>129</v>
      </c>
      <c r="B79" s="7">
        <f>output_NHTS!B205</f>
        <v>24127.762738625999</v>
      </c>
      <c r="C79" s="7">
        <f>output_NHTS!C205</f>
        <v>39489.0092153812</v>
      </c>
      <c r="D79" s="7">
        <f>output_NHTS!D205</f>
        <v>119708.27903641311</v>
      </c>
      <c r="E79" s="7">
        <f>output_NHTS!E205</f>
        <v>41925.4927364307</v>
      </c>
      <c r="F79" s="7">
        <f>output_NHTS!F205</f>
        <v>225250.543726851</v>
      </c>
      <c r="L79"/>
      <c r="M79" s="3" t="s">
        <v>129</v>
      </c>
      <c r="N79" s="53">
        <f>output!B205</f>
        <v>11681.115008536055</v>
      </c>
      <c r="O79" s="53">
        <f>output!C205</f>
        <v>67652.751081945709</v>
      </c>
      <c r="P79" s="53">
        <f>output!D205</f>
        <v>117647.04705751124</v>
      </c>
      <c r="Q79" s="53">
        <f>output!E205</f>
        <v>33555.879481853219</v>
      </c>
      <c r="R79" s="53">
        <f>output!F205</f>
        <v>230536.79262984623</v>
      </c>
      <c r="Y79" s="3" t="s">
        <v>129</v>
      </c>
      <c r="Z79" s="7">
        <f si="63" t="shared"/>
        <v>-12446.647730089944</v>
      </c>
      <c r="AA79" s="7">
        <f si="64" t="shared"/>
        <v>28163.741866564509</v>
      </c>
      <c r="AB79" s="7">
        <f si="65" t="shared"/>
        <v>-2061.2319789018657</v>
      </c>
      <c r="AC79" s="7">
        <f si="66" t="shared"/>
        <v>-8369.6132545774817</v>
      </c>
      <c r="AD79" s="7">
        <f si="67" t="shared"/>
        <v>5286.2489029952267</v>
      </c>
      <c r="AH79"/>
      <c r="AI79"/>
      <c r="AJ79"/>
      <c r="AK79"/>
      <c r="AL79"/>
      <c r="AM79"/>
      <c r="AN79"/>
      <c r="AO79"/>
    </row>
    <row r="80" spans="1:41" x14ac:dyDescent="0.2">
      <c r="A80" s="25" t="s">
        <v>130</v>
      </c>
      <c r="B80" s="7">
        <f>output_NHTS!B206</f>
        <v>34881.266744015404</v>
      </c>
      <c r="C80" s="7">
        <f>output_NHTS!C206</f>
        <v>228331.0271530441</v>
      </c>
      <c r="D80" s="7">
        <f>output_NHTS!D206</f>
        <v>657983.59176856664</v>
      </c>
      <c r="E80" s="7">
        <f>output_NHTS!E206</f>
        <v>168814.7149611171</v>
      </c>
      <c r="F80" s="7">
        <f>output_NHTS!F206</f>
        <v>1090010.6006267432</v>
      </c>
      <c r="L80"/>
      <c r="M80" s="25" t="s">
        <v>130</v>
      </c>
      <c r="N80" s="54">
        <f>output!B206</f>
        <v>40374.552271902699</v>
      </c>
      <c r="O80" s="54">
        <f>output!C206</f>
        <v>263103.53180095338</v>
      </c>
      <c r="P80" s="54">
        <f>output!D206</f>
        <v>609954.13126566564</v>
      </c>
      <c r="Q80" s="54">
        <f>output!E206</f>
        <v>176633.12122436534</v>
      </c>
      <c r="R80" s="54">
        <f>output!F206</f>
        <v>1090065.3365628871</v>
      </c>
      <c r="Y80" s="25" t="s">
        <v>130</v>
      </c>
      <c r="Z80" s="33">
        <f si="63" t="shared"/>
        <v>5493.2855278872958</v>
      </c>
      <c r="AA80" s="33">
        <f si="64" t="shared"/>
        <v>34772.504647909285</v>
      </c>
      <c r="AB80" s="33">
        <f si="65" t="shared"/>
        <v>-48029.460502900998</v>
      </c>
      <c r="AC80" s="33">
        <f si="66" t="shared"/>
        <v>7818.4062632482382</v>
      </c>
      <c r="AD80" s="33">
        <f si="67" t="shared"/>
        <v>54.735936143901199</v>
      </c>
      <c r="AH80"/>
      <c r="AI80"/>
      <c r="AJ80"/>
      <c r="AK80"/>
      <c r="AL80"/>
      <c r="AM80"/>
      <c r="AN80"/>
      <c r="AO80"/>
    </row>
    <row r="81" spans="1:41" x14ac:dyDescent="0.2">
      <c r="A81" s="25" t="s">
        <v>247</v>
      </c>
      <c r="B81" s="9">
        <f>output_NHTS!B207</f>
        <v>9709.3602703451998</v>
      </c>
      <c r="C81" s="9">
        <f>output_NHTS!C207</f>
        <v>46663.354949858702</v>
      </c>
      <c r="D81" s="9">
        <f>output_NHTS!D207</f>
        <v>99043.818484483505</v>
      </c>
      <c r="E81" s="9">
        <f>output_NHTS!E207</f>
        <v>28626.631692736799</v>
      </c>
      <c r="F81" s="9">
        <f>output_NHTS!F207</f>
        <v>184043.16539742419</v>
      </c>
      <c r="L81"/>
      <c r="M81" s="25" t="s">
        <v>247</v>
      </c>
      <c r="N81" s="59">
        <f>output!B207</f>
        <v>6336.6990492096438</v>
      </c>
      <c r="O81" s="59">
        <f>output!C207</f>
        <v>49003.106901604835</v>
      </c>
      <c r="P81" s="59">
        <f>output!D207</f>
        <v>102516.85896928504</v>
      </c>
      <c r="Q81" s="59">
        <f>output!E207</f>
        <v>30866.399313796883</v>
      </c>
      <c r="R81" s="59">
        <f>output!F207</f>
        <v>188723.06423389641</v>
      </c>
      <c r="Y81" s="25" t="s">
        <v>247</v>
      </c>
      <c r="Z81" s="9">
        <f si="63" t="shared"/>
        <v>-3372.6612211355559</v>
      </c>
      <c r="AA81" s="9">
        <f si="64" t="shared"/>
        <v>2339.7519517461333</v>
      </c>
      <c r="AB81" s="9">
        <f si="65" t="shared"/>
        <v>3473.0404848015314</v>
      </c>
      <c r="AC81" s="9">
        <f si="66" t="shared"/>
        <v>2239.7676210600839</v>
      </c>
      <c r="AD81" s="9">
        <f si="67" t="shared"/>
        <v>4679.8988364722172</v>
      </c>
      <c r="AH81"/>
      <c r="AI81"/>
      <c r="AJ81"/>
      <c r="AK81"/>
      <c r="AL81"/>
      <c r="AM81"/>
      <c r="AN81"/>
      <c r="AO81"/>
    </row>
    <row ht="13.5" r="82" spans="1:41" thickBot="1" x14ac:dyDescent="0.25">
      <c r="A82" s="10" t="s">
        <v>221</v>
      </c>
      <c r="B82" s="60">
        <f>SUM(B74:B81)</f>
        <v>276308.70054896577</v>
      </c>
      <c r="C82" s="60">
        <f>SUM(C74:C81)</f>
        <v>1401470.9408799917</v>
      </c>
      <c r="D82" s="60">
        <f>SUM(D74:D81)</f>
        <v>3315865.5085738092</v>
      </c>
      <c r="E82" s="60">
        <f>SUM(E74:E81)</f>
        <v>1107672.57168556</v>
      </c>
      <c r="F82" s="60">
        <f>SUM(F74:F81)</f>
        <v>6101317.7216883274</v>
      </c>
      <c r="L82"/>
      <c r="M82" s="10" t="s">
        <v>221</v>
      </c>
      <c r="N82" s="60">
        <f>SUM(N74:N81)</f>
        <v>267384.02804785315</v>
      </c>
      <c r="O82" s="60">
        <f>SUM(O74:O81)</f>
        <v>1591561.1439868982</v>
      </c>
      <c r="P82" s="60">
        <f>SUM(P74:P81)</f>
        <v>3237534.4186958149</v>
      </c>
      <c r="Q82" s="60">
        <f>SUM(Q74:Q81)</f>
        <v>917891.39519184898</v>
      </c>
      <c r="R82" s="60">
        <f>SUM(R74:R81)</f>
        <v>6014370.9859224148</v>
      </c>
      <c r="Y82" s="10" t="s">
        <v>221</v>
      </c>
      <c r="Z82" s="22">
        <f si="63" t="shared"/>
        <v>-8924.6725011126255</v>
      </c>
      <c r="AA82" s="22">
        <f si="64" t="shared"/>
        <v>190090.2031069065</v>
      </c>
      <c r="AB82" s="22">
        <f si="65" t="shared"/>
        <v>-78331.089877994265</v>
      </c>
      <c r="AC82" s="22">
        <f si="66" t="shared"/>
        <v>-189781.17649371107</v>
      </c>
      <c r="AD82" s="22">
        <f si="67" t="shared"/>
        <v>-86946.73576591257</v>
      </c>
      <c r="AH82"/>
      <c r="AI82"/>
      <c r="AJ82"/>
      <c r="AK82"/>
      <c r="AL82"/>
      <c r="AM82"/>
      <c r="AN82"/>
      <c r="AO82"/>
    </row>
    <row r="83" spans="1:41" x14ac:dyDescent="0.2">
      <c r="L83"/>
      <c r="AH83"/>
      <c r="AI83"/>
      <c r="AJ83"/>
      <c r="AK83"/>
      <c r="AL83"/>
      <c r="AM83"/>
      <c r="AN83"/>
      <c r="AO83"/>
    </row>
    <row r="84" spans="1:41" x14ac:dyDescent="0.2">
      <c r="A84" s="25" t="s">
        <v>88</v>
      </c>
      <c r="B84" s="7">
        <f>output_NHTS!B324</f>
        <v>177389.8438</v>
      </c>
      <c r="C84" s="7">
        <f>output_NHTS!B325</f>
        <v>898293.45270000002</v>
      </c>
      <c r="D84" s="7">
        <f>output_NHTS!B326</f>
        <v>1927570.8387</v>
      </c>
      <c r="E84" s="7">
        <f>output_NHTS!B327</f>
        <v>705263.83140000002</v>
      </c>
      <c r="F84" s="53">
        <f>SUM(B84:E84)</f>
        <v>3708517.9665999999</v>
      </c>
      <c r="L84"/>
      <c r="M84" s="25" t="s">
        <v>88</v>
      </c>
      <c r="N84" s="53">
        <f>output!B324</f>
        <v>166401.65160679657</v>
      </c>
      <c r="O84" s="53">
        <f>output!B325</f>
        <v>1015877.8531804486</v>
      </c>
      <c r="P84" s="53">
        <f>output!B326</f>
        <v>1995597.8115541458</v>
      </c>
      <c r="Q84" s="53">
        <f>output!B327</f>
        <v>564597.50212249986</v>
      </c>
      <c r="R84" s="53">
        <f>SUM(N84:Q84)</f>
        <v>3742474.8184638908</v>
      </c>
      <c r="Y84" s="25" t="s">
        <v>88</v>
      </c>
      <c r="Z84" s="7">
        <f ref="Z84:AD85" si="68" t="shared">N84-B84</f>
        <v>-10988.192193203431</v>
      </c>
      <c r="AA84" s="7">
        <f si="68" t="shared"/>
        <v>117584.40048044862</v>
      </c>
      <c r="AB84" s="7">
        <f si="68" t="shared"/>
        <v>68026.972854145803</v>
      </c>
      <c r="AC84" s="7">
        <f si="68" t="shared"/>
        <v>-140666.32927750016</v>
      </c>
      <c r="AD84" s="7">
        <f si="68" t="shared"/>
        <v>33956.851863890886</v>
      </c>
      <c r="AH84"/>
      <c r="AI84"/>
      <c r="AJ84"/>
      <c r="AK84"/>
      <c r="AL84"/>
      <c r="AM84"/>
      <c r="AN84"/>
      <c r="AO84"/>
    </row>
    <row r="85" spans="1:41" x14ac:dyDescent="0.2">
      <c r="A85" s="25" t="s">
        <v>89</v>
      </c>
      <c r="B85" s="37">
        <f>B82/B84</f>
        <v>1.5576354013846072</v>
      </c>
      <c r="C85" s="37">
        <f>C82/C84</f>
        <v>1.560148230700771</v>
      </c>
      <c r="D85" s="37">
        <f>D82/D84</f>
        <v>1.7202301684591308</v>
      </c>
      <c r="E85" s="37">
        <f>E82/E84</f>
        <v>1.570579012235392</v>
      </c>
      <c r="F85" s="37">
        <f>F82/F84</f>
        <v>1.645217247600951</v>
      </c>
      <c r="L85"/>
      <c r="M85" s="25" t="s">
        <v>89</v>
      </c>
      <c r="N85" s="37">
        <f>N82/N84</f>
        <v>1.6068592196408946</v>
      </c>
      <c r="O85" s="37">
        <f>O82/O84</f>
        <v>1.5666855409871723</v>
      </c>
      <c r="P85" s="37">
        <f>P82/P84</f>
        <v>1.6223381284300291</v>
      </c>
      <c r="Q85" s="37">
        <f>Q82/Q84</f>
        <v>1.6257446973130523</v>
      </c>
      <c r="R85" s="37">
        <f>R82/R84</f>
        <v>1.6070571687616673</v>
      </c>
      <c r="Y85" s="25" t="s">
        <v>89</v>
      </c>
      <c r="Z85" s="38">
        <f si="68" t="shared"/>
        <v>4.922381825628741E-2</v>
      </c>
      <c r="AA85" s="38">
        <f si="68" t="shared"/>
        <v>6.5373102864012544E-3</v>
      </c>
      <c r="AB85" s="38">
        <f si="68" t="shared"/>
        <v>-9.7892040029101679E-2</v>
      </c>
      <c r="AC85" s="38">
        <f si="68" t="shared"/>
        <v>5.5165685077660287E-2</v>
      </c>
      <c r="AD85" s="38">
        <f si="68" t="shared"/>
        <v>-3.816007883928374E-2</v>
      </c>
      <c r="AH85"/>
      <c r="AI85"/>
      <c r="AJ85"/>
      <c r="AK85"/>
      <c r="AL85"/>
      <c r="AM85"/>
      <c r="AN85"/>
      <c r="AO85"/>
    </row>
    <row r="86" spans="1:41" x14ac:dyDescent="0.2">
      <c r="L86"/>
      <c r="AH86"/>
      <c r="AI86"/>
      <c r="AJ86"/>
      <c r="AK86"/>
      <c r="AL86"/>
      <c r="AM86"/>
      <c r="AN86"/>
      <c r="AO86"/>
    </row>
    <row r="87" spans="1:41" x14ac:dyDescent="0.2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x14ac:dyDescent="0.2">
      <c r="A88" s="2" t="s">
        <v>302</v>
      </c>
      <c r="L88"/>
      <c r="M88" s="2" t="s">
        <v>269</v>
      </c>
      <c r="Y88" s="2" t="s">
        <v>239</v>
      </c>
      <c r="AH88"/>
      <c r="AI88"/>
      <c r="AJ88"/>
      <c r="AK88"/>
      <c r="AL88"/>
      <c r="AM88"/>
      <c r="AN88"/>
      <c r="AO88"/>
    </row>
    <row ht="13.5" r="89" spans="1:41" thickBot="1" x14ac:dyDescent="0.25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x14ac:dyDescent="0.2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221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221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221</v>
      </c>
      <c r="AH90"/>
      <c r="AI90"/>
      <c r="AJ90"/>
      <c r="AK90"/>
      <c r="AL90"/>
      <c r="AM90"/>
      <c r="AN90"/>
      <c r="AO90"/>
    </row>
    <row r="91" spans="1:41" x14ac:dyDescent="0.2">
      <c r="A91" s="3" t="s">
        <v>210</v>
      </c>
      <c r="B91" s="12">
        <f ref="B91:F96" si="69" t="shared">B74/B$82</f>
        <v>0.21816364841524361</v>
      </c>
      <c r="C91" s="12">
        <f si="69" t="shared"/>
        <v>0.27924225265380459</v>
      </c>
      <c r="D91" s="12">
        <f si="69" t="shared"/>
        <v>0.27920739933323413</v>
      </c>
      <c r="E91" s="12">
        <f si="69" t="shared"/>
        <v>0.31608108772964771</v>
      </c>
      <c r="F91" s="12">
        <f si="69" t="shared"/>
        <v>0.28314522076340987</v>
      </c>
      <c r="L91"/>
      <c r="M91" s="3" t="s">
        <v>210</v>
      </c>
      <c r="N91" s="42">
        <f ref="N91:R99" si="70" t="shared">N74/N$82</f>
        <v>0.18599704244023016</v>
      </c>
      <c r="O91" s="42">
        <f si="70" t="shared"/>
        <v>0.26098324133419676</v>
      </c>
      <c r="P91" s="42">
        <f si="70" t="shared"/>
        <v>0.29334499144299125</v>
      </c>
      <c r="Q91" s="42">
        <f si="70" t="shared"/>
        <v>0.30938326880630607</v>
      </c>
      <c r="R91" s="42">
        <f si="70" t="shared"/>
        <v>0.28245649879772516</v>
      </c>
      <c r="Y91" s="3" t="s">
        <v>210</v>
      </c>
      <c r="Z91" s="12">
        <f ref="Z91:Z99" si="71" t="shared">N91-B91</f>
        <v>-3.2166605975013446E-2</v>
      </c>
      <c r="AA91" s="12">
        <f ref="AA91:AA99" si="72" t="shared">O91-C91</f>
        <v>-1.8259011319607832E-2</v>
      </c>
      <c r="AB91" s="12">
        <f ref="AB91:AB99" si="73" t="shared">P91-D91</f>
        <v>1.4137592109757124E-2</v>
      </c>
      <c r="AC91" s="12">
        <f ref="AC91:AC99" si="74" t="shared">Q91-E91</f>
        <v>-6.6978189233416474E-3</v>
      </c>
      <c r="AD91" s="12">
        <f ref="AD91:AD99" si="75" t="shared">R91-F91</f>
        <v>-6.8872196568470212E-4</v>
      </c>
      <c r="AH91"/>
      <c r="AI91"/>
      <c r="AJ91"/>
      <c r="AK91"/>
      <c r="AL91"/>
      <c r="AM91"/>
      <c r="AN91"/>
      <c r="AO91"/>
    </row>
    <row r="92" spans="1:41" x14ac:dyDescent="0.2">
      <c r="A92" s="3" t="s">
        <v>211</v>
      </c>
      <c r="B92" s="12">
        <f si="69" t="shared"/>
        <v>0.1112664825160634</v>
      </c>
      <c r="C92" s="12">
        <f si="69" t="shared"/>
        <v>0.13755724600929953</v>
      </c>
      <c r="D92" s="12">
        <f si="69" t="shared"/>
        <v>0.1284186073077328</v>
      </c>
      <c r="E92" s="12">
        <f si="69" t="shared"/>
        <v>0.14059327477330921</v>
      </c>
      <c r="F92" s="12">
        <f si="69" t="shared"/>
        <v>0.13195125410155595</v>
      </c>
      <c r="L92"/>
      <c r="M92" s="3" t="s">
        <v>211</v>
      </c>
      <c r="N92" s="42">
        <f si="70" t="shared"/>
        <v>0.12264322349950334</v>
      </c>
      <c r="O92" s="42">
        <f si="70" t="shared"/>
        <v>0.16049736839929388</v>
      </c>
      <c r="P92" s="42">
        <f si="70" t="shared"/>
        <v>0.11529059031722412</v>
      </c>
      <c r="Q92" s="42">
        <f si="70" t="shared"/>
        <v>0.10620860818778083</v>
      </c>
      <c r="R92" s="42">
        <f si="70" t="shared"/>
        <v>0.12619431657935409</v>
      </c>
      <c r="Y92" s="3" t="s">
        <v>211</v>
      </c>
      <c r="Z92" s="12">
        <f si="71" t="shared"/>
        <v>1.1376740983439937E-2</v>
      </c>
      <c r="AA92" s="12">
        <f si="72" t="shared"/>
        <v>2.294012238999435E-2</v>
      </c>
      <c r="AB92" s="12">
        <f si="73" t="shared"/>
        <v>-1.3128016990508681E-2</v>
      </c>
      <c r="AC92" s="12">
        <f si="74" t="shared"/>
        <v>-3.4384666585528384E-2</v>
      </c>
      <c r="AD92" s="12">
        <f si="75" t="shared"/>
        <v>-5.7569375222018548E-3</v>
      </c>
      <c r="AH92"/>
      <c r="AI92"/>
      <c r="AJ92"/>
      <c r="AK92"/>
      <c r="AL92"/>
      <c r="AM92"/>
      <c r="AN92"/>
      <c r="AO92"/>
    </row>
    <row r="93" spans="1:41" x14ac:dyDescent="0.2">
      <c r="A93" s="3" t="s">
        <v>212</v>
      </c>
      <c r="B93" s="12">
        <f si="69" t="shared"/>
        <v>7.6780793222001233E-3</v>
      </c>
      <c r="C93" s="12">
        <f si="69" t="shared"/>
        <v>0.12315387169965024</v>
      </c>
      <c r="D93" s="12">
        <f si="69" t="shared"/>
        <v>0.11433069771277118</v>
      </c>
      <c r="E93" s="12">
        <f si="69" t="shared"/>
        <v>8.574167659666633E-2</v>
      </c>
      <c r="F93" s="12">
        <f si="69" t="shared"/>
        <v>0.10633719512611074</v>
      </c>
      <c r="L93"/>
      <c r="M93" s="3" t="s">
        <v>212</v>
      </c>
      <c r="N93" s="42">
        <f si="70" t="shared"/>
        <v>7.9705384574484839E-2</v>
      </c>
      <c r="O93" s="42">
        <f si="70" t="shared"/>
        <v>0.12323429186067804</v>
      </c>
      <c r="P93" s="42">
        <f si="70" t="shared"/>
        <v>0.10449222500812015</v>
      </c>
      <c r="Q93" s="42">
        <f si="70" t="shared"/>
        <v>9.8785721887005809E-2</v>
      </c>
      <c r="R93" s="42">
        <f si="70" t="shared"/>
        <v>0.10747900285294409</v>
      </c>
      <c r="Y93" s="3" t="s">
        <v>212</v>
      </c>
      <c r="Z93" s="12">
        <f si="71" t="shared"/>
        <v>7.2027305252284721E-2</v>
      </c>
      <c r="AA93" s="12">
        <f si="72" t="shared"/>
        <v>8.0420161027799919E-5</v>
      </c>
      <c r="AB93" s="12">
        <f si="73" t="shared"/>
        <v>-9.8384727046510329E-3</v>
      </c>
      <c r="AC93" s="12">
        <f si="74" t="shared"/>
        <v>1.3044045290339479E-2</v>
      </c>
      <c r="AD93" s="12">
        <f si="75" t="shared"/>
        <v>1.1418077268333521E-3</v>
      </c>
      <c r="AH93"/>
      <c r="AI93"/>
      <c r="AJ93"/>
      <c r="AK93"/>
      <c r="AL93"/>
      <c r="AM93"/>
      <c r="AN93"/>
      <c r="AO93"/>
    </row>
    <row r="94" spans="1:41" x14ac:dyDescent="0.2">
      <c r="A94" s="3" t="s">
        <v>213</v>
      </c>
      <c r="B94" s="12">
        <f si="69" t="shared"/>
        <v>0.15943605854387305</v>
      </c>
      <c r="C94" s="12">
        <f si="69" t="shared"/>
        <v>0.11324381265675511</v>
      </c>
      <c r="D94" s="12">
        <f si="69" t="shared"/>
        <v>0.11169378018287283</v>
      </c>
      <c r="E94" s="12">
        <f si="69" t="shared"/>
        <v>0.13092322846568588</v>
      </c>
      <c r="F94" s="12">
        <f si="69" t="shared"/>
        <v>0.1177029517206753</v>
      </c>
      <c r="L94"/>
      <c r="M94" s="3" t="s">
        <v>213</v>
      </c>
      <c r="N94" s="42">
        <f si="70" t="shared"/>
        <v>0.17269649799220063</v>
      </c>
      <c r="O94" s="42">
        <f si="70" t="shared"/>
        <v>0.10925750400420052</v>
      </c>
      <c r="P94" s="42">
        <f si="70" t="shared"/>
        <v>0.11768079657859792</v>
      </c>
      <c r="Q94" s="42">
        <f si="70" t="shared"/>
        <v>0.11402460750505074</v>
      </c>
      <c r="R94" s="42">
        <f si="70" t="shared"/>
        <v>0.11733963874004703</v>
      </c>
      <c r="Y94" s="3" t="s">
        <v>213</v>
      </c>
      <c r="Z94" s="12">
        <f si="71" t="shared"/>
        <v>1.3260439448327582E-2</v>
      </c>
      <c r="AA94" s="12">
        <f si="72" t="shared"/>
        <v>-3.9863086525545877E-3</v>
      </c>
      <c r="AB94" s="12">
        <f si="73" t="shared"/>
        <v>5.9870163957250894E-3</v>
      </c>
      <c r="AC94" s="12">
        <f si="74" t="shared"/>
        <v>-1.6898620960635144E-2</v>
      </c>
      <c r="AD94" s="12">
        <f si="75" t="shared"/>
        <v>-3.6331298062826367E-4</v>
      </c>
      <c r="AH94"/>
      <c r="AI94"/>
      <c r="AJ94"/>
      <c r="AK94"/>
      <c r="AL94"/>
      <c r="AM94"/>
      <c r="AN94"/>
      <c r="AO94"/>
    </row>
    <row r="95" spans="1:41" x14ac:dyDescent="0.2">
      <c r="A95" s="3" t="s">
        <v>214</v>
      </c>
      <c r="B95" s="12">
        <f si="69" t="shared"/>
        <v>0.25475422590634078</v>
      </c>
      <c r="C95" s="12">
        <f si="69" t="shared"/>
        <v>0.12240758897753388</v>
      </c>
      <c r="D95" s="12">
        <f si="69" t="shared"/>
        <v>0.10194322786743737</v>
      </c>
      <c r="E95" s="12">
        <f si="69" t="shared"/>
        <v>0.11056181881255706</v>
      </c>
      <c r="F95" s="12">
        <f si="69" t="shared"/>
        <v>0.11512887008169329</v>
      </c>
      <c r="L95"/>
      <c r="M95" s="3" t="s">
        <v>214</v>
      </c>
      <c r="N95" s="42">
        <f si="70" t="shared"/>
        <v>0.22057395341273509</v>
      </c>
      <c r="O95" s="42">
        <f si="70" t="shared"/>
        <v>0.10741948863121872</v>
      </c>
      <c r="P95" s="42">
        <f si="70" t="shared"/>
        <v>0.11278700678812088</v>
      </c>
      <c r="Q95" s="42">
        <f si="70" t="shared"/>
        <v>0.10897914255913962</v>
      </c>
      <c r="R95" s="42">
        <f si="70" t="shared"/>
        <v>0.11557741809642565</v>
      </c>
      <c r="Y95" s="3" t="s">
        <v>214</v>
      </c>
      <c r="Z95" s="12">
        <f si="71" t="shared"/>
        <v>-3.4180272493605696E-2</v>
      </c>
      <c r="AA95" s="12">
        <f si="72" t="shared"/>
        <v>-1.4988100346315161E-2</v>
      </c>
      <c r="AB95" s="12">
        <f si="73" t="shared"/>
        <v>1.0843778920683514E-2</v>
      </c>
      <c r="AC95" s="12">
        <f si="74" t="shared"/>
        <v>-1.582676253417431E-3</v>
      </c>
      <c r="AD95" s="12">
        <f si="75" t="shared"/>
        <v>4.4854801473236117E-4</v>
      </c>
      <c r="AH95"/>
      <c r="AI95"/>
      <c r="AJ95"/>
      <c r="AK95"/>
      <c r="AL95"/>
      <c r="AM95"/>
      <c r="AN95"/>
      <c r="AO95"/>
    </row>
    <row r="96" spans="1:41" x14ac:dyDescent="0.2">
      <c r="A96" s="3" t="s">
        <v>129</v>
      </c>
      <c r="B96" s="12">
        <f si="69" t="shared"/>
        <v>8.7321762545621406E-2</v>
      </c>
      <c r="C96" s="12">
        <f si="69" t="shared"/>
        <v>2.8176830545331051E-2</v>
      </c>
      <c r="D96" s="12">
        <f si="69" t="shared"/>
        <v>3.6101668999205271E-2</v>
      </c>
      <c r="E96" s="12">
        <f si="69" t="shared"/>
        <v>3.7850077548306646E-2</v>
      </c>
      <c r="F96" s="12">
        <f si="69" t="shared"/>
        <v>3.6918343545059761E-2</v>
      </c>
      <c r="L96"/>
      <c r="M96" s="3" t="s">
        <v>129</v>
      </c>
      <c r="N96" s="42">
        <f si="70" t="shared"/>
        <v>4.3686659572820523E-2</v>
      </c>
      <c r="O96" s="42">
        <f si="70" t="shared"/>
        <v>4.2507164325760037E-2</v>
      </c>
      <c r="P96" s="42">
        <f si="70" t="shared"/>
        <v>3.6338469910353367E-2</v>
      </c>
      <c r="Q96" s="42">
        <f si="70" t="shared"/>
        <v>3.6557570598904771E-2</v>
      </c>
      <c r="R96" s="42">
        <f si="70" t="shared"/>
        <v>3.8330989752619851E-2</v>
      </c>
      <c r="Y96" s="3" t="s">
        <v>129</v>
      </c>
      <c r="Z96" s="12">
        <f si="71" t="shared"/>
        <v>-4.3635102972800884E-2</v>
      </c>
      <c r="AA96" s="12">
        <f si="72" t="shared"/>
        <v>1.4330333780428986E-2</v>
      </c>
      <c r="AB96" s="12">
        <f si="73" t="shared"/>
        <v>2.3680091114809676E-4</v>
      </c>
      <c r="AC96" s="12">
        <f si="74" t="shared"/>
        <v>-1.2925069494018754E-3</v>
      </c>
      <c r="AD96" s="12">
        <f si="75" t="shared"/>
        <v>1.4126462075600907E-3</v>
      </c>
      <c r="AH96"/>
      <c r="AI96"/>
      <c r="AJ96"/>
      <c r="AK96"/>
      <c r="AL96"/>
      <c r="AM96"/>
      <c r="AN96"/>
      <c r="AO96"/>
    </row>
    <row r="97" spans="1:41" x14ac:dyDescent="0.2">
      <c r="A97" s="25" t="s">
        <v>130</v>
      </c>
      <c r="B97" s="34">
        <f ref="B97:F98" si="76" t="shared">B80/B$82</f>
        <v>0.12624020407143841</v>
      </c>
      <c r="C97" s="34">
        <f si="76" t="shared"/>
        <v>0.16292241279699579</v>
      </c>
      <c r="D97" s="34">
        <f si="76" t="shared"/>
        <v>0.19843494558727526</v>
      </c>
      <c r="E97" s="34">
        <f si="76" t="shared"/>
        <v>0.15240488866148369</v>
      </c>
      <c r="F97" s="34">
        <f si="76" t="shared"/>
        <v>0.17865167007318555</v>
      </c>
      <c r="L97"/>
      <c r="M97" s="25" t="s">
        <v>130</v>
      </c>
      <c r="N97" s="56">
        <f si="70" t="shared"/>
        <v>0.15099836952369103</v>
      </c>
      <c r="O97" s="56">
        <f si="70" t="shared"/>
        <v>0.16531160791087976</v>
      </c>
      <c r="P97" s="56">
        <f si="70" t="shared"/>
        <v>0.18840081753057475</v>
      </c>
      <c r="Q97" s="56">
        <f si="70" t="shared"/>
        <v>0.19243357345936024</v>
      </c>
      <c r="R97" s="56">
        <f si="70" t="shared"/>
        <v>0.18124344825325162</v>
      </c>
      <c r="Y97" s="25" t="s">
        <v>130</v>
      </c>
      <c r="Z97" s="12">
        <f si="71" t="shared"/>
        <v>2.4758165452252623E-2</v>
      </c>
      <c r="AA97" s="12">
        <f si="72" t="shared"/>
        <v>2.3891951138839684E-3</v>
      </c>
      <c r="AB97" s="12">
        <f si="73" t="shared"/>
        <v>-1.0034128056700509E-2</v>
      </c>
      <c r="AC97" s="12">
        <f si="74" t="shared"/>
        <v>4.0028684797876551E-2</v>
      </c>
      <c r="AD97" s="12">
        <f si="75" t="shared"/>
        <v>2.5917781800660622E-3</v>
      </c>
      <c r="AH97"/>
      <c r="AI97"/>
      <c r="AJ97"/>
      <c r="AK97"/>
      <c r="AL97"/>
      <c r="AM97"/>
      <c r="AN97"/>
      <c r="AO97"/>
    </row>
    <row r="98" spans="1:41" x14ac:dyDescent="0.2">
      <c r="A98" s="25" t="s">
        <v>247</v>
      </c>
      <c r="B98" s="34">
        <f si="76" t="shared"/>
        <v>3.5139538679219276E-2</v>
      </c>
      <c r="C98" s="34">
        <f si="76" t="shared"/>
        <v>3.3295984660629857E-2</v>
      </c>
      <c r="D98" s="34">
        <f si="76" t="shared"/>
        <v>2.986967300947117E-2</v>
      </c>
      <c r="E98" s="34">
        <f si="76" t="shared"/>
        <v>2.5843947412343408E-2</v>
      </c>
      <c r="F98" s="34">
        <f si="76" t="shared"/>
        <v>3.0164494588309467E-2</v>
      </c>
      <c r="L98"/>
      <c r="M98" s="25" t="s">
        <v>247</v>
      </c>
      <c r="N98" s="56">
        <f si="70" t="shared"/>
        <v>2.3698868984334317E-2</v>
      </c>
      <c r="O98" s="56">
        <f si="70" t="shared"/>
        <v>3.0789333533772317E-2</v>
      </c>
      <c r="P98" s="56">
        <f si="70" t="shared"/>
        <v>3.166510242401753E-2</v>
      </c>
      <c r="Q98" s="56">
        <f si="70" t="shared"/>
        <v>3.3627506996451881E-2</v>
      </c>
      <c r="R98" s="56">
        <f si="70" t="shared"/>
        <v>3.1378686927632592E-2</v>
      </c>
      <c r="Y98" s="25" t="s">
        <v>247</v>
      </c>
      <c r="Z98" s="12">
        <f si="71" t="shared"/>
        <v>-1.1440669694884959E-2</v>
      </c>
      <c r="AA98" s="12">
        <f si="72" t="shared"/>
        <v>-2.5066511268575405E-3</v>
      </c>
      <c r="AB98" s="12">
        <f si="73" t="shared"/>
        <v>1.7954294145463602E-3</v>
      </c>
      <c r="AC98" s="12">
        <f si="74" t="shared"/>
        <v>7.7835595841084723E-3</v>
      </c>
      <c r="AD98" s="12">
        <f si="75" t="shared"/>
        <v>1.2141923393231245E-3</v>
      </c>
      <c r="AH98"/>
      <c r="AI98"/>
      <c r="AJ98"/>
      <c r="AK98"/>
      <c r="AL98"/>
      <c r="AM98"/>
      <c r="AN98"/>
      <c r="AO98"/>
    </row>
    <row ht="13.5" r="99" spans="1:41" thickBot="1" x14ac:dyDescent="0.25">
      <c r="A99" s="10" t="s">
        <v>221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221</v>
      </c>
      <c r="N99" s="51">
        <f si="70" t="shared"/>
        <v>1</v>
      </c>
      <c r="O99" s="51">
        <f si="70" t="shared"/>
        <v>1</v>
      </c>
      <c r="P99" s="51">
        <f si="70" t="shared"/>
        <v>1</v>
      </c>
      <c r="Q99" s="51">
        <f si="70" t="shared"/>
        <v>1</v>
      </c>
      <c r="R99" s="51">
        <f si="70" t="shared"/>
        <v>1</v>
      </c>
      <c r="X99"/>
      <c r="Y99" s="10" t="s">
        <v>221</v>
      </c>
      <c r="Z99" s="14">
        <f si="71" t="shared"/>
        <v>0</v>
      </c>
      <c r="AA99" s="14">
        <f si="72" t="shared"/>
        <v>0</v>
      </c>
      <c r="AB99" s="14">
        <f si="73" t="shared"/>
        <v>0</v>
      </c>
      <c r="AC99" s="14">
        <f si="74" t="shared"/>
        <v>0</v>
      </c>
      <c r="AD99" s="14">
        <f si="75" t="shared"/>
        <v>0</v>
      </c>
    </row>
    <row r="100" spans="1:41" x14ac:dyDescent="0.2">
      <c r="L100"/>
      <c r="X100"/>
    </row>
    <row r="101" spans="1:41" x14ac:dyDescent="0.2">
      <c r="L101"/>
      <c r="X101"/>
    </row>
    <row r="102" spans="1:41" x14ac:dyDescent="0.2">
      <c r="L102"/>
      <c r="X102"/>
    </row>
    <row r="103" spans="1:41" x14ac:dyDescent="0.2">
      <c r="L103"/>
      <c r="X103"/>
    </row>
    <row r="104" spans="1:41" x14ac:dyDescent="0.2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x14ac:dyDescent="0.2">
      <c r="A105" s="2" t="s">
        <v>303</v>
      </c>
      <c r="E105"/>
      <c r="F105" s="99"/>
      <c r="G105" s="99"/>
      <c r="H105" s="99"/>
      <c r="I105" s="99"/>
      <c r="J105" s="99"/>
      <c r="K105"/>
      <c r="L105"/>
      <c r="M105" s="2" t="s">
        <v>306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ht="13.5" r="106" spans="1:41" thickBot="1" x14ac:dyDescent="0.25">
      <c r="B106" s="15"/>
      <c r="C106" s="15"/>
      <c r="D106" s="15"/>
      <c r="E106" s="1"/>
      <c r="F106" s="1"/>
      <c r="G106" s="1"/>
      <c r="H106" s="99"/>
      <c r="I106" s="99"/>
      <c r="J106" s="99"/>
      <c r="K106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x14ac:dyDescent="0.2">
      <c r="A107" s="5" t="s">
        <v>159</v>
      </c>
      <c r="B107" s="153" t="s">
        <v>3919</v>
      </c>
      <c r="C107" s="153" t="s">
        <v>3920</v>
      </c>
      <c r="D107" s="153" t="s">
        <v>3921</v>
      </c>
      <c r="E107" s="153" t="s">
        <v>3922</v>
      </c>
      <c r="F107" s="153" t="s">
        <v>1522</v>
      </c>
      <c r="G107" s="153" t="s">
        <v>3923</v>
      </c>
      <c r="H107" s="6" t="s">
        <v>3924</v>
      </c>
      <c r="I107" s="6" t="s">
        <v>221</v>
      </c>
      <c r="J107" s="89"/>
      <c r="L107"/>
      <c r="M107" s="5" t="s">
        <v>159</v>
      </c>
      <c r="N107" s="6" t="str">
        <f>B107</f>
        <v>Bellevue</v>
      </c>
      <c r="O107" s="6" t="str">
        <f ref="O107:S107" si="77" t="shared">C107</f>
        <v>Bellevue Downtown</v>
      </c>
      <c r="P107" s="6" t="str">
        <f si="77" t="shared"/>
        <v>Kirkland</v>
      </c>
      <c r="Q107" s="6" t="str">
        <f si="77" t="shared"/>
        <v>Redmond</v>
      </c>
      <c r="R107" s="6" t="str">
        <f si="77" t="shared"/>
        <v>Seattle</v>
      </c>
      <c r="S107" s="6" t="str">
        <f si="77" t="shared"/>
        <v>Seattle Downtown</v>
      </c>
      <c r="T107" s="6" t="str">
        <f>H107</f>
        <v>Rest</v>
      </c>
      <c r="U107" s="6" t="s">
        <v>221</v>
      </c>
      <c r="V107" s="101"/>
      <c r="X107"/>
      <c r="Y107" s="5" t="s">
        <v>159</v>
      </c>
      <c r="Z107" s="6" t="str">
        <f>B107</f>
        <v>Bellevue</v>
      </c>
      <c r="AA107" s="6" t="str">
        <f ref="AA107:AF107" si="78" t="shared">C107</f>
        <v>Bellevue Downtown</v>
      </c>
      <c r="AB107" s="6" t="str">
        <f si="78" t="shared"/>
        <v>Kirkland</v>
      </c>
      <c r="AC107" s="6" t="str">
        <f si="78" t="shared"/>
        <v>Redmond</v>
      </c>
      <c r="AD107" s="6" t="str">
        <f si="78" t="shared"/>
        <v>Seattle</v>
      </c>
      <c r="AE107" s="6" t="str">
        <f si="78" t="shared"/>
        <v>Seattle Downtown</v>
      </c>
      <c r="AF107" s="6" t="str">
        <f si="78" t="shared"/>
        <v>Rest</v>
      </c>
      <c r="AG107" s="6" t="s">
        <v>221</v>
      </c>
      <c r="AH107" s="89"/>
    </row>
    <row r="108" spans="1:41" x14ac:dyDescent="0.2">
      <c r="A108" s="3" t="s">
        <v>210</v>
      </c>
      <c r="B108" s="7">
        <f>output_NHTS!B211</f>
        <v>79037.6401089188</v>
      </c>
      <c r="C108" s="7">
        <f>output_NHTS!C211</f>
        <v>6027.8099673173001</v>
      </c>
      <c r="D108" s="7">
        <f>output_NHTS!D211</f>
        <v>70900.655516414394</v>
      </c>
      <c r="E108" s="7">
        <f>output_NHTS!E211</f>
        <v>50371.362533848602</v>
      </c>
      <c r="F108" s="7">
        <f>output_NHTS!F211</f>
        <v>366865.11869293661</v>
      </c>
      <c r="G108" s="7">
        <f>output_NHTS!G211</f>
        <v>40389.307369103197</v>
      </c>
      <c r="H108" s="7">
        <f>output_NHTS!H211</f>
        <v>1113967.0590666074</v>
      </c>
      <c r="I108" s="7">
        <f>SUM(B108:H108)</f>
        <v>1727558.9532551463</v>
      </c>
      <c r="J108" s="33"/>
      <c r="L108"/>
      <c r="M108" s="3" t="s">
        <v>210</v>
      </c>
      <c r="N108" s="53">
        <f>output!B211</f>
        <v>71617.25</v>
      </c>
      <c r="O108" s="53">
        <f>output!C211</f>
        <v>5676.5</v>
      </c>
      <c r="P108" s="53">
        <f>output!D211</f>
        <v>67538.5</v>
      </c>
      <c r="Q108" s="53">
        <f>output!E211</f>
        <v>51987</v>
      </c>
      <c r="R108" s="53">
        <f>output!F211</f>
        <v>336692.62465466378</v>
      </c>
      <c r="S108" s="53">
        <f>output!G211</f>
        <v>37371.270186860667</v>
      </c>
      <c r="T108" s="53">
        <f>output!H211</f>
        <v>1127915.0263127433</v>
      </c>
      <c r="U108" s="53">
        <f>SUM(N108:T108)</f>
        <v>1698798.1711542676</v>
      </c>
      <c r="V108" s="54"/>
      <c r="X108"/>
      <c r="Y108" s="3" t="s">
        <v>210</v>
      </c>
      <c r="Z108" s="7">
        <f ref="Z108:Z116" si="79" t="shared">N108-B108</f>
        <v>-7420.3901089188003</v>
      </c>
      <c r="AA108" s="7">
        <f ref="AA108:AA116" si="80" t="shared">O108-C108</f>
        <v>-351.30996731730011</v>
      </c>
      <c r="AB108" s="7">
        <f ref="AB108:AB116" si="81" t="shared">P108-D108</f>
        <v>-3362.1555164143938</v>
      </c>
      <c r="AC108" s="7">
        <f ref="AC108:AC116" si="82" t="shared">Q108-E108</f>
        <v>1615.6374661513983</v>
      </c>
      <c r="AD108" s="7">
        <f ref="AD108:AD116" si="83" t="shared">R108-F108</f>
        <v>-30172.494038272824</v>
      </c>
      <c r="AE108" s="7">
        <f ref="AE108:AF116" si="84" t="shared">S108-G108</f>
        <v>-3018.0371822425295</v>
      </c>
      <c r="AF108" s="7">
        <f si="84" t="shared"/>
        <v>13947.96724613593</v>
      </c>
      <c r="AG108" s="7">
        <f ref="AG108:AG116" si="85" t="shared">U108-I108</f>
        <v>-28760.782100878656</v>
      </c>
      <c r="AH108" s="33"/>
    </row>
    <row r="109" spans="1:41" x14ac:dyDescent="0.2">
      <c r="A109" s="3" t="s">
        <v>211</v>
      </c>
      <c r="B109" s="7">
        <f>output_NHTS!B212</f>
        <v>34613.001160360101</v>
      </c>
      <c r="C109" s="7">
        <f>output_NHTS!C212</f>
        <v>789.45598320570002</v>
      </c>
      <c r="D109" s="7">
        <f>output_NHTS!D212</f>
        <v>28160.228371058001</v>
      </c>
      <c r="E109" s="7">
        <f>output_NHTS!E212</f>
        <v>35343.089765855999</v>
      </c>
      <c r="F109" s="7">
        <f>output_NHTS!F212</f>
        <v>128049.85788342191</v>
      </c>
      <c r="G109" s="7">
        <f>output_NHTS!G212</f>
        <v>3679.5907776108002</v>
      </c>
      <c r="H109" s="7">
        <f>output_NHTS!H212</f>
        <v>574441.30110731046</v>
      </c>
      <c r="I109" s="7">
        <f ref="I109:I115" si="86" t="shared">SUM(B109:H109)</f>
        <v>805076.52504882298</v>
      </c>
      <c r="J109" s="33"/>
      <c r="L109"/>
      <c r="M109" s="3" t="s">
        <v>211</v>
      </c>
      <c r="N109" s="53">
        <f>output!B212</f>
        <v>35135.25</v>
      </c>
      <c r="O109" s="53">
        <f>output!C212</f>
        <v>1065.75</v>
      </c>
      <c r="P109" s="53">
        <f>output!D212</f>
        <v>28462.75</v>
      </c>
      <c r="Q109" s="53">
        <f>output!E212</f>
        <v>24011</v>
      </c>
      <c r="R109" s="53">
        <f>output!F212</f>
        <v>123069.87078104632</v>
      </c>
      <c r="S109" s="53">
        <f>output!G212</f>
        <v>5544.741199518644</v>
      </c>
      <c r="T109" s="53">
        <f>output!H212</f>
        <v>541690.07424261025</v>
      </c>
      <c r="U109" s="53">
        <f ref="U109:U115" si="87" t="shared">SUM(N109:T109)</f>
        <v>758979.43622317526</v>
      </c>
      <c r="V109" s="54"/>
      <c r="X109"/>
      <c r="Y109" s="3" t="s">
        <v>211</v>
      </c>
      <c r="Z109" s="7">
        <f si="79" t="shared"/>
        <v>522.24883963989851</v>
      </c>
      <c r="AA109" s="7">
        <f si="80" t="shared"/>
        <v>276.29401679429998</v>
      </c>
      <c r="AB109" s="7">
        <f si="81" t="shared"/>
        <v>302.52162894199864</v>
      </c>
      <c r="AC109" s="7">
        <f si="82" t="shared"/>
        <v>-11332.089765855999</v>
      </c>
      <c r="AD109" s="7">
        <f si="83" t="shared"/>
        <v>-4979.9871023755841</v>
      </c>
      <c r="AE109" s="7">
        <f si="84" t="shared"/>
        <v>1865.1504219078438</v>
      </c>
      <c r="AF109" s="7">
        <f si="84" t="shared"/>
        <v>-32751.226864700206</v>
      </c>
      <c r="AG109" s="7">
        <f si="85" t="shared"/>
        <v>-46097.088825647719</v>
      </c>
      <c r="AH109" s="33"/>
    </row>
    <row r="110" spans="1:41" x14ac:dyDescent="0.2">
      <c r="A110" s="3" t="s">
        <v>212</v>
      </c>
      <c r="B110" s="7">
        <f>output_NHTS!B213</f>
        <v>34061.977706629201</v>
      </c>
      <c r="C110" s="7">
        <f>output_NHTS!C213</f>
        <v>462.67095220929997</v>
      </c>
      <c r="D110" s="7">
        <f>output_NHTS!D213</f>
        <v>31876.0289466779</v>
      </c>
      <c r="E110" s="7">
        <f>output_NHTS!E213</f>
        <v>34571.719632258399</v>
      </c>
      <c r="F110" s="7">
        <f>output_NHTS!F213</f>
        <v>92579.880363555902</v>
      </c>
      <c r="G110" s="7">
        <f>output_NHTS!G213</f>
        <v>2611.1811652474998</v>
      </c>
      <c r="H110" s="7">
        <f>output_NHTS!H213</f>
        <v>452633.55433099088</v>
      </c>
      <c r="I110" s="7">
        <f si="86" t="shared"/>
        <v>648797.01309756911</v>
      </c>
      <c r="J110" s="33"/>
      <c r="L110"/>
      <c r="M110" s="3" t="s">
        <v>212</v>
      </c>
      <c r="N110" s="53">
        <f>output!B213</f>
        <v>26873.75</v>
      </c>
      <c r="O110" s="53">
        <f>output!C213</f>
        <v>1348.75</v>
      </c>
      <c r="P110" s="53">
        <f>output!D213</f>
        <v>22642</v>
      </c>
      <c r="Q110" s="53">
        <f>output!E213</f>
        <v>19138.75</v>
      </c>
      <c r="R110" s="53">
        <f>output!F213</f>
        <v>92965.125396921008</v>
      </c>
      <c r="S110" s="53">
        <f>output!G213</f>
        <v>5599.6764974669286</v>
      </c>
      <c r="T110" s="53">
        <f>output!H213</f>
        <v>477850.54446023138</v>
      </c>
      <c r="U110" s="53">
        <f si="87" t="shared"/>
        <v>646418.59635461937</v>
      </c>
      <c r="V110" s="54"/>
      <c r="X110"/>
      <c r="Y110" s="3" t="s">
        <v>212</v>
      </c>
      <c r="Z110" s="7">
        <f si="79" t="shared"/>
        <v>-7188.2277066292008</v>
      </c>
      <c r="AA110" s="7">
        <f si="80" t="shared"/>
        <v>886.07904779070009</v>
      </c>
      <c r="AB110" s="7">
        <f si="81" t="shared"/>
        <v>-9234.0289466778995</v>
      </c>
      <c r="AC110" s="7">
        <f si="82" t="shared"/>
        <v>-15432.969632258399</v>
      </c>
      <c r="AD110" s="7">
        <f si="83" t="shared"/>
        <v>385.24503336510679</v>
      </c>
      <c r="AE110" s="7">
        <f si="84" t="shared"/>
        <v>2988.4953322194287</v>
      </c>
      <c r="AF110" s="7">
        <f si="84" t="shared"/>
        <v>25216.990129240497</v>
      </c>
      <c r="AG110" s="7">
        <f si="85" t="shared"/>
        <v>-2378.4167429497465</v>
      </c>
      <c r="AH110" s="33"/>
    </row>
    <row r="111" spans="1:41" x14ac:dyDescent="0.2">
      <c r="A111" s="3" t="s">
        <v>213</v>
      </c>
      <c r="B111" s="7">
        <f>output_NHTS!B214</f>
        <v>24933.076938066599</v>
      </c>
      <c r="C111" s="7">
        <f>output_NHTS!C214</f>
        <v>485.76884120250003</v>
      </c>
      <c r="D111" s="7">
        <f>output_NHTS!D214</f>
        <v>30369.740848877998</v>
      </c>
      <c r="E111" s="7">
        <f>output_NHTS!E214</f>
        <v>24559.552869661002</v>
      </c>
      <c r="F111" s="7">
        <f>output_NHTS!F214</f>
        <v>110186.080294496</v>
      </c>
      <c r="G111" s="7">
        <f>output_NHTS!G214</f>
        <v>10687.5900859625</v>
      </c>
      <c r="H111" s="7">
        <f>output_NHTS!H214</f>
        <v>516921.29535011522</v>
      </c>
      <c r="I111" s="7">
        <f si="86" t="shared"/>
        <v>718143.10522838181</v>
      </c>
      <c r="J111" s="33"/>
      <c r="L111"/>
      <c r="M111" s="3" t="s">
        <v>213</v>
      </c>
      <c r="N111" s="53">
        <f>output!B214</f>
        <v>27771.75</v>
      </c>
      <c r="O111" s="53">
        <f>output!C214</f>
        <v>1989.75</v>
      </c>
      <c r="P111" s="53">
        <f>output!D214</f>
        <v>24625.25</v>
      </c>
      <c r="Q111" s="53">
        <f>output!E214</f>
        <v>19503</v>
      </c>
      <c r="R111" s="53">
        <f>output!F214</f>
        <v>112695.23020836122</v>
      </c>
      <c r="S111" s="53">
        <f>output!G214</f>
        <v>11294.902693418731</v>
      </c>
      <c r="T111" s="53">
        <f>output!H214</f>
        <v>507844.2358349766</v>
      </c>
      <c r="U111" s="53">
        <f si="87" t="shared"/>
        <v>705724.1187367565</v>
      </c>
      <c r="V111" s="54"/>
      <c r="X111"/>
      <c r="Y111" s="3" t="s">
        <v>213</v>
      </c>
      <c r="Z111" s="7">
        <f si="79" t="shared"/>
        <v>2838.6730619334012</v>
      </c>
      <c r="AA111" s="7">
        <f si="80" t="shared"/>
        <v>1503.9811587975</v>
      </c>
      <c r="AB111" s="7">
        <f si="81" t="shared"/>
        <v>-5744.4908488779984</v>
      </c>
      <c r="AC111" s="7">
        <f si="82" t="shared"/>
        <v>-5056.5528696610018</v>
      </c>
      <c r="AD111" s="7">
        <f si="83" t="shared"/>
        <v>2509.1499138652143</v>
      </c>
      <c r="AE111" s="7">
        <f si="84" t="shared"/>
        <v>607.31260745623149</v>
      </c>
      <c r="AF111" s="7">
        <f si="84" t="shared"/>
        <v>-9077.0595151386224</v>
      </c>
      <c r="AG111" s="7">
        <f si="85" t="shared"/>
        <v>-12418.986491625314</v>
      </c>
      <c r="AH111" s="33"/>
    </row>
    <row r="112" spans="1:41" x14ac:dyDescent="0.2">
      <c r="A112" s="3" t="s">
        <v>214</v>
      </c>
      <c r="B112" s="7">
        <f>output_NHTS!B215</f>
        <v>17968.983954022002</v>
      </c>
      <c r="C112" s="7">
        <f>output_NHTS!C215</f>
        <v>1607.070992965</v>
      </c>
      <c r="D112" s="7">
        <f>output_NHTS!D215</f>
        <v>20932.738866469499</v>
      </c>
      <c r="E112" s="7">
        <f>output_NHTS!E215</f>
        <v>19696.594297641499</v>
      </c>
      <c r="F112" s="7">
        <f>output_NHTS!F215</f>
        <v>105114.46815625941</v>
      </c>
      <c r="G112" s="7">
        <f>output_NHTS!G215</f>
        <v>12804.510940579499</v>
      </c>
      <c r="H112" s="7">
        <f>output_NHTS!H215</f>
        <v>524313.44809945137</v>
      </c>
      <c r="I112" s="7">
        <f si="86" t="shared"/>
        <v>702437.81530738831</v>
      </c>
      <c r="J112" s="33"/>
      <c r="L112"/>
      <c r="M112" s="3" t="s">
        <v>214</v>
      </c>
      <c r="N112" s="53">
        <f>output!B215</f>
        <v>23927.25</v>
      </c>
      <c r="O112" s="53">
        <f>output!C215</f>
        <v>1875.25</v>
      </c>
      <c r="P112" s="53">
        <f>output!D215</f>
        <v>20895.25</v>
      </c>
      <c r="Q112" s="53">
        <f>output!E215</f>
        <v>16598.5</v>
      </c>
      <c r="R112" s="53">
        <f>output!F215</f>
        <v>100718.68693661864</v>
      </c>
      <c r="S112" s="53">
        <f>output!G215</f>
        <v>10915.514916160148</v>
      </c>
      <c r="T112" s="53">
        <f>output!H215</f>
        <v>520195.01817418792</v>
      </c>
      <c r="U112" s="53">
        <f si="87" t="shared"/>
        <v>695125.47002696665</v>
      </c>
      <c r="V112" s="54"/>
      <c r="X112"/>
      <c r="Y112" s="3" t="s">
        <v>214</v>
      </c>
      <c r="Z112" s="7">
        <f si="79" t="shared"/>
        <v>5958.2660459779981</v>
      </c>
      <c r="AA112" s="7">
        <f si="80" t="shared"/>
        <v>268.17900703500004</v>
      </c>
      <c r="AB112" s="7">
        <f si="81" t="shared"/>
        <v>-37.488866469499044</v>
      </c>
      <c r="AC112" s="7">
        <f si="82" t="shared"/>
        <v>-3098.094297641499</v>
      </c>
      <c r="AD112" s="7">
        <f si="83" t="shared"/>
        <v>-4395.7812196407613</v>
      </c>
      <c r="AE112" s="7">
        <f si="84" t="shared"/>
        <v>-1888.9960244193517</v>
      </c>
      <c r="AF112" s="7">
        <f si="84" t="shared"/>
        <v>-4118.4299252634519</v>
      </c>
      <c r="AG112" s="7">
        <f si="85" t="shared"/>
        <v>-7312.3452804216649</v>
      </c>
      <c r="AH112" s="33"/>
    </row>
    <row r="113" spans="1:34" x14ac:dyDescent="0.2">
      <c r="A113" s="3" t="s">
        <v>129</v>
      </c>
      <c r="B113" s="7">
        <f>output_NHTS!B216</f>
        <v>11939.972133858801</v>
      </c>
      <c r="C113" s="7">
        <f>output_NHTS!C216</f>
        <v>488.07562926700001</v>
      </c>
      <c r="D113" s="7">
        <f>output_NHTS!D216</f>
        <v>4287.132606657</v>
      </c>
      <c r="E113" s="7">
        <f>output_NHTS!E216</f>
        <v>11946.260995394001</v>
      </c>
      <c r="F113" s="7">
        <f>output_NHTS!F216</f>
        <v>51316.740136362801</v>
      </c>
      <c r="G113" s="7">
        <f>output_NHTS!G216</f>
        <v>6574.4430957761997</v>
      </c>
      <c r="H113" s="7">
        <f>output_NHTS!H216</f>
        <v>138697.91912953521</v>
      </c>
      <c r="I113" s="7">
        <f si="86" t="shared"/>
        <v>225250.543726851</v>
      </c>
      <c r="J113" s="33"/>
      <c r="L113"/>
      <c r="M113" s="3" t="s">
        <v>129</v>
      </c>
      <c r="N113" s="53">
        <f>output!B216</f>
        <v>11468</v>
      </c>
      <c r="O113" s="53">
        <f>output!C216</f>
        <v>1006.75</v>
      </c>
      <c r="P113" s="53">
        <f>output!D216</f>
        <v>9490.75</v>
      </c>
      <c r="Q113" s="53">
        <f>output!E216</f>
        <v>7376.25</v>
      </c>
      <c r="R113" s="53">
        <f>output!F216</f>
        <v>45991.125142457131</v>
      </c>
      <c r="S113" s="53">
        <f>output!G216</f>
        <v>5583.5817036315839</v>
      </c>
      <c r="T113" s="53">
        <f>output!H216</f>
        <v>149620.3357837575</v>
      </c>
      <c r="U113" s="53">
        <f si="87" t="shared"/>
        <v>230536.79262984623</v>
      </c>
      <c r="V113" s="54"/>
      <c r="X113"/>
      <c r="Y113" s="3" t="s">
        <v>129</v>
      </c>
      <c r="Z113" s="7">
        <f si="79" t="shared"/>
        <v>-471.97213385880059</v>
      </c>
      <c r="AA113" s="7">
        <f si="80" t="shared"/>
        <v>518.67437073299993</v>
      </c>
      <c r="AB113" s="7">
        <f si="81" t="shared"/>
        <v>5203.617393343</v>
      </c>
      <c r="AC113" s="7">
        <f si="82" t="shared"/>
        <v>-4570.0109953940009</v>
      </c>
      <c r="AD113" s="7">
        <f si="83" t="shared"/>
        <v>-5325.6149939056704</v>
      </c>
      <c r="AE113" s="7">
        <f si="84" t="shared"/>
        <v>-990.86139214461582</v>
      </c>
      <c r="AF113" s="7">
        <f si="84" t="shared"/>
        <v>10922.416654222296</v>
      </c>
      <c r="AG113" s="7">
        <f si="85" t="shared"/>
        <v>5286.2489029952267</v>
      </c>
      <c r="AH113" s="33"/>
    </row>
    <row r="114" spans="1:34" x14ac:dyDescent="0.2">
      <c r="A114" s="25" t="s">
        <v>130</v>
      </c>
      <c r="B114" s="7">
        <f>output_NHTS!B217</f>
        <v>45357.532431543703</v>
      </c>
      <c r="C114" s="7">
        <f>output_NHTS!C217</f>
        <v>2552.9661731877</v>
      </c>
      <c r="D114" s="7">
        <f>output_NHTS!D217</f>
        <v>32411.710559707601</v>
      </c>
      <c r="E114" s="7">
        <f>output_NHTS!E217</f>
        <v>39687.352662972</v>
      </c>
      <c r="F114" s="7">
        <f>output_NHTS!F217</f>
        <v>218949.4684907874</v>
      </c>
      <c r="G114" s="7">
        <f>output_NHTS!G217</f>
        <v>20280.583342895599</v>
      </c>
      <c r="H114" s="7">
        <f>output_NHTS!H217</f>
        <v>730770.98696564918</v>
      </c>
      <c r="I114" s="7">
        <f si="86" t="shared"/>
        <v>1090010.6006267432</v>
      </c>
      <c r="J114" s="33"/>
      <c r="L114"/>
      <c r="M114" s="25" t="s">
        <v>130</v>
      </c>
      <c r="N114" s="54">
        <f>output!B217</f>
        <v>50814.75</v>
      </c>
      <c r="O114" s="54">
        <f>output!C217</f>
        <v>3595</v>
      </c>
      <c r="P114" s="54">
        <f>output!D217</f>
        <v>43122.25</v>
      </c>
      <c r="Q114" s="54">
        <f>output!E217</f>
        <v>35252.5</v>
      </c>
      <c r="R114" s="54">
        <f>output!F217</f>
        <v>194331.64397841663</v>
      </c>
      <c r="S114" s="54">
        <f>output!G217</f>
        <v>18721.259381480191</v>
      </c>
      <c r="T114" s="54">
        <f>output!H217</f>
        <v>744227.93320299021</v>
      </c>
      <c r="U114" s="53">
        <f si="87" t="shared"/>
        <v>1090065.3365628871</v>
      </c>
      <c r="V114" s="54"/>
      <c r="X114"/>
      <c r="Y114" s="25" t="s">
        <v>130</v>
      </c>
      <c r="Z114" s="33">
        <f si="79" t="shared"/>
        <v>5457.2175684562972</v>
      </c>
      <c r="AA114" s="33">
        <f si="80" t="shared"/>
        <v>1042.0338268123</v>
      </c>
      <c r="AB114" s="33">
        <f si="81" t="shared"/>
        <v>10710.539440292399</v>
      </c>
      <c r="AC114" s="33">
        <f si="82" t="shared"/>
        <v>-4434.852662972</v>
      </c>
      <c r="AD114" s="33">
        <f si="83" t="shared"/>
        <v>-24617.824512370775</v>
      </c>
      <c r="AE114" s="33">
        <f si="84" t="shared"/>
        <v>-1559.3239614154081</v>
      </c>
      <c r="AF114" s="7">
        <f si="84" t="shared"/>
        <v>13456.946237341035</v>
      </c>
      <c r="AG114" s="33">
        <f si="85" t="shared"/>
        <v>54.735936143901199</v>
      </c>
      <c r="AH114" s="33"/>
    </row>
    <row r="115" spans="1:34" x14ac:dyDescent="0.2">
      <c r="A115" s="25" t="s">
        <v>247</v>
      </c>
      <c r="B115" s="9">
        <f>output_NHTS!B218</f>
        <v>5113.9959560066</v>
      </c>
      <c r="C115" s="9">
        <f>output_NHTS!C218</f>
        <v>811.99076192229995</v>
      </c>
      <c r="D115" s="9">
        <f>output_NHTS!D218</f>
        <v>8000.7828230945006</v>
      </c>
      <c r="E115" s="9">
        <f>output_NHTS!E218</f>
        <v>8435.7198634551005</v>
      </c>
      <c r="F115" s="9">
        <f>output_NHTS!F218</f>
        <v>49565.2087046374</v>
      </c>
      <c r="G115" s="9">
        <f>output_NHTS!G218</f>
        <v>8562.5809054546007</v>
      </c>
      <c r="H115" s="7">
        <f>output_NHTS!H218</f>
        <v>103552.8863828537</v>
      </c>
      <c r="I115" s="7">
        <f si="86" t="shared"/>
        <v>184043.16539742419</v>
      </c>
      <c r="J115" s="33"/>
      <c r="L115"/>
      <c r="M115" s="25" t="s">
        <v>247</v>
      </c>
      <c r="N115" s="59">
        <f>output!B218</f>
        <v>8970.25</v>
      </c>
      <c r="O115" s="59">
        <f>output!C218</f>
        <v>809.25</v>
      </c>
      <c r="P115" s="59">
        <f>output!D218</f>
        <v>8243.75</v>
      </c>
      <c r="Q115" s="59">
        <f>output!E218</f>
        <v>6125</v>
      </c>
      <c r="R115" s="59">
        <f>output!F218</f>
        <v>43118.234243594481</v>
      </c>
      <c r="S115" s="59">
        <f>output!G218</f>
        <v>5233.2520308773728</v>
      </c>
      <c r="T115" s="59">
        <f>output!H218</f>
        <v>116223.32795942455</v>
      </c>
      <c r="U115" s="53">
        <f si="87" t="shared"/>
        <v>188723.06423389641</v>
      </c>
      <c r="V115" s="54"/>
      <c r="X115"/>
      <c r="Y115" s="25" t="s">
        <v>247</v>
      </c>
      <c r="Z115" s="9">
        <f si="79" t="shared"/>
        <v>3856.2540439934</v>
      </c>
      <c r="AA115" s="9">
        <f si="80" t="shared"/>
        <v>-2.7407619222999529</v>
      </c>
      <c r="AB115" s="9">
        <f si="81" t="shared"/>
        <v>242.9671769054994</v>
      </c>
      <c r="AC115" s="9">
        <f si="82" t="shared"/>
        <v>-2310.7198634551005</v>
      </c>
      <c r="AD115" s="9">
        <f si="83" t="shared"/>
        <v>-6446.9744610429188</v>
      </c>
      <c r="AE115" s="9">
        <f si="84" t="shared"/>
        <v>-3329.3288745772279</v>
      </c>
      <c r="AF115" s="7">
        <f si="84" t="shared"/>
        <v>12670.441576570855</v>
      </c>
      <c r="AG115" s="9">
        <f si="85" t="shared"/>
        <v>4679.8988364722172</v>
      </c>
      <c r="AH115" s="33"/>
    </row>
    <row ht="13.5" r="116" spans="1:34" thickBot="1" x14ac:dyDescent="0.25">
      <c r="A116" s="10" t="s">
        <v>221</v>
      </c>
      <c r="B116" s="60">
        <f>SUM(B108:B115)</f>
        <v>253026.18038940578</v>
      </c>
      <c r="C116" s="60">
        <f>SUM(C108:C115)</f>
        <v>13225.809301276799</v>
      </c>
      <c r="D116" s="60">
        <f>SUM(D108:D115)</f>
        <v>226939.01853895685</v>
      </c>
      <c r="E116" s="60">
        <f>SUM(E108:E115)</f>
        <v>224611.65262108663</v>
      </c>
      <c r="F116" s="60">
        <f ref="F116:H116" si="88" t="shared">SUM(F108:F115)</f>
        <v>1122626.8227224573</v>
      </c>
      <c r="G116" s="60">
        <f si="88" t="shared"/>
        <v>105589.78768262987</v>
      </c>
      <c r="H116" s="60">
        <f si="88" t="shared"/>
        <v>4155298.4504325138</v>
      </c>
      <c r="I116" s="60">
        <f>SUM(I108:I115)</f>
        <v>6101317.7216883274</v>
      </c>
      <c r="J116" s="33"/>
      <c r="L116"/>
      <c r="M116" s="10" t="s">
        <v>221</v>
      </c>
      <c r="N116" s="60">
        <f>SUM(N108:N115)</f>
        <v>256578.25</v>
      </c>
      <c r="O116" s="60">
        <f>SUM(O108:O115)</f>
        <v>17367</v>
      </c>
      <c r="P116" s="60">
        <f>SUM(P108:P115)</f>
        <v>225020.5</v>
      </c>
      <c r="Q116" s="60">
        <f>SUM(Q108:Q115)</f>
        <v>179992</v>
      </c>
      <c r="R116" s="60">
        <f ref="R116:S116" si="89" t="shared">SUM(R108:R115)</f>
        <v>1049582.5413420792</v>
      </c>
      <c r="S116" s="60">
        <f si="89" t="shared"/>
        <v>100264.19860941426</v>
      </c>
      <c r="T116" s="60">
        <f ref="T116" si="90" t="shared">SUM(T108:T115)</f>
        <v>4185566.4959709211</v>
      </c>
      <c r="U116" s="60">
        <f>SUM(U108:U115)</f>
        <v>6014370.9859224148</v>
      </c>
      <c r="V116" s="54"/>
      <c r="X116"/>
      <c r="Y116" s="10" t="s">
        <v>221</v>
      </c>
      <c r="Z116" s="22">
        <f si="79" t="shared"/>
        <v>3552.0696105942188</v>
      </c>
      <c r="AA116" s="22">
        <f si="80" t="shared"/>
        <v>4141.1906987232014</v>
      </c>
      <c r="AB116" s="22">
        <f si="81" t="shared"/>
        <v>-1918.5185389568505</v>
      </c>
      <c r="AC116" s="22">
        <f si="82" t="shared"/>
        <v>-44619.652621086629</v>
      </c>
      <c r="AD116" s="22">
        <f si="83" t="shared"/>
        <v>-73044.281380378176</v>
      </c>
      <c r="AE116" s="22">
        <f si="84" t="shared"/>
        <v>-5325.5890732156113</v>
      </c>
      <c r="AF116" s="22">
        <f si="84" t="shared"/>
        <v>30268.045538407285</v>
      </c>
      <c r="AG116" s="22">
        <f si="85" t="shared"/>
        <v>-86946.73576591257</v>
      </c>
      <c r="AH116" s="33"/>
    </row>
    <row r="117" spans="1:34" x14ac:dyDescent="0.2">
      <c r="G117" s="25"/>
      <c r="H117" s="25"/>
      <c r="I117" s="25"/>
      <c r="J117" s="25"/>
      <c r="L117"/>
      <c r="S117" s="102"/>
      <c r="T117" s="102"/>
      <c r="U117" s="102"/>
      <c r="V117" s="102"/>
      <c r="X117"/>
      <c r="AE117" s="25"/>
      <c r="AF117" s="25"/>
      <c r="AG117" s="25"/>
      <c r="AH117" s="25"/>
    </row>
    <row r="118" spans="1:34" x14ac:dyDescent="0.2">
      <c r="A118" s="25" t="s">
        <v>88</v>
      </c>
      <c r="B118" s="7">
        <f>output_NHTS!B331</f>
        <v>151396.64790000001</v>
      </c>
      <c r="C118" s="7">
        <f>output_NHTS!B332</f>
        <v>8845.8525000000009</v>
      </c>
      <c r="D118" s="7">
        <f>output_NHTS!B333</f>
        <v>131529.91500000001</v>
      </c>
      <c r="E118" s="7">
        <f>output_NHTS!B334</f>
        <v>123832.13039999999</v>
      </c>
      <c r="F118" s="7">
        <f>output_NHTS!B335</f>
        <v>636827.67330000002</v>
      </c>
      <c r="G118" s="7">
        <f>output_NHTS!B336</f>
        <v>54534.662199999999</v>
      </c>
      <c r="H118" s="7">
        <f>output_NHTS!B337</f>
        <v>2601551.0852999999</v>
      </c>
      <c r="I118" s="7">
        <f>SUM(B118:H118)</f>
        <v>3708517.9665999999</v>
      </c>
      <c r="J118" s="33"/>
      <c r="L118"/>
      <c r="M118" s="25" t="s">
        <v>88</v>
      </c>
      <c r="N118" s="7">
        <f>output!B331</f>
        <v>152941.5</v>
      </c>
      <c r="O118" s="7">
        <f>output!B332</f>
        <v>9701</v>
      </c>
      <c r="P118" s="7">
        <f>output!B333</f>
        <v>135841.5</v>
      </c>
      <c r="Q118" s="7">
        <f>output!B334</f>
        <v>108932</v>
      </c>
      <c r="R118" s="7">
        <f>output!B335</f>
        <v>623275.53186630248</v>
      </c>
      <c r="S118" s="7">
        <f>output!B336</f>
        <v>54870.858576608582</v>
      </c>
      <c r="T118" s="7">
        <f>output!B337</f>
        <v>2656912.4280209807</v>
      </c>
      <c r="U118" s="7">
        <f>SUM(N118:T118)</f>
        <v>3742474.8184638917</v>
      </c>
      <c r="V118" s="54"/>
      <c r="Y118" s="25" t="s">
        <v>88</v>
      </c>
      <c r="Z118" s="7">
        <f ref="Z118:AB119" si="91" t="shared">N118-B118</f>
        <v>1544.8520999999892</v>
      </c>
      <c r="AA118" s="7">
        <f si="91" t="shared"/>
        <v>855.14749999999913</v>
      </c>
      <c r="AB118" s="7">
        <f si="91" t="shared"/>
        <v>4311.5849999999919</v>
      </c>
      <c r="AC118" s="7">
        <f ref="AC118:AC119" si="92" t="shared">Q118-E118</f>
        <v>-14900.130399999995</v>
      </c>
      <c r="AD118" s="7">
        <f ref="AD118:AD119" si="93" t="shared">R118-F118</f>
        <v>-13552.141433697543</v>
      </c>
      <c r="AE118" s="7">
        <f ref="AE118:AF119" si="94" t="shared">S118-G118</f>
        <v>336.1963766085828</v>
      </c>
      <c r="AF118" s="7">
        <f si="94" t="shared"/>
        <v>55361.342720980756</v>
      </c>
      <c r="AG118" s="7">
        <f ref="AG118:AG119" si="95" t="shared">U118-I118</f>
        <v>33956.851863891818</v>
      </c>
      <c r="AH118" s="33"/>
    </row>
    <row r="119" spans="1:34" x14ac:dyDescent="0.2">
      <c r="A119" s="25" t="s">
        <v>89</v>
      </c>
      <c r="B119" s="37">
        <f>B116/B118</f>
        <v>1.6712799384867079</v>
      </c>
      <c r="C119" s="37">
        <f>C116/C118</f>
        <v>1.4951424185828102</v>
      </c>
      <c r="D119" s="37">
        <f>D116/D118</f>
        <v>1.7253794966639857</v>
      </c>
      <c r="E119" s="37">
        <f>E116/E118</f>
        <v>1.8138398483136058</v>
      </c>
      <c r="F119" s="37">
        <f ref="F119:I119" si="96" t="shared">F116/F118</f>
        <v>1.7628423980149566</v>
      </c>
      <c r="G119" s="37">
        <f>G116/G118</f>
        <v>1.936195869250839</v>
      </c>
      <c r="H119" s="37">
        <f>H116/H118</f>
        <v>1.5972388448998465</v>
      </c>
      <c r="I119" s="37">
        <f si="96" t="shared"/>
        <v>1.645217247600951</v>
      </c>
      <c r="J119" s="37"/>
      <c r="L119"/>
      <c r="M119" s="25" t="s">
        <v>89</v>
      </c>
      <c r="N119" s="37">
        <f>N116/N118</f>
        <v>1.6776234704118895</v>
      </c>
      <c r="O119" s="37">
        <f>O116/O118</f>
        <v>1.7902278115658179</v>
      </c>
      <c r="P119" s="37">
        <f>P116/P118</f>
        <v>1.6564930452034172</v>
      </c>
      <c r="Q119" s="37">
        <f>Q116/Q118</f>
        <v>1.6523335658943195</v>
      </c>
      <c r="R119" s="37">
        <f ref="R119:U119" si="97" t="shared">R116/R118</f>
        <v>1.6839784135264642</v>
      </c>
      <c r="S119" s="37">
        <f si="97" t="shared"/>
        <v>1.8272759204128226</v>
      </c>
      <c r="T119" s="37">
        <f si="97" t="shared"/>
        <v>1.5753498127480885</v>
      </c>
      <c r="U119" s="37">
        <f si="97" t="shared"/>
        <v>1.6070571687616668</v>
      </c>
      <c r="V119" s="37"/>
      <c r="Y119" s="25" t="s">
        <v>89</v>
      </c>
      <c r="Z119" s="38">
        <f si="91" t="shared"/>
        <v>6.3435319251816669E-3</v>
      </c>
      <c r="AA119" s="38">
        <f si="91" t="shared"/>
        <v>0.29508539298300773</v>
      </c>
      <c r="AB119" s="38">
        <f si="91" t="shared"/>
        <v>-6.8886451460568487E-2</v>
      </c>
      <c r="AC119" s="38">
        <f si="92" t="shared"/>
        <v>-0.16150628241928633</v>
      </c>
      <c r="AD119" s="38">
        <f si="93" t="shared"/>
        <v>-7.8863984488492411E-2</v>
      </c>
      <c r="AE119" s="38">
        <f si="94" t="shared"/>
        <v>-0.10891994883801637</v>
      </c>
      <c r="AF119" s="38">
        <f si="94" t="shared"/>
        <v>-2.188903215175797E-2</v>
      </c>
      <c r="AG119" s="38">
        <f si="95" t="shared"/>
        <v>-3.8160078839284184E-2</v>
      </c>
      <c r="AH119" s="103"/>
    </row>
    <row r="120" spans="1:34" x14ac:dyDescent="0.2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4" x14ac:dyDescent="0.2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4" x14ac:dyDescent="0.2">
      <c r="A122" s="2" t="s">
        <v>304</v>
      </c>
      <c r="E122"/>
      <c r="F122"/>
      <c r="G122" s="99"/>
      <c r="H122" s="99"/>
      <c r="I122" s="99"/>
      <c r="J122" s="99"/>
      <c r="L122"/>
      <c r="M122" s="2" t="s">
        <v>305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ht="13.5" r="123" spans="1:34" thickBot="1" x14ac:dyDescent="0.25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4" x14ac:dyDescent="0.2">
      <c r="A124" s="5" t="s">
        <v>159</v>
      </c>
      <c r="B124" s="6" t="str">
        <f>B107</f>
        <v>Bellevue</v>
      </c>
      <c r="C124" s="6" t="str">
        <f ref="C124:H124" si="98" t="shared">C107</f>
        <v>Bellevue Downtown</v>
      </c>
      <c r="D124" s="6" t="str">
        <f si="98" t="shared"/>
        <v>Kirkland</v>
      </c>
      <c r="E124" s="6" t="str">
        <f si="98" t="shared"/>
        <v>Redmond</v>
      </c>
      <c r="F124" s="6" t="str">
        <f si="98" t="shared"/>
        <v>Seattle</v>
      </c>
      <c r="G124" s="6" t="str">
        <f si="98" t="shared"/>
        <v>Seattle Downtown</v>
      </c>
      <c r="H124" s="6" t="str">
        <f si="98" t="shared"/>
        <v>Rest</v>
      </c>
      <c r="I124" s="6" t="s">
        <v>221</v>
      </c>
      <c r="J124" s="89"/>
      <c r="L124"/>
      <c r="M124" s="5" t="s">
        <v>159</v>
      </c>
      <c r="N124" s="6" t="str">
        <f>B107</f>
        <v>Bellevue</v>
      </c>
      <c r="O124" s="6" t="str">
        <f ref="O124:T124" si="99" t="shared">C107</f>
        <v>Bellevue Downtown</v>
      </c>
      <c r="P124" s="6" t="str">
        <f si="99" t="shared"/>
        <v>Kirkland</v>
      </c>
      <c r="Q124" s="6" t="str">
        <f si="99" t="shared"/>
        <v>Redmond</v>
      </c>
      <c r="R124" s="6" t="str">
        <f si="99" t="shared"/>
        <v>Seattle</v>
      </c>
      <c r="S124" s="6" t="str">
        <f si="99" t="shared"/>
        <v>Seattle Downtown</v>
      </c>
      <c r="T124" s="6" t="str">
        <f si="99" t="shared"/>
        <v>Rest</v>
      </c>
      <c r="U124" s="6" t="s">
        <v>221</v>
      </c>
      <c r="V124" s="101"/>
      <c r="Y124" s="5" t="s">
        <v>159</v>
      </c>
      <c r="Z124" s="6" t="str">
        <f>B107</f>
        <v>Bellevue</v>
      </c>
      <c r="AA124" s="6" t="str">
        <f ref="AA124:AF124" si="100" t="shared">C107</f>
        <v>Bellevue Downtown</v>
      </c>
      <c r="AB124" s="6" t="str">
        <f si="100" t="shared"/>
        <v>Kirkland</v>
      </c>
      <c r="AC124" s="6" t="str">
        <f si="100" t="shared"/>
        <v>Redmond</v>
      </c>
      <c r="AD124" s="6" t="str">
        <f si="100" t="shared"/>
        <v>Seattle</v>
      </c>
      <c r="AE124" s="6" t="str">
        <f si="100" t="shared"/>
        <v>Seattle Downtown</v>
      </c>
      <c r="AF124" s="6" t="str">
        <f si="100" t="shared"/>
        <v>Rest</v>
      </c>
      <c r="AG124" s="6" t="s">
        <v>221</v>
      </c>
      <c r="AH124" s="89"/>
    </row>
    <row r="125" spans="1:34" x14ac:dyDescent="0.2">
      <c r="A125" s="3" t="s">
        <v>210</v>
      </c>
      <c r="B125" s="12">
        <f ref="B125:E130" si="101" t="shared">B108/B$116</f>
        <v>0.31236941563628057</v>
      </c>
      <c r="C125" s="12">
        <f si="101" t="shared"/>
        <v>0.45576114323192191</v>
      </c>
      <c r="D125" s="12">
        <f si="101" t="shared"/>
        <v>0.31242161869243934</v>
      </c>
      <c r="E125" s="12">
        <f si="101" t="shared"/>
        <v>0.22425979216146741</v>
      </c>
      <c r="F125" s="12">
        <f ref="F125:H125" si="102" t="shared">F108/F$116</f>
        <v>0.32679169183153861</v>
      </c>
      <c r="G125" s="12">
        <f si="102" t="shared"/>
        <v>0.38251149335105133</v>
      </c>
      <c r="H125" s="12">
        <f si="102" t="shared"/>
        <v>0.26808352573343019</v>
      </c>
      <c r="I125" s="12">
        <f ref="I125:I133" si="103" t="shared">I108/I$116</f>
        <v>0.28314522076340987</v>
      </c>
      <c r="J125" s="34"/>
      <c r="L125"/>
      <c r="M125" s="3" t="s">
        <v>210</v>
      </c>
      <c r="N125" s="42">
        <f ref="N125:Q133" si="104" t="shared">N108/N$116</f>
        <v>0.27912439967144526</v>
      </c>
      <c r="O125" s="42">
        <f si="104" t="shared"/>
        <v>0.32685553060401912</v>
      </c>
      <c r="P125" s="42">
        <f si="104" t="shared"/>
        <v>0.30014376467921811</v>
      </c>
      <c r="Q125" s="42">
        <f si="104" t="shared"/>
        <v>0.28882950353349035</v>
      </c>
      <c r="R125" s="42">
        <f ref="R125:T125" si="105" t="shared">R108/R$116</f>
        <v>0.32078718099116055</v>
      </c>
      <c r="S125" s="42">
        <f si="105" t="shared"/>
        <v>0.37272795978196455</v>
      </c>
      <c r="T125" s="42">
        <f si="105" t="shared"/>
        <v>0.26947726846497089</v>
      </c>
      <c r="U125" s="42">
        <f>U108/U$116</f>
        <v>0.28245649879772516</v>
      </c>
      <c r="V125" s="56"/>
      <c r="Y125" s="3" t="s">
        <v>210</v>
      </c>
      <c r="Z125" s="12">
        <f ref="Z125:Z133" si="106" t="shared">N125-B125</f>
        <v>-3.3245015964835312E-2</v>
      </c>
      <c r="AA125" s="12">
        <f ref="AA125:AA133" si="107" t="shared">O125-C125</f>
        <v>-0.12890561262790279</v>
      </c>
      <c r="AB125" s="12">
        <f ref="AB125:AB133" si="108" t="shared">P125-D125</f>
        <v>-1.2277854013221234E-2</v>
      </c>
      <c r="AC125" s="12">
        <f ref="AC125:AC133" si="109" t="shared">Q125-E125</f>
        <v>6.4569711372022942E-2</v>
      </c>
      <c r="AD125" s="12">
        <f ref="AD125:AD133" si="110" t="shared">R125-F125</f>
        <v>-6.0045108403780634E-3</v>
      </c>
      <c r="AE125" s="12">
        <f ref="AE125:AF133" si="111" t="shared">S125-G125</f>
        <v>-9.7835335690867886E-3</v>
      </c>
      <c r="AF125" s="12">
        <f si="111" t="shared"/>
        <v>1.3937427315406925E-3</v>
      </c>
      <c r="AG125" s="12">
        <f ref="AG125:AG133" si="112" t="shared">U125-I125</f>
        <v>-6.8872196568470212E-4</v>
      </c>
      <c r="AH125" s="34"/>
    </row>
    <row r="126" spans="1:34" x14ac:dyDescent="0.2">
      <c r="A126" s="3" t="s">
        <v>211</v>
      </c>
      <c r="B126" s="12">
        <f si="101" t="shared"/>
        <v>0.13679612563052132</v>
      </c>
      <c r="C126" s="12">
        <f si="101" t="shared"/>
        <v>5.9690561478872015E-2</v>
      </c>
      <c r="D126" s="12">
        <f si="101" t="shared"/>
        <v>0.1240872043615715</v>
      </c>
      <c r="E126" s="12">
        <f si="101" t="shared"/>
        <v>0.15735198665529063</v>
      </c>
      <c r="F126" s="12">
        <f ref="F126:H126" si="113" t="shared">F109/F$116</f>
        <v>0.11406271014698459</v>
      </c>
      <c r="G126" s="12">
        <f si="113" t="shared"/>
        <v>3.4847979699234817E-2</v>
      </c>
      <c r="H126" s="12">
        <f si="113" t="shared"/>
        <v>0.13824309082961742</v>
      </c>
      <c r="I126" s="12">
        <f si="103" t="shared"/>
        <v>0.13195125410155595</v>
      </c>
      <c r="J126" s="34"/>
      <c r="M126" s="3" t="s">
        <v>211</v>
      </c>
      <c r="N126" s="42">
        <f si="104" t="shared"/>
        <v>0.13693775680518516</v>
      </c>
      <c r="O126" s="42">
        <f si="104" t="shared"/>
        <v>6.1366384522370011E-2</v>
      </c>
      <c r="P126" s="42">
        <f si="104" t="shared"/>
        <v>0.12648958650434072</v>
      </c>
      <c r="Q126" s="42">
        <f si="104" t="shared"/>
        <v>0.13340037334992666</v>
      </c>
      <c r="R126" s="42">
        <f ref="R126:T126" si="114" t="shared">R109/R$116</f>
        <v>0.11725601935382754</v>
      </c>
      <c r="S126" s="42">
        <f si="114" t="shared"/>
        <v>5.5301306711865776E-2</v>
      </c>
      <c r="T126" s="42">
        <f si="114" t="shared"/>
        <v>0.12941858043924231</v>
      </c>
      <c r="U126" s="42">
        <f ref="U126:U133" si="115" t="shared">U109/U$116</f>
        <v>0.12619431657935409</v>
      </c>
      <c r="V126" s="56"/>
      <c r="Y126" s="3" t="s">
        <v>211</v>
      </c>
      <c r="Z126" s="12">
        <f si="106" t="shared"/>
        <v>1.4163117466384212E-4</v>
      </c>
      <c r="AA126" s="12">
        <f si="107" t="shared"/>
        <v>1.6758230434979968E-3</v>
      </c>
      <c r="AB126" s="12">
        <f si="108" t="shared"/>
        <v>2.4023821427692216E-3</v>
      </c>
      <c r="AC126" s="12">
        <f si="109" t="shared"/>
        <v>-2.3951613305363967E-2</v>
      </c>
      <c r="AD126" s="12">
        <f si="110" t="shared"/>
        <v>3.1933092068429508E-3</v>
      </c>
      <c r="AE126" s="12">
        <f si="111" t="shared"/>
        <v>2.0453327012630959E-2</v>
      </c>
      <c r="AF126" s="12">
        <f si="111" t="shared"/>
        <v>-8.824510390375101E-3</v>
      </c>
      <c r="AG126" s="12">
        <f si="112" t="shared"/>
        <v>-5.7569375222018548E-3</v>
      </c>
      <c r="AH126" s="34"/>
    </row>
    <row r="127" spans="1:34" x14ac:dyDescent="0.2">
      <c r="A127" s="3" t="s">
        <v>212</v>
      </c>
      <c r="B127" s="12">
        <f si="101" t="shared"/>
        <v>0.13461839266675102</v>
      </c>
      <c r="C127" s="12">
        <f si="101" t="shared"/>
        <v>3.4982430312573344E-2</v>
      </c>
      <c r="D127" s="12">
        <f si="101" t="shared"/>
        <v>0.14046076850026559</v>
      </c>
      <c r="E127" s="12">
        <f si="101" t="shared"/>
        <v>0.15391774749362577</v>
      </c>
      <c r="F127" s="12">
        <f ref="F127:H127" si="116" t="shared">F110/F$116</f>
        <v>8.2467190779427921E-2</v>
      </c>
      <c r="G127" s="12">
        <f si="116" t="shared"/>
        <v>2.4729485895888907E-2</v>
      </c>
      <c r="H127" s="12">
        <f si="116" t="shared"/>
        <v>0.10892925255077104</v>
      </c>
      <c r="I127" s="12">
        <f si="103" t="shared"/>
        <v>0.10633719512611074</v>
      </c>
      <c r="J127" s="34"/>
      <c r="M127" s="3" t="s">
        <v>212</v>
      </c>
      <c r="N127" s="42">
        <f si="104" t="shared"/>
        <v>0.10473900262395584</v>
      </c>
      <c r="O127" s="42">
        <f si="104" t="shared"/>
        <v>7.7661657165889325E-2</v>
      </c>
      <c r="P127" s="42">
        <f si="104" t="shared"/>
        <v>0.10062194333405179</v>
      </c>
      <c r="Q127" s="42">
        <f si="104" t="shared"/>
        <v>0.10633111471620961</v>
      </c>
      <c r="R127" s="42">
        <f ref="R127:T127" si="117" t="shared">R110/R$116</f>
        <v>8.857342965904183E-2</v>
      </c>
      <c r="S127" s="42">
        <f si="117" t="shared"/>
        <v>5.5849212132845487E-2</v>
      </c>
      <c r="T127" s="42">
        <f si="117" t="shared"/>
        <v>0.11416627711451158</v>
      </c>
      <c r="U127" s="42">
        <f si="115" t="shared"/>
        <v>0.10747900285294409</v>
      </c>
      <c r="V127" s="56"/>
      <c r="Y127" s="3" t="s">
        <v>212</v>
      </c>
      <c r="Z127" s="12">
        <f si="106" t="shared"/>
        <v>-2.9879390042795176E-2</v>
      </c>
      <c r="AA127" s="12">
        <f si="107" t="shared"/>
        <v>4.2679226853315981E-2</v>
      </c>
      <c r="AB127" s="12">
        <f si="108" t="shared"/>
        <v>-3.9838825166213801E-2</v>
      </c>
      <c r="AC127" s="12">
        <f si="109" t="shared"/>
        <v>-4.7586632777416163E-2</v>
      </c>
      <c r="AD127" s="12">
        <f si="110" t="shared"/>
        <v>6.1062388796139094E-3</v>
      </c>
      <c r="AE127" s="12">
        <f si="111" t="shared"/>
        <v>3.111972623695658E-2</v>
      </c>
      <c r="AF127" s="12">
        <f si="111" t="shared"/>
        <v>5.2370245637405333E-3</v>
      </c>
      <c r="AG127" s="12">
        <f si="112" t="shared"/>
        <v>1.1418077268333521E-3</v>
      </c>
      <c r="AH127" s="34"/>
    </row>
    <row r="128" spans="1:34" x14ac:dyDescent="0.2">
      <c r="A128" s="3" t="s">
        <v>213</v>
      </c>
      <c r="B128" s="12">
        <f si="101" t="shared"/>
        <v>9.853951436841335E-2</v>
      </c>
      <c r="C128" s="12">
        <f si="101" t="shared"/>
        <v>3.6728855689428748E-2</v>
      </c>
      <c r="D128" s="12">
        <f si="101" t="shared"/>
        <v>0.13382335503343451</v>
      </c>
      <c r="E128" s="12">
        <f si="101" t="shared"/>
        <v>0.10934229183154739</v>
      </c>
      <c r="F128" s="12">
        <f ref="F128:H128" si="118" t="shared">F111/F$116</f>
        <v>9.8150229501274694E-2</v>
      </c>
      <c r="G128" s="12">
        <f si="118" t="shared"/>
        <v>0.10121802799799236</v>
      </c>
      <c r="H128" s="12">
        <f si="118" t="shared"/>
        <v>0.12440052177150122</v>
      </c>
      <c r="I128" s="12">
        <f si="103" t="shared"/>
        <v>0.1177029517206753</v>
      </c>
      <c r="J128" s="34"/>
      <c r="M128" s="3" t="s">
        <v>213</v>
      </c>
      <c r="N128" s="42">
        <f si="104" t="shared"/>
        <v>0.10823890957242088</v>
      </c>
      <c r="O128" s="42">
        <f si="104" t="shared"/>
        <v>0.11457073760580411</v>
      </c>
      <c r="P128" s="42">
        <f si="104" t="shared"/>
        <v>0.10943558475783317</v>
      </c>
      <c r="Q128" s="42">
        <f si="104" t="shared"/>
        <v>0.10835481576958976</v>
      </c>
      <c r="R128" s="42">
        <f ref="R128:T128" si="119" t="shared">R111/R$116</f>
        <v>0.10737147939242606</v>
      </c>
      <c r="S128" s="42">
        <f si="119" t="shared"/>
        <v>0.11265140349267402</v>
      </c>
      <c r="T128" s="42">
        <f si="119" t="shared"/>
        <v>0.12133225844669625</v>
      </c>
      <c r="U128" s="42">
        <f si="115" t="shared"/>
        <v>0.11733963874004701</v>
      </c>
      <c r="V128" s="56"/>
      <c r="Y128" s="3" t="s">
        <v>213</v>
      </c>
      <c r="Z128" s="12">
        <f si="106" t="shared"/>
        <v>9.6993952040075326E-3</v>
      </c>
      <c r="AA128" s="12">
        <f si="107" t="shared"/>
        <v>7.7841881916375366E-2</v>
      </c>
      <c r="AB128" s="12">
        <f si="108" t="shared"/>
        <v>-2.4387770275601336E-2</v>
      </c>
      <c r="AC128" s="12">
        <f si="109" t="shared"/>
        <v>-9.8747606195763449E-4</v>
      </c>
      <c r="AD128" s="12">
        <f si="110" t="shared"/>
        <v>9.2212498911513618E-3</v>
      </c>
      <c r="AE128" s="12">
        <f si="111" t="shared"/>
        <v>1.1433375494681666E-2</v>
      </c>
      <c r="AF128" s="12">
        <f si="111" t="shared"/>
        <v>-3.0682633248049762E-3</v>
      </c>
      <c r="AG128" s="12">
        <f si="112" t="shared"/>
        <v>-3.6331298062829143E-4</v>
      </c>
      <c r="AH128" s="34"/>
    </row>
    <row r="129" spans="1:34" x14ac:dyDescent="0.2">
      <c r="A129" s="3" t="s">
        <v>214</v>
      </c>
      <c r="B129" s="12">
        <f si="101" t="shared"/>
        <v>7.1016303239324258E-2</v>
      </c>
      <c r="C129" s="12">
        <f si="101" t="shared"/>
        <v>0.12151021962866619</v>
      </c>
      <c r="D129" s="12">
        <f si="101" t="shared"/>
        <v>9.2239487952470098E-2</v>
      </c>
      <c r="E129" s="12">
        <f si="101" t="shared"/>
        <v>8.769177408114745E-2</v>
      </c>
      <c r="F129" s="12">
        <f ref="F129:H129" si="120" t="shared">F112/F$116</f>
        <v>9.363259992429955E-2</v>
      </c>
      <c r="G129" s="12">
        <f si="120" t="shared"/>
        <v>0.12126656584504067</v>
      </c>
      <c r="H129" s="12">
        <f si="120" t="shared"/>
        <v>0.12617949212405596</v>
      </c>
      <c r="I129" s="12">
        <f si="103" t="shared"/>
        <v>0.11512887008169329</v>
      </c>
      <c r="J129" s="34"/>
      <c r="M129" s="3" t="s">
        <v>214</v>
      </c>
      <c r="N129" s="42">
        <f si="104" t="shared"/>
        <v>9.3255176539710591E-2</v>
      </c>
      <c r="O129" s="42">
        <f si="104" t="shared"/>
        <v>0.10797777393907987</v>
      </c>
      <c r="P129" s="42">
        <f si="104" t="shared"/>
        <v>9.2859317262205004E-2</v>
      </c>
      <c r="Q129" s="42">
        <f si="104" t="shared"/>
        <v>9.2217987466109611E-2</v>
      </c>
      <c r="R129" s="42">
        <f ref="R129:T129" si="121" t="shared">R112/R$116</f>
        <v>9.5960711015478373E-2</v>
      </c>
      <c r="S129" s="42">
        <f si="121" t="shared"/>
        <v>0.10886752268057563</v>
      </c>
      <c r="T129" s="42">
        <f si="121" t="shared"/>
        <v>0.12428306148640433</v>
      </c>
      <c r="U129" s="42">
        <f si="115" t="shared"/>
        <v>0.11557741809642565</v>
      </c>
      <c r="V129" s="56"/>
      <c r="Y129" s="3" t="s">
        <v>214</v>
      </c>
      <c r="Z129" s="12">
        <f si="106" t="shared"/>
        <v>2.2238873300386333E-2</v>
      </c>
      <c r="AA129" s="12">
        <f si="107" t="shared"/>
        <v>-1.3532445689586323E-2</v>
      </c>
      <c r="AB129" s="12">
        <f si="108" t="shared"/>
        <v>6.1982930973490669E-4</v>
      </c>
      <c r="AC129" s="12">
        <f si="109" t="shared"/>
        <v>4.5262133849621605E-3</v>
      </c>
      <c r="AD129" s="12">
        <f si="110" t="shared"/>
        <v>2.3281110911788222E-3</v>
      </c>
      <c r="AE129" s="12">
        <f si="111" t="shared"/>
        <v>-1.2399043164465037E-2</v>
      </c>
      <c r="AF129" s="12">
        <f si="111" t="shared"/>
        <v>-1.8964306376516304E-3</v>
      </c>
      <c r="AG129" s="12">
        <f si="112" t="shared"/>
        <v>4.4854801473236117E-4</v>
      </c>
      <c r="AH129" s="34"/>
    </row>
    <row r="130" spans="1:34" x14ac:dyDescent="0.2">
      <c r="A130" s="3" t="s">
        <v>129</v>
      </c>
      <c r="B130" s="12">
        <f si="101" t="shared"/>
        <v>4.718868267103133E-2</v>
      </c>
      <c r="C130" s="12">
        <f si="101" t="shared"/>
        <v>3.6903271334774349E-2</v>
      </c>
      <c r="D130" s="12">
        <f si="101" t="shared"/>
        <v>1.8891121651348208E-2</v>
      </c>
      <c r="E130" s="12">
        <f si="101" t="shared"/>
        <v>5.3186292233675866E-2</v>
      </c>
      <c r="F130" s="12">
        <f ref="F130:H130" si="122" t="shared">F113/F$116</f>
        <v>4.5711307709462808E-2</v>
      </c>
      <c r="G130" s="12">
        <f si="122" t="shared"/>
        <v>6.2264005260972158E-2</v>
      </c>
      <c r="H130" s="12">
        <f si="122" t="shared"/>
        <v>3.3378569742709696E-2</v>
      </c>
      <c r="I130" s="12">
        <f si="103" t="shared"/>
        <v>3.6918343545059761E-2</v>
      </c>
      <c r="J130" s="34"/>
      <c r="M130" s="3" t="s">
        <v>129</v>
      </c>
      <c r="N130" s="42">
        <f si="104" t="shared"/>
        <v>4.469591635300342E-2</v>
      </c>
      <c r="O130" s="42">
        <f si="104" t="shared"/>
        <v>5.7969136868774113E-2</v>
      </c>
      <c r="P130" s="42">
        <f si="104" t="shared"/>
        <v>4.2177268293333271E-2</v>
      </c>
      <c r="Q130" s="42">
        <f si="104" t="shared"/>
        <v>4.0980988043913064E-2</v>
      </c>
      <c r="R130" s="42">
        <f ref="R130:T130" si="123" t="shared">R113/R$116</f>
        <v>4.3818492906378993E-2</v>
      </c>
      <c r="S130" s="42">
        <f si="123" t="shared"/>
        <v>5.568868829623614E-2</v>
      </c>
      <c r="T130" s="42">
        <f si="123" t="shared"/>
        <v>3.5746734863198071E-2</v>
      </c>
      <c r="U130" s="42">
        <f si="115" t="shared"/>
        <v>3.8330989752619851E-2</v>
      </c>
      <c r="V130" s="56"/>
      <c r="Y130" s="3" t="s">
        <v>129</v>
      </c>
      <c r="Z130" s="12">
        <f si="106" t="shared"/>
        <v>-2.49276631802791E-3</v>
      </c>
      <c r="AA130" s="12">
        <f si="107" t="shared"/>
        <v>2.1065865533999764E-2</v>
      </c>
      <c r="AB130" s="12">
        <f si="108" t="shared"/>
        <v>2.3286146641985063E-2</v>
      </c>
      <c r="AC130" s="12">
        <f si="109" t="shared"/>
        <v>-1.2205304189762803E-2</v>
      </c>
      <c r="AD130" s="12">
        <f si="110" t="shared"/>
        <v>-1.8928148030838143E-3</v>
      </c>
      <c r="AE130" s="12">
        <f si="111" t="shared"/>
        <v>-6.575316964736018E-3</v>
      </c>
      <c r="AF130" s="12">
        <f si="111" t="shared"/>
        <v>2.3681651204883747E-3</v>
      </c>
      <c r="AG130" s="12">
        <f si="112" t="shared"/>
        <v>1.4126462075600907E-3</v>
      </c>
      <c r="AH130" s="34"/>
    </row>
    <row r="131" spans="1:34" x14ac:dyDescent="0.2">
      <c r="A131" s="25" t="s">
        <v>130</v>
      </c>
      <c r="B131" s="34">
        <f ref="B131:E132" si="124" t="shared">B114/B$116</f>
        <v>0.17926023450118375</v>
      </c>
      <c r="C131" s="34">
        <f si="124" t="shared"/>
        <v>0.19302910808953225</v>
      </c>
      <c r="D131" s="34">
        <f si="124" t="shared"/>
        <v>0.14282123351187287</v>
      </c>
      <c r="E131" s="34">
        <f si="124" t="shared"/>
        <v>0.17669320447022141</v>
      </c>
      <c r="F131" s="34">
        <f ref="F131:H131" si="125" t="shared">F114/F$116</f>
        <v>0.19503317047050231</v>
      </c>
      <c r="G131" s="34">
        <f si="125" t="shared"/>
        <v>0.19206955320198899</v>
      </c>
      <c r="H131" s="12">
        <f si="125" t="shared"/>
        <v>0.17586486161772211</v>
      </c>
      <c r="I131" s="34">
        <f si="103" t="shared"/>
        <v>0.17865167007318555</v>
      </c>
      <c r="J131" s="34"/>
      <c r="M131" s="25" t="s">
        <v>130</v>
      </c>
      <c r="N131" s="56">
        <f si="104" t="shared"/>
        <v>0.19804776905291077</v>
      </c>
      <c r="O131" s="56">
        <f si="104" t="shared"/>
        <v>0.20700178499452987</v>
      </c>
      <c r="P131" s="56">
        <f si="104" t="shared"/>
        <v>0.19163698418588529</v>
      </c>
      <c r="Q131" s="56">
        <f si="104" t="shared"/>
        <v>0.19585592693008577</v>
      </c>
      <c r="R131" s="56">
        <f ref="R131:T131" si="126" t="shared">R114/R$116</f>
        <v>0.18515136859072448</v>
      </c>
      <c r="S131" s="56">
        <f si="126" t="shared"/>
        <v>0.18671928406279972</v>
      </c>
      <c r="T131" s="42">
        <f si="126" t="shared"/>
        <v>0.1778081733785363</v>
      </c>
      <c r="U131" s="56">
        <f si="115" t="shared"/>
        <v>0.18124344825325162</v>
      </c>
      <c r="V131" s="56"/>
      <c r="Y131" s="25" t="s">
        <v>130</v>
      </c>
      <c r="Z131" s="12">
        <f si="106" t="shared"/>
        <v>1.878753455172702E-2</v>
      </c>
      <c r="AA131" s="12">
        <f si="107" t="shared"/>
        <v>1.3972676904997622E-2</v>
      </c>
      <c r="AB131" s="12">
        <f si="108" t="shared"/>
        <v>4.881575067401242E-2</v>
      </c>
      <c r="AC131" s="12">
        <f si="109" t="shared"/>
        <v>1.9162722459864362E-2</v>
      </c>
      <c r="AD131" s="12">
        <f si="110" t="shared"/>
        <v>-9.8818018797778295E-3</v>
      </c>
      <c r="AE131" s="12">
        <f si="111" t="shared"/>
        <v>-5.3502691391892621E-3</v>
      </c>
      <c r="AF131" s="12">
        <f si="111" t="shared"/>
        <v>1.9433117608141925E-3</v>
      </c>
      <c r="AG131" s="12">
        <f si="112" t="shared"/>
        <v>2.5917781800660622E-3</v>
      </c>
      <c r="AH131" s="34"/>
    </row>
    <row r="132" spans="1:34" x14ac:dyDescent="0.2">
      <c r="A132" s="25" t="s">
        <v>247</v>
      </c>
      <c r="B132" s="13">
        <f si="124" t="shared"/>
        <v>2.0211331286494508E-2</v>
      </c>
      <c r="C132" s="13">
        <f si="124" t="shared"/>
        <v>6.1394410234231311E-2</v>
      </c>
      <c r="D132" s="13">
        <f si="124" t="shared"/>
        <v>3.5255210296598109E-2</v>
      </c>
      <c r="E132" s="13">
        <f si="124" t="shared"/>
        <v>3.7556911073023967E-2</v>
      </c>
      <c r="F132" s="13">
        <f ref="F132:H132" si="127" t="shared">F115/F$116</f>
        <v>4.4151099636509587E-2</v>
      </c>
      <c r="G132" s="13">
        <f si="127" t="shared"/>
        <v>8.1092888747831007E-2</v>
      </c>
      <c r="H132" s="12">
        <f si="127" t="shared"/>
        <v>2.4920685630192257E-2</v>
      </c>
      <c r="I132" s="13">
        <f si="103" t="shared"/>
        <v>3.0164494588309467E-2</v>
      </c>
      <c r="J132" s="34"/>
      <c r="M132" s="25" t="s">
        <v>247</v>
      </c>
      <c r="N132" s="43">
        <f si="104" t="shared"/>
        <v>3.496106938136806E-2</v>
      </c>
      <c r="O132" s="43">
        <f si="104" t="shared"/>
        <v>4.6596994299533595E-2</v>
      </c>
      <c r="P132" s="43">
        <f si="104" t="shared"/>
        <v>3.6635550983132648E-2</v>
      </c>
      <c r="Q132" s="43">
        <f si="104" t="shared"/>
        <v>3.4029290190675139E-2</v>
      </c>
      <c r="R132" s="43">
        <f ref="R132:T132" si="128" t="shared">R115/R$116</f>
        <v>4.1081318090962243E-2</v>
      </c>
      <c r="S132" s="43">
        <f si="128" t="shared"/>
        <v>5.2194622841038686E-2</v>
      </c>
      <c r="T132" s="42">
        <f si="128" t="shared"/>
        <v>2.7767645806440439E-2</v>
      </c>
      <c r="U132" s="43">
        <f si="115" t="shared"/>
        <v>3.1378686927632592E-2</v>
      </c>
      <c r="V132" s="56"/>
      <c r="Y132" s="25" t="s">
        <v>247</v>
      </c>
      <c r="Z132" s="12">
        <f si="106" t="shared"/>
        <v>1.4749738094873552E-2</v>
      </c>
      <c r="AA132" s="12">
        <f si="107" t="shared"/>
        <v>-1.4797415934697716E-2</v>
      </c>
      <c r="AB132" s="12">
        <f si="108" t="shared"/>
        <v>1.3803406865345383E-3</v>
      </c>
      <c r="AC132" s="12">
        <f si="109" t="shared"/>
        <v>-3.5276208823488281E-3</v>
      </c>
      <c r="AD132" s="12">
        <f si="110" t="shared"/>
        <v>-3.069781545547344E-3</v>
      </c>
      <c r="AE132" s="12">
        <f si="111" t="shared"/>
        <v>-2.8898265906792321E-2</v>
      </c>
      <c r="AF132" s="12">
        <f si="111" t="shared"/>
        <v>2.8469601762481818E-3</v>
      </c>
      <c r="AG132" s="12">
        <f si="112" t="shared"/>
        <v>1.2141923393231245E-3</v>
      </c>
      <c r="AH132" s="34"/>
    </row>
    <row ht="13.5" r="133" spans="1:34" thickBot="1" x14ac:dyDescent="0.25">
      <c r="A133" s="10" t="s">
        <v>221</v>
      </c>
      <c r="B133" s="17">
        <f>B116/B$116</f>
        <v>1</v>
      </c>
      <c r="C133" s="17">
        <f>C116/C$116</f>
        <v>1</v>
      </c>
      <c r="D133" s="17">
        <f>D116/D$116</f>
        <v>1</v>
      </c>
      <c r="E133" s="17">
        <f>E116/E$116</f>
        <v>1</v>
      </c>
      <c r="F133" s="17">
        <f ref="F133:H133" si="129" t="shared">F116/F$116</f>
        <v>1</v>
      </c>
      <c r="G133" s="17">
        <f si="129" t="shared"/>
        <v>1</v>
      </c>
      <c r="H133" s="17">
        <f si="129" t="shared"/>
        <v>1</v>
      </c>
      <c r="I133" s="17">
        <f si="103" t="shared"/>
        <v>1</v>
      </c>
      <c r="J133" s="34"/>
      <c r="M133" s="10" t="s">
        <v>221</v>
      </c>
      <c r="N133" s="44">
        <f si="104" t="shared"/>
        <v>1</v>
      </c>
      <c r="O133" s="44">
        <f si="104" t="shared"/>
        <v>1</v>
      </c>
      <c r="P133" s="44">
        <f si="104" t="shared"/>
        <v>1</v>
      </c>
      <c r="Q133" s="44">
        <f si="104" t="shared"/>
        <v>1</v>
      </c>
      <c r="R133" s="44">
        <f ref="R133:T133" si="130" t="shared">R116/R$116</f>
        <v>1</v>
      </c>
      <c r="S133" s="44">
        <f si="130" t="shared"/>
        <v>1</v>
      </c>
      <c r="T133" s="44">
        <f si="130" t="shared"/>
        <v>1</v>
      </c>
      <c r="U133" s="44">
        <f si="115" t="shared"/>
        <v>1</v>
      </c>
      <c r="V133" s="56"/>
      <c r="Y133" s="10" t="s">
        <v>221</v>
      </c>
      <c r="Z133" s="14">
        <f si="106" t="shared"/>
        <v>0</v>
      </c>
      <c r="AA133" s="14">
        <f si="107" t="shared"/>
        <v>0</v>
      </c>
      <c r="AB133" s="14">
        <f si="108" t="shared"/>
        <v>0</v>
      </c>
      <c r="AC133" s="14">
        <f si="109" t="shared"/>
        <v>0</v>
      </c>
      <c r="AD133" s="14">
        <f si="110" t="shared"/>
        <v>0</v>
      </c>
      <c r="AE133" s="14">
        <f si="111" t="shared"/>
        <v>0</v>
      </c>
      <c r="AF133" s="14">
        <f si="111" t="shared"/>
        <v>0</v>
      </c>
      <c r="AG133" s="14">
        <f si="112" t="shared"/>
        <v>0</v>
      </c>
      <c r="AH133" s="34"/>
    </row>
    <row r="134" spans="1:34" x14ac:dyDescent="0.2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4" x14ac:dyDescent="0.2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4" x14ac:dyDescent="0.2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4" x14ac:dyDescent="0.2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4" x14ac:dyDescent="0.2">
      <c r="F138" s="25"/>
      <c r="G138" s="25"/>
      <c r="H138" s="25"/>
      <c r="I138" s="25"/>
      <c r="J138" s="25"/>
    </row>
  </sheetData>
  <phoneticPr fontId="6" type="noConversion"/>
  <conditionalFormatting sqref="Z23:AI31 Z91:AD99 Z57:AF65 Z125:AC133 AG125:AH133">
    <cfRule dxfId="17" operator="notBetween" priority="4" stopIfTrue="1" type="cellIs">
      <formula>-0.15</formula>
      <formula>0.15</formula>
    </cfRule>
    <cfRule dxfId="16" operator="notBetween" priority="5" stopIfTrue="1" type="cellIs">
      <formula>-0.1</formula>
      <formula>0.1</formula>
    </cfRule>
    <cfRule dxfId="15" operator="notBetween" priority="6" stopIfTrue="1" type="cellIs">
      <formula>-0.05</formula>
      <formula>0.05</formula>
    </cfRule>
  </conditionalFormatting>
  <conditionalFormatting sqref="AD125:AF133">
    <cfRule dxfId="14" operator="notBetween" priority="1" stopIfTrue="1" type="cellIs">
      <formula>-0.15</formula>
      <formula>0.15</formula>
    </cfRule>
    <cfRule dxfId="13" operator="notBetween" priority="2" stopIfTrue="1" type="cellIs">
      <formula>-0.1</formula>
      <formula>0.1</formula>
    </cfRule>
    <cfRule dxfId="12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AO135"/>
  <sheetViews>
    <sheetView topLeftCell="H1" workbookViewId="0">
      <selection activeCell="AC8" sqref="AC8"/>
    </sheetView>
  </sheetViews>
  <sheetFormatPr defaultColWidth="10.75" defaultRowHeight="12.75" x14ac:dyDescent="0.2"/>
  <cols>
    <col min="1" max="13" style="3" width="10.75" collapsed="true"/>
    <col min="14" max="14" bestFit="true" customWidth="true" style="3" width="11.75" collapsed="true"/>
    <col min="15" max="15" bestFit="true" customWidth="true" style="3" width="12.125" collapsed="true"/>
    <col min="16" max="16" bestFit="true" customWidth="true" style="3" width="11.75" collapsed="true"/>
    <col min="17" max="35" style="3" width="10.75" collapsed="true"/>
    <col min="36" max="36" customWidth="true" style="3" width="3.875" collapsed="true"/>
    <col min="37" max="16384" style="3" width="10.75" collapsed="true"/>
  </cols>
  <sheetData>
    <row r="1" spans="1:38" x14ac:dyDescent="0.2">
      <c r="A1" s="2" t="s">
        <v>175</v>
      </c>
      <c r="L1"/>
      <c r="M1" s="2" t="s">
        <v>175</v>
      </c>
      <c r="X1"/>
      <c r="Y1" s="2" t="s">
        <v>175</v>
      </c>
    </row>
    <row r="2" spans="1:38" x14ac:dyDescent="0.2">
      <c r="A2" s="2" t="s">
        <v>180</v>
      </c>
      <c r="L2"/>
      <c r="M2" s="2" t="s">
        <v>109</v>
      </c>
      <c r="X2"/>
      <c r="Y2" s="2" t="s">
        <v>198</v>
      </c>
    </row>
    <row ht="13.5" r="3" spans="1:38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</row>
    <row r="5" spans="1:38" x14ac:dyDescent="0.2">
      <c r="A5" s="3" t="s">
        <v>210</v>
      </c>
      <c r="B5" s="7">
        <f>output_NHTS!B222</f>
        <v>250075.8413</v>
      </c>
      <c r="C5" s="7">
        <f>output_NHTS!C222</f>
        <v>26046.423600000002</v>
      </c>
      <c r="D5" s="7">
        <f>output_NHTS!D222</f>
        <v>3695.3521000000001</v>
      </c>
      <c r="E5" s="7">
        <f>output_NHTS!E222</f>
        <v>9623.4645999999993</v>
      </c>
      <c r="F5" s="7">
        <f>output_NHTS!F222</f>
        <v>26115.8714</v>
      </c>
      <c r="G5" s="7">
        <f>output_NHTS!G222</f>
        <v>1120.2595999999999</v>
      </c>
      <c r="H5" s="7"/>
      <c r="I5" s="7">
        <f>output_NHTS!H222</f>
        <v>309.71820000000002</v>
      </c>
      <c r="J5" s="7">
        <f>output_NHTS!I222</f>
        <v>191.50479999999999</v>
      </c>
      <c r="K5" s="7">
        <f>output_NHTS!J222</f>
        <v>317178.43560000003</v>
      </c>
      <c r="L5"/>
      <c r="M5" s="3" t="s">
        <v>210</v>
      </c>
      <c r="N5" s="7">
        <f>output!B222</f>
        <v>224006.04393101318</v>
      </c>
      <c r="O5" s="7">
        <f>output!C222</f>
        <v>30658.038502171625</v>
      </c>
      <c r="P5" s="7">
        <f>output!D222</f>
        <v>0</v>
      </c>
      <c r="Q5" s="7">
        <f>output!E222</f>
        <v>0</v>
      </c>
      <c r="R5" s="7">
        <f>output!F222</f>
        <v>9912.7302914089887</v>
      </c>
      <c r="S5" s="7">
        <f>output!G222</f>
        <v>268.29919063410648</v>
      </c>
      <c r="T5" s="7"/>
      <c r="U5" s="7">
        <f>output!H222</f>
        <v>0</v>
      </c>
      <c r="V5" s="7">
        <f>output!I222</f>
        <v>0</v>
      </c>
      <c r="W5" s="7">
        <f>output!J222</f>
        <v>264845.1119152279</v>
      </c>
      <c r="X5"/>
      <c r="Y5" s="3" t="s">
        <v>210</v>
      </c>
      <c r="Z5" s="7">
        <f ref="Z5:AE12" si="0" t="shared">N5-B5</f>
        <v>-26069.797368986823</v>
      </c>
      <c r="AA5" s="7">
        <f si="0" t="shared"/>
        <v>4611.6149021716228</v>
      </c>
      <c r="AB5" s="7">
        <f si="0" t="shared"/>
        <v>-3695.3521000000001</v>
      </c>
      <c r="AC5" s="7">
        <f si="0" t="shared"/>
        <v>-9623.4645999999993</v>
      </c>
      <c r="AD5" s="7">
        <f si="0" t="shared"/>
        <v>-16203.141108591011</v>
      </c>
      <c r="AE5" s="7">
        <f si="0" t="shared"/>
        <v>-851.96040936589338</v>
      </c>
      <c r="AF5" s="7"/>
      <c r="AG5" s="7">
        <f ref="AG5:AG12" si="1" t="shared">U5-I5</f>
        <v>-309.71820000000002</v>
      </c>
      <c r="AH5" s="7">
        <f ref="AH5:AH12" si="2" t="shared">V5-J5</f>
        <v>-191.50479999999999</v>
      </c>
      <c r="AI5" s="7">
        <f ref="AI5:AI12" si="3" t="shared">W5-K5</f>
        <v>-52333.323684772127</v>
      </c>
      <c r="AK5" s="3">
        <v>318360</v>
      </c>
      <c r="AL5" s="7">
        <f>W5-AK5</f>
        <v>-53514.888084772101</v>
      </c>
    </row>
    <row r="6" spans="1:38" x14ac:dyDescent="0.2">
      <c r="A6" s="3" t="s">
        <v>211</v>
      </c>
      <c r="B6" s="7">
        <f>output_NHTS!B223</f>
        <v>4523.5419000000002</v>
      </c>
      <c r="C6" s="7">
        <f>output_NHTS!C223</f>
        <v>6911.4877999999999</v>
      </c>
      <c r="D6" s="7">
        <f>output_NHTS!D223</f>
        <v>0</v>
      </c>
      <c r="E6" s="7">
        <f>output_NHTS!E223</f>
        <v>3468.9843000000001</v>
      </c>
      <c r="F6" s="7">
        <f>output_NHTS!F223</f>
        <v>12918.3516</v>
      </c>
      <c r="G6" s="7">
        <f>output_NHTS!G223</f>
        <v>2645.8099000000002</v>
      </c>
      <c r="H6" s="7"/>
      <c r="I6" s="7">
        <f>output_NHTS!H223</f>
        <v>20731.526399999999</v>
      </c>
      <c r="J6" s="7">
        <f>output_NHTS!I223</f>
        <v>0</v>
      </c>
      <c r="K6" s="7">
        <f>output_NHTS!J223</f>
        <v>51199.7019</v>
      </c>
      <c r="L6"/>
      <c r="M6" s="3" t="s">
        <v>211</v>
      </c>
      <c r="N6" s="7">
        <f>output!B223</f>
        <v>1656.0967409837308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23285.903477935168</v>
      </c>
      <c r="S6" s="7">
        <f>output!G223</f>
        <v>15873.948272992433</v>
      </c>
      <c r="T6" s="7"/>
      <c r="U6" s="7">
        <f>output!H223</f>
        <v>57489.550899930371</v>
      </c>
      <c r="V6" s="7">
        <f>output!I223</f>
        <v>5800.9532285861997</v>
      </c>
      <c r="W6" s="7">
        <f>output!J223</f>
        <v>104106.4526204279</v>
      </c>
      <c r="X6"/>
      <c r="Y6" s="3" t="s">
        <v>211</v>
      </c>
      <c r="Z6" s="7">
        <f si="0" t="shared"/>
        <v>-2867.4451590162694</v>
      </c>
      <c r="AA6" s="7">
        <f si="0" t="shared"/>
        <v>-6911.4877999999999</v>
      </c>
      <c r="AB6" s="7">
        <f si="0" t="shared"/>
        <v>0</v>
      </c>
      <c r="AC6" s="7">
        <f si="0" t="shared"/>
        <v>-3468.9843000000001</v>
      </c>
      <c r="AD6" s="7">
        <f si="0" t="shared"/>
        <v>10367.551877935168</v>
      </c>
      <c r="AE6" s="7">
        <f si="0" t="shared"/>
        <v>13228.138372992433</v>
      </c>
      <c r="AF6" s="7"/>
      <c r="AG6" s="7">
        <f si="1" t="shared"/>
        <v>36758.024499930369</v>
      </c>
      <c r="AH6" s="7">
        <f si="2" t="shared"/>
        <v>5800.9532285861997</v>
      </c>
      <c r="AI6" s="7">
        <f si="3" t="shared"/>
        <v>52906.750720427895</v>
      </c>
      <c r="AK6" s="3">
        <v>19520</v>
      </c>
      <c r="AL6" s="7">
        <f ref="AL6:AL12" si="4" t="shared">W6-AK6</f>
        <v>84586.452620427895</v>
      </c>
    </row>
    <row r="7" spans="1:38" x14ac:dyDescent="0.2">
      <c r="A7" s="3" t="s">
        <v>212</v>
      </c>
      <c r="B7" s="7">
        <f>output_NHTS!B224</f>
        <v>258953.26190000001</v>
      </c>
      <c r="C7" s="7">
        <f>output_NHTS!C224</f>
        <v>50365.078000000001</v>
      </c>
      <c r="D7" s="7">
        <f>output_NHTS!D224</f>
        <v>14575.7464</v>
      </c>
      <c r="E7" s="7">
        <f>output_NHTS!E224</f>
        <v>56325.4948</v>
      </c>
      <c r="F7" s="7">
        <f>output_NHTS!F224</f>
        <v>12863.8066</v>
      </c>
      <c r="G7" s="7">
        <f>output_NHTS!G224</f>
        <v>2984.3738000000003</v>
      </c>
      <c r="H7" s="7"/>
      <c r="I7" s="7">
        <f>output_NHTS!H224</f>
        <v>49023.294200000004</v>
      </c>
      <c r="J7" s="7">
        <f>output_NHTS!I224</f>
        <v>34883.820899999999</v>
      </c>
      <c r="K7" s="7">
        <f>output_NHTS!J224</f>
        <v>479974.87660000002</v>
      </c>
      <c r="L7"/>
      <c r="M7" s="3" t="s">
        <v>212</v>
      </c>
      <c r="N7" s="7">
        <f>output!B224</f>
        <v>333859.00305129855</v>
      </c>
      <c r="O7" s="7">
        <f>output!C224</f>
        <v>39548.961376035753</v>
      </c>
      <c r="P7" s="7">
        <f>output!D224</f>
        <v>12880.098302461196</v>
      </c>
      <c r="Q7" s="7">
        <f>output!E224</f>
        <v>40370.606997673676</v>
      </c>
      <c r="R7" s="7">
        <f>output!F224</f>
        <v>23458.279684484027</v>
      </c>
      <c r="S7" s="7">
        <f>output!G224</f>
        <v>8680.5779522173398</v>
      </c>
      <c r="T7" s="7"/>
      <c r="U7" s="7">
        <f>output!H224</f>
        <v>24129.275920543358</v>
      </c>
      <c r="V7" s="7">
        <f>output!I224</f>
        <v>20278.00367614676</v>
      </c>
      <c r="W7" s="7">
        <f>output!J224</f>
        <v>503204.80696086062</v>
      </c>
      <c r="X7"/>
      <c r="Y7" s="3" t="s">
        <v>212</v>
      </c>
      <c r="Z7" s="7">
        <f si="0" t="shared"/>
        <v>74905.741151298542</v>
      </c>
      <c r="AA7" s="7">
        <f si="0" t="shared"/>
        <v>-10816.116623964248</v>
      </c>
      <c r="AB7" s="7">
        <f si="0" t="shared"/>
        <v>-1695.648097538804</v>
      </c>
      <c r="AC7" s="7">
        <f si="0" t="shared"/>
        <v>-15954.887802326324</v>
      </c>
      <c r="AD7" s="7">
        <f si="0" t="shared"/>
        <v>10594.473084484027</v>
      </c>
      <c r="AE7" s="7">
        <f si="0" t="shared"/>
        <v>5696.2041522173395</v>
      </c>
      <c r="AF7" s="7"/>
      <c r="AG7" s="7">
        <f si="1" t="shared"/>
        <v>-24894.018279456646</v>
      </c>
      <c r="AH7" s="7">
        <f si="2" t="shared"/>
        <v>-14605.817223853239</v>
      </c>
      <c r="AI7" s="7">
        <f si="3" t="shared"/>
        <v>23229.930360860599</v>
      </c>
      <c r="AK7" s="3">
        <v>946110</v>
      </c>
      <c r="AL7" s="7">
        <f si="4" t="shared"/>
        <v>-442905.19303913938</v>
      </c>
    </row>
    <row r="8" spans="1:38" x14ac:dyDescent="0.2">
      <c r="A8" s="3" t="s">
        <v>213</v>
      </c>
      <c r="B8" s="7">
        <f>output_NHTS!B225</f>
        <v>296124.28149999998</v>
      </c>
      <c r="C8" s="7">
        <f>output_NHTS!C225</f>
        <v>100810.35189999999</v>
      </c>
      <c r="D8" s="7">
        <f>output_NHTS!D225</f>
        <v>142343.75649999999</v>
      </c>
      <c r="E8" s="7">
        <f>output_NHTS!E225</f>
        <v>177472.20550000001</v>
      </c>
      <c r="F8" s="7">
        <f>output_NHTS!F225</f>
        <v>32635.4974</v>
      </c>
      <c r="G8" s="7">
        <f>output_NHTS!G225</f>
        <v>8743.7734999999993</v>
      </c>
      <c r="H8" s="7"/>
      <c r="I8" s="7">
        <f>output_NHTS!H225</f>
        <v>77077.590200000006</v>
      </c>
      <c r="J8" s="7">
        <f>output_NHTS!I225</f>
        <v>66528.124899999995</v>
      </c>
      <c r="K8" s="7">
        <f>output_NHTS!J225</f>
        <v>901735.58140000002</v>
      </c>
      <c r="L8"/>
      <c r="M8" s="3" t="s">
        <v>213</v>
      </c>
      <c r="N8" s="7">
        <f>output!B225</f>
        <v>467204.28442582185</v>
      </c>
      <c r="O8" s="7">
        <f>output!C225</f>
        <v>108635.88017766197</v>
      </c>
      <c r="P8" s="7">
        <f>output!D225</f>
        <v>145133.92827221073</v>
      </c>
      <c r="Q8" s="7">
        <f>output!E225</f>
        <v>196337.59774671655</v>
      </c>
      <c r="R8" s="7">
        <f>output!F225</f>
        <v>46841.812607850108</v>
      </c>
      <c r="S8" s="7">
        <f>output!G225</f>
        <v>12338.192748419699</v>
      </c>
      <c r="T8" s="7"/>
      <c r="U8" s="7">
        <f>output!H225</f>
        <v>87747.073715716338</v>
      </c>
      <c r="V8" s="7">
        <f>output!I225</f>
        <v>77494.867897025571</v>
      </c>
      <c r="W8" s="7">
        <f>output!J225</f>
        <v>1141733.6375914228</v>
      </c>
      <c r="X8"/>
      <c r="Y8" s="3" t="s">
        <v>213</v>
      </c>
      <c r="Z8" s="7">
        <f si="0" t="shared"/>
        <v>171080.00292582187</v>
      </c>
      <c r="AA8" s="7">
        <f si="0" t="shared"/>
        <v>7825.5282776619715</v>
      </c>
      <c r="AB8" s="7">
        <f si="0" t="shared"/>
        <v>2790.1717722107423</v>
      </c>
      <c r="AC8" s="7">
        <f si="0" t="shared"/>
        <v>18865.392246716539</v>
      </c>
      <c r="AD8" s="7">
        <f si="0" t="shared"/>
        <v>14206.315207850108</v>
      </c>
      <c r="AE8" s="7">
        <f si="0" t="shared"/>
        <v>3594.4192484196992</v>
      </c>
      <c r="AF8" s="7"/>
      <c r="AG8" s="7">
        <f si="1" t="shared"/>
        <v>10669.483515716332</v>
      </c>
      <c r="AH8" s="7">
        <f si="2" t="shared"/>
        <v>10966.742997025576</v>
      </c>
      <c r="AI8" s="7">
        <f si="3" t="shared"/>
        <v>239998.05619142274</v>
      </c>
      <c r="AK8" s="3">
        <v>895490</v>
      </c>
      <c r="AL8" s="7">
        <f si="4" t="shared"/>
        <v>246243.63759142277</v>
      </c>
    </row>
    <row r="9" spans="1:38" x14ac:dyDescent="0.2">
      <c r="A9" s="3" t="s">
        <v>214</v>
      </c>
      <c r="B9" s="7">
        <f>output_NHTS!B226</f>
        <v>390974.17910000001</v>
      </c>
      <c r="C9" s="7">
        <f>output_NHTS!C226</f>
        <v>135854.54620000001</v>
      </c>
      <c r="D9" s="7">
        <f>output_NHTS!D226</f>
        <v>163320.2421</v>
      </c>
      <c r="E9" s="7">
        <f>output_NHTS!E226</f>
        <v>209052.5955</v>
      </c>
      <c r="F9" s="7">
        <f>output_NHTS!F226</f>
        <v>41543.5645</v>
      </c>
      <c r="G9" s="7">
        <f>output_NHTS!G226</f>
        <v>4572.2660000000005</v>
      </c>
      <c r="H9" s="7"/>
      <c r="I9" s="7">
        <f>output_NHTS!H226</f>
        <v>59605.488100000002</v>
      </c>
      <c r="J9" s="7">
        <f>output_NHTS!I226</f>
        <v>69632.557400000005</v>
      </c>
      <c r="K9" s="7">
        <f>output_NHTS!J226</f>
        <v>1074555.4389</v>
      </c>
      <c r="L9"/>
      <c r="M9" s="3" t="s">
        <v>214</v>
      </c>
      <c r="N9" s="7">
        <f>output!B226</f>
        <v>744115.76120686845</v>
      </c>
      <c r="O9" s="7">
        <f>output!C226</f>
        <v>128730.80233617478</v>
      </c>
      <c r="P9" s="7">
        <f>output!D226</f>
        <v>177852.12055458489</v>
      </c>
      <c r="Q9" s="7">
        <f>output!E226</f>
        <v>296404.34405661636</v>
      </c>
      <c r="R9" s="7">
        <f>output!F226</f>
        <v>74250.646265134768</v>
      </c>
      <c r="S9" s="7">
        <f>output!G226</f>
        <v>6371.9560693137864</v>
      </c>
      <c r="T9" s="7"/>
      <c r="U9" s="7">
        <f>output!H226</f>
        <v>23534.461232789006</v>
      </c>
      <c r="V9" s="7">
        <f>output!I226</f>
        <v>84630.489031883524</v>
      </c>
      <c r="W9" s="7">
        <f>output!J226</f>
        <v>1535890.5807533653</v>
      </c>
      <c r="X9"/>
      <c r="Y9" s="3" t="s">
        <v>214</v>
      </c>
      <c r="Z9" s="7">
        <f si="0" t="shared"/>
        <v>353141.58210686845</v>
      </c>
      <c r="AA9" s="7">
        <f si="0" t="shared"/>
        <v>-7123.7438638252352</v>
      </c>
      <c r="AB9" s="7">
        <f si="0" t="shared"/>
        <v>14531.87845458489</v>
      </c>
      <c r="AC9" s="7">
        <f si="0" t="shared"/>
        <v>87351.748556616367</v>
      </c>
      <c r="AD9" s="7">
        <f si="0" t="shared"/>
        <v>32707.081765134768</v>
      </c>
      <c r="AE9" s="7">
        <f si="0" t="shared"/>
        <v>1799.6900693137859</v>
      </c>
      <c r="AF9" s="7"/>
      <c r="AG9" s="7">
        <f si="1" t="shared"/>
        <v>-36071.026867210996</v>
      </c>
      <c r="AH9" s="7">
        <f si="2" t="shared"/>
        <v>14997.931631883519</v>
      </c>
      <c r="AI9" s="7">
        <f si="3" t="shared"/>
        <v>461335.14185336535</v>
      </c>
      <c r="AK9" s="3">
        <v>935110</v>
      </c>
      <c r="AL9" s="7">
        <f si="4" t="shared"/>
        <v>600780.5807533653</v>
      </c>
    </row>
    <row r="10" spans="1:38" x14ac:dyDescent="0.2">
      <c r="A10" s="3" t="s">
        <v>129</v>
      </c>
      <c r="B10" s="7">
        <f>output_NHTS!B227</f>
        <v>235806.9326</v>
      </c>
      <c r="C10" s="7">
        <f>output_NHTS!C227</f>
        <v>49290.2304</v>
      </c>
      <c r="D10" s="7">
        <f>output_NHTS!D227</f>
        <v>46714.241900000001</v>
      </c>
      <c r="E10" s="7">
        <f>output_NHTS!E227</f>
        <v>76092.9326</v>
      </c>
      <c r="F10" s="7">
        <f>output_NHTS!F227</f>
        <v>20415.510299999998</v>
      </c>
      <c r="G10" s="7">
        <f>output_NHTS!G227</f>
        <v>5501.6325999999999</v>
      </c>
      <c r="H10" s="7"/>
      <c r="I10" s="7">
        <f>output_NHTS!H227</f>
        <v>23327.257399999999</v>
      </c>
      <c r="J10" s="7">
        <f>output_NHTS!I227</f>
        <v>20135.915499999999</v>
      </c>
      <c r="K10" s="7">
        <f>output_NHTS!J227</f>
        <v>477284.65330000006</v>
      </c>
      <c r="L10"/>
      <c r="M10" s="3" t="s">
        <v>129</v>
      </c>
      <c r="N10" s="7">
        <f>output!B227</f>
        <v>369765.52126612671</v>
      </c>
      <c r="O10" s="7">
        <f>output!C227</f>
        <v>51190.03382606143</v>
      </c>
      <c r="P10" s="7">
        <f>output!D227</f>
        <v>53154.192380509921</v>
      </c>
      <c r="Q10" s="7">
        <f>output!E227</f>
        <v>98633.841627441187</v>
      </c>
      <c r="R10" s="7">
        <f>output!F227</f>
        <v>48665.650428203546</v>
      </c>
      <c r="S10" s="7">
        <f>output!G227</f>
        <v>30394.673423912624</v>
      </c>
      <c r="T10" s="7"/>
      <c r="U10" s="7">
        <f>output!H227</f>
        <v>60397.635380322528</v>
      </c>
      <c r="V10" s="7">
        <f>output!I227</f>
        <v>23122.434698513567</v>
      </c>
      <c r="W10" s="7">
        <f>output!J227</f>
        <v>735323.98303109151</v>
      </c>
      <c r="X10"/>
      <c r="Y10" s="3" t="s">
        <v>129</v>
      </c>
      <c r="Z10" s="7">
        <f si="0" t="shared"/>
        <v>133958.58866612671</v>
      </c>
      <c r="AA10" s="7">
        <f si="0" t="shared"/>
        <v>1899.8034260614295</v>
      </c>
      <c r="AB10" s="7">
        <f si="0" t="shared"/>
        <v>6439.9504805099205</v>
      </c>
      <c r="AC10" s="7">
        <f si="0" t="shared"/>
        <v>22540.909027441186</v>
      </c>
      <c r="AD10" s="7">
        <f si="0" t="shared"/>
        <v>28250.140128203548</v>
      </c>
      <c r="AE10" s="7">
        <f si="0" t="shared"/>
        <v>24893.040823912623</v>
      </c>
      <c r="AF10" s="7"/>
      <c r="AG10" s="7">
        <f si="1" t="shared"/>
        <v>37070.377980322533</v>
      </c>
      <c r="AH10" s="7">
        <f si="2" t="shared"/>
        <v>2986.519198513568</v>
      </c>
      <c r="AI10" s="7">
        <f si="3" t="shared"/>
        <v>258039.32973109145</v>
      </c>
      <c r="AK10" s="3">
        <v>426400</v>
      </c>
      <c r="AL10" s="7">
        <f si="4" t="shared"/>
        <v>308923.98303109151</v>
      </c>
    </row>
    <row r="11" spans="1:38" x14ac:dyDescent="0.2">
      <c r="A11" s="3" t="s">
        <v>130</v>
      </c>
      <c r="B11" s="7">
        <f>output_NHTS!B228</f>
        <v>192394.38690000001</v>
      </c>
      <c r="C11" s="7">
        <f>output_NHTS!C228</f>
        <v>48520.614399999999</v>
      </c>
      <c r="D11" s="7">
        <f>output_NHTS!D228</f>
        <v>51253.290800000002</v>
      </c>
      <c r="E11" s="7">
        <f>output_NHTS!E228</f>
        <v>100849.0634</v>
      </c>
      <c r="F11" s="7">
        <f>output_NHTS!F228</f>
        <v>16398.062300000001</v>
      </c>
      <c r="G11" s="7">
        <f>output_NHTS!G228</f>
        <v>5304.2622999999994</v>
      </c>
      <c r="H11" s="7"/>
      <c r="I11" s="7">
        <f>output_NHTS!H228</f>
        <v>56621.2785</v>
      </c>
      <c r="J11" s="7">
        <f>output_NHTS!I228</f>
        <v>23936.415300000001</v>
      </c>
      <c r="K11" s="7">
        <f>output_NHTS!J228</f>
        <v>495277.37390000001</v>
      </c>
      <c r="L11"/>
      <c r="M11" s="3" t="s">
        <v>130</v>
      </c>
      <c r="N11" s="7">
        <f>output!B228</f>
        <v>317000.03501036146</v>
      </c>
      <c r="O11" s="7">
        <f>output!C228</f>
        <v>73779.251213728872</v>
      </c>
      <c r="P11" s="7">
        <f>output!D228</f>
        <v>65499.695705334918</v>
      </c>
      <c r="Q11" s="7">
        <f>output!E228</f>
        <v>108522.71238336734</v>
      </c>
      <c r="R11" s="7">
        <f>output!F228</f>
        <v>41170.217513448661</v>
      </c>
      <c r="S11" s="7">
        <f>output!G228</f>
        <v>20482.601500082117</v>
      </c>
      <c r="T11" s="7"/>
      <c r="U11" s="7">
        <f>output!H228</f>
        <v>124474.25016278434</v>
      </c>
      <c r="V11" s="7">
        <f>output!I228</f>
        <v>54466.260380437685</v>
      </c>
      <c r="W11" s="7">
        <f>output!J228</f>
        <v>805395.02386954543</v>
      </c>
      <c r="X11"/>
      <c r="Y11" s="3" t="s">
        <v>130</v>
      </c>
      <c r="Z11" s="7">
        <f si="0" t="shared"/>
        <v>124605.64811036145</v>
      </c>
      <c r="AA11" s="7">
        <f si="0" t="shared"/>
        <v>25258.636813728874</v>
      </c>
      <c r="AB11" s="7">
        <f si="0" t="shared"/>
        <v>14246.404905334915</v>
      </c>
      <c r="AC11" s="7">
        <f si="0" t="shared"/>
        <v>7673.6489833673404</v>
      </c>
      <c r="AD11" s="7">
        <f si="0" t="shared"/>
        <v>24772.155213448659</v>
      </c>
      <c r="AE11" s="7">
        <f si="0" t="shared"/>
        <v>15178.339200082119</v>
      </c>
      <c r="AF11" s="7"/>
      <c r="AG11" s="7">
        <f si="1" t="shared"/>
        <v>67852.971662784345</v>
      </c>
      <c r="AH11" s="7">
        <f si="2" t="shared"/>
        <v>30529.845080437684</v>
      </c>
      <c r="AI11" s="7">
        <f si="3" t="shared"/>
        <v>310117.64996954543</v>
      </c>
      <c r="AK11" s="3">
        <v>481730</v>
      </c>
      <c r="AL11" s="7">
        <f si="4" t="shared"/>
        <v>323665.02386954543</v>
      </c>
    </row>
    <row ht="13.5" r="12" spans="1:38" thickBot="1" x14ac:dyDescent="0.25">
      <c r="A12" s="10" t="s">
        <v>221</v>
      </c>
      <c r="B12" s="11">
        <f>SUM(B5:B11)</f>
        <v>1628852.4251999999</v>
      </c>
      <c r="C12" s="11">
        <f ref="C12:K12" si="5" t="shared">SUM(C5:C11)</f>
        <v>417798.73230000003</v>
      </c>
      <c r="D12" s="11">
        <f si="5" t="shared"/>
        <v>421902.62980000005</v>
      </c>
      <c r="E12" s="11">
        <f si="5" t="shared"/>
        <v>632884.74070000008</v>
      </c>
      <c r="F12" s="11">
        <f si="5" t="shared"/>
        <v>162890.66409999999</v>
      </c>
      <c r="G12" s="11">
        <f si="5" t="shared"/>
        <v>30872.377700000001</v>
      </c>
      <c r="H12" s="11"/>
      <c r="I12" s="11">
        <f si="5" t="shared"/>
        <v>286696.15300000005</v>
      </c>
      <c r="J12" s="11">
        <f si="5" t="shared"/>
        <v>215308.3388</v>
      </c>
      <c r="K12" s="11">
        <f si="5" t="shared"/>
        <v>3797206.0616000001</v>
      </c>
      <c r="L12"/>
      <c r="M12" s="10" t="s">
        <v>221</v>
      </c>
      <c r="N12" s="11">
        <f>SUM(N5:N11)</f>
        <v>2457606.7456324738</v>
      </c>
      <c r="O12" s="11">
        <f ref="O12:W12" si="6" t="shared">SUM(O5:O11)</f>
        <v>432542.96743183438</v>
      </c>
      <c r="P12" s="11">
        <f si="6" t="shared"/>
        <v>454520.03521510167</v>
      </c>
      <c r="Q12" s="11">
        <f si="6" t="shared"/>
        <v>740269.1028118151</v>
      </c>
      <c r="R12" s="11">
        <f si="6" t="shared"/>
        <v>267585.24026846525</v>
      </c>
      <c r="S12" s="11">
        <f si="6" t="shared"/>
        <v>94410.249157572107</v>
      </c>
      <c r="T12" s="11"/>
      <c r="U12" s="11">
        <f si="6" t="shared"/>
        <v>377772.24731208594</v>
      </c>
      <c r="V12" s="11">
        <f si="6" t="shared"/>
        <v>265793.0089125933</v>
      </c>
      <c r="W12" s="11">
        <f si="6" t="shared"/>
        <v>5090499.5967419408</v>
      </c>
      <c r="X12"/>
      <c r="Y12" s="10" t="s">
        <v>221</v>
      </c>
      <c r="Z12" s="11">
        <f si="0" t="shared"/>
        <v>828754.32043247391</v>
      </c>
      <c r="AA12" s="11">
        <f si="0" t="shared"/>
        <v>14744.235131834343</v>
      </c>
      <c r="AB12" s="11">
        <f si="0" t="shared"/>
        <v>32617.405415101617</v>
      </c>
      <c r="AC12" s="11">
        <f si="0" t="shared"/>
        <v>107384.36211181502</v>
      </c>
      <c r="AD12" s="11">
        <f si="0" t="shared"/>
        <v>104694.57616846525</v>
      </c>
      <c r="AE12" s="11">
        <f si="0" t="shared"/>
        <v>63537.87145757211</v>
      </c>
      <c r="AF12" s="11"/>
      <c r="AG12" s="11">
        <f si="1" t="shared"/>
        <v>91076.094312085886</v>
      </c>
      <c r="AH12" s="11">
        <f si="2" t="shared"/>
        <v>50484.670112593303</v>
      </c>
      <c r="AI12" s="11">
        <f si="3" t="shared"/>
        <v>1293293.5351419407</v>
      </c>
      <c r="AK12" s="3">
        <v>4022720</v>
      </c>
      <c r="AL12" s="7">
        <f si="4" t="shared"/>
        <v>1067779.5967419408</v>
      </c>
    </row>
    <row r="13" spans="1:38" x14ac:dyDescent="0.2">
      <c r="L13"/>
      <c r="X13"/>
    </row>
    <row r="14" spans="1:38" x14ac:dyDescent="0.2">
      <c r="A14" s="25" t="s">
        <v>88</v>
      </c>
      <c r="B14" s="33">
        <f>ToursByTourPurpose!B15</f>
        <v>1412589.7424000001</v>
      </c>
      <c r="C14" s="33">
        <f>ToursByTourPurpose!C15</f>
        <v>340955.68209999998</v>
      </c>
      <c r="D14" s="33">
        <f>ToursByTourPurpose!D15</f>
        <v>385091.97840000002</v>
      </c>
      <c r="E14" s="33">
        <f>ToursByTourPurpose!E15</f>
        <v>592288.66839999997</v>
      </c>
      <c r="F14" s="33">
        <f>ToursByTourPurpose!F15</f>
        <v>111478.9356</v>
      </c>
      <c r="G14" s="33">
        <f>ToursByTourPurpose!G15</f>
        <v>78499.544200000004</v>
      </c>
      <c r="H14" s="33"/>
      <c r="I14" s="33">
        <f>ToursByTourPurpose!I15</f>
        <v>515915.92589999997</v>
      </c>
      <c r="J14" s="33">
        <f>ToursByTourPurpose!J15</f>
        <v>271697.48960000003</v>
      </c>
      <c r="K14" s="33">
        <f>ToursByTourPurpose!K15</f>
        <v>3708517.9665999999</v>
      </c>
      <c r="L14"/>
      <c r="M14" s="25" t="s">
        <v>88</v>
      </c>
      <c r="N14" s="33">
        <f>ToursByTourPurpose!N15</f>
        <v>1410222.3792541239</v>
      </c>
      <c r="O14" s="33">
        <f>ToursByTourPurpose!O15</f>
        <v>330587.79410013492</v>
      </c>
      <c r="P14" s="33">
        <f>ToursByTourPurpose!P15</f>
        <v>393707.17935026012</v>
      </c>
      <c r="Q14" s="33">
        <f>ToursByTourPurpose!Q15</f>
        <v>573902.57800400315</v>
      </c>
      <c r="R14" s="33">
        <f>ToursByTourPurpose!R15</f>
        <v>175566.13317979188</v>
      </c>
      <c r="S14" s="33">
        <f>ToursByTourPurpose!S15</f>
        <v>119540.37697423306</v>
      </c>
      <c r="T14" s="33"/>
      <c r="U14" s="33">
        <f>ToursByTourPurpose!U15</f>
        <v>503887.95581699541</v>
      </c>
      <c r="V14" s="33">
        <f>ToursByTourPurpose!V15</f>
        <v>235060.42178434858</v>
      </c>
      <c r="W14" s="33">
        <f>ToursByTourPurpose!W15</f>
        <v>3742474.8184638908</v>
      </c>
      <c r="X14"/>
      <c r="Y14" s="25" t="s">
        <v>88</v>
      </c>
      <c r="Z14" s="33">
        <f ref="Z14:AE15" si="7" t="shared">N14-B14</f>
        <v>-2367.3631458762102</v>
      </c>
      <c r="AA14" s="33">
        <f si="7" t="shared"/>
        <v>-10367.887999865052</v>
      </c>
      <c r="AB14" s="33">
        <f si="7" t="shared"/>
        <v>8615.2009502600995</v>
      </c>
      <c r="AC14" s="33">
        <f si="7" t="shared"/>
        <v>-18386.090395996813</v>
      </c>
      <c r="AD14" s="33">
        <f si="7" t="shared"/>
        <v>64087.197579791886</v>
      </c>
      <c r="AE14" s="33">
        <f si="7" t="shared"/>
        <v>41040.832774233058</v>
      </c>
      <c r="AF14" s="33"/>
      <c r="AG14" s="33">
        <f ref="AG14:AI15" si="8" t="shared">U14-I14</f>
        <v>-12027.970083004562</v>
      </c>
      <c r="AH14" s="33">
        <f si="8" t="shared"/>
        <v>-36637.067815651448</v>
      </c>
      <c r="AI14" s="33">
        <f si="8" t="shared"/>
        <v>33956.851863890886</v>
      </c>
    </row>
    <row r="15" spans="1:38" x14ac:dyDescent="0.2">
      <c r="A15" s="25" t="s">
        <v>90</v>
      </c>
      <c r="B15" s="38">
        <f>B12/B14</f>
        <v>1.1530965971992462</v>
      </c>
      <c r="C15" s="38">
        <f ref="C15:K15" si="9" t="shared">C12/C14</f>
        <v>1.2253754790848814</v>
      </c>
      <c r="D15" s="38">
        <f si="9" t="shared"/>
        <v>1.095589244816116</v>
      </c>
      <c r="E15" s="38">
        <f si="9" t="shared"/>
        <v>1.0685410247838538</v>
      </c>
      <c r="F15" s="38">
        <f si="9" t="shared"/>
        <v>1.4611788605918479</v>
      </c>
      <c r="G15" s="38">
        <f si="9" t="shared"/>
        <v>0.39328098034994702</v>
      </c>
      <c r="H15" s="38"/>
      <c r="I15" s="38">
        <f si="9" t="shared"/>
        <v>0.55570324273255789</v>
      </c>
      <c r="J15" s="38">
        <f si="9" t="shared"/>
        <v>0.79245612139067767</v>
      </c>
      <c r="K15" s="38">
        <f si="9" t="shared"/>
        <v>1.0239147001035862</v>
      </c>
      <c r="L15"/>
      <c r="M15" s="25" t="s">
        <v>90</v>
      </c>
      <c r="N15" s="38">
        <f ref="N15:W15" si="10" t="shared">N12/N14</f>
        <v>1.7427086548806001</v>
      </c>
      <c r="O15" s="38">
        <f si="10" t="shared"/>
        <v>1.3084057401732663</v>
      </c>
      <c r="P15" s="38">
        <f si="10" t="shared"/>
        <v>1.1544621461188536</v>
      </c>
      <c r="Q15" s="38">
        <f si="10" t="shared"/>
        <v>1.2898863521164587</v>
      </c>
      <c r="R15" s="38">
        <f si="10" t="shared"/>
        <v>1.5241278908526135</v>
      </c>
      <c r="S15" s="38">
        <f si="10" t="shared"/>
        <v>0.789777074050237</v>
      </c>
      <c r="T15" s="38"/>
      <c r="U15" s="38">
        <f si="10" t="shared"/>
        <v>0.7497147787538847</v>
      </c>
      <c r="V15" s="38">
        <f si="10" t="shared"/>
        <v>1.1307433505604771</v>
      </c>
      <c r="W15" s="38">
        <f si="10" t="shared"/>
        <v>1.3601960851219168</v>
      </c>
      <c r="X15"/>
      <c r="Y15" s="25" t="s">
        <v>90</v>
      </c>
      <c r="Z15" s="38">
        <f si="7" t="shared"/>
        <v>0.58961205768135394</v>
      </c>
      <c r="AA15" s="38">
        <f si="7" t="shared"/>
        <v>8.3030261088384849E-2</v>
      </c>
      <c r="AB15" s="38">
        <f si="7" t="shared"/>
        <v>5.887290130273759E-2</v>
      </c>
      <c r="AC15" s="38">
        <f si="7" t="shared"/>
        <v>0.22134532733260492</v>
      </c>
      <c r="AD15" s="38">
        <f si="7" t="shared"/>
        <v>6.2949030260765593E-2</v>
      </c>
      <c r="AE15" s="38">
        <f si="7" t="shared"/>
        <v>0.39649609370028999</v>
      </c>
      <c r="AF15" s="38"/>
      <c r="AG15" s="38">
        <f si="8" t="shared"/>
        <v>0.19401153602132681</v>
      </c>
      <c r="AH15" s="38">
        <f si="8" t="shared"/>
        <v>0.33828722916979947</v>
      </c>
      <c r="AI15" s="38">
        <f si="8" t="shared"/>
        <v>0.3362813850183306</v>
      </c>
    </row>
    <row r="16" spans="1:38" x14ac:dyDescent="0.2">
      <c r="L16"/>
      <c r="X16"/>
    </row>
    <row r="17" spans="1:35" x14ac:dyDescent="0.2">
      <c r="A17" s="2" t="s">
        <v>175</v>
      </c>
      <c r="L17"/>
      <c r="M17" s="2" t="s">
        <v>175</v>
      </c>
      <c r="X17"/>
      <c r="Y17" s="2" t="s">
        <v>175</v>
      </c>
    </row>
    <row r="18" spans="1:35" x14ac:dyDescent="0.2">
      <c r="A18" s="2" t="s">
        <v>105</v>
      </c>
      <c r="L18"/>
      <c r="M18" s="2" t="s">
        <v>110</v>
      </c>
      <c r="X18"/>
      <c r="Y18" s="2" t="s">
        <v>160</v>
      </c>
    </row>
    <row ht="13.5" r="19" spans="1:35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243</v>
      </c>
      <c r="F20" s="6" t="s">
        <v>244</v>
      </c>
      <c r="G20" s="6" t="s">
        <v>245</v>
      </c>
      <c r="H20" s="6"/>
      <c r="I20" s="6" t="s">
        <v>246</v>
      </c>
      <c r="J20" s="6" t="s">
        <v>170</v>
      </c>
      <c r="K20" s="6" t="s">
        <v>221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243</v>
      </c>
      <c r="R20" s="6" t="s">
        <v>244</v>
      </c>
      <c r="S20" s="6" t="s">
        <v>245</v>
      </c>
      <c r="T20" s="6"/>
      <c r="U20" s="6" t="s">
        <v>246</v>
      </c>
      <c r="V20" s="6" t="s">
        <v>170</v>
      </c>
      <c r="W20" s="6" t="s">
        <v>221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243</v>
      </c>
      <c r="AD20" s="6" t="s">
        <v>244</v>
      </c>
      <c r="AE20" s="6" t="s">
        <v>245</v>
      </c>
      <c r="AF20" s="6"/>
      <c r="AG20" s="6" t="s">
        <v>246</v>
      </c>
      <c r="AH20" s="6" t="s">
        <v>170</v>
      </c>
      <c r="AI20" s="6" t="s">
        <v>221</v>
      </c>
    </row>
    <row r="21" spans="1:35" x14ac:dyDescent="0.2">
      <c r="A21" s="3" t="s">
        <v>210</v>
      </c>
      <c r="B21" s="12">
        <f ref="B21:K21" si="11" t="shared">B5/B$12</f>
        <v>0.15352885100643432</v>
      </c>
      <c r="C21" s="12">
        <f si="11" t="shared"/>
        <v>6.2342035976541428E-2</v>
      </c>
      <c r="D21" s="12">
        <f si="11" t="shared"/>
        <v>8.7587794884136077E-3</v>
      </c>
      <c r="E21" s="12">
        <f si="11" t="shared"/>
        <v>1.5205714375979422E-2</v>
      </c>
      <c r="F21" s="12">
        <f si="11" t="shared"/>
        <v>0.16032761327541301</v>
      </c>
      <c r="G21" s="12">
        <f si="11" t="shared"/>
        <v>3.6286793679645858E-2</v>
      </c>
      <c r="H21" s="12"/>
      <c r="I21" s="12">
        <f si="11" t="shared"/>
        <v>1.0803012065529877E-3</v>
      </c>
      <c r="J21" s="12">
        <f si="11" t="shared"/>
        <v>8.8944441756103499E-4</v>
      </c>
      <c r="K21" s="12">
        <f si="11" t="shared"/>
        <v>8.352942412252258E-2</v>
      </c>
      <c r="L21"/>
      <c r="M21" s="3" t="s">
        <v>210</v>
      </c>
      <c r="N21" s="12">
        <f ref="N21:W21" si="12" t="shared">N5/N$12</f>
        <v>9.1148042431566656E-2</v>
      </c>
      <c r="O21" s="12">
        <f si="12" t="shared"/>
        <v>7.087859660324522E-2</v>
      </c>
      <c r="P21" s="12">
        <f si="12" t="shared"/>
        <v>0</v>
      </c>
      <c r="Q21" s="12">
        <f si="12" t="shared"/>
        <v>0</v>
      </c>
      <c r="R21" s="12">
        <f si="12" t="shared"/>
        <v>3.7045131044835131E-2</v>
      </c>
      <c r="S21" s="12">
        <f si="12" t="shared"/>
        <v>2.841843899662961E-3</v>
      </c>
      <c r="T21" s="12"/>
      <c r="U21" s="12">
        <f si="12" t="shared"/>
        <v>0</v>
      </c>
      <c r="V21" s="12">
        <f si="12" t="shared"/>
        <v>0</v>
      </c>
      <c r="W21" s="12">
        <f si="12" t="shared"/>
        <v>5.2027331872246098E-2</v>
      </c>
      <c r="X21"/>
      <c r="Y21" s="3" t="s">
        <v>210</v>
      </c>
      <c r="Z21" s="12">
        <f ref="Z21:AE28" si="13" t="shared">N21-B21</f>
        <v>-6.2380808574867663E-2</v>
      </c>
      <c r="AA21" s="12">
        <f si="13" t="shared"/>
        <v>8.5365606267037916E-3</v>
      </c>
      <c r="AB21" s="12">
        <f si="13" t="shared"/>
        <v>-8.7587794884136077E-3</v>
      </c>
      <c r="AC21" s="12">
        <f si="13" t="shared"/>
        <v>-1.5205714375979422E-2</v>
      </c>
      <c r="AD21" s="12">
        <f si="13" t="shared"/>
        <v>-0.12328248223057788</v>
      </c>
      <c r="AE21" s="12">
        <f si="13" t="shared"/>
        <v>-3.3444949779982899E-2</v>
      </c>
      <c r="AF21" s="12"/>
      <c r="AG21" s="12">
        <f ref="AG21:AG28" si="14" t="shared">U21-I21</f>
        <v>-1.0803012065529877E-3</v>
      </c>
      <c r="AH21" s="12">
        <f ref="AH21:AH28" si="15" t="shared">V21-J21</f>
        <v>-8.8944441756103499E-4</v>
      </c>
      <c r="AI21" s="12">
        <f ref="AI21:AI28" si="16" t="shared">W21-K21</f>
        <v>-3.1502092250276482E-2</v>
      </c>
    </row>
    <row r="22" spans="1:35" x14ac:dyDescent="0.2">
      <c r="A22" s="3" t="s">
        <v>211</v>
      </c>
      <c r="B22" s="12">
        <f ref="B22:K22" si="17" t="shared">B6/B$12</f>
        <v>2.7771342756508915E-3</v>
      </c>
      <c r="C22" s="12">
        <f si="17" t="shared"/>
        <v>1.6542625110306013E-2</v>
      </c>
      <c r="D22" s="12">
        <f si="17" t="shared"/>
        <v>0</v>
      </c>
      <c r="E22" s="12">
        <f si="17" t="shared"/>
        <v>5.4812260067498885E-3</v>
      </c>
      <c r="F22" s="12">
        <f si="17" t="shared"/>
        <v>7.9306887668339987E-2</v>
      </c>
      <c r="G22" s="12">
        <f si="17" t="shared"/>
        <v>8.5701526643346293E-2</v>
      </c>
      <c r="H22" s="12"/>
      <c r="I22" s="12">
        <f si="17" t="shared"/>
        <v>7.2311840194102625E-2</v>
      </c>
      <c r="J22" s="12">
        <f si="17" t="shared"/>
        <v>0</v>
      </c>
      <c r="K22" s="12">
        <f si="17" t="shared"/>
        <v>1.3483519479695123E-2</v>
      </c>
      <c r="L22"/>
      <c r="M22" s="3" t="s">
        <v>211</v>
      </c>
      <c r="N22" s="12">
        <f ref="N22:W22" si="18" t="shared">N6/N$12</f>
        <v>6.7386563937735624E-4</v>
      </c>
      <c r="O22" s="12">
        <f si="18" t="shared"/>
        <v>0</v>
      </c>
      <c r="P22" s="12">
        <f si="18" t="shared"/>
        <v>0</v>
      </c>
      <c r="Q22" s="12">
        <f si="18" t="shared"/>
        <v>0</v>
      </c>
      <c r="R22" s="12">
        <f si="18" t="shared"/>
        <v>8.7022376326036086E-2</v>
      </c>
      <c r="S22" s="12">
        <f si="18" t="shared"/>
        <v>0.16813797669889186</v>
      </c>
      <c r="T22" s="12"/>
      <c r="U22" s="12">
        <f si="18" t="shared"/>
        <v>0.15218045081124498</v>
      </c>
      <c r="V22" s="12">
        <f si="18" t="shared"/>
        <v>2.182507829050484E-2</v>
      </c>
      <c r="W22" s="12">
        <f si="18" t="shared"/>
        <v>2.0451126778805537E-2</v>
      </c>
      <c r="X22"/>
      <c r="Y22" s="3" t="s">
        <v>211</v>
      </c>
      <c r="Z22" s="12">
        <f si="13" t="shared"/>
        <v>-2.1032686362735353E-3</v>
      </c>
      <c r="AA22" s="12">
        <f si="13" t="shared"/>
        <v>-1.6542625110306013E-2</v>
      </c>
      <c r="AB22" s="12">
        <f si="13" t="shared"/>
        <v>0</v>
      </c>
      <c r="AC22" s="12">
        <f si="13" t="shared"/>
        <v>-5.4812260067498885E-3</v>
      </c>
      <c r="AD22" s="12">
        <f si="13" t="shared"/>
        <v>7.7154886576960985E-3</v>
      </c>
      <c r="AE22" s="12">
        <f si="13" t="shared"/>
        <v>8.2436450055545563E-2</v>
      </c>
      <c r="AF22" s="12"/>
      <c r="AG22" s="12">
        <f si="14" t="shared"/>
        <v>7.9868610617142358E-2</v>
      </c>
      <c r="AH22" s="12">
        <f si="15" t="shared"/>
        <v>2.182507829050484E-2</v>
      </c>
      <c r="AI22" s="12">
        <f si="16" t="shared"/>
        <v>6.9676072991104142E-3</v>
      </c>
    </row>
    <row r="23" spans="1:35" x14ac:dyDescent="0.2">
      <c r="A23" s="3" t="s">
        <v>212</v>
      </c>
      <c r="B23" s="12">
        <f ref="B23:K23" si="19" t="shared">B7/B$12</f>
        <v>0.15897895837199877</v>
      </c>
      <c r="C23" s="12">
        <f si="19" t="shared"/>
        <v>0.12054866160732006</v>
      </c>
      <c r="D23" s="12">
        <f si="19" t="shared"/>
        <v>3.4547654767901136E-2</v>
      </c>
      <c r="E23" s="12">
        <f si="19" t="shared"/>
        <v>8.8998029463787307E-2</v>
      </c>
      <c r="F23" s="12">
        <f si="19" t="shared"/>
        <v>7.8972031153994177E-2</v>
      </c>
      <c r="G23" s="12">
        <f si="19" t="shared"/>
        <v>9.6668090452909958E-2</v>
      </c>
      <c r="H23" s="12"/>
      <c r="I23" s="12">
        <f si="19" t="shared"/>
        <v>0.17099390308177589</v>
      </c>
      <c r="J23" s="12">
        <f si="19" t="shared"/>
        <v>0.16201797428943795</v>
      </c>
      <c r="K23" s="12">
        <f si="19" t="shared"/>
        <v>0.12640211482169514</v>
      </c>
      <c r="L23"/>
      <c r="M23" s="3" t="s">
        <v>212</v>
      </c>
      <c r="N23" s="12">
        <f ref="N23:W23" si="20" t="shared">N7/N$12</f>
        <v>0.13584720323730182</v>
      </c>
      <c r="O23" s="12">
        <f si="20" t="shared"/>
        <v>9.1433601639283116E-2</v>
      </c>
      <c r="P23" s="12">
        <f si="20" t="shared"/>
        <v>2.8337800986849099E-2</v>
      </c>
      <c r="Q23" s="12">
        <f si="20" t="shared"/>
        <v>5.4535042519444916E-2</v>
      </c>
      <c r="R23" s="12">
        <f si="20" t="shared"/>
        <v>8.7666568084803928E-2</v>
      </c>
      <c r="S23" s="12">
        <f si="20" t="shared"/>
        <v>9.194529227149191E-2</v>
      </c>
      <c r="T23" s="12"/>
      <c r="U23" s="12">
        <f si="20" t="shared"/>
        <v>6.3872547790970027E-2</v>
      </c>
      <c r="V23" s="12">
        <f si="20" t="shared"/>
        <v>7.6292464422249837E-2</v>
      </c>
      <c r="W23" s="12">
        <f si="20" t="shared"/>
        <v>9.8851752641906793E-2</v>
      </c>
      <c r="X23"/>
      <c r="Y23" s="3" t="s">
        <v>212</v>
      </c>
      <c r="Z23" s="12">
        <f si="13" t="shared"/>
        <v>-2.3131755134696952E-2</v>
      </c>
      <c r="AA23" s="12">
        <f si="13" t="shared"/>
        <v>-2.9115059968036941E-2</v>
      </c>
      <c r="AB23" s="12">
        <f si="13" t="shared"/>
        <v>-6.2098537810520368E-3</v>
      </c>
      <c r="AC23" s="12">
        <f si="13" t="shared"/>
        <v>-3.446298694434239E-2</v>
      </c>
      <c r="AD23" s="12">
        <f si="13" t="shared"/>
        <v>8.6945369308097514E-3</v>
      </c>
      <c r="AE23" s="12">
        <f si="13" t="shared"/>
        <v>-4.7227981814180475E-3</v>
      </c>
      <c r="AF23" s="12"/>
      <c r="AG23" s="12">
        <f si="14" t="shared"/>
        <v>-0.10712135529080587</v>
      </c>
      <c r="AH23" s="12">
        <f si="15" t="shared"/>
        <v>-8.5725509867188118E-2</v>
      </c>
      <c r="AI23" s="12">
        <f si="16" t="shared"/>
        <v>-2.7550362179788346E-2</v>
      </c>
    </row>
    <row r="24" spans="1:35" x14ac:dyDescent="0.2">
      <c r="A24" s="3" t="s">
        <v>213</v>
      </c>
      <c r="B24" s="12">
        <f ref="B24:K24" si="21" t="shared">B8/B$12</f>
        <v>0.18179933118473893</v>
      </c>
      <c r="C24" s="12">
        <f si="21" t="shared"/>
        <v>0.24128927185832916</v>
      </c>
      <c r="D24" s="12">
        <f si="21" t="shared"/>
        <v>0.3373853264851111</v>
      </c>
      <c r="E24" s="12">
        <f si="21" t="shared"/>
        <v>0.28041789300166642</v>
      </c>
      <c r="F24" s="12">
        <f si="21" t="shared"/>
        <v>0.20035216616198939</v>
      </c>
      <c r="G24" s="12">
        <f si="21" t="shared"/>
        <v>0.28322319663768558</v>
      </c>
      <c r="H24" s="12"/>
      <c r="I24" s="12">
        <f si="21" t="shared"/>
        <v>0.26884766116830311</v>
      </c>
      <c r="J24" s="12">
        <f si="21" t="shared"/>
        <v>0.30899000601085869</v>
      </c>
      <c r="K24" s="12">
        <f si="21" t="shared"/>
        <v>0.23747343883150826</v>
      </c>
      <c r="L24"/>
      <c r="M24" s="3" t="s">
        <v>213</v>
      </c>
      <c r="N24" s="12">
        <f ref="N24:W24" si="22" t="shared">N8/N$12</f>
        <v>0.1901053882017992</v>
      </c>
      <c r="O24" s="12">
        <f si="22" t="shared"/>
        <v>0.25115627430651083</v>
      </c>
      <c r="P24" s="12">
        <f si="22" t="shared"/>
        <v>0.31931249896063674</v>
      </c>
      <c r="Q24" s="12">
        <f si="22" t="shared"/>
        <v>0.26522462845059175</v>
      </c>
      <c r="R24" s="12">
        <f si="22" t="shared"/>
        <v>0.17505379803779256</v>
      </c>
      <c r="S24" s="12">
        <f si="22" t="shared"/>
        <v>0.1306870054736014</v>
      </c>
      <c r="T24" s="12"/>
      <c r="U24" s="12">
        <f si="22" t="shared"/>
        <v>0.23227506610147186</v>
      </c>
      <c r="V24" s="12">
        <f si="22" t="shared"/>
        <v>0.29156097150211335</v>
      </c>
      <c r="W24" s="12">
        <f si="22" t="shared"/>
        <v>0.22428714822454038</v>
      </c>
      <c r="X24"/>
      <c r="Y24" s="3" t="s">
        <v>213</v>
      </c>
      <c r="Z24" s="12">
        <f si="13" t="shared"/>
        <v>8.3060570170602754E-3</v>
      </c>
      <c r="AA24" s="12">
        <f si="13" t="shared"/>
        <v>9.867002448181672E-3</v>
      </c>
      <c r="AB24" s="12">
        <f si="13" t="shared"/>
        <v>-1.8072827524474366E-2</v>
      </c>
      <c r="AC24" s="12">
        <f si="13" t="shared"/>
        <v>-1.519326455107467E-2</v>
      </c>
      <c r="AD24" s="12">
        <f si="13" t="shared"/>
        <v>-2.5298368124196835E-2</v>
      </c>
      <c r="AE24" s="12">
        <f si="13" t="shared"/>
        <v>-0.15253619116408418</v>
      </c>
      <c r="AF24" s="12"/>
      <c r="AG24" s="12">
        <f si="14" t="shared"/>
        <v>-3.6572595066831248E-2</v>
      </c>
      <c r="AH24" s="12">
        <f si="15" t="shared"/>
        <v>-1.7429034508745334E-2</v>
      </c>
      <c r="AI24" s="12">
        <f si="16" t="shared"/>
        <v>-1.3186290606967882E-2</v>
      </c>
    </row>
    <row r="25" spans="1:35" x14ac:dyDescent="0.2">
      <c r="A25" s="3" t="s">
        <v>214</v>
      </c>
      <c r="B25" s="12">
        <f ref="B25:K25" si="23" t="shared">B9/B$12</f>
        <v>0.24003044907643731</v>
      </c>
      <c r="C25" s="12">
        <f si="23" t="shared"/>
        <v>0.32516744474573889</v>
      </c>
      <c r="D25" s="12">
        <f si="23" t="shared"/>
        <v>0.38710411020054747</v>
      </c>
      <c r="E25" s="12">
        <f si="23" t="shared"/>
        <v>0.33031701043823247</v>
      </c>
      <c r="F25" s="12">
        <f si="23" t="shared"/>
        <v>0.25503956736585004</v>
      </c>
      <c r="G25" s="12">
        <f si="23" t="shared"/>
        <v>0.14810216577520041</v>
      </c>
      <c r="H25" s="12"/>
      <c r="I25" s="12">
        <f si="23" t="shared"/>
        <v>0.20790473634293932</v>
      </c>
      <c r="J25" s="12">
        <f si="23" t="shared"/>
        <v>0.32340854881928988</v>
      </c>
      <c r="K25" s="12">
        <f si="23" t="shared"/>
        <v>0.2829858115330256</v>
      </c>
      <c r="L25"/>
      <c r="M25" s="3" t="s">
        <v>214</v>
      </c>
      <c r="N25" s="12">
        <f ref="N25:W25" si="24" t="shared">N9/N$12</f>
        <v>0.30278064728186105</v>
      </c>
      <c r="O25" s="12">
        <f si="24" t="shared"/>
        <v>0.29761390666110371</v>
      </c>
      <c r="P25" s="12">
        <f si="24" t="shared"/>
        <v>0.39129654751174248</v>
      </c>
      <c r="Q25" s="12">
        <f si="24" t="shared"/>
        <v>0.40040080415454776</v>
      </c>
      <c r="R25" s="12">
        <f si="24" t="shared"/>
        <v>0.27748408765236804</v>
      </c>
      <c r="S25" s="12">
        <f si="24" t="shared"/>
        <v>6.7492206896720475E-2</v>
      </c>
      <c r="T25" s="12"/>
      <c r="U25" s="12">
        <f si="24" t="shared"/>
        <v>6.2298015273066561E-2</v>
      </c>
      <c r="V25" s="12">
        <f si="24" t="shared"/>
        <v>0.31840750581861421</v>
      </c>
      <c r="W25" s="12">
        <f si="24" t="shared"/>
        <v>0.30171706166844159</v>
      </c>
      <c r="X25"/>
      <c r="Y25" s="3" t="s">
        <v>214</v>
      </c>
      <c r="Z25" s="12">
        <f si="13" t="shared"/>
        <v>6.2750198205423741E-2</v>
      </c>
      <c r="AA25" s="12">
        <f si="13" t="shared"/>
        <v>-2.7553538084635176E-2</v>
      </c>
      <c r="AB25" s="12">
        <f si="13" t="shared"/>
        <v>4.1924373111950075E-3</v>
      </c>
      <c r="AC25" s="12">
        <f si="13" t="shared"/>
        <v>7.008379371631529E-2</v>
      </c>
      <c r="AD25" s="12">
        <f si="13" t="shared"/>
        <v>2.2444520286517999E-2</v>
      </c>
      <c r="AE25" s="12">
        <f si="13" t="shared"/>
        <v>-8.0609958878479937E-2</v>
      </c>
      <c r="AF25" s="12"/>
      <c r="AG25" s="12">
        <f si="14" t="shared"/>
        <v>-0.14560672106987277</v>
      </c>
      <c r="AH25" s="12">
        <f si="15" t="shared"/>
        <v>-5.0010430006756645E-3</v>
      </c>
      <c r="AI25" s="12">
        <f si="16" t="shared"/>
        <v>1.8731250135415989E-2</v>
      </c>
    </row>
    <row r="26" spans="1:35" x14ac:dyDescent="0.2">
      <c r="A26" s="3" t="s">
        <v>129</v>
      </c>
      <c r="B26" s="12">
        <f ref="B26:K26" si="25" t="shared">B10/B$12</f>
        <v>0.14476875188434965</v>
      </c>
      <c r="C26" s="12">
        <f si="25" t="shared"/>
        <v>0.11797601713307064</v>
      </c>
      <c r="D26" s="12">
        <f si="25" t="shared"/>
        <v>0.11072280332109936</v>
      </c>
      <c r="E26" s="12">
        <f si="25" t="shared"/>
        <v>0.12023189643636796</v>
      </c>
      <c r="F26" s="12">
        <f si="25" t="shared"/>
        <v>0.1253325990952234</v>
      </c>
      <c r="G26" s="12">
        <f si="25" t="shared"/>
        <v>0.17820566505961086</v>
      </c>
      <c r="H26" s="12"/>
      <c r="I26" s="12">
        <f si="25" t="shared"/>
        <v>8.1365784493104082E-2</v>
      </c>
      <c r="J26" s="12">
        <f si="25" t="shared"/>
        <v>9.352129886016286E-2</v>
      </c>
      <c r="K26" s="12">
        <f si="25" t="shared"/>
        <v>0.12569364041805259</v>
      </c>
      <c r="L26"/>
      <c r="M26" s="3" t="s">
        <v>129</v>
      </c>
      <c r="N26" s="12">
        <f ref="N26:W26" si="26" t="shared">N10/N$12</f>
        <v>0.15045756279895228</v>
      </c>
      <c r="O26" s="12">
        <f si="26" t="shared"/>
        <v>0.11834670236345619</v>
      </c>
      <c r="P26" s="12">
        <f si="26" t="shared"/>
        <v>0.11694576313969239</v>
      </c>
      <c r="Q26" s="12">
        <f si="26" t="shared"/>
        <v>0.13324052193019198</v>
      </c>
      <c r="R26" s="12">
        <f si="26" t="shared"/>
        <v>0.18186971142121983</v>
      </c>
      <c r="S26" s="12">
        <f si="26" t="shared"/>
        <v>0.32194251890155973</v>
      </c>
      <c r="T26" s="12"/>
      <c r="U26" s="12">
        <f si="26" t="shared"/>
        <v>0.15987843418901737</v>
      </c>
      <c r="V26" s="12">
        <f si="26" t="shared"/>
        <v>8.6994141768858335E-2</v>
      </c>
      <c r="W26" s="12">
        <f si="26" t="shared"/>
        <v>0.14445025857613641</v>
      </c>
      <c r="X26"/>
      <c r="Y26" s="3" t="s">
        <v>129</v>
      </c>
      <c r="Z26" s="12">
        <f si="13" t="shared"/>
        <v>5.6888109146026322E-3</v>
      </c>
      <c r="AA26" s="12">
        <f si="13" t="shared"/>
        <v>3.7068523038555345E-4</v>
      </c>
      <c r="AB26" s="12">
        <f si="13" t="shared"/>
        <v>6.2229598185930268E-3</v>
      </c>
      <c r="AC26" s="12">
        <f si="13" t="shared"/>
        <v>1.3008625493824019E-2</v>
      </c>
      <c r="AD26" s="12">
        <f si="13" t="shared"/>
        <v>5.6537112325996425E-2</v>
      </c>
      <c r="AE26" s="12">
        <f si="13" t="shared"/>
        <v>0.14373685384194887</v>
      </c>
      <c r="AF26" s="12"/>
      <c r="AG26" s="12">
        <f si="14" t="shared"/>
        <v>7.8512649695913289E-2</v>
      </c>
      <c r="AH26" s="12">
        <f si="15" t="shared"/>
        <v>-6.5271570913045251E-3</v>
      </c>
      <c r="AI26" s="12">
        <f si="16" t="shared"/>
        <v>1.8756618158083826E-2</v>
      </c>
    </row>
    <row r="27" spans="1:35" x14ac:dyDescent="0.2">
      <c r="A27" s="3" t="s">
        <v>130</v>
      </c>
      <c r="B27" s="12">
        <f ref="B27:K27" si="27" t="shared">B11/B$12</f>
        <v>0.11811652420039016</v>
      </c>
      <c r="C27" s="12">
        <f si="27" t="shared"/>
        <v>0.11613394356869378</v>
      </c>
      <c r="D27" s="12">
        <f si="27" t="shared"/>
        <v>0.12148132573692717</v>
      </c>
      <c r="E27" s="12">
        <f si="27" t="shared"/>
        <v>0.1593482302772164</v>
      </c>
      <c r="F27" s="12">
        <f si="27" t="shared"/>
        <v>0.10066913527919003</v>
      </c>
      <c r="G27" s="12">
        <f si="27" t="shared"/>
        <v>0.17181256175160098</v>
      </c>
      <c r="H27" s="12"/>
      <c r="I27" s="12">
        <f si="27" t="shared"/>
        <v>0.19749577351322181</v>
      </c>
      <c r="J27" s="12">
        <f si="27" t="shared"/>
        <v>0.11117272760268958</v>
      </c>
      <c r="K27" s="12">
        <f si="27" t="shared"/>
        <v>0.1304320507935007</v>
      </c>
      <c r="L27"/>
      <c r="M27" s="3" t="s">
        <v>130</v>
      </c>
      <c r="N27" s="12">
        <f ref="N27:W27" si="28" t="shared">N11/N$12</f>
        <v>0.12898729040914167</v>
      </c>
      <c r="O27" s="12">
        <f si="28" t="shared"/>
        <v>0.17057091842640107</v>
      </c>
      <c r="P27" s="12">
        <f si="28" t="shared"/>
        <v>0.14410738940107926</v>
      </c>
      <c r="Q27" s="12">
        <f si="28" t="shared"/>
        <v>0.14659900294522363</v>
      </c>
      <c r="R27" s="12">
        <f si="28" t="shared"/>
        <v>0.15385832743294453</v>
      </c>
      <c r="S27" s="12">
        <f si="28" t="shared"/>
        <v>0.21695315585807162</v>
      </c>
      <c r="T27" s="12"/>
      <c r="U27" s="12">
        <f si="28" t="shared"/>
        <v>0.32949548583422922</v>
      </c>
      <c r="V27" s="12">
        <f si="28" t="shared"/>
        <v>0.20491983819765949</v>
      </c>
      <c r="W27" s="12">
        <f si="28" t="shared"/>
        <v>0.15821532023792326</v>
      </c>
      <c r="X27"/>
      <c r="Y27" s="3" t="s">
        <v>130</v>
      </c>
      <c r="Z27" s="12">
        <f si="13" t="shared"/>
        <v>1.0870766208751506E-2</v>
      </c>
      <c r="AA27" s="12">
        <f si="13" t="shared"/>
        <v>5.4436974857707293E-2</v>
      </c>
      <c r="AB27" s="12">
        <f si="13" t="shared"/>
        <v>2.2626063664152082E-2</v>
      </c>
      <c r="AC27" s="12">
        <f si="13" t="shared"/>
        <v>-1.2749227331992768E-2</v>
      </c>
      <c r="AD27" s="12">
        <f si="13" t="shared"/>
        <v>5.3189192153754505E-2</v>
      </c>
      <c r="AE27" s="12">
        <f si="13" t="shared"/>
        <v>4.5140594106470644E-2</v>
      </c>
      <c r="AF27" s="12"/>
      <c r="AG27" s="12">
        <f si="14" t="shared"/>
        <v>0.13199971232100741</v>
      </c>
      <c r="AH27" s="12">
        <f si="15" t="shared"/>
        <v>9.3747110594969915E-2</v>
      </c>
      <c r="AI27" s="12">
        <f si="16" t="shared"/>
        <v>2.7783269444422554E-2</v>
      </c>
    </row>
    <row ht="13.5" r="28" spans="1:35" thickBot="1" x14ac:dyDescent="0.25">
      <c r="A28" s="10" t="s">
        <v>221</v>
      </c>
      <c r="B28" s="14">
        <f ref="B28:K28" si="29" t="shared">B12/B$12</f>
        <v>1</v>
      </c>
      <c r="C28" s="14">
        <f si="29" t="shared"/>
        <v>1</v>
      </c>
      <c r="D28" s="14">
        <f si="29" t="shared"/>
        <v>1</v>
      </c>
      <c r="E28" s="14">
        <f si="29" t="shared"/>
        <v>1</v>
      </c>
      <c r="F28" s="14">
        <f si="29" t="shared"/>
        <v>1</v>
      </c>
      <c r="G28" s="14">
        <f si="29" t="shared"/>
        <v>1</v>
      </c>
      <c r="H28" s="14"/>
      <c r="I28" s="14">
        <f si="29" t="shared"/>
        <v>1</v>
      </c>
      <c r="J28" s="14">
        <f si="29" t="shared"/>
        <v>1</v>
      </c>
      <c r="K28" s="14">
        <f si="29" t="shared"/>
        <v>1</v>
      </c>
      <c r="L28"/>
      <c r="M28" s="10" t="s">
        <v>221</v>
      </c>
      <c r="N28" s="14">
        <f ref="N28:W28" si="30" t="shared">N12/N$12</f>
        <v>1</v>
      </c>
      <c r="O28" s="14">
        <f si="30" t="shared"/>
        <v>1</v>
      </c>
      <c r="P28" s="14">
        <f si="30" t="shared"/>
        <v>1</v>
      </c>
      <c r="Q28" s="14">
        <f si="30" t="shared"/>
        <v>1</v>
      </c>
      <c r="R28" s="14">
        <f si="30" t="shared"/>
        <v>1</v>
      </c>
      <c r="S28" s="14">
        <f si="30" t="shared"/>
        <v>1</v>
      </c>
      <c r="T28" s="14"/>
      <c r="U28" s="14">
        <f si="30" t="shared"/>
        <v>1</v>
      </c>
      <c r="V28" s="14">
        <f si="30" t="shared"/>
        <v>1</v>
      </c>
      <c r="W28" s="14">
        <f si="30" t="shared"/>
        <v>1</v>
      </c>
      <c r="X28"/>
      <c r="Y28" s="10" t="s">
        <v>221</v>
      </c>
      <c r="Z28" s="14">
        <f si="13" t="shared"/>
        <v>0</v>
      </c>
      <c r="AA28" s="14">
        <f si="13" t="shared"/>
        <v>0</v>
      </c>
      <c r="AB28" s="14">
        <f si="13" t="shared"/>
        <v>0</v>
      </c>
      <c r="AC28" s="14">
        <f si="13" t="shared"/>
        <v>0</v>
      </c>
      <c r="AD28" s="14">
        <f si="13" t="shared"/>
        <v>0</v>
      </c>
      <c r="AE28" s="14">
        <f si="13" t="shared"/>
        <v>0</v>
      </c>
      <c r="AF28" s="14"/>
      <c r="AG28" s="14">
        <f si="14" t="shared"/>
        <v>0</v>
      </c>
      <c r="AH28" s="14">
        <f si="15" t="shared"/>
        <v>0</v>
      </c>
      <c r="AI28" s="14">
        <f si="16" t="shared"/>
        <v>0</v>
      </c>
    </row>
    <row r="29" spans="1:35" x14ac:dyDescent="0.2">
      <c r="L29"/>
      <c r="X29"/>
    </row>
    <row r="30" spans="1:35" x14ac:dyDescent="0.2">
      <c r="L30"/>
      <c r="X30"/>
    </row>
    <row r="31" spans="1:35" x14ac:dyDescent="0.2">
      <c r="L31"/>
      <c r="X31"/>
    </row>
    <row r="32" spans="1:35" x14ac:dyDescent="0.2">
      <c r="L32"/>
      <c r="X32"/>
    </row>
    <row r="33" spans="1:33" x14ac:dyDescent="0.2">
      <c r="A33" s="2" t="s">
        <v>175</v>
      </c>
      <c r="L33"/>
      <c r="M33" s="2" t="s">
        <v>175</v>
      </c>
      <c r="X33"/>
      <c r="Y33" s="2" t="s">
        <v>175</v>
      </c>
    </row>
    <row r="34" spans="1:33" x14ac:dyDescent="0.2">
      <c r="A34" s="2" t="s">
        <v>274</v>
      </c>
      <c r="L34"/>
      <c r="M34" s="2" t="s">
        <v>197</v>
      </c>
      <c r="X34"/>
      <c r="Y34" s="2" t="s">
        <v>161</v>
      </c>
    </row>
    <row ht="13.5" r="35" spans="1:33" thickBot="1" x14ac:dyDescent="0.25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x14ac:dyDescent="0.2">
      <c r="A36" s="5" t="s">
        <v>144</v>
      </c>
      <c r="B36" s="6" t="s">
        <v>296</v>
      </c>
      <c r="C36" s="6" t="s">
        <v>297</v>
      </c>
      <c r="D36" s="6" t="s">
        <v>298</v>
      </c>
      <c r="E36" s="6" t="s">
        <v>301</v>
      </c>
      <c r="F36" s="6" t="s">
        <v>172</v>
      </c>
      <c r="G36" s="6" t="s">
        <v>221</v>
      </c>
      <c r="H36" s="89"/>
      <c r="I36"/>
      <c r="L36"/>
      <c r="M36" s="5" t="s">
        <v>144</v>
      </c>
      <c r="N36" s="6" t="s">
        <v>296</v>
      </c>
      <c r="O36" s="6" t="s">
        <v>297</v>
      </c>
      <c r="P36" s="6" t="s">
        <v>298</v>
      </c>
      <c r="Q36" s="6" t="s">
        <v>301</v>
      </c>
      <c r="R36" s="6" t="s">
        <v>172</v>
      </c>
      <c r="S36" s="6" t="s">
        <v>221</v>
      </c>
      <c r="T36" s="89"/>
      <c r="X36"/>
      <c r="Y36" s="5" t="s">
        <v>144</v>
      </c>
      <c r="Z36" s="6" t="s">
        <v>296</v>
      </c>
      <c r="AA36" s="6" t="s">
        <v>297</v>
      </c>
      <c r="AB36" s="6" t="s">
        <v>298</v>
      </c>
      <c r="AC36" s="6" t="s">
        <v>301</v>
      </c>
      <c r="AD36" s="6" t="s">
        <v>172</v>
      </c>
      <c r="AE36" s="6" t="s">
        <v>221</v>
      </c>
      <c r="AF36" s="89"/>
      <c r="AG36"/>
    </row>
    <row r="37" spans="1:33" x14ac:dyDescent="0.2">
      <c r="A37" s="3" t="s">
        <v>210</v>
      </c>
      <c r="B37" s="7">
        <f>output_NHTS!B232</f>
        <v>2485.2287000000001</v>
      </c>
      <c r="C37" s="7">
        <f>output_NHTS!C232</f>
        <v>86538.9329</v>
      </c>
      <c r="D37" s="7">
        <f>output_NHTS!D232</f>
        <v>44027.546900000001</v>
      </c>
      <c r="E37" s="7">
        <f>output_NHTS!E232</f>
        <v>164733.38039999999</v>
      </c>
      <c r="F37" s="7"/>
      <c r="G37" s="7">
        <f>SUM(B37:E37)</f>
        <v>297785.08889999997</v>
      </c>
      <c r="H37" s="7"/>
      <c r="I37"/>
      <c r="L37"/>
      <c r="M37" s="3" t="s">
        <v>210</v>
      </c>
      <c r="N37" s="7">
        <f>output!B232</f>
        <v>5459.9641300335934</v>
      </c>
      <c r="O37" s="7">
        <f>output!C232</f>
        <v>47820.51177287841</v>
      </c>
      <c r="P37" s="7">
        <f>output!D232</f>
        <v>45899.211027668396</v>
      </c>
      <c r="Q37" s="7">
        <f>output!E232</f>
        <v>165665.42498464751</v>
      </c>
      <c r="R37" s="7"/>
      <c r="S37" s="7">
        <f>SUM(N37:Q37)</f>
        <v>264845.1119152279</v>
      </c>
      <c r="T37" s="7"/>
      <c r="X37"/>
      <c r="Y37" s="3" t="s">
        <v>210</v>
      </c>
      <c r="Z37" s="7">
        <f ref="Z37:AD44" si="31" t="shared">N37-B37</f>
        <v>2974.7354300335933</v>
      </c>
      <c r="AA37" s="7">
        <f si="31" t="shared"/>
        <v>-38718.42112712159</v>
      </c>
      <c r="AB37" s="7">
        <f si="31" t="shared"/>
        <v>1871.6641276683949</v>
      </c>
      <c r="AC37" s="7">
        <f si="31" t="shared"/>
        <v>932.04458464751951</v>
      </c>
      <c r="AD37" s="7">
        <f si="31" t="shared"/>
        <v>0</v>
      </c>
      <c r="AE37" s="7">
        <f ref="AE37:AE44" si="32" t="shared">S37-G37</f>
        <v>-32939.976984772075</v>
      </c>
      <c r="AF37" s="7"/>
      <c r="AG37"/>
    </row>
    <row r="38" spans="1:33" x14ac:dyDescent="0.2">
      <c r="A38" s="3" t="s">
        <v>211</v>
      </c>
      <c r="B38" s="7">
        <f>output_NHTS!B233</f>
        <v>2299.152</v>
      </c>
      <c r="C38" s="7">
        <f>output_NHTS!C233</f>
        <v>8519.1494999999995</v>
      </c>
      <c r="D38" s="7">
        <f>output_NHTS!D233</f>
        <v>3941.2957999999999</v>
      </c>
      <c r="E38" s="7">
        <f>output_NHTS!E233</f>
        <v>24467.006600000001</v>
      </c>
      <c r="F38" s="7"/>
      <c r="G38" s="7">
        <f ref="G38:G43" si="33" t="shared">SUM(B38:E38)</f>
        <v>39226.603900000002</v>
      </c>
      <c r="H38" s="7"/>
      <c r="I38"/>
      <c r="L38"/>
      <c r="M38" s="3" t="s">
        <v>211</v>
      </c>
      <c r="N38" s="7">
        <f>output!B233</f>
        <v>8458.2849244378212</v>
      </c>
      <c r="O38" s="7">
        <f>output!C233</f>
        <v>22543.70153011549</v>
      </c>
      <c r="P38" s="7">
        <f>output!D233</f>
        <v>15671.482669145118</v>
      </c>
      <c r="Q38" s="7">
        <f>output!E233</f>
        <v>57432.983496729474</v>
      </c>
      <c r="R38" s="7"/>
      <c r="S38" s="7">
        <f ref="S38:S43" si="34" t="shared">SUM(N38:Q38)</f>
        <v>104106.45262042791</v>
      </c>
      <c r="T38" s="7"/>
      <c r="X38"/>
      <c r="Y38" s="3" t="s">
        <v>211</v>
      </c>
      <c r="Z38" s="7">
        <f si="31" t="shared"/>
        <v>6159.1329244378212</v>
      </c>
      <c r="AA38" s="7">
        <f si="31" t="shared"/>
        <v>14024.55203011549</v>
      </c>
      <c r="AB38" s="7">
        <f si="31" t="shared"/>
        <v>11730.186869145118</v>
      </c>
      <c r="AC38" s="7">
        <f si="31" t="shared"/>
        <v>32965.976896729473</v>
      </c>
      <c r="AD38" s="7">
        <f si="31" t="shared"/>
        <v>0</v>
      </c>
      <c r="AE38" s="7">
        <f si="32" t="shared"/>
        <v>64879.848720427908</v>
      </c>
      <c r="AF38" s="7"/>
      <c r="AG38"/>
    </row>
    <row r="39" spans="1:33" x14ac:dyDescent="0.2">
      <c r="A39" s="3" t="s">
        <v>212</v>
      </c>
      <c r="B39" s="7">
        <f>output_NHTS!B234</f>
        <v>9201.5738999999994</v>
      </c>
      <c r="C39" s="7">
        <f>output_NHTS!C234</f>
        <v>74539.947199999995</v>
      </c>
      <c r="D39" s="7">
        <f>output_NHTS!D234</f>
        <v>66793.489000000001</v>
      </c>
      <c r="E39" s="7">
        <f>output_NHTS!E234</f>
        <v>294244.41509999998</v>
      </c>
      <c r="F39" s="7"/>
      <c r="G39" s="7">
        <f si="33" t="shared"/>
        <v>444779.4252</v>
      </c>
      <c r="H39" s="7"/>
      <c r="I39"/>
      <c r="L39"/>
      <c r="M39" s="3" t="s">
        <v>212</v>
      </c>
      <c r="N39" s="7">
        <f>output!B234</f>
        <v>14132.591817472536</v>
      </c>
      <c r="O39" s="7">
        <f>output!C234</f>
        <v>77839.205587669916</v>
      </c>
      <c r="P39" s="7">
        <f>output!D234</f>
        <v>84783.072816907981</v>
      </c>
      <c r="Q39" s="7">
        <f>output!E234</f>
        <v>326449.93673881021</v>
      </c>
      <c r="R39" s="7"/>
      <c r="S39" s="7">
        <f si="34" t="shared"/>
        <v>503204.80696086062</v>
      </c>
      <c r="T39" s="7"/>
      <c r="X39"/>
      <c r="Y39" s="3" t="s">
        <v>212</v>
      </c>
      <c r="Z39" s="7">
        <f si="31" t="shared"/>
        <v>4931.0179174725363</v>
      </c>
      <c r="AA39" s="7">
        <f si="31" t="shared"/>
        <v>3299.2583876699209</v>
      </c>
      <c r="AB39" s="7">
        <f si="31" t="shared"/>
        <v>17989.58381690798</v>
      </c>
      <c r="AC39" s="7">
        <f si="31" t="shared"/>
        <v>32205.521638810227</v>
      </c>
      <c r="AD39" s="7">
        <f si="31" t="shared"/>
        <v>0</v>
      </c>
      <c r="AE39" s="7">
        <f si="32" t="shared"/>
        <v>58425.381760860619</v>
      </c>
      <c r="AF39" s="7"/>
      <c r="AG39"/>
    </row>
    <row r="40" spans="1:33" x14ac:dyDescent="0.2">
      <c r="A40" s="3" t="s">
        <v>213</v>
      </c>
      <c r="B40" s="7">
        <f>output_NHTS!B235</f>
        <v>40875.726600000002</v>
      </c>
      <c r="C40" s="7">
        <f>output_NHTS!C235</f>
        <v>266857.96419999999</v>
      </c>
      <c r="D40" s="7">
        <f>output_NHTS!D235</f>
        <v>137884.7164</v>
      </c>
      <c r="E40" s="7">
        <f>output_NHTS!E235</f>
        <v>356679.21500000003</v>
      </c>
      <c r="F40" s="7"/>
      <c r="G40" s="7">
        <f si="33" t="shared"/>
        <v>802297.6222000001</v>
      </c>
      <c r="H40" s="7"/>
      <c r="I40"/>
      <c r="L40"/>
      <c r="M40" s="3" t="s">
        <v>213</v>
      </c>
      <c r="N40" s="7">
        <f>output!B235</f>
        <v>76107.176862758832</v>
      </c>
      <c r="O40" s="7">
        <f>output!C235</f>
        <v>286575.15188637434</v>
      </c>
      <c r="P40" s="7">
        <f>output!D235</f>
        <v>192998.371351671</v>
      </c>
      <c r="Q40" s="7">
        <f>output!E235</f>
        <v>586052.93749061867</v>
      </c>
      <c r="R40" s="7"/>
      <c r="S40" s="7">
        <f si="34" t="shared"/>
        <v>1141733.637591423</v>
      </c>
      <c r="T40" s="7"/>
      <c r="X40"/>
      <c r="Y40" s="3" t="s">
        <v>213</v>
      </c>
      <c r="Z40" s="7">
        <f si="31" t="shared"/>
        <v>35231.45026275883</v>
      </c>
      <c r="AA40" s="7">
        <f si="31" t="shared"/>
        <v>19717.187686374353</v>
      </c>
      <c r="AB40" s="7">
        <f si="31" t="shared"/>
        <v>55113.654951670993</v>
      </c>
      <c r="AC40" s="7">
        <f si="31" t="shared"/>
        <v>229373.72249061865</v>
      </c>
      <c r="AD40" s="7">
        <f si="31" t="shared"/>
        <v>0</v>
      </c>
      <c r="AE40" s="7">
        <f si="32" t="shared"/>
        <v>339436.0153914229</v>
      </c>
      <c r="AF40" s="7"/>
      <c r="AG40"/>
    </row>
    <row r="41" spans="1:33" x14ac:dyDescent="0.2">
      <c r="A41" s="3" t="s">
        <v>214</v>
      </c>
      <c r="B41" s="7">
        <f>output_NHTS!B236</f>
        <v>38726.070599999999</v>
      </c>
      <c r="C41" s="7">
        <f>output_NHTS!C236</f>
        <v>320920.20299999998</v>
      </c>
      <c r="D41" s="7">
        <f>output_NHTS!D236</f>
        <v>162743.34700000001</v>
      </c>
      <c r="E41" s="7">
        <f>output_NHTS!E236</f>
        <v>462006.85369999998</v>
      </c>
      <c r="F41" s="7"/>
      <c r="G41" s="7">
        <f si="33" t="shared"/>
        <v>984396.47429999989</v>
      </c>
      <c r="H41" s="7"/>
      <c r="I41"/>
      <c r="L41"/>
      <c r="M41" s="3" t="s">
        <v>214</v>
      </c>
      <c r="N41" s="7">
        <f>output!B236</f>
        <v>95252.777289770747</v>
      </c>
      <c r="O41" s="7">
        <f>output!C236</f>
        <v>354280.51688894461</v>
      </c>
      <c r="P41" s="7">
        <f>output!D236</f>
        <v>262793.07828113664</v>
      </c>
      <c r="Q41" s="7">
        <f>output!E236</f>
        <v>823564.20829351339</v>
      </c>
      <c r="R41" s="7"/>
      <c r="S41" s="7">
        <f si="34" t="shared"/>
        <v>1535890.5807533653</v>
      </c>
      <c r="T41" s="7"/>
      <c r="X41"/>
      <c r="Y41" s="3" t="s">
        <v>214</v>
      </c>
      <c r="Z41" s="7">
        <f si="31" t="shared"/>
        <v>56526.706689770748</v>
      </c>
      <c r="AA41" s="7">
        <f si="31" t="shared"/>
        <v>33360.313888944627</v>
      </c>
      <c r="AB41" s="7">
        <f si="31" t="shared"/>
        <v>100049.73128113663</v>
      </c>
      <c r="AC41" s="7">
        <f si="31" t="shared"/>
        <v>361557.35459351342</v>
      </c>
      <c r="AD41" s="7">
        <f si="31" t="shared"/>
        <v>0</v>
      </c>
      <c r="AE41" s="7">
        <f si="32" t="shared"/>
        <v>551494.10645336541</v>
      </c>
      <c r="AF41" s="7"/>
      <c r="AG41"/>
    </row>
    <row r="42" spans="1:33" x14ac:dyDescent="0.2">
      <c r="A42" s="3" t="s">
        <v>129</v>
      </c>
      <c r="B42" s="7">
        <f>output_NHTS!B237</f>
        <v>14801.2716</v>
      </c>
      <c r="C42" s="7">
        <f>output_NHTS!C237</f>
        <v>115979.33840000001</v>
      </c>
      <c r="D42" s="7">
        <f>output_NHTS!D237</f>
        <v>79532.120500000005</v>
      </c>
      <c r="E42" s="7">
        <f>output_NHTS!E237</f>
        <v>233216.42989999999</v>
      </c>
      <c r="F42" s="7"/>
      <c r="G42" s="7">
        <f si="33" t="shared"/>
        <v>443529.16039999999</v>
      </c>
      <c r="H42" s="7"/>
      <c r="I42"/>
      <c r="L42"/>
      <c r="M42" s="3" t="s">
        <v>129</v>
      </c>
      <c r="N42" s="7">
        <f>output!B237</f>
        <v>32225.762161584531</v>
      </c>
      <c r="O42" s="7">
        <f>output!C237</f>
        <v>154639.47830533391</v>
      </c>
      <c r="P42" s="7">
        <f>output!D237</f>
        <v>125986.58030914421</v>
      </c>
      <c r="Q42" s="7">
        <f>output!E237</f>
        <v>422472.1622550289</v>
      </c>
      <c r="R42" s="7"/>
      <c r="S42" s="7">
        <f si="34" t="shared"/>
        <v>735323.98303109151</v>
      </c>
      <c r="T42" s="7"/>
      <c r="X42"/>
      <c r="Y42" s="3" t="s">
        <v>129</v>
      </c>
      <c r="Z42" s="7">
        <f si="31" t="shared"/>
        <v>17424.490561584531</v>
      </c>
      <c r="AA42" s="7">
        <f si="31" t="shared"/>
        <v>38660.139905333897</v>
      </c>
      <c r="AB42" s="7">
        <f si="31" t="shared"/>
        <v>46454.459809144202</v>
      </c>
      <c r="AC42" s="7">
        <f si="31" t="shared"/>
        <v>189255.73235502891</v>
      </c>
      <c r="AD42" s="7">
        <f si="31" t="shared"/>
        <v>0</v>
      </c>
      <c r="AE42" s="7">
        <f si="32" t="shared"/>
        <v>291794.82263109152</v>
      </c>
      <c r="AF42" s="7"/>
      <c r="AG42"/>
    </row>
    <row r="43" spans="1:33" x14ac:dyDescent="0.2">
      <c r="A43" s="3" t="s">
        <v>130</v>
      </c>
      <c r="B43" s="7">
        <f>output_NHTS!B238</f>
        <v>11926.9622</v>
      </c>
      <c r="C43" s="7">
        <f>output_NHTS!C238</f>
        <v>91677.203500000003</v>
      </c>
      <c r="D43" s="7">
        <f>output_NHTS!D238</f>
        <v>78208.240900000004</v>
      </c>
      <c r="E43" s="7">
        <f>output_NHTS!E238</f>
        <v>256161.74799999999</v>
      </c>
      <c r="F43" s="9"/>
      <c r="G43" s="7">
        <f si="33" t="shared"/>
        <v>437974.15460000001</v>
      </c>
      <c r="H43" s="7"/>
      <c r="I43"/>
      <c r="L43"/>
      <c r="M43" s="3" t="s">
        <v>130</v>
      </c>
      <c r="N43" s="9">
        <f>output!B238</f>
        <v>35416.657947379746</v>
      </c>
      <c r="O43" s="9">
        <f>output!C238</f>
        <v>165997.55504251664</v>
      </c>
      <c r="P43" s="9">
        <f>output!D238</f>
        <v>135840.98030072241</v>
      </c>
      <c r="Q43" s="9">
        <f>output!E238</f>
        <v>468139.83057892666</v>
      </c>
      <c r="R43" s="9"/>
      <c r="S43" s="9">
        <f si="34" t="shared"/>
        <v>805395.02386954543</v>
      </c>
      <c r="T43" s="33"/>
      <c r="X43"/>
      <c r="Y43" s="3" t="s">
        <v>130</v>
      </c>
      <c r="Z43" s="9">
        <f si="31" t="shared"/>
        <v>23489.695747379745</v>
      </c>
      <c r="AA43" s="9">
        <f si="31" t="shared"/>
        <v>74320.351542516641</v>
      </c>
      <c r="AB43" s="9">
        <f si="31" t="shared"/>
        <v>57632.739400722407</v>
      </c>
      <c r="AC43" s="9">
        <f si="31" t="shared"/>
        <v>211978.08257892667</v>
      </c>
      <c r="AD43" s="9">
        <f si="31" t="shared"/>
        <v>0</v>
      </c>
      <c r="AE43" s="9">
        <f si="32" t="shared"/>
        <v>367420.86926954542</v>
      </c>
      <c r="AF43" s="33"/>
      <c r="AG43"/>
    </row>
    <row ht="13.5" r="44" spans="1:33" thickBot="1" x14ac:dyDescent="0.25">
      <c r="A44" s="10" t="s">
        <v>221</v>
      </c>
      <c r="B44" s="11">
        <f>SUM(B37:B43)</f>
        <v>120315.9856</v>
      </c>
      <c r="C44" s="11">
        <f>SUM(C37:C43)</f>
        <v>965032.7387000001</v>
      </c>
      <c r="D44" s="11">
        <f>SUM(D37:D43)</f>
        <v>573130.75650000002</v>
      </c>
      <c r="E44" s="11">
        <f>SUM(E37:E43)</f>
        <v>1791509.0486999999</v>
      </c>
      <c r="F44" s="11"/>
      <c r="G44" s="11">
        <f>SUM(G37:G43)</f>
        <v>3449988.5294999997</v>
      </c>
      <c r="H44" s="33"/>
      <c r="I44"/>
      <c r="L44"/>
      <c r="M44" s="10" t="s">
        <v>221</v>
      </c>
      <c r="N44" s="11">
        <f>SUM(N37:N43)</f>
        <v>267053.21513343777</v>
      </c>
      <c r="O44" s="11">
        <f>SUM(O37:O43)</f>
        <v>1109696.1210138332</v>
      </c>
      <c r="P44" s="11">
        <f>SUM(P37:P43)</f>
        <v>863972.77675639582</v>
      </c>
      <c r="Q44" s="11">
        <f>SUM(Q37:Q43)</f>
        <v>2849777.4838382746</v>
      </c>
      <c r="R44" s="11"/>
      <c r="S44" s="11">
        <f>SUM(S37:S43)</f>
        <v>5090499.5967419408</v>
      </c>
      <c r="T44" s="33"/>
      <c r="X44"/>
      <c r="Y44" s="10" t="s">
        <v>221</v>
      </c>
      <c r="Z44" s="11">
        <f si="31" t="shared"/>
        <v>146737.22953343776</v>
      </c>
      <c r="AA44" s="11">
        <f si="31" t="shared"/>
        <v>144663.38231383311</v>
      </c>
      <c r="AB44" s="11">
        <f si="31" t="shared"/>
        <v>290842.0202563958</v>
      </c>
      <c r="AC44" s="11">
        <f si="31" t="shared"/>
        <v>1058268.4351382747</v>
      </c>
      <c r="AD44" s="11">
        <f si="31" t="shared"/>
        <v>0</v>
      </c>
      <c r="AE44" s="11">
        <f si="32" t="shared"/>
        <v>1640511.0672419411</v>
      </c>
      <c r="AF44" s="33"/>
      <c r="AG44"/>
    </row>
    <row r="45" spans="1:33" x14ac:dyDescent="0.2">
      <c r="I45"/>
      <c r="L45"/>
      <c r="X45"/>
      <c r="AG45"/>
    </row>
    <row r="46" spans="1:33" x14ac:dyDescent="0.2">
      <c r="A46" s="25" t="s">
        <v>88</v>
      </c>
      <c r="B46" s="33">
        <f>ToursByTourPurpose!B50</f>
        <v>119572.32399999999</v>
      </c>
      <c r="C46" s="33">
        <f>ToursByTourPurpose!C50</f>
        <v>834810.03260000004</v>
      </c>
      <c r="D46" s="33">
        <f>ToursByTourPurpose!D50</f>
        <v>590147.33030000003</v>
      </c>
      <c r="E46" s="33">
        <f>ToursByTourPurpose!E50</f>
        <v>1852875.3618999999</v>
      </c>
      <c r="F46" s="7"/>
      <c r="G46" s="33">
        <f>ToursByTourPurpose!G50</f>
        <v>3397405.0488</v>
      </c>
      <c r="H46" s="33"/>
      <c r="I46"/>
      <c r="L46"/>
      <c r="M46" s="25" t="s">
        <v>88</v>
      </c>
      <c r="N46" s="33">
        <f>ToursByTourPurpose!N50</f>
        <v>229472.39050954158</v>
      </c>
      <c r="O46" s="33">
        <f>ToursByTourPurpose!O50</f>
        <v>870027.32078039099</v>
      </c>
      <c r="P46" s="33">
        <f>ToursByTourPurpose!P50</f>
        <v>650117.12699459423</v>
      </c>
      <c r="Q46" s="33">
        <f>ToursByTourPurpose!Q50</f>
        <v>1992857.9801793641</v>
      </c>
      <c r="R46" s="33" t="e">
        <f>ToursByTourPurpose!#REF!</f>
        <v>#REF!</v>
      </c>
      <c r="S46" s="33">
        <f>ToursByTourPurpose!S50</f>
        <v>3742474.8184638908</v>
      </c>
      <c r="T46" s="33"/>
      <c r="X46"/>
      <c r="Y46" s="25" t="s">
        <v>88</v>
      </c>
      <c r="Z46" s="7">
        <f ref="Z46:AC47" si="35" t="shared">N46-B46</f>
        <v>109900.06650954159</v>
      </c>
      <c r="AA46" s="7">
        <f si="35" t="shared"/>
        <v>35217.288180390955</v>
      </c>
      <c r="AB46" s="7">
        <f si="35" t="shared"/>
        <v>59969.796694594203</v>
      </c>
      <c r="AC46" s="7">
        <f si="35" t="shared"/>
        <v>139982.61827936419</v>
      </c>
      <c r="AD46" s="7"/>
      <c r="AE46" s="7">
        <f>S46-G46</f>
        <v>345069.76966389082</v>
      </c>
      <c r="AF46" s="7"/>
      <c r="AG46"/>
    </row>
    <row r="47" spans="1:33" x14ac:dyDescent="0.2">
      <c r="A47" s="25" t="s">
        <v>90</v>
      </c>
      <c r="B47" s="38">
        <f ref="B47:G47" si="36" t="shared">B44/B46</f>
        <v>1.0062193455401938</v>
      </c>
      <c r="C47" s="38">
        <f si="36" t="shared"/>
        <v>1.1559908254748974</v>
      </c>
      <c r="D47" s="38">
        <f si="36" t="shared"/>
        <v>0.97116554981050296</v>
      </c>
      <c r="E47" s="38">
        <f si="36" t="shared"/>
        <v>0.96688049587044378</v>
      </c>
      <c r="F47" s="38" t="e">
        <f si="36" t="shared"/>
        <v>#DIV/0!</v>
      </c>
      <c r="G47" s="38">
        <f si="36" t="shared"/>
        <v>1.0154775424021263</v>
      </c>
      <c r="H47" s="38"/>
      <c r="I47"/>
      <c r="L47"/>
      <c r="M47" s="25" t="s">
        <v>90</v>
      </c>
      <c r="N47" s="38">
        <f ref="N47:S47" si="37" t="shared">N44/N46</f>
        <v>1.1637705718777247</v>
      </c>
      <c r="O47" s="38">
        <f si="37" t="shared"/>
        <v>1.2754727288546133</v>
      </c>
      <c r="P47" s="38">
        <f si="37" t="shared"/>
        <v>1.3289494167772937</v>
      </c>
      <c r="Q47" s="38">
        <f si="37" t="shared"/>
        <v>1.429995269197148</v>
      </c>
      <c r="R47" s="38" t="e">
        <f si="37" t="shared"/>
        <v>#REF!</v>
      </c>
      <c r="S47" s="38">
        <f si="37" t="shared"/>
        <v>1.3601960851219168</v>
      </c>
      <c r="T47" s="38"/>
      <c r="X47"/>
      <c r="Y47" s="25" t="s">
        <v>90</v>
      </c>
      <c r="Z47" s="38">
        <f si="35" t="shared"/>
        <v>0.15755122633753094</v>
      </c>
      <c r="AA47" s="38">
        <f si="35" t="shared"/>
        <v>0.11948190337971587</v>
      </c>
      <c r="AB47" s="38">
        <f si="35" t="shared"/>
        <v>0.35778386696679076</v>
      </c>
      <c r="AC47" s="38">
        <f si="35" t="shared"/>
        <v>0.46311477332670425</v>
      </c>
      <c r="AD47" s="38"/>
      <c r="AE47" s="38">
        <f>S47-G47</f>
        <v>0.34471854271979052</v>
      </c>
      <c r="AF47" s="38"/>
      <c r="AG47"/>
    </row>
    <row r="48" spans="1:33" x14ac:dyDescent="0.2">
      <c r="I48"/>
      <c r="L48"/>
      <c r="X48"/>
      <c r="AG48"/>
    </row>
    <row r="49" spans="1:41" x14ac:dyDescent="0.2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x14ac:dyDescent="0.2">
      <c r="A50" s="2" t="s">
        <v>275</v>
      </c>
      <c r="I50"/>
      <c r="L50"/>
      <c r="M50" s="2" t="s">
        <v>188</v>
      </c>
      <c r="X50"/>
      <c r="Y50" s="2" t="s">
        <v>196</v>
      </c>
      <c r="AG50"/>
    </row>
    <row ht="13.5" r="51" spans="1:41" thickBot="1" x14ac:dyDescent="0.25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x14ac:dyDescent="0.2">
      <c r="A52" s="5" t="s">
        <v>144</v>
      </c>
      <c r="B52" s="6" t="s">
        <v>296</v>
      </c>
      <c r="C52" s="6" t="s">
        <v>297</v>
      </c>
      <c r="D52" s="6" t="s">
        <v>298</v>
      </c>
      <c r="E52" s="6" t="s">
        <v>301</v>
      </c>
      <c r="F52" s="6" t="s">
        <v>172</v>
      </c>
      <c r="G52" s="6" t="s">
        <v>221</v>
      </c>
      <c r="H52" s="89"/>
      <c r="I52"/>
      <c r="L52"/>
      <c r="M52" s="5" t="s">
        <v>144</v>
      </c>
      <c r="N52" s="6" t="s">
        <v>296</v>
      </c>
      <c r="O52" s="6" t="s">
        <v>297</v>
      </c>
      <c r="P52" s="6" t="s">
        <v>298</v>
      </c>
      <c r="Q52" s="6" t="s">
        <v>301</v>
      </c>
      <c r="R52" s="6" t="s">
        <v>172</v>
      </c>
      <c r="S52" s="6" t="s">
        <v>221</v>
      </c>
      <c r="T52" s="89"/>
      <c r="X52"/>
      <c r="Y52" s="5" t="s">
        <v>144</v>
      </c>
      <c r="Z52" s="6" t="s">
        <v>296</v>
      </c>
      <c r="AA52" s="6" t="s">
        <v>297</v>
      </c>
      <c r="AB52" s="6" t="s">
        <v>298</v>
      </c>
      <c r="AC52" s="6" t="s">
        <v>301</v>
      </c>
      <c r="AD52" s="6" t="s">
        <v>172</v>
      </c>
      <c r="AE52" s="6" t="s">
        <v>221</v>
      </c>
      <c r="AF52" s="89"/>
      <c r="AG52"/>
    </row>
    <row r="53" spans="1:41" x14ac:dyDescent="0.2">
      <c r="A53" s="3" t="s">
        <v>210</v>
      </c>
      <c r="B53" s="12">
        <f ref="B53:G60" si="38" t="shared">B37/B$44</f>
        <v>2.0655847912532083E-2</v>
      </c>
      <c r="C53" s="12">
        <f si="38" t="shared"/>
        <v>8.9674608362589836E-2</v>
      </c>
      <c r="D53" s="12">
        <f si="38" t="shared"/>
        <v>7.6819375684647973E-2</v>
      </c>
      <c r="E53" s="12">
        <f si="38" t="shared"/>
        <v>9.1952301619429716E-2</v>
      </c>
      <c r="F53" s="12" t="e">
        <f si="38" t="shared"/>
        <v>#DIV/0!</v>
      </c>
      <c r="G53" s="12">
        <f si="38" t="shared"/>
        <v>8.6314805499703329E-2</v>
      </c>
      <c r="H53" s="12"/>
      <c r="I53"/>
      <c r="L53"/>
      <c r="M53" s="3" t="s">
        <v>210</v>
      </c>
      <c r="N53" s="12">
        <f ref="N53:Q60" si="39" t="shared">N37/N$44</f>
        <v>2.0445228967962165E-2</v>
      </c>
      <c r="O53" s="12">
        <f si="39" t="shared"/>
        <v>4.3093339579477807E-2</v>
      </c>
      <c r="P53" s="12">
        <f si="39" t="shared"/>
        <v>5.3125760744438429E-2</v>
      </c>
      <c r="Q53" s="12">
        <f si="39" t="shared"/>
        <v>5.8132758057137156E-2</v>
      </c>
      <c r="R53" s="12" t="e">
        <f ref="R53:S60" si="40" t="shared">R37/R$44</f>
        <v>#DIV/0!</v>
      </c>
      <c r="S53" s="12">
        <f si="40" t="shared"/>
        <v>5.2027331872246098E-2</v>
      </c>
      <c r="T53" s="12"/>
      <c r="X53"/>
      <c r="Y53" s="3" t="s">
        <v>210</v>
      </c>
      <c r="Z53" s="12">
        <f ref="Z53:AC60" si="41" t="shared">N53-B53</f>
        <v>-2.1061894456991803E-4</v>
      </c>
      <c r="AA53" s="12">
        <f si="41" t="shared"/>
        <v>-4.6581268783112029E-2</v>
      </c>
      <c r="AB53" s="12">
        <f si="41" t="shared"/>
        <v>-2.3693614940209544E-2</v>
      </c>
      <c r="AC53" s="12">
        <f si="41" t="shared"/>
        <v>-3.381954356229256E-2</v>
      </c>
      <c r="AD53" s="12"/>
      <c r="AE53" s="12">
        <f ref="AE53:AE60" si="42" t="shared">S53-G53</f>
        <v>-3.4287473627457231E-2</v>
      </c>
      <c r="AF53" s="12"/>
      <c r="AG53"/>
    </row>
    <row r="54" spans="1:41" x14ac:dyDescent="0.2">
      <c r="A54" s="3" t="s">
        <v>211</v>
      </c>
      <c r="B54" s="12">
        <f si="38" t="shared"/>
        <v>1.9109281185990635E-2</v>
      </c>
      <c r="C54" s="12">
        <f si="38" t="shared"/>
        <v>8.8278347027647818E-3</v>
      </c>
      <c r="D54" s="12">
        <f si="38" t="shared"/>
        <v>6.8767829248402926E-3</v>
      </c>
      <c r="E54" s="12">
        <f si="38" t="shared"/>
        <v>1.3657205146551936E-2</v>
      </c>
      <c r="F54" s="12" t="e">
        <f si="38" t="shared"/>
        <v>#DIV/0!</v>
      </c>
      <c r="G54" s="12">
        <f si="38" t="shared"/>
        <v>1.1370067918946108E-2</v>
      </c>
      <c r="H54" s="12"/>
      <c r="I54"/>
      <c r="L54"/>
      <c r="M54" s="3" t="s">
        <v>211</v>
      </c>
      <c r="N54" s="12">
        <f si="39" t="shared"/>
        <v>3.1672657152663347E-2</v>
      </c>
      <c r="O54" s="12">
        <f si="39" t="shared"/>
        <v>2.0315202606565178E-2</v>
      </c>
      <c r="P54" s="12">
        <f si="39" t="shared"/>
        <v>1.8138861652540032E-2</v>
      </c>
      <c r="Q54" s="12">
        <f si="39" t="shared"/>
        <v>2.0153497535314518E-2</v>
      </c>
      <c r="R54" s="12" t="e">
        <f si="40" t="shared"/>
        <v>#DIV/0!</v>
      </c>
      <c r="S54" s="12">
        <f si="40" t="shared"/>
        <v>2.0451126778805541E-2</v>
      </c>
      <c r="T54" s="12"/>
      <c r="X54"/>
      <c r="Y54" s="3" t="s">
        <v>211</v>
      </c>
      <c r="Z54" s="12">
        <f si="41" t="shared"/>
        <v>1.2563375966672712E-2</v>
      </c>
      <c r="AA54" s="12">
        <f si="41" t="shared"/>
        <v>1.1487367903800396E-2</v>
      </c>
      <c r="AB54" s="12">
        <f si="41" t="shared"/>
        <v>1.1262078727699739E-2</v>
      </c>
      <c r="AC54" s="12">
        <f si="41" t="shared"/>
        <v>6.4962923887625819E-3</v>
      </c>
      <c r="AD54" s="12"/>
      <c r="AE54" s="12">
        <f si="42" t="shared"/>
        <v>9.0810588598594331E-3</v>
      </c>
      <c r="AF54" s="12"/>
      <c r="AG54"/>
    </row>
    <row r="55" spans="1:41" x14ac:dyDescent="0.2">
      <c r="A55" s="3" t="s">
        <v>212</v>
      </c>
      <c r="B55" s="12">
        <f si="38" t="shared"/>
        <v>7.6478398561196675E-2</v>
      </c>
      <c r="C55" s="12">
        <f si="38" t="shared"/>
        <v>7.7240848119218303E-2</v>
      </c>
      <c r="D55" s="12">
        <f si="38" t="shared"/>
        <v>0.11654144929840281</v>
      </c>
      <c r="E55" s="12">
        <f si="38" t="shared"/>
        <v>0.16424388998398698</v>
      </c>
      <c r="F55" s="12" t="e">
        <f si="38" t="shared"/>
        <v>#DIV/0!</v>
      </c>
      <c r="G55" s="12">
        <f si="38" t="shared"/>
        <v>0.12892200115936647</v>
      </c>
      <c r="H55" s="12"/>
      <c r="I55"/>
      <c r="L55"/>
      <c r="M55" s="3" t="s">
        <v>212</v>
      </c>
      <c r="N55" s="12">
        <f si="39" t="shared"/>
        <v>5.2920508035864469E-2</v>
      </c>
      <c r="O55" s="12">
        <f si="39" t="shared"/>
        <v>7.0144613569122855E-2</v>
      </c>
      <c r="P55" s="12">
        <f si="39" t="shared"/>
        <v>9.8131648470693958E-2</v>
      </c>
      <c r="Q55" s="12">
        <f si="39" t="shared"/>
        <v>0.11455278125754759</v>
      </c>
      <c r="R55" s="12" t="e">
        <f si="40" t="shared"/>
        <v>#DIV/0!</v>
      </c>
      <c r="S55" s="12">
        <f si="40" t="shared"/>
        <v>9.8851752641906793E-2</v>
      </c>
      <c r="T55" s="12"/>
      <c r="X55"/>
      <c r="Y55" s="3" t="s">
        <v>212</v>
      </c>
      <c r="Z55" s="12">
        <f si="41" t="shared"/>
        <v>-2.3557890525332206E-2</v>
      </c>
      <c r="AA55" s="12">
        <f si="41" t="shared"/>
        <v>-7.0962345500954482E-3</v>
      </c>
      <c r="AB55" s="12">
        <f si="41" t="shared"/>
        <v>-1.840980082770885E-2</v>
      </c>
      <c r="AC55" s="12">
        <f si="41" t="shared"/>
        <v>-4.9691108726439392E-2</v>
      </c>
      <c r="AD55" s="12"/>
      <c r="AE55" s="12">
        <f si="42" t="shared"/>
        <v>-3.007024851745968E-2</v>
      </c>
      <c r="AF55" s="12"/>
      <c r="AG55"/>
    </row>
    <row r="56" spans="1:41" x14ac:dyDescent="0.2">
      <c r="A56" s="3" t="s">
        <v>213</v>
      </c>
      <c r="B56" s="12">
        <f si="38" t="shared"/>
        <v>0.33973645643310096</v>
      </c>
      <c r="C56" s="12">
        <f si="38" t="shared"/>
        <v>0.27652736896728036</v>
      </c>
      <c r="D56" s="12">
        <f si="38" t="shared"/>
        <v>0.24058160347568086</v>
      </c>
      <c r="E56" s="12">
        <f si="38" t="shared"/>
        <v>0.19909428604830248</v>
      </c>
      <c r="F56" s="12" t="e">
        <f si="38" t="shared"/>
        <v>#DIV/0!</v>
      </c>
      <c r="G56" s="12">
        <f si="38" t="shared"/>
        <v>0.23255080860117397</v>
      </c>
      <c r="H56" s="12"/>
      <c r="I56"/>
      <c r="L56"/>
      <c r="M56" s="3" t="s">
        <v>213</v>
      </c>
      <c r="N56" s="12">
        <f si="39" t="shared"/>
        <v>0.28498880578812941</v>
      </c>
      <c r="O56" s="12">
        <f si="39" t="shared"/>
        <v>0.2582465113283044</v>
      </c>
      <c r="P56" s="12">
        <f si="39" t="shared"/>
        <v>0.22338478311347126</v>
      </c>
      <c r="Q56" s="12">
        <f si="39" t="shared"/>
        <v>0.20564866583944041</v>
      </c>
      <c r="R56" s="12" t="e">
        <f si="40" t="shared"/>
        <v>#DIV/0!</v>
      </c>
      <c r="S56" s="12">
        <f si="40" t="shared"/>
        <v>0.22428714822454043</v>
      </c>
      <c r="T56" s="12"/>
      <c r="X56"/>
      <c r="Y56" s="3" t="s">
        <v>213</v>
      </c>
      <c r="Z56" s="12">
        <f si="41" t="shared"/>
        <v>-5.4747650644971557E-2</v>
      </c>
      <c r="AA56" s="12">
        <f si="41" t="shared"/>
        <v>-1.8280857638975967E-2</v>
      </c>
      <c r="AB56" s="12">
        <f si="41" t="shared"/>
        <v>-1.7196820362209597E-2</v>
      </c>
      <c r="AC56" s="12">
        <f si="41" t="shared"/>
        <v>6.554379791137932E-3</v>
      </c>
      <c r="AD56" s="12"/>
      <c r="AE56" s="12">
        <f si="42" t="shared"/>
        <v>-8.2636603766335359E-3</v>
      </c>
      <c r="AF56" s="12"/>
      <c r="AG56"/>
    </row>
    <row r="57" spans="1:41" x14ac:dyDescent="0.2">
      <c r="A57" s="3" t="s">
        <v>214</v>
      </c>
      <c r="B57" s="12">
        <f si="38" t="shared"/>
        <v>0.32186970340539683</v>
      </c>
      <c r="C57" s="12">
        <f si="38" t="shared"/>
        <v>0.33254851377613676</v>
      </c>
      <c r="D57" s="12">
        <f si="38" t="shared"/>
        <v>0.28395500530078427</v>
      </c>
      <c r="E57" s="12">
        <f si="38" t="shared"/>
        <v>0.2578869774814998</v>
      </c>
      <c r="F57" s="12" t="e">
        <f si="38" t="shared"/>
        <v>#DIV/0!</v>
      </c>
      <c r="G57" s="12">
        <f si="38" t="shared"/>
        <v>0.28533326006236509</v>
      </c>
      <c r="H57" s="12"/>
      <c r="I57"/>
      <c r="L57"/>
      <c r="M57" s="3" t="s">
        <v>214</v>
      </c>
      <c r="N57" s="12">
        <f si="39" t="shared"/>
        <v>0.35668088565110906</v>
      </c>
      <c r="O57" s="12">
        <f si="39" t="shared"/>
        <v>0.31925903874050598</v>
      </c>
      <c r="P57" s="12">
        <f si="39" t="shared"/>
        <v>0.30416823926760517</v>
      </c>
      <c r="Q57" s="12">
        <f si="39" t="shared"/>
        <v>0.28899246097778869</v>
      </c>
      <c r="R57" s="12" t="e">
        <f si="40" t="shared"/>
        <v>#DIV/0!</v>
      </c>
      <c r="S57" s="12">
        <f si="40" t="shared"/>
        <v>0.30171706166844159</v>
      </c>
      <c r="T57" s="12"/>
      <c r="X57"/>
      <c r="Y57" s="3" t="s">
        <v>214</v>
      </c>
      <c r="Z57" s="12">
        <f si="41" t="shared"/>
        <v>3.4811182245712224E-2</v>
      </c>
      <c r="AA57" s="12">
        <f si="41" t="shared"/>
        <v>-1.3289475035630771E-2</v>
      </c>
      <c r="AB57" s="12">
        <f si="41" t="shared"/>
        <v>2.0213233966820898E-2</v>
      </c>
      <c r="AC57" s="12">
        <f si="41" t="shared"/>
        <v>3.1105483496288888E-2</v>
      </c>
      <c r="AD57" s="12"/>
      <c r="AE57" s="12">
        <f si="42" t="shared"/>
        <v>1.6383801606076498E-2</v>
      </c>
      <c r="AF57" s="12"/>
      <c r="AG57"/>
    </row>
    <row r="58" spans="1:41" x14ac:dyDescent="0.2">
      <c r="A58" s="3" t="s">
        <v>129</v>
      </c>
      <c r="B58" s="12">
        <f si="38" t="shared"/>
        <v>0.1230199921164923</v>
      </c>
      <c r="C58" s="12">
        <f si="38" t="shared"/>
        <v>0.12018176560127514</v>
      </c>
      <c r="D58" s="12">
        <f si="38" t="shared"/>
        <v>0.13876784590254318</v>
      </c>
      <c r="E58" s="12">
        <f si="38" t="shared"/>
        <v>0.13017876190423508</v>
      </c>
      <c r="F58" s="12" t="e">
        <f si="38" t="shared"/>
        <v>#DIV/0!</v>
      </c>
      <c r="G58" s="12">
        <f si="38" t="shared"/>
        <v>0.128559604360273</v>
      </c>
      <c r="H58" s="12"/>
      <c r="I58"/>
      <c r="L58"/>
      <c r="M58" s="3" t="s">
        <v>129</v>
      </c>
      <c r="N58" s="12">
        <f si="39" t="shared"/>
        <v>0.12067168764653281</v>
      </c>
      <c r="O58" s="12">
        <f si="39" t="shared"/>
        <v>0.13935299527230322</v>
      </c>
      <c r="P58" s="12">
        <f si="39" t="shared"/>
        <v>0.14582239591174892</v>
      </c>
      <c r="Q58" s="12">
        <f si="39" t="shared"/>
        <v>0.14824742094811366</v>
      </c>
      <c r="R58" s="12" t="e">
        <f si="40" t="shared"/>
        <v>#DIV/0!</v>
      </c>
      <c r="S58" s="12">
        <f si="40" t="shared"/>
        <v>0.14445025857613641</v>
      </c>
      <c r="T58" s="12"/>
      <c r="X58"/>
      <c r="Y58" s="3" t="s">
        <v>129</v>
      </c>
      <c r="Z58" s="12">
        <f si="41" t="shared"/>
        <v>-2.3483044699594835E-3</v>
      </c>
      <c r="AA58" s="12">
        <f si="41" t="shared"/>
        <v>1.9171229671028078E-2</v>
      </c>
      <c r="AB58" s="12">
        <f si="41" t="shared"/>
        <v>7.05455000920574E-3</v>
      </c>
      <c r="AC58" s="12">
        <f si="41" t="shared"/>
        <v>1.8068659043878582E-2</v>
      </c>
      <c r="AD58" s="12"/>
      <c r="AE58" s="12">
        <f si="42" t="shared"/>
        <v>1.5890654215863415E-2</v>
      </c>
      <c r="AF58" s="12"/>
      <c r="AG58"/>
    </row>
    <row r="59" spans="1:41" x14ac:dyDescent="0.2">
      <c r="A59" s="3" t="s">
        <v>130</v>
      </c>
      <c r="B59" s="13">
        <f si="38" t="shared"/>
        <v>9.9130320385290516E-2</v>
      </c>
      <c r="C59" s="13">
        <f si="38" t="shared"/>
        <v>9.499906047073467E-2</v>
      </c>
      <c r="D59" s="13">
        <f si="38" t="shared"/>
        <v>0.13645793741310061</v>
      </c>
      <c r="E59" s="13">
        <f si="38" t="shared"/>
        <v>0.14298657781599403</v>
      </c>
      <c r="F59" s="13" t="e">
        <f si="38" t="shared"/>
        <v>#DIV/0!</v>
      </c>
      <c r="G59" s="13">
        <f si="38" t="shared"/>
        <v>0.1269494523981721</v>
      </c>
      <c r="H59" s="34"/>
      <c r="I59"/>
      <c r="L59"/>
      <c r="M59" s="3" t="s">
        <v>130</v>
      </c>
      <c r="N59" s="13">
        <f si="39" t="shared"/>
        <v>0.13262022675773891</v>
      </c>
      <c r="O59" s="13">
        <f si="39" t="shared"/>
        <v>0.14958829890372066</v>
      </c>
      <c r="P59" s="13">
        <f si="39" t="shared"/>
        <v>0.15722831083950217</v>
      </c>
      <c r="Q59" s="13">
        <f si="39" t="shared"/>
        <v>0.16427241538465803</v>
      </c>
      <c r="R59" s="13" t="e">
        <f si="40" t="shared"/>
        <v>#DIV/0!</v>
      </c>
      <c r="S59" s="13">
        <f si="40" t="shared"/>
        <v>0.15821532023792326</v>
      </c>
      <c r="T59" s="34"/>
      <c r="X59"/>
      <c r="Y59" s="3" t="s">
        <v>130</v>
      </c>
      <c r="Z59" s="12">
        <f si="41" t="shared"/>
        <v>3.3489906372448391E-2</v>
      </c>
      <c r="AA59" s="12">
        <f si="41" t="shared"/>
        <v>5.4589238432985993E-2</v>
      </c>
      <c r="AB59" s="12">
        <f si="41" t="shared"/>
        <v>2.0770373426401562E-2</v>
      </c>
      <c r="AC59" s="12">
        <f si="41" t="shared"/>
        <v>2.1285837568664007E-2</v>
      </c>
      <c r="AD59" s="12"/>
      <c r="AE59" s="12">
        <f si="42" t="shared"/>
        <v>3.126586783975116E-2</v>
      </c>
      <c r="AF59" s="12"/>
      <c r="AG59"/>
    </row>
    <row ht="13.5" r="60" spans="1:41" thickBot="1" x14ac:dyDescent="0.25">
      <c r="A60" s="10" t="s">
        <v>221</v>
      </c>
      <c r="B60" s="17">
        <f si="38" t="shared"/>
        <v>1</v>
      </c>
      <c r="C60" s="17">
        <f si="38" t="shared"/>
        <v>1</v>
      </c>
      <c r="D60" s="17">
        <f si="38" t="shared"/>
        <v>1</v>
      </c>
      <c r="E60" s="17">
        <f si="38" t="shared"/>
        <v>1</v>
      </c>
      <c r="F60" s="17" t="e">
        <f si="38" t="shared"/>
        <v>#DIV/0!</v>
      </c>
      <c r="G60" s="17">
        <f si="38" t="shared"/>
        <v>1</v>
      </c>
      <c r="H60" s="34"/>
      <c r="I60"/>
      <c r="L60"/>
      <c r="M60" s="10" t="s">
        <v>221</v>
      </c>
      <c r="N60" s="17">
        <f si="39" t="shared"/>
        <v>1</v>
      </c>
      <c r="O60" s="17">
        <f si="39" t="shared"/>
        <v>1</v>
      </c>
      <c r="P60" s="17">
        <f si="39" t="shared"/>
        <v>1</v>
      </c>
      <c r="Q60" s="17">
        <f si="39" t="shared"/>
        <v>1</v>
      </c>
      <c r="R60" s="17" t="e">
        <f si="40" t="shared"/>
        <v>#DIV/0!</v>
      </c>
      <c r="S60" s="17">
        <f si="40" t="shared"/>
        <v>1</v>
      </c>
      <c r="T60" s="34"/>
      <c r="X60"/>
      <c r="Y60" s="10" t="s">
        <v>221</v>
      </c>
      <c r="Z60" s="14">
        <f si="41" t="shared"/>
        <v>0</v>
      </c>
      <c r="AA60" s="14">
        <f si="41" t="shared"/>
        <v>0</v>
      </c>
      <c r="AB60" s="14">
        <f si="41" t="shared"/>
        <v>0</v>
      </c>
      <c r="AC60" s="14">
        <f si="41" t="shared"/>
        <v>0</v>
      </c>
      <c r="AD60" s="14"/>
      <c r="AE60" s="14">
        <f si="42" t="shared"/>
        <v>0</v>
      </c>
      <c r="AF60" s="34"/>
      <c r="AG60"/>
    </row>
    <row r="61" spans="1:41" x14ac:dyDescent="0.2">
      <c r="I61"/>
      <c r="L61"/>
      <c r="X61"/>
      <c r="AG61"/>
    </row>
    <row r="62" spans="1:41" x14ac:dyDescent="0.2">
      <c r="L62"/>
      <c r="X62"/>
      <c r="AG62"/>
    </row>
    <row r="63" spans="1:41" x14ac:dyDescent="0.2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2">
      <c r="L64"/>
      <c r="X64"/>
      <c r="AG64"/>
      <c r="AH64"/>
      <c r="AI64"/>
      <c r="AJ64"/>
      <c r="AK64"/>
      <c r="AL64"/>
      <c r="AM64"/>
      <c r="AN64"/>
      <c r="AO64"/>
    </row>
    <row r="65" spans="1:41" x14ac:dyDescent="0.2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x14ac:dyDescent="0.2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ht="13.5" r="67" spans="1:41" thickBot="1" x14ac:dyDescent="0.25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x14ac:dyDescent="0.2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221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221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221</v>
      </c>
      <c r="AG68"/>
      <c r="AH68"/>
      <c r="AI68"/>
      <c r="AJ68"/>
      <c r="AK68"/>
      <c r="AL68"/>
      <c r="AM68"/>
      <c r="AN68"/>
      <c r="AO68"/>
    </row>
    <row r="69" spans="1:41" x14ac:dyDescent="0.2">
      <c r="A69" s="3" t="s">
        <v>210</v>
      </c>
      <c r="B69" s="7">
        <f>output_NHTS!B242</f>
        <v>8100.7168000000001</v>
      </c>
      <c r="C69" s="7">
        <f>output_NHTS!C242</f>
        <v>51651.133600000001</v>
      </c>
      <c r="D69" s="7">
        <f>output_NHTS!D242</f>
        <v>183995.62539999999</v>
      </c>
      <c r="E69" s="7">
        <f>output_NHTS!E242</f>
        <v>73430.959799999997</v>
      </c>
      <c r="F69" s="7">
        <f>output_NHTS!F242</f>
        <v>317178.43559999997</v>
      </c>
      <c r="L69"/>
      <c r="M69" s="3" t="s">
        <v>210</v>
      </c>
      <c r="N69" s="7">
        <f>output!B242</f>
        <v>8587.9516345813299</v>
      </c>
      <c r="O69" s="7">
        <f>output!C242</f>
        <v>64697.453179402437</v>
      </c>
      <c r="P69" s="7">
        <f>output!D242</f>
        <v>148194.96050813384</v>
      </c>
      <c r="Q69" s="7">
        <f>output!E242</f>
        <v>43364.746593110307</v>
      </c>
      <c r="R69" s="7">
        <f>output!F242</f>
        <v>264845.1119152279</v>
      </c>
      <c r="X69"/>
      <c r="Y69" s="3" t="s">
        <v>210</v>
      </c>
      <c r="Z69" s="7">
        <f ref="Z69:AB76" si="43" t="shared">N69-B69</f>
        <v>487.23483458132978</v>
      </c>
      <c r="AA69" s="7">
        <f si="43" t="shared"/>
        <v>13046.319579402436</v>
      </c>
      <c r="AB69" s="7">
        <f si="43" t="shared"/>
        <v>-35800.664891866152</v>
      </c>
      <c r="AC69" s="7">
        <f ref="AC69:AC76" si="44" t="shared">Q69-E69</f>
        <v>-30066.21320688969</v>
      </c>
      <c r="AD69" s="7">
        <f ref="AD69:AD76" si="45" t="shared">R69-F69</f>
        <v>-52333.323684772069</v>
      </c>
      <c r="AG69"/>
      <c r="AH69"/>
      <c r="AI69"/>
      <c r="AJ69"/>
      <c r="AK69"/>
      <c r="AL69"/>
      <c r="AM69"/>
      <c r="AN69"/>
      <c r="AO69"/>
    </row>
    <row r="70" spans="1:41" x14ac:dyDescent="0.2">
      <c r="A70" s="3" t="s">
        <v>211</v>
      </c>
      <c r="B70" s="7">
        <f>output_NHTS!B243</f>
        <v>10103.864799999999</v>
      </c>
      <c r="C70" s="7">
        <f>output_NHTS!C243</f>
        <v>9937.6767</v>
      </c>
      <c r="D70" s="7">
        <f>output_NHTS!D243</f>
        <v>25743.243299999998</v>
      </c>
      <c r="E70" s="7">
        <f>output_NHTS!E243</f>
        <v>5414.9170999999997</v>
      </c>
      <c r="F70" s="7">
        <f>output_NHTS!F243</f>
        <v>51199.701899999993</v>
      </c>
      <c r="L70"/>
      <c r="M70" s="3" t="s">
        <v>211</v>
      </c>
      <c r="N70" s="7">
        <f>output!B243</f>
        <v>4765.1459386389879</v>
      </c>
      <c r="O70" s="7">
        <f>output!C243</f>
        <v>35462.034322227861</v>
      </c>
      <c r="P70" s="7">
        <f>output!D243</f>
        <v>50560.600744910153</v>
      </c>
      <c r="Q70" s="7">
        <f>output!E243</f>
        <v>13318.671614650902</v>
      </c>
      <c r="R70" s="7">
        <f>output!F243</f>
        <v>104106.45262042791</v>
      </c>
      <c r="X70"/>
      <c r="Y70" s="3" t="s">
        <v>211</v>
      </c>
      <c r="Z70" s="7">
        <f si="43" t="shared"/>
        <v>-5338.7188613610115</v>
      </c>
      <c r="AA70" s="7">
        <f si="43" t="shared"/>
        <v>25524.357622227861</v>
      </c>
      <c r="AB70" s="7">
        <f si="43" t="shared"/>
        <v>24817.357444910154</v>
      </c>
      <c r="AC70" s="7">
        <f si="44" t="shared"/>
        <v>7903.7545146509028</v>
      </c>
      <c r="AD70" s="7">
        <f si="45" t="shared"/>
        <v>52906.750720427917</v>
      </c>
      <c r="AG70"/>
      <c r="AH70"/>
      <c r="AI70"/>
      <c r="AJ70"/>
      <c r="AK70"/>
      <c r="AL70"/>
      <c r="AM70"/>
      <c r="AN70"/>
      <c r="AO70"/>
    </row>
    <row r="71" spans="1:41" x14ac:dyDescent="0.2">
      <c r="A71" s="3" t="s">
        <v>212</v>
      </c>
      <c r="B71" s="7">
        <f>output_NHTS!B244</f>
        <v>1728.5329000000002</v>
      </c>
      <c r="C71" s="7">
        <f>output_NHTS!C244</f>
        <v>97484.4035</v>
      </c>
      <c r="D71" s="7">
        <f>output_NHTS!D244</f>
        <v>306216.32150000002</v>
      </c>
      <c r="E71" s="7">
        <f>output_NHTS!E244</f>
        <v>74545.618700000006</v>
      </c>
      <c r="F71" s="7">
        <f>output_NHTS!F244</f>
        <v>479974.87660000002</v>
      </c>
      <c r="L71"/>
      <c r="M71" s="3" t="s">
        <v>212</v>
      </c>
      <c r="N71" s="7">
        <f>output!B244</f>
        <v>9415.2706576478449</v>
      </c>
      <c r="O71" s="7">
        <f>output!C244</f>
        <v>136930.70396075846</v>
      </c>
      <c r="P71" s="7">
        <f>output!D244</f>
        <v>276471.82064106845</v>
      </c>
      <c r="Q71" s="7">
        <f>output!E244</f>
        <v>80387.011701385898</v>
      </c>
      <c r="R71" s="7">
        <f>output!F244</f>
        <v>503204.80696086067</v>
      </c>
      <c r="X71"/>
      <c r="Y71" s="3" t="s">
        <v>212</v>
      </c>
      <c r="Z71" s="7">
        <f si="43" t="shared"/>
        <v>7686.7377576478448</v>
      </c>
      <c r="AA71" s="7">
        <f si="43" t="shared"/>
        <v>39446.300460758459</v>
      </c>
      <c r="AB71" s="7">
        <f si="43" t="shared"/>
        <v>-29744.500858931569</v>
      </c>
      <c r="AC71" s="7">
        <f si="44" t="shared"/>
        <v>5841.3930013858917</v>
      </c>
      <c r="AD71" s="7">
        <f si="45" t="shared"/>
        <v>23229.930360860657</v>
      </c>
      <c r="AG71"/>
      <c r="AH71"/>
      <c r="AI71"/>
      <c r="AJ71"/>
      <c r="AK71"/>
      <c r="AL71"/>
      <c r="AM71"/>
      <c r="AN71"/>
      <c r="AO71"/>
    </row>
    <row r="72" spans="1:41" x14ac:dyDescent="0.2">
      <c r="A72" s="3" t="s">
        <v>213</v>
      </c>
      <c r="B72" s="7">
        <f>output_NHTS!B245</f>
        <v>41604.058299999997</v>
      </c>
      <c r="C72" s="7">
        <f>output_NHTS!C245</f>
        <v>177124.9871</v>
      </c>
      <c r="D72" s="7">
        <f>output_NHTS!D245</f>
        <v>516472.0294</v>
      </c>
      <c r="E72" s="7">
        <f>output_NHTS!E245</f>
        <v>166534.50659999999</v>
      </c>
      <c r="F72" s="7">
        <f>output_NHTS!F245</f>
        <v>901735.58140000002</v>
      </c>
      <c r="L72"/>
      <c r="M72" s="3" t="s">
        <v>213</v>
      </c>
      <c r="N72" s="7">
        <f>output!B245</f>
        <v>48600.247611096034</v>
      </c>
      <c r="O72" s="7">
        <f>output!C245</f>
        <v>286902.94540121575</v>
      </c>
      <c r="P72" s="7">
        <f>output!D245</f>
        <v>628350.24007060938</v>
      </c>
      <c r="Q72" s="7">
        <f>output!E245</f>
        <v>177880.20450850169</v>
      </c>
      <c r="R72" s="7">
        <f>output!F245</f>
        <v>1141733.637591423</v>
      </c>
      <c r="X72"/>
      <c r="Y72" s="3" t="s">
        <v>213</v>
      </c>
      <c r="Z72" s="7">
        <f si="43" t="shared"/>
        <v>6996.1893110960373</v>
      </c>
      <c r="AA72" s="7">
        <f si="43" t="shared"/>
        <v>109777.95830121575</v>
      </c>
      <c r="AB72" s="7">
        <f si="43" t="shared"/>
        <v>111878.21067060938</v>
      </c>
      <c r="AC72" s="7">
        <f si="44" t="shared"/>
        <v>11345.697908501694</v>
      </c>
      <c r="AD72" s="7">
        <f si="45" t="shared"/>
        <v>239998.05619142298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214</v>
      </c>
      <c r="B73" s="7">
        <f>output_NHTS!B246</f>
        <v>52649.452599999997</v>
      </c>
      <c r="C73" s="7">
        <f>output_NHTS!C246</f>
        <v>216442.99590000001</v>
      </c>
      <c r="D73" s="7">
        <f>output_NHTS!D246</f>
        <v>615209.38340000005</v>
      </c>
      <c r="E73" s="7">
        <f>output_NHTS!E246</f>
        <v>190253.60699999999</v>
      </c>
      <c r="F73" s="7">
        <f>output_NHTS!F246</f>
        <v>1074555.4389000002</v>
      </c>
      <c r="L73"/>
      <c r="M73" s="3" t="s">
        <v>214</v>
      </c>
      <c r="N73" s="7">
        <f>output!B246</f>
        <v>64245.103290526247</v>
      </c>
      <c r="O73" s="7">
        <f>output!C246</f>
        <v>392271.1698441336</v>
      </c>
      <c r="P73" s="7">
        <f>output!D246</f>
        <v>839128.97879036667</v>
      </c>
      <c r="Q73" s="7">
        <f>output!E246</f>
        <v>240245.32882833903</v>
      </c>
      <c r="R73" s="7">
        <f>output!F246</f>
        <v>1535890.5807533655</v>
      </c>
      <c r="X73"/>
      <c r="Y73" s="3" t="s">
        <v>214</v>
      </c>
      <c r="Z73" s="7">
        <f si="43" t="shared"/>
        <v>11595.65069052625</v>
      </c>
      <c r="AA73" s="7">
        <f si="43" t="shared"/>
        <v>175828.1739441336</v>
      </c>
      <c r="AB73" s="7">
        <f si="43" t="shared"/>
        <v>223919.59539036662</v>
      </c>
      <c r="AC73" s="7">
        <f si="44" t="shared"/>
        <v>49991.721828339039</v>
      </c>
      <c r="AD73" s="7">
        <f si="45" t="shared"/>
        <v>461335.14185336535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129</v>
      </c>
      <c r="B74" s="7">
        <f>output_NHTS!B247</f>
        <v>28415.916300000001</v>
      </c>
      <c r="C74" s="7">
        <f>output_NHTS!C247</f>
        <v>129191.2453</v>
      </c>
      <c r="D74" s="7">
        <f>output_NHTS!D247</f>
        <v>247110.8651</v>
      </c>
      <c r="E74" s="7">
        <f>output_NHTS!E247</f>
        <v>72566.626600000003</v>
      </c>
      <c r="F74" s="7">
        <f>output_NHTS!F247</f>
        <v>477284.65330000001</v>
      </c>
      <c r="L74"/>
      <c r="M74" s="3" t="s">
        <v>129</v>
      </c>
      <c r="N74" s="7">
        <f>output!B247</f>
        <v>26428.802453850683</v>
      </c>
      <c r="O74" s="7">
        <f>output!C247</f>
        <v>216317.09468305999</v>
      </c>
      <c r="P74" s="7">
        <f>output!D247</f>
        <v>382068.16172925802</v>
      </c>
      <c r="Q74" s="7">
        <f>output!E247</f>
        <v>110509.92416492278</v>
      </c>
      <c r="R74" s="7">
        <f>output!F247</f>
        <v>735323.98303109151</v>
      </c>
      <c r="X74"/>
      <c r="Y74" s="3" t="s">
        <v>129</v>
      </c>
      <c r="Z74" s="7">
        <f si="43" t="shared"/>
        <v>-1987.1138461493174</v>
      </c>
      <c r="AA74" s="7">
        <f si="43" t="shared"/>
        <v>87125.849383059991</v>
      </c>
      <c r="AB74" s="7">
        <f si="43" t="shared"/>
        <v>134957.29662925802</v>
      </c>
      <c r="AC74" s="7">
        <f si="44" t="shared"/>
        <v>37943.297564922774</v>
      </c>
      <c r="AD74" s="7">
        <f si="45" t="shared"/>
        <v>258039.32973109151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130</v>
      </c>
      <c r="B75" s="7">
        <f>output_NHTS!B248</f>
        <v>15999.9439</v>
      </c>
      <c r="C75" s="7">
        <f>output_NHTS!C248</f>
        <v>82060.3</v>
      </c>
      <c r="D75" s="7">
        <f>output_NHTS!D248</f>
        <v>322602.35399999999</v>
      </c>
      <c r="E75" s="7">
        <f>output_NHTS!E248</f>
        <v>74614.775999999998</v>
      </c>
      <c r="F75" s="7">
        <f>output_NHTS!F248</f>
        <v>495277.37390000001</v>
      </c>
      <c r="L75"/>
      <c r="M75" s="3" t="s">
        <v>130</v>
      </c>
      <c r="N75" s="9">
        <f>output!B248</f>
        <v>24032.506083838845</v>
      </c>
      <c r="O75" s="9">
        <f>output!C248</f>
        <v>198133.8983591068</v>
      </c>
      <c r="P75" s="9">
        <f>output!D248</f>
        <v>452831.37028410973</v>
      </c>
      <c r="Q75" s="9">
        <f>output!E248</f>
        <v>130397.24914249004</v>
      </c>
      <c r="R75" s="9">
        <f>output!F248</f>
        <v>805395.02386954543</v>
      </c>
      <c r="X75"/>
      <c r="Y75" s="3" t="s">
        <v>130</v>
      </c>
      <c r="Z75" s="9">
        <f si="43" t="shared"/>
        <v>8032.5621838388452</v>
      </c>
      <c r="AA75" s="9">
        <f si="43" t="shared"/>
        <v>116073.59835910679</v>
      </c>
      <c r="AB75" s="9">
        <f si="43" t="shared"/>
        <v>130229.01628410973</v>
      </c>
      <c r="AC75" s="9">
        <f si="44" t="shared"/>
        <v>55782.473142490038</v>
      </c>
      <c r="AD75" s="9">
        <f si="45" t="shared"/>
        <v>310117.64996954543</v>
      </c>
      <c r="AG75"/>
      <c r="AH75"/>
      <c r="AI75"/>
      <c r="AJ75"/>
      <c r="AK75"/>
      <c r="AL75"/>
      <c r="AM75"/>
      <c r="AN75"/>
      <c r="AO75"/>
    </row>
    <row ht="13.5" r="76" spans="1:41" thickBot="1" x14ac:dyDescent="0.25">
      <c r="A76" s="10" t="s">
        <v>221</v>
      </c>
      <c r="B76" s="11">
        <f>SUM(B69:B75)</f>
        <v>158602.48560000001</v>
      </c>
      <c r="C76" s="11">
        <f>SUM(C69:C75)</f>
        <v>763892.74210000003</v>
      </c>
      <c r="D76" s="11">
        <f>SUM(D69:D75)</f>
        <v>2217349.8221</v>
      </c>
      <c r="E76" s="11">
        <f>SUM(E69:E75)</f>
        <v>657361.01179999986</v>
      </c>
      <c r="F76" s="11">
        <f>SUM(F69:F75)</f>
        <v>3797206.0616000001</v>
      </c>
      <c r="L76"/>
      <c r="M76" s="10" t="s">
        <v>221</v>
      </c>
      <c r="N76" s="11">
        <f>SUM(N69:N75)</f>
        <v>186075.02767017999</v>
      </c>
      <c r="O76" s="11">
        <f>SUM(O69:O75)</f>
        <v>1330715.299749905</v>
      </c>
      <c r="P76" s="11">
        <f>SUM(P69:P75)</f>
        <v>2777606.1327684564</v>
      </c>
      <c r="Q76" s="11">
        <f>SUM(Q69:Q75)</f>
        <v>796103.13655340066</v>
      </c>
      <c r="R76" s="11">
        <f>SUM(R69:R75)</f>
        <v>5090499.5967419418</v>
      </c>
      <c r="X76"/>
      <c r="Y76" s="10" t="s">
        <v>221</v>
      </c>
      <c r="Z76" s="11">
        <f si="43" t="shared"/>
        <v>27472.542070179974</v>
      </c>
      <c r="AA76" s="11">
        <f si="43" t="shared"/>
        <v>566822.55764990498</v>
      </c>
      <c r="AB76" s="11">
        <f si="43" t="shared"/>
        <v>560256.31066845637</v>
      </c>
      <c r="AC76" s="11">
        <f si="44" t="shared"/>
        <v>138742.1247534008</v>
      </c>
      <c r="AD76" s="11">
        <f si="45" t="shared"/>
        <v>1293293.5351419416</v>
      </c>
      <c r="AG76"/>
      <c r="AH76"/>
      <c r="AI76"/>
      <c r="AJ76"/>
      <c r="AK76"/>
      <c r="AL76"/>
      <c r="AM76"/>
      <c r="AN76"/>
      <c r="AO76"/>
    </row>
    <row r="77" spans="1:41" x14ac:dyDescent="0.2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2">
      <c r="A78" s="25" t="s">
        <v>88</v>
      </c>
      <c r="B78" s="7">
        <f>ToursByTourPurpose!B84</f>
        <v>177389.8438</v>
      </c>
      <c r="C78" s="7">
        <f>ToursByTourPurpose!C84</f>
        <v>898293.45270000002</v>
      </c>
      <c r="D78" s="7">
        <f>ToursByTourPurpose!D84</f>
        <v>1927570.8387</v>
      </c>
      <c r="E78" s="7">
        <f>ToursByTourPurpose!E84</f>
        <v>705263.83140000002</v>
      </c>
      <c r="F78" s="7">
        <f>ToursByTourPurpose!F84</f>
        <v>3708517.9665999999</v>
      </c>
      <c r="L78"/>
      <c r="M78" s="25" t="s">
        <v>88</v>
      </c>
      <c r="N78" s="53">
        <f>ToursByTourPurpose!N84</f>
        <v>166401.65160679657</v>
      </c>
      <c r="O78" s="53">
        <f>ToursByTourPurpose!O84</f>
        <v>1015877.8531804486</v>
      </c>
      <c r="P78" s="53">
        <f>ToursByTourPurpose!P84</f>
        <v>1995597.8115541458</v>
      </c>
      <c r="Q78" s="53">
        <f>ToursByTourPurpose!Q84</f>
        <v>564597.50212249986</v>
      </c>
      <c r="R78" s="53">
        <f>ToursByTourPurpose!R84</f>
        <v>3742474.8184638908</v>
      </c>
      <c r="X78"/>
      <c r="Y78" s="25" t="s">
        <v>88</v>
      </c>
      <c r="Z78" s="7">
        <f ref="Z78:AD79" si="46" t="shared">N78-B78</f>
        <v>-10988.192193203431</v>
      </c>
      <c r="AA78" s="7">
        <f si="46" t="shared"/>
        <v>117584.40048044862</v>
      </c>
      <c r="AB78" s="7">
        <f si="46" t="shared"/>
        <v>68026.972854145803</v>
      </c>
      <c r="AC78" s="7">
        <f si="46" t="shared"/>
        <v>-140666.32927750016</v>
      </c>
      <c r="AD78" s="7">
        <f si="46" t="shared"/>
        <v>33956.851863890886</v>
      </c>
      <c r="AG78"/>
      <c r="AH78"/>
      <c r="AI78"/>
      <c r="AJ78"/>
      <c r="AK78"/>
      <c r="AL78"/>
      <c r="AM78"/>
      <c r="AN78"/>
      <c r="AO78"/>
    </row>
    <row r="79" spans="1:41" x14ac:dyDescent="0.2">
      <c r="A79" s="25" t="s">
        <v>90</v>
      </c>
      <c r="B79" s="38">
        <f>B76/B78</f>
        <v>0.89409000088425583</v>
      </c>
      <c r="C79" s="38">
        <f>C76/C78</f>
        <v>0.85038217723169207</v>
      </c>
      <c r="D79" s="38">
        <f>D76/D78</f>
        <v>1.1503337659929707</v>
      </c>
      <c r="E79" s="38">
        <f>E76/E78</f>
        <v>0.93207815647527315</v>
      </c>
      <c r="F79" s="38">
        <f>F76/F78</f>
        <v>1.0239147001035862</v>
      </c>
      <c r="L79"/>
      <c r="M79" s="25" t="s">
        <v>90</v>
      </c>
      <c r="N79" s="38">
        <f>N76/N78</f>
        <v>1.1182282499807825</v>
      </c>
      <c r="O79" s="38">
        <f>O76/O78</f>
        <v>1.3099166357291701</v>
      </c>
      <c r="P79" s="38">
        <f>P76/P78</f>
        <v>1.3918666961281605</v>
      </c>
      <c r="Q79" s="38">
        <f>Q76/Q78</f>
        <v>1.4100365898903169</v>
      </c>
      <c r="R79" s="38">
        <f>R76/R78</f>
        <v>1.360196085121917</v>
      </c>
      <c r="X79"/>
      <c r="Y79" s="25" t="s">
        <v>90</v>
      </c>
      <c r="Z79" s="38">
        <f si="46" t="shared"/>
        <v>0.22413824909652669</v>
      </c>
      <c r="AA79" s="38">
        <f si="46" t="shared"/>
        <v>0.45953445849747798</v>
      </c>
      <c r="AB79" s="38">
        <f si="46" t="shared"/>
        <v>0.24153293013518984</v>
      </c>
      <c r="AC79" s="38">
        <f si="46" t="shared"/>
        <v>0.47795843341504374</v>
      </c>
      <c r="AD79" s="38">
        <f si="46" t="shared"/>
        <v>0.33628138501833083</v>
      </c>
      <c r="AG79"/>
      <c r="AH79"/>
      <c r="AI79"/>
      <c r="AJ79"/>
      <c r="AK79"/>
      <c r="AL79"/>
      <c r="AM79"/>
      <c r="AN79"/>
      <c r="AO79"/>
    </row>
    <row r="80" spans="1:41" x14ac:dyDescent="0.2">
      <c r="L80"/>
      <c r="X80"/>
      <c r="AG80"/>
      <c r="AH80"/>
      <c r="AI80"/>
      <c r="AJ80"/>
      <c r="AK80"/>
      <c r="AL80"/>
      <c r="AM80"/>
      <c r="AN80"/>
      <c r="AO80"/>
    </row>
    <row r="81" spans="1:41" x14ac:dyDescent="0.2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x14ac:dyDescent="0.2">
      <c r="A82" s="2" t="s">
        <v>111</v>
      </c>
      <c r="L82"/>
      <c r="M82" s="2" t="s">
        <v>258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ht="13.5" r="83" spans="1:41" thickBot="1" x14ac:dyDescent="0.25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x14ac:dyDescent="0.2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221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221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221</v>
      </c>
      <c r="AG84"/>
      <c r="AH84"/>
      <c r="AI84"/>
      <c r="AJ84"/>
      <c r="AK84"/>
      <c r="AL84"/>
      <c r="AM84"/>
      <c r="AN84"/>
      <c r="AO84"/>
    </row>
    <row r="85" spans="1:41" x14ac:dyDescent="0.2">
      <c r="A85" s="3" t="s">
        <v>210</v>
      </c>
      <c r="B85" s="12">
        <f ref="B85:F90" si="47" t="shared">B69/B$76</f>
        <v>5.1075598023288482E-2</v>
      </c>
      <c r="C85" s="12">
        <f si="47" t="shared"/>
        <v>6.7615688372698837E-2</v>
      </c>
      <c r="D85" s="12">
        <f si="47" t="shared"/>
        <v>8.2979971660827989E-2</v>
      </c>
      <c r="E85" s="12">
        <f si="47" t="shared"/>
        <v>0.11170568147771616</v>
      </c>
      <c r="F85" s="12">
        <f si="47" t="shared"/>
        <v>8.3529424122522566E-2</v>
      </c>
      <c r="L85"/>
      <c r="M85" s="3" t="s">
        <v>210</v>
      </c>
      <c r="N85" s="12">
        <f ref="N85:R92" si="48" t="shared">N69/N$76</f>
        <v>4.6153165968103829E-2</v>
      </c>
      <c r="O85" s="12">
        <f si="48" t="shared"/>
        <v>4.861855363920569E-2</v>
      </c>
      <c r="P85" s="12">
        <f si="48" t="shared"/>
        <v>5.3353482612175492E-2</v>
      </c>
      <c r="Q85" s="12">
        <f si="48" t="shared"/>
        <v>5.4471267103469709E-2</v>
      </c>
      <c r="R85" s="12">
        <f si="48" t="shared"/>
        <v>5.2027331872246091E-2</v>
      </c>
      <c r="X85"/>
      <c r="Y85" s="3" t="s">
        <v>210</v>
      </c>
      <c r="Z85" s="12">
        <f ref="Z85:AB92" si="49" t="shared">N85-B85</f>
        <v>-4.9224320551846529E-3</v>
      </c>
      <c r="AA85" s="12">
        <f si="49" t="shared"/>
        <v>-1.8997134733493147E-2</v>
      </c>
      <c r="AB85" s="12">
        <f si="49" t="shared"/>
        <v>-2.9626489048652498E-2</v>
      </c>
      <c r="AC85" s="12">
        <f ref="AC85:AC92" si="50" t="shared">Q85-E85</f>
        <v>-5.7234414374246451E-2</v>
      </c>
      <c r="AD85" s="12">
        <f ref="AD85:AD92" si="51" t="shared">R85-F85</f>
        <v>-3.1502092250276476E-2</v>
      </c>
      <c r="AG85"/>
      <c r="AH85"/>
      <c r="AI85"/>
      <c r="AJ85"/>
      <c r="AK85"/>
      <c r="AL85"/>
      <c r="AM85"/>
      <c r="AN85"/>
      <c r="AO85"/>
    </row>
    <row r="86" spans="1:41" x14ac:dyDescent="0.2">
      <c r="A86" s="3" t="s">
        <v>211</v>
      </c>
      <c r="B86" s="12">
        <f si="47" t="shared"/>
        <v>6.3705589239516927E-2</v>
      </c>
      <c r="C86" s="12">
        <f si="47" t="shared"/>
        <v>1.3009256604115076E-2</v>
      </c>
      <c r="D86" s="12">
        <f si="47" t="shared"/>
        <v>1.1609915153405599E-2</v>
      </c>
      <c r="E86" s="12">
        <f si="47" t="shared"/>
        <v>8.2373566469553135E-3</v>
      </c>
      <c r="F86" s="12">
        <f si="47" t="shared"/>
        <v>1.3483519479695122E-2</v>
      </c>
      <c r="L86"/>
      <c r="M86" s="3" t="s">
        <v>211</v>
      </c>
      <c r="N86" s="12">
        <f si="48" t="shared"/>
        <v>2.5608734274033058E-2</v>
      </c>
      <c r="O86" s="12">
        <f si="48" t="shared"/>
        <v>2.6648851432678804E-2</v>
      </c>
      <c r="P86" s="12">
        <f si="48" t="shared"/>
        <v>1.8202941068003801E-2</v>
      </c>
      <c r="Q86" s="12">
        <f si="48" t="shared"/>
        <v>1.6729831856098356E-2</v>
      </c>
      <c r="R86" s="12">
        <f si="48" t="shared"/>
        <v>2.0451126778805537E-2</v>
      </c>
      <c r="X86"/>
      <c r="Y86" s="3" t="s">
        <v>211</v>
      </c>
      <c r="Z86" s="12">
        <f si="49" t="shared"/>
        <v>-3.8096854965483873E-2</v>
      </c>
      <c r="AA86" s="12">
        <f si="49" t="shared"/>
        <v>1.3639594828563728E-2</v>
      </c>
      <c r="AB86" s="12">
        <f si="49" t="shared"/>
        <v>6.5930259145982016E-3</v>
      </c>
      <c r="AC86" s="12">
        <f si="50" t="shared"/>
        <v>8.4924752091430425E-3</v>
      </c>
      <c r="AD86" s="12">
        <f si="51" t="shared"/>
        <v>6.9676072991104159E-3</v>
      </c>
      <c r="AG86"/>
      <c r="AH86"/>
      <c r="AI86"/>
      <c r="AJ86"/>
      <c r="AK86"/>
      <c r="AL86"/>
      <c r="AM86"/>
      <c r="AN86"/>
      <c r="AO86"/>
    </row>
    <row r="87" spans="1:41" x14ac:dyDescent="0.2">
      <c r="A87" s="3" t="s">
        <v>212</v>
      </c>
      <c r="B87" s="12">
        <f si="47" t="shared"/>
        <v>1.08985233961554E-2</v>
      </c>
      <c r="C87" s="12">
        <f si="47" t="shared"/>
        <v>0.12761530268242616</v>
      </c>
      <c r="D87" s="12">
        <f si="47" t="shared"/>
        <v>0.13810014028818859</v>
      </c>
      <c r="E87" s="12">
        <f si="47" t="shared"/>
        <v>0.11340133862803578</v>
      </c>
      <c r="F87" s="12">
        <f si="47" t="shared"/>
        <v>0.12640211482169514</v>
      </c>
      <c r="L87"/>
      <c r="M87" s="3" t="s">
        <v>212</v>
      </c>
      <c r="N87" s="12">
        <f si="48" t="shared"/>
        <v>5.059932423783655E-2</v>
      </c>
      <c r="O87" s="12">
        <f si="48" t="shared"/>
        <v>0.10290007485935816</v>
      </c>
      <c r="P87" s="12">
        <f si="48" t="shared"/>
        <v>9.9536005979907374E-2</v>
      </c>
      <c r="Q87" s="12">
        <f si="48" t="shared"/>
        <v>0.10097562490383899</v>
      </c>
      <c r="R87" s="12">
        <f si="48" t="shared"/>
        <v>9.8851752641906793E-2</v>
      </c>
      <c r="X87"/>
      <c r="Y87" s="3" t="s">
        <v>212</v>
      </c>
      <c r="Z87" s="12">
        <f si="49" t="shared"/>
        <v>3.970080084168115E-2</v>
      </c>
      <c r="AA87" s="12">
        <f si="49" t="shared"/>
        <v>-2.4715227823067995E-2</v>
      </c>
      <c r="AB87" s="12">
        <f si="49" t="shared"/>
        <v>-3.856413430828122E-2</v>
      </c>
      <c r="AC87" s="12">
        <f si="50" t="shared"/>
        <v>-1.2425713724196791E-2</v>
      </c>
      <c r="AD87" s="12">
        <f si="51" t="shared"/>
        <v>-2.7550362179788346E-2</v>
      </c>
      <c r="AG87"/>
      <c r="AH87"/>
      <c r="AI87"/>
      <c r="AJ87"/>
      <c r="AK87"/>
      <c r="AL87"/>
      <c r="AM87"/>
      <c r="AN87"/>
      <c r="AO87"/>
    </row>
    <row r="88" spans="1:41" x14ac:dyDescent="0.2">
      <c r="A88" s="3" t="s">
        <v>213</v>
      </c>
      <c r="B88" s="12">
        <f si="47" t="shared"/>
        <v>0.26231655918007879</v>
      </c>
      <c r="C88" s="12">
        <f si="47" t="shared"/>
        <v>0.23187154077818536</v>
      </c>
      <c r="D88" s="12">
        <f si="47" t="shared"/>
        <v>0.23292311580806924</v>
      </c>
      <c r="E88" s="12">
        <f si="47" t="shared"/>
        <v>0.25333797351928689</v>
      </c>
      <c r="F88" s="12">
        <f si="47" t="shared"/>
        <v>0.23747343883150826</v>
      </c>
      <c r="L88"/>
      <c r="M88" s="3" t="s">
        <v>213</v>
      </c>
      <c r="N88" s="12">
        <f si="48" t="shared"/>
        <v>0.26118629791226206</v>
      </c>
      <c r="O88" s="12">
        <f si="48" t="shared"/>
        <v>0.2156005461537388</v>
      </c>
      <c r="P88" s="12">
        <f si="48" t="shared"/>
        <v>0.2262200650616828</v>
      </c>
      <c r="Q88" s="12">
        <f si="48" t="shared"/>
        <v>0.22343864298614016</v>
      </c>
      <c r="R88" s="12">
        <f si="48" t="shared"/>
        <v>0.22428714822454041</v>
      </c>
      <c r="X88"/>
      <c r="Y88" s="3" t="s">
        <v>213</v>
      </c>
      <c r="Z88" s="12">
        <f si="49" t="shared"/>
        <v>-1.1302612678167345E-3</v>
      </c>
      <c r="AA88" s="12">
        <f si="49" t="shared"/>
        <v>-1.6270994624446561E-2</v>
      </c>
      <c r="AB88" s="12">
        <f si="49" t="shared"/>
        <v>-6.7030507463864408E-3</v>
      </c>
      <c r="AC88" s="12">
        <f si="50" t="shared"/>
        <v>-2.9899330533146723E-2</v>
      </c>
      <c r="AD88" s="12">
        <f si="51" t="shared"/>
        <v>-1.3186290606967854E-2</v>
      </c>
    </row>
    <row r="89" spans="1:41" x14ac:dyDescent="0.2">
      <c r="A89" s="3" t="s">
        <v>214</v>
      </c>
      <c r="B89" s="12">
        <f si="47" t="shared"/>
        <v>0.33195855916649009</v>
      </c>
      <c r="C89" s="12">
        <f si="47" t="shared"/>
        <v>0.28334212903369332</v>
      </c>
      <c r="D89" s="12">
        <f si="47" t="shared"/>
        <v>0.27745255947812048</v>
      </c>
      <c r="E89" s="12">
        <f si="47" t="shared"/>
        <v>0.28942027833236339</v>
      </c>
      <c r="F89" s="12">
        <f si="47" t="shared"/>
        <v>0.28298581153302566</v>
      </c>
      <c r="L89"/>
      <c r="M89" s="3" t="s">
        <v>214</v>
      </c>
      <c r="N89" s="12">
        <f si="48" t="shared"/>
        <v>0.34526451020822307</v>
      </c>
      <c r="O89" s="12">
        <f si="48" t="shared"/>
        <v>0.29478218963730046</v>
      </c>
      <c r="P89" s="12">
        <f si="48" t="shared"/>
        <v>0.30210510010431246</v>
      </c>
      <c r="Q89" s="12">
        <f si="48" t="shared"/>
        <v>0.30177663897725887</v>
      </c>
      <c r="R89" s="12">
        <f si="48" t="shared"/>
        <v>0.30171706166844159</v>
      </c>
      <c r="X89"/>
      <c r="Y89" s="3" t="s">
        <v>214</v>
      </c>
      <c r="Z89" s="12">
        <f si="49" t="shared"/>
        <v>1.3305951041732988E-2</v>
      </c>
      <c r="AA89" s="12">
        <f si="49" t="shared"/>
        <v>1.1440060603607138E-2</v>
      </c>
      <c r="AB89" s="12">
        <f si="49" t="shared"/>
        <v>2.4652540626191988E-2</v>
      </c>
      <c r="AC89" s="12">
        <f si="50" t="shared"/>
        <v>1.2356360644895481E-2</v>
      </c>
      <c r="AD89" s="12">
        <f si="51" t="shared"/>
        <v>1.8731250135415933E-2</v>
      </c>
    </row>
    <row r="90" spans="1:41" x14ac:dyDescent="0.2">
      <c r="A90" s="3" t="s">
        <v>129</v>
      </c>
      <c r="B90" s="12">
        <f si="47" t="shared"/>
        <v>0.17916438189793413</v>
      </c>
      <c r="C90" s="12">
        <f si="47" t="shared"/>
        <v>0.16912223166938764</v>
      </c>
      <c r="D90" s="12">
        <f si="47" t="shared"/>
        <v>0.11144423971223769</v>
      </c>
      <c r="E90" s="12">
        <f si="47" t="shared"/>
        <v>0.1103908283232322</v>
      </c>
      <c r="F90" s="12">
        <f si="47" t="shared"/>
        <v>0.12569364041805256</v>
      </c>
      <c r="L90"/>
      <c r="M90" s="3" t="s">
        <v>129</v>
      </c>
      <c r="N90" s="12">
        <f si="48" t="shared"/>
        <v>0.1420330432555196</v>
      </c>
      <c r="O90" s="12">
        <f si="48" t="shared"/>
        <v>0.16255700578757507</v>
      </c>
      <c r="P90" s="12">
        <f si="48" t="shared"/>
        <v>0.13755303792782472</v>
      </c>
      <c r="Q90" s="12">
        <f si="48" t="shared"/>
        <v>0.13881357714951051</v>
      </c>
      <c r="R90" s="12">
        <f si="48" t="shared"/>
        <v>0.14445025857613639</v>
      </c>
      <c r="X90"/>
      <c r="Y90" s="3" t="s">
        <v>129</v>
      </c>
      <c r="Z90" s="12">
        <f si="49" t="shared"/>
        <v>-3.7131338642414524E-2</v>
      </c>
      <c r="AA90" s="12">
        <f si="49" t="shared"/>
        <v>-6.5652258818125753E-3</v>
      </c>
      <c r="AB90" s="12">
        <f si="49" t="shared"/>
        <v>2.6108798215587037E-2</v>
      </c>
      <c r="AC90" s="12">
        <f si="50" t="shared"/>
        <v>2.8422748826278307E-2</v>
      </c>
      <c r="AD90" s="12">
        <f si="51" t="shared"/>
        <v>1.8756618158083826E-2</v>
      </c>
    </row>
    <row r="91" spans="1:41" x14ac:dyDescent="0.2">
      <c r="A91" s="3" t="s">
        <v>130</v>
      </c>
      <c r="B91" s="13">
        <f ref="B91:F92" si="52" t="shared">B75/B$76</f>
        <v>0.10088078909653607</v>
      </c>
      <c r="C91" s="13">
        <f si="52" t="shared"/>
        <v>0.10742385085949359</v>
      </c>
      <c r="D91" s="13">
        <f si="52" t="shared"/>
        <v>0.14549005789915048</v>
      </c>
      <c r="E91" s="13">
        <f si="52" t="shared"/>
        <v>0.11350654307241045</v>
      </c>
      <c r="F91" s="13">
        <f si="52" t="shared"/>
        <v>0.1304320507935007</v>
      </c>
      <c r="L91"/>
      <c r="M91" s="3" t="s">
        <v>130</v>
      </c>
      <c r="N91" s="13">
        <f si="48" t="shared"/>
        <v>0.12915492414402174</v>
      </c>
      <c r="O91" s="13">
        <f si="48" t="shared"/>
        <v>0.14889277849014296</v>
      </c>
      <c r="P91" s="13">
        <f si="48" t="shared"/>
        <v>0.16302936724609332</v>
      </c>
      <c r="Q91" s="13">
        <f si="48" t="shared"/>
        <v>0.16379441702368336</v>
      </c>
      <c r="R91" s="13">
        <f si="48" t="shared"/>
        <v>0.15821532023792323</v>
      </c>
      <c r="X91"/>
      <c r="Y91" s="3" t="s">
        <v>130</v>
      </c>
      <c r="Z91" s="12">
        <f si="49" t="shared"/>
        <v>2.8274135047485674E-2</v>
      </c>
      <c r="AA91" s="12">
        <f si="49" t="shared"/>
        <v>4.1468927630649369E-2</v>
      </c>
      <c r="AB91" s="12">
        <f si="49" t="shared"/>
        <v>1.7539309346942838E-2</v>
      </c>
      <c r="AC91" s="12">
        <f si="50" t="shared"/>
        <v>5.0287873951272904E-2</v>
      </c>
      <c r="AD91" s="12">
        <f si="51" t="shared"/>
        <v>2.7783269444422526E-2</v>
      </c>
    </row>
    <row ht="13.5" r="92" spans="1:41" thickBot="1" x14ac:dyDescent="0.25">
      <c r="A92" s="10" t="s">
        <v>221</v>
      </c>
      <c r="B92" s="17">
        <f si="52" t="shared"/>
        <v>1</v>
      </c>
      <c r="C92" s="17">
        <f si="52" t="shared"/>
        <v>1</v>
      </c>
      <c r="D92" s="17">
        <f si="52" t="shared"/>
        <v>1</v>
      </c>
      <c r="E92" s="17">
        <f si="52" t="shared"/>
        <v>1</v>
      </c>
      <c r="F92" s="17">
        <f si="52" t="shared"/>
        <v>1</v>
      </c>
      <c r="L92"/>
      <c r="M92" s="10" t="s">
        <v>221</v>
      </c>
      <c r="N92" s="17">
        <f si="48" t="shared"/>
        <v>1</v>
      </c>
      <c r="O92" s="17">
        <f si="48" t="shared"/>
        <v>1</v>
      </c>
      <c r="P92" s="17">
        <f si="48" t="shared"/>
        <v>1</v>
      </c>
      <c r="Q92" s="17">
        <f si="48" t="shared"/>
        <v>1</v>
      </c>
      <c r="R92" s="17">
        <f si="48" t="shared"/>
        <v>1</v>
      </c>
      <c r="X92"/>
      <c r="Y92" s="10" t="s">
        <v>221</v>
      </c>
      <c r="Z92" s="14">
        <f si="49" t="shared"/>
        <v>0</v>
      </c>
      <c r="AA92" s="14">
        <f si="49" t="shared"/>
        <v>0</v>
      </c>
      <c r="AB92" s="14">
        <f si="49" t="shared"/>
        <v>0</v>
      </c>
      <c r="AC92" s="14">
        <f si="50" t="shared"/>
        <v>0</v>
      </c>
      <c r="AD92" s="14">
        <f si="51" t="shared"/>
        <v>0</v>
      </c>
    </row>
    <row r="93" spans="1:41" x14ac:dyDescent="0.2">
      <c r="L93"/>
      <c r="X93"/>
    </row>
    <row r="94" spans="1:41" x14ac:dyDescent="0.2">
      <c r="L94"/>
      <c r="X94"/>
    </row>
    <row r="95" spans="1:41" x14ac:dyDescent="0.2">
      <c r="L95"/>
      <c r="X95"/>
      <c r="AD95" s="25"/>
      <c r="AE95" s="25"/>
      <c r="AF95" s="25"/>
      <c r="AG95" s="25"/>
      <c r="AH95" s="25"/>
    </row>
    <row r="96" spans="1:41" x14ac:dyDescent="0.2">
      <c r="L96"/>
      <c r="X96"/>
      <c r="AD96" s="25"/>
      <c r="AE96" s="25"/>
      <c r="AF96" s="25"/>
      <c r="AG96" s="25"/>
      <c r="AH96" s="25"/>
    </row>
    <row r="97" spans="1:34" x14ac:dyDescent="0.2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4" x14ac:dyDescent="0.2">
      <c r="A98" s="2" t="s">
        <v>307</v>
      </c>
      <c r="F98" s="25"/>
      <c r="G98" s="25"/>
      <c r="H98" s="25"/>
      <c r="I98" s="25"/>
      <c r="J98" s="25"/>
      <c r="K98" s="25"/>
      <c r="L98"/>
      <c r="M98" s="2" t="s">
        <v>308</v>
      </c>
      <c r="R98" s="25"/>
      <c r="S98" s="25"/>
      <c r="T98" s="25"/>
      <c r="U98" s="25"/>
      <c r="V98" s="25"/>
      <c r="W98" s="25"/>
      <c r="X98"/>
      <c r="Y98" s="2" t="s">
        <v>309</v>
      </c>
      <c r="AD98" s="25"/>
      <c r="AE98" s="25"/>
      <c r="AF98" s="25"/>
      <c r="AG98" s="25"/>
      <c r="AH98" s="25"/>
    </row>
    <row ht="13.5" r="99" spans="1:34" thickBot="1" x14ac:dyDescent="0.25">
      <c r="B99" s="15"/>
      <c r="C99" s="15"/>
      <c r="D99" s="15"/>
      <c r="E99" s="15"/>
      <c r="F99" s="15"/>
      <c r="G99" s="25"/>
      <c r="H99" s="25"/>
      <c r="I99" s="25"/>
      <c r="J99" s="25"/>
      <c r="K99" s="2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4" x14ac:dyDescent="0.2">
      <c r="A100" s="5" t="s">
        <v>144</v>
      </c>
      <c r="B100" s="153" t="s">
        <v>3919</v>
      </c>
      <c r="C100" s="153" t="s">
        <v>3920</v>
      </c>
      <c r="D100" s="153" t="s">
        <v>3921</v>
      </c>
      <c r="E100" s="153" t="s">
        <v>3922</v>
      </c>
      <c r="F100" s="153" t="s">
        <v>1522</v>
      </c>
      <c r="G100" s="153" t="s">
        <v>3923</v>
      </c>
      <c r="H100" s="6" t="s">
        <v>3924</v>
      </c>
      <c r="I100" s="6" t="s">
        <v>221</v>
      </c>
      <c r="J100" s="89"/>
      <c r="K100" s="25"/>
      <c r="L100"/>
      <c r="M100" s="5" t="s">
        <v>144</v>
      </c>
      <c r="N100" s="6" t="str">
        <f>B100</f>
        <v>Bellevue</v>
      </c>
      <c r="O100" s="6" t="str">
        <f ref="O100:T100" si="53" t="shared">C100</f>
        <v>Bellevue Downtown</v>
      </c>
      <c r="P100" s="6" t="str">
        <f si="53" t="shared"/>
        <v>Kirkland</v>
      </c>
      <c r="Q100" s="6" t="str">
        <f si="53" t="shared"/>
        <v>Redmond</v>
      </c>
      <c r="R100" s="6" t="str">
        <f si="53" t="shared"/>
        <v>Seattle</v>
      </c>
      <c r="S100" s="6" t="str">
        <f si="53" t="shared"/>
        <v>Seattle Downtown</v>
      </c>
      <c r="T100" s="6" t="str">
        <f si="53" t="shared"/>
        <v>Rest</v>
      </c>
      <c r="U100" s="6" t="s">
        <v>221</v>
      </c>
      <c r="V100" s="89"/>
      <c r="W100" s="25"/>
      <c r="X100"/>
      <c r="Y100" s="5" t="s">
        <v>144</v>
      </c>
      <c r="Z100" s="6" t="str">
        <f>B100</f>
        <v>Bellevue</v>
      </c>
      <c r="AA100" s="6" t="str">
        <f ref="AA100:AF100" si="54" t="shared">C100</f>
        <v>Bellevue Downtown</v>
      </c>
      <c r="AB100" s="6" t="str">
        <f si="54" t="shared"/>
        <v>Kirkland</v>
      </c>
      <c r="AC100" s="6" t="str">
        <f si="54" t="shared"/>
        <v>Redmond</v>
      </c>
      <c r="AD100" s="6" t="str">
        <f si="54" t="shared"/>
        <v>Seattle</v>
      </c>
      <c r="AE100" s="6" t="str">
        <f si="54" t="shared"/>
        <v>Seattle Downtown</v>
      </c>
      <c r="AF100" s="6" t="str">
        <f si="54" t="shared"/>
        <v>Rest</v>
      </c>
      <c r="AG100" s="6" t="s">
        <v>221</v>
      </c>
      <c r="AH100" s="89"/>
    </row>
    <row r="101" spans="1:34" x14ac:dyDescent="0.2">
      <c r="A101" s="3" t="s">
        <v>210</v>
      </c>
      <c r="B101" s="7">
        <f>output_NHTS!B252</f>
        <v>6923.8131999999996</v>
      </c>
      <c r="C101" s="7">
        <f>output_NHTS!C252</f>
        <v>1080.2171000000001</v>
      </c>
      <c r="D101" s="7">
        <f>output_NHTS!D252</f>
        <v>12381.686400000001</v>
      </c>
      <c r="E101" s="7">
        <f>output_NHTS!E252</f>
        <v>5648.2267000000002</v>
      </c>
      <c r="F101" s="7">
        <f>output_NHTS!F252</f>
        <v>78157.741699999999</v>
      </c>
      <c r="G101" s="7">
        <f>output_NHTS!G252</f>
        <v>6283.9052000000001</v>
      </c>
      <c r="H101" s="7">
        <f>output_NHTS!H252</f>
        <v>206702.84529999999</v>
      </c>
      <c r="I101" s="7">
        <f>SUM(B101:H101)</f>
        <v>317178.43559999997</v>
      </c>
      <c r="J101" s="33"/>
      <c r="K101" s="25"/>
      <c r="L101"/>
      <c r="M101" s="3" t="s">
        <v>210</v>
      </c>
      <c r="N101" s="7">
        <f>output!B252</f>
        <v>11552.75</v>
      </c>
      <c r="O101" s="7">
        <f>output!C252</f>
        <v>924.5</v>
      </c>
      <c r="P101" s="7">
        <f>output!D252</f>
        <v>10882</v>
      </c>
      <c r="Q101" s="7">
        <f>output!E252</f>
        <v>8320.75</v>
      </c>
      <c r="R101" s="7">
        <f>output!F252</f>
        <v>54347.125007772964</v>
      </c>
      <c r="S101" s="7">
        <f>output!G252</f>
        <v>6120.9465896875963</v>
      </c>
      <c r="T101" s="7">
        <f>output!H252</f>
        <v>172697.04031776736</v>
      </c>
      <c r="U101" s="7">
        <f>SUM(N101:T101)</f>
        <v>264845.1119152279</v>
      </c>
      <c r="V101" s="33"/>
      <c r="W101" s="25"/>
      <c r="X101"/>
      <c r="Y101" s="3" t="s">
        <v>210</v>
      </c>
      <c r="Z101" s="7">
        <f ref="Z101:AC108" si="55" t="shared">N101-B101</f>
        <v>4628.9368000000004</v>
      </c>
      <c r="AA101" s="7">
        <f si="55" t="shared"/>
        <v>-155.71710000000007</v>
      </c>
      <c r="AB101" s="7">
        <f si="55" t="shared"/>
        <v>-1499.6864000000005</v>
      </c>
      <c r="AC101" s="7">
        <f si="55" t="shared"/>
        <v>2672.5232999999998</v>
      </c>
      <c r="AD101" s="7">
        <f ref="AD101:AD108" si="56" t="shared">R101-F101</f>
        <v>-23810.616692227035</v>
      </c>
      <c r="AE101" s="7">
        <f ref="AE101:AF108" si="57" t="shared">S101-G101</f>
        <v>-162.95861031240383</v>
      </c>
      <c r="AF101" s="7">
        <f si="57" t="shared"/>
        <v>-34005.804982232628</v>
      </c>
      <c r="AG101" s="7">
        <f ref="AG101:AG108" si="58" t="shared">U101-I101</f>
        <v>-52333.323684772069</v>
      </c>
      <c r="AH101" s="33"/>
    </row>
    <row r="102" spans="1:34" x14ac:dyDescent="0.2">
      <c r="A102" s="3" t="s">
        <v>211</v>
      </c>
      <c r="B102" s="7">
        <f>output_NHTS!B253</f>
        <v>1646.5905</v>
      </c>
      <c r="C102" s="7">
        <f>output_NHTS!C253</f>
        <v>32.201999999999998</v>
      </c>
      <c r="D102" s="7">
        <f>output_NHTS!D253</f>
        <v>2191.0479</v>
      </c>
      <c r="E102" s="7">
        <f>output_NHTS!E253</f>
        <v>496.8381</v>
      </c>
      <c r="F102" s="7">
        <f>output_NHTS!F253</f>
        <v>22018.809600000001</v>
      </c>
      <c r="G102" s="7">
        <f>output_NHTS!G253</f>
        <v>524.40599999999995</v>
      </c>
      <c r="H102" s="7">
        <f>output_NHTS!H253</f>
        <v>24289.807799999999</v>
      </c>
      <c r="I102" s="7">
        <f ref="I102:I107" si="59" t="shared">SUM(B102:H102)</f>
        <v>51199.7019</v>
      </c>
      <c r="J102" s="33"/>
      <c r="K102" s="25"/>
      <c r="L102"/>
      <c r="M102" s="3" t="s">
        <v>211</v>
      </c>
      <c r="N102" s="7">
        <f>output!B253</f>
        <v>5337.75</v>
      </c>
      <c r="O102" s="7">
        <f>output!C253</f>
        <v>169.25</v>
      </c>
      <c r="P102" s="7">
        <f>output!D253</f>
        <v>4220.5</v>
      </c>
      <c r="Q102" s="7">
        <f>output!E253</f>
        <v>3528.75</v>
      </c>
      <c r="R102" s="7">
        <f>output!F253</f>
        <v>18381.286831840876</v>
      </c>
      <c r="S102" s="7">
        <f>output!G253</f>
        <v>849.32439697206178</v>
      </c>
      <c r="T102" s="7">
        <f>output!H253</f>
        <v>71619.591391614958</v>
      </c>
      <c r="U102" s="7">
        <f ref="U102:U107" si="60" t="shared">SUM(N102:T102)</f>
        <v>104106.4526204279</v>
      </c>
      <c r="V102" s="33"/>
      <c r="W102" s="25"/>
      <c r="X102"/>
      <c r="Y102" s="3" t="s">
        <v>211</v>
      </c>
      <c r="Z102" s="7">
        <f si="55" t="shared"/>
        <v>3691.1594999999998</v>
      </c>
      <c r="AA102" s="7">
        <f si="55" t="shared"/>
        <v>137.048</v>
      </c>
      <c r="AB102" s="7">
        <f si="55" t="shared"/>
        <v>2029.4521</v>
      </c>
      <c r="AC102" s="7">
        <f si="55" t="shared"/>
        <v>3031.9119000000001</v>
      </c>
      <c r="AD102" s="7">
        <f si="56" t="shared"/>
        <v>-3637.5227681591241</v>
      </c>
      <c r="AE102" s="7">
        <f si="57" t="shared"/>
        <v>324.91839697206183</v>
      </c>
      <c r="AF102" s="7">
        <f si="57" t="shared"/>
        <v>47329.783591614963</v>
      </c>
      <c r="AG102" s="7">
        <f si="58" t="shared"/>
        <v>52906.750720427895</v>
      </c>
      <c r="AH102" s="33"/>
    </row>
    <row r="103" spans="1:34" x14ac:dyDescent="0.2">
      <c r="A103" s="3" t="s">
        <v>212</v>
      </c>
      <c r="B103" s="7">
        <f>output_NHTS!B254</f>
        <v>30462.906999999999</v>
      </c>
      <c r="C103" s="7">
        <f>output_NHTS!C254</f>
        <v>431.32029999999997</v>
      </c>
      <c r="D103" s="7">
        <f>output_NHTS!D254</f>
        <v>20026.817600000002</v>
      </c>
      <c r="E103" s="7">
        <f>output_NHTS!E254</f>
        <v>17693.594000000001</v>
      </c>
      <c r="F103" s="7">
        <f>output_NHTS!F254</f>
        <v>82251.821299999996</v>
      </c>
      <c r="G103" s="7">
        <f>output_NHTS!G254</f>
        <v>1801.1107</v>
      </c>
      <c r="H103" s="7">
        <f>output_NHTS!H254</f>
        <v>327307.30570000003</v>
      </c>
      <c r="I103" s="7">
        <f si="59" t="shared"/>
        <v>479974.87660000002</v>
      </c>
      <c r="J103" s="33"/>
      <c r="K103" s="25"/>
      <c r="L103"/>
      <c r="M103" s="3" t="s">
        <v>212</v>
      </c>
      <c r="N103" s="7">
        <f>output!B254</f>
        <v>22662.5</v>
      </c>
      <c r="O103" s="7">
        <f>output!C254</f>
        <v>1033</v>
      </c>
      <c r="P103" s="7">
        <f>output!D254</f>
        <v>19839</v>
      </c>
      <c r="Q103" s="7">
        <f>output!E254</f>
        <v>16055</v>
      </c>
      <c r="R103" s="7">
        <f>output!F254</f>
        <v>85272.862388848094</v>
      </c>
      <c r="S103" s="7">
        <f>output!G254</f>
        <v>5337.58081681562</v>
      </c>
      <c r="T103" s="7">
        <f>output!H254</f>
        <v>353004.86375519692</v>
      </c>
      <c r="U103" s="7">
        <f si="60" t="shared"/>
        <v>503204.80696086062</v>
      </c>
      <c r="V103" s="33"/>
      <c r="W103" s="25"/>
      <c r="X103"/>
      <c r="Y103" s="3" t="s">
        <v>212</v>
      </c>
      <c r="Z103" s="7">
        <f si="55" t="shared"/>
        <v>-7800.4069999999992</v>
      </c>
      <c r="AA103" s="7">
        <f si="55" t="shared"/>
        <v>601.67970000000003</v>
      </c>
      <c r="AB103" s="7">
        <f si="55" t="shared"/>
        <v>-187.81760000000213</v>
      </c>
      <c r="AC103" s="7">
        <f si="55" t="shared"/>
        <v>-1638.594000000001</v>
      </c>
      <c r="AD103" s="7">
        <f si="56" t="shared"/>
        <v>3021.0410888480983</v>
      </c>
      <c r="AE103" s="7">
        <f si="57" t="shared"/>
        <v>3536.4701168156198</v>
      </c>
      <c r="AF103" s="7">
        <f si="57" t="shared"/>
        <v>25697.558055196889</v>
      </c>
      <c r="AG103" s="7">
        <f si="58" t="shared"/>
        <v>23229.930360860599</v>
      </c>
      <c r="AH103" s="33"/>
    </row>
    <row r="104" spans="1:34" x14ac:dyDescent="0.2">
      <c r="A104" s="3" t="s">
        <v>213</v>
      </c>
      <c r="B104" s="7">
        <f>output_NHTS!B255</f>
        <v>26310.457399999999</v>
      </c>
      <c r="C104" s="7">
        <f>output_NHTS!C255</f>
        <v>1648.1524999999999</v>
      </c>
      <c r="D104" s="7">
        <f>output_NHTS!D255</f>
        <v>24141.128799999999</v>
      </c>
      <c r="E104" s="7">
        <f>output_NHTS!E255</f>
        <v>21889.563099999999</v>
      </c>
      <c r="F104" s="7">
        <f>output_NHTS!F255</f>
        <v>157948.239</v>
      </c>
      <c r="G104" s="7">
        <f>output_NHTS!G255</f>
        <v>12457.092699999999</v>
      </c>
      <c r="H104" s="7">
        <f>output_NHTS!H255</f>
        <v>657340.94790000003</v>
      </c>
      <c r="I104" s="7">
        <f si="59" t="shared"/>
        <v>901735.58140000002</v>
      </c>
      <c r="J104" s="33"/>
      <c r="K104" s="25"/>
      <c r="L104"/>
      <c r="M104" s="3" t="s">
        <v>213</v>
      </c>
      <c r="N104" s="7">
        <f>output!B255</f>
        <v>49611</v>
      </c>
      <c r="O104" s="7">
        <f>output!C255</f>
        <v>3510.5</v>
      </c>
      <c r="P104" s="7">
        <f>output!D255</f>
        <v>44268</v>
      </c>
      <c r="Q104" s="7">
        <f>output!E255</f>
        <v>34519.5</v>
      </c>
      <c r="R104" s="7">
        <f>output!F255</f>
        <v>205047.54767969984</v>
      </c>
      <c r="S104" s="7">
        <f>output!G255</f>
        <v>20290.741677979553</v>
      </c>
      <c r="T104" s="7">
        <f>output!H255</f>
        <v>784486.34823374345</v>
      </c>
      <c r="U104" s="7">
        <f si="60" t="shared"/>
        <v>1141733.6375914228</v>
      </c>
      <c r="V104" s="33"/>
      <c r="W104" s="25"/>
      <c r="X104"/>
      <c r="Y104" s="3" t="s">
        <v>213</v>
      </c>
      <c r="Z104" s="7">
        <f si="55" t="shared"/>
        <v>23300.542600000001</v>
      </c>
      <c r="AA104" s="7">
        <f si="55" t="shared"/>
        <v>1862.3475000000001</v>
      </c>
      <c r="AB104" s="7">
        <f si="55" t="shared"/>
        <v>20126.871200000001</v>
      </c>
      <c r="AC104" s="7">
        <f si="55" t="shared"/>
        <v>12629.936900000001</v>
      </c>
      <c r="AD104" s="7">
        <f si="56" t="shared"/>
        <v>47099.30867969984</v>
      </c>
      <c r="AE104" s="7">
        <f si="57" t="shared"/>
        <v>7833.6489779795538</v>
      </c>
      <c r="AF104" s="7">
        <f si="57" t="shared"/>
        <v>127145.40033374343</v>
      </c>
      <c r="AG104" s="7">
        <f si="58" t="shared"/>
        <v>239998.05619142274</v>
      </c>
      <c r="AH104" s="33"/>
    </row>
    <row r="105" spans="1:34" x14ac:dyDescent="0.2">
      <c r="A105" s="3" t="s">
        <v>214</v>
      </c>
      <c r="B105" s="7">
        <f>output_NHTS!B256</f>
        <v>38577.354899999998</v>
      </c>
      <c r="C105" s="7">
        <f>output_NHTS!C256</f>
        <v>1723.5217</v>
      </c>
      <c r="D105" s="7">
        <f>output_NHTS!D256</f>
        <v>38740.460500000001</v>
      </c>
      <c r="E105" s="7">
        <f>output_NHTS!E256</f>
        <v>29042.2399</v>
      </c>
      <c r="F105" s="7">
        <f>output_NHTS!F256</f>
        <v>186320.94380000001</v>
      </c>
      <c r="G105" s="7">
        <f>output_NHTS!G256</f>
        <v>16772.111199999999</v>
      </c>
      <c r="H105" s="7">
        <f>output_NHTS!H256</f>
        <v>763378.80689999997</v>
      </c>
      <c r="I105" s="7">
        <f si="59" t="shared"/>
        <v>1074555.4389</v>
      </c>
      <c r="J105" s="33"/>
      <c r="K105" s="25"/>
      <c r="L105"/>
      <c r="M105" s="3" t="s">
        <v>214</v>
      </c>
      <c r="N105" s="7">
        <f>output!B256</f>
        <v>66646</v>
      </c>
      <c r="O105" s="7">
        <f>output!C256</f>
        <v>5008.75</v>
      </c>
      <c r="P105" s="7">
        <f>output!D256</f>
        <v>59886</v>
      </c>
      <c r="Q105" s="7">
        <f>output!E256</f>
        <v>46823.5</v>
      </c>
      <c r="R105" s="7">
        <f>output!F256</f>
        <v>280839.71118457778</v>
      </c>
      <c r="S105" s="7">
        <f>output!G256</f>
        <v>29125.128916730882</v>
      </c>
      <c r="T105" s="7">
        <f>output!H256</f>
        <v>1047561.4906520569</v>
      </c>
      <c r="U105" s="7">
        <f si="60" t="shared"/>
        <v>1535890.5807533655</v>
      </c>
      <c r="V105" s="33"/>
      <c r="W105" s="25"/>
      <c r="X105"/>
      <c r="Y105" s="3" t="s">
        <v>214</v>
      </c>
      <c r="Z105" s="7">
        <f si="55" t="shared"/>
        <v>28068.645100000002</v>
      </c>
      <c r="AA105" s="7">
        <f si="55" t="shared"/>
        <v>3285.2282999999998</v>
      </c>
      <c r="AB105" s="7">
        <f si="55" t="shared"/>
        <v>21145.539499999999</v>
      </c>
      <c r="AC105" s="7">
        <f si="55" t="shared"/>
        <v>17781.2601</v>
      </c>
      <c r="AD105" s="7">
        <f si="56" t="shared"/>
        <v>94518.767384577775</v>
      </c>
      <c r="AE105" s="7">
        <f si="57" t="shared"/>
        <v>12353.017716730883</v>
      </c>
      <c r="AF105" s="7">
        <f si="57" t="shared"/>
        <v>284182.68375205691</v>
      </c>
      <c r="AG105" s="7">
        <f si="58" t="shared"/>
        <v>461335.14185336558</v>
      </c>
      <c r="AH105" s="33"/>
    </row>
    <row r="106" spans="1:34" x14ac:dyDescent="0.2">
      <c r="A106" s="3" t="s">
        <v>129</v>
      </c>
      <c r="B106" s="7">
        <f>output_NHTS!B257</f>
        <v>15798.5699</v>
      </c>
      <c r="C106" s="7">
        <f>output_NHTS!C257</f>
        <v>931.07539999999995</v>
      </c>
      <c r="D106" s="7">
        <f>output_NHTS!D257</f>
        <v>9291.6589000000004</v>
      </c>
      <c r="E106" s="7">
        <f>output_NHTS!E257</f>
        <v>25828.3236</v>
      </c>
      <c r="F106" s="7">
        <f>output_NHTS!F257</f>
        <v>99797.627999999997</v>
      </c>
      <c r="G106" s="7">
        <f>output_NHTS!G257</f>
        <v>15433.157800000001</v>
      </c>
      <c r="H106" s="7">
        <f>output_NHTS!H257</f>
        <v>310204.23969999998</v>
      </c>
      <c r="I106" s="7">
        <f si="59" t="shared"/>
        <v>477284.65329999995</v>
      </c>
      <c r="J106" s="33"/>
      <c r="K106" s="25"/>
      <c r="L106"/>
      <c r="M106" s="3" t="s">
        <v>129</v>
      </c>
      <c r="N106" s="7">
        <f>output!B257</f>
        <v>38657.5</v>
      </c>
      <c r="O106" s="7">
        <f>output!C257</f>
        <v>3181.5</v>
      </c>
      <c r="P106" s="7">
        <f>output!D257</f>
        <v>32811.75</v>
      </c>
      <c r="Q106" s="7">
        <f>output!E257</f>
        <v>24860</v>
      </c>
      <c r="R106" s="7">
        <f>output!F257</f>
        <v>159423.04834749241</v>
      </c>
      <c r="S106" s="7">
        <f>output!G257</f>
        <v>17873.351515391638</v>
      </c>
      <c r="T106" s="7">
        <f>output!H257</f>
        <v>458516.83316820743</v>
      </c>
      <c r="U106" s="7">
        <f si="60" t="shared"/>
        <v>735323.98303109151</v>
      </c>
      <c r="V106" s="33"/>
      <c r="W106" s="25"/>
      <c r="X106"/>
      <c r="Y106" s="3" t="s">
        <v>129</v>
      </c>
      <c r="Z106" s="7">
        <f si="55" t="shared"/>
        <v>22858.930099999998</v>
      </c>
      <c r="AA106" s="7">
        <f si="55" t="shared"/>
        <v>2250.4246000000003</v>
      </c>
      <c r="AB106" s="7">
        <f si="55" t="shared"/>
        <v>23520.091099999998</v>
      </c>
      <c r="AC106" s="7">
        <f si="55" t="shared"/>
        <v>-968.32359999999971</v>
      </c>
      <c r="AD106" s="7">
        <f si="56" t="shared"/>
        <v>59625.420347492414</v>
      </c>
      <c r="AE106" s="7">
        <f si="57" t="shared"/>
        <v>2440.1937153916369</v>
      </c>
      <c r="AF106" s="7">
        <f si="57" t="shared"/>
        <v>148312.59346820746</v>
      </c>
      <c r="AG106" s="7">
        <f si="58" t="shared"/>
        <v>258039.32973109157</v>
      </c>
      <c r="AH106" s="33"/>
    </row>
    <row r="107" spans="1:34" x14ac:dyDescent="0.2">
      <c r="A107" s="3" t="s">
        <v>130</v>
      </c>
      <c r="B107" s="7">
        <f>output_NHTS!B258</f>
        <v>21874.137500000001</v>
      </c>
      <c r="C107" s="7">
        <f>output_NHTS!C258</f>
        <v>394.45179999999999</v>
      </c>
      <c r="D107" s="7">
        <f>output_NHTS!D258</f>
        <v>12859.3099</v>
      </c>
      <c r="E107" s="7">
        <f>output_NHTS!E258</f>
        <v>26672.872100000001</v>
      </c>
      <c r="F107" s="7">
        <f>output_NHTS!F258</f>
        <v>114111.53170000001</v>
      </c>
      <c r="G107" s="7">
        <f>output_NHTS!G258</f>
        <v>8336.0727999999999</v>
      </c>
      <c r="H107" s="7">
        <f>output_NHTS!H258</f>
        <v>311028.99810000003</v>
      </c>
      <c r="I107" s="7">
        <f si="59" t="shared"/>
        <v>495277.37390000001</v>
      </c>
      <c r="J107" s="33"/>
      <c r="K107" s="25"/>
      <c r="L107"/>
      <c r="M107" s="3" t="s">
        <v>130</v>
      </c>
      <c r="N107" s="9">
        <f>output!B258</f>
        <v>36881.5</v>
      </c>
      <c r="O107" s="9">
        <f>output!C258</f>
        <v>2254.75</v>
      </c>
      <c r="P107" s="9">
        <f>output!D258</f>
        <v>32375</v>
      </c>
      <c r="Q107" s="7">
        <f>output!E258</f>
        <v>26279.75</v>
      </c>
      <c r="R107" s="7">
        <f>output!F258</f>
        <v>141382.17925052781</v>
      </c>
      <c r="S107" s="7">
        <f>output!G258</f>
        <v>11964.521076344168</v>
      </c>
      <c r="T107" s="7">
        <f>output!H258</f>
        <v>554257.32354267337</v>
      </c>
      <c r="U107" s="7">
        <f si="60" t="shared"/>
        <v>805395.02386954532</v>
      </c>
      <c r="V107" s="33"/>
      <c r="W107" s="25"/>
      <c r="X107"/>
      <c r="Y107" s="3" t="s">
        <v>130</v>
      </c>
      <c r="Z107" s="9">
        <f si="55" t="shared"/>
        <v>15007.362499999999</v>
      </c>
      <c r="AA107" s="9">
        <f si="55" t="shared"/>
        <v>1860.2982</v>
      </c>
      <c r="AB107" s="9">
        <f si="55" t="shared"/>
        <v>19515.6901</v>
      </c>
      <c r="AC107" s="9">
        <f si="55" t="shared"/>
        <v>-393.1221000000005</v>
      </c>
      <c r="AD107" s="9">
        <f si="56" t="shared"/>
        <v>27270.647550527807</v>
      </c>
      <c r="AE107" s="9">
        <f si="57" t="shared"/>
        <v>3628.4482763441683</v>
      </c>
      <c r="AF107" s="7">
        <f si="57" t="shared"/>
        <v>243228.32544267335</v>
      </c>
      <c r="AG107" s="9">
        <f si="58" t="shared"/>
        <v>310117.64996954531</v>
      </c>
      <c r="AH107" s="33"/>
    </row>
    <row ht="13.5" r="108" spans="1:34" thickBot="1" x14ac:dyDescent="0.25">
      <c r="A108" s="10" t="s">
        <v>221</v>
      </c>
      <c r="B108" s="11">
        <f>SUM(B101:B107)</f>
        <v>141593.83040000001</v>
      </c>
      <c r="C108" s="11">
        <f>SUM(C101:C107)</f>
        <v>6240.9407999999994</v>
      </c>
      <c r="D108" s="11">
        <f>SUM(D101:D107)</f>
        <v>119632.11000000002</v>
      </c>
      <c r="E108" s="11">
        <f>SUM(E101:E107)</f>
        <v>127271.6575</v>
      </c>
      <c r="F108" s="11">
        <f ref="F108:G108" si="61" t="shared">SUM(F101:F107)</f>
        <v>740606.71510000003</v>
      </c>
      <c r="G108" s="11">
        <f si="61" t="shared"/>
        <v>61607.856399999997</v>
      </c>
      <c r="H108" s="11">
        <f ref="H108" si="62" t="shared">SUM(H101:H107)</f>
        <v>2600252.9514000001</v>
      </c>
      <c r="I108" s="11">
        <f>SUM(I101:I107)</f>
        <v>3797206.0616000001</v>
      </c>
      <c r="J108" s="33"/>
      <c r="K108" s="25"/>
      <c r="L108"/>
      <c r="M108" s="10" t="s">
        <v>221</v>
      </c>
      <c r="N108" s="11">
        <f>SUM(N101:N107)</f>
        <v>231349</v>
      </c>
      <c r="O108" s="11">
        <f>SUM(O101:O107)</f>
        <v>16082.25</v>
      </c>
      <c r="P108" s="11">
        <f>SUM(P101:P107)</f>
        <v>204282.25</v>
      </c>
      <c r="Q108" s="11">
        <f>SUM(Q101:Q107)</f>
        <v>160387.25</v>
      </c>
      <c r="R108" s="11">
        <f ref="R108:S108" si="63" t="shared">SUM(R101:R107)</f>
        <v>944693.76069075987</v>
      </c>
      <c r="S108" s="11">
        <f si="63" t="shared"/>
        <v>91561.594989921519</v>
      </c>
      <c r="T108" s="11">
        <f ref="T108" si="64" t="shared">SUM(T101:T107)</f>
        <v>3442143.49106126</v>
      </c>
      <c r="U108" s="11">
        <f>SUM(U101:U107)</f>
        <v>5090499.5967419418</v>
      </c>
      <c r="V108" s="33"/>
      <c r="W108" s="25"/>
      <c r="X108"/>
      <c r="Y108" s="10" t="s">
        <v>221</v>
      </c>
      <c r="Z108" s="11">
        <f si="55" t="shared"/>
        <v>89755.169599999994</v>
      </c>
      <c r="AA108" s="11">
        <f si="55" t="shared"/>
        <v>9841.3091999999997</v>
      </c>
      <c r="AB108" s="11">
        <f si="55" t="shared"/>
        <v>84650.139999999985</v>
      </c>
      <c r="AC108" s="11">
        <f si="55" t="shared"/>
        <v>33115.592499999999</v>
      </c>
      <c r="AD108" s="11">
        <f si="56" t="shared"/>
        <v>204087.04559075984</v>
      </c>
      <c r="AE108" s="11">
        <f si="57" t="shared"/>
        <v>29953.738589921522</v>
      </c>
      <c r="AF108" s="11">
        <f si="57" t="shared"/>
        <v>841890.53966125986</v>
      </c>
      <c r="AG108" s="11">
        <f si="58" t="shared"/>
        <v>1293293.5351419416</v>
      </c>
      <c r="AH108" s="33"/>
    </row>
    <row r="109" spans="1:34" x14ac:dyDescent="0.2">
      <c r="G109" s="25"/>
      <c r="H109" s="25"/>
      <c r="I109" s="25"/>
      <c r="J109" s="25"/>
      <c r="K109" s="25"/>
      <c r="L109"/>
      <c r="S109" s="25"/>
      <c r="T109" s="25"/>
      <c r="U109" s="25"/>
      <c r="V109" s="25"/>
      <c r="W109" s="25"/>
      <c r="X109"/>
      <c r="AE109" s="25"/>
      <c r="AF109" s="25"/>
      <c r="AG109" s="25"/>
      <c r="AH109" s="25"/>
    </row>
    <row r="110" spans="1:34" x14ac:dyDescent="0.2">
      <c r="A110" s="25" t="s">
        <v>88</v>
      </c>
      <c r="B110" s="53">
        <f>ToursByTourPurpose!B118</f>
        <v>151396.64790000001</v>
      </c>
      <c r="C110" s="53">
        <f>ToursByTourPurpose!C118</f>
        <v>8845.8525000000009</v>
      </c>
      <c r="D110" s="53">
        <f>ToursByTourPurpose!D118</f>
        <v>131529.91500000001</v>
      </c>
      <c r="E110" s="53">
        <f>ToursByTourPurpose!E118</f>
        <v>123832.13039999999</v>
      </c>
      <c r="F110" s="53">
        <f>ToursByTourPurpose!F118</f>
        <v>636827.67330000002</v>
      </c>
      <c r="G110" s="53">
        <f>ToursByTourPurpose!G118</f>
        <v>54534.662199999999</v>
      </c>
      <c r="H110" s="53"/>
      <c r="I110" s="53">
        <f>ToursByTourPurpose!I118</f>
        <v>3708517.9665999999</v>
      </c>
      <c r="J110" s="33"/>
      <c r="K110" s="25"/>
      <c r="L110"/>
      <c r="M110" s="25" t="s">
        <v>88</v>
      </c>
      <c r="N110" s="53">
        <f>ToursByTourPurpose!N118</f>
        <v>152941.5</v>
      </c>
      <c r="O110" s="53">
        <f>ToursByTourPurpose!O118</f>
        <v>9701</v>
      </c>
      <c r="P110" s="53">
        <f>ToursByTourPurpose!P118</f>
        <v>135841.5</v>
      </c>
      <c r="Q110" s="53">
        <f>ToursByTourPurpose!Q118</f>
        <v>108932</v>
      </c>
      <c r="R110" s="53">
        <f>ToursByTourPurpose!R118</f>
        <v>623275.53186630248</v>
      </c>
      <c r="S110" s="53">
        <f>ToursByTourPurpose!S118</f>
        <v>54870.858576608582</v>
      </c>
      <c r="T110" s="53"/>
      <c r="U110" s="53">
        <f>ToursByTourPurpose!U118</f>
        <v>3742474.8184638917</v>
      </c>
      <c r="V110" s="54"/>
      <c r="W110" s="25"/>
      <c r="X110"/>
      <c r="Y110" s="25" t="s">
        <v>88</v>
      </c>
      <c r="Z110" s="7">
        <f ref="Z110:AB111" si="65" t="shared">N110-B110</f>
        <v>1544.8520999999892</v>
      </c>
      <c r="AA110" s="7">
        <f si="65" t="shared"/>
        <v>855.14749999999913</v>
      </c>
      <c r="AB110" s="7">
        <f si="65" t="shared"/>
        <v>4311.5849999999919</v>
      </c>
      <c r="AC110" s="7">
        <f ref="AC110:AC111" si="66" t="shared">Q110-E110</f>
        <v>-14900.130399999995</v>
      </c>
      <c r="AD110" s="7">
        <f ref="AD110:AD111" si="67" t="shared">R110-F110</f>
        <v>-13552.141433697543</v>
      </c>
      <c r="AE110" s="7">
        <f ref="AE110:AE111" si="68" t="shared">S110-G110</f>
        <v>336.1963766085828</v>
      </c>
      <c r="AF110" s="7"/>
      <c r="AG110" s="7">
        <f ref="AG110:AG111" si="69" t="shared">U110-I110</f>
        <v>33956.851863891818</v>
      </c>
      <c r="AH110" s="33"/>
    </row>
    <row r="111" spans="1:34" x14ac:dyDescent="0.2">
      <c r="A111" s="25" t="s">
        <v>90</v>
      </c>
      <c r="B111" s="38">
        <f>B108/B110</f>
        <v>0.9352507625764942</v>
      </c>
      <c r="C111" s="38">
        <f>C108/C110</f>
        <v>0.70552168940189752</v>
      </c>
      <c r="D111" s="38">
        <f>D108/D110</f>
        <v>0.90954297355092195</v>
      </c>
      <c r="E111" s="38">
        <f>E108/E110</f>
        <v>1.0277757241912071</v>
      </c>
      <c r="F111" s="38">
        <f ref="F111:I111" si="70" t="shared">F108/F110</f>
        <v>1.1629625189844903</v>
      </c>
      <c r="G111" s="38">
        <f si="70" t="shared"/>
        <v>1.1297008895747775</v>
      </c>
      <c r="H111" s="38"/>
      <c r="I111" s="38">
        <f si="70" t="shared"/>
        <v>1.0239147001035862</v>
      </c>
      <c r="J111" s="103"/>
      <c r="K111" s="25"/>
      <c r="L111"/>
      <c r="M111" s="25" t="s">
        <v>90</v>
      </c>
      <c r="N111" s="38">
        <f>N108/N110</f>
        <v>1.5126633385967838</v>
      </c>
      <c r="O111" s="38">
        <f>O108/O110</f>
        <v>1.6577930110297907</v>
      </c>
      <c r="P111" s="38">
        <f>P108/P110</f>
        <v>1.5038279907097609</v>
      </c>
      <c r="Q111" s="38">
        <f>Q108/Q110</f>
        <v>1.4723611978114788</v>
      </c>
      <c r="R111" s="38">
        <f ref="R111:U111" si="71" t="shared">R108/R110</f>
        <v>1.5156920372953195</v>
      </c>
      <c r="S111" s="38">
        <f si="71" t="shared"/>
        <v>1.6686743631336978</v>
      </c>
      <c r="T111" s="38"/>
      <c r="U111" s="38">
        <f si="71" t="shared"/>
        <v>1.3601960851219168</v>
      </c>
      <c r="V111" s="103"/>
      <c r="W111" s="25"/>
      <c r="X111"/>
      <c r="Y111" s="25" t="s">
        <v>90</v>
      </c>
      <c r="Z111" s="38">
        <f si="65" t="shared"/>
        <v>0.57741257602028961</v>
      </c>
      <c r="AA111" s="38">
        <f si="65" t="shared"/>
        <v>0.95227132162789319</v>
      </c>
      <c r="AB111" s="38">
        <f si="65" t="shared"/>
        <v>0.59428501715883897</v>
      </c>
      <c r="AC111" s="38">
        <f si="66" t="shared"/>
        <v>0.44458547362027168</v>
      </c>
      <c r="AD111" s="38">
        <f si="67" t="shared"/>
        <v>0.35272951831082922</v>
      </c>
      <c r="AE111" s="38">
        <f si="68" t="shared"/>
        <v>0.53897347355892022</v>
      </c>
      <c r="AF111" s="38"/>
      <c r="AG111" s="38">
        <f si="69" t="shared"/>
        <v>0.3362813850183306</v>
      </c>
      <c r="AH111" s="103"/>
    </row>
    <row r="112" spans="1:34" x14ac:dyDescent="0.2">
      <c r="G112" s="25"/>
      <c r="H112" s="25"/>
      <c r="I112" s="25"/>
      <c r="J112" s="25"/>
      <c r="K112" s="25"/>
      <c r="L112"/>
      <c r="S112" s="25"/>
      <c r="T112" s="25"/>
      <c r="U112" s="25"/>
      <c r="V112" s="25"/>
      <c r="W112" s="25"/>
      <c r="X112"/>
      <c r="AD112" s="25"/>
      <c r="AE112" s="25"/>
      <c r="AF112" s="25"/>
      <c r="AG112" s="25"/>
      <c r="AH112" s="25"/>
    </row>
    <row r="113" spans="1:34" x14ac:dyDescent="0.2">
      <c r="A113" s="2" t="s">
        <v>175</v>
      </c>
      <c r="G113" s="25"/>
      <c r="H113" s="25"/>
      <c r="I113" s="25"/>
      <c r="J113" s="25"/>
      <c r="K113" s="25"/>
      <c r="L113"/>
      <c r="M113" s="2" t="s">
        <v>175</v>
      </c>
      <c r="S113" s="25"/>
      <c r="T113" s="25"/>
      <c r="U113" s="25"/>
      <c r="V113" s="25"/>
      <c r="W113" s="25"/>
      <c r="X113"/>
      <c r="Y113" s="2" t="s">
        <v>175</v>
      </c>
      <c r="AD113" s="25"/>
      <c r="AE113" s="25"/>
      <c r="AF113" s="25"/>
      <c r="AG113" s="25"/>
      <c r="AH113" s="25"/>
    </row>
    <row r="114" spans="1:34" x14ac:dyDescent="0.2">
      <c r="A114" s="2" t="s">
        <v>119</v>
      </c>
      <c r="G114" s="25"/>
      <c r="H114" s="25"/>
      <c r="I114" s="25"/>
      <c r="J114" s="25"/>
      <c r="K114" s="25"/>
      <c r="L114"/>
      <c r="M114" s="2" t="s">
        <v>287</v>
      </c>
      <c r="S114" s="25"/>
      <c r="T114" s="25"/>
      <c r="U114" s="25"/>
      <c r="V114" s="25"/>
      <c r="W114" s="25"/>
      <c r="X114"/>
      <c r="Y114" s="2" t="s">
        <v>94</v>
      </c>
      <c r="AD114" s="25"/>
      <c r="AE114" s="25"/>
      <c r="AF114" s="25"/>
      <c r="AG114" s="25"/>
      <c r="AH114" s="25"/>
    </row>
    <row ht="13.5" r="115" spans="1:34" thickBot="1" x14ac:dyDescent="0.25">
      <c r="B115" s="15"/>
      <c r="C115" s="15"/>
      <c r="D115" s="15"/>
      <c r="E115" s="15"/>
      <c r="F115" s="15"/>
      <c r="G115" s="25"/>
      <c r="H115" s="25"/>
      <c r="I115" s="25"/>
      <c r="J115" s="25"/>
      <c r="K115" s="25"/>
      <c r="L115"/>
      <c r="N115" s="15"/>
      <c r="O115" s="15"/>
      <c r="P115" s="15"/>
      <c r="Q115" s="15"/>
      <c r="R115" s="15"/>
      <c r="S115" s="25"/>
      <c r="T115" s="25"/>
      <c r="U115" s="25"/>
      <c r="V115" s="25"/>
      <c r="W115" s="25"/>
      <c r="X11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4" x14ac:dyDescent="0.2">
      <c r="A116" s="5" t="s">
        <v>144</v>
      </c>
      <c r="B116" s="6" t="str">
        <f>B100</f>
        <v>Bellevue</v>
      </c>
      <c r="C116" s="6" t="str">
        <f ref="C116:G116" si="72" t="shared">C100</f>
        <v>Bellevue Downtown</v>
      </c>
      <c r="D116" s="6" t="str">
        <f si="72" t="shared"/>
        <v>Kirkland</v>
      </c>
      <c r="E116" s="6" t="str">
        <f si="72" t="shared"/>
        <v>Redmond</v>
      </c>
      <c r="F116" s="6" t="str">
        <f si="72" t="shared"/>
        <v>Seattle</v>
      </c>
      <c r="G116" s="6" t="str">
        <f si="72" t="shared"/>
        <v>Seattle Downtown</v>
      </c>
      <c r="H116" s="6" t="str">
        <f>H100</f>
        <v>Rest</v>
      </c>
      <c r="I116" s="6" t="s">
        <v>221</v>
      </c>
      <c r="J116" s="89"/>
      <c r="K116" s="25"/>
      <c r="L116"/>
      <c r="M116" s="5" t="s">
        <v>144</v>
      </c>
      <c r="N116" s="6" t="str">
        <f>B100</f>
        <v>Bellevue</v>
      </c>
      <c r="O116" s="6" t="str">
        <f ref="O116:S116" si="73" t="shared">C100</f>
        <v>Bellevue Downtown</v>
      </c>
      <c r="P116" s="6" t="str">
        <f si="73" t="shared"/>
        <v>Kirkland</v>
      </c>
      <c r="Q116" s="6" t="str">
        <f si="73" t="shared"/>
        <v>Redmond</v>
      </c>
      <c r="R116" s="6" t="str">
        <f si="73" t="shared"/>
        <v>Seattle</v>
      </c>
      <c r="S116" s="6" t="str">
        <f si="73" t="shared"/>
        <v>Seattle Downtown</v>
      </c>
      <c r="T116" s="6" t="str">
        <f>H100</f>
        <v>Rest</v>
      </c>
      <c r="U116" s="6" t="s">
        <v>221</v>
      </c>
      <c r="V116" s="89"/>
      <c r="W116" s="25"/>
      <c r="X116"/>
      <c r="Y116" s="5" t="s">
        <v>144</v>
      </c>
      <c r="Z116" s="6" t="str">
        <f>B100</f>
        <v>Bellevue</v>
      </c>
      <c r="AA116" s="6" t="str">
        <f ref="AA116:AF116" si="74" t="shared">C100</f>
        <v>Bellevue Downtown</v>
      </c>
      <c r="AB116" s="6" t="str">
        <f si="74" t="shared"/>
        <v>Kirkland</v>
      </c>
      <c r="AC116" s="6" t="str">
        <f si="74" t="shared"/>
        <v>Redmond</v>
      </c>
      <c r="AD116" s="6" t="str">
        <f si="74" t="shared"/>
        <v>Seattle</v>
      </c>
      <c r="AE116" s="6" t="str">
        <f si="74" t="shared"/>
        <v>Seattle Downtown</v>
      </c>
      <c r="AF116" s="6" t="str">
        <f si="74" t="shared"/>
        <v>Rest</v>
      </c>
      <c r="AG116" s="6" t="s">
        <v>221</v>
      </c>
      <c r="AH116" s="89"/>
    </row>
    <row r="117" spans="1:34" x14ac:dyDescent="0.2">
      <c r="A117" s="3" t="s">
        <v>210</v>
      </c>
      <c r="B117" s="12">
        <f ref="B117:G122" si="75" t="shared">B101/B$108</f>
        <v>4.8899116440598807E-2</v>
      </c>
      <c r="C117" s="12">
        <f si="75" t="shared"/>
        <v>0.17308561875799242</v>
      </c>
      <c r="D117" s="12">
        <f si="75" t="shared"/>
        <v>0.10349801905190838</v>
      </c>
      <c r="E117" s="12">
        <f si="75" t="shared"/>
        <v>4.4379297095270408E-2</v>
      </c>
      <c r="F117" s="12">
        <f si="75" t="shared"/>
        <v>0.10553204569505799</v>
      </c>
      <c r="G117" s="12">
        <f si="75" t="shared"/>
        <v>0.10199843927697508</v>
      </c>
      <c r="H117" s="12"/>
      <c r="I117" s="12">
        <f ref="I117:I124" si="76" t="shared">I101/I$108</f>
        <v>8.3529424122522566E-2</v>
      </c>
      <c r="J117" s="34"/>
      <c r="K117" s="25"/>
      <c r="L117"/>
      <c r="M117" s="3" t="s">
        <v>210</v>
      </c>
      <c r="N117" s="12">
        <f ref="N117:S124" si="77" t="shared">N101/N$108</f>
        <v>4.9936459634578059E-2</v>
      </c>
      <c r="O117" s="12">
        <f si="77" t="shared"/>
        <v>5.7485737381274389E-2</v>
      </c>
      <c r="P117" s="12">
        <f si="77" t="shared"/>
        <v>5.3269434813842123E-2</v>
      </c>
      <c r="Q117" s="12">
        <f si="77" t="shared"/>
        <v>5.1879123808158067E-2</v>
      </c>
      <c r="R117" s="12">
        <f si="77" t="shared"/>
        <v>5.7528828144301873E-2</v>
      </c>
      <c r="S117" s="12">
        <f si="77" t="shared"/>
        <v>6.685058938042035E-2</v>
      </c>
      <c r="T117" s="12"/>
      <c r="U117" s="12">
        <f ref="U117:U124" si="78" t="shared">U101/U$108</f>
        <v>5.2027331872246091E-2</v>
      </c>
      <c r="V117" s="34"/>
      <c r="W117" s="25"/>
      <c r="X117"/>
      <c r="Y117" s="3" t="s">
        <v>210</v>
      </c>
      <c r="Z117" s="12">
        <f ref="Z117:AC124" si="79" t="shared">N117-B117</f>
        <v>1.0373431939792524E-3</v>
      </c>
      <c r="AA117" s="12">
        <f si="79" t="shared"/>
        <v>-0.11559988137671803</v>
      </c>
      <c r="AB117" s="12">
        <f si="79" t="shared"/>
        <v>-5.0228584238066254E-2</v>
      </c>
      <c r="AC117" s="12">
        <f si="79" t="shared"/>
        <v>7.4998267128876597E-3</v>
      </c>
      <c r="AD117" s="12">
        <f ref="AD117" si="80" t="shared">R117-F117</f>
        <v>-4.8003217550756115E-2</v>
      </c>
      <c r="AE117" s="12">
        <f ref="AE117:AF123" si="81" t="shared">S117-G117</f>
        <v>-3.5147849896554728E-2</v>
      </c>
      <c r="AF117" s="12">
        <f si="81" t="shared"/>
        <v>0</v>
      </c>
      <c r="AG117" s="12">
        <f ref="AG117:AG124" si="82" t="shared">U117-I117</f>
        <v>-3.1502092250276476E-2</v>
      </c>
      <c r="AH117" s="34"/>
    </row>
    <row r="118" spans="1:34" x14ac:dyDescent="0.2">
      <c r="A118" s="3" t="s">
        <v>211</v>
      </c>
      <c r="B118" s="12">
        <f si="75" t="shared"/>
        <v>1.1628970664529744E-2</v>
      </c>
      <c r="C118" s="12">
        <f si="75" t="shared"/>
        <v>5.1597989841531584E-3</v>
      </c>
      <c r="D118" s="12">
        <f si="75" t="shared"/>
        <v>1.8314881347491069E-2</v>
      </c>
      <c r="E118" s="12">
        <f ref="E118:G118" si="83" t="shared">E102/E$108</f>
        <v>3.9037607410746574E-3</v>
      </c>
      <c r="F118" s="12">
        <f si="83" t="shared"/>
        <v>2.973077228583719E-2</v>
      </c>
      <c r="G118" s="12">
        <f si="83" t="shared"/>
        <v>8.5119988041005758E-3</v>
      </c>
      <c r="H118" s="12"/>
      <c r="I118" s="12">
        <f si="76" t="shared"/>
        <v>1.3483519479695123E-2</v>
      </c>
      <c r="J118" s="34"/>
      <c r="K118" s="25"/>
      <c r="L118"/>
      <c r="M118" s="3" t="s">
        <v>211</v>
      </c>
      <c r="N118" s="12">
        <f si="77" t="shared"/>
        <v>2.3072284729996673E-2</v>
      </c>
      <c r="O118" s="12">
        <f si="77" t="shared"/>
        <v>1.0524024934322002E-2</v>
      </c>
      <c r="P118" s="12">
        <f si="77" t="shared"/>
        <v>2.0660140565320777E-2</v>
      </c>
      <c r="Q118" s="12">
        <f ref="Q118:S118" si="84" t="shared">Q102/Q$108</f>
        <v>2.2001437146655985E-2</v>
      </c>
      <c r="R118" s="12">
        <f si="84" t="shared"/>
        <v>1.9457402596160352E-2</v>
      </c>
      <c r="S118" s="12">
        <f si="84" t="shared"/>
        <v>9.2759895354111045E-3</v>
      </c>
      <c r="T118" s="12"/>
      <c r="U118" s="12">
        <f si="78" t="shared"/>
        <v>2.0451126778805534E-2</v>
      </c>
      <c r="V118" s="34"/>
      <c r="W118" s="25"/>
      <c r="X118"/>
      <c r="Y118" s="3" t="s">
        <v>211</v>
      </c>
      <c r="Z118" s="12">
        <f si="79" t="shared"/>
        <v>1.1443314065466928E-2</v>
      </c>
      <c r="AA118" s="12">
        <f si="79" t="shared"/>
        <v>5.3642259501688432E-3</v>
      </c>
      <c r="AB118" s="12">
        <f si="79" t="shared"/>
        <v>2.345259217829708E-3</v>
      </c>
      <c r="AC118" s="12">
        <f si="79" t="shared"/>
        <v>1.8097676405581326E-2</v>
      </c>
      <c r="AD118" s="12">
        <f ref="AD118:AD124" si="85" t="shared">R118-F118</f>
        <v>-1.0273369689676837E-2</v>
      </c>
      <c r="AE118" s="12">
        <f ref="AE118:AF124" si="86" t="shared">S118-G118</f>
        <v>7.6399073131052861E-4</v>
      </c>
      <c r="AF118" s="12">
        <f si="81" t="shared"/>
        <v>0</v>
      </c>
      <c r="AG118" s="12">
        <f si="82" t="shared"/>
        <v>6.9676072991104107E-3</v>
      </c>
      <c r="AH118" s="34"/>
    </row>
    <row r="119" spans="1:34" x14ac:dyDescent="0.2">
      <c r="A119" s="3" t="s">
        <v>212</v>
      </c>
      <c r="B119" s="12">
        <f si="75" t="shared"/>
        <v>0.21514289792106647</v>
      </c>
      <c r="C119" s="12">
        <f si="75" t="shared"/>
        <v>6.9111423072623926E-2</v>
      </c>
      <c r="D119" s="12">
        <f si="75" t="shared"/>
        <v>0.16740336352840388</v>
      </c>
      <c r="E119" s="12">
        <f ref="E119:G119" si="87" t="shared">E103/E$108</f>
        <v>0.13902226424606751</v>
      </c>
      <c r="F119" s="12">
        <f si="87" t="shared"/>
        <v>0.1110600533629971</v>
      </c>
      <c r="G119" s="12">
        <f si="87" t="shared"/>
        <v>2.9235081453020659E-2</v>
      </c>
      <c r="H119" s="12"/>
      <c r="I119" s="12">
        <f si="76" t="shared"/>
        <v>0.12640211482169514</v>
      </c>
      <c r="J119" s="34"/>
      <c r="K119" s="25"/>
      <c r="L119"/>
      <c r="M119" s="3" t="s">
        <v>212</v>
      </c>
      <c r="N119" s="12">
        <f si="77" t="shared"/>
        <v>9.7958063358821526E-2</v>
      </c>
      <c r="O119" s="12">
        <f si="77" t="shared"/>
        <v>6.4232305802981546E-2</v>
      </c>
      <c r="P119" s="12">
        <f si="77" t="shared"/>
        <v>9.7115632904963597E-2</v>
      </c>
      <c r="Q119" s="12">
        <f ref="Q119:S119" si="88" t="shared">Q103/Q$108</f>
        <v>0.10010147315325875</v>
      </c>
      <c r="R119" s="12">
        <f si="88" t="shared"/>
        <v>9.026508476831327E-2</v>
      </c>
      <c r="S119" s="12">
        <f si="88" t="shared"/>
        <v>5.8294974190905527E-2</v>
      </c>
      <c r="T119" s="12"/>
      <c r="U119" s="12">
        <f si="78" t="shared"/>
        <v>9.8851752641906779E-2</v>
      </c>
      <c r="V119" s="34"/>
      <c r="W119" s="25"/>
      <c r="X119"/>
      <c r="Y119" s="3" t="s">
        <v>212</v>
      </c>
      <c r="Z119" s="12">
        <f si="79" t="shared"/>
        <v>-0.11718483456224495</v>
      </c>
      <c r="AA119" s="12">
        <f si="79" t="shared"/>
        <v>-4.8791172696423801E-3</v>
      </c>
      <c r="AB119" s="12">
        <f si="79" t="shared"/>
        <v>-7.0287730623440278E-2</v>
      </c>
      <c r="AC119" s="12">
        <f si="79" t="shared"/>
        <v>-3.8920791092808757E-2</v>
      </c>
      <c r="AD119" s="12">
        <f si="85" t="shared"/>
        <v>-2.0794968594683827E-2</v>
      </c>
      <c r="AE119" s="12">
        <f si="86" t="shared"/>
        <v>2.9059892737884868E-2</v>
      </c>
      <c r="AF119" s="12">
        <f si="81" t="shared"/>
        <v>0</v>
      </c>
      <c r="AG119" s="12">
        <f si="82" t="shared"/>
        <v>-2.755036217978836E-2</v>
      </c>
      <c r="AH119" s="34"/>
    </row>
    <row r="120" spans="1:34" x14ac:dyDescent="0.2">
      <c r="A120" s="3" t="s">
        <v>213</v>
      </c>
      <c r="B120" s="12">
        <f si="75" t="shared"/>
        <v>0.18581641110826252</v>
      </c>
      <c r="C120" s="12">
        <f si="75" t="shared"/>
        <v>0.26408718698309075</v>
      </c>
      <c r="D120" s="12">
        <f si="75" t="shared"/>
        <v>0.20179472551307501</v>
      </c>
      <c r="E120" s="12">
        <f ref="E120:G120" si="89" t="shared">E104/E$108</f>
        <v>0.17199087000183053</v>
      </c>
      <c r="F120" s="12">
        <f si="89" t="shared"/>
        <v>0.21326871034199726</v>
      </c>
      <c r="G120" s="12">
        <f si="89" t="shared"/>
        <v>0.20219974249907516</v>
      </c>
      <c r="H120" s="12"/>
      <c r="I120" s="12">
        <f si="76" t="shared"/>
        <v>0.23747343883150826</v>
      </c>
      <c r="J120" s="34"/>
      <c r="K120" s="25"/>
      <c r="L120"/>
      <c r="M120" s="3" t="s">
        <v>213</v>
      </c>
      <c r="N120" s="12">
        <f si="77" t="shared"/>
        <v>0.21444224958828437</v>
      </c>
      <c r="O120" s="12">
        <f si="77" t="shared"/>
        <v>0.21828413312813816</v>
      </c>
      <c r="P120" s="12">
        <f si="77" t="shared"/>
        <v>0.21670017830721955</v>
      </c>
      <c r="Q120" s="12">
        <f ref="Q120:S120" si="90" t="shared">Q104/Q$108</f>
        <v>0.21522596091646937</v>
      </c>
      <c r="R120" s="12">
        <f si="90" t="shared"/>
        <v>0.21705187036460272</v>
      </c>
      <c r="S120" s="12">
        <f si="90" t="shared"/>
        <v>0.22160756024633493</v>
      </c>
      <c r="T120" s="12"/>
      <c r="U120" s="12">
        <f si="78" t="shared"/>
        <v>0.22428714822454035</v>
      </c>
      <c r="V120" s="34"/>
      <c r="W120" s="25"/>
      <c r="X120"/>
      <c r="Y120" s="3" t="s">
        <v>213</v>
      </c>
      <c r="Z120" s="12">
        <f si="79" t="shared"/>
        <v>2.8625838480021842E-2</v>
      </c>
      <c r="AA120" s="12">
        <f si="79" t="shared"/>
        <v>-4.5803053854952591E-2</v>
      </c>
      <c r="AB120" s="12">
        <f si="79" t="shared"/>
        <v>1.4905452794144541E-2</v>
      </c>
      <c r="AC120" s="12">
        <f si="79" t="shared"/>
        <v>4.3235090914638841E-2</v>
      </c>
      <c r="AD120" s="12">
        <f si="85" t="shared"/>
        <v>3.7831600226054529E-3</v>
      </c>
      <c r="AE120" s="12">
        <f si="86" t="shared"/>
        <v>1.9407817747259776E-2</v>
      </c>
      <c r="AF120" s="12">
        <f si="81" t="shared"/>
        <v>0</v>
      </c>
      <c r="AG120" s="12">
        <f si="82" t="shared"/>
        <v>-1.318629060696791E-2</v>
      </c>
      <c r="AH120" s="34"/>
    </row>
    <row r="121" spans="1:34" x14ac:dyDescent="0.2">
      <c r="A121" s="3" t="s">
        <v>214</v>
      </c>
      <c r="B121" s="12">
        <f si="75" t="shared"/>
        <v>0.27245081788535325</v>
      </c>
      <c r="C121" s="12">
        <f si="75" t="shared"/>
        <v>0.27616376364281492</v>
      </c>
      <c r="D121" s="12">
        <f si="75" t="shared"/>
        <v>0.32382995251024155</v>
      </c>
      <c r="E121" s="12">
        <f ref="E121:G121" si="91" t="shared">E105/E$108</f>
        <v>0.22819094581211061</v>
      </c>
      <c r="F121" s="12">
        <f si="91" t="shared"/>
        <v>0.25157879344213363</v>
      </c>
      <c r="G121" s="12">
        <f si="91" t="shared"/>
        <v>0.27223981128484775</v>
      </c>
      <c r="H121" s="12"/>
      <c r="I121" s="12">
        <f si="76" t="shared"/>
        <v>0.2829858115330256</v>
      </c>
      <c r="J121" s="34"/>
      <c r="K121" s="25"/>
      <c r="L121"/>
      <c r="M121" s="3" t="s">
        <v>214</v>
      </c>
      <c r="N121" s="12">
        <f si="77" t="shared"/>
        <v>0.2880755914224829</v>
      </c>
      <c r="O121" s="12">
        <f si="77" t="shared"/>
        <v>0.31144584868410824</v>
      </c>
      <c r="P121" s="12">
        <f si="77" t="shared"/>
        <v>0.29315322305290842</v>
      </c>
      <c r="Q121" s="12">
        <f ref="Q121:S121" si="92" t="shared">Q105/Q$108</f>
        <v>0.29194028827104401</v>
      </c>
      <c r="R121" s="12">
        <f si="92" t="shared"/>
        <v>0.29728121733251189</v>
      </c>
      <c r="S121" s="12">
        <f si="92" t="shared"/>
        <v>0.3180932892217177</v>
      </c>
      <c r="T121" s="12"/>
      <c r="U121" s="12">
        <f si="78" t="shared"/>
        <v>0.30171706166844159</v>
      </c>
      <c r="V121" s="34"/>
      <c r="W121" s="25"/>
      <c r="X121"/>
      <c r="Y121" s="3" t="s">
        <v>214</v>
      </c>
      <c r="Z121" s="12">
        <f si="79" t="shared"/>
        <v>1.5624773537129655E-2</v>
      </c>
      <c r="AA121" s="12">
        <f si="79" t="shared"/>
        <v>3.5282085041293321E-2</v>
      </c>
      <c r="AB121" s="12">
        <f si="79" t="shared"/>
        <v>-3.067672945733313E-2</v>
      </c>
      <c r="AC121" s="12">
        <f si="79" t="shared"/>
        <v>6.3749342458933406E-2</v>
      </c>
      <c r="AD121" s="12">
        <f si="85" t="shared"/>
        <v>4.5702423890378263E-2</v>
      </c>
      <c r="AE121" s="12">
        <f si="86" t="shared"/>
        <v>4.5853477936869946E-2</v>
      </c>
      <c r="AF121" s="12">
        <f si="81" t="shared"/>
        <v>0</v>
      </c>
      <c r="AG121" s="12">
        <f si="82" t="shared"/>
        <v>1.8731250135415989E-2</v>
      </c>
      <c r="AH121" s="34"/>
    </row>
    <row r="122" spans="1:34" x14ac:dyDescent="0.2">
      <c r="A122" s="3" t="s">
        <v>129</v>
      </c>
      <c r="B122" s="12">
        <f si="75" t="shared"/>
        <v>0.11157668279309435</v>
      </c>
      <c r="C122" s="12">
        <f si="75" t="shared"/>
        <v>0.14918830827557281</v>
      </c>
      <c r="D122" s="12">
        <f si="75" t="shared"/>
        <v>7.7668603354066057E-2</v>
      </c>
      <c r="E122" s="12">
        <f ref="E122:G122" si="93" t="shared">E106/E$108</f>
        <v>0.20293853405657108</v>
      </c>
      <c r="F122" s="12">
        <f si="93" t="shared"/>
        <v>0.1347511789526846</v>
      </c>
      <c r="G122" s="12">
        <f si="93" t="shared"/>
        <v>0.25050632665739042</v>
      </c>
      <c r="H122" s="12"/>
      <c r="I122" s="12">
        <f si="76" t="shared"/>
        <v>0.12569364041805256</v>
      </c>
      <c r="J122" s="34"/>
      <c r="K122" s="25"/>
      <c r="L122"/>
      <c r="M122" s="3" t="s">
        <v>129</v>
      </c>
      <c r="N122" s="12">
        <f si="77" t="shared"/>
        <v>0.16709603240126389</v>
      </c>
      <c r="O122" s="12">
        <f si="77" t="shared"/>
        <v>0.19782679662360678</v>
      </c>
      <c r="P122" s="12">
        <f si="77" t="shared"/>
        <v>0.16061968183726191</v>
      </c>
      <c r="Q122" s="12">
        <f ref="Q122:S122" si="94" t="shared">Q106/Q$108</f>
        <v>0.15499985192089771</v>
      </c>
      <c r="R122" s="12">
        <f si="94" t="shared"/>
        <v>0.16875632610394539</v>
      </c>
      <c r="S122" s="12">
        <f si="94" t="shared"/>
        <v>0.19520576850325747</v>
      </c>
      <c r="T122" s="12"/>
      <c r="U122" s="12">
        <f si="78" t="shared"/>
        <v>0.14445025857613639</v>
      </c>
      <c r="V122" s="34"/>
      <c r="W122" s="25"/>
      <c r="X122"/>
      <c r="Y122" s="3" t="s">
        <v>129</v>
      </c>
      <c r="Z122" s="12">
        <f si="79" t="shared"/>
        <v>5.5519349608169538E-2</v>
      </c>
      <c r="AA122" s="12">
        <f si="79" t="shared"/>
        <v>4.863848834803397E-2</v>
      </c>
      <c r="AB122" s="12">
        <f si="79" t="shared"/>
        <v>8.2951078483195856E-2</v>
      </c>
      <c r="AC122" s="12">
        <f si="79" t="shared"/>
        <v>-4.7938682135673372E-2</v>
      </c>
      <c r="AD122" s="12">
        <f si="85" t="shared"/>
        <v>3.4005147151260795E-2</v>
      </c>
      <c r="AE122" s="12">
        <f si="86" t="shared"/>
        <v>-5.5300558154132956E-2</v>
      </c>
      <c r="AF122" s="12">
        <f si="81" t="shared"/>
        <v>0</v>
      </c>
      <c r="AG122" s="12">
        <f si="82" t="shared"/>
        <v>1.8756618158083826E-2</v>
      </c>
      <c r="AH122" s="34"/>
    </row>
    <row r="123" spans="1:34" x14ac:dyDescent="0.2">
      <c r="A123" s="3" t="s">
        <v>130</v>
      </c>
      <c r="B123" s="13">
        <f ref="B123:G124" si="95" t="shared">B107/B$108</f>
        <v>0.1544851031870948</v>
      </c>
      <c r="C123" s="13">
        <f si="95" t="shared"/>
        <v>6.3203900283752099E-2</v>
      </c>
      <c r="D123" s="13">
        <f si="95" t="shared"/>
        <v>0.10749045469481394</v>
      </c>
      <c r="E123" s="13">
        <f si="95" t="shared"/>
        <v>0.20957432804707521</v>
      </c>
      <c r="F123" s="13">
        <f si="95" t="shared"/>
        <v>0.15407844591929221</v>
      </c>
      <c r="G123" s="13">
        <f si="95" t="shared"/>
        <v>0.13530860002459039</v>
      </c>
      <c r="H123" s="12"/>
      <c r="I123" s="13">
        <f si="76" t="shared"/>
        <v>0.1304320507935007</v>
      </c>
      <c r="J123" s="34"/>
      <c r="K123" s="25"/>
      <c r="L123"/>
      <c r="M123" s="3" t="s">
        <v>130</v>
      </c>
      <c r="N123" s="13">
        <f si="77" t="shared"/>
        <v>0.15941931886457258</v>
      </c>
      <c r="O123" s="13">
        <f si="77" t="shared"/>
        <v>0.14020115344556888</v>
      </c>
      <c r="P123" s="13">
        <f si="77" t="shared"/>
        <v>0.15848170851848362</v>
      </c>
      <c r="Q123" s="13">
        <f ref="Q123:S123" si="96" t="shared">Q107/Q$108</f>
        <v>0.16385186478351615</v>
      </c>
      <c r="R123" s="13">
        <f si="96" t="shared"/>
        <v>0.14965927069016438</v>
      </c>
      <c r="S123" s="13">
        <f si="96" t="shared"/>
        <v>0.13067182892195295</v>
      </c>
      <c r="T123" s="12"/>
      <c r="U123" s="13">
        <f si="78" t="shared"/>
        <v>0.15821532023792323</v>
      </c>
      <c r="V123" s="34"/>
      <c r="W123" s="25"/>
      <c r="X123"/>
      <c r="Y123" s="3" t="s">
        <v>130</v>
      </c>
      <c r="Z123" s="12">
        <f si="79" t="shared"/>
        <v>4.9342156774777879E-3</v>
      </c>
      <c r="AA123" s="12">
        <f si="79" t="shared"/>
        <v>7.6997253161816784E-2</v>
      </c>
      <c r="AB123" s="12">
        <f si="79" t="shared"/>
        <v>5.0991253823669674E-2</v>
      </c>
      <c r="AC123" s="12">
        <f si="79" t="shared"/>
        <v>-4.5722463263559054E-2</v>
      </c>
      <c r="AD123" s="12">
        <f si="85" t="shared"/>
        <v>-4.4191752291278252E-3</v>
      </c>
      <c r="AE123" s="12">
        <f si="86" t="shared"/>
        <v>-4.6367711026374381E-3</v>
      </c>
      <c r="AF123" s="12">
        <f si="81" t="shared"/>
        <v>0</v>
      </c>
      <c r="AG123" s="12">
        <f si="82" t="shared"/>
        <v>2.7783269444422526E-2</v>
      </c>
      <c r="AH123" s="34"/>
    </row>
    <row ht="13.5" r="124" spans="1:34" thickBot="1" x14ac:dyDescent="0.25">
      <c r="A124" s="10" t="s">
        <v>221</v>
      </c>
      <c r="B124" s="17">
        <f si="95" t="shared"/>
        <v>1</v>
      </c>
      <c r="C124" s="17">
        <f si="95" t="shared"/>
        <v>1</v>
      </c>
      <c r="D124" s="17">
        <f si="95" t="shared"/>
        <v>1</v>
      </c>
      <c r="E124" s="17">
        <f si="95" t="shared"/>
        <v>1</v>
      </c>
      <c r="F124" s="17">
        <f si="95" t="shared"/>
        <v>1</v>
      </c>
      <c r="G124" s="17">
        <f si="95" t="shared"/>
        <v>1</v>
      </c>
      <c r="H124" s="17"/>
      <c r="I124" s="17">
        <f si="76" t="shared"/>
        <v>1</v>
      </c>
      <c r="J124" s="34"/>
      <c r="K124" s="25"/>
      <c r="L124"/>
      <c r="M124" s="10" t="s">
        <v>221</v>
      </c>
      <c r="N124" s="17">
        <f si="77" t="shared"/>
        <v>1</v>
      </c>
      <c r="O124" s="17">
        <f si="77" t="shared"/>
        <v>1</v>
      </c>
      <c r="P124" s="17">
        <f si="77" t="shared"/>
        <v>1</v>
      </c>
      <c r="Q124" s="17">
        <f si="77" t="shared"/>
        <v>1</v>
      </c>
      <c r="R124" s="17">
        <f si="77" t="shared"/>
        <v>1</v>
      </c>
      <c r="S124" s="17">
        <f si="77" t="shared"/>
        <v>1</v>
      </c>
      <c r="T124" s="17"/>
      <c r="U124" s="17">
        <f si="78" t="shared"/>
        <v>1</v>
      </c>
      <c r="V124" s="34"/>
      <c r="W124" s="25"/>
      <c r="X124"/>
      <c r="Y124" s="10" t="s">
        <v>221</v>
      </c>
      <c r="Z124" s="14">
        <f si="79" t="shared"/>
        <v>0</v>
      </c>
      <c r="AA124" s="14">
        <f si="79" t="shared"/>
        <v>0</v>
      </c>
      <c r="AB124" s="14">
        <f si="79" t="shared"/>
        <v>0</v>
      </c>
      <c r="AC124" s="14">
        <f si="79" t="shared"/>
        <v>0</v>
      </c>
      <c r="AD124" s="14">
        <f si="85" t="shared"/>
        <v>0</v>
      </c>
      <c r="AE124" s="14">
        <f si="86" t="shared"/>
        <v>0</v>
      </c>
      <c r="AF124" s="14">
        <f si="86" t="shared"/>
        <v>0</v>
      </c>
      <c r="AG124" s="14">
        <f si="82" t="shared"/>
        <v>0</v>
      </c>
      <c r="AH124" s="34"/>
    </row>
    <row r="125" spans="1:34" x14ac:dyDescent="0.2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4" x14ac:dyDescent="0.2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4" x14ac:dyDescent="0.2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4" x14ac:dyDescent="0.2">
      <c r="F128" s="25"/>
      <c r="G128" s="25"/>
      <c r="H128" s="25"/>
      <c r="I128" s="25"/>
      <c r="J128" s="25"/>
      <c r="K128" s="25"/>
    </row>
    <row r="129" spans="6:16" x14ac:dyDescent="0.2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2">
      <c r="N130" s="87"/>
      <c r="O130" s="87"/>
      <c r="P130" s="87"/>
    </row>
    <row r="131" spans="6:16" x14ac:dyDescent="0.2">
      <c r="N131" s="87"/>
      <c r="O131" s="87"/>
      <c r="P131" s="87"/>
    </row>
    <row r="132" spans="6:16" x14ac:dyDescent="0.2">
      <c r="N132" s="87"/>
      <c r="O132" s="87"/>
      <c r="P132" s="87"/>
    </row>
    <row r="133" spans="6:16" x14ac:dyDescent="0.2">
      <c r="N133" s="87"/>
      <c r="O133" s="87"/>
      <c r="P133" s="87"/>
    </row>
    <row r="134" spans="6:16" x14ac:dyDescent="0.2">
      <c r="N134" s="87"/>
      <c r="O134" s="87"/>
      <c r="P134" s="87"/>
    </row>
    <row r="135" spans="6:16" x14ac:dyDescent="0.2">
      <c r="N135" s="87"/>
      <c r="O135" s="87"/>
      <c r="P135" s="87"/>
    </row>
  </sheetData>
  <phoneticPr fontId="6"/>
  <conditionalFormatting sqref="Z21:AI28 Z85:AD92 Z53:AF60 Z117:AC124 AG124:AH124 AD117:AH123">
    <cfRule dxfId="11" operator="notBetween" priority="4" stopIfTrue="1" type="cellIs">
      <formula>-0.15</formula>
      <formula>0.15</formula>
    </cfRule>
    <cfRule dxfId="10" operator="notBetween" priority="5" stopIfTrue="1" type="cellIs">
      <formula>-0.1</formula>
      <formula>0.1</formula>
    </cfRule>
    <cfRule dxfId="9" operator="notBetween" priority="6" stopIfTrue="1" type="cellIs">
      <formula>-0.05</formula>
      <formula>0.05</formula>
    </cfRule>
  </conditionalFormatting>
  <conditionalFormatting sqref="AD124:AF124">
    <cfRule dxfId="8" operator="notBetween" priority="1" stopIfTrue="1" type="cellIs">
      <formula>-0.15</formula>
      <formula>0.15</formula>
    </cfRule>
    <cfRule dxfId="7" operator="notBetween" priority="2" stopIfTrue="1" type="cellIs">
      <formula>-0.1</formula>
      <formula>0.1</formula>
    </cfRule>
    <cfRule dxfId="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AO138"/>
  <sheetViews>
    <sheetView workbookViewId="0">
      <selection activeCell="K13" sqref="K13"/>
    </sheetView>
  </sheetViews>
  <sheetFormatPr defaultColWidth="10.75" defaultRowHeight="12.75" x14ac:dyDescent="0.2"/>
  <cols>
    <col min="1" max="16384" style="3" width="10.75" collapsed="true"/>
  </cols>
  <sheetData>
    <row customHeight="1" ht="12.75" r="1" spans="1:35" x14ac:dyDescent="0.2">
      <c r="A1" s="2" t="s">
        <v>175</v>
      </c>
      <c r="M1" s="2" t="s">
        <v>175</v>
      </c>
      <c r="Y1" s="2" t="s">
        <v>175</v>
      </c>
    </row>
    <row customHeight="1" ht="12.75" r="2" spans="1:35" x14ac:dyDescent="0.2">
      <c r="A2" s="2" t="s">
        <v>128</v>
      </c>
      <c r="M2" s="2" t="s">
        <v>163</v>
      </c>
      <c r="Y2" s="279" t="s">
        <v>78</v>
      </c>
      <c r="Z2" s="279"/>
      <c r="AA2" s="279"/>
    </row>
    <row customHeight="1" ht="12.75" r="3" spans="1:3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customHeight="1" ht="12.75" r="4" spans="1:35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</row>
    <row customHeight="1" ht="12.75" r="5" spans="1:35" x14ac:dyDescent="0.2">
      <c r="A5" s="3" t="s">
        <v>210</v>
      </c>
      <c r="B5" s="7">
        <f>output_NHTS!B262</f>
        <v>1882637.104251564</v>
      </c>
      <c r="C5" s="7">
        <f>output_NHTS!C262</f>
        <v>234494.7700699605</v>
      </c>
      <c r="D5" s="7">
        <f>output_NHTS!D262</f>
        <v>21819.047668798099</v>
      </c>
      <c r="E5" s="7">
        <f>output_NHTS!E262</f>
        <v>49778.948362793402</v>
      </c>
      <c r="F5" s="7">
        <f>output_NHTS!F262</f>
        <v>103237.59271916401</v>
      </c>
      <c r="G5" s="7">
        <f>output_NHTS!G262</f>
        <v>3454.995375</v>
      </c>
      <c r="H5" s="7"/>
      <c r="I5" s="7">
        <f>output_NHTS!H262</f>
        <v>1912.5762499999998</v>
      </c>
      <c r="J5" s="7">
        <f>output_NHTS!I262</f>
        <v>916.36924999999997</v>
      </c>
      <c r="K5" s="7">
        <f>output_NHTS!J262</f>
        <v>2298251.4039472798</v>
      </c>
      <c r="L5" s="7"/>
      <c r="M5" s="3" t="s">
        <v>210</v>
      </c>
      <c r="N5" s="7">
        <f>output!B262</f>
        <v>1876925.0431750503</v>
      </c>
      <c r="O5" s="7">
        <f>output!C262</f>
        <v>284831.31695155101</v>
      </c>
      <c r="P5" s="7">
        <f>output!D262</f>
        <v>0</v>
      </c>
      <c r="Q5" s="7">
        <f>output!E262</f>
        <v>0</v>
      </c>
      <c r="R5" s="7">
        <f>output!F262</f>
        <v>97223.338317121583</v>
      </c>
      <c r="S5" s="7">
        <f>output!G262</f>
        <v>3027.9100025034513</v>
      </c>
      <c r="T5" s="7"/>
      <c r="U5" s="7">
        <f>output!H262</f>
        <v>0</v>
      </c>
      <c r="V5" s="7">
        <f>output!I262</f>
        <v>0</v>
      </c>
      <c r="W5" s="7">
        <f>output!J262</f>
        <v>2262007.6084462265</v>
      </c>
      <c r="Y5" s="3" t="s">
        <v>210</v>
      </c>
      <c r="Z5" s="7">
        <f ref="Z5:Z13" si="0" t="shared">N5-B5</f>
        <v>-5712.0610765137244</v>
      </c>
      <c r="AA5" s="7">
        <f ref="AA5:AA13" si="1" t="shared">O5-C5</f>
        <v>50336.546881590504</v>
      </c>
      <c r="AB5" s="7">
        <f ref="AB5:AB13" si="2" t="shared">P5-D5</f>
        <v>-21819.047668798099</v>
      </c>
      <c r="AC5" s="7">
        <f ref="AC5:AC13" si="3" t="shared">Q5-E5</f>
        <v>-49778.948362793402</v>
      </c>
      <c r="AD5" s="7">
        <f ref="AD5:AD13" si="4" t="shared">R5-F5</f>
        <v>-6014.2544020424248</v>
      </c>
      <c r="AE5" s="7">
        <f ref="AE5:AE13" si="5" t="shared">S5-G5</f>
        <v>-427.08537249654864</v>
      </c>
      <c r="AF5" s="7"/>
      <c r="AG5" s="7">
        <f ref="AG5:AG13" si="6" t="shared">U5-I5</f>
        <v>-1912.5762499999998</v>
      </c>
      <c r="AH5" s="7">
        <f ref="AH5:AH13" si="7" t="shared">V5-J5</f>
        <v>-916.36924999999997</v>
      </c>
      <c r="AI5" s="7">
        <f ref="AI5:AI13" si="8" t="shared">W5-K5</f>
        <v>-36243.795501053333</v>
      </c>
    </row>
    <row customHeight="1" ht="12.75" r="6" spans="1:35" x14ac:dyDescent="0.2">
      <c r="A6" s="3" t="s">
        <v>211</v>
      </c>
      <c r="B6" s="7">
        <f>output_NHTS!B263</f>
        <v>13216.3521083552</v>
      </c>
      <c r="C6" s="7">
        <f>output_NHTS!C263</f>
        <v>52646.016471054303</v>
      </c>
      <c r="D6" s="7">
        <f>output_NHTS!D263</f>
        <v>1402.1807139949999</v>
      </c>
      <c r="E6" s="7">
        <f>output_NHTS!E263</f>
        <v>77386.515796188294</v>
      </c>
      <c r="F6" s="7">
        <f>output_NHTS!F263</f>
        <v>68188.028325767096</v>
      </c>
      <c r="G6" s="7">
        <f>output_NHTS!G263</f>
        <v>80074.881124580003</v>
      </c>
      <c r="H6" s="7"/>
      <c r="I6" s="7">
        <f>output_NHTS!H263</f>
        <v>518281.29412500001</v>
      </c>
      <c r="J6" s="7">
        <f>output_NHTS!I263</f>
        <v>63797.081124999997</v>
      </c>
      <c r="K6" s="7">
        <f>output_NHTS!J263</f>
        <v>874992.34978993994</v>
      </c>
      <c r="L6" s="7"/>
      <c r="M6" s="3" t="s">
        <v>211</v>
      </c>
      <c r="N6" s="7">
        <f>output!B263</f>
        <v>13006.338424218493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162988.58767754078</v>
      </c>
      <c r="S6" s="7">
        <f>output!G263</f>
        <v>118976.46570046716</v>
      </c>
      <c r="T6" s="7"/>
      <c r="U6" s="7">
        <f>output!H263</f>
        <v>488981.88410376373</v>
      </c>
      <c r="V6" s="7">
        <f>output!I263</f>
        <v>41364.452668512553</v>
      </c>
      <c r="W6" s="7">
        <f>output!J263</f>
        <v>825317.72857450275</v>
      </c>
      <c r="Y6" s="3" t="s">
        <v>211</v>
      </c>
      <c r="Z6" s="7">
        <f si="0" t="shared"/>
        <v>-210.01368413670752</v>
      </c>
      <c r="AA6" s="7">
        <f si="1" t="shared"/>
        <v>-52646.016471054303</v>
      </c>
      <c r="AB6" s="7">
        <f si="2" t="shared"/>
        <v>-1402.1807139949999</v>
      </c>
      <c r="AC6" s="7">
        <f si="3" t="shared"/>
        <v>-77386.515796188294</v>
      </c>
      <c r="AD6" s="7">
        <f si="4" t="shared"/>
        <v>94800.559351773685</v>
      </c>
      <c r="AE6" s="7">
        <f si="5" t="shared"/>
        <v>38901.584575887158</v>
      </c>
      <c r="AF6" s="7"/>
      <c r="AG6" s="7">
        <f si="6" t="shared"/>
        <v>-29299.410021236283</v>
      </c>
      <c r="AH6" s="7">
        <f si="7" t="shared"/>
        <v>-22432.628456487444</v>
      </c>
      <c r="AI6" s="7">
        <f si="8" t="shared"/>
        <v>-49674.62121543719</v>
      </c>
    </row>
    <row customHeight="1" ht="12.75" r="7" spans="1:35" x14ac:dyDescent="0.2">
      <c r="A7" s="3" t="s">
        <v>212</v>
      </c>
      <c r="B7" s="7">
        <f>output_NHTS!B264</f>
        <v>492148.23910684302</v>
      </c>
      <c r="C7" s="7">
        <f>output_NHTS!C264</f>
        <v>157793.97888876311</v>
      </c>
      <c r="D7" s="7">
        <f>output_NHTS!D264</f>
        <v>74447.560782668093</v>
      </c>
      <c r="E7" s="7">
        <f>output_NHTS!E264</f>
        <v>300731.38909281947</v>
      </c>
      <c r="F7" s="7">
        <f>output_NHTS!F264</f>
        <v>28975.10060862</v>
      </c>
      <c r="G7" s="7">
        <f>output_NHTS!G264</f>
        <v>11968.84604696</v>
      </c>
      <c r="H7" s="7"/>
      <c r="I7" s="7">
        <f>output_NHTS!H264</f>
        <v>92331.105750000002</v>
      </c>
      <c r="J7" s="7">
        <f>output_NHTS!I264</f>
        <v>87413.192999999999</v>
      </c>
      <c r="K7" s="7">
        <f>output_NHTS!J264</f>
        <v>1245809.4132766738</v>
      </c>
      <c r="L7" s="7"/>
      <c r="M7" s="3" t="s">
        <v>212</v>
      </c>
      <c r="N7" s="7">
        <f>output!B264</f>
        <v>583717.0370090279</v>
      </c>
      <c r="O7" s="7">
        <f>output!C264</f>
        <v>122763.8133680537</v>
      </c>
      <c r="P7" s="7">
        <f>output!D264</f>
        <v>71769.228639948866</v>
      </c>
      <c r="Q7" s="7">
        <f>output!E264</f>
        <v>257115.28784149257</v>
      </c>
      <c r="R7" s="7">
        <f>output!F264</f>
        <v>41228.906695626683</v>
      </c>
      <c r="S7" s="7">
        <f>output!G264</f>
        <v>17235.6553596997</v>
      </c>
      <c r="T7" s="7"/>
      <c r="U7" s="7">
        <f>output!H264</f>
        <v>59065.029616217558</v>
      </c>
      <c r="V7" s="7">
        <f>output!I264</f>
        <v>80877.732948953635</v>
      </c>
      <c r="W7" s="7">
        <f>output!J264</f>
        <v>1233772.6914790208</v>
      </c>
      <c r="Y7" s="3" t="s">
        <v>212</v>
      </c>
      <c r="Z7" s="7">
        <f si="0" t="shared"/>
        <v>91568.797902184888</v>
      </c>
      <c r="AA7" s="7">
        <f si="1" t="shared"/>
        <v>-35030.165520709415</v>
      </c>
      <c r="AB7" s="7">
        <f si="2" t="shared"/>
        <v>-2678.3321427192277</v>
      </c>
      <c r="AC7" s="7">
        <f si="3" t="shared"/>
        <v>-43616.101251326909</v>
      </c>
      <c r="AD7" s="7">
        <f si="4" t="shared"/>
        <v>12253.806087006684</v>
      </c>
      <c r="AE7" s="7">
        <f si="5" t="shared"/>
        <v>5266.8093127397005</v>
      </c>
      <c r="AF7" s="7"/>
      <c r="AG7" s="7">
        <f si="6" t="shared"/>
        <v>-33266.076133782444</v>
      </c>
      <c r="AH7" s="7">
        <f si="7" t="shared"/>
        <v>-6535.4600510463642</v>
      </c>
      <c r="AI7" s="7">
        <f si="8" t="shared"/>
        <v>-12036.721797653008</v>
      </c>
    </row>
    <row customHeight="1" ht="12.75" r="8" spans="1:35" x14ac:dyDescent="0.2">
      <c r="A8" s="3" t="s">
        <v>213</v>
      </c>
      <c r="B8" s="7">
        <f>output_NHTS!B265</f>
        <v>503090.24165628297</v>
      </c>
      <c r="C8" s="7">
        <f>output_NHTS!C265</f>
        <v>203956.1181323682</v>
      </c>
      <c r="D8" s="7">
        <f>output_NHTS!D265</f>
        <v>336872.84540896118</v>
      </c>
      <c r="E8" s="7">
        <f>output_NHTS!E265</f>
        <v>417831.0454963611</v>
      </c>
      <c r="F8" s="7">
        <f>output_NHTS!F265</f>
        <v>57633.854780504204</v>
      </c>
      <c r="G8" s="7">
        <f>output_NHTS!G265</f>
        <v>15952.134375</v>
      </c>
      <c r="H8" s="7"/>
      <c r="I8" s="7">
        <f>output_NHTS!H265</f>
        <v>161805.522375</v>
      </c>
      <c r="J8" s="7">
        <f>output_NHTS!I265</f>
        <v>149084.45225</v>
      </c>
      <c r="K8" s="7">
        <f>output_NHTS!J265</f>
        <v>1846226.2144744776</v>
      </c>
      <c r="L8" s="7"/>
      <c r="M8" s="3" t="s">
        <v>213</v>
      </c>
      <c r="N8" s="7">
        <f>output!B265</f>
        <v>566971.81795241905</v>
      </c>
      <c r="O8" s="7">
        <f>output!C265</f>
        <v>184886.69642869494</v>
      </c>
      <c r="P8" s="7">
        <f>output!D265</f>
        <v>310202.19211782271</v>
      </c>
      <c r="Q8" s="7">
        <f>output!E265</f>
        <v>391936.97888308176</v>
      </c>
      <c r="R8" s="7">
        <f>output!F265</f>
        <v>59716.38867149828</v>
      </c>
      <c r="S8" s="7">
        <f>output!G265</f>
        <v>18656.573288417701</v>
      </c>
      <c r="T8" s="7"/>
      <c r="U8" s="7">
        <f>output!H265</f>
        <v>145188.15158960439</v>
      </c>
      <c r="V8" s="7">
        <f>output!I265</f>
        <v>148355.9998586266</v>
      </c>
      <c r="W8" s="7">
        <f>output!J265</f>
        <v>1825914.7987901655</v>
      </c>
      <c r="Y8" s="3" t="s">
        <v>213</v>
      </c>
      <c r="Z8" s="7">
        <f si="0" t="shared"/>
        <v>63881.576296136074</v>
      </c>
      <c r="AA8" s="7">
        <f si="1" t="shared"/>
        <v>-19069.421703673259</v>
      </c>
      <c r="AB8" s="7">
        <f si="2" t="shared"/>
        <v>-26670.653291138471</v>
      </c>
      <c r="AC8" s="7">
        <f si="3" t="shared"/>
        <v>-25894.066613279341</v>
      </c>
      <c r="AD8" s="7">
        <f si="4" t="shared"/>
        <v>2082.5338909940765</v>
      </c>
      <c r="AE8" s="7">
        <f si="5" t="shared"/>
        <v>2704.4389134177018</v>
      </c>
      <c r="AF8" s="7"/>
      <c r="AG8" s="7">
        <f si="6" t="shared"/>
        <v>-16617.370785395615</v>
      </c>
      <c r="AH8" s="7">
        <f si="7" t="shared"/>
        <v>-728.45239137340104</v>
      </c>
      <c r="AI8" s="7">
        <f si="8" t="shared"/>
        <v>-20311.415684312116</v>
      </c>
    </row>
    <row customHeight="1" ht="12.75" r="9" spans="1:35" x14ac:dyDescent="0.2">
      <c r="A9" s="3" t="s">
        <v>214</v>
      </c>
      <c r="B9" s="7">
        <f>output_NHTS!B266</f>
        <v>633307.49862378545</v>
      </c>
      <c r="C9" s="7">
        <f>output_NHTS!C266</f>
        <v>236707.7546520952</v>
      </c>
      <c r="D9" s="7">
        <f>output_NHTS!D266</f>
        <v>336041.82314902107</v>
      </c>
      <c r="E9" s="7">
        <f>output_NHTS!E266</f>
        <v>490310.14628425823</v>
      </c>
      <c r="F9" s="7">
        <f>output_NHTS!F266</f>
        <v>72874.106651743597</v>
      </c>
      <c r="G9" s="7">
        <f>output_NHTS!G266</f>
        <v>6758.9533223939998</v>
      </c>
      <c r="H9" s="7"/>
      <c r="I9" s="7">
        <f>output_NHTS!H266</f>
        <v>107380.84387500001</v>
      </c>
      <c r="J9" s="7">
        <f>output_NHTS!I266</f>
        <v>158763.24849999999</v>
      </c>
      <c r="K9" s="7">
        <f>output_NHTS!J266</f>
        <v>2042144.3750582975</v>
      </c>
      <c r="L9" s="7"/>
      <c r="M9" s="3" t="s">
        <v>214</v>
      </c>
      <c r="N9" s="7">
        <f>output!B266</f>
        <v>763858.31637815642</v>
      </c>
      <c r="O9" s="7">
        <f>output!C266</f>
        <v>171950.53429726686</v>
      </c>
      <c r="P9" s="7">
        <f>output!D266</f>
        <v>295059.2865904147</v>
      </c>
      <c r="Q9" s="7">
        <f>output!E266</f>
        <v>476686.37705566705</v>
      </c>
      <c r="R9" s="7">
        <f>output!F266</f>
        <v>76708.271828494806</v>
      </c>
      <c r="S9" s="7">
        <f>output!G266</f>
        <v>6888.7384019751526</v>
      </c>
      <c r="T9" s="7"/>
      <c r="U9" s="7">
        <f>output!H266</f>
        <v>61212.484067180929</v>
      </c>
      <c r="V9" s="7">
        <f>output!I266</f>
        <v>169715.13998273015</v>
      </c>
      <c r="W9" s="7">
        <f>output!J266</f>
        <v>2022079.1486018861</v>
      </c>
      <c r="Y9" s="3" t="s">
        <v>214</v>
      </c>
      <c r="Z9" s="7">
        <f si="0" t="shared"/>
        <v>130550.81775437098</v>
      </c>
      <c r="AA9" s="7">
        <f si="1" t="shared"/>
        <v>-64757.220354828343</v>
      </c>
      <c r="AB9" s="7">
        <f si="2" t="shared"/>
        <v>-40982.536558606371</v>
      </c>
      <c r="AC9" s="7">
        <f si="3" t="shared"/>
        <v>-13623.769228591176</v>
      </c>
      <c r="AD9" s="7">
        <f si="4" t="shared"/>
        <v>3834.1651767512085</v>
      </c>
      <c r="AE9" s="7">
        <f si="5" t="shared"/>
        <v>129.78507958115279</v>
      </c>
      <c r="AF9" s="7"/>
      <c r="AG9" s="7">
        <f si="6" t="shared"/>
        <v>-46168.359807819077</v>
      </c>
      <c r="AH9" s="7">
        <f si="7" t="shared"/>
        <v>10951.891482730163</v>
      </c>
      <c r="AI9" s="7">
        <f si="8" t="shared"/>
        <v>-20065.226456411416</v>
      </c>
    </row>
    <row customHeight="1" ht="12.75" r="10" spans="1:35" x14ac:dyDescent="0.2">
      <c r="A10" s="3" t="s">
        <v>129</v>
      </c>
      <c r="B10" s="7">
        <f>output_NHTS!B267</f>
        <v>367084.79000479722</v>
      </c>
      <c r="C10" s="7">
        <f>output_NHTS!C267</f>
        <v>83181.423740284605</v>
      </c>
      <c r="D10" s="7">
        <f>output_NHTS!D267</f>
        <v>99173.737299580796</v>
      </c>
      <c r="E10" s="7">
        <f>output_NHTS!E267</f>
        <v>162143.82640126671</v>
      </c>
      <c r="F10" s="7">
        <f>output_NHTS!F267</f>
        <v>33916.577703929797</v>
      </c>
      <c r="G10" s="7">
        <f>output_NHTS!G267</f>
        <v>6877.0407500000001</v>
      </c>
      <c r="H10" s="7"/>
      <c r="I10" s="7">
        <f>output_NHTS!H267</f>
        <v>43252.367250000003</v>
      </c>
      <c r="J10" s="7">
        <f>output_NHTS!I267</f>
        <v>32475.251875000002</v>
      </c>
      <c r="K10" s="7">
        <f>output_NHTS!J267</f>
        <v>828105.01502485911</v>
      </c>
      <c r="L10" s="7"/>
      <c r="M10" s="3" t="s">
        <v>129</v>
      </c>
      <c r="N10" s="7">
        <f>output!B267</f>
        <v>375896.39236832887</v>
      </c>
      <c r="O10" s="7">
        <f>output!C267</f>
        <v>63318.647106554046</v>
      </c>
      <c r="P10" s="7">
        <f>output!D267</f>
        <v>77826.621182706236</v>
      </c>
      <c r="Q10" s="7">
        <f>output!E267</f>
        <v>137958.1103730005</v>
      </c>
      <c r="R10" s="7">
        <f>output!F267</f>
        <v>46599.779311332597</v>
      </c>
      <c r="S10" s="7">
        <f>output!G267</f>
        <v>33288.975771151199</v>
      </c>
      <c r="T10" s="7"/>
      <c r="U10" s="7">
        <f>output!H267</f>
        <v>68660.01007465001</v>
      </c>
      <c r="V10" s="7">
        <f>output!I267</f>
        <v>28451.554915899454</v>
      </c>
      <c r="W10" s="7">
        <f>output!J267</f>
        <v>832000.09110362304</v>
      </c>
      <c r="Y10" s="3" t="s">
        <v>129</v>
      </c>
      <c r="Z10" s="7">
        <f si="0" t="shared"/>
        <v>8811.6023635316524</v>
      </c>
      <c r="AA10" s="7">
        <f si="1" t="shared"/>
        <v>-19862.776633730558</v>
      </c>
      <c r="AB10" s="7">
        <f si="2" t="shared"/>
        <v>-21347.11611687456</v>
      </c>
      <c r="AC10" s="7">
        <f si="3" t="shared"/>
        <v>-24185.716028266208</v>
      </c>
      <c r="AD10" s="7">
        <f si="4" t="shared"/>
        <v>12683.2016074028</v>
      </c>
      <c r="AE10" s="7">
        <f si="5" t="shared"/>
        <v>26411.935021151199</v>
      </c>
      <c r="AF10" s="7"/>
      <c r="AG10" s="7">
        <f si="6" t="shared"/>
        <v>25407.642824650007</v>
      </c>
      <c r="AH10" s="7">
        <f si="7" t="shared"/>
        <v>-4023.6969591005472</v>
      </c>
      <c r="AI10" s="7">
        <f si="8" t="shared"/>
        <v>3895.0760787639301</v>
      </c>
    </row>
    <row customHeight="1" ht="12.75" r="11" spans="1:35" x14ac:dyDescent="0.2">
      <c r="A11" s="3" t="s">
        <v>130</v>
      </c>
      <c r="B11" s="7">
        <f>output_NHTS!B268</f>
        <v>537293.30976057926</v>
      </c>
      <c r="C11" s="7">
        <f>output_NHTS!C268</f>
        <v>179404.36812362741</v>
      </c>
      <c r="D11" s="7">
        <f>output_NHTS!D268</f>
        <v>202815.14805023739</v>
      </c>
      <c r="E11" s="7">
        <f>output_NHTS!E268</f>
        <v>379141.66976063087</v>
      </c>
      <c r="F11" s="7">
        <f>output_NHTS!F268</f>
        <v>46320.502170605199</v>
      </c>
      <c r="G11" s="7">
        <f>output_NHTS!G268</f>
        <v>21616.844269657999</v>
      </c>
      <c r="H11" s="7"/>
      <c r="I11" s="7">
        <f>output_NHTS!H268</f>
        <v>208062.59575000001</v>
      </c>
      <c r="J11" s="7">
        <f>output_NHTS!I268</f>
        <v>141492.62787500001</v>
      </c>
      <c r="K11" s="7">
        <f>output_NHTS!J268</f>
        <v>1716147.0657603382</v>
      </c>
      <c r="L11" s="7"/>
      <c r="M11" s="3" t="s">
        <v>130</v>
      </c>
      <c r="N11" s="7">
        <f>output!B268</f>
        <v>538065.96655234136</v>
      </c>
      <c r="O11" s="7">
        <f>output!C268</f>
        <v>174396.78976676826</v>
      </c>
      <c r="P11" s="7">
        <f>output!D268</f>
        <v>204130.79132400494</v>
      </c>
      <c r="Q11" s="7">
        <f>output!E268</f>
        <v>332001.37640842359</v>
      </c>
      <c r="R11" s="7">
        <f>output!F268</f>
        <v>55627.566109849264</v>
      </c>
      <c r="S11" s="7">
        <f>output!G268</f>
        <v>35505.145448104195</v>
      </c>
      <c r="T11" s="7"/>
      <c r="U11" s="7">
        <f>output!H268</f>
        <v>228500.35827712031</v>
      </c>
      <c r="V11" s="7">
        <f>output!I268</f>
        <v>138522.25768151315</v>
      </c>
      <c r="W11" s="7">
        <f>output!J268</f>
        <v>1706750.2515681253</v>
      </c>
      <c r="Y11" s="3" t="s">
        <v>130</v>
      </c>
      <c r="Z11" s="7">
        <f si="0" t="shared"/>
        <v>772.6567917620996</v>
      </c>
      <c r="AA11" s="7">
        <f si="1" t="shared"/>
        <v>-5007.5783568591578</v>
      </c>
      <c r="AB11" s="7">
        <f si="2" t="shared"/>
        <v>1315.6432737675495</v>
      </c>
      <c r="AC11" s="7">
        <f si="3" t="shared"/>
        <v>-47140.293352207285</v>
      </c>
      <c r="AD11" s="7">
        <f si="4" t="shared"/>
        <v>9307.0639392440644</v>
      </c>
      <c r="AE11" s="7">
        <f si="5" t="shared"/>
        <v>13888.301178446196</v>
      </c>
      <c r="AF11" s="7"/>
      <c r="AG11" s="7">
        <f si="6" t="shared"/>
        <v>20437.7625271203</v>
      </c>
      <c r="AH11" s="7">
        <f si="7" t="shared"/>
        <v>-2970.3701934868586</v>
      </c>
      <c r="AI11" s="7">
        <f si="8" t="shared"/>
        <v>-9396.8141922128852</v>
      </c>
    </row>
    <row customHeight="1" ht="12.75" r="12" spans="1:35" x14ac:dyDescent="0.2">
      <c r="A12" s="8" t="s">
        <v>145</v>
      </c>
      <c r="B12" s="7">
        <f>output_NHTS!B269</f>
        <v>2252239.1619469607</v>
      </c>
      <c r="C12" s="7">
        <f>output_NHTS!C269</f>
        <v>615198.59191001416</v>
      </c>
      <c r="D12" s="7">
        <f>output_NHTS!D269</f>
        <v>547643.30129612843</v>
      </c>
      <c r="E12" s="7">
        <f>output_NHTS!E269</f>
        <v>1050057.9685095558</v>
      </c>
      <c r="F12" s="7">
        <f>output_NHTS!F269</f>
        <v>190437.4047858167</v>
      </c>
      <c r="G12" s="7">
        <f>output_NHTS!G269</f>
        <v>108113.223138592</v>
      </c>
      <c r="H12" s="7"/>
      <c r="I12" s="7">
        <f>output_NHTS!H269</f>
        <v>770215.05237499997</v>
      </c>
      <c r="J12" s="7">
        <f>output_NHTS!I269</f>
        <v>363863.49162500002</v>
      </c>
      <c r="K12" s="7">
        <f>output_NHTS!J269</f>
        <v>5897768.1955870669</v>
      </c>
      <c r="L12" s="7"/>
      <c r="M12" s="8" t="s">
        <v>145</v>
      </c>
      <c r="N12" s="9">
        <f>output!B269</f>
        <v>2225965.2185449474</v>
      </c>
      <c r="O12" s="9">
        <f>output!C269</f>
        <v>551612.537986079</v>
      </c>
      <c r="P12" s="9">
        <f>output!D269</f>
        <v>549327.69474107178</v>
      </c>
      <c r="Q12" s="9">
        <f>output!E269</f>
        <v>933532.80342873803</v>
      </c>
      <c r="R12" s="9">
        <f>output!F269</f>
        <v>287227.43843376567</v>
      </c>
      <c r="S12" s="9">
        <f>output!G269</f>
        <v>153527.25434228685</v>
      </c>
      <c r="T12" s="9"/>
      <c r="U12" s="9">
        <f>output!H269</f>
        <v>723294.55130787299</v>
      </c>
      <c r="V12" s="9">
        <f>output!I269</f>
        <v>366046.13812257064</v>
      </c>
      <c r="W12" s="9">
        <f>output!J269</f>
        <v>5790533.6369073316</v>
      </c>
      <c r="Y12" s="8" t="s">
        <v>145</v>
      </c>
      <c r="Z12" s="9">
        <f si="0" t="shared"/>
        <v>-26273.943402013276</v>
      </c>
      <c r="AA12" s="9">
        <f si="1" t="shared"/>
        <v>-63586.053923935164</v>
      </c>
      <c r="AB12" s="9">
        <f si="2" t="shared"/>
        <v>1684.3934449433582</v>
      </c>
      <c r="AC12" s="9">
        <f si="3" t="shared"/>
        <v>-116525.16508081777</v>
      </c>
      <c r="AD12" s="9">
        <f si="4" t="shared"/>
        <v>96790.033647948963</v>
      </c>
      <c r="AE12" s="9">
        <f si="5" t="shared"/>
        <v>45414.031203694845</v>
      </c>
      <c r="AF12" s="9"/>
      <c r="AG12" s="9">
        <f si="6" t="shared"/>
        <v>-46920.501067126985</v>
      </c>
      <c r="AH12" s="9">
        <f si="7" t="shared"/>
        <v>2182.6464975706185</v>
      </c>
      <c r="AI12" s="9">
        <f si="8" t="shared"/>
        <v>-107234.55867973529</v>
      </c>
    </row>
    <row customHeight="1" ht="12.75" r="13" spans="1:35" thickBot="1" x14ac:dyDescent="0.25">
      <c r="A13" s="10" t="s">
        <v>221</v>
      </c>
      <c r="B13" s="11">
        <f ref="B13:K13" si="9" t="shared">SUM(B5:B12)</f>
        <v>6681016.6974591678</v>
      </c>
      <c r="C13" s="11">
        <f si="9" t="shared"/>
        <v>1763383.0219881674</v>
      </c>
      <c r="D13" s="11">
        <f si="9" t="shared"/>
        <v>1620215.6443693901</v>
      </c>
      <c r="E13" s="11">
        <f si="9" t="shared"/>
        <v>2927381.5097038737</v>
      </c>
      <c r="F13" s="11">
        <f si="9" t="shared"/>
        <v>601583.16774615063</v>
      </c>
      <c r="G13" s="11">
        <f si="9" t="shared"/>
        <v>254816.91840218398</v>
      </c>
      <c r="H13" s="11"/>
      <c r="I13" s="11">
        <f si="9" t="shared"/>
        <v>1903241.35775</v>
      </c>
      <c r="J13" s="11">
        <f si="9" t="shared"/>
        <v>997805.71549999993</v>
      </c>
      <c r="K13" s="11">
        <f si="9" t="shared"/>
        <v>16749444.032918934</v>
      </c>
      <c r="L13" s="7"/>
      <c r="M13" s="10" t="s">
        <v>221</v>
      </c>
      <c r="N13" s="11">
        <f ref="N13:W13" si="10" t="shared">SUM(N5:N12)</f>
        <v>6944406.1304044891</v>
      </c>
      <c r="O13" s="11">
        <f si="10" t="shared"/>
        <v>1553760.3359049677</v>
      </c>
      <c r="P13" s="11">
        <f si="10" t="shared"/>
        <v>1508315.8145959694</v>
      </c>
      <c r="Q13" s="11">
        <f si="10" t="shared"/>
        <v>2529230.9339904035</v>
      </c>
      <c r="R13" s="11">
        <f si="10" t="shared"/>
        <v>827320.27704522968</v>
      </c>
      <c r="S13" s="11">
        <f si="10" t="shared"/>
        <v>387106.71831460542</v>
      </c>
      <c r="T13" s="11"/>
      <c r="U13" s="11">
        <f si="10" t="shared"/>
        <v>1774902.4690364101</v>
      </c>
      <c r="V13" s="11">
        <f si="10" t="shared"/>
        <v>973333.27617880632</v>
      </c>
      <c r="W13" s="11">
        <f si="10" t="shared"/>
        <v>16498375.955470882</v>
      </c>
      <c r="Y13" s="10" t="s">
        <v>221</v>
      </c>
      <c r="Z13" s="11">
        <f si="0" t="shared"/>
        <v>263389.43294532131</v>
      </c>
      <c r="AA13" s="11">
        <f si="1" t="shared"/>
        <v>-209622.68608319969</v>
      </c>
      <c r="AB13" s="11">
        <f si="2" t="shared"/>
        <v>-111899.8297734207</v>
      </c>
      <c r="AC13" s="11">
        <f si="3" t="shared"/>
        <v>-398150.57571347011</v>
      </c>
      <c r="AD13" s="11">
        <f si="4" t="shared"/>
        <v>225737.10929907905</v>
      </c>
      <c r="AE13" s="11">
        <f si="5" t="shared"/>
        <v>132289.79991242144</v>
      </c>
      <c r="AF13" s="11"/>
      <c r="AG13" s="11">
        <f si="6" t="shared"/>
        <v>-128338.88871358987</v>
      </c>
      <c r="AH13" s="11">
        <f si="7" t="shared"/>
        <v>-24472.439321193611</v>
      </c>
      <c r="AI13" s="11">
        <f si="8" t="shared"/>
        <v>-251068.07744805142</v>
      </c>
    </row>
    <row customHeight="1" ht="12.75" r="14" spans="1:35" x14ac:dyDescent="0.2"/>
    <row customHeight="1" ht="12.75" r="15" spans="1:35" x14ac:dyDescent="0.2">
      <c r="A15" s="25" t="s">
        <v>88</v>
      </c>
      <c r="B15" s="33">
        <f>ToursByTourPurpose!B15</f>
        <v>1412589.7424000001</v>
      </c>
      <c r="C15" s="33">
        <f>ToursByTourPurpose!C15</f>
        <v>340955.68209999998</v>
      </c>
      <c r="D15" s="33">
        <f>ToursByTourPurpose!D15</f>
        <v>385091.97840000002</v>
      </c>
      <c r="E15" s="33">
        <f>ToursByTourPurpose!E15</f>
        <v>592288.66839999997</v>
      </c>
      <c r="F15" s="33">
        <f>ToursByTourPurpose!F15</f>
        <v>111478.9356</v>
      </c>
      <c r="G15" s="33">
        <f>ToursByTourPurpose!G15</f>
        <v>78499.544200000004</v>
      </c>
      <c r="H15" s="33"/>
      <c r="I15" s="33">
        <f>ToursByTourPurpose!I15</f>
        <v>515915.92589999997</v>
      </c>
      <c r="J15" s="33">
        <f>ToursByTourPurpose!J15</f>
        <v>271697.48960000003</v>
      </c>
      <c r="K15" s="33">
        <f>ToursByTourPurpose!K15</f>
        <v>3708517.9665999999</v>
      </c>
      <c r="M15" s="25" t="s">
        <v>88</v>
      </c>
      <c r="N15" s="33">
        <f>ToursByTourPurpose!N15</f>
        <v>1410222.3792541239</v>
      </c>
      <c r="O15" s="33">
        <f>ToursByTourPurpose!O15</f>
        <v>330587.79410013492</v>
      </c>
      <c r="P15" s="33">
        <f>ToursByTourPurpose!P15</f>
        <v>393707.17935026012</v>
      </c>
      <c r="Q15" s="33">
        <f>ToursByTourPurpose!Q15</f>
        <v>573902.57800400315</v>
      </c>
      <c r="R15" s="33">
        <f>ToursByTourPurpose!R15</f>
        <v>175566.13317979188</v>
      </c>
      <c r="S15" s="33">
        <f>ToursByTourPurpose!S15</f>
        <v>119540.37697423306</v>
      </c>
      <c r="T15" s="33"/>
      <c r="U15" s="33">
        <f>ToursByTourPurpose!U15</f>
        <v>503887.95581699541</v>
      </c>
      <c r="V15" s="33">
        <f>ToursByTourPurpose!V15</f>
        <v>235060.42178434858</v>
      </c>
      <c r="W15" s="33">
        <f>ToursByTourPurpose!W15</f>
        <v>3742474.8184638908</v>
      </c>
      <c r="Y15" s="3" t="s">
        <v>88</v>
      </c>
      <c r="Z15" s="7">
        <f ref="Z15:AE16" si="11" t="shared">N15-B15</f>
        <v>-2367.3631458762102</v>
      </c>
      <c r="AA15" s="7">
        <f si="11" t="shared"/>
        <v>-10367.887999865052</v>
      </c>
      <c r="AB15" s="7">
        <f si="11" t="shared"/>
        <v>8615.2009502600995</v>
      </c>
      <c r="AC15" s="7">
        <f si="11" t="shared"/>
        <v>-18386.090395996813</v>
      </c>
      <c r="AD15" s="7">
        <f si="11" t="shared"/>
        <v>64087.197579791886</v>
      </c>
      <c r="AE15" s="7">
        <f si="11" t="shared"/>
        <v>41040.832774233058</v>
      </c>
      <c r="AF15" s="7"/>
      <c r="AG15" s="7">
        <f ref="AG15:AI16" si="12" t="shared">U15-I15</f>
        <v>-12027.970083004562</v>
      </c>
      <c r="AH15" s="7">
        <f si="12" t="shared"/>
        <v>-36637.067815651448</v>
      </c>
      <c r="AI15" s="7">
        <f si="12" t="shared"/>
        <v>33956.851863890886</v>
      </c>
    </row>
    <row customHeight="1" ht="12.75" r="16" spans="1:35" x14ac:dyDescent="0.2">
      <c r="A16" s="25" t="s">
        <v>91</v>
      </c>
      <c r="B16" s="38">
        <f ref="B16:K16" si="13" t="shared">B13/B15</f>
        <v>4.7296228316850666</v>
      </c>
      <c r="C16" s="38">
        <f si="13" t="shared"/>
        <v>5.1718833694960367</v>
      </c>
      <c r="D16" s="38">
        <f si="13" t="shared"/>
        <v>4.2073471670356399</v>
      </c>
      <c r="E16" s="38">
        <f si="13" t="shared"/>
        <v>4.9424911633238899</v>
      </c>
      <c r="F16" s="38">
        <f si="13" t="shared"/>
        <v>5.3963842093425107</v>
      </c>
      <c r="G16" s="38">
        <f si="13" t="shared"/>
        <v>3.2460942416807557</v>
      </c>
      <c r="H16" s="38"/>
      <c r="I16" s="38">
        <f si="13" t="shared"/>
        <v>3.6890533170300026</v>
      </c>
      <c r="J16" s="38">
        <f si="13" t="shared"/>
        <v>3.6724877987242168</v>
      </c>
      <c r="K16" s="38">
        <f si="13" t="shared"/>
        <v>4.5164791390440433</v>
      </c>
      <c r="M16" s="25" t="s">
        <v>91</v>
      </c>
      <c r="N16" s="38">
        <f ref="N16:W16" si="14" t="shared">N13/N15</f>
        <v>4.9243340855769375</v>
      </c>
      <c r="O16" s="38">
        <f si="14" t="shared"/>
        <v>4.6999930536888916</v>
      </c>
      <c r="P16" s="38">
        <f si="14" t="shared"/>
        <v>3.8310599697093708</v>
      </c>
      <c r="Q16" s="38">
        <f si="14" t="shared"/>
        <v>4.4070736583670849</v>
      </c>
      <c r="R16" s="38">
        <f si="14" t="shared"/>
        <v>4.7122999297250363</v>
      </c>
      <c r="S16" s="38">
        <f si="14" t="shared"/>
        <v>3.2382926013195217</v>
      </c>
      <c r="T16" s="38"/>
      <c r="U16" s="38">
        <f si="14" t="shared"/>
        <v>3.5224149506780993</v>
      </c>
      <c r="V16" s="38">
        <f si="14" t="shared"/>
        <v>4.1407790762486218</v>
      </c>
      <c r="W16" s="38">
        <f si="14" t="shared"/>
        <v>4.4084133509928831</v>
      </c>
      <c r="Y16" s="3" t="s">
        <v>91</v>
      </c>
      <c r="Z16" s="38">
        <f si="11" t="shared"/>
        <v>0.19471125389187094</v>
      </c>
      <c r="AA16" s="38">
        <f si="11" t="shared"/>
        <v>-0.47189031580714502</v>
      </c>
      <c r="AB16" s="38">
        <f si="11" t="shared"/>
        <v>-0.37628719732626914</v>
      </c>
      <c r="AC16" s="38">
        <f si="11" t="shared"/>
        <v>-0.53541750495680507</v>
      </c>
      <c r="AD16" s="38">
        <f si="11" t="shared"/>
        <v>-0.68408427961747442</v>
      </c>
      <c r="AE16" s="38">
        <f si="11" t="shared"/>
        <v>-7.8016403612339857E-3</v>
      </c>
      <c r="AF16" s="38"/>
      <c r="AG16" s="38">
        <f si="12" t="shared"/>
        <v>-0.16663836635190332</v>
      </c>
      <c r="AH16" s="38">
        <f si="12" t="shared"/>
        <v>0.46829127752440503</v>
      </c>
      <c r="AI16" s="38">
        <f si="12" t="shared"/>
        <v>-0.10806578805116018</v>
      </c>
    </row>
    <row customHeight="1" ht="12.75" r="17" spans="1:35" x14ac:dyDescent="0.2"/>
    <row customHeight="1" ht="12.75" r="18" spans="1:35" x14ac:dyDescent="0.2">
      <c r="A18" s="2" t="s">
        <v>175</v>
      </c>
      <c r="M18" s="2" t="s">
        <v>175</v>
      </c>
      <c r="Y18" s="2" t="s">
        <v>175</v>
      </c>
    </row>
    <row customHeight="1" ht="12.75" r="19" spans="1:35" x14ac:dyDescent="0.2">
      <c r="A19" s="2" t="s">
        <v>157</v>
      </c>
      <c r="M19" s="2" t="s">
        <v>164</v>
      </c>
      <c r="Y19" s="279" t="s">
        <v>79</v>
      </c>
      <c r="Z19" s="279"/>
      <c r="AA19" s="279"/>
    </row>
    <row customHeight="1" ht="12.75" r="20" spans="1:35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customHeight="1" ht="12.75" r="21" spans="1:35" x14ac:dyDescent="0.2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243</v>
      </c>
      <c r="F21" s="6" t="s">
        <v>244</v>
      </c>
      <c r="G21" s="6" t="s">
        <v>245</v>
      </c>
      <c r="H21" s="6"/>
      <c r="I21" s="6" t="s">
        <v>246</v>
      </c>
      <c r="J21" s="6" t="s">
        <v>170</v>
      </c>
      <c r="K21" s="6" t="s">
        <v>221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243</v>
      </c>
      <c r="R21" s="6" t="s">
        <v>244</v>
      </c>
      <c r="S21" s="6" t="s">
        <v>245</v>
      </c>
      <c r="T21" s="6"/>
      <c r="U21" s="6" t="s">
        <v>246</v>
      </c>
      <c r="V21" s="6" t="s">
        <v>170</v>
      </c>
      <c r="W21" s="6" t="s">
        <v>221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243</v>
      </c>
      <c r="AD21" s="6" t="s">
        <v>244</v>
      </c>
      <c r="AE21" s="6" t="s">
        <v>245</v>
      </c>
      <c r="AF21" s="6"/>
      <c r="AG21" s="6" t="s">
        <v>246</v>
      </c>
      <c r="AH21" s="6" t="s">
        <v>170</v>
      </c>
      <c r="AI21" s="6" t="s">
        <v>221</v>
      </c>
    </row>
    <row customHeight="1" ht="12.75" r="22" spans="1:35" x14ac:dyDescent="0.2">
      <c r="A22" s="3" t="s">
        <v>210</v>
      </c>
      <c r="B22" s="12">
        <f ref="B22:K22" si="15" t="shared">B5/B$13</f>
        <v>0.28178901348466057</v>
      </c>
      <c r="C22" s="12">
        <f si="15" t="shared"/>
        <v>0.13298005433077942</v>
      </c>
      <c r="D22" s="12">
        <f si="15" t="shared"/>
        <v>1.3466755332615226E-2</v>
      </c>
      <c r="E22" s="12">
        <f si="15" t="shared"/>
        <v>1.7004598887361597E-2</v>
      </c>
      <c r="F22" s="12">
        <f si="15" t="shared"/>
        <v>0.17160984258576706</v>
      </c>
      <c r="G22" s="12">
        <f si="15" t="shared"/>
        <v>1.3558736196420418E-2</v>
      </c>
      <c r="H22" s="12"/>
      <c r="I22" s="12">
        <f si="15" t="shared"/>
        <v>1.0049047338173839E-3</v>
      </c>
      <c r="J22" s="12">
        <f si="15" t="shared"/>
        <v>9.18384446756559E-4</v>
      </c>
      <c r="K22" s="12">
        <f si="15" t="shared"/>
        <v>0.13721359344407819</v>
      </c>
      <c r="M22" s="3" t="s">
        <v>210</v>
      </c>
      <c r="N22" s="12">
        <f ref="N22:W22" si="16" t="shared">N5/N$13</f>
        <v>0.27027869740471611</v>
      </c>
      <c r="O22" s="12">
        <f si="16" t="shared"/>
        <v>0.18331740769122842</v>
      </c>
      <c r="P22" s="12">
        <f si="16" t="shared"/>
        <v>0</v>
      </c>
      <c r="Q22" s="12">
        <f si="16" t="shared"/>
        <v>0</v>
      </c>
      <c r="R22" s="12">
        <f si="16" t="shared"/>
        <v>0.11751596209433457</v>
      </c>
      <c r="S22" s="12">
        <f si="16" t="shared"/>
        <v>7.8218999031751217E-3</v>
      </c>
      <c r="T22" s="12"/>
      <c r="U22" s="12">
        <f si="16" t="shared"/>
        <v>0</v>
      </c>
      <c r="V22" s="12">
        <f si="16" t="shared"/>
        <v>0</v>
      </c>
      <c r="W22" s="12">
        <f si="16" t="shared"/>
        <v>0.13710486502134422</v>
      </c>
      <c r="Y22" s="3" t="s">
        <v>210</v>
      </c>
      <c r="Z22" s="12">
        <f ref="Z22:Z30" si="17" t="shared">N22-B22</f>
        <v>-1.151031607994446E-2</v>
      </c>
      <c r="AA22" s="12">
        <f ref="AA22:AA30" si="18" t="shared">O22-C22</f>
        <v>5.0337353360449005E-2</v>
      </c>
      <c r="AB22" s="12">
        <f ref="AB22:AB30" si="19" t="shared">P22-D22</f>
        <v>-1.3466755332615226E-2</v>
      </c>
      <c r="AC22" s="12">
        <f ref="AC22:AC30" si="20" t="shared">Q22-E22</f>
        <v>-1.7004598887361597E-2</v>
      </c>
      <c r="AD22" s="12">
        <f ref="AD22:AD30" si="21" t="shared">R22-F22</f>
        <v>-5.4093880491432489E-2</v>
      </c>
      <c r="AE22" s="12">
        <f ref="AE22:AE30" si="22" t="shared">S22-G22</f>
        <v>-5.7368362932452965E-3</v>
      </c>
      <c r="AF22" s="12"/>
      <c r="AG22" s="12">
        <f ref="AG22:AG30" si="23" t="shared">U22-I22</f>
        <v>-1.0049047338173839E-3</v>
      </c>
      <c r="AH22" s="12">
        <f ref="AH22:AH30" si="24" t="shared">V22-J22</f>
        <v>-9.18384446756559E-4</v>
      </c>
      <c r="AI22" s="12">
        <f ref="AI22:AI30" si="25" t="shared">W22-K22</f>
        <v>-1.0872842273396133E-4</v>
      </c>
    </row>
    <row customHeight="1" ht="12.75" r="23" spans="1:35" x14ac:dyDescent="0.2">
      <c r="A23" s="3" t="s">
        <v>211</v>
      </c>
      <c r="B23" s="12">
        <f ref="B23:K23" si="26" t="shared">B6/B$13</f>
        <v>1.9781947429320843E-3</v>
      </c>
      <c r="C23" s="12">
        <f si="26" t="shared"/>
        <v>2.9855122690076327E-2</v>
      </c>
      <c r="D23" s="12">
        <f si="26" t="shared"/>
        <v>8.6542845013741834E-4</v>
      </c>
      <c r="E23" s="12">
        <f si="26" t="shared"/>
        <v>2.6435404999198931E-2</v>
      </c>
      <c r="F23" s="12">
        <f si="26" t="shared"/>
        <v>0.11334763334758116</v>
      </c>
      <c r="G23" s="12">
        <f si="26" t="shared"/>
        <v>0.31424475904773247</v>
      </c>
      <c r="H23" s="12"/>
      <c r="I23" s="12">
        <f si="26" t="shared"/>
        <v>0.27231506504130876</v>
      </c>
      <c r="J23" s="12">
        <f si="26" t="shared"/>
        <v>6.3937377922345648E-2</v>
      </c>
      <c r="K23" s="12">
        <f si="26" t="shared"/>
        <v>5.2240083197403572E-2</v>
      </c>
      <c r="M23" s="3" t="s">
        <v>211</v>
      </c>
      <c r="N23" s="12">
        <f ref="N23:W23" si="27" t="shared">N6/N$13</f>
        <v>1.8729230664193477E-3</v>
      </c>
      <c r="O23" s="12">
        <f si="27" t="shared"/>
        <v>0</v>
      </c>
      <c r="P23" s="12">
        <f si="27" t="shared"/>
        <v>0</v>
      </c>
      <c r="Q23" s="12">
        <f si="27" t="shared"/>
        <v>0</v>
      </c>
      <c r="R23" s="12">
        <f si="27" t="shared"/>
        <v>0.19700784835064569</v>
      </c>
      <c r="S23" s="12">
        <f si="27" t="shared"/>
        <v>0.30734797427042798</v>
      </c>
      <c r="T23" s="12"/>
      <c r="U23" s="12">
        <f si="27" t="shared"/>
        <v>0.2754978893962724</v>
      </c>
      <c r="V23" s="12">
        <f si="27" t="shared"/>
        <v>4.2497727839845977E-2</v>
      </c>
      <c r="W23" s="12">
        <f si="27" t="shared"/>
        <v>5.0024180004264382E-2</v>
      </c>
      <c r="Y23" s="3" t="s">
        <v>211</v>
      </c>
      <c r="Z23" s="12">
        <f si="17" t="shared"/>
        <v>-1.0527167651273655E-4</v>
      </c>
      <c r="AA23" s="12">
        <f si="18" t="shared"/>
        <v>-2.9855122690076327E-2</v>
      </c>
      <c r="AB23" s="12">
        <f si="19" t="shared"/>
        <v>-8.6542845013741834E-4</v>
      </c>
      <c r="AC23" s="12">
        <f si="20" t="shared"/>
        <v>-2.6435404999198931E-2</v>
      </c>
      <c r="AD23" s="12">
        <f si="21" t="shared"/>
        <v>8.3660215003064531E-2</v>
      </c>
      <c r="AE23" s="12">
        <f si="22" t="shared"/>
        <v>-6.8967847773044877E-3</v>
      </c>
      <c r="AF23" s="12"/>
      <c r="AG23" s="12">
        <f si="23" t="shared"/>
        <v>3.1828243549636426E-3</v>
      </c>
      <c r="AH23" s="12">
        <f si="24" t="shared"/>
        <v>-2.1439650082499671E-2</v>
      </c>
      <c r="AI23" s="12">
        <f si="25" t="shared"/>
        <v>-2.2159031931391904E-3</v>
      </c>
    </row>
    <row customHeight="1" ht="12.75" r="24" spans="1:35" x14ac:dyDescent="0.2">
      <c r="A24" s="3" t="s">
        <v>212</v>
      </c>
      <c r="B24" s="12">
        <f ref="B24:K24" si="28" t="shared">B7/B$13</f>
        <v>7.3663674466494009E-2</v>
      </c>
      <c r="C24" s="12">
        <f si="28" t="shared"/>
        <v>8.9483666861470967E-2</v>
      </c>
      <c r="D24" s="12">
        <f si="28" t="shared"/>
        <v>4.5949167965011285E-2</v>
      </c>
      <c r="E24" s="12">
        <f si="28" t="shared"/>
        <v>0.10273050782617012</v>
      </c>
      <c r="F24" s="12">
        <f si="28" t="shared"/>
        <v>4.8164746226487823E-2</v>
      </c>
      <c r="G24" s="12">
        <f si="28" t="shared"/>
        <v>4.6970374345667532E-2</v>
      </c>
      <c r="H24" s="12"/>
      <c r="I24" s="12">
        <f si="28" t="shared"/>
        <v>4.8512557471509163E-2</v>
      </c>
      <c r="J24" s="12">
        <f si="28" t="shared"/>
        <v>8.7605424224491732E-2</v>
      </c>
      <c r="K24" s="12">
        <f si="28" t="shared"/>
        <v>7.43791501872057E-2</v>
      </c>
      <c r="M24" s="3" t="s">
        <v>212</v>
      </c>
      <c r="N24" s="12">
        <f ref="N24:W24" si="29" t="shared">N7/N$13</f>
        <v>8.4055717083330816E-2</v>
      </c>
      <c r="O24" s="12">
        <f si="29" t="shared"/>
        <v>7.9010778259152495E-2</v>
      </c>
      <c r="P24" s="12">
        <f si="29" t="shared"/>
        <v>4.7582361694704894E-2</v>
      </c>
      <c r="Q24" s="12">
        <f si="29" t="shared"/>
        <v>0.10165749769469969</v>
      </c>
      <c r="R24" s="12">
        <f si="29" t="shared"/>
        <v>4.9834275599862636E-2</v>
      </c>
      <c r="S24" s="12">
        <f si="29" t="shared"/>
        <v>4.4524299228751993E-2</v>
      </c>
      <c r="T24" s="12"/>
      <c r="U24" s="12">
        <f si="29" t="shared"/>
        <v>3.3277901544800828E-2</v>
      </c>
      <c r="V24" s="12">
        <f si="29" t="shared"/>
        <v>8.3093566128212781E-2</v>
      </c>
      <c r="W24" s="12">
        <f si="29" t="shared"/>
        <v>7.4781463024540917E-2</v>
      </c>
      <c r="Y24" s="3" t="s">
        <v>212</v>
      </c>
      <c r="Z24" s="12">
        <f si="17" t="shared"/>
        <v>1.0392042616836808E-2</v>
      </c>
      <c r="AA24" s="12">
        <f si="18" t="shared"/>
        <v>-1.0472888602318473E-2</v>
      </c>
      <c r="AB24" s="12">
        <f si="19" t="shared"/>
        <v>1.6331937296936092E-3</v>
      </c>
      <c r="AC24" s="12">
        <f si="20" t="shared"/>
        <v>-1.073010131470431E-3</v>
      </c>
      <c r="AD24" s="12">
        <f si="21" t="shared"/>
        <v>1.6695293733748132E-3</v>
      </c>
      <c r="AE24" s="12">
        <f si="22" t="shared"/>
        <v>-2.4460751169155387E-3</v>
      </c>
      <c r="AF24" s="12"/>
      <c r="AG24" s="12">
        <f si="23" t="shared"/>
        <v>-1.5234655926708335E-2</v>
      </c>
      <c r="AH24" s="12">
        <f si="24" t="shared"/>
        <v>-4.5118580962789506E-3</v>
      </c>
      <c r="AI24" s="12">
        <f si="25" t="shared"/>
        <v>4.0231283733521694E-4</v>
      </c>
    </row>
    <row customHeight="1" ht="12.75" r="25" spans="1:35" x14ac:dyDescent="0.2">
      <c r="A25" s="3" t="s">
        <v>213</v>
      </c>
      <c r="B25" s="12">
        <f ref="B25:K25" si="30" t="shared">B8/B$13</f>
        <v>7.5301449530520009E-2</v>
      </c>
      <c r="C25" s="12">
        <f si="30" t="shared"/>
        <v>0.11566183613496125</v>
      </c>
      <c r="D25" s="12">
        <f si="30" t="shared"/>
        <v>0.20791852404318478</v>
      </c>
      <c r="E25" s="12">
        <f si="30" t="shared"/>
        <v>0.14273200951475157</v>
      </c>
      <c r="F25" s="12">
        <f si="30" t="shared"/>
        <v>9.5803635923576727E-2</v>
      </c>
      <c r="G25" s="12">
        <f si="30" t="shared"/>
        <v>6.2602336120486088E-2</v>
      </c>
      <c r="H25" s="12"/>
      <c r="I25" s="12">
        <f si="30" t="shared"/>
        <v>8.5015766243271146E-2</v>
      </c>
      <c r="J25" s="12">
        <f si="30" t="shared"/>
        <v>0.1494123053557514</v>
      </c>
      <c r="K25" s="12">
        <f si="30" t="shared"/>
        <v>0.110226119198103</v>
      </c>
      <c r="M25" s="3" t="s">
        <v>213</v>
      </c>
      <c r="N25" s="12">
        <f ref="N25:W25" si="31" t="shared">N8/N$13</f>
        <v>8.1644392235365237E-2</v>
      </c>
      <c r="O25" s="12">
        <f si="31" t="shared"/>
        <v>0.11899305971214026</v>
      </c>
      <c r="P25" s="12">
        <f si="31" t="shared"/>
        <v>0.20566130058174598</v>
      </c>
      <c r="Q25" s="12">
        <f si="31" t="shared"/>
        <v>0.15496290734698442</v>
      </c>
      <c r="R25" s="12">
        <f si="31" t="shared"/>
        <v>7.2180496874529737E-2</v>
      </c>
      <c r="S25" s="12">
        <f si="31" t="shared"/>
        <v>4.8194909583706376E-2</v>
      </c>
      <c r="T25" s="12"/>
      <c r="U25" s="12">
        <f si="31" t="shared"/>
        <v>8.1800636441971178E-2</v>
      </c>
      <c r="V25" s="12">
        <f si="31" t="shared"/>
        <v>0.15242055675015559</v>
      </c>
      <c r="W25" s="12">
        <f si="31" t="shared"/>
        <v>0.11067239610239878</v>
      </c>
      <c r="Y25" s="3" t="s">
        <v>213</v>
      </c>
      <c r="Z25" s="12">
        <f si="17" t="shared"/>
        <v>6.342942704845228E-3</v>
      </c>
      <c r="AA25" s="12">
        <f si="18" t="shared"/>
        <v>3.3312235771790072E-3</v>
      </c>
      <c r="AB25" s="12">
        <f si="19" t="shared"/>
        <v>-2.2572234614388065E-3</v>
      </c>
      <c r="AC25" s="12">
        <f si="20" t="shared"/>
        <v>1.2230897832232857E-2</v>
      </c>
      <c r="AD25" s="12">
        <f si="21" t="shared"/>
        <v>-2.362313904904699E-2</v>
      </c>
      <c r="AE25" s="12">
        <f si="22" t="shared"/>
        <v>-1.4407426536779712E-2</v>
      </c>
      <c r="AF25" s="12"/>
      <c r="AG25" s="12">
        <f si="23" t="shared"/>
        <v>-3.2151298012999679E-3</v>
      </c>
      <c r="AH25" s="12">
        <f si="24" t="shared"/>
        <v>3.0082513944041933E-3</v>
      </c>
      <c r="AI25" s="12">
        <f si="25" t="shared"/>
        <v>4.462769042957726E-4</v>
      </c>
    </row>
    <row customHeight="1" ht="12.75" r="26" spans="1:35" x14ac:dyDescent="0.2">
      <c r="A26" s="3" t="s">
        <v>214</v>
      </c>
      <c r="B26" s="12">
        <f ref="B26:K26" si="32" t="shared">B9/B$13</f>
        <v>9.4792084394076756E-2</v>
      </c>
      <c r="C26" s="12">
        <f si="32" t="shared"/>
        <v>0.13423501967554022</v>
      </c>
      <c r="D26" s="12">
        <f si="32" t="shared"/>
        <v>0.20740561561471227</v>
      </c>
      <c r="E26" s="12">
        <f si="32" t="shared"/>
        <v>0.16749103069037857</v>
      </c>
      <c r="F26" s="12">
        <f si="32" t="shared"/>
        <v>0.12113721021279339</v>
      </c>
      <c r="G26" s="12">
        <f si="32" t="shared"/>
        <v>2.652474319513657E-2</v>
      </c>
      <c r="H26" s="12"/>
      <c r="I26" s="12">
        <f si="32" t="shared"/>
        <v>5.6419982383077764E-2</v>
      </c>
      <c r="J26" s="12">
        <f si="32" t="shared"/>
        <v>0.1591123863431107</v>
      </c>
      <c r="K26" s="12">
        <f si="32" t="shared"/>
        <v>0.12192311404753009</v>
      </c>
      <c r="M26" s="3" t="s">
        <v>214</v>
      </c>
      <c r="N26" s="12">
        <f ref="N26:W26" si="33" t="shared">N9/N$13</f>
        <v>0.10999620443190643</v>
      </c>
      <c r="O26" s="12">
        <f si="33" t="shared"/>
        <v>0.11066734703143036</v>
      </c>
      <c r="P26" s="12">
        <f si="33" t="shared"/>
        <v>0.1956216885980552</v>
      </c>
      <c r="Q26" s="12">
        <f si="33" t="shared"/>
        <v>0.1884708788942385</v>
      </c>
      <c r="R26" s="12">
        <f si="33" t="shared"/>
        <v>9.2718955351194857E-2</v>
      </c>
      <c r="S26" s="12">
        <f si="33" t="shared"/>
        <v>1.7795450391477338E-2</v>
      </c>
      <c r="T26" s="12"/>
      <c r="U26" s="12">
        <f si="33" t="shared"/>
        <v>3.448780151870149E-2</v>
      </c>
      <c r="V26" s="12">
        <f si="33" t="shared"/>
        <v>0.17436488008404699</v>
      </c>
      <c r="W26" s="12">
        <f si="33" t="shared"/>
        <v>0.12256231486417074</v>
      </c>
      <c r="Y26" s="3" t="s">
        <v>214</v>
      </c>
      <c r="Z26" s="12">
        <f si="17" t="shared"/>
        <v>1.5204120037829671E-2</v>
      </c>
      <c r="AA26" s="12">
        <f si="18" t="shared"/>
        <v>-2.3567672644109861E-2</v>
      </c>
      <c r="AB26" s="12">
        <f si="19" t="shared"/>
        <v>-1.1783927016657064E-2</v>
      </c>
      <c r="AC26" s="12">
        <f si="20" t="shared"/>
        <v>2.0979848203859924E-2</v>
      </c>
      <c r="AD26" s="12">
        <f si="21" t="shared"/>
        <v>-2.8418254861598533E-2</v>
      </c>
      <c r="AE26" s="12">
        <f si="22" t="shared"/>
        <v>-8.7292928036592325E-3</v>
      </c>
      <c r="AF26" s="12"/>
      <c r="AG26" s="12">
        <f si="23" t="shared"/>
        <v>-2.1932180864376274E-2</v>
      </c>
      <c r="AH26" s="12">
        <f si="24" t="shared"/>
        <v>1.525249374093629E-2</v>
      </c>
      <c r="AI26" s="12">
        <f si="25" t="shared"/>
        <v>6.3920081664065043E-4</v>
      </c>
    </row>
    <row customHeight="1" ht="12.75" r="27" spans="1:35" x14ac:dyDescent="0.2">
      <c r="A27" s="3" t="s">
        <v>129</v>
      </c>
      <c r="B27" s="12">
        <f ref="B27:K27" si="34" t="shared">B10/B$13</f>
        <v>5.4944450317629331E-2</v>
      </c>
      <c r="C27" s="12">
        <f si="34" t="shared"/>
        <v>4.7171500861168419E-2</v>
      </c>
      <c r="D27" s="12">
        <f si="34" t="shared"/>
        <v>6.1210208433816575E-2</v>
      </c>
      <c r="E27" s="12">
        <f si="34" t="shared"/>
        <v>5.5388689811622385E-2</v>
      </c>
      <c r="F27" s="12">
        <f si="34" t="shared"/>
        <v>5.6378867498901725E-2</v>
      </c>
      <c r="G27" s="12">
        <f si="34" t="shared"/>
        <v>2.6988163867305674E-2</v>
      </c>
      <c r="H27" s="12"/>
      <c r="I27" s="12">
        <f si="34" t="shared"/>
        <v>2.2725634388868411E-2</v>
      </c>
      <c r="J27" s="12">
        <f si="34" t="shared"/>
        <v>3.2546668525271646E-2</v>
      </c>
      <c r="K27" s="12">
        <f si="34" t="shared"/>
        <v>4.9440746415064435E-2</v>
      </c>
      <c r="M27" s="3" t="s">
        <v>129</v>
      </c>
      <c r="N27" s="12">
        <f ref="N27:W27" si="35" t="shared">N10/N$13</f>
        <v>5.4129379144827482E-2</v>
      </c>
      <c r="O27" s="12">
        <f si="35" t="shared"/>
        <v>4.0751875075814001E-2</v>
      </c>
      <c r="P27" s="12">
        <f si="35" t="shared"/>
        <v>5.159835919611673E-2</v>
      </c>
      <c r="Q27" s="12">
        <f si="35" t="shared"/>
        <v>5.4545478041952471E-2</v>
      </c>
      <c r="R27" s="12">
        <f si="35" t="shared"/>
        <v>5.6326166062027977E-2</v>
      </c>
      <c r="S27" s="12">
        <f si="35" t="shared"/>
        <v>8.5994311636040696E-2</v>
      </c>
      <c r="T27" s="12"/>
      <c r="U27" s="12">
        <f si="35" t="shared"/>
        <v>3.8683821377478479E-2</v>
      </c>
      <c r="V27" s="12">
        <f si="35" t="shared"/>
        <v>2.9231051287588732E-2</v>
      </c>
      <c r="W27" s="12">
        <f si="35" t="shared"/>
        <v>5.0429211538710918E-2</v>
      </c>
      <c r="Y27" s="3" t="s">
        <v>129</v>
      </c>
      <c r="Z27" s="12">
        <f si="17" t="shared"/>
        <v>-8.1507117280184976E-4</v>
      </c>
      <c r="AA27" s="12">
        <f si="18" t="shared"/>
        <v>-6.4196257853544186E-3</v>
      </c>
      <c r="AB27" s="12">
        <f si="19" t="shared"/>
        <v>-9.6118492376998446E-3</v>
      </c>
      <c r="AC27" s="12">
        <f si="20" t="shared"/>
        <v>-8.4321176966991457E-4</v>
      </c>
      <c r="AD27" s="12">
        <f si="21" t="shared"/>
        <v>-5.2701436873747731E-5</v>
      </c>
      <c r="AE27" s="12">
        <f si="22" t="shared"/>
        <v>5.9006147768735022E-2</v>
      </c>
      <c r="AF27" s="12"/>
      <c r="AG27" s="12">
        <f si="23" t="shared"/>
        <v>1.5958186988610068E-2</v>
      </c>
      <c r="AH27" s="12">
        <f si="24" t="shared"/>
        <v>-3.3156172376829149E-3</v>
      </c>
      <c r="AI27" s="12">
        <f si="25" t="shared"/>
        <v>9.8846512364648281E-4</v>
      </c>
    </row>
    <row customHeight="1" ht="12.75" r="28" spans="1:35" x14ac:dyDescent="0.2">
      <c r="A28" s="3" t="s">
        <v>130</v>
      </c>
      <c r="B28" s="12">
        <f ref="B28:K28" si="36" t="shared">B11/B$13</f>
        <v>8.0420890126635253E-2</v>
      </c>
      <c r="C28" s="12">
        <f si="36" t="shared"/>
        <v>0.10173874075375511</v>
      </c>
      <c r="D28" s="12">
        <f si="36" t="shared"/>
        <v>0.12517787293010357</v>
      </c>
      <c r="E28" s="12">
        <f si="36" t="shared"/>
        <v>0.12951563317040418</v>
      </c>
      <c r="F28" s="12">
        <f si="36" t="shared"/>
        <v>7.6997669905137719E-2</v>
      </c>
      <c r="G28" s="12">
        <f si="36" t="shared"/>
        <v>8.4832845500233178E-2</v>
      </c>
      <c r="H28" s="12"/>
      <c r="I28" s="12">
        <f si="36" t="shared"/>
        <v>0.10932013162848159</v>
      </c>
      <c r="J28" s="12">
        <f si="36" t="shared"/>
        <v>0.14180378572405564</v>
      </c>
      <c r="K28" s="12">
        <f si="36" t="shared"/>
        <v>0.10245994209643414</v>
      </c>
      <c r="M28" s="3" t="s">
        <v>130</v>
      </c>
      <c r="N28" s="12">
        <f ref="N28:W28" si="37" t="shared">N11/N$13</f>
        <v>7.7481926668508477E-2</v>
      </c>
      <c r="O28" s="12">
        <f si="37" t="shared"/>
        <v>0.11224175681199448</v>
      </c>
      <c r="P28" s="12">
        <f si="37" t="shared"/>
        <v>0.13533690315292835</v>
      </c>
      <c r="Q28" s="12">
        <f si="37" t="shared"/>
        <v>0.13126574246212477</v>
      </c>
      <c r="R28" s="12">
        <f si="37" t="shared"/>
        <v>6.7238248177021412E-2</v>
      </c>
      <c r="S28" s="12">
        <f si="37" t="shared"/>
        <v>9.1719269566509609E-2</v>
      </c>
      <c r="T28" s="12"/>
      <c r="U28" s="12">
        <f si="37" t="shared"/>
        <v>0.1287396700739126</v>
      </c>
      <c r="V28" s="12">
        <f si="37" t="shared"/>
        <v>0.14231739638588695</v>
      </c>
      <c r="W28" s="12">
        <f si="37" t="shared"/>
        <v>0.10344959141279386</v>
      </c>
      <c r="Y28" s="3" t="s">
        <v>130</v>
      </c>
      <c r="Z28" s="12">
        <f si="17" t="shared"/>
        <v>-2.9389634581267754E-3</v>
      </c>
      <c r="AA28" s="12">
        <f si="18" t="shared"/>
        <v>1.0503016058239376E-2</v>
      </c>
      <c r="AB28" s="12">
        <f si="19" t="shared"/>
        <v>1.0159030222824772E-2</v>
      </c>
      <c r="AC28" s="12">
        <f si="20" t="shared"/>
        <v>1.7501092917205918E-3</v>
      </c>
      <c r="AD28" s="12">
        <f si="21" t="shared"/>
        <v>-9.7594217281163076E-3</v>
      </c>
      <c r="AE28" s="12">
        <f si="22" t="shared"/>
        <v>6.8864240662764309E-3</v>
      </c>
      <c r="AF28" s="12"/>
      <c r="AG28" s="12">
        <f si="23" t="shared"/>
        <v>1.9419538445431012E-2</v>
      </c>
      <c r="AH28" s="12">
        <f si="24" t="shared"/>
        <v>5.1361066183130966E-4</v>
      </c>
      <c r="AI28" s="12">
        <f si="25" t="shared"/>
        <v>9.8964931635972531E-4</v>
      </c>
    </row>
    <row customHeight="1" ht="12.75" r="29" spans="1:35" x14ac:dyDescent="0.2">
      <c r="A29" s="8" t="s">
        <v>145</v>
      </c>
      <c r="B29" s="13">
        <f ref="B29:K29" si="38" t="shared">B12/B$13</f>
        <v>0.337110242937052</v>
      </c>
      <c r="C29" s="13">
        <f si="38" t="shared"/>
        <v>0.34887405869224836</v>
      </c>
      <c r="D29" s="13">
        <f si="38" t="shared"/>
        <v>0.33800642723041885</v>
      </c>
      <c r="E29" s="13">
        <f si="38" t="shared"/>
        <v>0.35870212510011273</v>
      </c>
      <c r="F29" s="13">
        <f si="38" t="shared"/>
        <v>0.31656039429975436</v>
      </c>
      <c r="G29" s="13">
        <f si="38" t="shared"/>
        <v>0.42427804172701822</v>
      </c>
      <c r="H29" s="13"/>
      <c r="I29" s="13">
        <f si="38" t="shared"/>
        <v>0.40468595810966579</v>
      </c>
      <c r="J29" s="13">
        <f si="38" t="shared"/>
        <v>0.36466366745821677</v>
      </c>
      <c r="K29" s="13">
        <f si="38" t="shared"/>
        <v>0.35211725141418082</v>
      </c>
      <c r="M29" s="8" t="s">
        <v>145</v>
      </c>
      <c r="N29" s="13">
        <f ref="N29:W29" si="39" t="shared">N12/N$13</f>
        <v>0.3205407599649262</v>
      </c>
      <c r="O29" s="13">
        <f si="39" t="shared"/>
        <v>0.35501777541824003</v>
      </c>
      <c r="P29" s="13">
        <f si="39" t="shared"/>
        <v>0.36419938677644875</v>
      </c>
      <c r="Q29" s="13">
        <f si="39" t="shared"/>
        <v>0.36909749556000016</v>
      </c>
      <c r="R29" s="13">
        <f si="39" t="shared"/>
        <v>0.34717804749038311</v>
      </c>
      <c r="S29" s="13">
        <f si="39" t="shared"/>
        <v>0.39660188541991087</v>
      </c>
      <c r="T29" s="13"/>
      <c r="U29" s="13">
        <f si="39" t="shared"/>
        <v>0.40751227964686293</v>
      </c>
      <c r="V29" s="13">
        <f si="39" t="shared"/>
        <v>0.37607482152426286</v>
      </c>
      <c r="W29" s="13">
        <f si="39" t="shared"/>
        <v>0.3509759780317761</v>
      </c>
      <c r="Y29" s="8" t="s">
        <v>145</v>
      </c>
      <c r="Z29" s="12">
        <f si="17" t="shared"/>
        <v>-1.6569482972125793E-2</v>
      </c>
      <c r="AA29" s="12">
        <f si="18" t="shared"/>
        <v>6.143716725991677E-3</v>
      </c>
      <c r="AB29" s="12">
        <f si="19" t="shared"/>
        <v>2.6192959546029904E-2</v>
      </c>
      <c r="AC29" s="12">
        <f si="20" t="shared"/>
        <v>1.0395370459887421E-2</v>
      </c>
      <c r="AD29" s="12">
        <f si="21" t="shared"/>
        <v>3.0617653190628757E-2</v>
      </c>
      <c r="AE29" s="12">
        <f si="22" t="shared"/>
        <v>-2.7676156307107347E-2</v>
      </c>
      <c r="AF29" s="12"/>
      <c r="AG29" s="12">
        <f si="23" t="shared"/>
        <v>2.8263215371971406E-3</v>
      </c>
      <c r="AH29" s="12">
        <f si="24" t="shared"/>
        <v>1.1411154066046092E-2</v>
      </c>
      <c r="AI29" s="12">
        <f si="25" t="shared"/>
        <v>-1.1412733824047172E-3</v>
      </c>
    </row>
    <row customHeight="1" ht="12.75" r="30" spans="1:35" thickBot="1" x14ac:dyDescent="0.25">
      <c r="A30" s="10" t="s">
        <v>221</v>
      </c>
      <c r="B30" s="14">
        <f ref="B30:K30" si="40" t="shared">B13/B$13</f>
        <v>1</v>
      </c>
      <c r="C30" s="14">
        <f si="40" t="shared"/>
        <v>1</v>
      </c>
      <c r="D30" s="14">
        <f si="40" t="shared"/>
        <v>1</v>
      </c>
      <c r="E30" s="14">
        <f si="40" t="shared"/>
        <v>1</v>
      </c>
      <c r="F30" s="14">
        <f si="40" t="shared"/>
        <v>1</v>
      </c>
      <c r="G30" s="14">
        <f si="40" t="shared"/>
        <v>1</v>
      </c>
      <c r="H30" s="14"/>
      <c r="I30" s="14">
        <f si="40" t="shared"/>
        <v>1</v>
      </c>
      <c r="J30" s="14">
        <f si="40" t="shared"/>
        <v>1</v>
      </c>
      <c r="K30" s="14">
        <f si="40" t="shared"/>
        <v>1</v>
      </c>
      <c r="M30" s="10" t="s">
        <v>221</v>
      </c>
      <c r="N30" s="14">
        <f ref="N30:W30" si="41" t="shared">N13/N$13</f>
        <v>1</v>
      </c>
      <c r="O30" s="14">
        <f si="41" t="shared"/>
        <v>1</v>
      </c>
      <c r="P30" s="14">
        <f si="41" t="shared"/>
        <v>1</v>
      </c>
      <c r="Q30" s="14">
        <f si="41" t="shared"/>
        <v>1</v>
      </c>
      <c r="R30" s="14">
        <f si="41" t="shared"/>
        <v>1</v>
      </c>
      <c r="S30" s="14">
        <f si="41" t="shared"/>
        <v>1</v>
      </c>
      <c r="T30" s="14"/>
      <c r="U30" s="14">
        <f si="41" t="shared"/>
        <v>1</v>
      </c>
      <c r="V30" s="14">
        <f si="41" t="shared"/>
        <v>1</v>
      </c>
      <c r="W30" s="14">
        <f si="41" t="shared"/>
        <v>1</v>
      </c>
      <c r="Y30" s="10" t="s">
        <v>221</v>
      </c>
      <c r="Z30" s="14">
        <f si="17" t="shared"/>
        <v>0</v>
      </c>
      <c r="AA30" s="14">
        <f si="18" t="shared"/>
        <v>0</v>
      </c>
      <c r="AB30" s="14">
        <f si="19" t="shared"/>
        <v>0</v>
      </c>
      <c r="AC30" s="14">
        <f si="20" t="shared"/>
        <v>0</v>
      </c>
      <c r="AD30" s="14">
        <f si="21" t="shared"/>
        <v>0</v>
      </c>
      <c r="AE30" s="14">
        <f si="22" t="shared"/>
        <v>0</v>
      </c>
      <c r="AF30" s="14"/>
      <c r="AG30" s="14">
        <f si="23" t="shared"/>
        <v>0</v>
      </c>
      <c r="AH30" s="14">
        <f si="24" t="shared"/>
        <v>0</v>
      </c>
      <c r="AI30" s="14">
        <f si="25" t="shared"/>
        <v>0</v>
      </c>
    </row>
    <row customHeight="1" ht="12.75" r="31" spans="1:35" x14ac:dyDescent="0.2"/>
    <row customHeight="1" ht="12.75" r="32" spans="1:35" x14ac:dyDescent="0.2"/>
    <row customHeight="1" ht="12.75" r="33" spans="1:32" x14ac:dyDescent="0.2"/>
    <row customHeight="1" ht="12.75" r="34" spans="1:32" x14ac:dyDescent="0.2"/>
    <row customHeight="1" ht="12.75" r="35" spans="1:32" x14ac:dyDescent="0.2">
      <c r="A35" s="2" t="s">
        <v>175</v>
      </c>
      <c r="I35"/>
      <c r="M35" s="2" t="s">
        <v>175</v>
      </c>
      <c r="Y35" s="2" t="s">
        <v>175</v>
      </c>
    </row>
    <row customHeight="1" ht="12.75" r="36" spans="1:32" x14ac:dyDescent="0.2">
      <c r="A36" s="2" t="s">
        <v>276</v>
      </c>
      <c r="I36"/>
      <c r="M36" s="2" t="s">
        <v>127</v>
      </c>
      <c r="Y36" s="279" t="s">
        <v>80</v>
      </c>
      <c r="Z36" s="279"/>
      <c r="AA36" s="279"/>
    </row>
    <row customHeight="1" ht="12.75" r="37" spans="1:32" thickBot="1" x14ac:dyDescent="0.25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customHeight="1" ht="12.75" r="38" spans="1:32" x14ac:dyDescent="0.2">
      <c r="A38" s="5" t="s">
        <v>144</v>
      </c>
      <c r="B38" s="32" t="s">
        <v>296</v>
      </c>
      <c r="C38" s="32" t="s">
        <v>297</v>
      </c>
      <c r="D38" s="32" t="s">
        <v>298</v>
      </c>
      <c r="E38" s="32" t="s">
        <v>301</v>
      </c>
      <c r="F38" s="32" t="s">
        <v>172</v>
      </c>
      <c r="G38" s="32" t="s">
        <v>221</v>
      </c>
      <c r="H38" s="89"/>
      <c r="I38"/>
      <c r="M38" s="5" t="s">
        <v>144</v>
      </c>
      <c r="N38" s="32" t="s">
        <v>296</v>
      </c>
      <c r="O38" s="32" t="s">
        <v>297</v>
      </c>
      <c r="P38" s="32" t="s">
        <v>298</v>
      </c>
      <c r="Q38" s="32" t="s">
        <v>301</v>
      </c>
      <c r="R38" s="32" t="s">
        <v>172</v>
      </c>
      <c r="S38" s="32" t="s">
        <v>221</v>
      </c>
      <c r="T38" s="89"/>
      <c r="Y38" s="5" t="s">
        <v>144</v>
      </c>
      <c r="Z38" s="32" t="s">
        <v>296</v>
      </c>
      <c r="AA38" s="32" t="s">
        <v>297</v>
      </c>
      <c r="AB38" s="32" t="s">
        <v>298</v>
      </c>
      <c r="AC38" s="32" t="s">
        <v>301</v>
      </c>
      <c r="AD38" s="32" t="s">
        <v>172</v>
      </c>
      <c r="AE38" s="32" t="s">
        <v>221</v>
      </c>
      <c r="AF38" s="89"/>
    </row>
    <row customHeight="1" ht="12.75" r="39" spans="1:32" x14ac:dyDescent="0.2">
      <c r="A39" s="3" t="s">
        <v>210</v>
      </c>
      <c r="B39" s="7">
        <f>output_NHTS!B273</f>
        <v>28498.140899397498</v>
      </c>
      <c r="C39" s="7">
        <f>output_NHTS!C273</f>
        <v>496824.41104277677</v>
      </c>
      <c r="D39" s="7">
        <f>output_NHTS!D273</f>
        <v>370052.8882844511</v>
      </c>
      <c r="E39" s="7">
        <f>output_NHTS!E273</f>
        <v>1253633.2342763571</v>
      </c>
      <c r="F39" s="7"/>
      <c r="G39" s="7">
        <f>SUM(B39:E39)</f>
        <v>2149008.6745029828</v>
      </c>
      <c r="H39" s="7"/>
      <c r="I39"/>
      <c r="M39" s="3" t="s">
        <v>210</v>
      </c>
      <c r="N39" s="7">
        <f>output!B273</f>
        <v>50560.069611530002</v>
      </c>
      <c r="O39" s="7">
        <f>output!C273</f>
        <v>413283.40360259521</v>
      </c>
      <c r="P39" s="7">
        <f>output!D273</f>
        <v>391386.97283953405</v>
      </c>
      <c r="Q39" s="7">
        <f>output!E273</f>
        <v>1406777.1623925671</v>
      </c>
      <c r="R39" s="7"/>
      <c r="S39" s="7">
        <f>SUM(N39:Q39)</f>
        <v>2262007.6084462265</v>
      </c>
      <c r="T39" s="7"/>
      <c r="Y39" s="3" t="s">
        <v>210</v>
      </c>
      <c r="Z39" s="7">
        <f ref="Z39:Z47" si="42" t="shared">N39-B39</f>
        <v>22061.928712132503</v>
      </c>
      <c r="AA39" s="7">
        <f ref="AA39:AA47" si="43" t="shared">O39-C39</f>
        <v>-83541.007440181565</v>
      </c>
      <c r="AB39" s="7">
        <f ref="AB39:AB47" si="44" t="shared">P39-D39</f>
        <v>21334.084555082954</v>
      </c>
      <c r="AC39" s="7">
        <f ref="AC39:AC47" si="45" t="shared">Q39-E39</f>
        <v>153143.92811621004</v>
      </c>
      <c r="AD39" s="7">
        <f ref="AD39:AD47" si="46" t="shared">R39-F39</f>
        <v>0</v>
      </c>
      <c r="AE39" s="7">
        <f ref="AE39:AE47" si="47" t="shared">S39-G39</f>
        <v>112998.9339432437</v>
      </c>
      <c r="AF39" s="7"/>
    </row>
    <row customHeight="1" ht="12.75" r="40" spans="1:32" x14ac:dyDescent="0.2">
      <c r="A40" s="3" t="s">
        <v>211</v>
      </c>
      <c r="B40" s="7">
        <f>output_NHTS!B274</f>
        <v>36101.037549612003</v>
      </c>
      <c r="C40" s="7">
        <f>output_NHTS!C274</f>
        <v>139183.93195783929</v>
      </c>
      <c r="D40" s="7">
        <f>output_NHTS!D274</f>
        <v>107872.9074486196</v>
      </c>
      <c r="E40" s="7">
        <f>output_NHTS!E274</f>
        <v>501397.80388968613</v>
      </c>
      <c r="F40" s="7"/>
      <c r="G40" s="7">
        <f ref="G40:G47" si="48" t="shared">SUM(B40:E40)</f>
        <v>784555.68084575702</v>
      </c>
      <c r="H40" s="7"/>
      <c r="I40"/>
      <c r="M40" s="3" t="s">
        <v>211</v>
      </c>
      <c r="N40" s="7">
        <f>output!B274</f>
        <v>68190.124707316354</v>
      </c>
      <c r="O40" s="7">
        <f>output!C274</f>
        <v>184802.30948310386</v>
      </c>
      <c r="P40" s="7">
        <f>output!D274</f>
        <v>127889.81857563925</v>
      </c>
      <c r="Q40" s="7">
        <f>output!E274</f>
        <v>444435.47580844321</v>
      </c>
      <c r="R40" s="7"/>
      <c r="S40" s="7">
        <f ref="S40:S47" si="49" t="shared">SUM(N40:Q40)</f>
        <v>825317.72857450275</v>
      </c>
      <c r="T40" s="7"/>
      <c r="Y40" s="3" t="s">
        <v>211</v>
      </c>
      <c r="Z40" s="7">
        <f si="42" t="shared"/>
        <v>32089.087157704351</v>
      </c>
      <c r="AA40" s="7">
        <f si="43" t="shared"/>
        <v>45618.377525264572</v>
      </c>
      <c r="AB40" s="7">
        <f si="44" t="shared"/>
        <v>20016.911127019644</v>
      </c>
      <c r="AC40" s="7">
        <f si="45" t="shared"/>
        <v>-56962.328081242915</v>
      </c>
      <c r="AD40" s="7">
        <f si="46" t="shared"/>
        <v>0</v>
      </c>
      <c r="AE40" s="7">
        <f si="47" t="shared"/>
        <v>40762.047728745732</v>
      </c>
      <c r="AF40" s="7"/>
    </row>
    <row customHeight="1" ht="12.75" r="41" spans="1:32" x14ac:dyDescent="0.2">
      <c r="A41" s="3" t="s">
        <v>212</v>
      </c>
      <c r="B41" s="7">
        <f>output_NHTS!B275</f>
        <v>24724.241933775</v>
      </c>
      <c r="C41" s="7">
        <f>output_NHTS!C275</f>
        <v>210454.6635120245</v>
      </c>
      <c r="D41" s="7">
        <f>output_NHTS!D275</f>
        <v>176418.47065998861</v>
      </c>
      <c r="E41" s="7">
        <f>output_NHTS!E275</f>
        <v>749186.73234488163</v>
      </c>
      <c r="F41" s="7"/>
      <c r="G41" s="7">
        <f si="48" t="shared"/>
        <v>1160784.1084506698</v>
      </c>
      <c r="H41" s="7"/>
      <c r="I41"/>
      <c r="M41" s="3" t="s">
        <v>212</v>
      </c>
      <c r="N41" s="7">
        <f>output!B275</f>
        <v>54631.781789707944</v>
      </c>
      <c r="O41" s="7">
        <f>output!C275</f>
        <v>228528.69797713749</v>
      </c>
      <c r="P41" s="7">
        <f>output!D275</f>
        <v>215017.1432723577</v>
      </c>
      <c r="Q41" s="7">
        <f>output!E275</f>
        <v>735595.06843981752</v>
      </c>
      <c r="R41" s="7"/>
      <c r="S41" s="7">
        <f si="49" t="shared"/>
        <v>1233772.6914790208</v>
      </c>
      <c r="T41" s="7"/>
      <c r="Y41" s="3" t="s">
        <v>212</v>
      </c>
      <c r="Z41" s="7">
        <f si="42" t="shared"/>
        <v>29907.539855932944</v>
      </c>
      <c r="AA41" s="7">
        <f si="43" t="shared"/>
        <v>18074.034465112985</v>
      </c>
      <c r="AB41" s="7">
        <f si="44" t="shared"/>
        <v>38598.67261236909</v>
      </c>
      <c r="AC41" s="7">
        <f si="45" t="shared"/>
        <v>-13591.66390506411</v>
      </c>
      <c r="AD41" s="7">
        <f si="46" t="shared"/>
        <v>0</v>
      </c>
      <c r="AE41" s="7">
        <f si="47" t="shared"/>
        <v>72988.583028350957</v>
      </c>
      <c r="AF41" s="7"/>
    </row>
    <row customHeight="1" ht="12.75" r="42" spans="1:32" x14ac:dyDescent="0.2">
      <c r="A42" s="3" t="s">
        <v>213</v>
      </c>
      <c r="B42" s="7">
        <f>output_NHTS!B276</f>
        <v>81949.709491690999</v>
      </c>
      <c r="C42" s="7">
        <f>output_NHTS!C276</f>
        <v>558241.23235357867</v>
      </c>
      <c r="D42" s="7">
        <f>output_NHTS!D276</f>
        <v>283588.22591676551</v>
      </c>
      <c r="E42" s="7">
        <f>output_NHTS!E276</f>
        <v>725060.09350684483</v>
      </c>
      <c r="F42" s="7"/>
      <c r="G42" s="7">
        <f si="48" t="shared"/>
        <v>1648839.26126888</v>
      </c>
      <c r="H42" s="7"/>
      <c r="I42"/>
      <c r="M42" s="3" t="s">
        <v>213</v>
      </c>
      <c r="N42" s="7">
        <f>output!B276</f>
        <v>147578.69593706829</v>
      </c>
      <c r="O42" s="7">
        <f>output!C276</f>
        <v>499206.58847273997</v>
      </c>
      <c r="P42" s="7">
        <f>output!D276</f>
        <v>312810.31098066922</v>
      </c>
      <c r="Q42" s="7">
        <f>output!E276</f>
        <v>866319.20339968789</v>
      </c>
      <c r="R42" s="7"/>
      <c r="S42" s="7">
        <f si="49" t="shared"/>
        <v>1825914.7987901652</v>
      </c>
      <c r="T42" s="7"/>
      <c r="Y42" s="3" t="s">
        <v>213</v>
      </c>
      <c r="Z42" s="7">
        <f si="42" t="shared"/>
        <v>65628.98644537729</v>
      </c>
      <c r="AA42" s="7">
        <f si="43" t="shared"/>
        <v>-59034.643880838703</v>
      </c>
      <c r="AB42" s="7">
        <f si="44" t="shared"/>
        <v>29222.085063903709</v>
      </c>
      <c r="AC42" s="7">
        <f si="45" t="shared"/>
        <v>141259.10989284306</v>
      </c>
      <c r="AD42" s="7">
        <f si="46" t="shared"/>
        <v>0</v>
      </c>
      <c r="AE42" s="7">
        <f si="47" t="shared"/>
        <v>177075.53752128524</v>
      </c>
      <c r="AF42" s="7"/>
    </row>
    <row customHeight="1" ht="12.75" r="43" spans="1:32" x14ac:dyDescent="0.2">
      <c r="A43" s="3" t="s">
        <v>214</v>
      </c>
      <c r="B43" s="7">
        <f>output_NHTS!B277</f>
        <v>96008.829298845696</v>
      </c>
      <c r="C43" s="7">
        <f>output_NHTS!C277</f>
        <v>621796.902857512</v>
      </c>
      <c r="D43" s="7">
        <f>output_NHTS!D277</f>
        <v>311175.03560368973</v>
      </c>
      <c r="E43" s="7">
        <f>output_NHTS!E277</f>
        <v>830860.56803235144</v>
      </c>
      <c r="F43" s="7"/>
      <c r="G43" s="7">
        <f si="48" t="shared"/>
        <v>1859841.335792399</v>
      </c>
      <c r="H43" s="7"/>
      <c r="I43"/>
      <c r="M43" s="3" t="s">
        <v>214</v>
      </c>
      <c r="N43" s="7">
        <f>output!B277</f>
        <v>153851.72930663504</v>
      </c>
      <c r="O43" s="7">
        <f>output!C277</f>
        <v>510482.14174925938</v>
      </c>
      <c r="P43" s="7">
        <f>output!D277</f>
        <v>350713.52875003638</v>
      </c>
      <c r="Q43" s="7">
        <f>output!E277</f>
        <v>1007031.7487959551</v>
      </c>
      <c r="R43" s="7"/>
      <c r="S43" s="7">
        <f si="49" t="shared"/>
        <v>2022079.1486018859</v>
      </c>
      <c r="T43" s="7"/>
      <c r="Y43" s="3" t="s">
        <v>214</v>
      </c>
      <c r="Z43" s="7">
        <f si="42" t="shared"/>
        <v>57842.900007789343</v>
      </c>
      <c r="AA43" s="7">
        <f si="43" t="shared"/>
        <v>-111314.76110825263</v>
      </c>
      <c r="AB43" s="7">
        <f si="44" t="shared"/>
        <v>39538.493146346649</v>
      </c>
      <c r="AC43" s="7">
        <f si="45" t="shared"/>
        <v>176171.18076360365</v>
      </c>
      <c r="AD43" s="7">
        <f si="46" t="shared"/>
        <v>0</v>
      </c>
      <c r="AE43" s="7">
        <f si="47" t="shared"/>
        <v>162237.81280948687</v>
      </c>
      <c r="AF43" s="7"/>
    </row>
    <row customHeight="1" ht="12.75" r="44" spans="1:32" x14ac:dyDescent="0.2">
      <c r="A44" s="3" t="s">
        <v>129</v>
      </c>
      <c r="B44" s="7">
        <f>output_NHTS!B278</f>
        <v>33921.859150095697</v>
      </c>
      <c r="C44" s="7">
        <f>output_NHTS!C278</f>
        <v>198841.45258059521</v>
      </c>
      <c r="D44" s="7">
        <f>output_NHTS!D278</f>
        <v>142289.7327638336</v>
      </c>
      <c r="E44" s="7">
        <f>output_NHTS!E278</f>
        <v>392495.01564504579</v>
      </c>
      <c r="F44" s="7"/>
      <c r="G44" s="7">
        <f si="48" t="shared"/>
        <v>767548.06013957027</v>
      </c>
      <c r="H44" s="7"/>
      <c r="I44"/>
      <c r="M44" s="3" t="s">
        <v>129</v>
      </c>
      <c r="N44" s="7">
        <f>output!B278</f>
        <v>41266.378083901051</v>
      </c>
      <c r="O44" s="7">
        <f>output!C278</f>
        <v>184525.13108457354</v>
      </c>
      <c r="P44" s="7">
        <f>output!D278</f>
        <v>143669.57046536673</v>
      </c>
      <c r="Q44" s="7">
        <f>output!E278</f>
        <v>462539.01146978163</v>
      </c>
      <c r="R44" s="7"/>
      <c r="S44" s="7">
        <f si="49" t="shared"/>
        <v>832000.09110362292</v>
      </c>
      <c r="T44" s="7"/>
      <c r="Y44" s="3" t="s">
        <v>129</v>
      </c>
      <c r="Z44" s="7">
        <f si="42" t="shared"/>
        <v>7344.5189338053533</v>
      </c>
      <c r="AA44" s="7">
        <f si="43" t="shared"/>
        <v>-14316.321496021672</v>
      </c>
      <c r="AB44" s="7">
        <f si="44" t="shared"/>
        <v>1379.8377015331353</v>
      </c>
      <c r="AC44" s="7">
        <f si="45" t="shared"/>
        <v>70043.995824735845</v>
      </c>
      <c r="AD44" s="7">
        <f si="46" t="shared"/>
        <v>0</v>
      </c>
      <c r="AE44" s="7">
        <f si="47" t="shared"/>
        <v>64452.030964052654</v>
      </c>
      <c r="AF44" s="7"/>
    </row>
    <row customHeight="1" ht="12.75" r="45" spans="1:32" x14ac:dyDescent="0.2">
      <c r="A45" s="3" t="s">
        <v>130</v>
      </c>
      <c r="B45" s="7">
        <f>output_NHTS!B279</f>
        <v>47863.087056686796</v>
      </c>
      <c r="C45" s="7">
        <f>output_NHTS!C279</f>
        <v>337941.29553768778</v>
      </c>
      <c r="D45" s="7">
        <f>output_NHTS!D279</f>
        <v>316277.87750156928</v>
      </c>
      <c r="E45" s="7">
        <f>output_NHTS!E279</f>
        <v>871004.25252380385</v>
      </c>
      <c r="F45" s="7"/>
      <c r="G45" s="7">
        <f si="48" t="shared"/>
        <v>1573086.5126197478</v>
      </c>
      <c r="H45" s="7"/>
      <c r="I45"/>
      <c r="M45" s="3" t="s">
        <v>130</v>
      </c>
      <c r="N45" s="7">
        <f>output!B279</f>
        <v>89066.890812225</v>
      </c>
      <c r="O45" s="7">
        <f>output!C279</f>
        <v>382205.70873914426</v>
      </c>
      <c r="P45" s="7">
        <f>output!D279</f>
        <v>295457.41892849689</v>
      </c>
      <c r="Q45" s="7">
        <f>output!E279</f>
        <v>940020.23308825865</v>
      </c>
      <c r="R45" s="7"/>
      <c r="S45" s="7">
        <f si="49" t="shared"/>
        <v>1706750.2515681249</v>
      </c>
      <c r="T45" s="7"/>
      <c r="Y45" s="3" t="s">
        <v>130</v>
      </c>
      <c r="Z45" s="7">
        <f si="42" t="shared"/>
        <v>41203.803755538203</v>
      </c>
      <c r="AA45" s="7">
        <f si="43" t="shared"/>
        <v>44264.413201456482</v>
      </c>
      <c r="AB45" s="7">
        <f si="44" t="shared"/>
        <v>-20820.458573072392</v>
      </c>
      <c r="AC45" s="7">
        <f si="45" t="shared"/>
        <v>69015.980564454803</v>
      </c>
      <c r="AD45" s="7">
        <f si="46" t="shared"/>
        <v>0</v>
      </c>
      <c r="AE45" s="7">
        <f si="47" t="shared"/>
        <v>133663.73894837708</v>
      </c>
      <c r="AF45" s="7"/>
    </row>
    <row customHeight="1" ht="12.75" r="46" spans="1:32" x14ac:dyDescent="0.2">
      <c r="A46" s="8" t="s">
        <v>145</v>
      </c>
      <c r="B46" s="7">
        <f>output_NHTS!B280</f>
        <v>186268.83885934309</v>
      </c>
      <c r="C46" s="7">
        <f>output_NHTS!C280</f>
        <v>1299712.6931240482</v>
      </c>
      <c r="D46" s="7">
        <f>output_NHTS!D280</f>
        <v>964979.23858593171</v>
      </c>
      <c r="E46" s="7">
        <f>output_NHTS!E280</f>
        <v>2986691.0302768489</v>
      </c>
      <c r="F46" s="9"/>
      <c r="G46" s="9">
        <f si="48" t="shared"/>
        <v>5437651.8008461725</v>
      </c>
      <c r="H46" s="33"/>
      <c r="I46"/>
      <c r="M46" s="8" t="s">
        <v>145</v>
      </c>
      <c r="N46" s="9">
        <f>output!B280</f>
        <v>356735.92309554672</v>
      </c>
      <c r="O46" s="9">
        <f>output!C280</f>
        <v>1343727.1719064917</v>
      </c>
      <c r="P46" s="9">
        <f>output!D280</f>
        <v>1000900.7247428977</v>
      </c>
      <c r="Q46" s="9">
        <f>output!E280</f>
        <v>3089169.8171623978</v>
      </c>
      <c r="R46" s="9"/>
      <c r="S46" s="9">
        <f si="49" t="shared"/>
        <v>5790533.6369073335</v>
      </c>
      <c r="T46" s="33"/>
      <c r="Y46" s="8" t="s">
        <v>145</v>
      </c>
      <c r="Z46" s="9">
        <f si="42" t="shared"/>
        <v>170467.08423620363</v>
      </c>
      <c r="AA46" s="9">
        <f si="43" t="shared"/>
        <v>44014.478782443563</v>
      </c>
      <c r="AB46" s="9">
        <f si="44" t="shared"/>
        <v>35921.486156965955</v>
      </c>
      <c r="AC46" s="9">
        <f si="45" t="shared"/>
        <v>102478.78688554885</v>
      </c>
      <c r="AD46" s="9">
        <f si="46" t="shared"/>
        <v>0</v>
      </c>
      <c r="AE46" s="9">
        <f si="47" t="shared"/>
        <v>352881.83606116101</v>
      </c>
      <c r="AF46" s="33"/>
    </row>
    <row ht="13.5" r="47" spans="1:32" thickBot="1" x14ac:dyDescent="0.25">
      <c r="A47" s="10" t="s">
        <v>221</v>
      </c>
      <c r="B47" s="11">
        <f>SUM(B39:B46)</f>
        <v>535335.74423944671</v>
      </c>
      <c r="C47" s="11">
        <f>SUM(C39:C46)</f>
        <v>3862996.5829660622</v>
      </c>
      <c r="D47" s="11">
        <f>SUM(D39:D46)</f>
        <v>2672654.3767648488</v>
      </c>
      <c r="E47" s="11">
        <f>SUM(E39:E46)</f>
        <v>8310328.7304958198</v>
      </c>
      <c r="F47" s="11"/>
      <c r="G47" s="11">
        <f si="48" t="shared"/>
        <v>15381315.434466178</v>
      </c>
      <c r="H47" s="33"/>
      <c r="I47"/>
      <c r="M47" s="10" t="s">
        <v>221</v>
      </c>
      <c r="N47" s="11">
        <f>SUM(N39:N46)</f>
        <v>961881.59334393032</v>
      </c>
      <c r="O47" s="11">
        <f>SUM(O39:O46)</f>
        <v>3746761.1530150454</v>
      </c>
      <c r="P47" s="11">
        <f>SUM(P39:P46)</f>
        <v>2837845.4885549983</v>
      </c>
      <c r="Q47" s="11">
        <f>SUM(Q39:Q46)</f>
        <v>8951887.7205569092</v>
      </c>
      <c r="R47" s="11"/>
      <c r="S47" s="11">
        <f si="49" t="shared"/>
        <v>16498375.955470882</v>
      </c>
      <c r="T47" s="33"/>
      <c r="Y47" s="10" t="s">
        <v>221</v>
      </c>
      <c r="Z47" s="11">
        <f si="42" t="shared"/>
        <v>426545.84910448361</v>
      </c>
      <c r="AA47" s="11">
        <f si="43" t="shared"/>
        <v>-116235.42995101679</v>
      </c>
      <c r="AB47" s="11">
        <f si="44" t="shared"/>
        <v>165191.11179014947</v>
      </c>
      <c r="AC47" s="11">
        <f si="45" t="shared"/>
        <v>641558.9900610894</v>
      </c>
      <c r="AD47" s="11">
        <f si="46" t="shared"/>
        <v>0</v>
      </c>
      <c r="AE47" s="11">
        <f si="47" t="shared"/>
        <v>1117060.5210047048</v>
      </c>
      <c r="AF47" s="33"/>
    </row>
    <row r="48" spans="1:32" x14ac:dyDescent="0.2">
      <c r="I48"/>
    </row>
    <row r="49" spans="1:32" x14ac:dyDescent="0.2">
      <c r="A49" s="25" t="s">
        <v>88</v>
      </c>
      <c r="B49" s="53">
        <f>ToursByTourPurpose!B50</f>
        <v>119572.32399999999</v>
      </c>
      <c r="C49" s="53">
        <f>ToursByTourPurpose!C50</f>
        <v>834810.03260000004</v>
      </c>
      <c r="D49" s="53">
        <f>ToursByTourPurpose!D50</f>
        <v>590147.33030000003</v>
      </c>
      <c r="E49" s="53">
        <f>ToursByTourPurpose!E50</f>
        <v>1852875.3618999999</v>
      </c>
      <c r="F49" s="7"/>
      <c r="G49" s="53">
        <f>ToursByTourPurpose!G50</f>
        <v>3397405.0488</v>
      </c>
      <c r="H49" s="53"/>
      <c r="I49"/>
      <c r="M49" s="25" t="s">
        <v>88</v>
      </c>
      <c r="N49" s="53">
        <f>ToursByTourPurpose!N50</f>
        <v>229472.39050954158</v>
      </c>
      <c r="O49" s="53">
        <f>ToursByTourPurpose!O50</f>
        <v>870027.32078039099</v>
      </c>
      <c r="P49" s="53">
        <f>ToursByTourPurpose!P50</f>
        <v>650117.12699459423</v>
      </c>
      <c r="Q49" s="53">
        <f>ToursByTourPurpose!Q50</f>
        <v>1992857.9801793641</v>
      </c>
      <c r="R49" s="53" t="e">
        <f>ToursByTourPurpose!#REF!</f>
        <v>#REF!</v>
      </c>
      <c r="S49" s="53">
        <f>ToursByTourPurpose!S50</f>
        <v>3742474.8184638908</v>
      </c>
      <c r="T49" s="53"/>
      <c r="Y49" s="3" t="s">
        <v>88</v>
      </c>
      <c r="Z49" s="7">
        <f ref="Z49:AC50" si="50" t="shared">N49-B49</f>
        <v>109900.06650954159</v>
      </c>
      <c r="AA49" s="7">
        <f si="50" t="shared"/>
        <v>35217.288180390955</v>
      </c>
      <c r="AB49" s="7">
        <f si="50" t="shared"/>
        <v>59969.796694594203</v>
      </c>
      <c r="AC49" s="7">
        <f si="50" t="shared"/>
        <v>139982.61827936419</v>
      </c>
      <c r="AD49" s="7"/>
      <c r="AE49" s="7">
        <f>S49-G49</f>
        <v>345069.76966389082</v>
      </c>
      <c r="AF49" s="7"/>
    </row>
    <row r="50" spans="1:32" x14ac:dyDescent="0.2">
      <c r="A50" s="25" t="s">
        <v>91</v>
      </c>
      <c r="B50" s="38">
        <f ref="B50:G50" si="51" t="shared">B47/B49</f>
        <v>4.4770873922250329</v>
      </c>
      <c r="C50" s="38">
        <f si="51" t="shared"/>
        <v>4.6273959728716152</v>
      </c>
      <c r="D50" s="38">
        <f si="51" t="shared"/>
        <v>4.5287917771418389</v>
      </c>
      <c r="E50" s="38">
        <f si="51" t="shared"/>
        <v>4.485098620974771</v>
      </c>
      <c r="F50" s="38" t="e">
        <f si="51" t="shared"/>
        <v>#DIV/0!</v>
      </c>
      <c r="G50" s="38">
        <f si="51" t="shared"/>
        <v>4.5273716891363964</v>
      </c>
      <c r="H50" s="38"/>
      <c r="I50"/>
      <c r="M50" s="25" t="s">
        <v>91</v>
      </c>
      <c r="N50" s="38">
        <f ref="N50:S50" si="52" t="shared">N47/N49</f>
        <v>4.191709474103094</v>
      </c>
      <c r="O50" s="38">
        <f si="52" t="shared"/>
        <v>4.3064867775121156</v>
      </c>
      <c r="P50" s="38">
        <f si="52" t="shared"/>
        <v>4.3651295600747879</v>
      </c>
      <c r="Q50" s="38">
        <f si="52" t="shared"/>
        <v>4.4919847824535939</v>
      </c>
      <c r="R50" s="38" t="e">
        <f si="52" t="shared"/>
        <v>#REF!</v>
      </c>
      <c r="S50" s="38">
        <f si="52" t="shared"/>
        <v>4.4084133509928831</v>
      </c>
      <c r="T50" s="38"/>
      <c r="Y50" s="3" t="s">
        <v>91</v>
      </c>
      <c r="Z50" s="38">
        <f si="50" t="shared"/>
        <v>-0.28537791812193891</v>
      </c>
      <c r="AA50" s="38">
        <f si="50" t="shared"/>
        <v>-0.32090919535949958</v>
      </c>
      <c r="AB50" s="38">
        <f si="50" t="shared"/>
        <v>-0.16366221706705097</v>
      </c>
      <c r="AC50" s="38">
        <f si="50" t="shared"/>
        <v>6.8861614788229275E-3</v>
      </c>
      <c r="AD50" s="38"/>
      <c r="AE50" s="38">
        <f>S50-G50</f>
        <v>-0.11895833814351331</v>
      </c>
      <c r="AF50" s="38"/>
    </row>
    <row r="51" spans="1:32" x14ac:dyDescent="0.2">
      <c r="I51"/>
    </row>
    <row r="52" spans="1:32" x14ac:dyDescent="0.2">
      <c r="A52" s="2" t="s">
        <v>175</v>
      </c>
      <c r="I52"/>
      <c r="M52" s="2" t="s">
        <v>175</v>
      </c>
      <c r="Y52" s="2" t="s">
        <v>175</v>
      </c>
    </row>
    <row r="53" spans="1:32" x14ac:dyDescent="0.2">
      <c r="A53" s="2" t="s">
        <v>277</v>
      </c>
      <c r="I53"/>
      <c r="M53" s="2" t="s">
        <v>135</v>
      </c>
      <c r="Y53" s="279" t="s">
        <v>108</v>
      </c>
      <c r="Z53" s="279"/>
      <c r="AA53" s="279"/>
    </row>
    <row ht="13.5" r="54" spans="1:32" thickBot="1" x14ac:dyDescent="0.25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x14ac:dyDescent="0.2">
      <c r="A55" s="5" t="s">
        <v>144</v>
      </c>
      <c r="B55" s="32" t="s">
        <v>296</v>
      </c>
      <c r="C55" s="32" t="s">
        <v>297</v>
      </c>
      <c r="D55" s="32" t="s">
        <v>298</v>
      </c>
      <c r="E55" s="32" t="s">
        <v>301</v>
      </c>
      <c r="F55" s="32" t="s">
        <v>172</v>
      </c>
      <c r="G55" s="32" t="s">
        <v>221</v>
      </c>
      <c r="H55" s="89"/>
      <c r="I55"/>
      <c r="M55" s="5" t="s">
        <v>144</v>
      </c>
      <c r="N55" s="32" t="s">
        <v>296</v>
      </c>
      <c r="O55" s="32" t="s">
        <v>297</v>
      </c>
      <c r="P55" s="32" t="s">
        <v>298</v>
      </c>
      <c r="Q55" s="32" t="s">
        <v>301</v>
      </c>
      <c r="R55" s="32" t="s">
        <v>172</v>
      </c>
      <c r="S55" s="32" t="s">
        <v>221</v>
      </c>
      <c r="T55" s="89"/>
      <c r="Y55" s="5" t="s">
        <v>144</v>
      </c>
      <c r="Z55" s="32" t="s">
        <v>296</v>
      </c>
      <c r="AA55" s="32" t="s">
        <v>297</v>
      </c>
      <c r="AB55" s="32" t="s">
        <v>298</v>
      </c>
      <c r="AC55" s="32" t="s">
        <v>301</v>
      </c>
      <c r="AD55" s="32" t="s">
        <v>172</v>
      </c>
      <c r="AE55" s="32" t="s">
        <v>221</v>
      </c>
      <c r="AF55" s="89"/>
    </row>
    <row r="56" spans="1:32" x14ac:dyDescent="0.2">
      <c r="A56" s="3" t="s">
        <v>210</v>
      </c>
      <c r="B56" s="12">
        <f ref="B56:G56" si="53" t="shared">B39/B$47</f>
        <v>5.3234145498513095E-2</v>
      </c>
      <c r="C56" s="12">
        <f si="53" t="shared"/>
        <v>0.12861114432084433</v>
      </c>
      <c r="D56" s="12">
        <f si="53" t="shared"/>
        <v>0.13845893861232694</v>
      </c>
      <c r="E56" s="12">
        <f si="53" t="shared"/>
        <v>0.15085242412565328</v>
      </c>
      <c r="F56" s="12" t="e">
        <f si="53" t="shared"/>
        <v>#DIV/0!</v>
      </c>
      <c r="G56" s="12">
        <f si="53" t="shared"/>
        <v>0.13971553237166714</v>
      </c>
      <c r="H56" s="12"/>
      <c r="I56"/>
      <c r="M56" s="3" t="s">
        <v>210</v>
      </c>
      <c r="N56" s="12">
        <f ref="N56:Q64" si="54" t="shared">N39/N$47</f>
        <v>5.2563714662384381E-2</v>
      </c>
      <c r="O56" s="12">
        <f si="54" t="shared"/>
        <v>0.11030417652057246</v>
      </c>
      <c r="P56" s="12">
        <f si="54" t="shared"/>
        <v>0.13791694241916752</v>
      </c>
      <c r="Q56" s="12">
        <f si="54" t="shared"/>
        <v>0.15714866029452942</v>
      </c>
      <c r="R56" s="12" t="e">
        <f ref="R56:S64" si="55" t="shared">R39/R$47</f>
        <v>#DIV/0!</v>
      </c>
      <c r="S56" s="12">
        <f si="55" t="shared"/>
        <v>0.13710486502134422</v>
      </c>
      <c r="T56" s="12"/>
      <c r="Y56" s="3" t="s">
        <v>210</v>
      </c>
      <c r="Z56" s="12">
        <f ref="Z56:Z64" si="56" t="shared">N56-B56</f>
        <v>-6.7043083612871451E-4</v>
      </c>
      <c r="AA56" s="12">
        <f ref="AA56:AA64" si="57" t="shared">O56-C56</f>
        <v>-1.830696780027187E-2</v>
      </c>
      <c r="AB56" s="12">
        <f ref="AB56:AB64" si="58" t="shared">P56-D56</f>
        <v>-5.4199619315942194E-4</v>
      </c>
      <c r="AC56" s="12">
        <f ref="AC56:AC64" si="59" t="shared">Q56-E56</f>
        <v>6.2962361688761459E-3</v>
      </c>
      <c r="AD56" s="12"/>
      <c r="AE56" s="12">
        <f ref="AE56:AE64" si="60" t="shared">S56-G56</f>
        <v>-2.6106673503229205E-3</v>
      </c>
      <c r="AF56" s="12"/>
    </row>
    <row r="57" spans="1:32" x14ac:dyDescent="0.2">
      <c r="A57" s="3" t="s">
        <v>211</v>
      </c>
      <c r="B57" s="12">
        <f ref="B57:G57" si="61" t="shared">B40/B$47</f>
        <v>6.7436254608593094E-2</v>
      </c>
      <c r="C57" s="12">
        <f si="61" t="shared"/>
        <v>3.6030042732000542E-2</v>
      </c>
      <c r="D57" s="12">
        <f si="61" t="shared"/>
        <v>4.0361712455763116E-2</v>
      </c>
      <c r="E57" s="12">
        <f si="61" t="shared"/>
        <v>6.0334292438967235E-2</v>
      </c>
      <c r="F57" s="12" t="e">
        <f si="61" t="shared"/>
        <v>#DIV/0!</v>
      </c>
      <c r="G57" s="12">
        <f si="61" t="shared"/>
        <v>5.100706010408828E-2</v>
      </c>
      <c r="H57" s="12"/>
      <c r="I57"/>
      <c r="M57" s="3" t="s">
        <v>211</v>
      </c>
      <c r="N57" s="12">
        <f si="54" t="shared"/>
        <v>7.0892431229770195E-2</v>
      </c>
      <c r="O57" s="12">
        <f si="54" t="shared"/>
        <v>4.9323215955303722E-2</v>
      </c>
      <c r="P57" s="12">
        <f si="54" t="shared"/>
        <v>4.5065814573562082E-2</v>
      </c>
      <c r="Q57" s="12">
        <f si="54" t="shared"/>
        <v>4.9647123565664454E-2</v>
      </c>
      <c r="R57" s="12" t="e">
        <f si="55" t="shared"/>
        <v>#DIV/0!</v>
      </c>
      <c r="S57" s="12">
        <f si="55" t="shared"/>
        <v>5.0024180004264382E-2</v>
      </c>
      <c r="T57" s="12"/>
      <c r="Y57" s="3" t="s">
        <v>211</v>
      </c>
      <c r="Z57" s="12">
        <f si="56" t="shared"/>
        <v>3.4561766211771011E-3</v>
      </c>
      <c r="AA57" s="12">
        <f si="57" t="shared"/>
        <v>1.329317322330318E-2</v>
      </c>
      <c r="AB57" s="12">
        <f si="58" t="shared"/>
        <v>4.7041021177989667E-3</v>
      </c>
      <c r="AC57" s="12">
        <f si="59" t="shared"/>
        <v>-1.0687168873302781E-2</v>
      </c>
      <c r="AD57" s="12"/>
      <c r="AE57" s="12">
        <f si="60" t="shared"/>
        <v>-9.8288009982389762E-4</v>
      </c>
      <c r="AF57" s="12"/>
    </row>
    <row r="58" spans="1:32" x14ac:dyDescent="0.2">
      <c r="A58" s="3" t="s">
        <v>212</v>
      </c>
      <c r="B58" s="12">
        <f ref="B58:G58" si="62" t="shared">B41/B$47</f>
        <v>4.6184552777996941E-2</v>
      </c>
      <c r="C58" s="12">
        <f si="62" t="shared"/>
        <v>5.4479640090811188E-2</v>
      </c>
      <c r="D58" s="12">
        <f si="62" t="shared"/>
        <v>6.6008711112709145E-2</v>
      </c>
      <c r="E58" s="12">
        <f si="62" t="shared"/>
        <v>9.0151275195124905E-2</v>
      </c>
      <c r="F58" s="12" t="e">
        <f si="62" t="shared"/>
        <v>#DIV/0!</v>
      </c>
      <c r="G58" s="12">
        <f si="62" t="shared"/>
        <v>7.5467154509399462E-2</v>
      </c>
      <c r="H58" s="12"/>
      <c r="I58"/>
      <c r="M58" s="3" t="s">
        <v>212</v>
      </c>
      <c r="N58" s="12">
        <f si="54" t="shared"/>
        <v>5.6796784726676652E-2</v>
      </c>
      <c r="O58" s="12">
        <f si="54" t="shared"/>
        <v>6.0993665900811109E-2</v>
      </c>
      <c r="P58" s="12">
        <f si="54" t="shared"/>
        <v>7.5767741457214502E-2</v>
      </c>
      <c r="Q58" s="12">
        <f si="54" t="shared"/>
        <v>8.2172061513976977E-2</v>
      </c>
      <c r="R58" s="12" t="e">
        <f si="55" t="shared"/>
        <v>#DIV/0!</v>
      </c>
      <c r="S58" s="12">
        <f si="55" t="shared"/>
        <v>7.4781463024540917E-2</v>
      </c>
      <c r="T58" s="12"/>
      <c r="Y58" s="3" t="s">
        <v>212</v>
      </c>
      <c r="Z58" s="12">
        <f si="56" t="shared"/>
        <v>1.0612231948679711E-2</v>
      </c>
      <c r="AA58" s="12">
        <f si="57" t="shared"/>
        <v>6.514025809999921E-3</v>
      </c>
      <c r="AB58" s="12">
        <f si="58" t="shared"/>
        <v>9.7590303445053567E-3</v>
      </c>
      <c r="AC58" s="12">
        <f si="59" t="shared"/>
        <v>-7.9792136811479286E-3</v>
      </c>
      <c r="AD58" s="12"/>
      <c r="AE58" s="12">
        <f si="60" t="shared"/>
        <v>-6.8569148485854436E-4</v>
      </c>
      <c r="AF58" s="12"/>
    </row>
    <row r="59" spans="1:32" x14ac:dyDescent="0.2">
      <c r="A59" s="3" t="s">
        <v>213</v>
      </c>
      <c r="B59" s="12">
        <f ref="B59:G59" si="63" t="shared">B42/B$47</f>
        <v>0.15308095970336752</v>
      </c>
      <c r="C59" s="12">
        <f si="63" t="shared"/>
        <v>0.14450989545658705</v>
      </c>
      <c r="D59" s="12">
        <f si="63" t="shared"/>
        <v>0.10610733223950894</v>
      </c>
      <c r="E59" s="12">
        <f si="63" t="shared"/>
        <v>8.7248064068289333E-2</v>
      </c>
      <c r="F59" s="12" t="e">
        <f si="63" t="shared"/>
        <v>#DIV/0!</v>
      </c>
      <c r="G59" s="12">
        <f si="63" t="shared"/>
        <v>0.10719754550863643</v>
      </c>
      <c r="H59" s="12"/>
      <c r="I59"/>
      <c r="M59" s="3" t="s">
        <v>213</v>
      </c>
      <c r="N59" s="12">
        <f si="54" t="shared"/>
        <v>0.15342709223077944</v>
      </c>
      <c r="O59" s="12">
        <f si="54" t="shared"/>
        <v>0.13323683258299635</v>
      </c>
      <c r="P59" s="12">
        <f si="54" t="shared"/>
        <v>0.11022809812663516</v>
      </c>
      <c r="Q59" s="12">
        <f si="54" t="shared"/>
        <v>9.6775030076649907E-2</v>
      </c>
      <c r="R59" s="12" t="e">
        <f si="55" t="shared"/>
        <v>#DIV/0!</v>
      </c>
      <c r="S59" s="12">
        <f si="55" t="shared"/>
        <v>0.11067239610239876</v>
      </c>
      <c r="T59" s="12"/>
      <c r="Y59" s="3" t="s">
        <v>213</v>
      </c>
      <c r="Z59" s="12">
        <f si="56" t="shared"/>
        <v>3.4613252741191869E-4</v>
      </c>
      <c r="AA59" s="12">
        <f si="57" t="shared"/>
        <v>-1.12730628735907E-2</v>
      </c>
      <c r="AB59" s="12">
        <f si="58" t="shared"/>
        <v>4.1207658871262182E-3</v>
      </c>
      <c r="AC59" s="12">
        <f si="59" t="shared"/>
        <v>9.5269660083605739E-3</v>
      </c>
      <c r="AD59" s="12"/>
      <c r="AE59" s="12">
        <f si="60" t="shared"/>
        <v>3.4748505937623325E-3</v>
      </c>
      <c r="AF59" s="12"/>
    </row>
    <row r="60" spans="1:32" x14ac:dyDescent="0.2">
      <c r="A60" s="3" t="s">
        <v>214</v>
      </c>
      <c r="B60" s="12">
        <f ref="B60:G60" si="64" t="shared">B43/B$47</f>
        <v>0.17934320719653377</v>
      </c>
      <c r="C60" s="12">
        <f si="64" t="shared"/>
        <v>0.16096232277277547</v>
      </c>
      <c r="D60" s="12">
        <f si="64" t="shared"/>
        <v>0.1164292092194711</v>
      </c>
      <c r="E60" s="12">
        <f si="64" t="shared"/>
        <v>9.9979266161084795E-2</v>
      </c>
      <c r="F60" s="12" t="e">
        <f si="64" t="shared"/>
        <v>#DIV/0!</v>
      </c>
      <c r="G60" s="12">
        <f si="64" t="shared"/>
        <v>0.12091562283580114</v>
      </c>
      <c r="H60" s="12"/>
      <c r="I60"/>
      <c r="M60" s="3" t="s">
        <v>214</v>
      </c>
      <c r="N60" s="12">
        <f si="54" t="shared"/>
        <v>0.15994871964622762</v>
      </c>
      <c r="O60" s="12">
        <f si="54" t="shared"/>
        <v>0.13624624599795232</v>
      </c>
      <c r="P60" s="12">
        <f si="54" t="shared"/>
        <v>0.12358443409426638</v>
      </c>
      <c r="Q60" s="12">
        <f si="54" t="shared"/>
        <v>0.1124937868114041</v>
      </c>
      <c r="R60" s="12" t="e">
        <f si="55" t="shared"/>
        <v>#DIV/0!</v>
      </c>
      <c r="S60" s="12">
        <f si="55" t="shared"/>
        <v>0.12256231486417073</v>
      </c>
      <c r="T60" s="12"/>
      <c r="Y60" s="3" t="s">
        <v>214</v>
      </c>
      <c r="Z60" s="12">
        <f si="56" t="shared"/>
        <v>-1.939448755030615E-2</v>
      </c>
      <c r="AA60" s="12">
        <f si="57" t="shared"/>
        <v>-2.4716076774823154E-2</v>
      </c>
      <c r="AB60" s="12">
        <f si="58" t="shared"/>
        <v>7.1552248747952796E-3</v>
      </c>
      <c r="AC60" s="12">
        <f si="59" t="shared"/>
        <v>1.25145206503193E-2</v>
      </c>
      <c r="AD60" s="12"/>
      <c r="AE60" s="12">
        <f si="60" t="shared"/>
        <v>1.6466920283695896E-3</v>
      </c>
      <c r="AF60" s="12"/>
    </row>
    <row r="61" spans="1:32" x14ac:dyDescent="0.2">
      <c r="A61" s="3" t="s">
        <v>129</v>
      </c>
      <c r="B61" s="12">
        <f ref="B61:G61" si="65" t="shared">B44/B$47</f>
        <v>6.336557854601807E-2</v>
      </c>
      <c r="C61" s="12">
        <f si="65" t="shared"/>
        <v>5.1473370040602519E-2</v>
      </c>
      <c r="D61" s="12">
        <f si="65" t="shared"/>
        <v>5.3239107159104557E-2</v>
      </c>
      <c r="E61" s="12">
        <f si="65" t="shared"/>
        <v>4.7229782163097214E-2</v>
      </c>
      <c r="F61" s="12" t="e">
        <f si="65" t="shared"/>
        <v>#DIV/0!</v>
      </c>
      <c r="G61" s="12">
        <f si="65" t="shared"/>
        <v>4.9901327582143086E-2</v>
      </c>
      <c r="H61" s="12"/>
      <c r="I61"/>
      <c r="M61" s="3" t="s">
        <v>129</v>
      </c>
      <c r="N61" s="12">
        <f si="54" t="shared"/>
        <v>4.2901723423608387E-2</v>
      </c>
      <c r="O61" s="12">
        <f si="54" t="shared"/>
        <v>4.9249237821333995E-2</v>
      </c>
      <c r="P61" s="12">
        <f si="54" t="shared"/>
        <v>5.0626283581958441E-2</v>
      </c>
      <c r="Q61" s="12">
        <f si="54" t="shared"/>
        <v>5.1669438436724099E-2</v>
      </c>
      <c r="R61" s="12" t="e">
        <f si="55" t="shared"/>
        <v>#DIV/0!</v>
      </c>
      <c r="S61" s="12">
        <f si="55" t="shared"/>
        <v>5.0429211538710911E-2</v>
      </c>
      <c r="T61" s="12"/>
      <c r="Y61" s="3" t="s">
        <v>129</v>
      </c>
      <c r="Z61" s="12">
        <f si="56" t="shared"/>
        <v>-2.0463855122409683E-2</v>
      </c>
      <c r="AA61" s="12">
        <f si="57" t="shared"/>
        <v>-2.2241322192685237E-3</v>
      </c>
      <c r="AB61" s="12">
        <f si="58" t="shared"/>
        <v>-2.6128235771461158E-3</v>
      </c>
      <c r="AC61" s="12">
        <f si="59" t="shared"/>
        <v>4.4396562736268852E-3</v>
      </c>
      <c r="AD61" s="12"/>
      <c r="AE61" s="12">
        <f si="60" t="shared"/>
        <v>5.2788395656782477E-4</v>
      </c>
      <c r="AF61" s="12"/>
    </row>
    <row r="62" spans="1:32" x14ac:dyDescent="0.2">
      <c r="A62" s="3" t="s">
        <v>130</v>
      </c>
      <c r="B62" s="12">
        <f ref="B62:G62" si="66" t="shared">B45/B$47</f>
        <v>8.9407605547965133E-2</v>
      </c>
      <c r="C62" s="12">
        <f si="66" t="shared"/>
        <v>8.7481644956106011E-2</v>
      </c>
      <c r="D62" s="12">
        <f si="66" t="shared"/>
        <v>0.11833848785356682</v>
      </c>
      <c r="E62" s="12">
        <f si="66" t="shared"/>
        <v>0.10480984336125498</v>
      </c>
      <c r="F62" s="12" t="e">
        <f si="66" t="shared"/>
        <v>#DIV/0!</v>
      </c>
      <c r="G62" s="12">
        <f si="66" t="shared"/>
        <v>0.10227256045310686</v>
      </c>
      <c r="H62" s="12"/>
      <c r="I62"/>
      <c r="M62" s="3" t="s">
        <v>130</v>
      </c>
      <c r="N62" s="12">
        <f si="54" t="shared"/>
        <v>9.2596522720212043E-2</v>
      </c>
      <c r="O62" s="12">
        <f si="54" t="shared"/>
        <v>0.10200962728344203</v>
      </c>
      <c r="P62" s="12">
        <f si="54" t="shared"/>
        <v>0.10411328598405854</v>
      </c>
      <c r="Q62" s="12">
        <f si="54" t="shared"/>
        <v>0.10500804550191328</v>
      </c>
      <c r="R62" s="12" t="e">
        <f si="55" t="shared"/>
        <v>#DIV/0!</v>
      </c>
      <c r="S62" s="12">
        <f si="55" t="shared"/>
        <v>0.10344959141279383</v>
      </c>
      <c r="T62" s="12"/>
      <c r="Y62" s="3" t="s">
        <v>130</v>
      </c>
      <c r="Z62" s="12">
        <f si="56" t="shared"/>
        <v>3.1889171722469106E-3</v>
      </c>
      <c r="AA62" s="12">
        <f si="57" t="shared"/>
        <v>1.4527982327336014E-2</v>
      </c>
      <c r="AB62" s="12">
        <f si="58" t="shared"/>
        <v>-1.4225201869508278E-2</v>
      </c>
      <c r="AC62" s="12">
        <f si="59" t="shared"/>
        <v>1.98202140658299E-4</v>
      </c>
      <c r="AD62" s="12"/>
      <c r="AE62" s="12">
        <f si="60" t="shared"/>
        <v>1.1770309596869782E-3</v>
      </c>
      <c r="AF62" s="12"/>
    </row>
    <row r="63" spans="1:32" x14ac:dyDescent="0.2">
      <c r="A63" s="8" t="s">
        <v>145</v>
      </c>
      <c r="B63" s="13">
        <f ref="B63:G63" si="67" t="shared">B46/B$47</f>
        <v>0.34794769612101251</v>
      </c>
      <c r="C63" s="13">
        <f si="67" t="shared"/>
        <v>0.33645193963027292</v>
      </c>
      <c r="D63" s="13">
        <f si="67" t="shared"/>
        <v>0.36105650134754952</v>
      </c>
      <c r="E63" s="13">
        <f si="67" t="shared"/>
        <v>0.35939505248652825</v>
      </c>
      <c r="F63" s="13" t="e">
        <f si="67" t="shared"/>
        <v>#DIV/0!</v>
      </c>
      <c r="G63" s="13">
        <f si="67" t="shared"/>
        <v>0.35352319663515769</v>
      </c>
      <c r="H63" s="34"/>
      <c r="I63"/>
      <c r="M63" s="8" t="s">
        <v>145</v>
      </c>
      <c r="N63" s="13">
        <f si="54" t="shared"/>
        <v>0.37087301136034134</v>
      </c>
      <c r="O63" s="13">
        <f si="54" t="shared"/>
        <v>0.35863699793758802</v>
      </c>
      <c r="P63" s="13">
        <f si="54" t="shared"/>
        <v>0.35269739976313719</v>
      </c>
      <c r="Q63" s="13">
        <f si="54" t="shared"/>
        <v>0.3450858537991377</v>
      </c>
      <c r="R63" s="13" t="e">
        <f si="55" t="shared"/>
        <v>#DIV/0!</v>
      </c>
      <c r="S63" s="13">
        <f si="55" t="shared"/>
        <v>0.35097597803177621</v>
      </c>
      <c r="T63" s="34"/>
      <c r="Y63" s="8" t="s">
        <v>145</v>
      </c>
      <c r="Z63" s="12">
        <f si="56" t="shared"/>
        <v>2.2925315239328836E-2</v>
      </c>
      <c r="AA63" s="12">
        <f si="57" t="shared"/>
        <v>2.2185058307315098E-2</v>
      </c>
      <c r="AB63" s="12">
        <f si="58" t="shared"/>
        <v>-8.3591015844123318E-3</v>
      </c>
      <c r="AC63" s="12">
        <f si="59" t="shared"/>
        <v>-1.4309198687390556E-2</v>
      </c>
      <c r="AD63" s="12"/>
      <c r="AE63" s="12">
        <f si="60" t="shared"/>
        <v>-2.5472186033814737E-3</v>
      </c>
      <c r="AF63" s="12"/>
    </row>
    <row ht="13.5" r="64" spans="1:32" thickBot="1" x14ac:dyDescent="0.25">
      <c r="A64" s="10" t="s">
        <v>221</v>
      </c>
      <c r="B64" s="17">
        <f ref="B64:G64" si="68" t="shared">B47/B$47</f>
        <v>1</v>
      </c>
      <c r="C64" s="17">
        <f si="68" t="shared"/>
        <v>1</v>
      </c>
      <c r="D64" s="17">
        <f si="68" t="shared"/>
        <v>1</v>
      </c>
      <c r="E64" s="17">
        <f si="68" t="shared"/>
        <v>1</v>
      </c>
      <c r="F64" s="17" t="e">
        <f si="68" t="shared"/>
        <v>#DIV/0!</v>
      </c>
      <c r="G64" s="17">
        <f si="68" t="shared"/>
        <v>1</v>
      </c>
      <c r="H64" s="34"/>
      <c r="I64"/>
      <c r="M64" s="10" t="s">
        <v>221</v>
      </c>
      <c r="N64" s="17">
        <f si="54" t="shared"/>
        <v>1</v>
      </c>
      <c r="O64" s="17">
        <f si="54" t="shared"/>
        <v>1</v>
      </c>
      <c r="P64" s="17">
        <f si="54" t="shared"/>
        <v>1</v>
      </c>
      <c r="Q64" s="17">
        <f si="54" t="shared"/>
        <v>1</v>
      </c>
      <c r="R64" s="17" t="e">
        <f si="55" t="shared"/>
        <v>#DIV/0!</v>
      </c>
      <c r="S64" s="17">
        <f si="55" t="shared"/>
        <v>1</v>
      </c>
      <c r="T64" s="34"/>
      <c r="Y64" s="10" t="s">
        <v>221</v>
      </c>
      <c r="Z64" s="14">
        <f si="56" t="shared"/>
        <v>0</v>
      </c>
      <c r="AA64" s="14">
        <f si="57" t="shared"/>
        <v>0</v>
      </c>
      <c r="AB64" s="14">
        <f si="58" t="shared"/>
        <v>0</v>
      </c>
      <c r="AC64" s="14">
        <f si="59" t="shared"/>
        <v>0</v>
      </c>
      <c r="AD64" s="14"/>
      <c r="AE64" s="14">
        <f si="60" t="shared"/>
        <v>0</v>
      </c>
      <c r="AF64" s="34"/>
    </row>
    <row r="65" spans="1:41" x14ac:dyDescent="0.2">
      <c r="I65"/>
    </row>
    <row r="66" spans="1:41" x14ac:dyDescent="0.2">
      <c r="I66"/>
    </row>
    <row r="67" spans="1:41" x14ac:dyDescent="0.2">
      <c r="I67"/>
    </row>
    <row r="68" spans="1:41" x14ac:dyDescent="0.2">
      <c r="I68"/>
      <c r="AG68"/>
      <c r="AH68"/>
      <c r="AI68"/>
      <c r="AJ68"/>
      <c r="AK68"/>
      <c r="AL68"/>
      <c r="AM68"/>
      <c r="AN68"/>
      <c r="AO68"/>
    </row>
    <row r="69" spans="1:41" x14ac:dyDescent="0.2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x14ac:dyDescent="0.2">
      <c r="A70" s="2" t="s">
        <v>193</v>
      </c>
      <c r="I70"/>
      <c r="M70" s="2" t="s">
        <v>136</v>
      </c>
      <c r="Y70" s="279" t="s">
        <v>251</v>
      </c>
      <c r="Z70" s="279"/>
      <c r="AA70" s="279"/>
      <c r="AB70" s="279"/>
      <c r="AG70"/>
      <c r="AH70"/>
      <c r="AI70"/>
      <c r="AJ70"/>
      <c r="AK70"/>
      <c r="AL70"/>
      <c r="AM70"/>
      <c r="AN70"/>
      <c r="AO70"/>
    </row>
    <row ht="13.5" r="71" spans="1:41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x14ac:dyDescent="0.2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221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221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221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210</v>
      </c>
      <c r="B73" s="7">
        <f>output_NHTS!B284</f>
        <v>80264.433645508107</v>
      </c>
      <c r="C73" s="7">
        <f>output_NHTS!C284</f>
        <v>501596.21011665161</v>
      </c>
      <c r="D73" s="7">
        <f>output_NHTS!D284</f>
        <v>1248260.4089752845</v>
      </c>
      <c r="E73" s="7">
        <f>output_NHTS!E284</f>
        <v>468130.35120983562</v>
      </c>
      <c r="F73" s="7">
        <f>output_NHTS!F284</f>
        <v>2298251.4039472798</v>
      </c>
      <c r="M73" s="3" t="s">
        <v>210</v>
      </c>
      <c r="N73" s="7">
        <f>output!B284</f>
        <v>68232.968725979896</v>
      </c>
      <c r="O73" s="7">
        <f>output!C284</f>
        <v>559154.17568454181</v>
      </c>
      <c r="P73" s="7">
        <f>output!D284</f>
        <v>1260760.866877795</v>
      </c>
      <c r="Q73" s="7">
        <f>output!E284</f>
        <v>373859.59715791018</v>
      </c>
      <c r="R73" s="7">
        <f>output!F284</f>
        <v>2262007.6084462269</v>
      </c>
      <c r="Y73" s="3" t="s">
        <v>210</v>
      </c>
      <c r="Z73" s="7">
        <f ref="Z73:Z81" si="69" t="shared">N73-B73</f>
        <v>-12031.464919528211</v>
      </c>
      <c r="AA73" s="7">
        <f ref="AA73:AA81" si="70" t="shared">O73-C73</f>
        <v>57557.965567890205</v>
      </c>
      <c r="AB73" s="7">
        <f ref="AB73:AB81" si="71" t="shared">P73-D73</f>
        <v>12500.457902510418</v>
      </c>
      <c r="AC73" s="7">
        <f ref="AC73:AC81" si="72" t="shared">Q73-E73</f>
        <v>-94270.75405192544</v>
      </c>
      <c r="AD73" s="7">
        <f ref="AD73:AD81" si="73" t="shared">R73-F73</f>
        <v>-36243.795501052868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211</v>
      </c>
      <c r="B74" s="7">
        <f>output_NHTS!B285</f>
        <v>43818.857477205202</v>
      </c>
      <c r="C74" s="7">
        <f>output_NHTS!C285</f>
        <v>207413.5868679155</v>
      </c>
      <c r="D74" s="7">
        <f>output_NHTS!D285</f>
        <v>461098.36786125822</v>
      </c>
      <c r="E74" s="7">
        <f>output_NHTS!E285</f>
        <v>162661.537583561</v>
      </c>
      <c r="F74" s="7">
        <f>output_NHTS!F285</f>
        <v>874992.34978993994</v>
      </c>
      <c r="M74" s="3" t="s">
        <v>211</v>
      </c>
      <c r="N74" s="7">
        <f>output!B285</f>
        <v>35990.026045171857</v>
      </c>
      <c r="O74" s="7">
        <f>output!C285</f>
        <v>277884.2770700691</v>
      </c>
      <c r="P74" s="7">
        <f>output!D285</f>
        <v>405395.06497362989</v>
      </c>
      <c r="Q74" s="7">
        <f>output!E285</f>
        <v>106048.36048563183</v>
      </c>
      <c r="R74" s="7">
        <f>output!F285</f>
        <v>825317.72857450263</v>
      </c>
      <c r="Y74" s="3" t="s">
        <v>211</v>
      </c>
      <c r="Z74" s="7">
        <f si="69" t="shared"/>
        <v>-7828.8314320333448</v>
      </c>
      <c r="AA74" s="7">
        <f si="70" t="shared"/>
        <v>70470.690202153608</v>
      </c>
      <c r="AB74" s="7">
        <f si="71" t="shared"/>
        <v>-55703.302887628321</v>
      </c>
      <c r="AC74" s="7">
        <f si="72" t="shared"/>
        <v>-56613.177097929176</v>
      </c>
      <c r="AD74" s="7">
        <f si="73" t="shared"/>
        <v>-49674.621215437306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212</v>
      </c>
      <c r="B75" s="7">
        <f>output_NHTS!B286</f>
        <v>4474.8467739469997</v>
      </c>
      <c r="C75" s="7">
        <f>output_NHTS!C286</f>
        <v>297184.48398886871</v>
      </c>
      <c r="D75" s="7">
        <f>output_NHTS!D286</f>
        <v>756714.98131501593</v>
      </c>
      <c r="E75" s="7">
        <f>output_NHTS!E286</f>
        <v>187435.10119884211</v>
      </c>
      <c r="F75" s="7">
        <f>output_NHTS!F286</f>
        <v>1245809.4132766738</v>
      </c>
      <c r="M75" s="3" t="s">
        <v>212</v>
      </c>
      <c r="N75" s="7">
        <f>output!B286</f>
        <v>29823.071141350891</v>
      </c>
      <c r="O75" s="7">
        <f>output!C286</f>
        <v>359570.63092721096</v>
      </c>
      <c r="P75" s="7">
        <f>output!D286</f>
        <v>659657.7380958685</v>
      </c>
      <c r="Q75" s="7">
        <f>output!E286</f>
        <v>184721.25131459022</v>
      </c>
      <c r="R75" s="7">
        <f>output!F286</f>
        <v>1233772.6914790205</v>
      </c>
      <c r="Y75" s="3" t="s">
        <v>212</v>
      </c>
      <c r="Z75" s="7">
        <f si="69" t="shared"/>
        <v>25348.224367403891</v>
      </c>
      <c r="AA75" s="7">
        <f si="70" t="shared"/>
        <v>62386.146938342252</v>
      </c>
      <c r="AB75" s="7">
        <f si="71" t="shared"/>
        <v>-97057.243219147436</v>
      </c>
      <c r="AC75" s="7">
        <f si="72" t="shared"/>
        <v>-2713.8498842518893</v>
      </c>
      <c r="AD75" s="7">
        <f si="73" t="shared"/>
        <v>-12036.721797653241</v>
      </c>
      <c r="AG75"/>
      <c r="AH75"/>
      <c r="AI75"/>
      <c r="AJ75"/>
      <c r="AK75"/>
      <c r="AL75"/>
      <c r="AM75"/>
      <c r="AN75"/>
      <c r="AO75"/>
    </row>
    <row r="76" spans="1:41" x14ac:dyDescent="0.2">
      <c r="A76" s="3" t="s">
        <v>213</v>
      </c>
      <c r="B76" s="7">
        <f>output_NHTS!B287</f>
        <v>97623.201890102297</v>
      </c>
      <c r="C76" s="7">
        <f>output_NHTS!C287</f>
        <v>389660.59053870908</v>
      </c>
      <c r="D76" s="7">
        <f>output_NHTS!D287</f>
        <v>1010176.9386890318</v>
      </c>
      <c r="E76" s="7">
        <f>output_NHTS!E287</f>
        <v>348765.48335663462</v>
      </c>
      <c r="F76" s="7">
        <f>output_NHTS!F287</f>
        <v>1846226.2144744778</v>
      </c>
      <c r="M76" s="3" t="s">
        <v>213</v>
      </c>
      <c r="N76" s="7">
        <f>output!B287</f>
        <v>93940.544425671644</v>
      </c>
      <c r="O76" s="7">
        <f>output!C287</f>
        <v>456405.65631010069</v>
      </c>
      <c r="P76" s="7">
        <f>output!D287</f>
        <v>999123.95170507336</v>
      </c>
      <c r="Q76" s="7">
        <f>output!E287</f>
        <v>276444.64634931984</v>
      </c>
      <c r="R76" s="7">
        <f>output!F287</f>
        <v>1825914.7987901657</v>
      </c>
      <c r="Y76" s="3" t="s">
        <v>213</v>
      </c>
      <c r="Z76" s="7">
        <f si="69" t="shared"/>
        <v>-3682.6574644306529</v>
      </c>
      <c r="AA76" s="7">
        <f si="70" t="shared"/>
        <v>66745.065771391615</v>
      </c>
      <c r="AB76" s="7">
        <f si="71" t="shared"/>
        <v>-11052.986983958399</v>
      </c>
      <c r="AC76" s="7">
        <f si="72" t="shared"/>
        <v>-72320.837007314782</v>
      </c>
      <c r="AD76" s="7">
        <f si="73" t="shared"/>
        <v>-20311.415684312116</v>
      </c>
      <c r="AG76"/>
      <c r="AH76"/>
      <c r="AI76"/>
      <c r="AJ76"/>
      <c r="AK76"/>
      <c r="AL76"/>
      <c r="AM76"/>
      <c r="AN76"/>
      <c r="AO76"/>
    </row>
    <row r="77" spans="1:41" x14ac:dyDescent="0.2">
      <c r="A77" s="3" t="s">
        <v>214</v>
      </c>
      <c r="B77" s="7">
        <f>output_NHTS!B288</f>
        <v>139524.45564470999</v>
      </c>
      <c r="C77" s="7">
        <f>output_NHTS!C288</f>
        <v>449224.41085105308</v>
      </c>
      <c r="D77" s="7">
        <f>output_NHTS!D288</f>
        <v>1097551.4490860666</v>
      </c>
      <c r="E77" s="7">
        <f>output_NHTS!E288</f>
        <v>355844.0594764679</v>
      </c>
      <c r="F77" s="7">
        <f>output_NHTS!F288</f>
        <v>2042144.3750582975</v>
      </c>
      <c r="M77" s="3" t="s">
        <v>214</v>
      </c>
      <c r="N77" s="7">
        <f>output!B288</f>
        <v>112045.26893010817</v>
      </c>
      <c r="O77" s="7">
        <f>output!C288</f>
        <v>511008.54301900446</v>
      </c>
      <c r="P77" s="7">
        <f>output!D288</f>
        <v>1090383.4113396273</v>
      </c>
      <c r="Q77" s="7">
        <f>output!E288</f>
        <v>308641.92531314585</v>
      </c>
      <c r="R77" s="7">
        <f>output!F288</f>
        <v>2022079.1486018859</v>
      </c>
      <c r="Y77" s="3" t="s">
        <v>214</v>
      </c>
      <c r="Z77" s="7">
        <f si="69" t="shared"/>
        <v>-27479.186714601819</v>
      </c>
      <c r="AA77" s="7">
        <f si="70" t="shared"/>
        <v>61784.132167951379</v>
      </c>
      <c r="AB77" s="7">
        <f si="71" t="shared"/>
        <v>-7168.0377464392222</v>
      </c>
      <c r="AC77" s="7">
        <f si="72" t="shared"/>
        <v>-47202.134163322044</v>
      </c>
      <c r="AD77" s="7">
        <f si="73" t="shared"/>
        <v>-20065.226456411649</v>
      </c>
      <c r="AG77"/>
      <c r="AH77"/>
      <c r="AI77"/>
      <c r="AJ77"/>
      <c r="AK77"/>
      <c r="AL77"/>
      <c r="AM77"/>
      <c r="AN77"/>
      <c r="AO77"/>
    </row>
    <row r="78" spans="1:41" x14ac:dyDescent="0.2">
      <c r="A78" s="3" t="s">
        <v>129</v>
      </c>
      <c r="B78" s="7">
        <f>output_NHTS!B289</f>
        <v>63273.131287787197</v>
      </c>
      <c r="C78" s="7">
        <f>output_NHTS!C289</f>
        <v>208456.54522700951</v>
      </c>
      <c r="D78" s="7">
        <f>output_NHTS!D289</f>
        <v>425136.33803920599</v>
      </c>
      <c r="E78" s="7">
        <f>output_NHTS!E289</f>
        <v>131239.00047085641</v>
      </c>
      <c r="F78" s="7">
        <f>output_NHTS!F289</f>
        <v>828105.01502485911</v>
      </c>
      <c r="M78" s="3" t="s">
        <v>129</v>
      </c>
      <c r="N78" s="7">
        <f>output!B289</f>
        <v>32136.365189996413</v>
      </c>
      <c r="O78" s="7">
        <f>output!C289</f>
        <v>247594.75051295961</v>
      </c>
      <c r="P78" s="7">
        <f>output!D289</f>
        <v>429323.438514159</v>
      </c>
      <c r="Q78" s="7">
        <f>output!E289</f>
        <v>122945.53688650783</v>
      </c>
      <c r="R78" s="7">
        <f>output!F289</f>
        <v>832000.09110362292</v>
      </c>
      <c r="Y78" s="3" t="s">
        <v>129</v>
      </c>
      <c r="Z78" s="7">
        <f si="69" t="shared"/>
        <v>-31136.766097790784</v>
      </c>
      <c r="AA78" s="7">
        <f si="70" t="shared"/>
        <v>39138.205285950098</v>
      </c>
      <c r="AB78" s="7">
        <f si="71" t="shared"/>
        <v>4187.1004749530111</v>
      </c>
      <c r="AC78" s="7">
        <f si="72" t="shared"/>
        <v>-8293.4635843485739</v>
      </c>
      <c r="AD78" s="7">
        <f si="73" t="shared"/>
        <v>3895.0760787638137</v>
      </c>
      <c r="AG78"/>
      <c r="AH78"/>
      <c r="AI78"/>
      <c r="AJ78"/>
      <c r="AK78"/>
      <c r="AL78"/>
      <c r="AM78"/>
      <c r="AN78"/>
      <c r="AO78"/>
    </row>
    <row r="79" spans="1:41" x14ac:dyDescent="0.2">
      <c r="A79" s="3" t="s">
        <v>130</v>
      </c>
      <c r="B79" s="7">
        <f>output_NHTS!B290</f>
        <v>56409.451373268799</v>
      </c>
      <c r="C79" s="7">
        <f>output_NHTS!C290</f>
        <v>337075.60147807101</v>
      </c>
      <c r="D79" s="7">
        <f>output_NHTS!D290</f>
        <v>1061533.1201933629</v>
      </c>
      <c r="E79" s="7">
        <f>output_NHTS!E290</f>
        <v>261128.89271563551</v>
      </c>
      <c r="F79" s="7">
        <f>output_NHTS!F290</f>
        <v>1716147.0657603382</v>
      </c>
      <c r="M79" s="3" t="s">
        <v>130</v>
      </c>
      <c r="N79" s="7">
        <f>output!B290</f>
        <v>57174.521922380467</v>
      </c>
      <c r="O79" s="7">
        <f>output!C290</f>
        <v>416816.2609171478</v>
      </c>
      <c r="P79" s="7">
        <f>output!D290</f>
        <v>956765.26098544849</v>
      </c>
      <c r="Q79" s="7">
        <f>output!E290</f>
        <v>275994.2077431482</v>
      </c>
      <c r="R79" s="7">
        <f>output!F290</f>
        <v>1706750.2515681251</v>
      </c>
      <c r="Y79" s="3" t="s">
        <v>130</v>
      </c>
      <c r="Z79" s="7">
        <f si="69" t="shared"/>
        <v>765.07054911166779</v>
      </c>
      <c r="AA79" s="7">
        <f si="70" t="shared"/>
        <v>79740.659439076786</v>
      </c>
      <c r="AB79" s="7">
        <f si="71" t="shared"/>
        <v>-104767.85920791444</v>
      </c>
      <c r="AC79" s="7">
        <f si="72" t="shared"/>
        <v>14865.315027512697</v>
      </c>
      <c r="AD79" s="7">
        <f si="73" t="shared"/>
        <v>-9396.8141922131181</v>
      </c>
      <c r="AG79"/>
      <c r="AH79"/>
      <c r="AI79"/>
      <c r="AJ79"/>
      <c r="AK79"/>
      <c r="AL79"/>
      <c r="AM79"/>
      <c r="AN79"/>
      <c r="AO79"/>
    </row>
    <row r="80" spans="1:41" x14ac:dyDescent="0.2">
      <c r="A80" s="8" t="s">
        <v>145</v>
      </c>
      <c r="B80" s="7">
        <f>output_NHTS!B291</f>
        <v>264158.0049878119</v>
      </c>
      <c r="C80" s="7">
        <f>output_NHTS!C291</f>
        <v>1352280.7709092938</v>
      </c>
      <c r="D80" s="7">
        <f>output_NHTS!D291</f>
        <v>3204483.4941770295</v>
      </c>
      <c r="E80" s="7">
        <f>output_NHTS!E291</f>
        <v>1076845.9255129325</v>
      </c>
      <c r="F80" s="7">
        <f>output_NHTS!F291</f>
        <v>5897768.1955870669</v>
      </c>
      <c r="M80" s="8" t="s">
        <v>145</v>
      </c>
      <c r="N80" s="7">
        <f>output!B291</f>
        <v>260541.48142071295</v>
      </c>
      <c r="O80" s="7">
        <f>output!C291</f>
        <v>1535671.9981638407</v>
      </c>
      <c r="P80" s="7">
        <f>output!D291</f>
        <v>3113453.7330614552</v>
      </c>
      <c r="Q80" s="7">
        <f>output!E291</f>
        <v>880866.42426132376</v>
      </c>
      <c r="R80" s="7">
        <f>output!F291</f>
        <v>5790533.6369073335</v>
      </c>
      <c r="Y80" s="8" t="s">
        <v>145</v>
      </c>
      <c r="Z80" s="7">
        <f si="69" t="shared"/>
        <v>-3616.5235670989496</v>
      </c>
      <c r="AA80" s="7">
        <f si="70" t="shared"/>
        <v>183391.22725454695</v>
      </c>
      <c r="AB80" s="7">
        <f si="71" t="shared"/>
        <v>-91029.761115574278</v>
      </c>
      <c r="AC80" s="7">
        <f si="72" t="shared"/>
        <v>-195979.50125160872</v>
      </c>
      <c r="AD80" s="7">
        <f si="73" t="shared"/>
        <v>-107234.55867973343</v>
      </c>
      <c r="AG80"/>
      <c r="AH80"/>
      <c r="AI80"/>
      <c r="AJ80"/>
      <c r="AK80"/>
      <c r="AL80"/>
      <c r="AM80"/>
      <c r="AN80"/>
      <c r="AO80"/>
    </row>
    <row ht="13.5" r="81" spans="1:41" thickBot="1" x14ac:dyDescent="0.25">
      <c r="A81" s="10" t="s">
        <v>221</v>
      </c>
      <c r="B81" s="11">
        <f>SUM(B73:B80)</f>
        <v>749546.38308034046</v>
      </c>
      <c r="C81" s="11">
        <f>SUM(C73:C80)</f>
        <v>3742892.1999775721</v>
      </c>
      <c r="D81" s="11">
        <f>SUM(D73:D80)</f>
        <v>9264955.098336257</v>
      </c>
      <c r="E81" s="11">
        <f>SUM(E73:E80)</f>
        <v>2992050.3515247656</v>
      </c>
      <c r="F81" s="11">
        <f>SUM(F73:F80)</f>
        <v>16749444.032918934</v>
      </c>
      <c r="M81" s="10" t="s">
        <v>221</v>
      </c>
      <c r="N81" s="11">
        <f>SUM(N73:N80)</f>
        <v>689884.24780137232</v>
      </c>
      <c r="O81" s="11">
        <f>SUM(O73:O80)</f>
        <v>4364106.2926048748</v>
      </c>
      <c r="P81" s="11">
        <f>SUM(P73:P80)</f>
        <v>8914863.4655530564</v>
      </c>
      <c r="Q81" s="11">
        <f>SUM(Q73:Q80)</f>
        <v>2529521.9495115774</v>
      </c>
      <c r="R81" s="11">
        <f>SUM(R73:R80)</f>
        <v>16498375.955470884</v>
      </c>
      <c r="Y81" s="10" t="s">
        <v>221</v>
      </c>
      <c r="Z81" s="11">
        <f si="69" t="shared"/>
        <v>-59662.13527896814</v>
      </c>
      <c r="AA81" s="11">
        <f si="70" t="shared"/>
        <v>621214.09262730274</v>
      </c>
      <c r="AB81" s="11">
        <f si="71" t="shared"/>
        <v>-350091.63278320059</v>
      </c>
      <c r="AC81" s="11">
        <f si="72" t="shared"/>
        <v>-462528.40201318823</v>
      </c>
      <c r="AD81" s="11">
        <f si="73" t="shared"/>
        <v>-251068.07744804956</v>
      </c>
      <c r="AG81"/>
      <c r="AH81"/>
      <c r="AI81"/>
      <c r="AJ81"/>
      <c r="AK81"/>
      <c r="AL81"/>
      <c r="AM81"/>
      <c r="AN81"/>
      <c r="AO81"/>
    </row>
    <row r="82" spans="1:41" x14ac:dyDescent="0.2">
      <c r="AG82"/>
      <c r="AH82"/>
      <c r="AI82"/>
      <c r="AJ82"/>
      <c r="AK82"/>
      <c r="AL82"/>
      <c r="AM82"/>
      <c r="AN82"/>
      <c r="AO82"/>
    </row>
    <row r="83" spans="1:41" x14ac:dyDescent="0.2">
      <c r="A83" s="25" t="s">
        <v>88</v>
      </c>
      <c r="B83" s="53">
        <f>ToursByTourPurpose!B84</f>
        <v>177389.8438</v>
      </c>
      <c r="C83" s="53">
        <f>ToursByTourPurpose!C84</f>
        <v>898293.45270000002</v>
      </c>
      <c r="D83" s="53">
        <f>ToursByTourPurpose!D84</f>
        <v>1927570.8387</v>
      </c>
      <c r="E83" s="53">
        <f>ToursByTourPurpose!E84</f>
        <v>705263.83140000002</v>
      </c>
      <c r="F83" s="53">
        <f>ToursByTourPurpose!F84</f>
        <v>3708517.9665999999</v>
      </c>
      <c r="M83" s="25" t="s">
        <v>88</v>
      </c>
      <c r="N83" s="53">
        <f>ToursByTourPurpose!N84</f>
        <v>166401.65160679657</v>
      </c>
      <c r="O83" s="53">
        <f>ToursByTourPurpose!O84</f>
        <v>1015877.8531804486</v>
      </c>
      <c r="P83" s="53">
        <f>ToursByTourPurpose!P84</f>
        <v>1995597.8115541458</v>
      </c>
      <c r="Q83" s="53">
        <f>ToursByTourPurpose!Q84</f>
        <v>564597.50212249986</v>
      </c>
      <c r="R83" s="53">
        <f>ToursByTourPurpose!R84</f>
        <v>3742474.8184638908</v>
      </c>
      <c r="Y83" s="3" t="s">
        <v>88</v>
      </c>
      <c r="Z83" s="7">
        <f ref="Z83:AD84" si="74" t="shared">N83-B83</f>
        <v>-10988.192193203431</v>
      </c>
      <c r="AA83" s="7">
        <f si="74" t="shared"/>
        <v>117584.40048044862</v>
      </c>
      <c r="AB83" s="7">
        <f si="74" t="shared"/>
        <v>68026.972854145803</v>
      </c>
      <c r="AC83" s="7">
        <f si="74" t="shared"/>
        <v>-140666.32927750016</v>
      </c>
      <c r="AD83" s="7">
        <f si="74" t="shared"/>
        <v>33956.851863890886</v>
      </c>
      <c r="AG83"/>
      <c r="AH83"/>
      <c r="AI83"/>
      <c r="AJ83"/>
      <c r="AK83"/>
      <c r="AL83"/>
      <c r="AM83"/>
      <c r="AN83"/>
      <c r="AO83"/>
    </row>
    <row r="84" spans="1:41" x14ac:dyDescent="0.2">
      <c r="A84" s="25" t="s">
        <v>91</v>
      </c>
      <c r="B84" s="38">
        <f>B81/B83</f>
        <v>4.2254188121695639</v>
      </c>
      <c r="C84" s="38">
        <f>C81/C83</f>
        <v>4.1666697989699957</v>
      </c>
      <c r="D84" s="38">
        <f>D81/D83</f>
        <v>4.8065445442123229</v>
      </c>
      <c r="E84" s="38">
        <f>E81/E83</f>
        <v>4.2424554022362493</v>
      </c>
      <c r="F84" s="38">
        <f>F81/F83</f>
        <v>4.5164791390440433</v>
      </c>
      <c r="M84" s="25" t="s">
        <v>91</v>
      </c>
      <c r="N84" s="38">
        <f>N81/N83</f>
        <v>4.1458978389923287</v>
      </c>
      <c r="O84" s="38">
        <f>O81/O83</f>
        <v>4.2958966759064552</v>
      </c>
      <c r="P84" s="38">
        <f>P81/P83</f>
        <v>4.4672646030866687</v>
      </c>
      <c r="Q84" s="38">
        <f>Q81/Q83</f>
        <v>4.4802216446270267</v>
      </c>
      <c r="R84" s="38">
        <f>R81/R83</f>
        <v>4.4084133509928831</v>
      </c>
      <c r="Y84" s="3" t="s">
        <v>91</v>
      </c>
      <c r="Z84" s="38">
        <f si="74" t="shared"/>
        <v>-7.9520973177235277E-2</v>
      </c>
      <c r="AA84" s="38">
        <f si="74" t="shared"/>
        <v>0.12922687693645951</v>
      </c>
      <c r="AB84" s="38">
        <f si="74" t="shared"/>
        <v>-0.33927994112565418</v>
      </c>
      <c r="AC84" s="38">
        <f si="74" t="shared"/>
        <v>0.23776624239077737</v>
      </c>
      <c r="AD84" s="38">
        <f si="74" t="shared"/>
        <v>-0.10806578805116018</v>
      </c>
      <c r="AG84"/>
      <c r="AH84"/>
      <c r="AI84"/>
      <c r="AJ84"/>
      <c r="AK84"/>
      <c r="AL84"/>
      <c r="AM84"/>
      <c r="AN84"/>
      <c r="AO84"/>
    </row>
    <row r="85" spans="1:41" x14ac:dyDescent="0.2">
      <c r="AG85"/>
      <c r="AH85"/>
      <c r="AI85"/>
      <c r="AJ85"/>
      <c r="AK85"/>
      <c r="AL85"/>
      <c r="AM85"/>
      <c r="AN85"/>
      <c r="AO85"/>
    </row>
    <row r="86" spans="1:41" x14ac:dyDescent="0.2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x14ac:dyDescent="0.2">
      <c r="A87" s="2" t="s">
        <v>97</v>
      </c>
      <c r="M87" s="2" t="s">
        <v>137</v>
      </c>
      <c r="Y87" s="279" t="s">
        <v>252</v>
      </c>
      <c r="Z87" s="279"/>
      <c r="AA87" s="279"/>
      <c r="AB87" s="279"/>
      <c r="AG87"/>
      <c r="AH87"/>
      <c r="AI87"/>
      <c r="AJ87"/>
      <c r="AK87"/>
      <c r="AL87"/>
      <c r="AM87"/>
      <c r="AN87"/>
      <c r="AO87"/>
    </row>
    <row ht="13.5" r="88" spans="1:41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x14ac:dyDescent="0.2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221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221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221</v>
      </c>
    </row>
    <row r="90" spans="1:41" x14ac:dyDescent="0.2">
      <c r="A90" s="3" t="s">
        <v>210</v>
      </c>
      <c r="B90" s="12">
        <f ref="B90:F96" si="75" t="shared">B73/B$81</f>
        <v>0.10708401168671229</v>
      </c>
      <c r="C90" s="12">
        <f si="75" t="shared"/>
        <v>0.13401299939112787</v>
      </c>
      <c r="D90" s="12">
        <f si="75" t="shared"/>
        <v>0.13472924539045411</v>
      </c>
      <c r="E90" s="12">
        <f si="75" t="shared"/>
        <v>0.15645804589193285</v>
      </c>
      <c r="F90" s="12">
        <f si="75" t="shared"/>
        <v>0.13721359344407819</v>
      </c>
      <c r="M90" s="3" t="s">
        <v>210</v>
      </c>
      <c r="N90" s="12">
        <f ref="N90:R98" si="76" t="shared">N73/N$81</f>
        <v>9.8904952451712103E-2</v>
      </c>
      <c r="O90" s="12">
        <f si="76" t="shared"/>
        <v>0.1281257004743554</v>
      </c>
      <c r="P90" s="12">
        <f si="76" t="shared"/>
        <v>0.14142234166001111</v>
      </c>
      <c r="Q90" s="12">
        <f si="76" t="shared"/>
        <v>0.14779851870038063</v>
      </c>
      <c r="R90" s="12">
        <f si="76" t="shared"/>
        <v>0.13710486502134425</v>
      </c>
      <c r="Y90" s="3" t="s">
        <v>210</v>
      </c>
      <c r="Z90" s="12">
        <f ref="Z90:Z98" si="77" t="shared">N90-B90</f>
        <v>-8.1790592350001884E-3</v>
      </c>
      <c r="AA90" s="12">
        <f ref="AA90:AA98" si="78" t="shared">O90-C90</f>
        <v>-5.8872989167724765E-3</v>
      </c>
      <c r="AB90" s="12">
        <f ref="AB90:AB98" si="79" t="shared">P90-D90</f>
        <v>6.6930962695569973E-3</v>
      </c>
      <c r="AC90" s="12">
        <f ref="AC90:AC98" si="80" t="shared">Q90-E90</f>
        <v>-8.6595271915522187E-3</v>
      </c>
      <c r="AD90" s="12">
        <f ref="AD90:AD98" si="81" t="shared">R90-F90</f>
        <v>-1.0872842273393357E-4</v>
      </c>
    </row>
    <row r="91" spans="1:41" x14ac:dyDescent="0.2">
      <c r="A91" s="3" t="s">
        <v>211</v>
      </c>
      <c r="B91" s="12">
        <f si="75" t="shared"/>
        <v>5.8460501533109874E-2</v>
      </c>
      <c r="C91" s="12">
        <f si="75" t="shared"/>
        <v>5.5415324777229318E-2</v>
      </c>
      <c r="D91" s="12">
        <f si="75" t="shared"/>
        <v>4.9768008907464578E-2</v>
      </c>
      <c r="E91" s="12">
        <f si="75" t="shared"/>
        <v>5.436457227421583E-2</v>
      </c>
      <c r="F91" s="12">
        <f si="75" t="shared"/>
        <v>5.2240083197403572E-2</v>
      </c>
      <c r="M91" s="3" t="s">
        <v>211</v>
      </c>
      <c r="N91" s="12">
        <f si="76" t="shared"/>
        <v>5.216820960888776E-2</v>
      </c>
      <c r="O91" s="12">
        <f si="76" t="shared"/>
        <v>6.3674956208319991E-2</v>
      </c>
      <c r="P91" s="12">
        <f si="76" t="shared"/>
        <v>4.5474063236085709E-2</v>
      </c>
      <c r="Q91" s="12">
        <f si="76" t="shared"/>
        <v>4.1924269724604918E-2</v>
      </c>
      <c r="R91" s="12">
        <f si="76" t="shared"/>
        <v>5.0024180004264368E-2</v>
      </c>
      <c r="Y91" s="3" t="s">
        <v>211</v>
      </c>
      <c r="Z91" s="12">
        <f si="77" t="shared"/>
        <v>-6.292291924222114E-3</v>
      </c>
      <c r="AA91" s="12">
        <f si="78" t="shared"/>
        <v>8.2596314310906735E-3</v>
      </c>
      <c r="AB91" s="12">
        <f si="79" t="shared"/>
        <v>-4.2939456713788696E-3</v>
      </c>
      <c r="AC91" s="12">
        <f si="80" t="shared"/>
        <v>-1.2440302549610913E-2</v>
      </c>
      <c r="AD91" s="12">
        <f si="81" t="shared"/>
        <v>-2.2159031931392043E-3</v>
      </c>
    </row>
    <row r="92" spans="1:41" x14ac:dyDescent="0.2">
      <c r="A92" s="3" t="s">
        <v>212</v>
      </c>
      <c r="B92" s="12">
        <f si="75" t="shared"/>
        <v>5.9700732002162986E-3</v>
      </c>
      <c r="C92" s="12">
        <f si="75" t="shared"/>
        <v>7.9399690963755112E-2</v>
      </c>
      <c r="D92" s="12">
        <f si="75" t="shared"/>
        <v>8.1674975570135477E-2</v>
      </c>
      <c r="E92" s="12">
        <f si="75" t="shared"/>
        <v>6.2644367299274945E-2</v>
      </c>
      <c r="F92" s="12">
        <f si="75" t="shared"/>
        <v>7.43791501872057E-2</v>
      </c>
      <c r="M92" s="3" t="s">
        <v>212</v>
      </c>
      <c r="N92" s="12">
        <f si="76" t="shared"/>
        <v>4.3229094208768463E-2</v>
      </c>
      <c r="O92" s="12">
        <f si="76" t="shared"/>
        <v>8.239272987839813E-2</v>
      </c>
      <c r="P92" s="12">
        <f si="76" t="shared"/>
        <v>7.3995271003844246E-2</v>
      </c>
      <c r="Q92" s="12">
        <f si="76" t="shared"/>
        <v>7.3026150791163466E-2</v>
      </c>
      <c r="R92" s="12">
        <f si="76" t="shared"/>
        <v>7.4781463024540903E-2</v>
      </c>
      <c r="Y92" s="3" t="s">
        <v>212</v>
      </c>
      <c r="Z92" s="12">
        <f si="77" t="shared"/>
        <v>3.7259021008552162E-2</v>
      </c>
      <c r="AA92" s="12">
        <f si="78" t="shared"/>
        <v>2.9930389146430175E-3</v>
      </c>
      <c r="AB92" s="12">
        <f si="79" t="shared"/>
        <v>-7.6797045662912317E-3</v>
      </c>
      <c r="AC92" s="12">
        <f si="80" t="shared"/>
        <v>1.0381783491888522E-2</v>
      </c>
      <c r="AD92" s="12">
        <f si="81" t="shared"/>
        <v>4.0231283733520307E-4</v>
      </c>
    </row>
    <row r="93" spans="1:41" x14ac:dyDescent="0.2">
      <c r="A93" s="3" t="s">
        <v>213</v>
      </c>
      <c r="B93" s="12">
        <f si="75" t="shared"/>
        <v>0.13024304311750445</v>
      </c>
      <c r="C93" s="12">
        <f si="75" t="shared"/>
        <v>0.10410681625857245</v>
      </c>
      <c r="D93" s="12">
        <f si="75" t="shared"/>
        <v>0.10903203825245014</v>
      </c>
      <c r="E93" s="12">
        <f si="75" t="shared"/>
        <v>0.11656404217225214</v>
      </c>
      <c r="F93" s="12">
        <f si="75" t="shared"/>
        <v>0.11022611919810302</v>
      </c>
      <c r="M93" s="3" t="s">
        <v>213</v>
      </c>
      <c r="N93" s="12">
        <f si="76" t="shared"/>
        <v>0.13616855976209866</v>
      </c>
      <c r="O93" s="12">
        <f si="76" t="shared"/>
        <v>0.10458170028614919</v>
      </c>
      <c r="P93" s="12">
        <f si="76" t="shared"/>
        <v>0.11207394881207977</v>
      </c>
      <c r="Q93" s="12">
        <f si="76" t="shared"/>
        <v>0.10928730877496368</v>
      </c>
      <c r="R93" s="12">
        <f si="76" t="shared"/>
        <v>0.11067239610239879</v>
      </c>
      <c r="Y93" s="3" t="s">
        <v>213</v>
      </c>
      <c r="Z93" s="12">
        <f si="77" t="shared"/>
        <v>5.9255166445942031E-3</v>
      </c>
      <c r="AA93" s="12">
        <f si="78" t="shared"/>
        <v>4.7488402757674131E-4</v>
      </c>
      <c r="AB93" s="12">
        <f si="79" t="shared"/>
        <v>3.0419105596296292E-3</v>
      </c>
      <c r="AC93" s="12">
        <f si="80" t="shared"/>
        <v>-7.2767333972884596E-3</v>
      </c>
      <c r="AD93" s="12">
        <f si="81" t="shared"/>
        <v>4.462769042957726E-4</v>
      </c>
    </row>
    <row r="94" spans="1:41" x14ac:dyDescent="0.2">
      <c r="A94" s="3" t="s">
        <v>214</v>
      </c>
      <c r="B94" s="12">
        <f si="75" t="shared"/>
        <v>0.18614519233795701</v>
      </c>
      <c r="C94" s="12">
        <f si="75" t="shared"/>
        <v>0.12002066499637497</v>
      </c>
      <c r="D94" s="12">
        <f si="75" t="shared"/>
        <v>0.11846268410768208</v>
      </c>
      <c r="E94" s="12">
        <f si="75" t="shared"/>
        <v>0.11892983662361423</v>
      </c>
      <c r="F94" s="12">
        <f si="75" t="shared"/>
        <v>0.12192311404753009</v>
      </c>
      <c r="M94" s="3" t="s">
        <v>214</v>
      </c>
      <c r="N94" s="12">
        <f si="76" t="shared"/>
        <v>0.16241169339232053</v>
      </c>
      <c r="O94" s="12">
        <f si="76" t="shared"/>
        <v>0.11709351440062898</v>
      </c>
      <c r="P94" s="12">
        <f si="76" t="shared"/>
        <v>0.12231072472986916</v>
      </c>
      <c r="Q94" s="12">
        <f si="76" t="shared"/>
        <v>0.12201591109843549</v>
      </c>
      <c r="R94" s="12">
        <f si="76" t="shared"/>
        <v>0.12256231486417071</v>
      </c>
      <c r="Y94" s="3" t="s">
        <v>214</v>
      </c>
      <c r="Z94" s="12">
        <f si="77" t="shared"/>
        <v>-2.3733498945636478E-2</v>
      </c>
      <c r="AA94" s="12">
        <f si="78" t="shared"/>
        <v>-2.9271505957459837E-3</v>
      </c>
      <c r="AB94" s="12">
        <f si="79" t="shared"/>
        <v>3.8480406221870767E-3</v>
      </c>
      <c r="AC94" s="12">
        <f si="80" t="shared"/>
        <v>3.0860744748212598E-3</v>
      </c>
      <c r="AD94" s="12">
        <f si="81" t="shared"/>
        <v>6.3920081664062267E-4</v>
      </c>
    </row>
    <row r="95" spans="1:41" x14ac:dyDescent="0.2">
      <c r="A95" s="3" t="s">
        <v>129</v>
      </c>
      <c r="B95" s="12">
        <f si="75" t="shared"/>
        <v>8.441523128663439E-2</v>
      </c>
      <c r="C95" s="12">
        <f si="75" t="shared"/>
        <v>5.5693975163981106E-2</v>
      </c>
      <c r="D95" s="12">
        <f si="75" t="shared"/>
        <v>4.5886497400893969E-2</v>
      </c>
      <c r="E95" s="12">
        <f si="75" t="shared"/>
        <v>4.3862564145678989E-2</v>
      </c>
      <c r="F95" s="12">
        <f si="75" t="shared"/>
        <v>4.9440746415064435E-2</v>
      </c>
      <c r="M95" s="3" t="s">
        <v>129</v>
      </c>
      <c r="N95" s="12">
        <f si="76" t="shared"/>
        <v>4.6582256795126793E-2</v>
      </c>
      <c r="O95" s="12">
        <f si="76" t="shared"/>
        <v>5.6734353820051833E-2</v>
      </c>
      <c r="P95" s="12">
        <f si="76" t="shared"/>
        <v>4.8158161947522864E-2</v>
      </c>
      <c r="Q95" s="12">
        <f si="76" t="shared"/>
        <v>4.8604257776947636E-2</v>
      </c>
      <c r="R95" s="12">
        <f si="76" t="shared"/>
        <v>5.0429211538710911E-2</v>
      </c>
      <c r="Y95" s="3" t="s">
        <v>129</v>
      </c>
      <c r="Z95" s="12">
        <f si="77" t="shared"/>
        <v>-3.7832974491507597E-2</v>
      </c>
      <c r="AA95" s="12">
        <f si="78" t="shared"/>
        <v>1.040378656070727E-3</v>
      </c>
      <c r="AB95" s="12">
        <f si="79" t="shared"/>
        <v>2.2716645466288946E-3</v>
      </c>
      <c r="AC95" s="12">
        <f si="80" t="shared"/>
        <v>4.7416936312686467E-3</v>
      </c>
      <c r="AD95" s="12">
        <f si="81" t="shared"/>
        <v>9.8846512364647587E-4</v>
      </c>
    </row>
    <row r="96" spans="1:41" x14ac:dyDescent="0.2">
      <c r="A96" s="3" t="s">
        <v>130</v>
      </c>
      <c r="B96" s="12">
        <f si="75" t="shared"/>
        <v>7.5258119639572102E-2</v>
      </c>
      <c r="C96" s="12">
        <f si="75" t="shared"/>
        <v>9.0057523291771746E-2</v>
      </c>
      <c r="D96" s="12">
        <f si="75" t="shared"/>
        <v>0.11457509603948177</v>
      </c>
      <c r="E96" s="12">
        <f si="75" t="shared"/>
        <v>8.7274230723611568E-2</v>
      </c>
      <c r="F96" s="12">
        <f si="75" t="shared"/>
        <v>0.10245994209643414</v>
      </c>
      <c r="M96" s="3" t="s">
        <v>130</v>
      </c>
      <c r="N96" s="12">
        <f si="76" t="shared"/>
        <v>8.2875528908788534E-2</v>
      </c>
      <c r="O96" s="12">
        <f si="76" t="shared"/>
        <v>9.5510107447075013E-2</v>
      </c>
      <c r="P96" s="12">
        <f si="76" t="shared"/>
        <v>0.10732248056096202</v>
      </c>
      <c r="Q96" s="12">
        <f si="76" t="shared"/>
        <v>0.10910923615287846</v>
      </c>
      <c r="R96" s="12">
        <f si="76" t="shared"/>
        <v>0.10344959141279383</v>
      </c>
      <c r="Y96" s="3" t="s">
        <v>130</v>
      </c>
      <c r="Z96" s="12">
        <f si="77" t="shared"/>
        <v>7.6174092692164325E-3</v>
      </c>
      <c r="AA96" s="12">
        <f si="78" t="shared"/>
        <v>5.4525841553032667E-3</v>
      </c>
      <c r="AB96" s="12">
        <f si="79" t="shared"/>
        <v>-7.2526154785197416E-3</v>
      </c>
      <c r="AC96" s="12">
        <f si="80" t="shared"/>
        <v>2.183500542926689E-2</v>
      </c>
      <c r="AD96" s="12">
        <f si="81" t="shared"/>
        <v>9.8964931635969755E-4</v>
      </c>
    </row>
    <row r="97" spans="1:34" x14ac:dyDescent="0.2">
      <c r="A97" s="8" t="s">
        <v>145</v>
      </c>
      <c r="B97" s="13">
        <f ref="B97:F98" si="82" t="shared">B80/B$81</f>
        <v>0.35242382719829363</v>
      </c>
      <c r="C97" s="13">
        <f si="82" t="shared"/>
        <v>0.36129300515718749</v>
      </c>
      <c r="D97" s="13">
        <f si="82" t="shared"/>
        <v>0.34587145433143768</v>
      </c>
      <c r="E97" s="13">
        <f si="82" t="shared"/>
        <v>0.35990234086941947</v>
      </c>
      <c r="F97" s="13">
        <f si="82" t="shared"/>
        <v>0.35211725141418082</v>
      </c>
      <c r="M97" s="8" t="s">
        <v>145</v>
      </c>
      <c r="N97" s="13">
        <f si="76" t="shared"/>
        <v>0.37765970487229711</v>
      </c>
      <c r="O97" s="13">
        <f si="76" t="shared"/>
        <v>0.35188693748502153</v>
      </c>
      <c r="P97" s="13">
        <f si="76" t="shared"/>
        <v>0.34924300804962516</v>
      </c>
      <c r="Q97" s="13">
        <f si="76" t="shared"/>
        <v>0.34823434698062583</v>
      </c>
      <c r="R97" s="13">
        <f si="76" t="shared"/>
        <v>0.35097597803177616</v>
      </c>
      <c r="Y97" s="8" t="s">
        <v>145</v>
      </c>
      <c r="Z97" s="12">
        <f si="77" t="shared"/>
        <v>2.5235877674003482E-2</v>
      </c>
      <c r="AA97" s="12">
        <f si="78" t="shared"/>
        <v>-9.406067672165952E-3</v>
      </c>
      <c r="AB97" s="12">
        <f si="79" t="shared"/>
        <v>3.3715537181874811E-3</v>
      </c>
      <c r="AC97" s="12">
        <f si="80" t="shared"/>
        <v>-1.1667993888793637E-2</v>
      </c>
      <c r="AD97" s="12">
        <f si="81" t="shared"/>
        <v>-1.1412733824046617E-3</v>
      </c>
    </row>
    <row ht="13.5" r="98" spans="1:34" thickBot="1" x14ac:dyDescent="0.25">
      <c r="A98" s="10" t="s">
        <v>221</v>
      </c>
      <c r="B98" s="14">
        <f si="82" t="shared"/>
        <v>1</v>
      </c>
      <c r="C98" s="14">
        <f si="82" t="shared"/>
        <v>1</v>
      </c>
      <c r="D98" s="14">
        <f si="82" t="shared"/>
        <v>1</v>
      </c>
      <c r="E98" s="14">
        <f si="82" t="shared"/>
        <v>1</v>
      </c>
      <c r="F98" s="14">
        <f si="82" t="shared"/>
        <v>1</v>
      </c>
      <c r="M98" s="10" t="s">
        <v>221</v>
      </c>
      <c r="N98" s="14">
        <f si="76" t="shared"/>
        <v>1</v>
      </c>
      <c r="O98" s="14">
        <f si="76" t="shared"/>
        <v>1</v>
      </c>
      <c r="P98" s="14">
        <f si="76" t="shared"/>
        <v>1</v>
      </c>
      <c r="Q98" s="14">
        <f si="76" t="shared"/>
        <v>1</v>
      </c>
      <c r="R98" s="14">
        <f si="76" t="shared"/>
        <v>1</v>
      </c>
      <c r="Y98" s="10" t="s">
        <v>221</v>
      </c>
      <c r="Z98" s="14">
        <f si="77" t="shared"/>
        <v>0</v>
      </c>
      <c r="AA98" s="14">
        <f si="78" t="shared"/>
        <v>0</v>
      </c>
      <c r="AB98" s="14">
        <f si="79" t="shared"/>
        <v>0</v>
      </c>
      <c r="AC98" s="14">
        <f si="80" t="shared"/>
        <v>0</v>
      </c>
      <c r="AD98" s="14">
        <f si="81" t="shared"/>
        <v>0</v>
      </c>
    </row>
    <row r="100" spans="1:34" x14ac:dyDescent="0.2">
      <c r="A100" s="25"/>
      <c r="M100" s="25"/>
    </row>
    <row r="101" spans="1:34" x14ac:dyDescent="0.2">
      <c r="A101" s="25"/>
      <c r="M101" s="25"/>
    </row>
    <row r="102" spans="1:34" x14ac:dyDescent="0.2">
      <c r="R102" s="25"/>
      <c r="S102" s="25"/>
      <c r="T102" s="25"/>
      <c r="U102" s="25"/>
      <c r="V102" s="25"/>
      <c r="W102" s="25"/>
    </row>
    <row r="103" spans="1:34" x14ac:dyDescent="0.2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4" x14ac:dyDescent="0.2">
      <c r="A104" s="2" t="s">
        <v>310</v>
      </c>
      <c r="F104" s="25"/>
      <c r="G104" s="25"/>
      <c r="H104" s="25"/>
      <c r="I104" s="25"/>
      <c r="J104" s="25"/>
      <c r="M104" s="2" t="s">
        <v>311</v>
      </c>
      <c r="R104" s="25"/>
      <c r="S104" s="25"/>
      <c r="T104" s="25"/>
      <c r="U104" s="25"/>
      <c r="V104" s="25"/>
      <c r="W104" s="25"/>
      <c r="Y104" s="279" t="s">
        <v>312</v>
      </c>
      <c r="Z104" s="279"/>
      <c r="AA104" s="279"/>
      <c r="AD104" s="25"/>
      <c r="AE104" s="25"/>
      <c r="AF104" s="25"/>
      <c r="AG104" s="25"/>
      <c r="AH104" s="25"/>
    </row>
    <row ht="13.5" r="105" spans="1:34" thickBot="1" x14ac:dyDescent="0.25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4" x14ac:dyDescent="0.2">
      <c r="A106" s="5" t="s">
        <v>144</v>
      </c>
      <c r="B106" s="153" t="s">
        <v>3919</v>
      </c>
      <c r="C106" s="153" t="s">
        <v>3920</v>
      </c>
      <c r="D106" s="153" t="s">
        <v>3921</v>
      </c>
      <c r="E106" s="153" t="s">
        <v>3922</v>
      </c>
      <c r="F106" s="153" t="s">
        <v>1522</v>
      </c>
      <c r="G106" s="153" t="s">
        <v>3923</v>
      </c>
      <c r="H106" s="6" t="s">
        <v>3924</v>
      </c>
      <c r="I106" s="6" t="s">
        <v>221</v>
      </c>
      <c r="J106" s="89"/>
      <c r="M106" s="5" t="s">
        <v>144</v>
      </c>
      <c r="N106" s="6" t="str">
        <f>B106</f>
        <v>Bellevue</v>
      </c>
      <c r="O106" s="6" t="str">
        <f ref="O106:S106" si="83" t="shared">C106</f>
        <v>Bellevue Downtown</v>
      </c>
      <c r="P106" s="6" t="str">
        <f si="83" t="shared"/>
        <v>Kirkland</v>
      </c>
      <c r="Q106" s="6" t="str">
        <f si="83" t="shared"/>
        <v>Redmond</v>
      </c>
      <c r="R106" s="6" t="str">
        <f si="83" t="shared"/>
        <v>Seattle</v>
      </c>
      <c r="S106" s="6" t="str">
        <f si="83" t="shared"/>
        <v>Seattle Downtown</v>
      </c>
      <c r="T106" s="6" t="str">
        <f>H106</f>
        <v>Rest</v>
      </c>
      <c r="U106" s="6" t="s">
        <v>221</v>
      </c>
      <c r="V106" s="89"/>
      <c r="W106" s="25"/>
      <c r="Y106" s="5" t="s">
        <v>144</v>
      </c>
      <c r="Z106" s="6" t="str">
        <f>B106</f>
        <v>Bellevue</v>
      </c>
      <c r="AA106" s="6" t="str">
        <f ref="AA106:AF106" si="84" t="shared">C106</f>
        <v>Bellevue Downtown</v>
      </c>
      <c r="AB106" s="6" t="str">
        <f si="84" t="shared"/>
        <v>Kirkland</v>
      </c>
      <c r="AC106" s="6" t="str">
        <f si="84" t="shared"/>
        <v>Redmond</v>
      </c>
      <c r="AD106" s="6" t="str">
        <f si="84" t="shared"/>
        <v>Seattle</v>
      </c>
      <c r="AE106" s="6" t="str">
        <f si="84" t="shared"/>
        <v>Seattle Downtown</v>
      </c>
      <c r="AF106" s="6" t="str">
        <f si="84" t="shared"/>
        <v>Rest</v>
      </c>
      <c r="AG106" s="6" t="s">
        <v>221</v>
      </c>
      <c r="AH106" s="89"/>
    </row>
    <row r="107" spans="1:34" x14ac:dyDescent="0.2">
      <c r="A107" s="3" t="s">
        <v>210</v>
      </c>
      <c r="B107" s="7">
        <f>output_NHTS!B295</f>
        <v>106929.0849276715</v>
      </c>
      <c r="C107" s="7">
        <f>output_NHTS!C295</f>
        <v>24754.6926149272</v>
      </c>
      <c r="D107" s="7">
        <f>output_NHTS!D295</f>
        <v>86448.595542202107</v>
      </c>
      <c r="E107" s="7">
        <f>output_NHTS!E295</f>
        <v>72172.644143710306</v>
      </c>
      <c r="F107" s="7">
        <f>output_NHTS!F295</f>
        <v>536928.68142426875</v>
      </c>
      <c r="G107" s="7">
        <f>output_NHTS!G295</f>
        <v>132250.63393863311</v>
      </c>
      <c r="H107" s="7">
        <f>output_NHTS!H295</f>
        <v>1338767.071355867</v>
      </c>
      <c r="I107" s="7">
        <f>SUM(B107:H107)</f>
        <v>2298251.4039472798</v>
      </c>
      <c r="J107" s="33"/>
      <c r="M107" s="3" t="s">
        <v>210</v>
      </c>
      <c r="N107" s="7">
        <f>output!B295</f>
        <v>118552.65817366683</v>
      </c>
      <c r="O107" s="7">
        <f>output!C295</f>
        <v>14811.911795814643</v>
      </c>
      <c r="P107" s="7">
        <f>output!D295</f>
        <v>95857.420239085652</v>
      </c>
      <c r="Q107" s="7">
        <f>output!E295</f>
        <v>73957.919111851676</v>
      </c>
      <c r="R107" s="7">
        <f>output!F295</f>
        <v>444913.17057057837</v>
      </c>
      <c r="S107" s="7">
        <f>output!G295</f>
        <v>99938.091109917936</v>
      </c>
      <c r="T107" s="7">
        <f>output!H295</f>
        <v>1377213.9919417079</v>
      </c>
      <c r="U107" s="7">
        <f>SUM(N107:T107)</f>
        <v>2225245.1629426228</v>
      </c>
      <c r="V107" s="33"/>
      <c r="W107" s="25"/>
      <c r="Y107" s="3" t="s">
        <v>210</v>
      </c>
      <c r="Z107" s="7">
        <f ref="Z107:Z115" si="85" t="shared">N107-B107</f>
        <v>11623.573245995329</v>
      </c>
      <c r="AA107" s="7">
        <f ref="AA107:AA115" si="86" t="shared">O107-C107</f>
        <v>-9942.7808191125569</v>
      </c>
      <c r="AB107" s="7">
        <f ref="AB107:AB115" si="87" t="shared">P107-D107</f>
        <v>9408.8246968835447</v>
      </c>
      <c r="AC107" s="7">
        <f ref="AC107:AC115" si="88" t="shared">Q107-E107</f>
        <v>1785.2749681413698</v>
      </c>
      <c r="AD107" s="7">
        <f ref="AD107" si="89" t="shared">R107-F107</f>
        <v>-92015.510853690386</v>
      </c>
      <c r="AE107" s="7">
        <f ref="AE107:AF114" si="90" t="shared">S107-G107</f>
        <v>-32312.542828715174</v>
      </c>
      <c r="AF107" s="7">
        <f si="90" t="shared"/>
        <v>38446.92058584094</v>
      </c>
      <c r="AG107" s="7">
        <f ref="AG107:AG115" si="91" t="shared">U107-I107</f>
        <v>-73006.241004657</v>
      </c>
      <c r="AH107" s="33"/>
    </row>
    <row r="108" spans="1:34" x14ac:dyDescent="0.2">
      <c r="A108" s="3" t="s">
        <v>211</v>
      </c>
      <c r="B108" s="7">
        <f>output_NHTS!B296</f>
        <v>38466.117531986798</v>
      </c>
      <c r="C108" s="7">
        <f>output_NHTS!C296</f>
        <v>1406.8269816186</v>
      </c>
      <c r="D108" s="7">
        <f>output_NHTS!D296</f>
        <v>33032.756553621999</v>
      </c>
      <c r="E108" s="7">
        <f>output_NHTS!E296</f>
        <v>34422.242464117997</v>
      </c>
      <c r="F108" s="7">
        <f>output_NHTS!F296</f>
        <v>169100.3647460698</v>
      </c>
      <c r="G108" s="7">
        <f>output_NHTS!G296</f>
        <v>6575.6071729757005</v>
      </c>
      <c r="H108" s="7">
        <f>output_NHTS!H296</f>
        <v>591988.43433954904</v>
      </c>
      <c r="I108" s="7">
        <f ref="I108:I114" si="92" t="shared">SUM(B108:H108)</f>
        <v>874992.34978994005</v>
      </c>
      <c r="J108" s="33"/>
      <c r="M108" s="3" t="s">
        <v>211</v>
      </c>
      <c r="N108" s="7">
        <f>output!B296</f>
        <v>41154.460228452219</v>
      </c>
      <c r="O108" s="7">
        <f>output!C296</f>
        <v>1356.9548282344062</v>
      </c>
      <c r="P108" s="7">
        <f>output!D296</f>
        <v>32759.216399103454</v>
      </c>
      <c r="Q108" s="7">
        <f>output!E296</f>
        <v>25924.408607965779</v>
      </c>
      <c r="R108" s="7">
        <f>output!F296</f>
        <v>135788.05512125266</v>
      </c>
      <c r="S108" s="7">
        <f>output!G296</f>
        <v>6885.6200313556537</v>
      </c>
      <c r="T108" s="7">
        <f>output!H296</f>
        <v>581440.77006954781</v>
      </c>
      <c r="U108" s="7">
        <f ref="U108:U114" si="93" t="shared">SUM(N108:T108)</f>
        <v>825309.48528591194</v>
      </c>
      <c r="V108" s="33"/>
      <c r="W108" s="25"/>
      <c r="Y108" s="3" t="s">
        <v>211</v>
      </c>
      <c r="Z108" s="7">
        <f si="85" t="shared"/>
        <v>2688.3426964654209</v>
      </c>
      <c r="AA108" s="7">
        <f si="86" t="shared"/>
        <v>-49.87215338419378</v>
      </c>
      <c r="AB108" s="7">
        <f si="87" t="shared"/>
        <v>-273.54015451854502</v>
      </c>
      <c r="AC108" s="7">
        <f ref="AC108:AC114" si="94" t="shared">Q108-E108</f>
        <v>-8497.8338561522178</v>
      </c>
      <c r="AD108" s="7">
        <f ref="AD108:AD115" si="95" t="shared">R108-F108</f>
        <v>-33312.309624817135</v>
      </c>
      <c r="AE108" s="7">
        <f ref="AE108:AF115" si="96" t="shared">S108-G108</f>
        <v>310.01285837995329</v>
      </c>
      <c r="AF108" s="7">
        <f si="90" t="shared"/>
        <v>-10547.664270001231</v>
      </c>
      <c r="AG108" s="7">
        <f si="91" t="shared"/>
        <v>-49682.864504028112</v>
      </c>
      <c r="AH108" s="33"/>
    </row>
    <row r="109" spans="1:34" x14ac:dyDescent="0.2">
      <c r="A109" s="3" t="s">
        <v>212</v>
      </c>
      <c r="B109" s="7">
        <f>output_NHTS!B297</f>
        <v>70026.031617185494</v>
      </c>
      <c r="C109" s="7">
        <f>output_NHTS!C297</f>
        <v>9590.7289506468005</v>
      </c>
      <c r="D109" s="7">
        <f>output_NHTS!D297</f>
        <v>57117.033784888896</v>
      </c>
      <c r="E109" s="7">
        <f>output_NHTS!E297</f>
        <v>59810.472862319199</v>
      </c>
      <c r="F109" s="7">
        <f>output_NHTS!F297</f>
        <v>201421.86230743869</v>
      </c>
      <c r="G109" s="7">
        <f>output_NHTS!G297</f>
        <v>28115.7393296562</v>
      </c>
      <c r="H109" s="7">
        <f>output_NHTS!H297</f>
        <v>819727.54442453838</v>
      </c>
      <c r="I109" s="7">
        <f si="92" t="shared"/>
        <v>1245809.4132766738</v>
      </c>
      <c r="J109" s="33"/>
      <c r="M109" s="3" t="s">
        <v>212</v>
      </c>
      <c r="N109" s="7">
        <f>output!B297</f>
        <v>62071.136015470438</v>
      </c>
      <c r="O109" s="7">
        <f>output!C297</f>
        <v>5958.7865994446774</v>
      </c>
      <c r="P109" s="7">
        <f>output!D297</f>
        <v>50205.161806806304</v>
      </c>
      <c r="Q109" s="7">
        <f>output!E297</f>
        <v>41312.39854825048</v>
      </c>
      <c r="R109" s="7">
        <f>output!F297</f>
        <v>193284.27185212509</v>
      </c>
      <c r="S109" s="7">
        <f>output!G297</f>
        <v>29508.975372594967</v>
      </c>
      <c r="T109" s="7">
        <f>output!H297</f>
        <v>850398.91872919328</v>
      </c>
      <c r="U109" s="7">
        <f si="93" t="shared"/>
        <v>1232739.6489238853</v>
      </c>
      <c r="V109" s="33"/>
      <c r="W109" s="25"/>
      <c r="Y109" s="3" t="s">
        <v>212</v>
      </c>
      <c r="Z109" s="7">
        <f si="85" t="shared"/>
        <v>-7954.8956017150558</v>
      </c>
      <c r="AA109" s="7">
        <f si="86" t="shared"/>
        <v>-3631.9423512021231</v>
      </c>
      <c r="AB109" s="7">
        <f si="87" t="shared"/>
        <v>-6911.8719780825922</v>
      </c>
      <c r="AC109" s="7">
        <f si="94" t="shared"/>
        <v>-18498.074314068719</v>
      </c>
      <c r="AD109" s="7">
        <f si="95" t="shared"/>
        <v>-8137.5904553135915</v>
      </c>
      <c r="AE109" s="7">
        <f si="96" t="shared"/>
        <v>1393.2360429387663</v>
      </c>
      <c r="AF109" s="7">
        <f si="90" t="shared"/>
        <v>30671.374304654892</v>
      </c>
      <c r="AG109" s="7">
        <f si="91" t="shared"/>
        <v>-13069.76435278845</v>
      </c>
      <c r="AH109" s="33"/>
    </row>
    <row r="110" spans="1:34" x14ac:dyDescent="0.2">
      <c r="A110" s="3" t="s">
        <v>213</v>
      </c>
      <c r="B110" s="7">
        <f>output_NHTS!B298</f>
        <v>55292.872301563802</v>
      </c>
      <c r="C110" s="7">
        <f>output_NHTS!C298</f>
        <v>11941.9436546048</v>
      </c>
      <c r="D110" s="7">
        <f>output_NHTS!D298</f>
        <v>60941.5413613852</v>
      </c>
      <c r="E110" s="7">
        <f>output_NHTS!E298</f>
        <v>58794.195004650799</v>
      </c>
      <c r="F110" s="7">
        <f>output_NHTS!F298</f>
        <v>316259.57867141609</v>
      </c>
      <c r="G110" s="7">
        <f>output_NHTS!G298</f>
        <v>53976.252527494798</v>
      </c>
      <c r="H110" s="7">
        <f>output_NHTS!H298</f>
        <v>1289019.8309533622</v>
      </c>
      <c r="I110" s="7">
        <f si="92" t="shared"/>
        <v>1846226.2144744778</v>
      </c>
      <c r="J110" s="33"/>
      <c r="M110" s="3" t="s">
        <v>213</v>
      </c>
      <c r="N110" s="7">
        <f>output!B298</f>
        <v>87570.175212791772</v>
      </c>
      <c r="O110" s="7">
        <f>output!C298</f>
        <v>10525.392389905934</v>
      </c>
      <c r="P110" s="7">
        <f>output!D298</f>
        <v>73324.692497449316</v>
      </c>
      <c r="Q110" s="7">
        <f>output!E298</f>
        <v>56111.209411309843</v>
      </c>
      <c r="R110" s="7">
        <f>output!F298</f>
        <v>310240.56159418437</v>
      </c>
      <c r="S110" s="7">
        <f>output!G298</f>
        <v>57939.50125382586</v>
      </c>
      <c r="T110" s="7">
        <f>output!H298</f>
        <v>1228066.864703716</v>
      </c>
      <c r="U110" s="7">
        <f si="93" t="shared"/>
        <v>1823778.3970631831</v>
      </c>
      <c r="V110" s="33"/>
      <c r="W110" s="25"/>
      <c r="Y110" s="3" t="s">
        <v>213</v>
      </c>
      <c r="Z110" s="7">
        <f si="85" t="shared"/>
        <v>32277.302911227969</v>
      </c>
      <c r="AA110" s="7">
        <f si="86" t="shared"/>
        <v>-1416.5512646988664</v>
      </c>
      <c r="AB110" s="7">
        <f si="87" t="shared"/>
        <v>12383.151136064116</v>
      </c>
      <c r="AC110" s="7">
        <f si="94" t="shared"/>
        <v>-2682.9855933409563</v>
      </c>
      <c r="AD110" s="7">
        <f si="95" t="shared"/>
        <v>-6019.0170772317215</v>
      </c>
      <c r="AE110" s="7">
        <f si="96" t="shared"/>
        <v>3963.2487263310613</v>
      </c>
      <c r="AF110" s="7">
        <f si="90" t="shared"/>
        <v>-60952.966249646153</v>
      </c>
      <c r="AG110" s="7">
        <f si="91" t="shared"/>
        <v>-22447.817411294673</v>
      </c>
      <c r="AH110" s="33"/>
    </row>
    <row r="111" spans="1:34" x14ac:dyDescent="0.2">
      <c r="A111" s="3" t="s">
        <v>214</v>
      </c>
      <c r="B111" s="7">
        <f>output_NHTS!B299</f>
        <v>66071.146098922196</v>
      </c>
      <c r="C111" s="7">
        <f>output_NHTS!C299</f>
        <v>15058.9825684676</v>
      </c>
      <c r="D111" s="7">
        <f>output_NHTS!D299</f>
        <v>73049.531360591995</v>
      </c>
      <c r="E111" s="7">
        <f>output_NHTS!E299</f>
        <v>59055.176237026099</v>
      </c>
      <c r="F111" s="7">
        <f>output_NHTS!F299</f>
        <v>341603.82782808488</v>
      </c>
      <c r="G111" s="7">
        <f>output_NHTS!G299</f>
        <v>83582.991327303898</v>
      </c>
      <c r="H111" s="7">
        <f>output_NHTS!H299</f>
        <v>1403722.7196379008</v>
      </c>
      <c r="I111" s="7">
        <f si="92" t="shared"/>
        <v>2042144.3750582975</v>
      </c>
      <c r="J111" s="33"/>
      <c r="M111" s="3" t="s">
        <v>214</v>
      </c>
      <c r="N111" s="7">
        <f>output!B299</f>
        <v>93186.83753999378</v>
      </c>
      <c r="O111" s="7">
        <f>output!C299</f>
        <v>14953.277265021257</v>
      </c>
      <c r="P111" s="7">
        <f>output!D299</f>
        <v>76398.601470707043</v>
      </c>
      <c r="Q111" s="7">
        <f>output!E299</f>
        <v>62595.982822208884</v>
      </c>
      <c r="R111" s="7">
        <f>output!F299</f>
        <v>330640.40477095055</v>
      </c>
      <c r="S111" s="7">
        <f>output!G299</f>
        <v>81093.950953564432</v>
      </c>
      <c r="T111" s="7">
        <f>output!H299</f>
        <v>1358909.220367908</v>
      </c>
      <c r="U111" s="7">
        <f si="93" t="shared"/>
        <v>2017778.2751903539</v>
      </c>
      <c r="V111" s="33"/>
      <c r="W111" s="25"/>
      <c r="Y111" s="3" t="s">
        <v>214</v>
      </c>
      <c r="Z111" s="7">
        <f si="85" t="shared"/>
        <v>27115.691441071584</v>
      </c>
      <c r="AA111" s="7">
        <f si="86" t="shared"/>
        <v>-105.70530344634244</v>
      </c>
      <c r="AB111" s="7">
        <f si="87" t="shared"/>
        <v>3349.070110115048</v>
      </c>
      <c r="AC111" s="7">
        <f si="94" t="shared"/>
        <v>3540.8065851827851</v>
      </c>
      <c r="AD111" s="7">
        <f si="95" t="shared"/>
        <v>-10963.423057134321</v>
      </c>
      <c r="AE111" s="7">
        <f si="96" t="shared"/>
        <v>-2489.0403737394663</v>
      </c>
      <c r="AF111" s="7">
        <f si="90" t="shared"/>
        <v>-44813.499269992812</v>
      </c>
      <c r="AG111" s="7">
        <f si="91" t="shared"/>
        <v>-24366.099867943674</v>
      </c>
      <c r="AH111" s="33"/>
    </row>
    <row r="112" spans="1:34" x14ac:dyDescent="0.2">
      <c r="A112" s="3" t="s">
        <v>129</v>
      </c>
      <c r="B112" s="7">
        <f>output_NHTS!B300</f>
        <v>42106.779806808401</v>
      </c>
      <c r="C112" s="7">
        <f>output_NHTS!C300</f>
        <v>10385.803995926201</v>
      </c>
      <c r="D112" s="7">
        <f>output_NHTS!D300</f>
        <v>13490.268722328599</v>
      </c>
      <c r="E112" s="7">
        <f>output_NHTS!E300</f>
        <v>37115.394703387901</v>
      </c>
      <c r="F112" s="7">
        <f>output_NHTS!F300</f>
        <v>167218.32137992649</v>
      </c>
      <c r="G112" s="7">
        <f>output_NHTS!G300</f>
        <v>82584.158815259696</v>
      </c>
      <c r="H112" s="7">
        <f>output_NHTS!H300</f>
        <v>475204.28760122182</v>
      </c>
      <c r="I112" s="7">
        <f si="92" t="shared"/>
        <v>828105.01502485911</v>
      </c>
      <c r="J112" s="33"/>
      <c r="M112" s="3" t="s">
        <v>129</v>
      </c>
      <c r="N112" s="7">
        <f>output!B300</f>
        <v>46630.591738827192</v>
      </c>
      <c r="O112" s="7">
        <f>output!C300</f>
        <v>7727.3660752290471</v>
      </c>
      <c r="P112" s="7">
        <f>output!D300</f>
        <v>36562.63402171171</v>
      </c>
      <c r="Q112" s="7">
        <f>output!E300</f>
        <v>30926.948577097766</v>
      </c>
      <c r="R112" s="7">
        <f>output!F300</f>
        <v>166443.98091808727</v>
      </c>
      <c r="S112" s="7">
        <f>output!G300</f>
        <v>47601.701877318221</v>
      </c>
      <c r="T112" s="7">
        <f>output!H300</f>
        <v>495043.25059852691</v>
      </c>
      <c r="U112" s="7">
        <f si="93" t="shared"/>
        <v>830936.47380679811</v>
      </c>
      <c r="V112" s="33"/>
      <c r="W112" s="25"/>
      <c r="Y112" s="3" t="s">
        <v>129</v>
      </c>
      <c r="Z112" s="7">
        <f si="85" t="shared"/>
        <v>4523.8119320187907</v>
      </c>
      <c r="AA112" s="7">
        <f si="86" t="shared"/>
        <v>-2658.4379206971535</v>
      </c>
      <c r="AB112" s="7">
        <f si="87" t="shared"/>
        <v>23072.365299383113</v>
      </c>
      <c r="AC112" s="7">
        <f si="94" t="shared"/>
        <v>-6188.446126290135</v>
      </c>
      <c r="AD112" s="7">
        <f si="95" t="shared"/>
        <v>-774.34046183922328</v>
      </c>
      <c r="AE112" s="7">
        <f si="96" t="shared"/>
        <v>-34982.456937941475</v>
      </c>
      <c r="AF112" s="7">
        <f si="90" t="shared"/>
        <v>19838.962997305091</v>
      </c>
      <c r="AG112" s="7">
        <f si="91" t="shared"/>
        <v>2831.4587819389999</v>
      </c>
      <c r="AH112" s="33"/>
    </row>
    <row r="113" spans="1:34" x14ac:dyDescent="0.2">
      <c r="A113" s="3" t="s">
        <v>130</v>
      </c>
      <c r="B113" s="7">
        <f>output_NHTS!B301</f>
        <v>72331.766635122098</v>
      </c>
      <c r="C113" s="7">
        <f>output_NHTS!C301</f>
        <v>10877.522436389399</v>
      </c>
      <c r="D113" s="7">
        <f>output_NHTS!D301</f>
        <v>49294.555866011797</v>
      </c>
      <c r="E113" s="7">
        <f>output_NHTS!E301</f>
        <v>59356.353783971601</v>
      </c>
      <c r="F113" s="7">
        <f>output_NHTS!F301</f>
        <v>369521.96244732628</v>
      </c>
      <c r="G113" s="7">
        <f>output_NHTS!G301</f>
        <v>67351.171172335104</v>
      </c>
      <c r="H113" s="7">
        <f>output_NHTS!H301</f>
        <v>1087413.733419182</v>
      </c>
      <c r="I113" s="7">
        <f si="92" t="shared"/>
        <v>1716147.0657603382</v>
      </c>
      <c r="J113" s="33"/>
      <c r="M113" s="3" t="s">
        <v>130</v>
      </c>
      <c r="N113" s="7">
        <f>output!B301</f>
        <v>84860.023970789189</v>
      </c>
      <c r="O113" s="7">
        <f>output!C301</f>
        <v>8493.0935440625562</v>
      </c>
      <c r="P113" s="7">
        <f>output!D301</f>
        <v>70938.65714860872</v>
      </c>
      <c r="Q113" s="7">
        <f>output!E301</f>
        <v>56985.621657549877</v>
      </c>
      <c r="R113" s="7">
        <f>output!F301</f>
        <v>299185.8172868304</v>
      </c>
      <c r="S113" s="7">
        <f>output!G301</f>
        <v>44709.159222848735</v>
      </c>
      <c r="T113" s="7">
        <f>output!H301</f>
        <v>1139707.1040680795</v>
      </c>
      <c r="U113" s="7">
        <f si="93" t="shared"/>
        <v>1704879.4768987689</v>
      </c>
      <c r="V113" s="33"/>
      <c r="W113" s="25"/>
      <c r="Y113" s="3" t="s">
        <v>130</v>
      </c>
      <c r="Z113" s="7">
        <f si="85" t="shared"/>
        <v>12528.257335667091</v>
      </c>
      <c r="AA113" s="7">
        <f si="86" t="shared"/>
        <v>-2384.4288923268432</v>
      </c>
      <c r="AB113" s="7">
        <f si="87" t="shared"/>
        <v>21644.101282596923</v>
      </c>
      <c r="AC113" s="7">
        <f si="94" t="shared"/>
        <v>-2370.7321264217244</v>
      </c>
      <c r="AD113" s="7">
        <f si="95" t="shared"/>
        <v>-70336.145160495886</v>
      </c>
      <c r="AE113" s="7">
        <f si="96" t="shared"/>
        <v>-22642.011949486368</v>
      </c>
      <c r="AF113" s="7">
        <f si="90" t="shared"/>
        <v>52293.370648897486</v>
      </c>
      <c r="AG113" s="7">
        <f si="91" t="shared"/>
        <v>-11267.588861569297</v>
      </c>
      <c r="AH113" s="33"/>
    </row>
    <row r="114" spans="1:34" x14ac:dyDescent="0.2">
      <c r="A114" s="8" t="s">
        <v>145</v>
      </c>
      <c r="B114" s="7">
        <f>output_NHTS!B302</f>
        <v>241769.65931290659</v>
      </c>
      <c r="C114" s="7">
        <f>output_NHTS!C302</f>
        <v>58553.092879586402</v>
      </c>
      <c r="D114" s="7">
        <f>output_NHTS!D302</f>
        <v>262977.97054264991</v>
      </c>
      <c r="E114" s="7">
        <f>output_NHTS!E302</f>
        <v>223892.79211616231</v>
      </c>
      <c r="F114" s="7">
        <f>output_NHTS!F302</f>
        <v>1060346.0925459838</v>
      </c>
      <c r="G114" s="7">
        <f>output_NHTS!G302</f>
        <v>288141.4278706219</v>
      </c>
      <c r="H114" s="7">
        <f>output_NHTS!H302</f>
        <v>3762087.1603191569</v>
      </c>
      <c r="I114" s="7">
        <f si="92" t="shared"/>
        <v>5897768.1955870679</v>
      </c>
      <c r="J114" s="33"/>
      <c r="M114" s="8" t="s">
        <v>145</v>
      </c>
      <c r="N114" s="7">
        <f>output!B302</f>
        <v>302607.46382653987</v>
      </c>
      <c r="O114" s="7">
        <f>output!C302</f>
        <v>45286.412770479401</v>
      </c>
      <c r="P114" s="7">
        <f>output!D302</f>
        <v>249958.09079330045</v>
      </c>
      <c r="Q114" s="7">
        <f>output!E302</f>
        <v>179792.26301116243</v>
      </c>
      <c r="R114" s="7">
        <f>output!F302</f>
        <v>993200.47099062626</v>
      </c>
      <c r="S114" s="7">
        <f>output!G302</f>
        <v>219746.38736612935</v>
      </c>
      <c r="T114" s="7">
        <f>output!H302</f>
        <v>3776074.3095476073</v>
      </c>
      <c r="U114" s="7">
        <f si="93" t="shared"/>
        <v>5766665.3983058445</v>
      </c>
      <c r="V114" s="33"/>
      <c r="W114" s="25"/>
      <c r="Y114" s="8" t="s">
        <v>145</v>
      </c>
      <c r="Z114" s="7">
        <f si="85" t="shared"/>
        <v>60837.80451363328</v>
      </c>
      <c r="AA114" s="7">
        <f si="86" t="shared"/>
        <v>-13266.680109107001</v>
      </c>
      <c r="AB114" s="7">
        <f si="87" t="shared"/>
        <v>-13019.879749349464</v>
      </c>
      <c r="AC114" s="7">
        <f si="94" t="shared"/>
        <v>-44100.529104999878</v>
      </c>
      <c r="AD114" s="7">
        <f si="95" t="shared"/>
        <v>-67145.621555357589</v>
      </c>
      <c r="AE114" s="7">
        <f si="96" t="shared"/>
        <v>-68395.040504492557</v>
      </c>
      <c r="AF114" s="7">
        <f si="90" t="shared"/>
        <v>13987.149228450377</v>
      </c>
      <c r="AG114" s="7">
        <f si="91" t="shared"/>
        <v>-131102.79728122335</v>
      </c>
      <c r="AH114" s="33"/>
    </row>
    <row ht="13.5" r="115" spans="1:34" thickBot="1" x14ac:dyDescent="0.25">
      <c r="A115" s="10" t="s">
        <v>221</v>
      </c>
      <c r="B115" s="11">
        <f>SUM(B107:B114)</f>
        <v>692993.45823216683</v>
      </c>
      <c r="C115" s="11">
        <f>SUM(C107:C114)</f>
        <v>142569.59408216699</v>
      </c>
      <c r="D115" s="11">
        <f>SUM(D107:D114)</f>
        <v>636352.25373368058</v>
      </c>
      <c r="E115" s="11">
        <f>SUM(E107:E114)</f>
        <v>604619.27131534624</v>
      </c>
      <c r="F115" s="11">
        <f ref="F115:G115" si="97" t="shared">SUM(F107:F114)</f>
        <v>3162400.6913505145</v>
      </c>
      <c r="G115" s="11">
        <f si="97" t="shared"/>
        <v>742577.98215428041</v>
      </c>
      <c r="H115" s="11">
        <f ref="H115" si="98" t="shared">SUM(H107:H114)</f>
        <v>10767930.782050777</v>
      </c>
      <c r="I115" s="11">
        <f>SUM(I107:I114)</f>
        <v>16749444.032918934</v>
      </c>
      <c r="J115" s="33"/>
      <c r="M115" s="10" t="s">
        <v>221</v>
      </c>
      <c r="N115" s="11">
        <f>SUM(N107:N114)</f>
        <v>836633.34670653124</v>
      </c>
      <c r="O115" s="11">
        <f>SUM(O107:O114)</f>
        <v>109113.19526819192</v>
      </c>
      <c r="P115" s="11">
        <f>SUM(P107:P114)</f>
        <v>686004.47437677265</v>
      </c>
      <c r="Q115" s="11">
        <f>SUM(Q107:Q114)</f>
        <v>527606.75174739677</v>
      </c>
      <c r="R115" s="11">
        <f ref="R115:S115" si="99" t="shared">SUM(R107:R114)</f>
        <v>2873696.733104635</v>
      </c>
      <c r="S115" s="11">
        <f si="99" t="shared"/>
        <v>587423.38718755508</v>
      </c>
      <c r="T115" s="11">
        <f ref="T115" si="100" t="shared">SUM(T107:T114)</f>
        <v>10806854.430026285</v>
      </c>
      <c r="U115" s="11">
        <f>SUM(U107:U114)</f>
        <v>16427332.318417368</v>
      </c>
      <c r="V115" s="33"/>
      <c r="W115" s="25"/>
      <c r="Y115" s="10" t="s">
        <v>221</v>
      </c>
      <c r="Z115" s="11">
        <f si="85" t="shared"/>
        <v>143639.88847436442</v>
      </c>
      <c r="AA115" s="11">
        <f si="86" t="shared"/>
        <v>-33456.398813975073</v>
      </c>
      <c r="AB115" s="11">
        <f si="87" t="shared"/>
        <v>49652.220643092063</v>
      </c>
      <c r="AC115" s="11">
        <f si="88" t="shared"/>
        <v>-77012.519567949465</v>
      </c>
      <c r="AD115" s="11">
        <f si="95" t="shared"/>
        <v>-288703.9582458795</v>
      </c>
      <c r="AE115" s="11">
        <f si="96" t="shared"/>
        <v>-155154.59496672533</v>
      </c>
      <c r="AF115" s="11">
        <f si="96" t="shared"/>
        <v>38923.647975508124</v>
      </c>
      <c r="AG115" s="11">
        <f si="91" t="shared"/>
        <v>-322111.71450156532</v>
      </c>
      <c r="AH115" s="33"/>
    </row>
    <row r="116" spans="1:34" x14ac:dyDescent="0.2">
      <c r="G116" s="25"/>
      <c r="H116" s="25"/>
      <c r="I116" s="25"/>
      <c r="J116" s="25"/>
      <c r="S116" s="25"/>
      <c r="T116" s="25"/>
      <c r="U116" s="25"/>
      <c r="V116" s="25"/>
      <c r="W116" s="25"/>
      <c r="AE116" s="25"/>
      <c r="AF116" s="25"/>
      <c r="AG116" s="25"/>
      <c r="AH116" s="25"/>
    </row>
    <row r="117" spans="1:34" x14ac:dyDescent="0.2">
      <c r="A117" s="25" t="s">
        <v>88</v>
      </c>
      <c r="B117" s="7">
        <f>ToursByTourPurpose!B118</f>
        <v>151396.64790000001</v>
      </c>
      <c r="C117" s="7">
        <f>ToursByTourPurpose!C118</f>
        <v>8845.8525000000009</v>
      </c>
      <c r="D117" s="7">
        <f>ToursByTourPurpose!D118</f>
        <v>131529.91500000001</v>
      </c>
      <c r="E117" s="7">
        <f>ToursByTourPurpose!E118</f>
        <v>123832.13039999999</v>
      </c>
      <c r="F117" s="7">
        <f>ToursByTourPurpose!F118</f>
        <v>636827.67330000002</v>
      </c>
      <c r="G117" s="7">
        <f>ToursByTourPurpose!G118</f>
        <v>54534.662199999999</v>
      </c>
      <c r="H117" s="7">
        <f>ToursByTourPurpose!H118</f>
        <v>2601551.0852999999</v>
      </c>
      <c r="I117" s="7">
        <f>ToursByTourPurpose!I118</f>
        <v>3708517.9665999999</v>
      </c>
      <c r="J117" s="33"/>
      <c r="M117" s="25" t="s">
        <v>88</v>
      </c>
      <c r="N117" s="7">
        <f>ToursByTourPurpose!N118</f>
        <v>152941.5</v>
      </c>
      <c r="O117" s="7">
        <f>ToursByTourPurpose!O118</f>
        <v>9701</v>
      </c>
      <c r="P117" s="7">
        <f>ToursByTourPurpose!P118</f>
        <v>135841.5</v>
      </c>
      <c r="Q117" s="7">
        <f>ToursByTourPurpose!Q118</f>
        <v>108932</v>
      </c>
      <c r="R117" s="7">
        <f>ToursByTourPurpose!R118</f>
        <v>623275.53186630248</v>
      </c>
      <c r="S117" s="7">
        <f>ToursByTourPurpose!S118</f>
        <v>54870.858576608582</v>
      </c>
      <c r="T117" s="7">
        <f>ToursByTourPurpose!T118</f>
        <v>2656912.4280209807</v>
      </c>
      <c r="U117" s="7">
        <f>ToursByTourPurpose!U118</f>
        <v>3742474.8184638917</v>
      </c>
      <c r="V117" s="33"/>
      <c r="W117" s="25"/>
      <c r="Y117" s="3" t="s">
        <v>88</v>
      </c>
      <c r="Z117" s="7">
        <f ref="Z117:AC118" si="101" t="shared">N117-B117</f>
        <v>1544.8520999999892</v>
      </c>
      <c r="AA117" s="7">
        <f si="101" t="shared"/>
        <v>855.14749999999913</v>
      </c>
      <c r="AB117" s="7">
        <f si="101" t="shared"/>
        <v>4311.5849999999919</v>
      </c>
      <c r="AC117" s="7">
        <f si="101" t="shared"/>
        <v>-14900.130399999995</v>
      </c>
      <c r="AD117" s="7">
        <f ref="AD117:AD118" si="102" t="shared">R117-F117</f>
        <v>-13552.141433697543</v>
      </c>
      <c r="AE117" s="7">
        <f ref="AE117:AF118" si="103" t="shared">S117-G117</f>
        <v>336.1963766085828</v>
      </c>
      <c r="AF117" s="7">
        <f si="103" t="shared"/>
        <v>55361.342720980756</v>
      </c>
      <c r="AG117" s="7">
        <f ref="AG117:AG118" si="104" t="shared">U117-I117</f>
        <v>33956.851863891818</v>
      </c>
      <c r="AH117" s="33"/>
    </row>
    <row r="118" spans="1:34" x14ac:dyDescent="0.2">
      <c r="A118" s="25" t="s">
        <v>91</v>
      </c>
      <c r="B118" s="38">
        <f>B115/B117</f>
        <v>4.5773368687125782</v>
      </c>
      <c r="C118" s="38">
        <f>C115/C117</f>
        <v>16.117111842207066</v>
      </c>
      <c r="D118" s="38">
        <f>D115/D117</f>
        <v>4.838080019542935</v>
      </c>
      <c r="E118" s="38">
        <f>E115/E117</f>
        <v>4.8825718281864132</v>
      </c>
      <c r="F118" s="38">
        <f ref="F118:I118" si="105" t="shared">F115/F117</f>
        <v>4.9658656869654516</v>
      </c>
      <c r="G118" s="38">
        <f si="105" t="shared"/>
        <v>13.616623853485251</v>
      </c>
      <c r="H118" s="38">
        <f si="105" t="shared"/>
        <v>4.1390426053498253</v>
      </c>
      <c r="I118" s="38">
        <f si="105" t="shared"/>
        <v>4.5164791390440433</v>
      </c>
      <c r="J118" s="103"/>
      <c r="M118" s="25" t="s">
        <v>91</v>
      </c>
      <c r="N118" s="38">
        <f>N115/N117</f>
        <v>5.4702833874816923</v>
      </c>
      <c r="O118" s="38">
        <f>O115/O117</f>
        <v>11.247623468528184</v>
      </c>
      <c r="P118" s="38">
        <f>P115/P117</f>
        <v>5.0500360668630178</v>
      </c>
      <c r="Q118" s="38">
        <f>Q115/Q117</f>
        <v>4.8434505172712958</v>
      </c>
      <c r="R118" s="38">
        <f ref="R118:U118" si="106" t="shared">R115/R117</f>
        <v>4.6106362053068137</v>
      </c>
      <c r="S118" s="38">
        <f si="106" t="shared"/>
        <v>10.705562158598578</v>
      </c>
      <c r="T118" s="38">
        <f ref="T118" si="107" t="shared">T115/T117</f>
        <v>4.0674484849603587</v>
      </c>
      <c r="U118" s="38">
        <f si="106" t="shared"/>
        <v>4.3894302875122637</v>
      </c>
      <c r="V118" s="103"/>
      <c r="W118" s="25"/>
      <c r="Y118" s="3" t="s">
        <v>91</v>
      </c>
      <c r="Z118" s="38">
        <f si="101" t="shared"/>
        <v>0.89294651876911413</v>
      </c>
      <c r="AA118" s="38">
        <f si="101" t="shared"/>
        <v>-4.8694883736788821</v>
      </c>
      <c r="AB118" s="38">
        <f si="101" t="shared"/>
        <v>0.21195604732008277</v>
      </c>
      <c r="AC118" s="38">
        <f si="101" t="shared"/>
        <v>-3.9121310915117391E-2</v>
      </c>
      <c r="AD118" s="38">
        <f si="102" t="shared"/>
        <v>-0.35522948165863788</v>
      </c>
      <c r="AE118" s="38">
        <f si="103" t="shared"/>
        <v>-2.9110616948866728</v>
      </c>
      <c r="AF118" s="38">
        <f si="103" t="shared"/>
        <v>-7.1594120389466553E-2</v>
      </c>
      <c r="AG118" s="38">
        <f si="104" t="shared"/>
        <v>-0.12704885153177958</v>
      </c>
      <c r="AH118" s="103"/>
    </row>
    <row r="119" spans="1:34" x14ac:dyDescent="0.2">
      <c r="G119" s="25"/>
      <c r="H119" s="25"/>
      <c r="I119" s="25"/>
      <c r="J119" s="25"/>
      <c r="S119" s="25"/>
      <c r="T119" s="25"/>
      <c r="U119" s="25"/>
      <c r="V119" s="25"/>
      <c r="W119" s="25"/>
      <c r="AE119" s="25"/>
      <c r="AF119" s="25"/>
      <c r="AG119" s="25"/>
      <c r="AH119" s="25"/>
    </row>
    <row r="120" spans="1:34" x14ac:dyDescent="0.2">
      <c r="A120" s="2" t="s">
        <v>175</v>
      </c>
      <c r="G120" s="25"/>
      <c r="H120" s="25"/>
      <c r="I120" s="25"/>
      <c r="J120" s="25"/>
      <c r="M120" s="2" t="s">
        <v>175</v>
      </c>
      <c r="S120" s="25"/>
      <c r="T120" s="25"/>
      <c r="U120" s="25"/>
      <c r="V120" s="25"/>
      <c r="W120" s="25"/>
      <c r="Y120" s="2" t="s">
        <v>175</v>
      </c>
      <c r="AE120" s="25"/>
      <c r="AF120" s="25"/>
      <c r="AG120" s="25"/>
      <c r="AH120" s="25"/>
    </row>
    <row r="121" spans="1:34" x14ac:dyDescent="0.2">
      <c r="A121" s="2" t="s">
        <v>315</v>
      </c>
      <c r="G121" s="25"/>
      <c r="H121" s="25"/>
      <c r="I121" s="25"/>
      <c r="J121" s="25"/>
      <c r="M121" s="2" t="s">
        <v>314</v>
      </c>
      <c r="S121" s="25"/>
      <c r="T121" s="25"/>
      <c r="U121" s="25"/>
      <c r="V121" s="25"/>
      <c r="W121" s="25"/>
      <c r="Y121" s="279" t="s">
        <v>313</v>
      </c>
      <c r="Z121" s="279"/>
      <c r="AA121" s="279"/>
      <c r="AE121" s="25"/>
      <c r="AF121" s="25"/>
      <c r="AG121" s="25"/>
      <c r="AH121" s="25"/>
    </row>
    <row ht="13.5" r="122" spans="1:34" thickBot="1" x14ac:dyDescent="0.25">
      <c r="B122" s="15"/>
      <c r="C122" s="15"/>
      <c r="D122" s="15"/>
      <c r="E122" s="15"/>
      <c r="F122" s="15"/>
      <c r="G122" s="25"/>
      <c r="H122" s="25"/>
      <c r="I122" s="25"/>
      <c r="J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Z122" s="15"/>
      <c r="AA122" s="15"/>
      <c r="AB122" s="15"/>
      <c r="AC122" s="15"/>
      <c r="AD122" s="15"/>
      <c r="AE122" s="25"/>
      <c r="AF122" s="25"/>
      <c r="AG122" s="25"/>
      <c r="AH122" s="25"/>
    </row>
    <row r="123" spans="1:34" x14ac:dyDescent="0.2">
      <c r="A123" s="5" t="s">
        <v>144</v>
      </c>
      <c r="B123" s="6" t="str">
        <f>B106</f>
        <v>Bellevue</v>
      </c>
      <c r="C123" s="6" t="str">
        <f ref="C123:G123" si="108" t="shared">C106</f>
        <v>Bellevue Downtown</v>
      </c>
      <c r="D123" s="6" t="str">
        <f si="108" t="shared"/>
        <v>Kirkland</v>
      </c>
      <c r="E123" s="6" t="str">
        <f si="108" t="shared"/>
        <v>Redmond</v>
      </c>
      <c r="F123" s="6" t="str">
        <f si="108" t="shared"/>
        <v>Seattle</v>
      </c>
      <c r="G123" s="6" t="str">
        <f si="108" t="shared"/>
        <v>Seattle Downtown</v>
      </c>
      <c r="H123" s="6" t="str">
        <f>H106</f>
        <v>Rest</v>
      </c>
      <c r="I123" s="6" t="s">
        <v>221</v>
      </c>
      <c r="J123" s="89"/>
      <c r="M123" s="5" t="s">
        <v>144</v>
      </c>
      <c r="N123" s="6" t="str">
        <f>B106</f>
        <v>Bellevue</v>
      </c>
      <c r="O123" s="6" t="str">
        <f ref="O123:S123" si="109" t="shared">C106</f>
        <v>Bellevue Downtown</v>
      </c>
      <c r="P123" s="6" t="str">
        <f si="109" t="shared"/>
        <v>Kirkland</v>
      </c>
      <c r="Q123" s="6" t="str">
        <f si="109" t="shared"/>
        <v>Redmond</v>
      </c>
      <c r="R123" s="6" t="str">
        <f si="109" t="shared"/>
        <v>Seattle</v>
      </c>
      <c r="S123" s="6" t="str">
        <f si="109" t="shared"/>
        <v>Seattle Downtown</v>
      </c>
      <c r="T123" s="6" t="str">
        <f>H106</f>
        <v>Rest</v>
      </c>
      <c r="U123" s="6" t="s">
        <v>221</v>
      </c>
      <c r="V123" s="89"/>
      <c r="W123" s="25"/>
      <c r="Y123" s="5" t="s">
        <v>144</v>
      </c>
      <c r="Z123" s="6" t="str">
        <f>B106</f>
        <v>Bellevue</v>
      </c>
      <c r="AA123" s="6" t="str">
        <f ref="AA123:AF123" si="110" t="shared">C106</f>
        <v>Bellevue Downtown</v>
      </c>
      <c r="AB123" s="6" t="str">
        <f si="110" t="shared"/>
        <v>Kirkland</v>
      </c>
      <c r="AC123" s="6" t="str">
        <f si="110" t="shared"/>
        <v>Redmond</v>
      </c>
      <c r="AD123" s="6" t="str">
        <f si="110" t="shared"/>
        <v>Seattle</v>
      </c>
      <c r="AE123" s="6" t="str">
        <f si="110" t="shared"/>
        <v>Seattle Downtown</v>
      </c>
      <c r="AF123" s="6" t="str">
        <f si="110" t="shared"/>
        <v>Rest</v>
      </c>
      <c r="AG123" s="6" t="s">
        <v>221</v>
      </c>
      <c r="AH123" s="89"/>
    </row>
    <row r="124" spans="1:34" x14ac:dyDescent="0.2">
      <c r="A124" s="3" t="s">
        <v>210</v>
      </c>
      <c r="B124" s="12">
        <f ref="B124:G130" si="111" t="shared">B107/B$115</f>
        <v>0.15430028041022012</v>
      </c>
      <c r="C124" s="12">
        <f si="111" t="shared"/>
        <v>0.17363234267652017</v>
      </c>
      <c r="D124" s="12">
        <f>D107/D$115</f>
        <v>0.13585022294645893</v>
      </c>
      <c r="E124" s="12">
        <f>E107/E$115</f>
        <v>0.11936874586663286</v>
      </c>
      <c r="F124" s="12">
        <f ref="F124:G124" si="112" t="shared">F107/F$115</f>
        <v>0.16978515179712139</v>
      </c>
      <c r="G124" s="12">
        <f si="112" t="shared"/>
        <v>0.1780966270437524</v>
      </c>
      <c r="H124" s="12">
        <f ref="H124" si="113" t="shared">H107/H$115</f>
        <v>0.1243290933470224</v>
      </c>
      <c r="I124" s="12">
        <f ref="I124:I132" si="114" t="shared">I107/I$115</f>
        <v>0.13721359344407819</v>
      </c>
      <c r="J124" s="34"/>
      <c r="M124" s="3" t="s">
        <v>210</v>
      </c>
      <c r="N124" s="12">
        <f ref="N124:S132" si="115" t="shared">N107/N$115</f>
        <v>0.14170204742657952</v>
      </c>
      <c r="O124" s="12">
        <f si="115" t="shared"/>
        <v>0.13574812614925347</v>
      </c>
      <c r="P124" s="12">
        <f si="115" t="shared"/>
        <v>0.13973293734879944</v>
      </c>
      <c r="Q124" s="12">
        <f si="115" t="shared"/>
        <v>0.14017621811492784</v>
      </c>
      <c r="R124" s="12">
        <f si="115" t="shared"/>
        <v>0.1548225898179279</v>
      </c>
      <c r="S124" s="12">
        <f si="115" t="shared"/>
        <v>0.17012957483425711</v>
      </c>
      <c r="T124" s="12">
        <f ref="T124" si="116" t="shared">T107/T$115</f>
        <v>0.12743893247189397</v>
      </c>
      <c r="U124" s="12">
        <f ref="U124:U132" si="117" t="shared">U107/U$115</f>
        <v>0.13545992251266553</v>
      </c>
      <c r="V124" s="34"/>
      <c r="W124" s="25"/>
      <c r="Y124" s="3" t="s">
        <v>210</v>
      </c>
      <c r="Z124" s="12">
        <f ref="Z124:Z132" si="118" t="shared">N124-B124</f>
        <v>-1.25982329836406E-2</v>
      </c>
      <c r="AA124" s="12">
        <f ref="AA124:AA132" si="119" t="shared">O124-C124</f>
        <v>-3.7884216527266701E-2</v>
      </c>
      <c r="AB124" s="12">
        <f ref="AB124:AB132" si="120" t="shared">P124-D124</f>
        <v>3.8827144023405036E-3</v>
      </c>
      <c r="AC124" s="12">
        <f>Q124-E124</f>
        <v>2.0807472248294975E-2</v>
      </c>
      <c r="AD124" s="12">
        <f>R124-F124</f>
        <v>-1.4962561979193489E-2</v>
      </c>
      <c r="AE124" s="12">
        <f>S124-G124</f>
        <v>-7.9670522094952845E-3</v>
      </c>
      <c r="AF124" s="12">
        <f>T124-H124</f>
        <v>3.1098391248715745E-3</v>
      </c>
      <c r="AG124" s="12">
        <f ref="AG124:AG132" si="121" t="shared">U124-I124</f>
        <v>-1.7536709314126542E-3</v>
      </c>
      <c r="AH124" s="34"/>
    </row>
    <row r="125" spans="1:34" x14ac:dyDescent="0.2">
      <c r="A125" s="3" t="s">
        <v>211</v>
      </c>
      <c r="B125" s="12">
        <f si="111" t="shared"/>
        <v>5.5507187080978002E-2</v>
      </c>
      <c r="C125" s="12">
        <f si="111" t="shared"/>
        <v>9.8676508878029409E-3</v>
      </c>
      <c r="D125" s="12">
        <f si="111" t="shared"/>
        <v>5.1909545946931646E-2</v>
      </c>
      <c r="E125" s="12">
        <f si="111" t="shared"/>
        <v>5.693209610939555E-2</v>
      </c>
      <c r="F125" s="12">
        <f si="111" t="shared"/>
        <v>5.3472150195443727E-2</v>
      </c>
      <c r="G125" s="12">
        <f si="111" t="shared"/>
        <v>8.8551065760114761E-3</v>
      </c>
      <c r="H125" s="12">
        <f ref="H125" si="122" t="shared">H108/H$115</f>
        <v>5.497699106000415E-2</v>
      </c>
      <c r="I125" s="12">
        <f si="114" t="shared"/>
        <v>5.2240083197403579E-2</v>
      </c>
      <c r="J125" s="34"/>
      <c r="M125" s="3" t="s">
        <v>211</v>
      </c>
      <c r="N125" s="12">
        <f si="115" t="shared"/>
        <v>4.919055687949779E-2</v>
      </c>
      <c r="O125" s="12">
        <f si="115" t="shared"/>
        <v>1.2436211998916489E-2</v>
      </c>
      <c r="P125" s="12">
        <f si="115" t="shared"/>
        <v>4.7753648296339227E-2</v>
      </c>
      <c r="Q125" s="12">
        <f si="115" t="shared"/>
        <v>4.9135854539590226E-2</v>
      </c>
      <c r="R125" s="12">
        <f ref="R125:S125" si="123" t="shared">R108/R$115</f>
        <v>4.7252047704613664E-2</v>
      </c>
      <c r="S125" s="12">
        <f si="123" t="shared"/>
        <v>1.1721732878771447E-2</v>
      </c>
      <c r="T125" s="12">
        <f ref="T125" si="124" t="shared">T108/T$115</f>
        <v>5.3802961244119728E-2</v>
      </c>
      <c r="U125" s="12">
        <f si="117" t="shared"/>
        <v>5.0240018847163823E-2</v>
      </c>
      <c r="V125" s="34"/>
      <c r="W125" s="25"/>
      <c r="Y125" s="3" t="s">
        <v>211</v>
      </c>
      <c r="Z125" s="12">
        <f si="118" t="shared"/>
        <v>-6.3166302014802111E-3</v>
      </c>
      <c r="AA125" s="12">
        <f si="119" t="shared"/>
        <v>2.5685611111135476E-3</v>
      </c>
      <c r="AB125" s="12">
        <f si="120" t="shared"/>
        <v>-4.1558976505924189E-3</v>
      </c>
      <c r="AC125" s="12">
        <f ref="AC125:AC132" si="125" t="shared">Q125-E125</f>
        <v>-7.7962415698053233E-3</v>
      </c>
      <c r="AD125" s="12">
        <f ref="AD125:AD132" si="126" t="shared">R125-F125</f>
        <v>-6.2201024908300623E-3</v>
      </c>
      <c r="AE125" s="12">
        <f ref="AE125:AF132" si="127" t="shared">S125-G125</f>
        <v>2.8666263027599705E-3</v>
      </c>
      <c r="AF125" s="12">
        <f ref="AF125:AF131" si="128" t="shared">T125-H125</f>
        <v>-1.1740298158844226E-3</v>
      </c>
      <c r="AG125" s="12">
        <f si="121" t="shared"/>
        <v>-2.0000643502397566E-3</v>
      </c>
      <c r="AH125" s="34"/>
    </row>
    <row r="126" spans="1:34" x14ac:dyDescent="0.2">
      <c r="A126" s="3" t="s">
        <v>212</v>
      </c>
      <c r="B126" s="12">
        <f si="111" t="shared"/>
        <v>0.10104861854803449</v>
      </c>
      <c r="C126" s="12">
        <f si="111" t="shared"/>
        <v>6.7270507518730718E-2</v>
      </c>
      <c r="D126" s="12">
        <f si="111" t="shared"/>
        <v>8.9756944286384047E-2</v>
      </c>
      <c r="E126" s="12">
        <f si="111" t="shared"/>
        <v>9.8922538033235044E-2</v>
      </c>
      <c r="F126" s="12">
        <f si="111" t="shared"/>
        <v>6.3692707523859277E-2</v>
      </c>
      <c r="G126" s="12">
        <f si="111" t="shared"/>
        <v>3.7862339047664874E-2</v>
      </c>
      <c r="H126" s="12">
        <f ref="H126" si="129" t="shared">H109/H$115</f>
        <v>7.6126747191851779E-2</v>
      </c>
      <c r="I126" s="12">
        <f si="114" t="shared"/>
        <v>7.43791501872057E-2</v>
      </c>
      <c r="J126" s="34"/>
      <c r="M126" s="3" t="s">
        <v>212</v>
      </c>
      <c r="N126" s="12">
        <f si="115" t="shared"/>
        <v>7.4191563436740882E-2</v>
      </c>
      <c r="O126" s="12">
        <f si="115" t="shared"/>
        <v>5.4611054004957277E-2</v>
      </c>
      <c r="P126" s="12">
        <f si="115" t="shared"/>
        <v>7.3184889723083985E-2</v>
      </c>
      <c r="Q126" s="12">
        <f si="115" t="shared"/>
        <v>7.8301497112056848E-2</v>
      </c>
      <c r="R126" s="12">
        <f ref="R126:S126" si="130" t="shared">R109/R$115</f>
        <v>6.725980150428329E-2</v>
      </c>
      <c r="S126" s="12">
        <f si="130" t="shared"/>
        <v>5.0234594018935805E-2</v>
      </c>
      <c r="T126" s="12">
        <f ref="T126" si="131" t="shared">T109/T$115</f>
        <v>7.8690698041273127E-2</v>
      </c>
      <c r="U126" s="12">
        <f si="117" t="shared"/>
        <v>7.5041986430250118E-2</v>
      </c>
      <c r="V126" s="34"/>
      <c r="W126" s="25"/>
      <c r="Y126" s="3" t="s">
        <v>212</v>
      </c>
      <c r="Z126" s="12">
        <f si="118" t="shared"/>
        <v>-2.6857055111293604E-2</v>
      </c>
      <c r="AA126" s="12">
        <f si="119" t="shared"/>
        <v>-1.2659453513773442E-2</v>
      </c>
      <c r="AB126" s="12">
        <f si="120" t="shared"/>
        <v>-1.6572054563300062E-2</v>
      </c>
      <c r="AC126" s="12">
        <f si="125" t="shared"/>
        <v>-2.0621040921178196E-2</v>
      </c>
      <c r="AD126" s="12">
        <f si="126" t="shared"/>
        <v>3.5670939804240132E-3</v>
      </c>
      <c r="AE126" s="12">
        <f si="127" t="shared"/>
        <v>1.2372254971270931E-2</v>
      </c>
      <c r="AF126" s="12">
        <f si="128" t="shared"/>
        <v>2.5639508494213481E-3</v>
      </c>
      <c r="AG126" s="12">
        <f si="121" t="shared"/>
        <v>6.6283624304441791E-4</v>
      </c>
      <c r="AH126" s="34"/>
    </row>
    <row r="127" spans="1:34" x14ac:dyDescent="0.2">
      <c r="A127" s="3" t="s">
        <v>213</v>
      </c>
      <c r="B127" s="12">
        <f si="111" t="shared"/>
        <v>7.9788447704277704E-2</v>
      </c>
      <c r="C127" s="12">
        <f si="111" t="shared"/>
        <v>8.3762205619539828E-2</v>
      </c>
      <c r="D127" s="12">
        <f si="111" t="shared"/>
        <v>9.576699226540307E-2</v>
      </c>
      <c r="E127" s="12">
        <f si="111" t="shared"/>
        <v>9.724168215271127E-2</v>
      </c>
      <c r="F127" s="12">
        <f si="111" t="shared"/>
        <v>0.10000616921708182</v>
      </c>
      <c r="G127" s="12">
        <f si="111" t="shared"/>
        <v>7.268765547142296E-2</v>
      </c>
      <c r="H127" s="12">
        <f ref="H127" si="132" t="shared">H110/H$115</f>
        <v>0.11970914905044229</v>
      </c>
      <c r="I127" s="12">
        <f si="114" t="shared"/>
        <v>0.11022611919810302</v>
      </c>
      <c r="J127" s="34"/>
      <c r="M127" s="3" t="s">
        <v>213</v>
      </c>
      <c r="N127" s="12">
        <f si="115" t="shared"/>
        <v>0.10466971649829428</v>
      </c>
      <c r="O127" s="12">
        <f si="115" t="shared"/>
        <v>9.6463057140204908E-2</v>
      </c>
      <c r="P127" s="12">
        <f si="115" t="shared"/>
        <v>0.10688660968875455</v>
      </c>
      <c r="Q127" s="12">
        <f si="115" t="shared"/>
        <v>0.10635043851405129</v>
      </c>
      <c r="R127" s="12">
        <f ref="R127:S127" si="133" t="shared">R110/R$115</f>
        <v>0.10795869933672925</v>
      </c>
      <c r="S127" s="12">
        <f si="133" t="shared"/>
        <v>9.8633289919263442E-2</v>
      </c>
      <c r="T127" s="12">
        <f ref="T127" si="134" t="shared">T110/T$115</f>
        <v>0.11363777245778345</v>
      </c>
      <c r="U127" s="12">
        <f si="117" t="shared"/>
        <v>0.11102097173857431</v>
      </c>
      <c r="V127" s="34"/>
      <c r="W127" s="25"/>
      <c r="Y127" s="3" t="s">
        <v>213</v>
      </c>
      <c r="Z127" s="12">
        <f si="118" t="shared"/>
        <v>2.4881268794016573E-2</v>
      </c>
      <c r="AA127" s="12">
        <f si="119" t="shared"/>
        <v>1.270085152066508E-2</v>
      </c>
      <c r="AB127" s="12">
        <f si="120" t="shared"/>
        <v>1.1119617423351477E-2</v>
      </c>
      <c r="AC127" s="12">
        <f si="125" t="shared"/>
        <v>9.108756361340023E-3</v>
      </c>
      <c r="AD127" s="12">
        <f si="126" t="shared"/>
        <v>7.9525301196474302E-3</v>
      </c>
      <c r="AE127" s="12">
        <f si="127" t="shared"/>
        <v>2.5945634447840482E-2</v>
      </c>
      <c r="AF127" s="12">
        <f si="128" t="shared"/>
        <v>-6.071376592658842E-3</v>
      </c>
      <c r="AG127" s="12">
        <f si="121" t="shared"/>
        <v>7.9485254047129139E-4</v>
      </c>
      <c r="AH127" s="34"/>
    </row>
    <row r="128" spans="1:34" x14ac:dyDescent="0.2">
      <c r="A128" s="3" t="s">
        <v>214</v>
      </c>
      <c r="B128" s="12">
        <f si="111" t="shared"/>
        <v>9.534165916583158E-2</v>
      </c>
      <c r="C128" s="12">
        <f si="111" t="shared"/>
        <v>0.10562548533166666</v>
      </c>
      <c r="D128" s="12">
        <f si="111" t="shared"/>
        <v>0.1147941740317367</v>
      </c>
      <c r="E128" s="12">
        <f si="111" t="shared"/>
        <v>9.767332772664003E-2</v>
      </c>
      <c r="F128" s="12">
        <f si="111" t="shared"/>
        <v>0.10802041270810681</v>
      </c>
      <c r="G128" s="12">
        <f si="111" t="shared"/>
        <v>0.11255786373415314</v>
      </c>
      <c r="H128" s="12">
        <f ref="H128" si="135" t="shared">H111/H$115</f>
        <v>0.13036141743943849</v>
      </c>
      <c r="I128" s="12">
        <f si="114" t="shared"/>
        <v>0.12192311404753009</v>
      </c>
      <c r="J128" s="34"/>
      <c r="M128" s="3" t="s">
        <v>214</v>
      </c>
      <c r="N128" s="12">
        <f si="115" t="shared"/>
        <v>0.11138312608125246</v>
      </c>
      <c r="O128" s="12">
        <f si="115" t="shared"/>
        <v>0.13704371160854781</v>
      </c>
      <c r="P128" s="12">
        <f si="115" t="shared"/>
        <v>0.11136749733318331</v>
      </c>
      <c r="Q128" s="12">
        <f si="115" t="shared"/>
        <v>0.11864136047329825</v>
      </c>
      <c r="R128" s="12">
        <f ref="R128:S128" si="136" t="shared">R111/R$115</f>
        <v>0.11505751492912022</v>
      </c>
      <c r="S128" s="12">
        <f si="136" t="shared"/>
        <v>0.13805025935692344</v>
      </c>
      <c r="T128" s="12">
        <f ref="T128" si="137" t="shared">T111/T$115</f>
        <v>0.12574512122530762</v>
      </c>
      <c r="U128" s="12">
        <f si="117" t="shared"/>
        <v>0.12283055069922329</v>
      </c>
      <c r="V128" s="34"/>
      <c r="W128" s="25"/>
      <c r="Y128" s="3" t="s">
        <v>214</v>
      </c>
      <c r="Z128" s="12">
        <f si="118" t="shared"/>
        <v>1.6041466915420882E-2</v>
      </c>
      <c r="AA128" s="12">
        <f si="119" t="shared"/>
        <v>3.141822627688115E-2</v>
      </c>
      <c r="AB128" s="12">
        <f si="120" t="shared"/>
        <v>-3.4266766985533853E-3</v>
      </c>
      <c r="AC128" s="12">
        <f si="125" t="shared"/>
        <v>2.0968032746658219E-2</v>
      </c>
      <c r="AD128" s="12">
        <f si="126" t="shared"/>
        <v>7.0371022210134193E-3</v>
      </c>
      <c r="AE128" s="12">
        <f si="127" t="shared"/>
        <v>2.5492395622770309E-2</v>
      </c>
      <c r="AF128" s="12">
        <f si="128" t="shared"/>
        <v>-4.6162962141308717E-3</v>
      </c>
      <c r="AG128" s="12">
        <f si="121" t="shared"/>
        <v>9.0743665169319698E-4</v>
      </c>
      <c r="AH128" s="34"/>
    </row>
    <row r="129" spans="1:34" x14ac:dyDescent="0.2">
      <c r="A129" s="3" t="s">
        <v>129</v>
      </c>
      <c r="B129" s="12">
        <f si="111" t="shared"/>
        <v>6.076071758920093E-2</v>
      </c>
      <c r="C129" s="12">
        <f si="111" t="shared"/>
        <v>7.2847257949970462E-2</v>
      </c>
      <c r="D129" s="12">
        <f si="111" t="shared"/>
        <v>2.1199372899485956E-2</v>
      </c>
      <c r="E129" s="12">
        <f si="111" t="shared"/>
        <v>6.1386390517529393E-2</v>
      </c>
      <c r="F129" s="12">
        <f si="111" t="shared"/>
        <v>5.2877018980322606E-2</v>
      </c>
      <c r="G129" s="12">
        <f si="111" t="shared"/>
        <v>0.11121277603151684</v>
      </c>
      <c r="H129" s="12">
        <f ref="H129" si="138" t="shared">H112/H$115</f>
        <v>4.4131439662794529E-2</v>
      </c>
      <c r="I129" s="12">
        <f si="114" t="shared"/>
        <v>4.9440746415064435E-2</v>
      </c>
      <c r="J129" s="34"/>
      <c r="M129" s="3" t="s">
        <v>129</v>
      </c>
      <c r="N129" s="12">
        <f si="115" t="shared"/>
        <v>5.5735994653323288E-2</v>
      </c>
      <c r="O129" s="12">
        <f si="115" t="shared"/>
        <v>7.0819721265019966E-2</v>
      </c>
      <c r="P129" s="12">
        <f si="115" t="shared"/>
        <v>5.3297952691822387E-2</v>
      </c>
      <c r="Q129" s="12">
        <f si="115" t="shared"/>
        <v>5.8617423819293191E-2</v>
      </c>
      <c r="R129" s="12">
        <f ref="R129:S129" si="139" t="shared">R112/R$115</f>
        <v>5.7919814224191776E-2</v>
      </c>
      <c r="S129" s="12">
        <f si="139" t="shared"/>
        <v>8.1034740726316612E-2</v>
      </c>
      <c r="T129" s="12">
        <f ref="T129" si="140" t="shared">T112/T$115</f>
        <v>4.5808264912227822E-2</v>
      </c>
      <c r="U129" s="12">
        <f si="117" t="shared"/>
        <v>5.0582557027546132E-2</v>
      </c>
      <c r="V129" s="34"/>
      <c r="W129" s="25"/>
      <c r="Y129" s="3" t="s">
        <v>129</v>
      </c>
      <c r="Z129" s="12">
        <f si="118" t="shared"/>
        <v>-5.0247229358776416E-3</v>
      </c>
      <c r="AA129" s="12">
        <f si="119" t="shared"/>
        <v>-2.0275366849504955E-3</v>
      </c>
      <c r="AB129" s="12">
        <f si="120" t="shared"/>
        <v>3.2098579792336435E-2</v>
      </c>
      <c r="AC129" s="12">
        <f si="125" t="shared"/>
        <v>-2.7689666982362027E-3</v>
      </c>
      <c r="AD129" s="12">
        <f si="126" t="shared"/>
        <v>5.0427952438691706E-3</v>
      </c>
      <c r="AE129" s="12">
        <f si="127" t="shared"/>
        <v>-3.0178035305200232E-2</v>
      </c>
      <c r="AF129" s="12">
        <f si="128" t="shared"/>
        <v>1.6768252494332933E-3</v>
      </c>
      <c r="AG129" s="12">
        <f si="121" t="shared"/>
        <v>1.1418106124816974E-3</v>
      </c>
      <c r="AH129" s="34"/>
    </row>
    <row r="130" spans="1:34" x14ac:dyDescent="0.2">
      <c r="A130" s="3" t="s">
        <v>130</v>
      </c>
      <c r="B130" s="12">
        <f si="111" t="shared"/>
        <v>0.10437582891423124</v>
      </c>
      <c r="C130" s="12">
        <f si="111" t="shared"/>
        <v>7.6296229265549895E-2</v>
      </c>
      <c r="D130" s="12">
        <f si="111" t="shared"/>
        <v>7.7464259106155425E-2</v>
      </c>
      <c r="E130" s="12">
        <f si="111" t="shared"/>
        <v>9.8171455327320523E-2</v>
      </c>
      <c r="F130" s="12">
        <f si="111" t="shared"/>
        <v>0.11684855858335921</v>
      </c>
      <c r="G130" s="12">
        <f si="111" t="shared"/>
        <v>9.0699122234871227E-2</v>
      </c>
      <c r="H130" s="12">
        <f ref="H130" si="141" t="shared">H113/H$115</f>
        <v>0.10098632276052591</v>
      </c>
      <c r="I130" s="12">
        <f si="114" t="shared"/>
        <v>0.10245994209643414</v>
      </c>
      <c r="J130" s="34"/>
      <c r="M130" s="3" t="s">
        <v>130</v>
      </c>
      <c r="N130" s="12">
        <f si="115" t="shared"/>
        <v>0.10143036290012455</v>
      </c>
      <c r="O130" s="12">
        <f si="115" t="shared"/>
        <v>7.7837456076574232E-2</v>
      </c>
      <c r="P130" s="12">
        <f si="115" t="shared"/>
        <v>0.10340844673506785</v>
      </c>
      <c r="Q130" s="12">
        <f si="115" t="shared"/>
        <v>0.10800775666501133</v>
      </c>
      <c r="R130" s="12">
        <f ref="R130:S130" si="142" t="shared">R113/R$115</f>
        <v>0.10411182705546008</v>
      </c>
      <c r="S130" s="12">
        <f si="142" t="shared"/>
        <v>7.6110621738956746E-2</v>
      </c>
      <c r="T130" s="12">
        <f ref="T130" si="143" t="shared">T113/T$115</f>
        <v>0.10546150236848406</v>
      </c>
      <c r="U130" s="12">
        <f si="117" t="shared"/>
        <v>0.10378310025343296</v>
      </c>
      <c r="V130" s="34"/>
      <c r="W130" s="25"/>
      <c r="Y130" s="3" t="s">
        <v>130</v>
      </c>
      <c r="Z130" s="12">
        <f si="118" t="shared"/>
        <v>-2.9454660141066819E-3</v>
      </c>
      <c r="AA130" s="12">
        <f si="119" t="shared"/>
        <v>1.5412268110243377E-3</v>
      </c>
      <c r="AB130" s="12">
        <f si="120" t="shared"/>
        <v>2.594418762891243E-2</v>
      </c>
      <c r="AC130" s="12">
        <f si="125" t="shared"/>
        <v>9.8363013376908115E-3</v>
      </c>
      <c r="AD130" s="12">
        <f si="126" t="shared"/>
        <v>-1.2736731527899128E-2</v>
      </c>
      <c r="AE130" s="12">
        <f si="127" t="shared"/>
        <v>-1.458850049591448E-2</v>
      </c>
      <c r="AF130" s="12">
        <f si="128" t="shared"/>
        <v>4.4751796079581518E-3</v>
      </c>
      <c r="AG130" s="12">
        <f si="121" t="shared"/>
        <v>1.3231581569988216E-3</v>
      </c>
      <c r="AH130" s="34"/>
    </row>
    <row r="131" spans="1:34" x14ac:dyDescent="0.2">
      <c r="A131" s="8" t="s">
        <v>145</v>
      </c>
      <c r="B131" s="12">
        <f ref="B131:G132" si="144" t="shared">B114/B$115</f>
        <v>0.34887726058722601</v>
      </c>
      <c r="C131" s="12">
        <f si="144" t="shared"/>
        <v>0.41069832075021939</v>
      </c>
      <c r="D131" s="12">
        <f si="144" t="shared"/>
        <v>0.41325848851744412</v>
      </c>
      <c r="E131" s="12">
        <f si="144" t="shared"/>
        <v>0.37030376426653527</v>
      </c>
      <c r="F131" s="12">
        <f si="144" t="shared"/>
        <v>0.33529783099470523</v>
      </c>
      <c r="G131" s="12">
        <f si="144" t="shared"/>
        <v>0.38802850986060705</v>
      </c>
      <c r="H131" s="12">
        <f ref="H131" si="145" t="shared">H114/H$115</f>
        <v>0.34937883948792053</v>
      </c>
      <c r="I131" s="12">
        <f si="114" t="shared"/>
        <v>0.35211725141418088</v>
      </c>
      <c r="J131" s="34"/>
      <c r="M131" s="8" t="s">
        <v>145</v>
      </c>
      <c r="N131" s="12">
        <f si="115" t="shared"/>
        <v>0.36169663212418729</v>
      </c>
      <c r="O131" s="12">
        <f si="115" t="shared"/>
        <v>0.41504066175652587</v>
      </c>
      <c r="P131" s="12">
        <f si="115" t="shared"/>
        <v>0.36436801818294928</v>
      </c>
      <c r="Q131" s="12">
        <f si="115" t="shared"/>
        <v>0.34076945076177095</v>
      </c>
      <c r="R131" s="12">
        <f ref="R131:S131" si="146" t="shared">R114/R$115</f>
        <v>0.34561770542767378</v>
      </c>
      <c r="S131" s="12">
        <f si="146" t="shared"/>
        <v>0.37408518652657552</v>
      </c>
      <c r="T131" s="12">
        <f ref="T131" si="147" t="shared">T114/T$115</f>
        <v>0.34941474727891036</v>
      </c>
      <c r="U131" s="12">
        <f si="117" t="shared"/>
        <v>0.35104089249114384</v>
      </c>
      <c r="V131" s="34"/>
      <c r="W131" s="25"/>
      <c r="Y131" s="8" t="s">
        <v>145</v>
      </c>
      <c r="Z131" s="12">
        <f si="118" t="shared"/>
        <v>1.2819371536961277E-2</v>
      </c>
      <c r="AA131" s="12">
        <f si="119" t="shared"/>
        <v>4.3423410063064827E-3</v>
      </c>
      <c r="AB131" s="12">
        <f si="120" t="shared"/>
        <v>-4.889047033449484E-2</v>
      </c>
      <c r="AC131" s="12">
        <f si="125" t="shared"/>
        <v>-2.953431350476432E-2</v>
      </c>
      <c r="AD131" s="12">
        <f si="126" t="shared"/>
        <v>1.0319874432968557E-2</v>
      </c>
      <c r="AE131" s="12">
        <f si="127" t="shared"/>
        <v>-1.3943323334031532E-2</v>
      </c>
      <c r="AF131" s="12">
        <f si="128" t="shared"/>
        <v>3.5907790989830879E-5</v>
      </c>
      <c r="AG131" s="12">
        <f si="121" t="shared"/>
        <v>-1.0763589230370352E-3</v>
      </c>
      <c r="AH131" s="34"/>
    </row>
    <row ht="13.5" r="132" spans="1:34" thickBot="1" x14ac:dyDescent="0.25">
      <c r="A132" s="10" t="s">
        <v>221</v>
      </c>
      <c r="B132" s="14">
        <f si="144" t="shared"/>
        <v>1</v>
      </c>
      <c r="C132" s="14">
        <f si="144" t="shared"/>
        <v>1</v>
      </c>
      <c r="D132" s="14">
        <f si="144" t="shared"/>
        <v>1</v>
      </c>
      <c r="E132" s="14">
        <f>E115/E$115</f>
        <v>1</v>
      </c>
      <c r="F132" s="14">
        <f ref="F132:G132" si="148" t="shared">F115/F$115</f>
        <v>1</v>
      </c>
      <c r="G132" s="14">
        <f si="148" t="shared"/>
        <v>1</v>
      </c>
      <c r="H132" s="14">
        <f ref="H132" si="149" t="shared">H115/H$115</f>
        <v>1</v>
      </c>
      <c r="I132" s="14">
        <f si="114" t="shared"/>
        <v>1</v>
      </c>
      <c r="J132" s="34"/>
      <c r="M132" s="10" t="s">
        <v>221</v>
      </c>
      <c r="N132" s="14">
        <f si="115" t="shared"/>
        <v>1</v>
      </c>
      <c r="O132" s="14">
        <f si="115" t="shared"/>
        <v>1</v>
      </c>
      <c r="P132" s="14">
        <f si="115" t="shared"/>
        <v>1</v>
      </c>
      <c r="Q132" s="14">
        <f si="115" t="shared"/>
        <v>1</v>
      </c>
      <c r="R132" s="14">
        <f si="115" t="shared"/>
        <v>1</v>
      </c>
      <c r="S132" s="14">
        <f si="115" t="shared"/>
        <v>1</v>
      </c>
      <c r="T132" s="14">
        <f ref="T132" si="150" t="shared">T115/T$115</f>
        <v>1</v>
      </c>
      <c r="U132" s="14">
        <f si="117" t="shared"/>
        <v>1</v>
      </c>
      <c r="V132" s="34"/>
      <c r="W132" s="25"/>
      <c r="Y132" s="10" t="s">
        <v>221</v>
      </c>
      <c r="Z132" s="14">
        <f si="118" t="shared"/>
        <v>0</v>
      </c>
      <c r="AA132" s="14">
        <f si="119" t="shared"/>
        <v>0</v>
      </c>
      <c r="AB132" s="14">
        <f si="120" t="shared"/>
        <v>0</v>
      </c>
      <c r="AC132" s="14">
        <f si="125" t="shared"/>
        <v>0</v>
      </c>
      <c r="AD132" s="14">
        <f si="126" t="shared"/>
        <v>0</v>
      </c>
      <c r="AE132" s="14">
        <f si="127" t="shared"/>
        <v>0</v>
      </c>
      <c r="AF132" s="14">
        <f si="127" t="shared"/>
        <v>0</v>
      </c>
      <c r="AG132" s="14">
        <f si="121" t="shared"/>
        <v>0</v>
      </c>
      <c r="AH132" s="34"/>
    </row>
    <row r="133" spans="1:34" x14ac:dyDescent="0.2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4" x14ac:dyDescent="0.2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4" x14ac:dyDescent="0.2">
      <c r="F135" s="103"/>
      <c r="R135" s="103"/>
      <c r="S135" s="25"/>
      <c r="T135" s="25"/>
      <c r="U135" s="25"/>
      <c r="V135" s="25"/>
      <c r="W135" s="25"/>
    </row>
    <row r="136" spans="1:34" x14ac:dyDescent="0.2">
      <c r="R136" s="25"/>
      <c r="S136" s="25"/>
      <c r="T136" s="25"/>
      <c r="U136" s="25"/>
      <c r="V136" s="25"/>
      <c r="W136" s="25"/>
    </row>
    <row r="137" spans="1:34" x14ac:dyDescent="0.2">
      <c r="R137" s="25"/>
      <c r="S137" s="25"/>
      <c r="T137" s="25"/>
      <c r="U137" s="25"/>
      <c r="V137" s="25"/>
      <c r="W137" s="25"/>
    </row>
    <row r="138" spans="1:34" x14ac:dyDescent="0.2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6"/>
  <conditionalFormatting sqref="Z22:AI30 Z90:AD98 Z56:AF64 Z124:AC132 AG132:AH132 AD124:AH131">
    <cfRule dxfId="5" operator="notBetween" priority="4" stopIfTrue="1" type="cellIs">
      <formula>-0.15</formula>
      <formula>0.15</formula>
    </cfRule>
    <cfRule dxfId="4" operator="notBetween" priority="5" stopIfTrue="1" type="cellIs">
      <formula>-0.1</formula>
      <formula>0.1</formula>
    </cfRule>
    <cfRule dxfId="3" operator="notBetween" priority="6" stopIfTrue="1" type="cellIs">
      <formula>-0.05</formula>
      <formula>0.05</formula>
    </cfRule>
  </conditionalFormatting>
  <conditionalFormatting sqref="AD132:AF132">
    <cfRule dxfId="2" operator="notBetween" priority="1" stopIfTrue="1" type="cellIs">
      <formula>-0.15</formula>
      <formula>0.15</formula>
    </cfRule>
    <cfRule dxfId="1" operator="notBetween" priority="2" stopIfTrue="1" type="cellIs">
      <formula>-0.1</formula>
      <formula>0.1</formula>
    </cfRule>
    <cfRule dxfId="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W337"/>
  <sheetViews>
    <sheetView topLeftCell="C149" workbookViewId="0">
      <selection activeCell="I179" sqref="I179:I184"/>
    </sheetView>
  </sheetViews>
  <sheetFormatPr defaultColWidth="11" defaultRowHeight="12.75" x14ac:dyDescent="0.2"/>
  <sheetData>
    <row r="1" spans="1:23" x14ac:dyDescent="0.2">
      <c r="A1" t="s">
        <v>290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H7" si="0" t="shared">O4*$B$1</f>
        <v>25640.978811577701</v>
      </c>
      <c r="C4">
        <f si="0" t="shared"/>
        <v>18552.53631826436</v>
      </c>
      <c r="D4">
        <f si="0" t="shared"/>
        <v>57558.448407713702</v>
      </c>
      <c r="E4">
        <f si="0" t="shared"/>
        <v>62131.352849798161</v>
      </c>
      <c r="F4">
        <f si="0" t="shared"/>
        <v>5326.7597693711759</v>
      </c>
      <c r="G4">
        <f si="0" t="shared"/>
        <v>6630.6190284083286</v>
      </c>
      <c r="H4">
        <f si="0" t="shared"/>
        <v>29153.07651242413</v>
      </c>
      <c r="I4">
        <f ref="I4:J7" si="1" t="shared">V4*$B$1</f>
        <v>30555.080414230193</v>
      </c>
      <c r="J4">
        <f si="1" t="shared"/>
        <v>235548.85211178777</v>
      </c>
      <c r="N4">
        <v>0</v>
      </c>
      <c r="O4" s="105" t="n">
        <v>31419.150000000005</v>
      </c>
      <c r="P4" s="105" t="n">
        <v>21699.350000000002</v>
      </c>
      <c r="Q4" s="105" t="n">
        <v>31361.517128594252</v>
      </c>
      <c r="R4" s="105" t="n">
        <v>54721.79458990068</v>
      </c>
      <c r="S4" s="105" t="n">
        <v>5690.006231047623</v>
      </c>
      <c r="T4" s="105" t="n">
        <v>7344.857007936773</v>
      </c>
      <c r="U4" s="105" t="n">
        <v>30379.973895668863</v>
      </c>
      <c r="V4" s="105" t="n">
        <v>32163.813849469767</v>
      </c>
      <c r="W4">
        <f>SUM(O4:V4)</f>
        <v>235548.85211178777</v>
      </c>
    </row>
    <row r="5" spans="1:23" x14ac:dyDescent="0.2">
      <c r="A5">
        <v>1</v>
      </c>
      <c r="B5">
        <f si="0" t="shared"/>
        <v>721110.49791672884</v>
      </c>
      <c r="C5">
        <f si="0" t="shared"/>
        <v>143815.94630423852</v>
      </c>
      <c r="D5">
        <f si="0" t="shared"/>
        <v>183740.96488867691</v>
      </c>
      <c r="E5">
        <f si="0" t="shared"/>
        <v>236105.55887452923</v>
      </c>
      <c r="F5">
        <f si="0" t="shared"/>
        <v>79551.482926447265</v>
      </c>
      <c r="G5">
        <f si="0" t="shared"/>
        <v>78472.701554582643</v>
      </c>
      <c r="H5">
        <f si="0" t="shared"/>
        <v>283659.83212445042</v>
      </c>
      <c r="I5">
        <f si="1" t="shared"/>
        <v>102800.54898332406</v>
      </c>
      <c r="J5">
        <f si="1" t="shared"/>
        <v>1829257.5335729781</v>
      </c>
      <c r="N5">
        <v>1</v>
      </c>
      <c r="O5" s="105" t="n">
        <v>828013.7999999959</v>
      </c>
      <c r="P5" s="105" t="n">
        <v>165755.25000000006</v>
      </c>
      <c r="Q5" s="105" t="n">
        <v>90492.18384708332</v>
      </c>
      <c r="R5" s="105" t="n">
        <v>194928.9177399349</v>
      </c>
      <c r="S5" s="105" t="n">
        <v>69782.47990872606</v>
      </c>
      <c r="T5" s="105" t="n">
        <v>83198.53835347896</v>
      </c>
      <c r="U5" s="105" t="n">
        <v>304398.686772697</v>
      </c>
      <c r="V5" s="105" t="n">
        <v>111562.22905888912</v>
      </c>
      <c r="W5">
        <f>SUM(O5:V5)</f>
        <v>1829257.5335729781</v>
      </c>
    </row>
    <row r="6" spans="1:23" x14ac:dyDescent="0.2">
      <c r="A6">
        <v>2</v>
      </c>
      <c r="B6">
        <f si="0" t="shared"/>
        <v>513337.87522073562</v>
      </c>
      <c r="C6">
        <f si="0" t="shared"/>
        <v>112607.52577521435</v>
      </c>
      <c r="D6">
        <f si="0" t="shared"/>
        <v>104136.77034741201</v>
      </c>
      <c r="E6">
        <f si="0" t="shared"/>
        <v>166375.89447737476</v>
      </c>
      <c r="F6">
        <f si="0" t="shared"/>
        <v>68449.608281668232</v>
      </c>
      <c r="G6">
        <f si="0" t="shared"/>
        <v>29171.179487000423</v>
      </c>
      <c r="H6">
        <f si="0" t="shared"/>
        <v>146925.43665706131</v>
      </c>
      <c r="I6">
        <f si="1" t="shared"/>
        <v>61507.28944661787</v>
      </c>
      <c r="J6">
        <f si="1" t="shared"/>
        <v>1202511.5796930846</v>
      </c>
      <c r="N6">
        <v>2</v>
      </c>
      <c r="O6" s="105" t="n">
        <v>592751.4000000005</v>
      </c>
      <c r="P6" s="105" t="n">
        <v>130915.99999999988</v>
      </c>
      <c r="Q6" s="105" t="n">
        <v>50824.01867239691</v>
      </c>
      <c r="R6" s="105" t="n">
        <v>139275.0670661435</v>
      </c>
      <c r="S6" s="105" t="n">
        <v>60402.97829532104</v>
      </c>
      <c r="T6" s="105" t="n">
        <v>30563.47129470001</v>
      </c>
      <c r="U6" s="105" t="n">
        <v>163418.55503476528</v>
      </c>
      <c r="V6" s="105" t="n">
        <v>67683.20388755237</v>
      </c>
      <c r="W6">
        <f>SUM(O6:V6)</f>
        <v>1202511.5796930846</v>
      </c>
    </row>
    <row r="7" spans="1:23" x14ac:dyDescent="0.2">
      <c r="A7">
        <v>3</v>
      </c>
      <c r="B7">
        <f si="0" t="shared"/>
        <v>150133.02730508204</v>
      </c>
      <c r="C7">
        <f si="0" t="shared"/>
        <v>55611.785702417677</v>
      </c>
      <c r="D7">
        <f si="0" t="shared"/>
        <v>48270.995706457506</v>
      </c>
      <c r="E7">
        <f si="0" t="shared"/>
        <v>109289.77180230097</v>
      </c>
      <c r="F7">
        <f si="0" t="shared"/>
        <v>22238.282202305207</v>
      </c>
      <c r="G7">
        <f si="0" t="shared"/>
        <v>5265.8769042416598</v>
      </c>
      <c r="H7">
        <f si="0" t="shared"/>
        <v>44149.610523059528</v>
      </c>
      <c r="I7">
        <f si="1" t="shared"/>
        <v>40197.50294017647</v>
      </c>
      <c r="J7">
        <f si="1" t="shared"/>
        <v>475156.85308604111</v>
      </c>
      <c r="N7">
        <v>3</v>
      </c>
      <c r="O7" s="105" t="n">
        <v>171339.65000000008</v>
      </c>
      <c r="P7" s="105" t="n">
        <v>64359.74999999997</v>
      </c>
      <c r="Q7" s="105" t="n">
        <v>24613.153019619476</v>
      </c>
      <c r="R7" s="105" t="n">
        <v>95534.8374822835</v>
      </c>
      <c r="S7" s="105" t="n">
        <v>19422.49206403873</v>
      </c>
      <c r="T7" s="105" t="n">
        <v>5952.904367394875</v>
      </c>
      <c r="U7" s="105" t="n">
        <v>48317.13545345075</v>
      </c>
      <c r="V7" s="105" t="n">
        <v>43591.13497884166</v>
      </c>
      <c r="W7">
        <f>SUM(O7:V7)</f>
        <v>475156.85308604111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226</v>
      </c>
      <c r="B11">
        <f ref="B11:B23" si="2" t="shared">O11*$B$1</f>
        <v>25640.978811577701</v>
      </c>
      <c r="C11">
        <f ref="C11:C23" si="3" t="shared">P11*$B$1</f>
        <v>18552.53631826436</v>
      </c>
      <c r="D11">
        <f ref="D11:D23" si="4" t="shared">Q11*$B$1</f>
        <v>57558.448407713702</v>
      </c>
      <c r="E11">
        <f ref="E11:E23" si="5" t="shared">R11*$B$1</f>
        <v>62131.352849798161</v>
      </c>
      <c r="F11">
        <f ref="F11:F23" si="6" t="shared">S11*$B$1</f>
        <v>5326.7597693711759</v>
      </c>
      <c r="G11">
        <f ref="G11:G23" si="7" t="shared">T11*$B$1</f>
        <v>6630.6190284083286</v>
      </c>
      <c r="H11">
        <f ref="H11:H23" si="8" t="shared">U11*$B$1</f>
        <v>29153.07651242413</v>
      </c>
      <c r="I11">
        <f ref="I11:I23" si="9" t="shared">V11*$B$1</f>
        <v>30555.080414230193</v>
      </c>
      <c r="J11">
        <f ref="J11:J23" si="10" t="shared">W11*$B$1</f>
        <v>235548.85211178777</v>
      </c>
      <c r="N11" t="s">
        <v>226</v>
      </c>
      <c r="O11" s="105" t="n">
        <v>31419.150000000005</v>
      </c>
      <c r="P11" s="105" t="n">
        <v>21699.350000000002</v>
      </c>
      <c r="Q11" s="105" t="n">
        <v>31361.517128594252</v>
      </c>
      <c r="R11" s="105" t="n">
        <v>54721.79458990068</v>
      </c>
      <c r="S11" s="105" t="n">
        <v>5690.006231047623</v>
      </c>
      <c r="T11" s="105" t="n">
        <v>7344.857007936773</v>
      </c>
      <c r="U11" s="105" t="n">
        <v>30379.973895668863</v>
      </c>
      <c r="V11" s="105" t="n">
        <v>32163.813849469767</v>
      </c>
      <c r="W11">
        <f>SUM(O11:V11)</f>
        <v>235548.85211178777</v>
      </c>
    </row>
    <row r="12" spans="1:23" x14ac:dyDescent="0.2">
      <c r="A12" s="95" t="s">
        <v>231</v>
      </c>
      <c r="B12">
        <f si="2" t="shared"/>
        <v>81725.497306802659</v>
      </c>
      <c r="C12">
        <f si="3" t="shared"/>
        <v>31224.034725463163</v>
      </c>
      <c r="D12">
        <f si="4" t="shared"/>
        <v>37180.962918371755</v>
      </c>
      <c r="E12">
        <f si="5" t="shared"/>
        <v>42302.249614938431</v>
      </c>
      <c r="F12">
        <f si="6" t="shared"/>
        <v>14571.153785581704</v>
      </c>
      <c r="G12">
        <f si="7" t="shared"/>
        <v>34087.701814109401</v>
      </c>
      <c r="H12">
        <f si="8" t="shared"/>
        <v>131199.0428091434</v>
      </c>
      <c r="I12">
        <f si="9" t="shared"/>
        <v>24634.748586558417</v>
      </c>
      <c r="J12">
        <f si="10" t="shared"/>
        <v>396925.39156096894</v>
      </c>
      <c r="N12" s="95" t="s">
        <v>231</v>
      </c>
      <c r="O12" s="105" t="n">
        <v>93578.94999999994</v>
      </c>
      <c r="P12" s="105" t="n">
        <v>35908.75</v>
      </c>
      <c r="Q12" s="105" t="n">
        <v>18968.486613885776</v>
      </c>
      <c r="R12" s="105" t="n">
        <v>35614.787280071236</v>
      </c>
      <c r="S12" s="105" t="n">
        <v>12425.719128501758</v>
      </c>
      <c r="T12" s="105" t="n">
        <v>36459.271578997934</v>
      </c>
      <c r="U12" s="105" t="n">
        <v>139629.63646451136</v>
      </c>
      <c r="V12" s="105" t="n">
        <v>26508.792837854606</v>
      </c>
      <c r="W12">
        <f ref="W12:W23" si="11" t="shared">SUM(O12:V12)</f>
        <v>396925.39156096894</v>
      </c>
    </row>
    <row r="13" spans="1:23" x14ac:dyDescent="0.2">
      <c r="A13" s="93" t="s">
        <v>232</v>
      </c>
      <c r="B13">
        <f si="2" t="shared"/>
        <v>205639.50639573942</v>
      </c>
      <c r="C13">
        <f si="3" t="shared"/>
        <v>52569.071352265026</v>
      </c>
      <c r="D13">
        <f si="4" t="shared"/>
        <v>72041.194192757641</v>
      </c>
      <c r="E13">
        <f si="5" t="shared"/>
        <v>88643.240531453266</v>
      </c>
      <c r="F13">
        <f si="6" t="shared"/>
        <v>25221.106468548809</v>
      </c>
      <c r="G13">
        <f si="7" t="shared"/>
        <v>29550.282764603675</v>
      </c>
      <c r="H13">
        <f si="8" t="shared"/>
        <v>100016.67295685811</v>
      </c>
      <c r="I13">
        <f si="9" t="shared"/>
        <v>37798.309953529664</v>
      </c>
      <c r="J13">
        <f si="10" t="shared"/>
        <v>611479.38461575552</v>
      </c>
      <c r="N13" s="93" t="s">
        <v>232</v>
      </c>
      <c r="O13" s="105" t="n">
        <v>237661.30000000042</v>
      </c>
      <c r="P13" s="105" t="n">
        <v>60345.09999999997</v>
      </c>
      <c r="Q13" s="105" t="n">
        <v>35444.33407362495</v>
      </c>
      <c r="R13" s="105" t="n">
        <v>73456.09711451519</v>
      </c>
      <c r="S13" s="105" t="n">
        <v>22202.26743162956</v>
      </c>
      <c r="T13" s="105" t="n">
        <v>30921.340435600443</v>
      </c>
      <c r="U13" s="105" t="n">
        <v>107521.46655430598</v>
      </c>
      <c r="V13" s="105" t="n">
        <v>41389.798776710966</v>
      </c>
      <c r="W13">
        <f si="11" t="shared"/>
        <v>611479.38461575552</v>
      </c>
    </row>
    <row r="14" spans="1:23" x14ac:dyDescent="0.2">
      <c r="A14" s="93" t="s">
        <v>207</v>
      </c>
      <c r="B14">
        <f si="2" t="shared"/>
        <v>231401.85999166511</v>
      </c>
      <c r="C14">
        <f si="3" t="shared"/>
        <v>39900.189990119652</v>
      </c>
      <c r="D14">
        <f si="4" t="shared"/>
        <v>55223.814354680828</v>
      </c>
      <c r="E14">
        <f si="5" t="shared"/>
        <v>72175.616334257866</v>
      </c>
      <c r="F14">
        <f si="6" t="shared"/>
        <v>23569.365388234295</v>
      </c>
      <c r="G14">
        <f si="7" t="shared"/>
        <v>11546.731940347414</v>
      </c>
      <c r="H14">
        <f si="8" t="shared"/>
        <v>39570.663588907577</v>
      </c>
      <c r="I14">
        <f si="9" t="shared"/>
        <v>27473.9397575976</v>
      </c>
      <c r="J14">
        <f si="10" t="shared"/>
        <v>500862.18134581036</v>
      </c>
      <c r="N14" s="93" t="s">
        <v>207</v>
      </c>
      <c r="O14" s="105" t="n">
        <v>264588.55000000057</v>
      </c>
      <c r="P14" s="105" t="n">
        <v>46389.84999999999</v>
      </c>
      <c r="Q14" s="105" t="n">
        <v>26135.056922674175</v>
      </c>
      <c r="R14" s="105" t="n">
        <v>58442.587513885104</v>
      </c>
      <c r="S14" s="105" t="n">
        <v>20771.592493455508</v>
      </c>
      <c r="T14" s="105" t="n">
        <v>12442.08613680395</v>
      </c>
      <c r="U14" s="105" t="n">
        <v>43296.309968236776</v>
      </c>
      <c r="V14" s="105" t="n">
        <v>30040.247418254927</v>
      </c>
      <c r="W14">
        <f si="11" t="shared"/>
        <v>500862.18134581036</v>
      </c>
    </row>
    <row r="15" spans="1:23" x14ac:dyDescent="0.2">
      <c r="A15" t="s">
        <v>9</v>
      </c>
      <c r="B15">
        <f si="2" t="shared"/>
        <v>202343.63422252162</v>
      </c>
      <c r="C15">
        <f si="3" t="shared"/>
        <v>20122.650236390691</v>
      </c>
      <c r="D15">
        <f si="4" t="shared"/>
        <v>19294.993422866683</v>
      </c>
      <c r="E15">
        <f si="5" t="shared"/>
        <v>32984.452393879685</v>
      </c>
      <c r="F15">
        <f si="6" t="shared"/>
        <v>16189.857284082464</v>
      </c>
      <c r="G15">
        <f si="7" t="shared"/>
        <v>3287.9850355221574</v>
      </c>
      <c r="H15">
        <f si="8" t="shared"/>
        <v>12873.452769541322</v>
      </c>
      <c r="I15">
        <f si="9" t="shared"/>
        <v>12893.550685638382</v>
      </c>
      <c r="J15">
        <f si="10" t="shared"/>
        <v>319990.57605044299</v>
      </c>
      <c r="N15" t="s">
        <v>9</v>
      </c>
      <c r="O15" s="105" t="n">
        <v>232185.00000000038</v>
      </c>
      <c r="P15" s="105" t="n">
        <v>23111.550000000003</v>
      </c>
      <c r="Q15" s="105" t="n">
        <v>9944.306236898436</v>
      </c>
      <c r="R15" s="105" t="n">
        <v>27415.44583146314</v>
      </c>
      <c r="S15" s="105" t="n">
        <v>14382.900855139284</v>
      </c>
      <c r="T15" s="105" t="n">
        <v>3375.84020207669</v>
      </c>
      <c r="U15" s="105" t="n">
        <v>13951.273785642015</v>
      </c>
      <c r="V15" s="105" t="n">
        <v>13623.390026068711</v>
      </c>
      <c r="W15">
        <f si="11" t="shared"/>
        <v>319990.57605044299</v>
      </c>
    </row>
    <row r="16" spans="1:23" x14ac:dyDescent="0.2">
      <c r="A16" s="95" t="s">
        <v>233</v>
      </c>
      <c r="B16">
        <f si="2" t="shared"/>
        <v>51405.414575961797</v>
      </c>
      <c r="C16">
        <f si="3" t="shared"/>
        <v>19748.115047904113</v>
      </c>
      <c r="D16">
        <f si="4" t="shared"/>
        <v>17037.143073519816</v>
      </c>
      <c r="E16">
        <f si="5" t="shared"/>
        <v>24575.17202114909</v>
      </c>
      <c r="F16">
        <f si="6" t="shared"/>
        <v>9949.5521269840156</v>
      </c>
      <c r="G16">
        <f si="7" t="shared"/>
        <v>10639.941202423181</v>
      </c>
      <c r="H16">
        <f si="8" t="shared"/>
        <v>63712.633441318321</v>
      </c>
      <c r="I16">
        <f si="9" t="shared"/>
        <v>11764.290576627829</v>
      </c>
      <c r="J16">
        <f si="10" t="shared"/>
        <v>208832.26206588815</v>
      </c>
      <c r="N16" s="95" t="s">
        <v>233</v>
      </c>
      <c r="O16" s="105" t="n">
        <v>58799.49999999998</v>
      </c>
      <c r="P16" s="105" t="n">
        <v>23239.200000000004</v>
      </c>
      <c r="Q16" s="105" t="n">
        <v>8519.562713732816</v>
      </c>
      <c r="R16" s="105" t="n">
        <v>20887.611144891252</v>
      </c>
      <c r="S16" s="105" t="n">
        <v>8580.709859019873</v>
      </c>
      <c r="T16" s="105" t="n">
        <v>11106.575996842768</v>
      </c>
      <c r="U16" s="105" t="n">
        <v>71673.86741023899</v>
      </c>
      <c r="V16" s="105" t="n">
        <v>13590.674325244829</v>
      </c>
      <c r="W16">
        <f si="11" t="shared"/>
        <v>208832.26206588815</v>
      </c>
    </row>
    <row r="17" spans="1:23" x14ac:dyDescent="0.2">
      <c r="A17" s="93" t="s">
        <v>234</v>
      </c>
      <c r="B17">
        <f si="2" t="shared"/>
        <v>154071.82232079119</v>
      </c>
      <c r="C17">
        <f si="3" t="shared"/>
        <v>41483.611688366946</v>
      </c>
      <c r="D17">
        <f si="4" t="shared"/>
        <v>40462.817652047728</v>
      </c>
      <c r="E17">
        <f si="5" t="shared"/>
        <v>60581.460505740695</v>
      </c>
      <c r="F17">
        <f si="6" t="shared"/>
        <v>21192.316478745139</v>
      </c>
      <c r="G17">
        <f si="7" t="shared"/>
        <v>11857.038461603624</v>
      </c>
      <c r="H17">
        <f si="8" t="shared"/>
        <v>52470.110333545912</v>
      </c>
      <c r="I17">
        <f si="9" t="shared"/>
        <v>23494.472089975094</v>
      </c>
      <c r="J17">
        <f si="10" t="shared"/>
        <v>405613.6495308163</v>
      </c>
      <c r="N17" s="93" t="s">
        <v>234</v>
      </c>
      <c r="O17" s="105" t="n">
        <v>177304.70000000013</v>
      </c>
      <c r="P17" s="105" t="n">
        <v>47796.29999999999</v>
      </c>
      <c r="Q17" s="105" t="n">
        <v>19481.463197692312</v>
      </c>
      <c r="R17" s="105" t="n">
        <v>50405.01247660995</v>
      </c>
      <c r="S17" s="105" t="n">
        <v>18664.969147978507</v>
      </c>
      <c r="T17" s="105" t="n">
        <v>12348.299824213538</v>
      </c>
      <c r="U17" s="105" t="n">
        <v>58027.4399868664</v>
      </c>
      <c r="V17" s="105" t="n">
        <v>25152.38164599467</v>
      </c>
      <c r="W17">
        <f si="11" t="shared"/>
        <v>405613.6495308163</v>
      </c>
    </row>
    <row r="18" spans="1:23" x14ac:dyDescent="0.2">
      <c r="A18" s="93" t="s">
        <v>208</v>
      </c>
      <c r="B18">
        <f si="2" t="shared"/>
        <v>188164.73202630607</v>
      </c>
      <c r="C18">
        <f si="3" t="shared"/>
        <v>35807.895150368866</v>
      </c>
      <c r="D18">
        <f si="4" t="shared"/>
        <v>34097.797218712622</v>
      </c>
      <c r="E18">
        <f si="5" t="shared"/>
        <v>56319.467756382342</v>
      </c>
      <c r="F18">
        <f si="6" t="shared"/>
        <v>23863.804617614602</v>
      </c>
      <c r="G18">
        <f si="7" t="shared"/>
        <v>5233.4581804858854</v>
      </c>
      <c r="H18">
        <f si="8" t="shared"/>
        <v>23478.694127121809</v>
      </c>
      <c r="I18">
        <f si="9" t="shared"/>
        <v>18585.283172089567</v>
      </c>
      <c r="J18">
        <f si="10" t="shared"/>
        <v>385551.13224908174</v>
      </c>
      <c r="N18" s="93" t="s">
        <v>208</v>
      </c>
      <c r="O18" s="105" t="n">
        <v>218794.4000000003</v>
      </c>
      <c r="P18" s="105" t="n">
        <v>41796.74999999999</v>
      </c>
      <c r="Q18" s="105" t="n">
        <v>16684.40222400041</v>
      </c>
      <c r="R18" s="105" t="n">
        <v>46882.05084482685</v>
      </c>
      <c r="S18" s="105" t="n">
        <v>21052.47908054745</v>
      </c>
      <c r="T18" s="105" t="n">
        <v>5539.001171540904</v>
      </c>
      <c r="U18" s="105" t="n">
        <v>26303.902162112667</v>
      </c>
      <c r="V18" s="105" t="n">
        <v>20597.092756833987</v>
      </c>
      <c r="W18">
        <f si="11" t="shared"/>
        <v>385551.13224908174</v>
      </c>
    </row>
    <row r="19" spans="1:23" x14ac:dyDescent="0.2">
      <c r="A19" t="s">
        <v>10</v>
      </c>
      <c r="B19">
        <f si="2" t="shared"/>
        <v>119695.90629767647</v>
      </c>
      <c r="C19">
        <f si="3" t="shared"/>
        <v>15567.903888574432</v>
      </c>
      <c r="D19">
        <f si="4" t="shared"/>
        <v>12539.012403131836</v>
      </c>
      <c r="E19">
        <f si="5" t="shared"/>
        <v>24899.794194102644</v>
      </c>
      <c r="F19">
        <f si="6" t="shared"/>
        <v>13443.93505832448</v>
      </c>
      <c r="G19">
        <f si="7" t="shared"/>
        <v>1440.7416424877338</v>
      </c>
      <c r="H19">
        <f si="8" t="shared"/>
        <v>7263.998755075273</v>
      </c>
      <c r="I19">
        <f si="9" t="shared"/>
        <v>7663.2436079253794</v>
      </c>
      <c r="J19">
        <f si="10" t="shared"/>
        <v>202514.53584729822</v>
      </c>
      <c r="N19" t="s">
        <v>10</v>
      </c>
      <c r="O19" s="105" t="n">
        <v>137852.79999999993</v>
      </c>
      <c r="P19" s="105" t="n">
        <v>18083.750000000004</v>
      </c>
      <c r="Q19" s="105" t="n">
        <v>6138.590536971388</v>
      </c>
      <c r="R19" s="105" t="n">
        <v>21100.392599815485</v>
      </c>
      <c r="S19" s="105" t="n">
        <v>12104.82020777524</v>
      </c>
      <c r="T19" s="105" t="n">
        <v>1569.5943021027983</v>
      </c>
      <c r="U19" s="105" t="n">
        <v>7413.345475547099</v>
      </c>
      <c r="V19" s="105" t="n">
        <v>8343.055159478934</v>
      </c>
      <c r="W19">
        <f si="11" t="shared"/>
        <v>202514.53584729822</v>
      </c>
    </row>
    <row r="20" spans="1:23" x14ac:dyDescent="0.2">
      <c r="A20" s="95" t="s">
        <v>227</v>
      </c>
      <c r="B20">
        <f si="2" t="shared"/>
        <v>16324.613906698429</v>
      </c>
      <c r="C20">
        <f si="3" t="shared"/>
        <v>8955.2958262235989</v>
      </c>
      <c r="D20">
        <f si="4" t="shared"/>
        <v>8987.9112213675962</v>
      </c>
      <c r="E20">
        <f si="5" t="shared"/>
        <v>18428.726923657166</v>
      </c>
      <c r="F20">
        <f si="6" t="shared"/>
        <v>3557.3034631350474</v>
      </c>
      <c r="G20">
        <f si="7" t="shared"/>
        <v>1781.5690335972199</v>
      </c>
      <c r="H20">
        <f si="8" t="shared"/>
        <v>17724.581487909214</v>
      </c>
      <c r="I20">
        <f si="9" t="shared"/>
        <v>10009.93595997899</v>
      </c>
      <c r="J20">
        <f si="10" t="shared"/>
        <v>85769.937822567255</v>
      </c>
      <c r="N20" s="95" t="s">
        <v>227</v>
      </c>
      <c r="O20" s="105" t="n">
        <v>18495.450000000004</v>
      </c>
      <c r="P20" s="105" t="n">
        <v>10691.55</v>
      </c>
      <c r="Q20" s="105" t="n">
        <v>4445.859305411487</v>
      </c>
      <c r="R20" s="105" t="n">
        <v>14826.952188150693</v>
      </c>
      <c r="S20" s="105" t="n">
        <v>3002.0703795303293</v>
      </c>
      <c r="T20" s="105" t="n">
        <v>1940.7677965450619</v>
      </c>
      <c r="U20" s="105" t="n">
        <v>19686.749708671934</v>
      </c>
      <c r="V20" s="105" t="n">
        <v>10158.408697416888</v>
      </c>
      <c r="W20">
        <f si="11" t="shared"/>
        <v>85769.937822567255</v>
      </c>
    </row>
    <row r="21" spans="1:23" x14ac:dyDescent="0.2">
      <c r="A21" s="93" t="s">
        <v>230</v>
      </c>
      <c r="B21">
        <f si="2" t="shared"/>
        <v>56586.203124177569</v>
      </c>
      <c r="C21">
        <f si="3" t="shared"/>
        <v>22709.712206588239</v>
      </c>
      <c r="D21">
        <f si="4" t="shared"/>
        <v>18512.146461609937</v>
      </c>
      <c r="E21">
        <f si="5" t="shared"/>
        <v>40734.541672589854</v>
      </c>
      <c r="F21">
        <f si="6" t="shared"/>
        <v>7827.7467082522389</v>
      </c>
      <c r="G21">
        <f si="7" t="shared"/>
        <v>2294.5504357582931</v>
      </c>
      <c r="H21">
        <f si="8" t="shared"/>
        <v>17343.939227709416</v>
      </c>
      <c r="I21">
        <f si="9" t="shared"/>
        <v>15095.196937218441</v>
      </c>
      <c r="J21">
        <f si="10" t="shared"/>
        <v>181104.03677390396</v>
      </c>
      <c r="N21" s="93" t="s">
        <v>230</v>
      </c>
      <c r="O21" s="105" t="n">
        <v>63703.09999999997</v>
      </c>
      <c r="P21" s="105" t="n">
        <v>25753.100000000006</v>
      </c>
      <c r="Q21" s="105" t="n">
        <v>9477.505891147684</v>
      </c>
      <c r="R21" s="105" t="n">
        <v>36141.21593835193</v>
      </c>
      <c r="S21" s="105" t="n">
        <v>6877.504342443401</v>
      </c>
      <c r="T21" s="105" t="n">
        <v>2708.5449124648026</v>
      </c>
      <c r="U21" s="105" t="n">
        <v>18991.586760281687</v>
      </c>
      <c r="V21" s="105" t="n">
        <v>16651.496561799613</v>
      </c>
      <c r="W21">
        <f si="11" t="shared"/>
        <v>181104.03677390396</v>
      </c>
    </row>
    <row r="22" spans="1:23" x14ac:dyDescent="0.2">
      <c r="A22" s="93" t="s">
        <v>11</v>
      </c>
      <c r="B22">
        <f si="2" t="shared"/>
        <v>63620.654417554142</v>
      </c>
      <c r="C22">
        <f si="3" t="shared"/>
        <v>19745.907544371796</v>
      </c>
      <c r="D22">
        <f si="4" t="shared"/>
        <v>16859.172178630277</v>
      </c>
      <c r="E22">
        <f si="5" t="shared"/>
        <v>39368.390026741086</v>
      </c>
      <c r="F22">
        <f si="6" t="shared"/>
        <v>8390.2111103911357</v>
      </c>
      <c r="G22">
        <f si="7" t="shared"/>
        <v>1044.6277647359482</v>
      </c>
      <c r="H22">
        <f si="8" t="shared"/>
        <v>7963.8764792822985</v>
      </c>
      <c r="I22">
        <f si="9" t="shared"/>
        <v>12666.086194391026</v>
      </c>
      <c r="J22">
        <f si="10" t="shared"/>
        <v>169658.9257160977</v>
      </c>
      <c r="N22" s="93" t="s">
        <v>11</v>
      </c>
      <c r="O22" s="105" t="n">
        <v>73254.99999999996</v>
      </c>
      <c r="P22" s="105" t="n">
        <v>22794.150000000005</v>
      </c>
      <c r="Q22" s="105" t="n">
        <v>8556.464306962811</v>
      </c>
      <c r="R22" s="105" t="n">
        <v>34800.552599191724</v>
      </c>
      <c r="S22" s="105" t="n">
        <v>7280.127315230044</v>
      </c>
      <c r="T22" s="105" t="n">
        <v>1156.4622302164937</v>
      </c>
      <c r="U22" s="105" t="n">
        <v>8521.738451879557</v>
      </c>
      <c r="V22" s="105" t="n">
        <v>14061.940231332326</v>
      </c>
      <c r="W22">
        <f si="11" t="shared"/>
        <v>169658.9257160977</v>
      </c>
    </row>
    <row r="23" spans="1:23" x14ac:dyDescent="0.2">
      <c r="A23" t="s">
        <v>206</v>
      </c>
      <c r="B23">
        <f si="2" t="shared"/>
        <v>13601.55585665189</v>
      </c>
      <c r="C23">
        <f si="3" t="shared"/>
        <v>4200.8701252340479</v>
      </c>
      <c r="D23">
        <f si="4" t="shared"/>
        <v>3911.765844849695</v>
      </c>
      <c r="E23">
        <f si="5" t="shared"/>
        <v>10758.113179312862</v>
      </c>
      <c r="F23">
        <f si="6" t="shared"/>
        <v>2463.0209205267856</v>
      </c>
      <c r="G23">
        <f si="7" t="shared"/>
        <v>145.12967015019879</v>
      </c>
      <c r="H23">
        <f si="8" t="shared"/>
        <v>1117.2133281586032</v>
      </c>
      <c r="I23">
        <f si="9" t="shared"/>
        <v>2426.283848588012</v>
      </c>
      <c r="J23">
        <f si="10" t="shared"/>
        <v>38623.952773472105</v>
      </c>
      <c r="N23" t="s">
        <v>206</v>
      </c>
      <c r="O23" s="105" t="n">
        <v>15886.100000000002</v>
      </c>
      <c r="P23" s="105" t="n">
        <v>5120.95</v>
      </c>
      <c r="Q23" s="105" t="n">
        <v>2133.323516097489</v>
      </c>
      <c r="R23" s="105" t="n">
        <v>9766.116756589221</v>
      </c>
      <c r="S23" s="105" t="n">
        <v>2262.7900268349554</v>
      </c>
      <c r="T23" s="105" t="n">
        <v>147.1294281685175</v>
      </c>
      <c r="U23" s="105" t="n">
        <v>1117.0605326175812</v>
      </c>
      <c r="V23" s="105" t="n">
        <v>2719.2894882928417</v>
      </c>
      <c r="W23">
        <f si="11" t="shared"/>
        <v>38623.952773472105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226</v>
      </c>
      <c r="B29">
        <f ref="B29:H32" si="12" t="shared">O29*$B$1</f>
        <v>53475.412443836125</v>
      </c>
      <c r="C29">
        <f si="12" t="shared"/>
        <v>130389.70641311002</v>
      </c>
      <c r="D29">
        <f si="12" t="shared"/>
        <v>393707.17935026012</v>
      </c>
      <c r="E29">
        <f si="12" t="shared"/>
        <v>573902.57800400315</v>
      </c>
      <c r="F29">
        <f si="12" t="shared"/>
        <v>106949.09523146173</v>
      </c>
      <c r="G29">
        <f si="12" t="shared"/>
        <v>117253.37412465038</v>
      </c>
      <c r="H29">
        <f si="12" t="shared"/>
        <v>503887.95581699541</v>
      </c>
      <c r="I29">
        <f ref="I29:J32" si="13" t="shared">V29*$B$1</f>
        <v>235060.42178434858</v>
      </c>
      <c r="J29">
        <f si="13" t="shared"/>
        <v>2114625.7231686655</v>
      </c>
      <c r="N29" t="s">
        <v>226</v>
      </c>
      <c r="O29" s="105" t="n">
        <v>63931.94999999997</v>
      </c>
      <c r="P29" s="105" t="n">
        <v>151997.8</v>
      </c>
      <c r="Q29" s="105" t="n">
        <v>197290.87266769412</v>
      </c>
      <c r="R29" s="105" t="n">
        <v>484460.6168782638</v>
      </c>
      <c r="S29" s="105" t="n">
        <v>93076.13386512335</v>
      </c>
      <c r="T29" s="105" t="n">
        <v>124554.69501966523</v>
      </c>
      <c r="U29" s="105" t="n">
        <v>546514.3511565825</v>
      </c>
      <c r="V29" s="105" t="n">
        <v>255000.38177475354</v>
      </c>
      <c r="W29">
        <f>SUM(O29:V29)</f>
        <v>2114625.7231686655</v>
      </c>
    </row>
    <row r="30" spans="1:23" x14ac:dyDescent="0.2">
      <c r="A30" t="s">
        <v>235</v>
      </c>
      <c r="B30">
        <f si="12" t="shared"/>
        <v>129.20426758618703</v>
      </c>
      <c r="C30">
        <f si="12" t="shared"/>
        <v>0</v>
      </c>
      <c r="D30">
        <f si="12" t="shared"/>
        <v>0</v>
      </c>
      <c r="E30">
        <f si="12" t="shared"/>
        <v>0</v>
      </c>
      <c r="F30">
        <f si="12" t="shared"/>
        <v>712.00979339809055</v>
      </c>
      <c r="G30">
        <f si="12" t="shared"/>
        <v>7.4774765214623002</v>
      </c>
      <c r="H30">
        <f si="12" t="shared"/>
        <v>0</v>
      </c>
      <c r="I30">
        <f si="13" t="shared"/>
        <v>0</v>
      </c>
      <c r="J30">
        <f si="13" t="shared"/>
        <v>848.69153750573992</v>
      </c>
      <c r="N30" t="s">
        <v>235</v>
      </c>
      <c r="O30" s="105" t="n">
        <v>198.95</v>
      </c>
      <c r="P30" s="105" t="n">
        <v>0.0</v>
      </c>
      <c r="Q30" s="105" t="n">
        <v>0.0</v>
      </c>
      <c r="R30" s="105" t="n">
        <v>0.0</v>
      </c>
      <c r="S30" s="105" t="n">
        <v>635.9421620228849</v>
      </c>
      <c r="T30" s="105" t="n">
        <v>10.35</v>
      </c>
      <c r="U30" s="105" t="n">
        <v>0.0</v>
      </c>
      <c r="V30" s="105" t="n">
        <v>0.0</v>
      </c>
      <c r="W30">
        <f>SUM(O30:V30)</f>
        <v>848.69153750573992</v>
      </c>
    </row>
    <row r="31" spans="1:23" x14ac:dyDescent="0.2">
      <c r="A31" t="s">
        <v>236</v>
      </c>
      <c r="B31">
        <f si="12" t="shared"/>
        <v>1132740.9228792747</v>
      </c>
      <c r="C31">
        <f si="12" t="shared"/>
        <v>169540.04918485327</v>
      </c>
      <c r="D31">
        <f si="12" t="shared"/>
        <v>0</v>
      </c>
      <c r="E31">
        <f si="12" t="shared"/>
        <v>0</v>
      </c>
      <c r="F31">
        <f si="12" t="shared"/>
        <v>58704.307656921163</v>
      </c>
      <c r="G31">
        <f si="12" t="shared"/>
        <v>2018.703658948574</v>
      </c>
      <c r="H31">
        <f si="12" t="shared"/>
        <v>0</v>
      </c>
      <c r="I31">
        <f si="13" t="shared"/>
        <v>0</v>
      </c>
      <c r="J31">
        <f si="13" t="shared"/>
        <v>1363003.9833799978</v>
      </c>
      <c r="N31" t="s">
        <v>236</v>
      </c>
      <c r="O31" s="105" t="n">
        <v>1301917.2999999865</v>
      </c>
      <c r="P31" s="105" t="n">
        <v>195800.1500000002</v>
      </c>
      <c r="Q31" s="105" t="n">
        <v>0.0</v>
      </c>
      <c r="R31" s="105" t="n">
        <v>0.0</v>
      </c>
      <c r="S31" s="105" t="n">
        <v>52966.432312522156</v>
      </c>
      <c r="T31" s="105" t="n">
        <v>2266.8147364661095</v>
      </c>
      <c r="U31" s="105" t="n">
        <v>0.0</v>
      </c>
      <c r="V31" s="105" t="n">
        <v>0.0</v>
      </c>
      <c r="W31">
        <f>SUM(O31:V31)</f>
        <v>1363003.9833799978</v>
      </c>
    </row>
    <row r="32" spans="1:23" x14ac:dyDescent="0.2">
      <c r="A32" t="s">
        <v>173</v>
      </c>
      <c r="B32">
        <f si="12" t="shared"/>
        <v>223876.839663427</v>
      </c>
      <c r="C32">
        <f si="12" t="shared"/>
        <v>30658.038502171625</v>
      </c>
      <c r="D32">
        <f si="12" t="shared"/>
        <v>0</v>
      </c>
      <c r="E32">
        <f si="12" t="shared"/>
        <v>0</v>
      </c>
      <c r="F32">
        <f si="12" t="shared"/>
        <v>9200.7204980108982</v>
      </c>
      <c r="G32">
        <f si="12" t="shared"/>
        <v>260.8217141126442</v>
      </c>
      <c r="H32">
        <f si="12" t="shared"/>
        <v>0</v>
      </c>
      <c r="I32">
        <f si="13" t="shared"/>
        <v>0</v>
      </c>
      <c r="J32">
        <f si="13" t="shared"/>
        <v>263996.42037772218</v>
      </c>
      <c r="N32" t="s">
        <v>173</v>
      </c>
      <c r="O32" s="105" t="n">
        <v>257475.8000000005</v>
      </c>
      <c r="P32" s="105" t="n">
        <v>34932.4</v>
      </c>
      <c r="Q32" s="105" t="n">
        <v>0.0</v>
      </c>
      <c r="R32" s="105" t="n">
        <v>0.0</v>
      </c>
      <c r="S32" s="105" t="n">
        <v>8619.448159465057</v>
      </c>
      <c r="T32" s="105" t="n">
        <v>227.9112673792191</v>
      </c>
      <c r="U32" s="105" t="n">
        <v>0.0</v>
      </c>
      <c r="V32" s="105" t="n">
        <v>0.0</v>
      </c>
      <c r="W32">
        <f>SUM(O32:V32)</f>
        <v>263996.42037772218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226</v>
      </c>
      <c r="B36">
        <f ref="B36:H39" si="14" t="shared">O36*$B$1</f>
        <v>1398382.081153139</v>
      </c>
      <c r="C36">
        <f si="14" t="shared"/>
        <v>330587.79410013492</v>
      </c>
      <c r="D36">
        <f si="14" t="shared"/>
        <v>393707.17935026012</v>
      </c>
      <c r="E36">
        <f si="14" t="shared"/>
        <v>573902.57800400315</v>
      </c>
      <c r="F36">
        <f si="14" t="shared"/>
        <v>51411.196845110862</v>
      </c>
      <c r="G36">
        <f si="14" t="shared"/>
        <v>11528.826531330855</v>
      </c>
      <c r="H36">
        <f si="14" t="shared"/>
        <v>60824.671022848066</v>
      </c>
      <c r="I36">
        <f ref="I36:J39" si="15" t="shared">V36*$B$1</f>
        <v>197715.87803967207</v>
      </c>
      <c r="J36">
        <f si="15" t="shared"/>
        <v>3018060.2050464991</v>
      </c>
      <c r="N36" t="s">
        <v>226</v>
      </c>
      <c r="O36" s="105" t="n">
        <v>1609898.7999999803</v>
      </c>
      <c r="P36" s="105" t="n">
        <v>382730.35000000114</v>
      </c>
      <c r="Q36" s="105" t="n">
        <v>197290.87266769412</v>
      </c>
      <c r="R36" s="105" t="n">
        <v>484460.6168782638</v>
      </c>
      <c r="S36" s="105" t="n">
        <v>45654.610302772686</v>
      </c>
      <c r="T36" s="105" t="n">
        <v>12278.108566005267</v>
      </c>
      <c r="U36" s="105" t="n">
        <v>66282.73685505366</v>
      </c>
      <c r="V36" s="105" t="n">
        <v>213359.85793952056</v>
      </c>
      <c r="W36">
        <f>SUM(O36:V36)</f>
        <v>3018060.2050464991</v>
      </c>
    </row>
    <row r="37" spans="1:23" x14ac:dyDescent="0.2">
      <c r="A37" t="s">
        <v>235</v>
      </c>
      <c r="B37">
        <f si="14" t="shared"/>
        <v>309.14193118933656</v>
      </c>
      <c r="C37">
        <f si="14" t="shared"/>
        <v>0</v>
      </c>
      <c r="D37">
        <f si="14" t="shared"/>
        <v>0</v>
      </c>
      <c r="E37">
        <f si="14" t="shared"/>
        <v>0</v>
      </c>
      <c r="F37">
        <f si="14" t="shared"/>
        <v>1130.2942193626229</v>
      </c>
      <c r="G37">
        <f si="14" t="shared"/>
        <v>6.4974874371859297</v>
      </c>
      <c r="H37">
        <f si="14" t="shared"/>
        <v>0</v>
      </c>
      <c r="I37">
        <f si="15" t="shared"/>
        <v>0</v>
      </c>
      <c r="J37">
        <f si="15" t="shared"/>
        <v>1445.9336379891456</v>
      </c>
      <c r="N37" t="s">
        <v>235</v>
      </c>
      <c r="O37" s="105" t="n">
        <v>252.99999999999997</v>
      </c>
      <c r="P37" s="105" t="n">
        <v>0.0</v>
      </c>
      <c r="Q37" s="105" t="n">
        <v>0.0</v>
      </c>
      <c r="R37" s="105" t="n">
        <v>0.0</v>
      </c>
      <c r="S37" s="105" t="n">
        <v>1046.0936847074888</v>
      </c>
      <c r="T37" s="105" t="n">
        <v>17.445051066386206</v>
      </c>
      <c r="U37" s="105" t="n">
        <v>0.0</v>
      </c>
      <c r="V37" s="105" t="n">
        <v>0.0</v>
      </c>
      <c r="W37">
        <f>SUM(O37:V37)</f>
        <v>1445.9336379891456</v>
      </c>
    </row>
    <row r="38" spans="1:23" x14ac:dyDescent="0.2">
      <c r="A38" t="s">
        <v>236</v>
      </c>
      <c r="B38">
        <f si="14" t="shared"/>
        <v>10184.201360001129</v>
      </c>
      <c r="C38">
        <f si="14" t="shared"/>
        <v>0</v>
      </c>
      <c r="D38">
        <f si="14" t="shared"/>
        <v>0</v>
      </c>
      <c r="E38">
        <f si="14" t="shared"/>
        <v>0</v>
      </c>
      <c r="F38">
        <f si="14" t="shared"/>
        <v>100869.03285674586</v>
      </c>
      <c r="G38">
        <f si="14" t="shared"/>
        <v>92137.602169909776</v>
      </c>
      <c r="H38">
        <f si="14" t="shared"/>
        <v>385573.73389421694</v>
      </c>
      <c r="I38">
        <f si="15" t="shared"/>
        <v>31543.590516090309</v>
      </c>
      <c r="J38">
        <f si="15" t="shared"/>
        <v>620308.16079696396</v>
      </c>
      <c r="N38" t="s">
        <v>236</v>
      </c>
      <c r="O38" s="105" t="n">
        <v>11800.15</v>
      </c>
      <c r="P38" s="105" t="n">
        <v>0.0</v>
      </c>
      <c r="Q38" s="105" t="n">
        <v>0.0</v>
      </c>
      <c r="R38" s="105" t="n">
        <v>0.0</v>
      </c>
      <c r="S38" s="105" t="n">
        <v>89011.58684383192</v>
      </c>
      <c r="T38" s="105" t="n">
        <v>98145.88778932336</v>
      </c>
      <c r="U38" s="105" t="n">
        <v>417243.7687237133</v>
      </c>
      <c r="V38" s="105" t="n">
        <v>35481.220571364196</v>
      </c>
      <c r="W38">
        <f>SUM(O38:V38)</f>
        <v>620308.16079696396</v>
      </c>
    </row>
    <row r="39" spans="1:23" x14ac:dyDescent="0.2">
      <c r="A39" t="s">
        <v>173</v>
      </c>
      <c r="B39">
        <f si="14" t="shared"/>
        <v>1346.9548097943944</v>
      </c>
      <c r="C39">
        <f si="14" t="shared"/>
        <v>0</v>
      </c>
      <c r="D39">
        <f si="14" t="shared"/>
        <v>0</v>
      </c>
      <c r="E39">
        <f si="14" t="shared"/>
        <v>0</v>
      </c>
      <c r="F39">
        <f si="14" t="shared"/>
        <v>22155.609258572546</v>
      </c>
      <c r="G39">
        <f si="14" t="shared"/>
        <v>15867.450785555247</v>
      </c>
      <c r="H39">
        <f si="14" t="shared"/>
        <v>57489.550899930371</v>
      </c>
      <c r="I39">
        <f si="15" t="shared"/>
        <v>5800.9532285861997</v>
      </c>
      <c r="J39">
        <f si="15" t="shared"/>
        <v>102660.51898243875</v>
      </c>
      <c r="N39" t="s">
        <v>173</v>
      </c>
      <c r="O39" s="105" t="n">
        <v>1572.05</v>
      </c>
      <c r="P39" s="105" t="n">
        <v>0.0</v>
      </c>
      <c r="Q39" s="105" t="n">
        <v>0.0</v>
      </c>
      <c r="R39" s="105" t="n">
        <v>0.0</v>
      </c>
      <c r="S39" s="105" t="n">
        <v>19585.665667821366</v>
      </c>
      <c r="T39" s="105" t="n">
        <v>16618.329617115578</v>
      </c>
      <c r="U39" s="105" t="n">
        <v>62987.845577815344</v>
      </c>
      <c r="V39" s="105" t="n">
        <v>6159.303263868579</v>
      </c>
      <c r="W39">
        <f>SUM(O39:V39)</f>
        <v>102660.51898243875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226</v>
      </c>
      <c r="B43">
        <f ref="B43:H46" si="16" t="shared">O43*$B$1</f>
        <v>992742.81832842075</v>
      </c>
      <c r="C43">
        <f si="16" t="shared"/>
        <v>253344.70571171556</v>
      </c>
      <c r="D43">
        <f si="16" t="shared"/>
        <v>343281.98927651928</v>
      </c>
      <c r="E43">
        <f si="16" t="shared"/>
        <v>415738.88714334933</v>
      </c>
      <c r="F43">
        <f si="16" t="shared"/>
        <v>146595.66578082446</v>
      </c>
      <c r="G43">
        <f si="16" t="shared"/>
        <v>107408.63045133361</v>
      </c>
      <c r="H43">
        <f si="16" t="shared"/>
        <v>464120.13719700935</v>
      </c>
      <c r="I43">
        <f ref="I43:J46" si="17" t="shared">V43*$B$1</f>
        <v>171330.73105235019</v>
      </c>
      <c r="J43">
        <f si="17" t="shared"/>
        <v>2894563.5649415227</v>
      </c>
      <c r="N43" t="s">
        <v>226</v>
      </c>
      <c r="O43" s="105" t="n">
        <v>1140813.7999999896</v>
      </c>
      <c r="P43" s="105" t="n">
        <v>292369.1000000007</v>
      </c>
      <c r="Q43" s="105" t="n">
        <v>168127.1193865032</v>
      </c>
      <c r="R43" s="105" t="n">
        <v>336820.8849004821</v>
      </c>
      <c r="S43" s="105" t="n">
        <v>128311.86965374634</v>
      </c>
      <c r="T43" s="105" t="n">
        <v>114787.52797187869</v>
      </c>
      <c r="U43" s="105" t="n">
        <v>503041.4308949154</v>
      </c>
      <c r="V43" s="105" t="n">
        <v>185587.34895594092</v>
      </c>
      <c r="W43">
        <f>SUM(O43:V43)</f>
        <v>2894563.5649415227</v>
      </c>
    </row>
    <row r="44" spans="1:23" x14ac:dyDescent="0.2">
      <c r="A44" t="s">
        <v>235</v>
      </c>
      <c r="B44">
        <f si="16" t="shared"/>
        <v>265723.81796809449</v>
      </c>
      <c r="C44">
        <f si="16" t="shared"/>
        <v>25187.509834782806</v>
      </c>
      <c r="D44">
        <f si="16" t="shared"/>
        <v>2993.1430008806478</v>
      </c>
      <c r="E44">
        <f si="16" t="shared"/>
        <v>9277.6227881697123</v>
      </c>
      <c r="F44">
        <f si="16" t="shared"/>
        <v>19763.080536434569</v>
      </c>
      <c r="G44">
        <f si="16" t="shared"/>
        <v>6464.356615414863</v>
      </c>
      <c r="H44">
        <f si="16" t="shared"/>
        <v>15940.853343776986</v>
      </c>
      <c r="I44">
        <f si="17" t="shared"/>
        <v>8213.9861325531529</v>
      </c>
      <c r="J44">
        <f si="17" t="shared"/>
        <v>353564.3702201072</v>
      </c>
      <c r="N44" t="s">
        <v>235</v>
      </c>
      <c r="O44" s="105" t="n">
        <v>305578.00000000076</v>
      </c>
      <c r="P44" s="105" t="n">
        <v>28760.350000000006</v>
      </c>
      <c r="Q44" s="105" t="n">
        <v>1761.558402644558</v>
      </c>
      <c r="R44" s="105" t="n">
        <v>8799.037632241898</v>
      </c>
      <c r="S44" s="105" t="n">
        <v>18756.15288477802</v>
      </c>
      <c r="T44" s="105" t="n">
        <v>6614.773943320189</v>
      </c>
      <c r="U44" s="105" t="n">
        <v>17138.83247305741</v>
      </c>
      <c r="V44" s="105" t="n">
        <v>8718.355902884092</v>
      </c>
      <c r="W44">
        <f>SUM(O44:V44)</f>
        <v>353564.3702201072</v>
      </c>
    </row>
    <row r="45" spans="1:23" x14ac:dyDescent="0.2">
      <c r="A45" t="s">
        <v>236</v>
      </c>
      <c r="B45">
        <f si="16" t="shared"/>
        <v>83620.557874404883</v>
      </c>
      <c r="C45">
        <f si="16" t="shared"/>
        <v>37694.127012383593</v>
      </c>
      <c r="D45">
        <f si="16" t="shared"/>
        <v>37545.0917712796</v>
      </c>
      <c r="E45">
        <f si="16" t="shared"/>
        <v>117793.08386298013</v>
      </c>
      <c r="F45">
        <f si="16" t="shared"/>
        <v>5512.187714483387</v>
      </c>
      <c r="G45">
        <f si="16" t="shared"/>
        <v>3451.1685706821158</v>
      </c>
      <c r="H45">
        <f si="16" t="shared"/>
        <v>15638.542699442676</v>
      </c>
      <c r="I45">
        <f si="17" t="shared"/>
        <v>43451.687055851653</v>
      </c>
      <c r="J45">
        <f si="17" t="shared"/>
        <v>344706.446561508</v>
      </c>
      <c r="N45" t="s">
        <v>236</v>
      </c>
      <c r="O45" s="105" t="n">
        <v>98078.89999999992</v>
      </c>
      <c r="P45" s="105" t="n">
        <v>44254.299999999996</v>
      </c>
      <c r="Q45" s="105" t="n">
        <v>21700.075694785406</v>
      </c>
      <c r="R45" s="105" t="n">
        <v>109657.05458908557</v>
      </c>
      <c r="S45" s="105" t="n">
        <v>4766.743903729678</v>
      </c>
      <c r="T45" s="105" t="n">
        <v>3350.794816486718</v>
      </c>
      <c r="U45" s="105" t="n">
        <v>17250.262529206375</v>
      </c>
      <c r="V45" s="105" t="n">
        <v>47590.83349162472</v>
      </c>
      <c r="W45">
        <f>SUM(O45:V45)</f>
        <v>344706.446561508</v>
      </c>
    </row>
    <row r="46" spans="1:23" x14ac:dyDescent="0.2">
      <c r="A46" t="s">
        <v>173</v>
      </c>
      <c r="B46">
        <f si="16" t="shared"/>
        <v>68135.185083204036</v>
      </c>
      <c r="C46">
        <f si="16" t="shared"/>
        <v>14361.451541252949</v>
      </c>
      <c r="D46">
        <f si="16" t="shared"/>
        <v>9886.9553015805468</v>
      </c>
      <c r="E46">
        <f si="16" t="shared"/>
        <v>31092.984209503964</v>
      </c>
      <c r="F46">
        <f si="16" t="shared"/>
        <v>3695.1991480494571</v>
      </c>
      <c r="G46">
        <f si="16" t="shared"/>
        <v>2216.2213368024768</v>
      </c>
      <c r="H46">
        <f si="16" t="shared"/>
        <v>8188.422576766372</v>
      </c>
      <c r="I46">
        <f si="17" t="shared"/>
        <v>12064.017543593605</v>
      </c>
      <c r="J46">
        <f si="17" t="shared"/>
        <v>149640.43674075339</v>
      </c>
      <c r="N46" t="s">
        <v>173</v>
      </c>
      <c r="O46" s="105" t="n">
        <v>79053.29999999994</v>
      </c>
      <c r="P46" s="105" t="n">
        <v>17346.600000000002</v>
      </c>
      <c r="Q46" s="105" t="n">
        <v>5702.119183760866</v>
      </c>
      <c r="R46" s="105" t="n">
        <v>29183.63975645371</v>
      </c>
      <c r="S46" s="105" t="n">
        <v>3463.1900568793867</v>
      </c>
      <c r="T46" s="105" t="n">
        <v>2306.674291824979</v>
      </c>
      <c r="U46" s="105" t="n">
        <v>9083.82525940357</v>
      </c>
      <c r="V46" s="105" t="n">
        <v>13103.843424303435</v>
      </c>
      <c r="W46">
        <f>SUM(O46:V46)</f>
        <v>149640.43674075339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226</v>
      </c>
      <c r="B50">
        <f ref="B50:H53" si="18" t="shared">O50*$B$1</f>
        <v>873258.17654932011</v>
      </c>
      <c r="C50">
        <f si="18" t="shared"/>
        <v>190044.27399688296</v>
      </c>
      <c r="D50">
        <f si="18" t="shared"/>
        <v>180671.24065487128</v>
      </c>
      <c r="E50">
        <f si="18" t="shared"/>
        <v>299921.97232128459</v>
      </c>
      <c r="F50">
        <f si="18" t="shared"/>
        <v>121516.06296609317</v>
      </c>
      <c r="G50">
        <f si="18" t="shared"/>
        <v>103569.13173335063</v>
      </c>
      <c r="H50">
        <f si="18" t="shared"/>
        <v>383999.85680488491</v>
      </c>
      <c r="I50">
        <f ref="I50:J53" si="19" t="shared">V50*$B$1</f>
        <v>128678.92763643968</v>
      </c>
      <c r="J50">
        <f si="19" t="shared"/>
        <v>2281659.6426631277</v>
      </c>
      <c r="N50" t="s">
        <v>226</v>
      </c>
      <c r="O50" s="105" t="n">
        <v>1006594.9999999923</v>
      </c>
      <c r="P50" s="105" t="n">
        <v>218117.0500000003</v>
      </c>
      <c r="Q50" s="105" t="n">
        <v>95500.17295701765</v>
      </c>
      <c r="R50" s="105" t="n">
        <v>262576.9988697982</v>
      </c>
      <c r="S50" s="105" t="n">
        <v>110535.89403310932</v>
      </c>
      <c r="T50" s="105" t="n">
        <v>110064.6082844012</v>
      </c>
      <c r="U50" s="105" t="n">
        <v>410440.69602877356</v>
      </c>
      <c r="V50" s="105" t="n">
        <v>135734.05930131173</v>
      </c>
      <c r="W50">
        <f>SUM(O50:V50)</f>
        <v>2281659.6426631277</v>
      </c>
    </row>
    <row r="51" spans="1:23" x14ac:dyDescent="0.2">
      <c r="A51" t="s">
        <v>235</v>
      </c>
      <c r="B51">
        <f si="18" t="shared"/>
        <v>411761.98584271542</v>
      </c>
      <c r="C51">
        <f si="18" t="shared"/>
        <v>77240.856355694064</v>
      </c>
      <c r="D51">
        <f si="18" t="shared"/>
        <v>75651.141235210322</v>
      </c>
      <c r="E51">
        <f si="18" t="shared"/>
        <v>110884.60157470609</v>
      </c>
      <c r="F51">
        <f si="18" t="shared"/>
        <v>41101.61884928761</v>
      </c>
      <c r="G51">
        <f si="18" t="shared"/>
        <v>10034.927450279172</v>
      </c>
      <c r="H51">
        <f si="18" t="shared"/>
        <v>68690.926400551674</v>
      </c>
      <c r="I51">
        <f si="19" t="shared"/>
        <v>48550.32663890595</v>
      </c>
      <c r="J51">
        <f si="19" t="shared"/>
        <v>843916.38434735034</v>
      </c>
      <c r="N51" t="s">
        <v>235</v>
      </c>
      <c r="O51" s="105" t="n">
        <v>474625.7000000016</v>
      </c>
      <c r="P51" s="105" t="n">
        <v>90084.09999999993</v>
      </c>
      <c r="Q51" s="105" t="n">
        <v>36875.94568686978</v>
      </c>
      <c r="R51" s="105" t="n">
        <v>91473.46794513124</v>
      </c>
      <c r="S51" s="105" t="n">
        <v>34627.25816782536</v>
      </c>
      <c r="T51" s="105" t="n">
        <v>10779.913870463151</v>
      </c>
      <c r="U51" s="105" t="n">
        <v>72897.61530262697</v>
      </c>
      <c r="V51" s="105" t="n">
        <v>52098.73952604475</v>
      </c>
      <c r="W51">
        <f>SUM(O51:V51)</f>
        <v>843916.38434735034</v>
      </c>
    </row>
    <row r="52" spans="1:23" x14ac:dyDescent="0.2">
      <c r="A52" t="s">
        <v>236</v>
      </c>
      <c r="B52">
        <f si="18" t="shared"/>
        <v>69759.918278982223</v>
      </c>
      <c r="C52">
        <f si="18" t="shared"/>
        <v>31907.639925590007</v>
      </c>
      <c r="D52">
        <f si="18" t="shared"/>
        <v>67902.010423178101</v>
      </c>
      <c r="E52">
        <f si="18" t="shared"/>
        <v>77643.007936001988</v>
      </c>
      <c r="F52">
        <f si="18" t="shared"/>
        <v>7208.2576058486047</v>
      </c>
      <c r="G52">
        <f si="18" t="shared"/>
        <v>3633.0524924627307</v>
      </c>
      <c r="H52">
        <f si="18" t="shared"/>
        <v>32141.025296394102</v>
      </c>
      <c r="I52">
        <f si="19" t="shared"/>
        <v>28886.626250883357</v>
      </c>
      <c r="J52">
        <f si="19" t="shared"/>
        <v>319081.53820934112</v>
      </c>
      <c r="N52" t="s">
        <v>236</v>
      </c>
      <c r="O52" s="105" t="n">
        <v>79921.54999999994</v>
      </c>
      <c r="P52" s="105" t="n">
        <v>37645.25</v>
      </c>
      <c r="Q52" s="105" t="n">
        <v>31846.771609965017</v>
      </c>
      <c r="R52" s="105" t="n">
        <v>61900.67274727137</v>
      </c>
      <c r="S52" s="105" t="n">
        <v>5581.9588823948325</v>
      </c>
      <c r="T52" s="105" t="n">
        <v>3864.8932296577336</v>
      </c>
      <c r="U52" s="105" t="n">
        <v>41373.81428018015</v>
      </c>
      <c r="V52" s="105" t="n">
        <v>34127.448290816545</v>
      </c>
      <c r="W52">
        <f>SUM(O52:V52)</f>
        <v>319081.53820934112</v>
      </c>
    </row>
    <row r="53" spans="1:23" x14ac:dyDescent="0.2">
      <c r="A53" t="s">
        <v>173</v>
      </c>
      <c r="B53">
        <f si="18" t="shared"/>
        <v>55442.298583106465</v>
      </c>
      <c r="C53">
        <f si="18" t="shared"/>
        <v>31395.023821967898</v>
      </c>
      <c r="D53">
        <f si="18" t="shared"/>
        <v>69482.787037000424</v>
      </c>
      <c r="E53">
        <f si="18" t="shared"/>
        <v>85452.996172010462</v>
      </c>
      <c r="F53">
        <f si="18" t="shared"/>
        <v>5740.1937585624946</v>
      </c>
      <c r="G53">
        <f si="18" t="shared"/>
        <v>2303.2652981405263</v>
      </c>
      <c r="H53">
        <f si="18" t="shared"/>
        <v>19056.147315164657</v>
      </c>
      <c r="I53">
        <f si="19" t="shared"/>
        <v>28944.541258119621</v>
      </c>
      <c r="J53">
        <f si="19" t="shared"/>
        <v>297817.25324407255</v>
      </c>
      <c r="N53" t="s">
        <v>173</v>
      </c>
      <c r="O53" s="105" t="n">
        <v>62381.74999999997</v>
      </c>
      <c r="P53" s="105" t="n">
        <v>36883.950000000004</v>
      </c>
      <c r="Q53" s="105" t="n">
        <v>33067.98241384151</v>
      </c>
      <c r="R53" s="105" t="n">
        <v>68509.47731606213</v>
      </c>
      <c r="S53" s="105" t="n">
        <v>4552.845415803924</v>
      </c>
      <c r="T53" s="105" t="n">
        <v>2350.3556389884916</v>
      </c>
      <c r="U53" s="105" t="n">
        <v>21802.22554500165</v>
      </c>
      <c r="V53" s="105" t="n">
        <v>33040.1346565799</v>
      </c>
      <c r="W53">
        <f>SUM(O53:V53)</f>
        <v>297817.25324407255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226</v>
      </c>
      <c r="B57">
        <f ref="B57:H60" si="20" t="shared">O57*$B$1</f>
        <v>588916.2566658213</v>
      </c>
      <c r="C57">
        <f si="20" t="shared"/>
        <v>177716.88990567983</v>
      </c>
      <c r="D57">
        <f si="20" t="shared"/>
        <v>164384.66535833885</v>
      </c>
      <c r="E57">
        <f si="20" t="shared"/>
        <v>196466.26914615827</v>
      </c>
      <c r="F57">
        <f si="20" t="shared"/>
        <v>94267.925634470987</v>
      </c>
      <c r="G57">
        <f si="20" t="shared"/>
        <v>112280.56857531353</v>
      </c>
      <c r="H57">
        <f si="20" t="shared"/>
        <v>470279.53784295579</v>
      </c>
      <c r="I57">
        <f ref="I57:J60" si="21" t="shared">V57*$B$1</f>
        <v>123455.7762603189</v>
      </c>
      <c r="J57">
        <f si="21" t="shared"/>
        <v>1927767.8893890574</v>
      </c>
      <c r="N57" t="s">
        <v>226</v>
      </c>
      <c r="O57" s="105" t="n">
        <v>677225.7999999988</v>
      </c>
      <c r="P57" s="105" t="n">
        <v>205647.60000000027</v>
      </c>
      <c r="Q57" s="105" t="n">
        <v>85723.85597638258</v>
      </c>
      <c r="R57" s="105" t="n">
        <v>172693.94508632057</v>
      </c>
      <c r="S57" s="105" t="n">
        <v>85955.949227816</v>
      </c>
      <c r="T57" s="105" t="n">
        <v>119769.51014370206</v>
      </c>
      <c r="U57" s="105" t="n">
        <v>510668.1743654079</v>
      </c>
      <c r="V57" s="105" t="n">
        <v>134747.50310590368</v>
      </c>
      <c r="W57">
        <f>SUM(O57:V57)</f>
        <v>1927767.8893890574</v>
      </c>
    </row>
    <row r="58" spans="1:23" x14ac:dyDescent="0.2">
      <c r="A58" t="s">
        <v>235</v>
      </c>
      <c r="B58">
        <f si="20" t="shared"/>
        <v>682367.83323963475</v>
      </c>
      <c r="C58">
        <f si="20" t="shared"/>
        <v>101042.67580129427</v>
      </c>
      <c r="D58">
        <f si="20" t="shared"/>
        <v>111495.54295316985</v>
      </c>
      <c r="E58">
        <f si="20" t="shared"/>
        <v>195820.14113479096</v>
      </c>
      <c r="F58">
        <f si="20" t="shared"/>
        <v>68505.333433872598</v>
      </c>
      <c r="G58">
        <f si="20" t="shared"/>
        <v>5685.1709536923536</v>
      </c>
      <c r="H58">
        <f si="20" t="shared"/>
        <v>16674.059433402286</v>
      </c>
      <c r="I58">
        <f si="21" t="shared"/>
        <v>54919.595769281579</v>
      </c>
      <c r="J58">
        <f si="21" t="shared"/>
        <v>1236510.3527191386</v>
      </c>
      <c r="N58" t="s">
        <v>235</v>
      </c>
      <c r="O58" s="105" t="n">
        <v>785751.2999999967</v>
      </c>
      <c r="P58" s="105" t="n">
        <v>117510.4499999999</v>
      </c>
      <c r="Q58" s="105" t="n">
        <v>55154.07928152366</v>
      </c>
      <c r="R58" s="105" t="n">
        <v>165099.66548956244</v>
      </c>
      <c r="S58" s="105" t="n">
        <v>59241.870621737995</v>
      </c>
      <c r="T58" s="105" t="n">
        <v>5675.759517553661</v>
      </c>
      <c r="U58" s="105" t="n">
        <v>17924.59992722876</v>
      </c>
      <c r="V58" s="105" t="n">
        <v>60147.12800515599</v>
      </c>
      <c r="W58">
        <f>SUM(O58:V58)</f>
        <v>1236510.3527191386</v>
      </c>
    </row>
    <row r="59" spans="1:23" x14ac:dyDescent="0.2">
      <c r="A59" t="s">
        <v>236</v>
      </c>
      <c r="B59">
        <f si="20" t="shared"/>
        <v>77190.361381434588</v>
      </c>
      <c r="C59">
        <f si="20" t="shared"/>
        <v>24140.101858280319</v>
      </c>
      <c r="D59">
        <f si="20" t="shared"/>
        <v>51470.393437336366</v>
      </c>
      <c r="E59">
        <f si="20" t="shared"/>
        <v>81031.964801228489</v>
      </c>
      <c r="F59">
        <f si="20" t="shared"/>
        <v>7047.5612801861334</v>
      </c>
      <c r="G59">
        <f si="20" t="shared"/>
        <v>887.85232960574433</v>
      </c>
      <c r="H59">
        <f si="20" t="shared"/>
        <v>10073.956741250562</v>
      </c>
      <c r="I59">
        <f si="21" t="shared"/>
        <v>26974.156492146161</v>
      </c>
      <c r="J59">
        <f si="21" t="shared"/>
        <v>278816.34832146839</v>
      </c>
      <c r="N59" t="s">
        <v>236</v>
      </c>
      <c r="O59" s="105" t="n">
        <v>88026.74999999994</v>
      </c>
      <c r="P59" s="105" t="n">
        <v>27801.250000000004</v>
      </c>
      <c r="Q59" s="105" t="n">
        <v>25089.643591759486</v>
      </c>
      <c r="R59" s="105" t="n">
        <v>65175.72085261101</v>
      </c>
      <c r="S59" s="105" t="n">
        <v>5301.280939963054</v>
      </c>
      <c r="T59" s="105" t="n">
        <v>925.8390232849703</v>
      </c>
      <c r="U59" s="105" t="n">
        <v>11146.662139018132</v>
      </c>
      <c r="V59" s="105" t="n">
        <v>28349.44753374279</v>
      </c>
      <c r="W59">
        <f>SUM(O59:V59)</f>
        <v>278816.34832146839</v>
      </c>
    </row>
    <row r="60" spans="1:23" x14ac:dyDescent="0.2">
      <c r="A60" t="s">
        <v>173</v>
      </c>
      <c r="B60">
        <f si="20" t="shared"/>
        <v>61747.927967233685</v>
      </c>
      <c r="C60">
        <f si="20" t="shared"/>
        <v>27688.12653488051</v>
      </c>
      <c r="D60">
        <f si="20" t="shared"/>
        <v>66356.577601415062</v>
      </c>
      <c r="E60">
        <f si="20" t="shared"/>
        <v>100584.20292182539</v>
      </c>
      <c r="F60">
        <f si="20" t="shared"/>
        <v>5745.3128312621584</v>
      </c>
      <c r="G60">
        <f si="20" t="shared"/>
        <v>686.78511562143319</v>
      </c>
      <c r="H60">
        <f si="20" t="shared"/>
        <v>6860.401799386721</v>
      </c>
      <c r="I60">
        <f si="21" t="shared"/>
        <v>29710.893262601949</v>
      </c>
      <c r="J60">
        <f si="21" t="shared"/>
        <v>299380.22803422686</v>
      </c>
      <c r="N60" t="s">
        <v>173</v>
      </c>
      <c r="O60" s="105" t="n">
        <v>72520.14999999997</v>
      </c>
      <c r="P60" s="105" t="n">
        <v>31771.050000000007</v>
      </c>
      <c r="Q60" s="105" t="n">
        <v>31323.293818028207</v>
      </c>
      <c r="R60" s="105" t="n">
        <v>81491.28544976855</v>
      </c>
      <c r="S60" s="105" t="n">
        <v>4798.855709616395</v>
      </c>
      <c r="T60" s="105" t="n">
        <v>688.6623389698727</v>
      </c>
      <c r="U60" s="105" t="n">
        <v>6774.914724928012</v>
      </c>
      <c r="V60" s="105" t="n">
        <v>31756.303129950473</v>
      </c>
      <c r="W60">
        <f>SUM(O60:V60)</f>
        <v>299380.22803422686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226</v>
      </c>
      <c r="B64">
        <f ref="B64:H67" si="22" t="shared">O64*$B$1</f>
        <v>990049.13872152788</v>
      </c>
      <c r="C64">
        <f si="22" t="shared"/>
        <v>265769.35408896103</v>
      </c>
      <c r="D64">
        <f si="22" t="shared"/>
        <v>314317.97993209376</v>
      </c>
      <c r="E64">
        <f si="22" t="shared"/>
        <v>431218.08711230417</v>
      </c>
      <c r="F64">
        <f si="22" t="shared"/>
        <v>122795.36959270174</v>
      </c>
      <c r="G64">
        <f si="22" t="shared"/>
        <v>83610.535951555532</v>
      </c>
      <c r="H64">
        <f si="22" t="shared"/>
        <v>431503.1476883865</v>
      </c>
      <c r="I64">
        <f ref="I64:J67" si="23" t="shared">V64*$B$1</f>
        <v>204552.45044757621</v>
      </c>
      <c r="J64">
        <f si="23" t="shared"/>
        <v>2843816.0635351068</v>
      </c>
      <c r="N64" t="s">
        <v>226</v>
      </c>
      <c r="O64" s="105" t="n">
        <v>1139881.1499999897</v>
      </c>
      <c r="P64" s="105" t="n">
        <v>307303.00000000076</v>
      </c>
      <c r="Q64" s="105" t="n">
        <v>156724.88152069566</v>
      </c>
      <c r="R64" s="105" t="n">
        <v>363239.43673928455</v>
      </c>
      <c r="S64" s="105" t="n">
        <v>108091.99311114533</v>
      </c>
      <c r="T64" s="105" t="n">
        <v>88930.89721724973</v>
      </c>
      <c r="U64" s="105" t="n">
        <v>467451.62430750654</v>
      </c>
      <c r="V64" s="105" t="n">
        <v>221795.21309217968</v>
      </c>
      <c r="W64">
        <f>SUM(O64:V64)</f>
        <v>2843816.0635351068</v>
      </c>
    </row>
    <row r="65" spans="1:23" x14ac:dyDescent="0.2">
      <c r="A65" t="s">
        <v>235</v>
      </c>
      <c r="B65">
        <f si="22" t="shared"/>
        <v>351214.67744951823</v>
      </c>
      <c r="C65">
        <f si="22" t="shared"/>
        <v>45937.239554986852</v>
      </c>
      <c r="D65">
        <f si="22" t="shared"/>
        <v>44584.095262909643</v>
      </c>
      <c r="E65">
        <f si="22" t="shared"/>
        <v>83268.258783119076</v>
      </c>
      <c r="F65">
        <f si="22" t="shared"/>
        <v>46935.493398476487</v>
      </c>
      <c r="G65">
        <f si="22" t="shared"/>
        <v>28351.51449187547</v>
      </c>
      <c r="H65">
        <f si="22" t="shared"/>
        <v>55699.461749336675</v>
      </c>
      <c r="I65">
        <f si="23" t="shared"/>
        <v>20657.138271722954</v>
      </c>
      <c r="J65">
        <f si="23" t="shared"/>
        <v>676647.8789619453</v>
      </c>
      <c r="N65" t="s">
        <v>235</v>
      </c>
      <c r="O65" s="105" t="n">
        <v>404682.70000000123</v>
      </c>
      <c r="P65" s="105" t="n">
        <v>54041.94999999998</v>
      </c>
      <c r="Q65" s="105" t="n">
        <v>22707.972509548177</v>
      </c>
      <c r="R65" s="105" t="n">
        <v>71112.62005241241</v>
      </c>
      <c r="S65" s="105" t="n">
        <v>41906.841641236126</v>
      </c>
      <c r="T65" s="105" t="n">
        <v>30115.12174915591</v>
      </c>
      <c r="U65" s="105" t="n">
        <v>61219.015499173154</v>
      </c>
      <c r="V65" s="105" t="n">
        <v>22201.732511856288</v>
      </c>
      <c r="W65">
        <f>SUM(O65:V65)</f>
        <v>676647.8789619453</v>
      </c>
    </row>
    <row r="66" spans="1:23" x14ac:dyDescent="0.2">
      <c r="A66" t="s">
        <v>236</v>
      </c>
      <c r="B66">
        <f si="22" t="shared"/>
        <v>50407.719266469547</v>
      </c>
      <c r="C66">
        <f si="22" t="shared"/>
        <v>13628.406185112477</v>
      </c>
      <c r="D66">
        <f si="22" t="shared"/>
        <v>26235.007037656444</v>
      </c>
      <c r="E66">
        <f si="22" t="shared"/>
        <v>44050.649264257787</v>
      </c>
      <c r="F66">
        <f si="22" t="shared"/>
        <v>4105.1131588866056</v>
      </c>
      <c r="G66">
        <f si="22" t="shared"/>
        <v>5535.1675987648996</v>
      </c>
      <c r="H66">
        <f si="22" t="shared"/>
        <v>11987.172748286363</v>
      </c>
      <c r="I66">
        <f si="23" t="shared"/>
        <v>7385.5366382588181</v>
      </c>
      <c r="J66">
        <f si="23" t="shared"/>
        <v>163334.77189769296</v>
      </c>
      <c r="N66" t="s">
        <v>236</v>
      </c>
      <c r="O66" s="105" t="n">
        <v>57701.24999999998</v>
      </c>
      <c r="P66" s="105" t="n">
        <v>15659.550000000001</v>
      </c>
      <c r="Q66" s="105" t="n">
        <v>13264.35158017159</v>
      </c>
      <c r="R66" s="105" t="n">
        <v>37416.399816847916</v>
      </c>
      <c r="S66" s="105" t="n">
        <v>3663.6828013408667</v>
      </c>
      <c r="T66" s="105" t="n">
        <v>5699.555523215969</v>
      </c>
      <c r="U66" s="105" t="n">
        <v>12792.912464902836</v>
      </c>
      <c r="V66" s="105" t="n">
        <v>8098.150452564495</v>
      </c>
      <c r="W66">
        <f>SUM(O66:V66)</f>
        <v>163334.77189769296</v>
      </c>
    </row>
    <row r="67" spans="1:23" x14ac:dyDescent="0.2">
      <c r="A67" t="s">
        <v>173</v>
      </c>
      <c r="B67">
        <f si="22" t="shared"/>
        <v>18550.843816608445</v>
      </c>
      <c r="C67">
        <f si="22" t="shared"/>
        <v>5252.7942710745783</v>
      </c>
      <c r="D67">
        <f si="22" t="shared"/>
        <v>8570.0971176002749</v>
      </c>
      <c r="E67">
        <f si="22" t="shared"/>
        <v>15365.582844322113</v>
      </c>
      <c r="F67">
        <f si="22" t="shared"/>
        <v>1730.1570297270603</v>
      </c>
      <c r="G67">
        <f si="22" t="shared"/>
        <v>2043.1589320371552</v>
      </c>
      <c r="H67">
        <f si="22" t="shared"/>
        <v>4698.173630985857</v>
      </c>
      <c r="I67">
        <f si="23" t="shared"/>
        <v>2465.2964267906154</v>
      </c>
      <c r="J67">
        <f si="23" t="shared"/>
        <v>58676.104069146102</v>
      </c>
      <c r="N67" t="s">
        <v>173</v>
      </c>
      <c r="O67" s="105" t="n">
        <v>21258.900000000005</v>
      </c>
      <c r="P67" s="105" t="n">
        <v>5725.849999999999</v>
      </c>
      <c r="Q67" s="105" t="n">
        <v>4593.6670572786</v>
      </c>
      <c r="R67" s="105" t="n">
        <v>12692.160269718497</v>
      </c>
      <c r="S67" s="105" t="n">
        <v>1635.4389454111224</v>
      </c>
      <c r="T67" s="105" t="n">
        <v>2314.1965338889936</v>
      </c>
      <c r="U67" s="105" t="n">
        <v>5050.798885000063</v>
      </c>
      <c r="V67" s="105" t="n">
        <v>2905.285718152903</v>
      </c>
      <c r="W67">
        <f>SUM(O67:V67)</f>
        <v>58676.104069146102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226</v>
      </c>
      <c r="B71">
        <f ref="B71:H74" si="24" t="shared">O71*$B$1</f>
        <v>880762.01949263352</v>
      </c>
      <c r="C71">
        <f si="24" t="shared"/>
        <v>177615.88456020658</v>
      </c>
      <c r="D71">
        <f si="24" t="shared"/>
        <v>223474.45961167369</v>
      </c>
      <c r="E71">
        <f si="24" t="shared"/>
        <v>296638.7199744347</v>
      </c>
      <c r="F71">
        <f si="24" t="shared"/>
        <v>116943.94334809558</v>
      </c>
      <c r="G71">
        <f si="24" t="shared"/>
        <v>84838.764160026592</v>
      </c>
      <c r="H71">
        <f si="24" t="shared"/>
        <v>282496.17303245066</v>
      </c>
      <c r="I71">
        <f ref="I71:J74" si="25" t="shared">V71*$B$1</f>
        <v>114026.72012802635</v>
      </c>
      <c r="J71">
        <f si="25" t="shared"/>
        <v>2176796.6843075478</v>
      </c>
      <c r="N71" t="s">
        <v>226</v>
      </c>
      <c r="O71" s="105" t="n">
        <v>1017457.8999999921</v>
      </c>
      <c r="P71" s="105" t="n">
        <v>207610.65000000026</v>
      </c>
      <c r="Q71" s="105" t="n">
        <v>112568.53983278805</v>
      </c>
      <c r="R71" s="105" t="n">
        <v>247396.5530442823</v>
      </c>
      <c r="S71" s="105" t="n">
        <v>101238.1558866945</v>
      </c>
      <c r="T71" s="105" t="n">
        <v>89725.10529691642</v>
      </c>
      <c r="U71" s="105" t="n">
        <v>305073.66967917676</v>
      </c>
      <c r="V71" s="105" t="n">
        <v>122851.52362593281</v>
      </c>
      <c r="W71">
        <f>SUM(O71:V71)</f>
        <v>2176796.6843075478</v>
      </c>
    </row>
    <row r="72" spans="1:23" x14ac:dyDescent="0.2">
      <c r="A72" t="s">
        <v>235</v>
      </c>
      <c r="B72">
        <f si="24" t="shared"/>
        <v>265134.19546436827</v>
      </c>
      <c r="C72">
        <f si="24" t="shared"/>
        <v>52710.656111851371</v>
      </c>
      <c r="D72">
        <f si="24" t="shared"/>
        <v>37016.679333630454</v>
      </c>
      <c r="E72">
        <f si="24" t="shared"/>
        <v>65054.138702222255</v>
      </c>
      <c r="F72">
        <f si="24" t="shared"/>
        <v>36493.795367827217</v>
      </c>
      <c r="G72">
        <f si="24" t="shared"/>
        <v>17204.696156239108</v>
      </c>
      <c r="H72">
        <f si="24" t="shared"/>
        <v>101752.70426791465</v>
      </c>
      <c r="I72">
        <f si="25" t="shared"/>
        <v>37530.848098366208</v>
      </c>
      <c r="J72">
        <f si="25" t="shared"/>
        <v>612897.71350241953</v>
      </c>
      <c r="N72" t="s">
        <v>235</v>
      </c>
      <c r="O72" s="105" t="n">
        <v>302430.4500000007</v>
      </c>
      <c r="P72" s="105" t="n">
        <v>59374.49999999997</v>
      </c>
      <c r="Q72" s="105" t="n">
        <v>18847.90343001496</v>
      </c>
      <c r="R72" s="105" t="n">
        <v>56272.09403754291</v>
      </c>
      <c r="S72" s="105" t="n">
        <v>34040.54562892649</v>
      </c>
      <c r="T72" s="105" t="n">
        <v>18491.09816303748</v>
      </c>
      <c r="U72" s="105" t="n">
        <v>110879.29915387061</v>
      </c>
      <c r="V72" s="105" t="n">
        <v>41258.931691729675</v>
      </c>
      <c r="W72">
        <f>SUM(O72:V72)</f>
        <v>612897.71350241953</v>
      </c>
    </row>
    <row r="73" spans="1:23" x14ac:dyDescent="0.2">
      <c r="A73" t="s">
        <v>236</v>
      </c>
      <c r="B73">
        <f si="24" t="shared"/>
        <v>212460.32475112917</v>
      </c>
      <c r="C73">
        <f si="24" t="shared"/>
        <v>79192.658326199453</v>
      </c>
      <c r="D73">
        <f si="24" t="shared"/>
        <v>104733.02403325149</v>
      </c>
      <c r="E73">
        <f si="24" t="shared"/>
        <v>168741.14564620107</v>
      </c>
      <c r="F73">
        <f si="24" t="shared"/>
        <v>17451.972318247648</v>
      </c>
      <c r="G73">
        <f si="24" t="shared"/>
        <v>14219.011314124358</v>
      </c>
      <c r="H73">
        <f si="24" t="shared"/>
        <v>96917.532621760372</v>
      </c>
      <c r="I73">
        <f si="25" t="shared"/>
        <v>66567.441275884557</v>
      </c>
      <c r="J73">
        <f si="25" t="shared"/>
        <v>760283.1102867981</v>
      </c>
      <c r="N73" t="s">
        <v>236</v>
      </c>
      <c r="O73" s="105" t="n">
        <v>243971.35000000044</v>
      </c>
      <c r="P73" s="105" t="n">
        <v>91365.19999999994</v>
      </c>
      <c r="Q73" s="105" t="n">
        <v>52174.46924683017</v>
      </c>
      <c r="R73" s="105" t="n">
        <v>143080.39091849283</v>
      </c>
      <c r="S73" s="105" t="n">
        <v>15776.795263307353</v>
      </c>
      <c r="T73" s="105" t="n">
        <v>15058.814415738725</v>
      </c>
      <c r="U73" s="105" t="n">
        <v>105707.50677717953</v>
      </c>
      <c r="V73" s="105" t="n">
        <v>72550.92589322706</v>
      </c>
      <c r="W73">
        <f>SUM(O73:V73)</f>
        <v>760283.1102867981</v>
      </c>
    </row>
    <row r="74" spans="1:23" x14ac:dyDescent="0.2">
      <c r="A74" t="s">
        <v>173</v>
      </c>
      <c r="B74">
        <f si="24" t="shared"/>
        <v>51865.839545993207</v>
      </c>
      <c r="C74">
        <f si="24" t="shared"/>
        <v>21068.595101877505</v>
      </c>
      <c r="D74">
        <f si="24" t="shared"/>
        <v>28483.01637170446</v>
      </c>
      <c r="E74">
        <f si="24" t="shared"/>
        <v>43468.573681145084</v>
      </c>
      <c r="F74">
        <f si="24" t="shared"/>
        <v>4676.4221456214473</v>
      </c>
      <c r="G74">
        <f si="24" t="shared"/>
        <v>3277.9053438430092</v>
      </c>
      <c r="H74">
        <f si="24" t="shared"/>
        <v>22721.545894869687</v>
      </c>
      <c r="I74">
        <f si="25" t="shared"/>
        <v>16935.412282071473</v>
      </c>
      <c r="J74">
        <f si="25" t="shared"/>
        <v>192497.3103671259</v>
      </c>
      <c r="N74" t="s">
        <v>173</v>
      </c>
      <c r="O74" s="105" t="n">
        <v>59664.299999999974</v>
      </c>
      <c r="P74" s="105" t="n">
        <v>24380.000000000004</v>
      </c>
      <c r="Q74" s="105" t="n">
        <v>13699.960158060743</v>
      </c>
      <c r="R74" s="105" t="n">
        <v>37711.578877944834</v>
      </c>
      <c r="S74" s="105" t="n">
        <v>4242.459720205126</v>
      </c>
      <c r="T74" s="105" t="n">
        <v>3784.753147817983</v>
      </c>
      <c r="U74" s="105" t="n">
        <v>24853.875546354793</v>
      </c>
      <c r="V74" s="105" t="n">
        <v>18339.000563863356</v>
      </c>
      <c r="W74">
        <f>SUM(O74:V74)</f>
        <v>192497.3103671259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H83" si="26" t="shared">O80*$B$1</f>
        <v>53604.616711422306</v>
      </c>
      <c r="C80">
        <f si="26" t="shared"/>
        <v>130389.70641311002</v>
      </c>
      <c r="D80">
        <f si="26" t="shared"/>
        <v>393707.17935026012</v>
      </c>
      <c r="E80">
        <f si="26" t="shared"/>
        <v>573902.57800400315</v>
      </c>
      <c r="F80">
        <f si="26" t="shared"/>
        <v>107661.10502485983</v>
      </c>
      <c r="G80">
        <f si="26" t="shared"/>
        <v>117260.85160117185</v>
      </c>
      <c r="H80">
        <f si="26" t="shared"/>
        <v>503887.95581699541</v>
      </c>
      <c r="I80">
        <f ref="I80:J83" si="27" t="shared">V80*$B$1</f>
        <v>235060.42178434858</v>
      </c>
      <c r="J80">
        <f si="27" t="shared"/>
        <v>2115474.414706171</v>
      </c>
      <c r="N80">
        <v>0</v>
      </c>
      <c r="O80" s="105" t="n">
        <v>64130.899999999965</v>
      </c>
      <c r="P80" s="105" t="n">
        <v>151997.8</v>
      </c>
      <c r="Q80" s="105" t="n">
        <v>197290.87266769412</v>
      </c>
      <c r="R80" s="105" t="n">
        <v>484460.6168782638</v>
      </c>
      <c r="S80" s="105" t="n">
        <v>93712.07602714623</v>
      </c>
      <c r="T80" s="105" t="n">
        <v>124565.04501966524</v>
      </c>
      <c r="U80" s="105" t="n">
        <v>546514.3511565825</v>
      </c>
      <c r="V80" s="105" t="n">
        <v>255000.38177475354</v>
      </c>
      <c r="W80">
        <f>SUM(O80:V80)</f>
        <v>2115474.414706171</v>
      </c>
    </row>
    <row r="81" spans="1:23" x14ac:dyDescent="0.2">
      <c r="A81">
        <v>1</v>
      </c>
      <c r="B81">
        <f si="26" t="shared"/>
        <v>1320360.3613952894</v>
      </c>
      <c r="C81">
        <f si="26" t="shared"/>
        <v>189701.92680648231</v>
      </c>
      <c r="D81">
        <f si="26" t="shared"/>
        <v>0</v>
      </c>
      <c r="E81">
        <f si="26" t="shared"/>
        <v>0</v>
      </c>
      <c r="F81">
        <f si="26" t="shared"/>
        <v>64906.96817629107</v>
      </c>
      <c r="G81">
        <f si="26" t="shared"/>
        <v>2202.0421702212061</v>
      </c>
      <c r="H81">
        <f si="26" t="shared"/>
        <v>0</v>
      </c>
      <c r="I81">
        <f si="27" t="shared"/>
        <v>0</v>
      </c>
      <c r="J81">
        <f si="27" t="shared"/>
        <v>1577171.298548284</v>
      </c>
      <c r="N81">
        <v>1</v>
      </c>
      <c r="O81" s="105" t="n">
        <v>1518385.249999982</v>
      </c>
      <c r="P81" s="105" t="n">
        <v>218372.35000000033</v>
      </c>
      <c r="Q81" s="105" t="n">
        <v>0.0</v>
      </c>
      <c r="R81" s="105" t="n">
        <v>0.0</v>
      </c>
      <c r="S81" s="105" t="n">
        <v>59095.25637144785</v>
      </c>
      <c r="T81" s="105" t="n">
        <v>2422.555648777898</v>
      </c>
      <c r="U81" s="105" t="n">
        <v>0.0</v>
      </c>
      <c r="V81" s="105" t="n">
        <v>0.0</v>
      </c>
      <c r="W81">
        <f>SUM(O81:V81)</f>
        <v>1577171.298548284</v>
      </c>
    </row>
    <row r="82" spans="1:23" x14ac:dyDescent="0.2">
      <c r="A82">
        <v>2</v>
      </c>
      <c r="B82">
        <f si="26" t="shared"/>
        <v>34921.305162823141</v>
      </c>
      <c r="C82">
        <f si="26" t="shared"/>
        <v>10033.837952258731</v>
      </c>
      <c r="D82">
        <f si="26" t="shared"/>
        <v>0</v>
      </c>
      <c r="E82">
        <f si="26" t="shared"/>
        <v>0</v>
      </c>
      <c r="F82">
        <f si="26" t="shared"/>
        <v>2826.8106076128843</v>
      </c>
      <c r="G82">
        <f si="26" t="shared"/>
        <v>77.483202840012183</v>
      </c>
      <c r="H82">
        <f si="26" t="shared"/>
        <v>0</v>
      </c>
      <c r="I82">
        <f si="27" t="shared"/>
        <v>0</v>
      </c>
      <c r="J82">
        <f si="27" t="shared"/>
        <v>47859.436925534763</v>
      </c>
      <c r="N82">
        <v>2</v>
      </c>
      <c r="O82" s="105" t="n">
        <v>39443.85</v>
      </c>
      <c r="P82" s="105" t="n">
        <v>11950.800000000001</v>
      </c>
      <c r="Q82" s="105" t="n">
        <v>0.0</v>
      </c>
      <c r="R82" s="105" t="n">
        <v>0.0</v>
      </c>
      <c r="S82" s="105" t="n">
        <v>2406.7418178355783</v>
      </c>
      <c r="T82" s="105" t="n">
        <v>72.17035506743052</v>
      </c>
      <c r="U82" s="105" t="n">
        <v>0.0</v>
      </c>
      <c r="V82" s="105" t="n">
        <v>0.0</v>
      </c>
      <c r="W82">
        <f>SUM(O82:V82)</f>
        <v>47859.436925534763</v>
      </c>
    </row>
    <row r="83" spans="1:23" x14ac:dyDescent="0.2">
      <c r="A83" t="s">
        <v>116</v>
      </c>
      <c r="B83">
        <f si="26" t="shared"/>
        <v>1336.0959845892562</v>
      </c>
      <c r="C83">
        <f si="26" t="shared"/>
        <v>462.32292828384709</v>
      </c>
      <c r="D83">
        <f si="26" t="shared"/>
        <v>0</v>
      </c>
      <c r="E83">
        <f si="26" t="shared"/>
        <v>0</v>
      </c>
      <c r="F83">
        <f si="26" t="shared"/>
        <v>171.24937102810142</v>
      </c>
      <c r="G83">
        <f si="26" t="shared"/>
        <v>0</v>
      </c>
      <c r="H83">
        <f si="26" t="shared"/>
        <v>0</v>
      </c>
      <c r="I83">
        <f si="27" t="shared"/>
        <v>0</v>
      </c>
      <c r="J83">
        <f si="27" t="shared"/>
        <v>1969.6682839012046</v>
      </c>
      <c r="N83" t="s">
        <v>116</v>
      </c>
      <c r="O83" s="105" t="n">
        <v>1563.9999999999998</v>
      </c>
      <c r="P83" s="105" t="n">
        <v>409.4</v>
      </c>
      <c r="Q83" s="105" t="n">
        <v>0.0</v>
      </c>
      <c r="R83" s="105" t="n">
        <v>0.0</v>
      </c>
      <c r="S83" s="105" t="n">
        <v>83.8822827037767</v>
      </c>
      <c r="T83" s="105" t="n">
        <v>0.0</v>
      </c>
      <c r="U83" s="105" t="n">
        <v>0.0</v>
      </c>
      <c r="V83" s="105" t="n">
        <v>0.0</v>
      </c>
      <c r="W83">
        <f>SUM(O83:V83)</f>
        <v>1969.6682839012046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H90" si="28" t="shared">O87*$B$1</f>
        <v>1398691.2230843285</v>
      </c>
      <c r="C87">
        <f si="28" t="shared"/>
        <v>330587.79410013492</v>
      </c>
      <c r="D87">
        <f si="28" t="shared"/>
        <v>393707.17935026012</v>
      </c>
      <c r="E87">
        <f si="28" t="shared"/>
        <v>573902.57800400315</v>
      </c>
      <c r="F87">
        <f si="28" t="shared"/>
        <v>52541.491064473485</v>
      </c>
      <c r="G87">
        <f si="28" t="shared"/>
        <v>11535.324018768042</v>
      </c>
      <c r="H87">
        <f si="28" t="shared"/>
        <v>60824.671022848066</v>
      </c>
      <c r="I87">
        <f ref="I87:J90" si="29" t="shared">V87*$B$1</f>
        <v>197715.87803967207</v>
      </c>
      <c r="J87">
        <f si="29" t="shared"/>
        <v>3019506.1386844884</v>
      </c>
      <c r="N87">
        <v>0</v>
      </c>
      <c r="O87" s="105" t="n">
        <v>1610151.7999999803</v>
      </c>
      <c r="P87" s="105" t="n">
        <v>382730.35000000114</v>
      </c>
      <c r="Q87" s="105" t="n">
        <v>197290.87266769412</v>
      </c>
      <c r="R87" s="105" t="n">
        <v>484460.6168782638</v>
      </c>
      <c r="S87" s="105" t="n">
        <v>46700.70398748017</v>
      </c>
      <c r="T87" s="105" t="n">
        <v>12295.553617071653</v>
      </c>
      <c r="U87" s="105" t="n">
        <v>66282.73685505366</v>
      </c>
      <c r="V87" s="105" t="n">
        <v>213359.85793952056</v>
      </c>
      <c r="W87">
        <f>SUM(O87:V87)</f>
        <v>3019506.1386844884</v>
      </c>
    </row>
    <row r="88" spans="1:23" x14ac:dyDescent="0.2">
      <c r="A88">
        <v>1</v>
      </c>
      <c r="B88">
        <f si="28" t="shared"/>
        <v>11431.636412964483</v>
      </c>
      <c r="C88">
        <f si="28" t="shared"/>
        <v>0</v>
      </c>
      <c r="D88">
        <f si="28" t="shared"/>
        <v>0</v>
      </c>
      <c r="E88">
        <f si="28" t="shared"/>
        <v>0</v>
      </c>
      <c r="F88">
        <f si="28" t="shared"/>
        <v>102800.65774779313</v>
      </c>
      <c r="G88">
        <f si="28" t="shared"/>
        <v>106778.11602122565</v>
      </c>
      <c r="H88">
        <f si="28" t="shared"/>
        <v>436137.76900988526</v>
      </c>
      <c r="I88">
        <f si="29" t="shared"/>
        <v>36911.486751782679</v>
      </c>
      <c r="J88">
        <f si="29" t="shared"/>
        <v>694059.66594365123</v>
      </c>
      <c r="N88">
        <v>1</v>
      </c>
      <c r="O88" s="105" t="n">
        <v>13252.6</v>
      </c>
      <c r="P88" s="105" t="n">
        <v>0.0</v>
      </c>
      <c r="Q88" s="105" t="n">
        <v>0.0</v>
      </c>
      <c r="R88" s="105" t="n">
        <v>0.0</v>
      </c>
      <c r="S88" s="105" t="n">
        <v>90800.9779927947</v>
      </c>
      <c r="T88" s="105" t="n">
        <v>113411.46475180953</v>
      </c>
      <c r="U88" s="105" t="n">
        <v>472449.09679867275</v>
      </c>
      <c r="V88" s="105" t="n">
        <v>41203.469756427454</v>
      </c>
      <c r="W88">
        <f>SUM(O88:V88)</f>
        <v>694059.66594365123</v>
      </c>
    </row>
    <row r="89" spans="1:23" x14ac:dyDescent="0.2">
      <c r="A89">
        <v>2</v>
      </c>
      <c r="B89">
        <f si="28" t="shared"/>
        <v>94.269756831041235</v>
      </c>
      <c r="C89">
        <f si="28" t="shared"/>
        <v>0</v>
      </c>
      <c r="D89">
        <f si="28" t="shared"/>
        <v>0</v>
      </c>
      <c r="E89">
        <f si="28" t="shared"/>
        <v>0</v>
      </c>
      <c r="F89">
        <f si="28" t="shared"/>
        <v>17940.970618860891</v>
      </c>
      <c r="G89">
        <f si="28" t="shared"/>
        <v>1096.0870354662193</v>
      </c>
      <c r="H89">
        <f si="28" t="shared"/>
        <v>5800.8159082509101</v>
      </c>
      <c r="I89">
        <f si="29" t="shared"/>
        <v>370.28905214765808</v>
      </c>
      <c r="J89">
        <f si="29" t="shared"/>
        <v>25302.432371556715</v>
      </c>
      <c r="N89">
        <v>2</v>
      </c>
      <c r="O89" s="105" t="n">
        <v>106.94999999999999</v>
      </c>
      <c r="P89" s="105" t="n">
        <v>0.0</v>
      </c>
      <c r="Q89" s="105" t="n">
        <v>0.0</v>
      </c>
      <c r="R89" s="105" t="n">
        <v>0.0</v>
      </c>
      <c r="S89" s="105" t="n">
        <v>15805.936453544637</v>
      </c>
      <c r="T89" s="105" t="n">
        <v>1162.1602651721496</v>
      </c>
      <c r="U89" s="105" t="n">
        <v>6569.445919238871</v>
      </c>
      <c r="V89" s="105" t="n">
        <v>390.82008100493107</v>
      </c>
      <c r="W89">
        <f>SUM(O89:V89)</f>
        <v>25302.432371556715</v>
      </c>
    </row>
    <row r="90" spans="1:23" x14ac:dyDescent="0.2">
      <c r="A90" t="s">
        <v>116</v>
      </c>
      <c r="B90">
        <f si="28" t="shared"/>
        <v>5.25</v>
      </c>
      <c r="C90">
        <f si="28" t="shared"/>
        <v>0</v>
      </c>
      <c r="D90">
        <f si="28" t="shared"/>
        <v>0</v>
      </c>
      <c r="E90">
        <f si="28" t="shared"/>
        <v>0</v>
      </c>
      <c r="F90">
        <f si="28" t="shared"/>
        <v>2283.0137486643798</v>
      </c>
      <c r="G90">
        <f si="28" t="shared"/>
        <v>130.8498987731451</v>
      </c>
      <c r="H90">
        <f si="28" t="shared"/>
        <v>1124.6998760111233</v>
      </c>
      <c r="I90">
        <f si="29" t="shared"/>
        <v>62.767940746175753</v>
      </c>
      <c r="J90">
        <f si="29" t="shared"/>
        <v>3606.5814641948236</v>
      </c>
      <c r="N90" t="s">
        <v>116</v>
      </c>
      <c r="O90" s="105" t="n">
        <v>12.649999999999999</v>
      </c>
      <c r="P90" s="105" t="n">
        <v>0.0</v>
      </c>
      <c r="Q90" s="105" t="n">
        <v>0.0</v>
      </c>
      <c r="R90" s="105" t="n">
        <v>0.0</v>
      </c>
      <c r="S90" s="105" t="n">
        <v>1990.3380653139502</v>
      </c>
      <c r="T90" s="105" t="n">
        <v>190.59238945724576</v>
      </c>
      <c r="U90" s="105" t="n">
        <v>1213.0715836173115</v>
      </c>
      <c r="V90" s="105" t="n">
        <v>46.23399780038463</v>
      </c>
      <c r="W90">
        <f>SUM(O90:V90)</f>
        <v>3606.5814641948236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H97" si="30" t="shared">O94*$B$1</f>
        <v>1258466.6362965151</v>
      </c>
      <c r="C94">
        <f si="30" t="shared"/>
        <v>278532.21554649837</v>
      </c>
      <c r="D94">
        <f si="30" t="shared"/>
        <v>346275.13227739994</v>
      </c>
      <c r="E94">
        <f si="30" t="shared"/>
        <v>425016.50993151905</v>
      </c>
      <c r="F94">
        <f si="30" t="shared"/>
        <v>166358.74631725904</v>
      </c>
      <c r="G94">
        <f si="30" t="shared"/>
        <v>113872.98706674846</v>
      </c>
      <c r="H94">
        <f si="30" t="shared"/>
        <v>480060.99054078636</v>
      </c>
      <c r="I94">
        <f ref="I94:J97" si="31" t="shared">V94*$B$1</f>
        <v>179544.71718490333</v>
      </c>
      <c r="J94">
        <f si="31" t="shared"/>
        <v>3248127.9351616297</v>
      </c>
      <c r="N94">
        <v>0</v>
      </c>
      <c r="O94" s="105" t="n">
        <v>1446391.7999999835</v>
      </c>
      <c r="P94" s="105" t="n">
        <v>321129.4500000008</v>
      </c>
      <c r="Q94" s="105" t="n">
        <v>169888.67778914777</v>
      </c>
      <c r="R94" s="105" t="n">
        <v>345619.92253272404</v>
      </c>
      <c r="S94" s="105" t="n">
        <v>147068.02253852444</v>
      </c>
      <c r="T94" s="105" t="n">
        <v>121402.30191519887</v>
      </c>
      <c r="U94" s="105" t="n">
        <v>520180.2633679729</v>
      </c>
      <c r="V94" s="105" t="n">
        <v>194305.70485882508</v>
      </c>
      <c r="W94">
        <f>SUM(O94:V94)</f>
        <v>3248127.9351616297</v>
      </c>
    </row>
    <row r="95" spans="1:23" x14ac:dyDescent="0.2">
      <c r="A95">
        <v>1</v>
      </c>
      <c r="B95">
        <f si="30" t="shared"/>
        <v>134524.74210716164</v>
      </c>
      <c r="C95">
        <f si="30" t="shared"/>
        <v>31214.697403325568</v>
      </c>
      <c r="D95">
        <f si="30" t="shared"/>
        <v>34895.856294397243</v>
      </c>
      <c r="E95">
        <f si="30" t="shared"/>
        <v>83613.016096645035</v>
      </c>
      <c r="F95">
        <f si="30" t="shared"/>
        <v>7535.5576609536756</v>
      </c>
      <c r="G95">
        <f si="30" t="shared"/>
        <v>4898.6525715779771</v>
      </c>
      <c r="H95">
        <f si="30" t="shared"/>
        <v>19873.215824351686</v>
      </c>
      <c r="I95">
        <f si="31" t="shared"/>
        <v>50422.044593564184</v>
      </c>
      <c r="J95">
        <f si="31" t="shared"/>
        <v>366977.78255197697</v>
      </c>
      <c r="N95">
        <v>1</v>
      </c>
      <c r="O95" s="105" t="n">
        <v>157191.2</v>
      </c>
      <c r="P95" s="105" t="n">
        <v>37208.25</v>
      </c>
      <c r="Q95" s="105" t="n">
        <v>19291.79635999475</v>
      </c>
      <c r="R95" s="105" t="n">
        <v>76413.29020568446</v>
      </c>
      <c r="S95" s="105" t="n">
        <v>6770.006131548724</v>
      </c>
      <c r="T95" s="105" t="n">
        <v>4846.523513732528</v>
      </c>
      <c r="U95" s="105" t="n">
        <v>21849.462428269013</v>
      </c>
      <c r="V95" s="105" t="n">
        <v>55131.74366477335</v>
      </c>
      <c r="W95">
        <f>SUM(O95:V95)</f>
        <v>366977.78255197697</v>
      </c>
    </row>
    <row r="96" spans="1:23" x14ac:dyDescent="0.2">
      <c r="A96">
        <v>2</v>
      </c>
      <c r="B96">
        <f si="30" t="shared"/>
        <v>14893.594759642081</v>
      </c>
      <c r="C96">
        <f si="30" t="shared"/>
        <v>17832.771965869164</v>
      </c>
      <c r="D96">
        <f si="30" t="shared"/>
        <v>10655.838345313541</v>
      </c>
      <c r="E96">
        <f si="30" t="shared"/>
        <v>56047.818627527857</v>
      </c>
      <c r="F96">
        <f si="30" t="shared"/>
        <v>1377.4879579026506</v>
      </c>
      <c r="G96">
        <f si="30" t="shared"/>
        <v>625.99235387170359</v>
      </c>
      <c r="H96">
        <f si="30" t="shared"/>
        <v>3026.2795213992126</v>
      </c>
      <c r="I96">
        <f si="31" t="shared"/>
        <v>3930.0491612257811</v>
      </c>
      <c r="J96">
        <f si="31" t="shared"/>
        <v>108389.83269275197</v>
      </c>
      <c r="N96">
        <v>2</v>
      </c>
      <c r="O96" s="105" t="n">
        <v>17103.95</v>
      </c>
      <c r="P96" s="105" t="n">
        <v>20787.4</v>
      </c>
      <c r="Q96" s="105" t="n">
        <v>6937.261194006509</v>
      </c>
      <c r="R96" s="105" t="n">
        <v>53351.57788627871</v>
      </c>
      <c r="S96" s="105" t="n">
        <v>1210.05243640807</v>
      </c>
      <c r="T96" s="105" t="n">
        <v>677.6197183450934</v>
      </c>
      <c r="U96" s="105" t="n">
        <v>3289.134829444761</v>
      </c>
      <c r="V96" s="105" t="n">
        <v>4421.0077993682235</v>
      </c>
      <c r="W96">
        <f>SUM(O96:V96)</f>
        <v>108389.83269275197</v>
      </c>
    </row>
    <row r="97" spans="1:23" x14ac:dyDescent="0.2">
      <c r="A97" t="s">
        <v>116</v>
      </c>
      <c r="B97">
        <f si="30" t="shared"/>
        <v>2337.4060908052033</v>
      </c>
      <c r="C97">
        <f si="30" t="shared"/>
        <v>3008.1091844418083</v>
      </c>
      <c r="D97">
        <f si="30" t="shared"/>
        <v>1880.3524331493657</v>
      </c>
      <c r="E97">
        <f si="30" t="shared"/>
        <v>9225.2333483111925</v>
      </c>
      <c r="F97">
        <f si="30" t="shared"/>
        <v>294.34124367651839</v>
      </c>
      <c r="G97">
        <f si="30" t="shared"/>
        <v>142.74498203491137</v>
      </c>
      <c r="H97">
        <f si="30" t="shared"/>
        <v>927.4699304581502</v>
      </c>
      <c r="I97">
        <f si="31" t="shared"/>
        <v>1163.6108446552887</v>
      </c>
      <c r="J97">
        <f si="31" t="shared"/>
        <v>18979.268057532438</v>
      </c>
      <c r="N97" t="s">
        <v>116</v>
      </c>
      <c r="O97" s="105" t="n">
        <v>2837.0499999999997</v>
      </c>
      <c r="P97" s="105" t="n">
        <v>3605.2499999999995</v>
      </c>
      <c r="Q97" s="105" t="n">
        <v>1173.1373245450095</v>
      </c>
      <c r="R97" s="105" t="n">
        <v>9075.826253576126</v>
      </c>
      <c r="S97" s="105" t="n">
        <v>249.87539265227105</v>
      </c>
      <c r="T97" s="105" t="n">
        <v>133.32587623407608</v>
      </c>
      <c r="U97" s="105" t="n">
        <v>1195.4905308961704</v>
      </c>
      <c r="V97" s="105" t="n">
        <v>1141.9254517865716</v>
      </c>
      <c r="W97">
        <f>SUM(O97:V97)</f>
        <v>18979.268057532438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H104" si="32" t="shared">O101*$B$1</f>
        <v>1285020.1623920354</v>
      </c>
      <c r="C101">
        <f si="32" t="shared"/>
        <v>267285.13035257702</v>
      </c>
      <c r="D101">
        <f si="32" t="shared"/>
        <v>256322.3818900816</v>
      </c>
      <c r="E101">
        <f si="32" t="shared"/>
        <v>410806.57389599067</v>
      </c>
      <c r="F101">
        <f si="32" t="shared"/>
        <v>162617.68181538078</v>
      </c>
      <c r="G101">
        <f si="32" t="shared"/>
        <v>113604.0591836298</v>
      </c>
      <c r="H101">
        <f si="32" t="shared"/>
        <v>452690.7832054366</v>
      </c>
      <c r="I101">
        <f ref="I101:J104" si="33" t="shared">V101*$B$1</f>
        <v>177229.25427534562</v>
      </c>
      <c r="J101">
        <f si="33" t="shared"/>
        <v>3125576.0270104771</v>
      </c>
      <c r="N101">
        <v>0</v>
      </c>
      <c r="O101" s="105" t="n">
        <v>1481220.699999983</v>
      </c>
      <c r="P101" s="105" t="n">
        <v>308201.1500000008</v>
      </c>
      <c r="Q101" s="105" t="n">
        <v>132376.1186438874</v>
      </c>
      <c r="R101" s="105" t="n">
        <v>354050.46681492985</v>
      </c>
      <c r="S101" s="105" t="n">
        <v>145163.15220093474</v>
      </c>
      <c r="T101" s="105" t="n">
        <v>120844.52215486435</v>
      </c>
      <c r="U101" s="105" t="n">
        <v>483338.3113314009</v>
      </c>
      <c r="V101" s="105" t="n">
        <v>187832.79882735678</v>
      </c>
      <c r="W101">
        <f>SUM(O101:V101)</f>
        <v>3125576.0270104771</v>
      </c>
    </row>
    <row r="102" spans="1:23" x14ac:dyDescent="0.2">
      <c r="A102">
        <v>1</v>
      </c>
      <c r="B102">
        <f si="32" t="shared"/>
        <v>117862.71822535878</v>
      </c>
      <c r="C102">
        <f si="32" t="shared"/>
        <v>54831.77915478361</v>
      </c>
      <c r="D102">
        <f si="32" t="shared"/>
        <v>116841.27324625096</v>
      </c>
      <c r="E102">
        <f si="32" t="shared"/>
        <v>138025.70597734509</v>
      </c>
      <c r="F102">
        <f si="32" t="shared"/>
        <v>11679.881355745501</v>
      </c>
      <c r="G102">
        <f si="32" t="shared"/>
        <v>5434.2243398465698</v>
      </c>
      <c r="H102">
        <f si="32" t="shared"/>
        <v>46543.450660890107</v>
      </c>
      <c r="I102">
        <f si="33" t="shared"/>
        <v>49476.976571578583</v>
      </c>
      <c r="J102">
        <f si="33" t="shared"/>
        <v>540696.00953179924</v>
      </c>
      <c r="N102">
        <v>1</v>
      </c>
      <c r="O102" s="105" t="n">
        <v>133812.8499999999</v>
      </c>
      <c r="P102" s="105" t="n">
        <v>64533.399999999965</v>
      </c>
      <c r="Q102" s="105" t="n">
        <v>55068.5268339689</v>
      </c>
      <c r="R102" s="105" t="n">
        <v>110385.0367492425</v>
      </c>
      <c r="S102" s="105" t="n">
        <v>9091.07931116776</v>
      </c>
      <c r="T102" s="105" t="n">
        <v>5779.334525608984</v>
      </c>
      <c r="U102" s="105" t="n">
        <v>58412.36272208712</v>
      </c>
      <c r="V102" s="105" t="n">
        <v>57864.21938122019</v>
      </c>
      <c r="W102">
        <f>SUM(O102:V102)</f>
        <v>540696.00953179924</v>
      </c>
    </row>
    <row r="103" spans="1:23" x14ac:dyDescent="0.2">
      <c r="A103">
        <v>2</v>
      </c>
      <c r="B103">
        <f si="32" t="shared"/>
        <v>6402.6376070147808</v>
      </c>
      <c r="C103">
        <f si="32" t="shared"/>
        <v>7500.8221334057362</v>
      </c>
      <c r="D103">
        <f si="32" t="shared"/>
        <v>17905.100462246595</v>
      </c>
      <c r="E103">
        <f si="32" t="shared"/>
        <v>21875.199427068466</v>
      </c>
      <c r="F103">
        <f si="32" t="shared"/>
        <v>1156.360736569653</v>
      </c>
      <c r="G103">
        <f si="32" t="shared"/>
        <v>461.82374843715002</v>
      </c>
      <c r="H103">
        <f si="32" t="shared"/>
        <v>3966.3882227228819</v>
      </c>
      <c r="I103">
        <f si="33" t="shared"/>
        <v>7285.9295333547552</v>
      </c>
      <c r="J103">
        <f si="33" t="shared"/>
        <v>66554.261870820017</v>
      </c>
      <c r="N103">
        <v>2</v>
      </c>
      <c r="O103" s="105" t="n">
        <v>7417.499999999999</v>
      </c>
      <c r="P103" s="105" t="n">
        <v>8727.35</v>
      </c>
      <c r="Q103" s="105" t="n">
        <v>8605.922224490512</v>
      </c>
      <c r="R103" s="105" t="n">
        <v>17418.665735139577</v>
      </c>
      <c r="S103" s="105" t="n">
        <v>908.2557568629327</v>
      </c>
      <c r="T103" s="105" t="n">
        <v>378.00247830118354</v>
      </c>
      <c r="U103" s="105" t="n">
        <v>4178.418411501165</v>
      </c>
      <c r="V103" s="105" t="n">
        <v>8075.65324259768</v>
      </c>
      <c r="W103">
        <f>SUM(O103:V103)</f>
        <v>66554.261870820017</v>
      </c>
    </row>
    <row r="104" spans="1:23" x14ac:dyDescent="0.2">
      <c r="A104" t="s">
        <v>116</v>
      </c>
      <c r="B104">
        <f si="32" t="shared"/>
        <v>936.86102971512139</v>
      </c>
      <c r="C104">
        <f si="32" t="shared"/>
        <v>970.06245936855851</v>
      </c>
      <c r="D104">
        <f si="32" t="shared"/>
        <v>2638.4237516809708</v>
      </c>
      <c r="E104">
        <f si="32" t="shared"/>
        <v>3195.098703598896</v>
      </c>
      <c r="F104">
        <f si="32" t="shared"/>
        <v>112.20927209594505</v>
      </c>
      <c r="G104">
        <f si="32" t="shared"/>
        <v>40.269702319537274</v>
      </c>
      <c r="H104">
        <f si="32" t="shared"/>
        <v>687.33372794577087</v>
      </c>
      <c r="I104">
        <f si="33" t="shared"/>
        <v>1068.2614040696401</v>
      </c>
      <c r="J104">
        <f si="33" t="shared"/>
        <v>9648.5200507944392</v>
      </c>
      <c r="N104" t="s">
        <v>116</v>
      </c>
      <c r="O104" s="105" t="n">
        <v>1072.9499999999998</v>
      </c>
      <c r="P104" s="105" t="n">
        <v>1268.4499999999998</v>
      </c>
      <c r="Q104" s="105" t="n">
        <v>1240.3049653470944</v>
      </c>
      <c r="R104" s="105" t="n">
        <v>2606.447578951409</v>
      </c>
      <c r="S104" s="105" t="n">
        <v>135.46923016806394</v>
      </c>
      <c r="T104" s="105" t="n">
        <v>57.91186473605717</v>
      </c>
      <c r="U104" s="105" t="n">
        <v>585.2586915934924</v>
      </c>
      <c r="V104" s="105" t="n">
        <v>1227.7103235785428</v>
      </c>
      <c r="W104">
        <f>SUM(O104:V104)</f>
        <v>9648.5200507944392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H111" si="34" t="shared">O108*$B$1</f>
        <v>1271284.0899054559</v>
      </c>
      <c r="C108">
        <f si="34" t="shared"/>
        <v>278759.56570697407</v>
      </c>
      <c r="D108">
        <f si="34" t="shared"/>
        <v>275880.20831150864</v>
      </c>
      <c r="E108">
        <f si="34" t="shared"/>
        <v>392286.41028094926</v>
      </c>
      <c r="F108">
        <f si="34" t="shared"/>
        <v>162773.25906834358</v>
      </c>
      <c r="G108">
        <f si="34" t="shared"/>
        <v>117965.73952900588</v>
      </c>
      <c r="H108">
        <f si="34" t="shared"/>
        <v>486953.59727635811</v>
      </c>
      <c r="I108">
        <f ref="I108:J111" si="35" t="shared">V108*$B$1</f>
        <v>178375.37202960049</v>
      </c>
      <c r="J108">
        <f si="35" t="shared"/>
        <v>3164278.242108196</v>
      </c>
      <c r="N108">
        <v>0</v>
      </c>
      <c r="O108" s="105" t="n">
        <v>1462977.0999999833</v>
      </c>
      <c r="P108" s="105" t="n">
        <v>323158.05000000086</v>
      </c>
      <c r="Q108" s="105" t="n">
        <v>140877.93525790627</v>
      </c>
      <c r="R108" s="105" t="n">
        <v>337793.6105758837</v>
      </c>
      <c r="S108" s="105" t="n">
        <v>145197.81984955404</v>
      </c>
      <c r="T108" s="105" t="n">
        <v>125445.26966125572</v>
      </c>
      <c r="U108" s="105" t="n">
        <v>528592.7742926367</v>
      </c>
      <c r="V108" s="105" t="n">
        <v>194894.63111105998</v>
      </c>
      <c r="W108">
        <f>SUM(O108:V108)</f>
        <v>3164278.242108196</v>
      </c>
    </row>
    <row r="109" spans="1:23" x14ac:dyDescent="0.2">
      <c r="A109">
        <v>1</v>
      </c>
      <c r="B109">
        <f si="34" t="shared"/>
        <v>130826.76463695627</v>
      </c>
      <c r="C109">
        <f si="34" t="shared"/>
        <v>47673.30776172888</v>
      </c>
      <c r="D109">
        <f si="34" t="shared"/>
        <v>106417.41789195049</v>
      </c>
      <c r="E109">
        <f si="34" t="shared"/>
        <v>161336.80596179559</v>
      </c>
      <c r="F109">
        <f si="34" t="shared"/>
        <v>11483.135523497098</v>
      </c>
      <c r="G109">
        <f si="34" t="shared"/>
        <v>1460.0889524706076</v>
      </c>
      <c r="H109">
        <f si="34" t="shared"/>
        <v>5472.9249194441018</v>
      </c>
      <c r="I109">
        <f si="35" t="shared"/>
        <v>37996.731039530998</v>
      </c>
      <c r="J109">
        <f si="35" t="shared"/>
        <v>502667.17668737407</v>
      </c>
      <c r="N109">
        <v>1</v>
      </c>
      <c r="O109" s="105" t="n">
        <v>151214.65</v>
      </c>
      <c r="P109" s="105" t="n">
        <v>54864.19999999998</v>
      </c>
      <c r="Q109" s="105" t="n">
        <v>50828.95813431981</v>
      </c>
      <c r="R109" s="105" t="n">
        <v>130545.27276616434</v>
      </c>
      <c r="S109" s="105" t="n">
        <v>9238.72614512977</v>
      </c>
      <c r="T109" s="105" t="n">
        <v>1487.0585523976672</v>
      </c>
      <c r="U109" s="105" t="n">
        <v>5787.476187986196</v>
      </c>
      <c r="V109" s="105" t="n">
        <v>40595.99237432416</v>
      </c>
      <c r="W109">
        <f>SUM(O109:V109)</f>
        <v>502667.17668737407</v>
      </c>
    </row>
    <row r="110" spans="1:23" x14ac:dyDescent="0.2">
      <c r="A110">
        <v>2</v>
      </c>
      <c r="B110">
        <f si="34" t="shared"/>
        <v>7211.9889380603736</v>
      </c>
      <c r="C110">
        <f si="34" t="shared"/>
        <v>3456.2406429253415</v>
      </c>
      <c r="D110">
        <f si="34" t="shared"/>
        <v>8760.2804695575833</v>
      </c>
      <c r="E110">
        <f si="34" t="shared"/>
        <v>15613.132066155431</v>
      </c>
      <c r="F110">
        <f si="34" t="shared"/>
        <v>809.83641998522796</v>
      </c>
      <c r="G110">
        <f si="34" t="shared"/>
        <v>112.54849275656991</v>
      </c>
      <c r="H110">
        <f si="34" t="shared"/>
        <v>401.88216001884479</v>
      </c>
      <c r="I110">
        <f si="35" t="shared"/>
        <v>2487.6603398137536</v>
      </c>
      <c r="J110">
        <f si="35" t="shared"/>
        <v>38853.569529273125</v>
      </c>
      <c r="N110">
        <v>2</v>
      </c>
      <c r="O110" s="105" t="n">
        <v>8163.849999999999</v>
      </c>
      <c r="P110" s="105" t="n">
        <v>3914.6</v>
      </c>
      <c r="Q110" s="105" t="n">
        <v>4489.259051255251</v>
      </c>
      <c r="R110" s="105" t="n">
        <v>13488.071018244898</v>
      </c>
      <c r="S110" s="105" t="n">
        <v>635.797977738279</v>
      </c>
      <c r="T110" s="105" t="n">
        <v>109.31378167879323</v>
      </c>
      <c r="U110" s="105" t="n">
        <v>374.1518850561405</v>
      </c>
      <c r="V110" s="105" t="n">
        <v>2905.5750949803128</v>
      </c>
      <c r="W110">
        <f>SUM(O110:V110)</f>
        <v>38853.569529273125</v>
      </c>
    </row>
    <row r="111" spans="1:23" x14ac:dyDescent="0.2">
      <c r="A111" t="s">
        <v>116</v>
      </c>
      <c r="B111">
        <f si="34" t="shared"/>
        <v>899.53577365162243</v>
      </c>
      <c r="C111">
        <f si="34" t="shared"/>
        <v>698.67998850660308</v>
      </c>
      <c r="D111">
        <f si="34" t="shared"/>
        <v>2649.2726772433625</v>
      </c>
      <c r="E111">
        <f si="34" t="shared"/>
        <v>4666.2296951028447</v>
      </c>
      <c r="F111">
        <f si="34" t="shared"/>
        <v>499.90216796596729</v>
      </c>
      <c r="G111">
        <f si="34" t="shared"/>
        <v>2</v>
      </c>
      <c r="H111">
        <f si="34" t="shared"/>
        <v>11059.551461174337</v>
      </c>
      <c r="I111">
        <f si="35" t="shared"/>
        <v>16200.658375403362</v>
      </c>
      <c r="J111">
        <f si="35" t="shared"/>
        <v>36675.830139048099</v>
      </c>
      <c r="N111" t="s">
        <v>116</v>
      </c>
      <c r="O111" s="105" t="n">
        <v>1168.3999999999999</v>
      </c>
      <c r="P111" s="105" t="n">
        <v>793.4999999999999</v>
      </c>
      <c r="Q111" s="105" t="n">
        <v>1094.7202242126145</v>
      </c>
      <c r="R111" s="105" t="n">
        <v>2633.6625179703065</v>
      </c>
      <c r="S111" s="105" t="n">
        <v>225.61252671140002</v>
      </c>
      <c r="T111" s="105" t="n">
        <v>18.1290281783826</v>
      </c>
      <c r="U111" s="105" t="n">
        <v>11759.948790903807</v>
      </c>
      <c r="V111" s="105" t="n">
        <v>16604.183194388777</v>
      </c>
      <c r="W111">
        <f>SUM(O111:V111)</f>
        <v>36675.830139048099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H118" si="36" t="shared">O115*$B$1</f>
        <v>1341263.8161710461</v>
      </c>
      <c r="C115">
        <f si="36" t="shared"/>
        <v>311706.59364394785</v>
      </c>
      <c r="D115">
        <f si="36" t="shared"/>
        <v>358902.07519500336</v>
      </c>
      <c r="E115">
        <f si="36" t="shared"/>
        <v>514486.34589542326</v>
      </c>
      <c r="F115">
        <f si="36" t="shared"/>
        <v>169730.8629911782</v>
      </c>
      <c r="G115">
        <f si="36" t="shared"/>
        <v>111962.050443431</v>
      </c>
      <c r="H115">
        <f si="36" t="shared"/>
        <v>487202.60943772318</v>
      </c>
      <c r="I115">
        <f ref="I115:J118" si="37" t="shared">V115*$B$1</f>
        <v>225209.58871929915</v>
      </c>
      <c r="J115">
        <f si="37" t="shared"/>
        <v>3520463.9424970518</v>
      </c>
      <c r="N115">
        <v>0</v>
      </c>
      <c r="O115" s="105" t="n">
        <v>1544563.8499999817</v>
      </c>
      <c r="P115" s="105" t="n">
        <v>361344.950000001</v>
      </c>
      <c r="Q115" s="105" t="n">
        <v>179432.85403024388</v>
      </c>
      <c r="R115" s="105" t="n">
        <v>434352.0567916972</v>
      </c>
      <c r="S115" s="105" t="n">
        <v>149998.83475238152</v>
      </c>
      <c r="T115" s="105" t="n">
        <v>119046.01896640561</v>
      </c>
      <c r="U115" s="105" t="n">
        <v>528670.6398066799</v>
      </c>
      <c r="V115" s="105" t="n">
        <v>243996.94560403607</v>
      </c>
      <c r="W115">
        <f>SUM(O115:V115)</f>
        <v>3520463.9424970518</v>
      </c>
    </row>
    <row r="116" spans="1:23" x14ac:dyDescent="0.2">
      <c r="A116">
        <v>1</v>
      </c>
      <c r="B116">
        <f si="36" t="shared"/>
        <v>68368.12592017198</v>
      </c>
      <c r="C116">
        <f si="36" t="shared"/>
        <v>17641.992470209807</v>
      </c>
      <c r="D116">
        <f si="36" t="shared"/>
        <v>31243.126418656411</v>
      </c>
      <c r="E116">
        <f si="36" t="shared"/>
        <v>57162.461857712246</v>
      </c>
      <c r="F116">
        <f si="36" t="shared"/>
        <v>5726.7200572879665</v>
      </c>
      <c r="G116">
        <f si="36" t="shared"/>
        <v>7496.077053391492</v>
      </c>
      <c r="H116">
        <f si="36" t="shared"/>
        <v>16668.178169867078</v>
      </c>
      <c r="I116">
        <f si="37" t="shared"/>
        <v>9807.8268828985401</v>
      </c>
      <c r="J116">
        <f si="37" t="shared"/>
        <v>214114.5088301955</v>
      </c>
      <c r="N116">
        <v>1</v>
      </c>
      <c r="O116" s="105" t="n">
        <v>78182.74999999996</v>
      </c>
      <c r="P116" s="105" t="n">
        <v>20044.500000000004</v>
      </c>
      <c r="Q116" s="105" t="n">
        <v>16166.435762471136</v>
      </c>
      <c r="R116" s="105" t="n">
        <v>48167.54760185975</v>
      </c>
      <c r="S116" s="105" t="n">
        <v>5170.080672909447</v>
      </c>
      <c r="T116" s="105" t="n">
        <v>7935.242517120848</v>
      </c>
      <c r="U116" s="105" t="n">
        <v>17832.2113499029</v>
      </c>
      <c r="V116" s="105" t="n">
        <v>10944.716670996033</v>
      </c>
      <c r="W116">
        <f>SUM(O116:V116)</f>
        <v>214114.5088301955</v>
      </c>
    </row>
    <row r="117" spans="1:23" x14ac:dyDescent="0.2">
      <c r="A117">
        <v>2</v>
      </c>
      <c r="B117">
        <f si="36" t="shared"/>
        <v>590.43716290601753</v>
      </c>
      <c r="C117">
        <f si="36" t="shared"/>
        <v>1239.2079859772464</v>
      </c>
      <c r="D117">
        <f si="36" t="shared"/>
        <v>3561.9777366003063</v>
      </c>
      <c r="E117">
        <f si="36" t="shared"/>
        <v>2253.7702508676521</v>
      </c>
      <c r="F117">
        <f si="36" t="shared"/>
        <v>108.55013132569923</v>
      </c>
      <c r="G117">
        <f si="36" t="shared"/>
        <v>82.249477410562278</v>
      </c>
      <c r="H117">
        <f si="36" t="shared"/>
        <v>17.168209405142161</v>
      </c>
      <c r="I117">
        <f si="37" t="shared"/>
        <v>43.006182150893629</v>
      </c>
      <c r="J117">
        <f si="37" t="shared"/>
        <v>7896.3671366435192</v>
      </c>
      <c r="N117">
        <v>2</v>
      </c>
      <c r="O117" s="105" t="n">
        <v>777.4</v>
      </c>
      <c r="P117" s="105" t="n">
        <v>1340.8999999999999</v>
      </c>
      <c r="Q117" s="105" t="n">
        <v>1691.5828749790537</v>
      </c>
      <c r="R117" s="105" t="n">
        <v>1941.012484706657</v>
      </c>
      <c r="S117" s="105" t="n">
        <v>129.0410738425424</v>
      </c>
      <c r="T117" s="105" t="n">
        <v>78.5095399841144</v>
      </c>
      <c r="U117" s="105" t="n">
        <v>11.5</v>
      </c>
      <c r="V117" s="105" t="n">
        <v>58.71949972136515</v>
      </c>
      <c r="W117">
        <f>SUM(O117:V117)</f>
        <v>7896.3671366435192</v>
      </c>
    </row>
    <row r="118" spans="1:23" x14ac:dyDescent="0.2">
      <c r="A118" t="s">
        <v>116</v>
      </c>
      <c r="B118">
        <f si="36" t="shared"/>
        <v>0</v>
      </c>
      <c r="C118">
        <f si="36" t="shared"/>
        <v>0</v>
      </c>
      <c r="D118">
        <f si="36" t="shared"/>
        <v>0</v>
      </c>
      <c r="E118">
        <f si="36" t="shared"/>
        <v>0</v>
      </c>
      <c r="F118">
        <f si="36" t="shared"/>
        <v>0</v>
      </c>
      <c r="G118">
        <f si="36" t="shared"/>
        <v>0</v>
      </c>
      <c r="H118">
        <f si="36" t="shared"/>
        <v>0</v>
      </c>
      <c r="I118">
        <f si="37" t="shared"/>
        <v>0</v>
      </c>
      <c r="J118">
        <f si="37" t="shared"/>
        <v>0</v>
      </c>
      <c r="N118" t="s">
        <v>116</v>
      </c>
      <c r="O118" s="105" t="n">
        <v>0.0</v>
      </c>
      <c r="P118" s="105" t="n">
        <v>0.0</v>
      </c>
      <c r="Q118" s="105" t="n">
        <v>0.0</v>
      </c>
      <c r="R118" s="105" t="n">
        <v>0.0</v>
      </c>
      <c r="S118" s="105" t="n">
        <v>0.0</v>
      </c>
      <c r="T118" s="105" t="n">
        <v>0.0</v>
      </c>
      <c r="U118" s="105" t="n">
        <v>0.0</v>
      </c>
      <c r="V118" s="105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H125" si="38" t="shared">O122*$B$1</f>
        <v>1145896.2149570016</v>
      </c>
      <c r="C122">
        <f si="38" t="shared"/>
        <v>230326.54067205795</v>
      </c>
      <c r="D122">
        <f si="38" t="shared"/>
        <v>260491.13894530415</v>
      </c>
      <c r="E122">
        <f si="38" t="shared"/>
        <v>361692.85867665696</v>
      </c>
      <c r="F122">
        <f si="38" t="shared"/>
        <v>153437.73871592278</v>
      </c>
      <c r="G122">
        <f si="38" t="shared"/>
        <v>102043.4603162657</v>
      </c>
      <c r="H122">
        <f si="38" t="shared"/>
        <v>384248.8773003653</v>
      </c>
      <c r="I122">
        <f ref="I122:J125" si="39" t="shared">V122*$B$1</f>
        <v>151557.56822639256</v>
      </c>
      <c r="J122">
        <f si="39" t="shared"/>
        <v>2789694.3978099669</v>
      </c>
      <c r="N122">
        <v>0</v>
      </c>
      <c r="O122" s="105" t="n">
        <v>1319888.3499999861</v>
      </c>
      <c r="P122" s="105" t="n">
        <v>266985.15000000055</v>
      </c>
      <c r="Q122" s="105" t="n">
        <v>131416.44326280302</v>
      </c>
      <c r="R122" s="105" t="n">
        <v>303668.6470818255</v>
      </c>
      <c r="S122" s="105" t="n">
        <v>135278.70151562095</v>
      </c>
      <c r="T122" s="105" t="n">
        <v>108216.20345995387</v>
      </c>
      <c r="U122" s="105" t="n">
        <v>415952.96883304795</v>
      </c>
      <c r="V122" s="105" t="n">
        <v>164110.45531766262</v>
      </c>
      <c r="W122">
        <f>SUM(O122:V122)</f>
        <v>2789694.3978099669</v>
      </c>
    </row>
    <row r="123" spans="1:23" x14ac:dyDescent="0.2">
      <c r="A123">
        <v>1</v>
      </c>
      <c r="B123">
        <f si="38" t="shared"/>
        <v>237239.37710939633</v>
      </c>
      <c r="C123">
        <f si="38" t="shared"/>
        <v>86991.65263596311</v>
      </c>
      <c r="D123">
        <f si="38" t="shared"/>
        <v>111803.96198367211</v>
      </c>
      <c r="E123">
        <f si="38" t="shared"/>
        <v>178149.0840779783</v>
      </c>
      <c r="F123">
        <f si="38" t="shared"/>
        <v>20128.660377909862</v>
      </c>
      <c r="G123">
        <f si="38" t="shared"/>
        <v>15772.51039094905</v>
      </c>
      <c r="H123">
        <f si="38" t="shared"/>
        <v>109758.45751998162</v>
      </c>
      <c r="I123">
        <f si="39" t="shared"/>
        <v>71827.116649769101</v>
      </c>
      <c r="J123">
        <f si="39" t="shared"/>
        <v>831670.8207456196</v>
      </c>
      <c r="N123">
        <v>1</v>
      </c>
      <c r="O123" s="105" t="n">
        <v>273230.80000000057</v>
      </c>
      <c r="P123" s="105" t="n">
        <v>100706.64999999992</v>
      </c>
      <c r="Q123" s="105" t="n">
        <v>55587.729881851395</v>
      </c>
      <c r="R123" s="105" t="n">
        <v>152099.60887757022</v>
      </c>
      <c r="S123" s="105" t="n">
        <v>18334.502790533203</v>
      </c>
      <c r="T123" s="105" t="n">
        <v>16889.666076182995</v>
      </c>
      <c r="U123" s="105" t="n">
        <v>119525.8884209564</v>
      </c>
      <c r="V123" s="105" t="n">
        <v>77716.98760923468</v>
      </c>
      <c r="W123">
        <f>SUM(O123:V123)</f>
        <v>831670.8207456196</v>
      </c>
    </row>
    <row r="124" spans="1:23" x14ac:dyDescent="0.2">
      <c r="A124">
        <v>2</v>
      </c>
      <c r="B124">
        <f si="38" t="shared"/>
        <v>24570.483794655509</v>
      </c>
      <c r="C124">
        <f si="38" t="shared"/>
        <v>11988.357836112129</v>
      </c>
      <c r="D124">
        <f si="38" t="shared"/>
        <v>19587.189022588122</v>
      </c>
      <c r="E124">
        <f si="38" t="shared"/>
        <v>30626.539602168774</v>
      </c>
      <c r="F124">
        <f si="38" t="shared"/>
        <v>1791.5087562321876</v>
      </c>
      <c r="G124">
        <f si="38" t="shared"/>
        <v>1552.1101603837785</v>
      </c>
      <c r="H124">
        <f si="38" t="shared"/>
        <v>9066.8261720085393</v>
      </c>
      <c r="I124">
        <f si="39" t="shared"/>
        <v>10687.236543431838</v>
      </c>
      <c r="J124">
        <f si="39" t="shared"/>
        <v>109870.25188758087</v>
      </c>
      <c r="N124">
        <v>2</v>
      </c>
      <c r="O124" s="105" t="n">
        <v>27642.550000000007</v>
      </c>
      <c r="P124" s="105" t="n">
        <v>13693.050000000001</v>
      </c>
      <c r="Q124" s="105" t="n">
        <v>9319.276422439521</v>
      </c>
      <c r="R124" s="105" t="n">
        <v>26097.16510334954</v>
      </c>
      <c r="S124" s="105" t="n">
        <v>1532.1937193844612</v>
      </c>
      <c r="T124" s="105" t="n">
        <v>1765.0575922490716</v>
      </c>
      <c r="U124" s="105" t="n">
        <v>10014.928321264408</v>
      </c>
      <c r="V124" s="105" t="n">
        <v>11990.797348587377</v>
      </c>
      <c r="W124">
        <f>SUM(O124:V124)</f>
        <v>109870.25188758087</v>
      </c>
    </row>
    <row r="125" spans="1:23" x14ac:dyDescent="0.2">
      <c r="A125" t="s">
        <v>116</v>
      </c>
      <c r="B125">
        <f si="38" t="shared"/>
        <v>2516.3033930705355</v>
      </c>
      <c r="C125">
        <f si="38" t="shared"/>
        <v>1281.2429560017301</v>
      </c>
      <c r="D125">
        <f si="38" t="shared"/>
        <v>1824.8893986957214</v>
      </c>
      <c r="E125">
        <f si="38" t="shared"/>
        <v>3434.0956471990571</v>
      </c>
      <c r="F125">
        <f si="38" t="shared"/>
        <v>208.22532972704732</v>
      </c>
      <c r="G125">
        <f si="38" t="shared"/>
        <v>172.29610663453818</v>
      </c>
      <c r="H125">
        <f si="38" t="shared"/>
        <v>813.79482463990507</v>
      </c>
      <c r="I125">
        <f si="39" t="shared"/>
        <v>988.5003647550908</v>
      </c>
      <c r="J125">
        <f si="39" t="shared"/>
        <v>11239.348020723626</v>
      </c>
      <c r="N125" t="s">
        <v>116</v>
      </c>
      <c r="O125" s="105" t="n">
        <v>2762.2999999999997</v>
      </c>
      <c r="P125" s="105" t="n">
        <v>1345.5</v>
      </c>
      <c r="Q125" s="105" t="n">
        <v>967.4231005999994</v>
      </c>
      <c r="R125" s="105" t="n">
        <v>2595.1958155179227</v>
      </c>
      <c r="S125" s="105" t="n">
        <v>152.5584735948149</v>
      </c>
      <c r="T125" s="105" t="n">
        <v>188.8438951246423</v>
      </c>
      <c r="U125" s="105" t="n">
        <v>1020.5655813135085</v>
      </c>
      <c r="V125" s="105" t="n">
        <v>1182.1414992683442</v>
      </c>
      <c r="W125">
        <f>SUM(O125:V125)</f>
        <v>11239.348020723626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40" t="shared">O129*$B$1</f>
        <v>1291507.6891855497</v>
      </c>
      <c r="C129">
        <f si="40" t="shared"/>
        <v>269022.84968038881</v>
      </c>
      <c r="D129">
        <f si="40" t="shared"/>
        <v>1560530.5388659385</v>
      </c>
      <c r="N129">
        <v>0</v>
      </c>
      <c r="O129" s="105" t="n">
        <v>1485422.7999999828</v>
      </c>
      <c r="P129" s="105" t="n">
        <v>292775.9657780046</v>
      </c>
      <c r="Q129">
        <f>SUM(O129:P129)</f>
        <v>1560530.5388659385</v>
      </c>
    </row>
    <row r="130" spans="1:17" x14ac:dyDescent="0.2">
      <c r="A130">
        <v>1</v>
      </c>
      <c r="B130">
        <f si="40" t="shared"/>
        <v>143218.37742680113</v>
      </c>
      <c r="C130">
        <f si="40" t="shared"/>
        <v>20626.232585508165</v>
      </c>
      <c r="D130">
        <f si="40" t="shared"/>
        <v>163844.61001230931</v>
      </c>
      <c r="N130">
        <v>1</v>
      </c>
      <c r="O130" s="105" t="n">
        <v>164601.80000000005</v>
      </c>
      <c r="P130" s="105" t="n">
        <v>22710.387175871147</v>
      </c>
      <c r="Q130">
        <f>SUM(O130:P130)</f>
        <v>163844.61001230931</v>
      </c>
    </row>
    <row r="131" spans="1:17" x14ac:dyDescent="0.2">
      <c r="A131">
        <v>2</v>
      </c>
      <c r="B131">
        <f si="40" t="shared"/>
        <v>10025.687050731289</v>
      </c>
      <c r="C131">
        <f si="40" t="shared"/>
        <v>1063.0814890017668</v>
      </c>
      <c r="D131">
        <f si="40" t="shared"/>
        <v>11088.768539733055</v>
      </c>
      <c r="N131">
        <v>2</v>
      </c>
      <c r="O131" s="105" t="n">
        <v>10836.45</v>
      </c>
      <c r="P131" s="105" t="n">
        <v>1314.8344133543512</v>
      </c>
      <c r="Q131">
        <f>SUM(O131:P131)</f>
        <v>11088.768539733055</v>
      </c>
    </row>
    <row r="132" spans="1:17" x14ac:dyDescent="0.2">
      <c r="A132" t="s">
        <v>116</v>
      </c>
      <c r="B132">
        <f si="40" t="shared"/>
        <v>769.63036445826981</v>
      </c>
      <c r="C132">
        <f si="40" t="shared"/>
        <v>89.191354578779837</v>
      </c>
      <c r="D132">
        <f si="40" t="shared"/>
        <v>858.82171903704966</v>
      </c>
      <c r="N132" t="s">
        <v>116</v>
      </c>
      <c r="O132" s="105" t="n">
        <v>1112.05</v>
      </c>
      <c r="P132" s="105" t="n">
        <v>97.86449797773577</v>
      </c>
      <c r="Q132">
        <f>SUM(O132:P132)</f>
        <v>858.82171903704966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ref="B136:B142" si="41" t="shared">O136*$B$1</f>
        <v>32778.446987650394</v>
      </c>
      <c r="C136">
        <f ref="C136:C142" si="42" t="shared">P136*$B$1</f>
        <v>4746.1209951002529</v>
      </c>
      <c r="D136">
        <f ref="D136:D142" si="43" t="shared">Q136*$B$1</f>
        <v>37524.567982750646</v>
      </c>
      <c r="N136" t="s">
        <v>210</v>
      </c>
      <c r="O136" s="105" t="n">
        <v>37680.9</v>
      </c>
      <c r="P136" s="105" t="n">
        <v>5195.282790811599</v>
      </c>
      <c r="Q136">
        <f>SUM(O136:P136)</f>
        <v>37524.567982750646</v>
      </c>
    </row>
    <row r="137" spans="1:17" x14ac:dyDescent="0.2">
      <c r="A137" t="s">
        <v>211</v>
      </c>
      <c r="B137">
        <f si="41" t="shared"/>
        <v>204.56399286822904</v>
      </c>
      <c r="C137">
        <f si="42" t="shared"/>
        <v>420.0584602837697</v>
      </c>
      <c r="D137">
        <f si="43" t="shared"/>
        <v>624.6224531519988</v>
      </c>
      <c r="N137" t="s">
        <v>211</v>
      </c>
      <c r="O137" s="105" t="n">
        <v>135.7</v>
      </c>
      <c r="P137" s="105" t="n">
        <v>493.8345918503068</v>
      </c>
      <c r="Q137">
        <f ref="Q137:Q142" si="44" t="shared">SUM(O137:P137)</f>
        <v>624.6224531519988</v>
      </c>
    </row>
    <row r="138" spans="1:17" x14ac:dyDescent="0.2">
      <c r="A138" t="s">
        <v>212</v>
      </c>
      <c r="B138">
        <f si="41" t="shared"/>
        <v>5465.6911262831445</v>
      </c>
      <c r="C138">
        <f si="42" t="shared"/>
        <v>617.40540863198567</v>
      </c>
      <c r="D138">
        <f si="43" t="shared"/>
        <v>6083.0965349151302</v>
      </c>
      <c r="N138" t="s">
        <v>212</v>
      </c>
      <c r="O138" s="105" t="n">
        <v>6099.599999999999</v>
      </c>
      <c r="P138" s="105" t="n">
        <v>638.9734713796981</v>
      </c>
      <c r="Q138">
        <f si="44" t="shared"/>
        <v>6083.0965349151302</v>
      </c>
    </row>
    <row r="139" spans="1:17" x14ac:dyDescent="0.2">
      <c r="A139" t="s">
        <v>36</v>
      </c>
      <c r="B139">
        <f si="41" t="shared"/>
        <v>18487.511208624266</v>
      </c>
      <c r="C139">
        <f si="42" t="shared"/>
        <v>2722.5624094842178</v>
      </c>
      <c r="D139">
        <f si="43" t="shared"/>
        <v>21210.073618108483</v>
      </c>
      <c r="N139" t="s">
        <v>36</v>
      </c>
      <c r="O139" s="105" t="n">
        <v>21713.150000000005</v>
      </c>
      <c r="P139" s="105" t="n">
        <v>2942.850678779249</v>
      </c>
      <c r="Q139">
        <f si="44" t="shared"/>
        <v>21210.073618108483</v>
      </c>
    </row>
    <row r="140" spans="1:17" x14ac:dyDescent="0.2">
      <c r="A140" t="s">
        <v>214</v>
      </c>
      <c r="B140">
        <f si="41" t="shared"/>
        <v>18519.521249702946</v>
      </c>
      <c r="C140">
        <f si="42" t="shared"/>
        <v>2067.2426882031259</v>
      </c>
      <c r="D140">
        <f si="43" t="shared"/>
        <v>20586.763937906071</v>
      </c>
      <c r="N140" t="s">
        <v>214</v>
      </c>
      <c r="O140" s="105" t="n">
        <v>21542.950000000004</v>
      </c>
      <c r="P140" s="105" t="n">
        <v>2441.438763983949</v>
      </c>
      <c r="Q140">
        <f si="44" t="shared"/>
        <v>20586.763937906071</v>
      </c>
    </row>
    <row r="141" spans="1:17" x14ac:dyDescent="0.2">
      <c r="A141" t="s">
        <v>129</v>
      </c>
      <c r="B141">
        <f si="41" t="shared"/>
        <v>72259.964839372173</v>
      </c>
      <c r="C141">
        <f si="42" t="shared"/>
        <v>9213.7647427842203</v>
      </c>
      <c r="D141">
        <f si="43" t="shared"/>
        <v>81473.729582156389</v>
      </c>
      <c r="N141" t="s">
        <v>129</v>
      </c>
      <c r="O141" s="105" t="n">
        <v>81844.34999999995</v>
      </c>
      <c r="P141" s="105" t="n">
        <v>10296.363464802063</v>
      </c>
      <c r="Q141">
        <f si="44" t="shared"/>
        <v>81473.729582156389</v>
      </c>
    </row>
    <row r="142" spans="1:17" x14ac:dyDescent="0.2">
      <c r="A142" t="s">
        <v>130</v>
      </c>
      <c r="B142">
        <f si="41" t="shared"/>
        <v>17955.187511363707</v>
      </c>
      <c r="C142">
        <f si="42" t="shared"/>
        <v>3265.0226135439675</v>
      </c>
      <c r="D142">
        <f si="43" t="shared"/>
        <v>21220.210124907673</v>
      </c>
      <c r="N142" t="s">
        <v>130</v>
      </c>
      <c r="O142" s="105" t="n">
        <v>20719.550000000003</v>
      </c>
      <c r="P142" s="105" t="n">
        <v>3661.5410772861774</v>
      </c>
      <c r="Q142">
        <f si="44" t="shared"/>
        <v>21220.210124907673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G154" si="45" t="shared">O148*$B$1</f>
        <v>597303.08381386334</v>
      </c>
      <c r="C148">
        <f si="45" t="shared"/>
        <v>421828.77651213185</v>
      </c>
      <c r="D148">
        <f si="45" t="shared"/>
        <v>327759.54930945125</v>
      </c>
      <c r="E148">
        <f si="45" t="shared"/>
        <v>427328.84238146665</v>
      </c>
      <c r="F148">
        <f si="45" t="shared"/>
        <v>446433.40295080893</v>
      </c>
      <c r="G148">
        <f si="45" t="shared"/>
        <v>224219.09216549929</v>
      </c>
      <c r="H148">
        <f ref="H148:H154" si="46" t="shared">U148*$B$1</f>
        <v>795755.86363764771</v>
      </c>
      <c r="I148">
        <f ref="I148:I154" si="47" t="shared">V148*$B$1</f>
        <v>3240628.6107708691</v>
      </c>
      <c r="N148">
        <v>0</v>
      </c>
      <c r="O148" s="105" t="n">
        <v>679037.5571923433</v>
      </c>
      <c r="P148" s="105" t="n">
        <v>444714.40640114347</v>
      </c>
      <c r="Q148" s="105" t="n">
        <v>341045.51684523607</v>
      </c>
      <c r="R148" s="105" t="n">
        <v>412134.1944017638</v>
      </c>
      <c r="S148" s="105" t="n">
        <v>418757.16891439265</v>
      </c>
      <c r="T148" s="105" t="n">
        <v>230307.04787134627</v>
      </c>
      <c r="U148" s="105" t="n">
        <v>791303.1102283829</v>
      </c>
      <c r="V148">
        <f>SUM(O148:U148)</f>
        <v>3240628.6107708691</v>
      </c>
    </row>
    <row r="149" spans="1:22" x14ac:dyDescent="0.2">
      <c r="A149">
        <v>1</v>
      </c>
      <c r="B149">
        <f si="45" t="shared"/>
        <v>546482.93668652454</v>
      </c>
      <c r="C149">
        <f si="45" t="shared"/>
        <v>210585.49207848377</v>
      </c>
      <c r="D149">
        <f si="45" t="shared"/>
        <v>201582.48238064093</v>
      </c>
      <c r="E149">
        <f si="45" t="shared"/>
        <v>197215.75565192546</v>
      </c>
      <c r="F149">
        <f si="45" t="shared"/>
        <v>180102.28159855242</v>
      </c>
      <c r="G149">
        <f si="45" t="shared"/>
        <v>62985.043962218784</v>
      </c>
      <c r="H149">
        <f si="46" t="shared"/>
        <v>238360.45091607966</v>
      </c>
      <c r="I149">
        <f si="47" t="shared"/>
        <v>1637314.4432744253</v>
      </c>
      <c r="N149">
        <v>1</v>
      </c>
      <c r="O149" s="105" t="n">
        <v>622750.1395290896</v>
      </c>
      <c r="P149" s="105" t="n">
        <v>219035.2082325742</v>
      </c>
      <c r="Q149" s="105" t="n">
        <v>204644.22597269446</v>
      </c>
      <c r="R149" s="105" t="n">
        <v>167468.5095282818</v>
      </c>
      <c r="S149" s="105" t="n">
        <v>156018.3383252389</v>
      </c>
      <c r="T149" s="105" t="n">
        <v>58728.51645340454</v>
      </c>
      <c r="U149" s="105" t="n">
        <v>221700.59784998852</v>
      </c>
      <c r="V149">
        <f ref="V149:V154" si="48" t="shared">SUM(O149:U149)</f>
        <v>1637314.4432744253</v>
      </c>
    </row>
    <row r="150" spans="1:22" x14ac:dyDescent="0.2">
      <c r="A150">
        <v>2</v>
      </c>
      <c r="B150">
        <f si="45" t="shared"/>
        <v>332669.07597321313</v>
      </c>
      <c r="C150">
        <f si="45" t="shared"/>
        <v>90172.541594617782</v>
      </c>
      <c r="D150">
        <f si="45" t="shared"/>
        <v>83875.242921234312</v>
      </c>
      <c r="E150">
        <f si="45" t="shared"/>
        <v>73168.094795775673</v>
      </c>
      <c r="F150">
        <f si="45" t="shared"/>
        <v>63807.02472787501</v>
      </c>
      <c r="G150">
        <f si="45" t="shared"/>
        <v>18323.886949958924</v>
      </c>
      <c r="H150">
        <f si="46" t="shared"/>
        <v>60144.209502241087</v>
      </c>
      <c r="I150">
        <f si="47" t="shared"/>
        <v>722160.076464916</v>
      </c>
      <c r="N150">
        <v>2</v>
      </c>
      <c r="O150" s="105" t="n">
        <v>380451.58840876754</v>
      </c>
      <c r="P150" s="105" t="n">
        <v>92818.89953118317</v>
      </c>
      <c r="Q150" s="105" t="n">
        <v>82323.21603689337</v>
      </c>
      <c r="R150" s="105" t="n">
        <v>57468.794754469156</v>
      </c>
      <c r="S150" s="105" t="n">
        <v>51857.19690273835</v>
      </c>
      <c r="T150" s="105" t="n">
        <v>15042.678414309134</v>
      </c>
      <c r="U150" s="105" t="n">
        <v>50998.09393671991</v>
      </c>
      <c r="V150">
        <f si="48" t="shared"/>
        <v>722160.076464916</v>
      </c>
    </row>
    <row r="151" spans="1:22" x14ac:dyDescent="0.2">
      <c r="A151">
        <v>3</v>
      </c>
      <c r="B151">
        <f si="45" t="shared"/>
        <v>147665.92493722565</v>
      </c>
      <c r="C151">
        <f si="45" t="shared"/>
        <v>26875.770318369654</v>
      </c>
      <c r="D151">
        <f si="45" t="shared"/>
        <v>27536.808233233605</v>
      </c>
      <c r="E151">
        <f si="45" t="shared"/>
        <v>22007.580870439408</v>
      </c>
      <c r="F151">
        <f si="45" t="shared"/>
        <v>18568.427871592117</v>
      </c>
      <c r="G151">
        <f si="45" t="shared"/>
        <v>4697.6578032374646</v>
      </c>
      <c r="H151">
        <f si="46" t="shared"/>
        <v>13110.526343212714</v>
      </c>
      <c r="I151">
        <f si="47" t="shared"/>
        <v>260462.69637731061</v>
      </c>
      <c r="N151">
        <v>3</v>
      </c>
      <c r="O151" s="105" t="n">
        <v>168724.71458211358</v>
      </c>
      <c r="P151" s="105" t="n">
        <v>27257.160482018015</v>
      </c>
      <c r="Q151" s="105" t="n">
        <v>26424.243310534384</v>
      </c>
      <c r="R151" s="105" t="n">
        <v>16500.784667379907</v>
      </c>
      <c r="S151" s="105" t="n">
        <v>14404.922873886886</v>
      </c>
      <c r="T151" s="105" t="n">
        <v>3879.433682416571</v>
      </c>
      <c r="U151" s="105" t="n">
        <v>11016.928123161053</v>
      </c>
      <c r="V151">
        <f si="48" t="shared"/>
        <v>260462.69637731061</v>
      </c>
    </row>
    <row r="152" spans="1:22" x14ac:dyDescent="0.2">
      <c r="A152">
        <v>4</v>
      </c>
      <c r="B152">
        <f si="45" t="shared"/>
        <v>62521.71758651788</v>
      </c>
      <c r="C152">
        <f si="45" t="shared"/>
        <v>7255.9644202484742</v>
      </c>
      <c r="D152">
        <f si="45" t="shared"/>
        <v>8485.1024645092602</v>
      </c>
      <c r="E152">
        <f si="45" t="shared"/>
        <v>5669.4372622812052</v>
      </c>
      <c r="F152">
        <f si="45" t="shared"/>
        <v>5116.6576638561883</v>
      </c>
      <c r="G152">
        <f si="45" t="shared"/>
        <v>1405.6154644372116</v>
      </c>
      <c r="H152">
        <f si="46" t="shared"/>
        <v>3066.0254838426813</v>
      </c>
      <c r="I152">
        <f si="47" t="shared"/>
        <v>93520.520345692887</v>
      </c>
      <c r="N152">
        <v>4</v>
      </c>
      <c r="O152" s="105" t="n">
        <v>71221.57473592884</v>
      </c>
      <c r="P152" s="105" t="n">
        <v>7530.042139776927</v>
      </c>
      <c r="Q152" s="105" t="n">
        <v>7842.185867748819</v>
      </c>
      <c r="R152" s="105" t="n">
        <v>4428.423042074087</v>
      </c>
      <c r="S152" s="105" t="n">
        <v>3961.9489053689144</v>
      </c>
      <c r="T152" s="105" t="n">
        <v>1036.3612867483678</v>
      </c>
      <c r="U152" s="105" t="n">
        <v>2627.395116284855</v>
      </c>
      <c r="V152">
        <f si="48" t="shared"/>
        <v>93520.520345692887</v>
      </c>
    </row>
    <row r="153" spans="1:22" x14ac:dyDescent="0.2">
      <c r="A153">
        <v>5</v>
      </c>
      <c r="B153">
        <f si="45" t="shared"/>
        <v>24637.389331742954</v>
      </c>
      <c r="C153">
        <f si="45" t="shared"/>
        <v>1963.7353186279784</v>
      </c>
      <c r="D153">
        <f si="45" t="shared"/>
        <v>2242.8824868332704</v>
      </c>
      <c r="E153">
        <f si="45" t="shared"/>
        <v>1223.5810874424214</v>
      </c>
      <c r="F153">
        <f si="45" t="shared"/>
        <v>1377.8606293559496</v>
      </c>
      <c r="G153">
        <f si="45" t="shared"/>
        <v>257.17140980637674</v>
      </c>
      <c r="H153">
        <f si="46" t="shared"/>
        <v>735.0588207847436</v>
      </c>
      <c r="I153">
        <f si="47" t="shared"/>
        <v>32437.679084593696</v>
      </c>
      <c r="N153">
        <v>5</v>
      </c>
      <c r="O153" s="105" t="n">
        <v>27705.771177191607</v>
      </c>
      <c r="P153" s="105" t="n">
        <v>1991.3533693226702</v>
      </c>
      <c r="Q153" s="105" t="n">
        <v>2185.184530304806</v>
      </c>
      <c r="R153" s="105" t="n">
        <v>988.9245345812928</v>
      </c>
      <c r="S153" s="105" t="n">
        <v>935.7170092738457</v>
      </c>
      <c r="T153" s="105" t="n">
        <v>280.63198110355444</v>
      </c>
      <c r="U153" s="105" t="n">
        <v>535.5998211606918</v>
      </c>
      <c r="V153">
        <f si="48" t="shared"/>
        <v>32437.679084593696</v>
      </c>
    </row>
    <row r="154" spans="1:22" x14ac:dyDescent="0.2">
      <c r="A154" t="s">
        <v>209</v>
      </c>
      <c r="B154">
        <f si="45" t="shared"/>
        <v>25042.610807930716</v>
      </c>
      <c r="C154">
        <f si="45" t="shared"/>
        <v>921.77843384777816</v>
      </c>
      <c r="D154">
        <f si="45" t="shared"/>
        <v>1019.6250936318047</v>
      </c>
      <c r="E154">
        <f si="45" t="shared"/>
        <v>320.90030553422832</v>
      </c>
      <c r="F154">
        <f si="45" t="shared"/>
        <v>306.57852283214851</v>
      </c>
      <c r="G154">
        <f si="45" t="shared"/>
        <v>122.05445684455042</v>
      </c>
      <c r="H154">
        <f si="46" t="shared"/>
        <v>113.41198398625531</v>
      </c>
      <c r="I154">
        <f si="47" t="shared"/>
        <v>27846.95960460748</v>
      </c>
      <c r="N154" t="s">
        <v>209</v>
      </c>
      <c r="O154" s="105" t="n">
        <v>28980.806239772675</v>
      </c>
      <c r="P154" s="105" t="n">
        <v>842.1486684077647</v>
      </c>
      <c r="Q154" s="105" t="n">
        <v>913.6411231196771</v>
      </c>
      <c r="R154" s="105" t="n">
        <v>254.26840847979565</v>
      </c>
      <c r="S154" s="105" t="n">
        <v>286.8035022147198</v>
      </c>
      <c r="T154" s="105" t="n">
        <v>80.00343879495925</v>
      </c>
      <c r="U154" s="105" t="n">
        <v>149.84658014575007</v>
      </c>
      <c r="V154">
        <f si="48" t="shared"/>
        <v>27846.95960460748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G164" si="49" t="shared">O158*$B$1</f>
        <v>1214454.769506925</v>
      </c>
      <c r="C158">
        <f si="49" t="shared"/>
        <v>633787.71997464099</v>
      </c>
      <c r="D158">
        <f si="49" t="shared"/>
        <v>489390.98139729991</v>
      </c>
      <c r="E158">
        <f si="49" t="shared"/>
        <v>579407.02241111733</v>
      </c>
      <c r="F158">
        <f si="49" t="shared"/>
        <v>580560.58284133289</v>
      </c>
      <c r="G158">
        <f si="49" t="shared"/>
        <v>268731.81436633255</v>
      </c>
      <c r="H158">
        <f ref="H158:H164" si="50" t="shared">U158*$B$1</f>
        <v>969440.02580220765</v>
      </c>
      <c r="I158">
        <f ref="I158:I164" si="51" t="shared">V158*$B$1</f>
        <v>4735772.9162998572</v>
      </c>
      <c r="N158">
        <v>0</v>
      </c>
      <c r="O158" s="105" t="n">
        <v>1382495.570440504</v>
      </c>
      <c r="P158" s="105" t="n">
        <v>665842.7232966665</v>
      </c>
      <c r="Q158" s="105" t="n">
        <v>503856.7677048115</v>
      </c>
      <c r="R158" s="105" t="n">
        <v>538995.599900844</v>
      </c>
      <c r="S158" s="105" t="n">
        <v>535325.7083843951</v>
      </c>
      <c r="T158" s="105" t="n">
        <v>271862.5458303768</v>
      </c>
      <c r="U158" s="105" t="n">
        <v>951181.9046365998</v>
      </c>
      <c r="V158">
        <f>SUM(O158:U158)</f>
        <v>4735772.9162998572</v>
      </c>
    </row>
    <row r="159" spans="1:22" x14ac:dyDescent="0.2">
      <c r="A159">
        <v>1</v>
      </c>
      <c r="B159">
        <f si="49" t="shared"/>
        <v>382249.25143907563</v>
      </c>
      <c r="C159">
        <f si="49" t="shared"/>
        <v>102939.34524540626</v>
      </c>
      <c r="D159">
        <f si="49" t="shared"/>
        <v>126278.02510524368</v>
      </c>
      <c r="E159">
        <f si="49" t="shared"/>
        <v>115270.35730018</v>
      </c>
      <c r="F159">
        <f si="49" t="shared"/>
        <v>106474.56146538937</v>
      </c>
      <c r="G159">
        <f si="49" t="shared"/>
        <v>35171.705287116354</v>
      </c>
      <c r="H159">
        <f si="50" t="shared"/>
        <v>120399.68246304382</v>
      </c>
      <c r="I159">
        <f si="51" t="shared"/>
        <v>988782.92830545513</v>
      </c>
      <c r="N159">
        <v>1</v>
      </c>
      <c r="O159" s="105" t="n">
        <v>437748.37198606116</v>
      </c>
      <c r="P159" s="105" t="n">
        <v>105407.59028962538</v>
      </c>
      <c r="Q159" s="105" t="n">
        <v>126100.33309598753</v>
      </c>
      <c r="R159" s="105" t="n">
        <v>95398.40098253803</v>
      </c>
      <c r="S159" s="105" t="n">
        <v>88400.39017230536</v>
      </c>
      <c r="T159" s="105" t="n">
        <v>30736.83273562723</v>
      </c>
      <c r="U159" s="105" t="n">
        <v>108879.83471211584</v>
      </c>
      <c r="V159">
        <f ref="V159:V164" si="52" t="shared">SUM(O159:U159)</f>
        <v>988782.92830545513</v>
      </c>
    </row>
    <row r="160" spans="1:22" x14ac:dyDescent="0.2">
      <c r="A160">
        <v>2</v>
      </c>
      <c r="B160">
        <f si="49" t="shared"/>
        <v>96453.921266437494</v>
      </c>
      <c r="C160">
        <f si="49" t="shared"/>
        <v>18769.539892024888</v>
      </c>
      <c r="D160">
        <f si="49" t="shared"/>
        <v>28943.870767130447</v>
      </c>
      <c r="E160">
        <f si="49" t="shared"/>
        <v>25857.148450690365</v>
      </c>
      <c r="F160">
        <f si="49" t="shared"/>
        <v>22666.707180952468</v>
      </c>
      <c r="G160">
        <f si="49" t="shared"/>
        <v>6500.2699425275741</v>
      </c>
      <c r="H160">
        <f si="50" t="shared"/>
        <v>17864.222821609615</v>
      </c>
      <c r="I160">
        <f si="51" t="shared"/>
        <v>217055.68032137284</v>
      </c>
      <c r="N160">
        <v>2</v>
      </c>
      <c r="O160" s="105" t="n">
        <v>109691.77578950979</v>
      </c>
      <c r="P160" s="105" t="n">
        <v>18500.689032187238</v>
      </c>
      <c r="Q160" s="105" t="n">
        <v>27491.840604548426</v>
      </c>
      <c r="R160" s="105" t="n">
        <v>19790.643968464967</v>
      </c>
      <c r="S160" s="105" t="n">
        <v>17819.210406269834</v>
      </c>
      <c r="T160" s="105" t="n">
        <v>5352.020579348023</v>
      </c>
      <c r="U160" s="105" t="n">
        <v>15285.413181374815</v>
      </c>
      <c r="V160">
        <f si="52" t="shared"/>
        <v>217055.68032137284</v>
      </c>
    </row>
    <row r="161" spans="1:22" x14ac:dyDescent="0.2">
      <c r="A161">
        <v>3</v>
      </c>
      <c r="B161">
        <f si="49" t="shared"/>
        <v>25690.825841373968</v>
      </c>
      <c r="C161">
        <f si="49" t="shared"/>
        <v>3105.0394938345876</v>
      </c>
      <c r="D161">
        <f si="49" t="shared"/>
        <v>5637.3394134899372</v>
      </c>
      <c r="E161">
        <f si="49" t="shared"/>
        <v>5162.0178594015779</v>
      </c>
      <c r="F161">
        <f si="49" t="shared"/>
        <v>4641.8179570291259</v>
      </c>
      <c r="G161">
        <f si="49" t="shared"/>
        <v>1152.5927145260528</v>
      </c>
      <c r="H161">
        <f si="50" t="shared"/>
        <v>2883.1647034354696</v>
      </c>
      <c r="I161">
        <f si="51" t="shared"/>
        <v>48272.797983090713</v>
      </c>
      <c r="N161">
        <v>3</v>
      </c>
      <c r="O161" s="105" t="n">
        <v>29189.269212508607</v>
      </c>
      <c r="P161" s="105" t="n">
        <v>3395.4473496041683</v>
      </c>
      <c r="Q161" s="105" t="n">
        <v>5824.42918335618</v>
      </c>
      <c r="R161" s="105" t="n">
        <v>3926.9770344042304</v>
      </c>
      <c r="S161" s="105" t="n">
        <v>3568.2025272738338</v>
      </c>
      <c r="T161" s="105" t="n">
        <v>1065.7795937871308</v>
      </c>
      <c r="U161" s="105" t="n">
        <v>2379.494672771776</v>
      </c>
      <c r="V161">
        <f si="52" t="shared"/>
        <v>48272.797983090713</v>
      </c>
    </row>
    <row r="162" spans="1:22" x14ac:dyDescent="0.2">
      <c r="A162">
        <v>4</v>
      </c>
      <c r="B162">
        <f si="49" t="shared"/>
        <v>10514.34484471623</v>
      </c>
      <c r="C162">
        <f si="49" t="shared"/>
        <v>755.4935260852692</v>
      </c>
      <c r="D162">
        <f si="49" t="shared"/>
        <v>1790.3371904901637</v>
      </c>
      <c r="E162">
        <f si="49" t="shared"/>
        <v>1073.9669462705097</v>
      </c>
      <c r="F162">
        <f si="49" t="shared"/>
        <v>1120.3901735642776</v>
      </c>
      <c r="G162">
        <f si="49" t="shared"/>
        <v>364.04737871026435</v>
      </c>
      <c r="H162">
        <f si="50" t="shared"/>
        <v>596.74584532307722</v>
      </c>
      <c r="I162">
        <f si="51" t="shared"/>
        <v>16215.325905159791</v>
      </c>
      <c r="N162">
        <v>4</v>
      </c>
      <c r="O162" s="105" t="n">
        <v>11983.88309493316</v>
      </c>
      <c r="P162" s="105" t="n">
        <v>794.1540569829075</v>
      </c>
      <c r="Q162" s="105" t="n">
        <v>1620.8790353560626</v>
      </c>
      <c r="R162" s="105" t="n">
        <v>955.4196777875438</v>
      </c>
      <c r="S162" s="105" t="n">
        <v>913.3006518501969</v>
      </c>
      <c r="T162" s="105" t="n">
        <v>280.84264200945995</v>
      </c>
      <c r="U162" s="105" t="n">
        <v>501.36149157120195</v>
      </c>
      <c r="V162">
        <f si="52" t="shared"/>
        <v>16215.325905159791</v>
      </c>
    </row>
    <row r="163" spans="1:22" x14ac:dyDescent="0.2">
      <c r="A163">
        <v>5</v>
      </c>
      <c r="B163">
        <f si="49" t="shared"/>
        <v>3117.3946525246597</v>
      </c>
      <c r="C163">
        <f si="49" t="shared"/>
        <v>164.23116031100571</v>
      </c>
      <c r="D163">
        <f si="49" t="shared"/>
        <v>334.43874476710084</v>
      </c>
      <c r="E163">
        <f si="49" t="shared"/>
        <v>133.20142417108428</v>
      </c>
      <c r="F163">
        <f si="49" t="shared"/>
        <v>194.93048388153136</v>
      </c>
      <c r="G163">
        <f si="49" t="shared"/>
        <v>67.190814844224462</v>
      </c>
      <c r="H163">
        <f si="50" t="shared"/>
        <v>82.197805798339672</v>
      </c>
      <c r="I163">
        <f si="51" t="shared"/>
        <v>4093.5850862979464</v>
      </c>
      <c r="N163">
        <v>5</v>
      </c>
      <c r="O163" s="105" t="n">
        <v>3396.2445921949584</v>
      </c>
      <c r="P163" s="105" t="n">
        <v>171.86976164712308</v>
      </c>
      <c r="Q163" s="105" t="n">
        <v>323.1353180293833</v>
      </c>
      <c r="R163" s="105" t="n">
        <v>133.24125412195755</v>
      </c>
      <c r="S163" s="105" t="n">
        <v>153.01885198956094</v>
      </c>
      <c r="T163" s="105" t="n">
        <v>37.107168543401244</v>
      </c>
      <c r="U163" s="105" t="n">
        <v>82.66042360893611</v>
      </c>
      <c r="V163">
        <f si="52" t="shared"/>
        <v>4093.5850862979464</v>
      </c>
    </row>
    <row r="164" spans="1:22" x14ac:dyDescent="0.2">
      <c r="A164" t="s">
        <v>209</v>
      </c>
      <c r="B164">
        <f si="49" t="shared"/>
        <v>3842.2315859650162</v>
      </c>
      <c r="C164">
        <f si="49" t="shared"/>
        <v>82.689384024208735</v>
      </c>
      <c r="D164">
        <f si="49" t="shared"/>
        <v>126.70027111321603</v>
      </c>
      <c r="E164">
        <f si="49" t="shared"/>
        <v>30.477963034225951</v>
      </c>
      <c r="F164">
        <f si="49" t="shared"/>
        <v>53.243862723091411</v>
      </c>
      <c r="G164">
        <f si="49" t="shared"/>
        <v>22.901707945561022</v>
      </c>
      <c r="H164">
        <f si="50" t="shared"/>
        <v>19.50724637681159</v>
      </c>
      <c r="I164">
        <f si="51" t="shared"/>
        <v>4177.7520211821311</v>
      </c>
      <c r="N164" t="s">
        <v>209</v>
      </c>
      <c r="O164" s="105" t="n">
        <v>4367.03674948175</v>
      </c>
      <c r="P164" s="105" t="n">
        <v>76.74503771033183</v>
      </c>
      <c r="Q164" s="105" t="n">
        <v>160.8287444429056</v>
      </c>
      <c r="R164" s="105" t="n">
        <v>43.616518869235136</v>
      </c>
      <c r="S164" s="105" t="n">
        <v>42.265439030579444</v>
      </c>
      <c r="T164" s="105" t="n">
        <v>19.54457843154482</v>
      </c>
      <c r="U164" s="105" t="n">
        <v>20.902537798171245</v>
      </c>
      <c r="V164">
        <f si="52" t="shared"/>
        <v>4177.7520211821311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G174" si="53" t="shared">O168*$B$1</f>
        <v>774714.6372078706</v>
      </c>
      <c r="C168">
        <f si="53" t="shared"/>
        <v>482542.30140688323</v>
      </c>
      <c r="D168">
        <f si="53" t="shared"/>
        <v>418162.0459548069</v>
      </c>
      <c r="E168">
        <f si="53" t="shared"/>
        <v>519805.05158338853</v>
      </c>
      <c r="F168">
        <f si="53" t="shared"/>
        <v>532408.73565253825</v>
      </c>
      <c r="G168">
        <f si="53" t="shared"/>
        <v>254099.20206805406</v>
      </c>
      <c r="H168">
        <f ref="H168:H174" si="54" t="shared">U168*$B$1</f>
        <v>896271.86252046016</v>
      </c>
      <c r="I168">
        <f ref="I168:I174" si="55" t="shared">V168*$B$1</f>
        <v>3878003.8363940017</v>
      </c>
      <c r="N168">
        <v>0</v>
      </c>
      <c r="O168" s="105" t="n">
        <v>879337.8834702993</v>
      </c>
      <c r="P168" s="105" t="n">
        <v>507046.88553257706</v>
      </c>
      <c r="Q168" s="105" t="n">
        <v>432466.5570555257</v>
      </c>
      <c r="R168" s="105" t="n">
        <v>489712.61744598695</v>
      </c>
      <c r="S168" s="105" t="n">
        <v>490711.43288245704</v>
      </c>
      <c r="T168" s="105" t="n">
        <v>256915.94157438402</v>
      </c>
      <c r="U168" s="105" t="n">
        <v>883501.1661358115</v>
      </c>
      <c r="V168">
        <f>SUM(O168:U168)</f>
        <v>3878003.8363940017</v>
      </c>
    </row>
    <row r="169" spans="1:22" x14ac:dyDescent="0.2">
      <c r="A169">
        <v>1</v>
      </c>
      <c r="B169">
        <f si="53" t="shared"/>
        <v>609019.99275453459</v>
      </c>
      <c r="C169">
        <f si="53" t="shared"/>
        <v>206658.47769517032</v>
      </c>
      <c r="D169">
        <f si="53" t="shared"/>
        <v>184840.57612338339</v>
      </c>
      <c r="E169">
        <f si="53" t="shared"/>
        <v>167476.72173001303</v>
      </c>
      <c r="F169">
        <f si="53" t="shared"/>
        <v>150302.65127596419</v>
      </c>
      <c r="G169">
        <f si="53" t="shared"/>
        <v>49167.676759603346</v>
      </c>
      <c r="H169">
        <f si="54" t="shared"/>
        <v>186251.47293605356</v>
      </c>
      <c r="I169">
        <f si="55" t="shared"/>
        <v>1553717.5692747226</v>
      </c>
      <c r="N169">
        <v>1</v>
      </c>
      <c r="O169" s="105" t="n">
        <v>697087.0615593871</v>
      </c>
      <c r="P169" s="105" t="n">
        <v>214402.45912677696</v>
      </c>
      <c r="Q169" s="105" t="n">
        <v>185101.23325916563</v>
      </c>
      <c r="R169" s="105" t="n">
        <v>139005.1157501499</v>
      </c>
      <c r="S169" s="105" t="n">
        <v>128911.83369302025</v>
      </c>
      <c r="T169" s="105" t="n">
        <v>45373.04167029362</v>
      </c>
      <c r="U169" s="105" t="n">
        <v>170720.34485691236</v>
      </c>
      <c r="V169">
        <f ref="V169:V174" si="56" t="shared">SUM(O169:U169)</f>
        <v>1553717.5692747226</v>
      </c>
    </row>
    <row r="170" spans="1:22" x14ac:dyDescent="0.2">
      <c r="A170">
        <v>2</v>
      </c>
      <c r="B170">
        <f si="53" t="shared"/>
        <v>248692.55399341648</v>
      </c>
      <c r="C170">
        <f si="53" t="shared"/>
        <v>58539.154598598332</v>
      </c>
      <c r="D170">
        <f si="53" t="shared"/>
        <v>42158.665265701733</v>
      </c>
      <c r="E170">
        <f si="53" t="shared"/>
        <v>34552.89997161374</v>
      </c>
      <c r="F170">
        <f si="53" t="shared"/>
        <v>28874.96790298021</v>
      </c>
      <c r="G170">
        <f si="53" t="shared"/>
        <v>7729.4051706831669</v>
      </c>
      <c r="H170">
        <f si="54" t="shared"/>
        <v>25946.044738257075</v>
      </c>
      <c r="I170">
        <f si="55" t="shared"/>
        <v>446493.69164125068</v>
      </c>
      <c r="N170">
        <v>2</v>
      </c>
      <c r="O170" s="105" t="n">
        <v>283824.09379234863</v>
      </c>
      <c r="P170" s="105" t="n">
        <v>60630.00808102861</v>
      </c>
      <c r="Q170" s="105" t="n">
        <v>40851.06318939482</v>
      </c>
      <c r="R170" s="105" t="n">
        <v>26584.831805584836</v>
      </c>
      <c r="S170" s="105" t="n">
        <v>23338.559460574186</v>
      </c>
      <c r="T170" s="105" t="n">
        <v>6264.676079037949</v>
      </c>
      <c r="U170" s="105" t="n">
        <v>21649.855691112574</v>
      </c>
      <c r="V170">
        <f si="56" t="shared"/>
        <v>446493.69164125068</v>
      </c>
    </row>
    <row r="171" spans="1:22" x14ac:dyDescent="0.2">
      <c r="A171">
        <v>3</v>
      </c>
      <c r="B171">
        <f si="53" t="shared"/>
        <v>67594.919548983249</v>
      </c>
      <c r="C171">
        <f si="53" t="shared"/>
        <v>9622.7256976996832</v>
      </c>
      <c r="D171">
        <f si="53" t="shared"/>
        <v>5928.6838343214622</v>
      </c>
      <c r="E171">
        <f si="53" t="shared"/>
        <v>4369.8281360741566</v>
      </c>
      <c r="F171">
        <f si="53" t="shared"/>
        <v>3494.4731379249761</v>
      </c>
      <c r="G171">
        <f si="53" t="shared"/>
        <v>862.88437203286264</v>
      </c>
      <c r="H171">
        <f si="54" t="shared"/>
        <v>2504.2402970528237</v>
      </c>
      <c r="I171">
        <f si="55" t="shared"/>
        <v>94377.755024089201</v>
      </c>
      <c r="N171">
        <v>3</v>
      </c>
      <c r="O171" s="105" t="n">
        <v>77128.13959289534</v>
      </c>
      <c r="P171" s="105" t="n">
        <v>9898.804227036324</v>
      </c>
      <c r="Q171" s="105" t="n">
        <v>5819.88229167507</v>
      </c>
      <c r="R171" s="105" t="n">
        <v>3398.063695803137</v>
      </c>
      <c r="S171" s="105" t="n">
        <v>2825.6019392158178</v>
      </c>
      <c r="T171" s="105" t="n">
        <v>690.4274515556065</v>
      </c>
      <c r="U171" s="105" t="n">
        <v>2160.950471868393</v>
      </c>
      <c r="V171">
        <f si="56" t="shared"/>
        <v>94377.755024089201</v>
      </c>
    </row>
    <row r="172" spans="1:22" x14ac:dyDescent="0.2">
      <c r="A172">
        <v>4</v>
      </c>
      <c r="B172">
        <f si="53" t="shared"/>
        <v>23721.289774779267</v>
      </c>
      <c r="C172">
        <f si="53" t="shared"/>
        <v>1834.5838569599819</v>
      </c>
      <c r="D172">
        <f si="53" t="shared"/>
        <v>1199.7822946352121</v>
      </c>
      <c r="E172">
        <f si="53" t="shared"/>
        <v>608.21387853710519</v>
      </c>
      <c r="F172">
        <f si="53" t="shared"/>
        <v>533.87882341614682</v>
      </c>
      <c r="G172">
        <f si="53" t="shared"/>
        <v>133.58941248402394</v>
      </c>
      <c r="H172">
        <f si="54" t="shared"/>
        <v>274.73401329498006</v>
      </c>
      <c r="I172">
        <f si="55" t="shared"/>
        <v>28306.072054106717</v>
      </c>
      <c r="N172">
        <v>4</v>
      </c>
      <c r="O172" s="105" t="n">
        <v>26832.121536660703</v>
      </c>
      <c r="P172" s="105" t="n">
        <v>1827.6032524935674</v>
      </c>
      <c r="Q172" s="105" t="n">
        <v>955.6867191392686</v>
      </c>
      <c r="R172" s="105" t="n">
        <v>476.9613227642881</v>
      </c>
      <c r="S172" s="105" t="n">
        <v>374.9264658104017</v>
      </c>
      <c r="T172" s="105" t="n">
        <v>97.18304646866774</v>
      </c>
      <c r="U172" s="105" t="n">
        <v>268.3430610658041</v>
      </c>
      <c r="V172">
        <f si="56" t="shared"/>
        <v>28306.072054106717</v>
      </c>
    </row>
    <row r="173" spans="1:22" x14ac:dyDescent="0.2">
      <c r="A173">
        <v>5</v>
      </c>
      <c r="B173">
        <f si="53" t="shared"/>
        <v>3527.2902962955877</v>
      </c>
      <c r="C173">
        <f si="53" t="shared"/>
        <v>240.14025283540136</v>
      </c>
      <c r="D173">
        <f si="53" t="shared"/>
        <v>101.38307713313314</v>
      </c>
      <c r="E173">
        <f si="53" t="shared"/>
        <v>85.222440989685396</v>
      </c>
      <c r="F173">
        <f si="53" t="shared"/>
        <v>53.204662597621891</v>
      </c>
      <c r="G173">
        <f si="53" t="shared"/>
        <v>17.014429145152079</v>
      </c>
      <c r="H173">
        <f si="54" t="shared"/>
        <v>23.748463901689711</v>
      </c>
      <c r="I173">
        <f si="55" t="shared"/>
        <v>4048.0036228982713</v>
      </c>
      <c r="N173">
        <v>5</v>
      </c>
      <c r="O173" s="105" t="n">
        <v>4039.223782249007</v>
      </c>
      <c r="P173" s="105" t="n">
        <v>191.72992602840654</v>
      </c>
      <c r="Q173" s="105" t="n">
        <v>86.4026001241916</v>
      </c>
      <c r="R173" s="105" t="n">
        <v>43.046348262950225</v>
      </c>
      <c r="S173" s="105" t="n">
        <v>37.4370944308214</v>
      </c>
      <c r="T173" s="105" t="n">
        <v>12.956933806311952</v>
      </c>
      <c r="U173" s="105" t="n">
        <v>21.52641185163177</v>
      </c>
      <c r="V173">
        <f si="56" t="shared"/>
        <v>4048.0036228982713</v>
      </c>
    </row>
    <row r="174" spans="1:22" x14ac:dyDescent="0.2">
      <c r="A174" t="s">
        <v>209</v>
      </c>
      <c r="B174">
        <f si="53" t="shared"/>
        <v>9052.0555611384189</v>
      </c>
      <c r="C174">
        <f si="53" t="shared"/>
        <v>166.67516818033513</v>
      </c>
      <c r="D174">
        <f si="53" t="shared"/>
        <v>110.5563395526008</v>
      </c>
      <c r="E174">
        <f si="53" t="shared"/>
        <v>36.254614248800394</v>
      </c>
      <c r="F174">
        <f si="53" t="shared"/>
        <v>44.322509451406852</v>
      </c>
      <c r="G174">
        <f si="53" t="shared"/>
        <v>0.75</v>
      </c>
      <c r="H174">
        <f si="54" t="shared"/>
        <v>13.443718774453739</v>
      </c>
      <c r="I174">
        <f si="55" t="shared"/>
        <v>9424.0579113460153</v>
      </c>
      <c r="N174" t="s">
        <v>209</v>
      </c>
      <c r="O174" s="105" t="n">
        <v>10623.628131360936</v>
      </c>
      <c r="P174" s="105" t="n">
        <v>191.72867848557675</v>
      </c>
      <c r="Q174" s="105" t="n">
        <v>97.38857150719744</v>
      </c>
      <c r="R174" s="105" t="n">
        <v>23.262968477983954</v>
      </c>
      <c r="S174" s="105" t="n">
        <v>22.304897606045053</v>
      </c>
      <c r="T174" s="105" t="n">
        <v>0.446372577351566</v>
      </c>
      <c r="U174" s="105" t="n">
        <v>9.385027219578179</v>
      </c>
      <c r="V174">
        <f si="56" t="shared"/>
        <v>9424.0579113460153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ref="B178:H185" si="57" t="shared">O178*$B$1</f>
        <v>1412742.9370398901</v>
      </c>
      <c r="C178">
        <f si="57" t="shared"/>
        <v>212080.122627059</v>
      </c>
      <c r="D178">
        <f si="57" t="shared"/>
        <v>0</v>
      </c>
      <c r="E178">
        <f si="57" t="shared"/>
        <v>0</v>
      </c>
      <c r="F178">
        <f si="57" t="shared"/>
        <v>71603.614413764473</v>
      </c>
      <c r="G178">
        <f si="57" t="shared"/>
        <v>2371.4970735538127</v>
      </c>
      <c r="H178">
        <f si="57" t="shared"/>
        <v>0</v>
      </c>
      <c r="I178">
        <f ref="I178:I185" si="58" t="shared">V178*$B$1</f>
        <v>0</v>
      </c>
      <c r="J178">
        <f ref="J178:J185" si="59" t="shared">W178*$B$1</f>
        <v>1698798.1711542674</v>
      </c>
      <c r="N178" t="s">
        <v>210</v>
      </c>
      <c r="O178" s="105" t="n">
        <v>1624292.1999999802</v>
      </c>
      <c r="P178" s="105" t="n">
        <v>244461.25000000044</v>
      </c>
      <c r="Q178" s="105" t="n">
        <v>0.0</v>
      </c>
      <c r="R178" s="105" t="n">
        <v>0.0</v>
      </c>
      <c r="S178" s="105" t="n">
        <v>64665.97495693863</v>
      </c>
      <c r="T178" s="105" t="n">
        <v>2576.5441174569223</v>
      </c>
      <c r="U178" s="105" t="n">
        <v>0.0</v>
      </c>
      <c r="V178" s="105" t="n">
        <v>0.0</v>
      </c>
      <c r="W178">
        <f>SUM(O178:V178)</f>
        <v>1698798.1711542674</v>
      </c>
    </row>
    <row r="179" spans="1:23" x14ac:dyDescent="0.2">
      <c r="A179" t="s">
        <v>211</v>
      </c>
      <c r="B179">
        <f si="57" t="shared"/>
        <v>11736.953422291479</v>
      </c>
      <c r="C179">
        <f si="57" t="shared"/>
        <v>0</v>
      </c>
      <c r="D179">
        <f si="57" t="shared"/>
        <v>0</v>
      </c>
      <c r="E179">
        <f si="57" t="shared"/>
        <v>0</v>
      </c>
      <c r="F179">
        <f si="57" t="shared"/>
        <v>146626.20568461696</v>
      </c>
      <c r="G179">
        <f si="57" t="shared"/>
        <v>109667.44901496237</v>
      </c>
      <c r="H179">
        <f si="57" t="shared"/>
        <v>452944.03326119937</v>
      </c>
      <c r="I179">
        <f si="58" t="shared"/>
        <v>38004.794840105125</v>
      </c>
      <c r="J179">
        <f si="59" t="shared"/>
        <v>758979.43622317526</v>
      </c>
      <c r="N179" t="s">
        <v>211</v>
      </c>
      <c r="O179" s="105" t="n">
        <v>13663.150000000001</v>
      </c>
      <c r="P179" s="105" t="n">
        <v>0.0</v>
      </c>
      <c r="Q179" s="105" t="n">
        <v>0.0</v>
      </c>
      <c r="R179" s="105" t="n">
        <v>0.0</v>
      </c>
      <c r="S179" s="105" t="n">
        <v>129581.32127901433</v>
      </c>
      <c r="T179" s="105" t="n">
        <v>116674.19183628047</v>
      </c>
      <c r="U179" s="105" t="n">
        <v>491254.53191390267</v>
      </c>
      <c r="V179" s="105" t="n">
        <v>42386.48920337819</v>
      </c>
      <c r="W179">
        <f ref="W179:W185" si="60" t="shared">SUM(O179:V179)</f>
        <v>758979.43622317526</v>
      </c>
    </row>
    <row r="180" spans="1:23" x14ac:dyDescent="0.2">
      <c r="A180" t="s">
        <v>212</v>
      </c>
      <c r="B180">
        <f si="57" t="shared"/>
        <v>174272.86643529322</v>
      </c>
      <c r="C180">
        <f si="57" t="shared"/>
        <v>76130.461173587493</v>
      </c>
      <c r="D180">
        <f si="57" t="shared"/>
        <v>61975.105788668821</v>
      </c>
      <c r="E180">
        <f si="57" t="shared"/>
        <v>224376.51881642616</v>
      </c>
      <c r="F180">
        <f si="57" t="shared"/>
        <v>11244.744124976249</v>
      </c>
      <c r="G180">
        <f si="57" t="shared"/>
        <v>6581.1204203719672</v>
      </c>
      <c r="H180">
        <f si="57" t="shared"/>
        <v>29076.063074266429</v>
      </c>
      <c r="I180">
        <f si="58" t="shared"/>
        <v>62761.716521028975</v>
      </c>
      <c r="J180">
        <f si="59" t="shared"/>
        <v>646418.59635461937</v>
      </c>
      <c r="N180" t="s">
        <v>212</v>
      </c>
      <c r="O180" s="105" t="n">
        <v>203214.20000000024</v>
      </c>
      <c r="P180" s="105" t="n">
        <v>89806.94999999994</v>
      </c>
      <c r="Q180" s="105" t="n">
        <v>36815.81324704239</v>
      </c>
      <c r="R180" s="105" t="n">
        <v>211006.84009310504</v>
      </c>
      <c r="S180" s="105" t="n">
        <v>10102.130280693367</v>
      </c>
      <c r="T180" s="105" t="n">
        <v>6624.038337669106</v>
      </c>
      <c r="U180" s="105" t="n">
        <v>32594.52909238846</v>
      </c>
      <c r="V180" s="105" t="n">
        <v>68475.13916425263</v>
      </c>
      <c r="W180">
        <f si="60" t="shared"/>
        <v>646418.59635461937</v>
      </c>
    </row>
    <row r="181" spans="1:23" x14ac:dyDescent="0.2">
      <c r="A181" t="s">
        <v>36</v>
      </c>
      <c r="B181">
        <f si="57" t="shared"/>
        <v>135495.48840471343</v>
      </c>
      <c r="C181">
        <f si="57" t="shared"/>
        <v>72852.006932398348</v>
      </c>
      <c r="D181">
        <f si="57" t="shared"/>
        <v>160702.97304326264</v>
      </c>
      <c r="E181">
        <f si="57" t="shared"/>
        <v>191558.39944862467</v>
      </c>
      <c r="F181">
        <f si="57" t="shared"/>
        <v>14369.498646758684</v>
      </c>
      <c r="G181">
        <f si="57" t="shared"/>
        <v>6495.7009548277538</v>
      </c>
      <c r="H181">
        <f si="57" t="shared"/>
        <v>56838.051354573894</v>
      </c>
      <c r="I181">
        <f si="58" t="shared"/>
        <v>67411.999951597114</v>
      </c>
      <c r="J181">
        <f si="59" t="shared"/>
        <v>705724.1187367565</v>
      </c>
      <c r="N181" t="s">
        <v>36</v>
      </c>
      <c r="O181" s="105" t="n">
        <v>154088.5</v>
      </c>
      <c r="P181" s="105" t="n">
        <v>85983.19999999994</v>
      </c>
      <c r="Q181" s="105" t="n">
        <v>76073.59532333753</v>
      </c>
      <c r="R181" s="105" t="n">
        <v>153226.41686211154</v>
      </c>
      <c r="S181" s="105" t="n">
        <v>11412.234671806063</v>
      </c>
      <c r="T181" s="105" t="n">
        <v>6733.92232269516</v>
      </c>
      <c r="U181" s="105" t="n">
        <v>68938.6320451143</v>
      </c>
      <c r="V181" s="105" t="n">
        <v>78131.39743318473</v>
      </c>
      <c r="W181">
        <f si="60" t="shared"/>
        <v>705724.1187367565</v>
      </c>
    </row>
    <row r="182" spans="1:23" x14ac:dyDescent="0.2">
      <c r="A182" t="s">
        <v>214</v>
      </c>
      <c r="B182">
        <f si="57" t="shared"/>
        <v>149863.63651604491</v>
      </c>
      <c r="C182">
        <f si="57" t="shared"/>
        <v>56720.405020756756</v>
      </c>
      <c r="D182">
        <f si="57" t="shared"/>
        <v>131953.84827173653</v>
      </c>
      <c r="E182">
        <f si="57" t="shared"/>
        <v>206816.18215743345</v>
      </c>
      <c r="F182">
        <f si="57" t="shared"/>
        <v>14673.554675229912</v>
      </c>
      <c r="G182">
        <f si="57" t="shared"/>
        <v>1701.1749489727583</v>
      </c>
      <c r="H182">
        <f si="57" t="shared"/>
        <v>39941.06938650825</v>
      </c>
      <c r="I182">
        <f si="58" t="shared"/>
        <v>93455.59905028416</v>
      </c>
      <c r="J182">
        <f si="59" t="shared"/>
        <v>695125.47002696665</v>
      </c>
      <c r="N182" t="s">
        <v>214</v>
      </c>
      <c r="O182" s="105" t="n">
        <v>173457.9500000001</v>
      </c>
      <c r="P182" s="105" t="n">
        <v>65188.899999999965</v>
      </c>
      <c r="Q182" s="105" t="n">
        <v>63141.00789597765</v>
      </c>
      <c r="R182" s="105" t="n">
        <v>165610.60049401643</v>
      </c>
      <c r="S182" s="105" t="n">
        <v>11273.438613632952</v>
      </c>
      <c r="T182" s="105" t="n">
        <v>1765.1209588345646</v>
      </c>
      <c r="U182" s="105" t="n">
        <v>42895.95149481732</v>
      </c>
      <c r="V182" s="105" t="n">
        <v>98904.73821185021</v>
      </c>
      <c r="W182">
        <f si="60" t="shared"/>
        <v>695125.47002696665</v>
      </c>
    </row>
    <row r="183" spans="1:23" x14ac:dyDescent="0.2">
      <c r="A183" t="s">
        <v>129</v>
      </c>
      <c r="B183">
        <f si="57" t="shared"/>
        <v>70025.403949739819</v>
      </c>
      <c r="C183">
        <f si="57" t="shared"/>
        <v>20130.418751442652</v>
      </c>
      <c r="D183">
        <f si="57" t="shared"/>
        <v>38379.595156915595</v>
      </c>
      <c r="E183">
        <f si="57" t="shared"/>
        <v>61731.099677358303</v>
      </c>
      <c r="F183">
        <f si="57" t="shared"/>
        <v>5953.8256532726982</v>
      </c>
      <c r="G183">
        <f si="57" t="shared"/>
        <v>7691.3222898021759</v>
      </c>
      <c r="H183">
        <f si="57" t="shared"/>
        <v>16731.287904114648</v>
      </c>
      <c r="I183">
        <f si="58" t="shared"/>
        <v>9893.839247200327</v>
      </c>
      <c r="J183">
        <f si="59" t="shared"/>
        <v>230536.79262984623</v>
      </c>
      <c r="N183" t="s">
        <v>129</v>
      </c>
      <c r="O183" s="105" t="n">
        <v>80307.94999999995</v>
      </c>
      <c r="P183" s="105" t="n">
        <v>22755.050000000003</v>
      </c>
      <c r="Q183" s="105" t="n">
        <v>19555.31203230074</v>
      </c>
      <c r="R183" s="105" t="n">
        <v>52073.957140307975</v>
      </c>
      <c r="S183" s="105" t="n">
        <v>5442.976773933939</v>
      </c>
      <c r="T183" s="105" t="n">
        <v>8104.911597089076</v>
      </c>
      <c r="U183" s="105" t="n">
        <v>17902.446449250463</v>
      </c>
      <c r="V183" s="105" t="n">
        <v>11071.355670438763</v>
      </c>
      <c r="W183">
        <f si="60" t="shared"/>
        <v>230536.79262984623</v>
      </c>
    </row>
    <row r="184" spans="1:23" x14ac:dyDescent="0.2">
      <c r="A184" t="s">
        <v>130</v>
      </c>
      <c r="B184">
        <f si="57" t="shared"/>
        <v>297569.93071221275</v>
      </c>
      <c r="C184">
        <f si="57" t="shared"/>
        <v>115076.26365641083</v>
      </c>
      <c r="D184">
        <f si="57" t="shared"/>
        <v>156535.74198037435</v>
      </c>
      <c r="E184">
        <f si="57" t="shared"/>
        <v>249942.03119939065</v>
      </c>
      <c r="F184">
        <f si="57" t="shared"/>
        <v>24507.261213533511</v>
      </c>
      <c r="G184">
        <f si="57" t="shared"/>
        <v>19451.670680972387</v>
      </c>
      <c r="H184">
        <f si="57" t="shared"/>
        <v>130755.31070635081</v>
      </c>
      <c r="I184">
        <f si="58" t="shared"/>
        <v>96227.126413641759</v>
      </c>
      <c r="J184">
        <f si="59" t="shared"/>
        <v>1090065.3365628871</v>
      </c>
      <c r="N184" t="s">
        <v>130</v>
      </c>
      <c r="O184" s="105" t="n">
        <v>340682.9000000009</v>
      </c>
      <c r="P184" s="105" t="n">
        <v>132383.39999999988</v>
      </c>
      <c r="Q184" s="105" t="n">
        <v>77174.73324034658</v>
      </c>
      <c r="R184" s="105" t="n">
        <v>212267.87394181162</v>
      </c>
      <c r="S184" s="105" t="n">
        <v>21961.418709484726</v>
      </c>
      <c r="T184" s="105" t="n">
        <v>21041.524295169387</v>
      </c>
      <c r="U184" s="105" t="n">
        <v>143093.5735875337</v>
      </c>
      <c r="V184" s="105" t="n">
        <v>105345.05680421444</v>
      </c>
      <c r="W184">
        <f si="60" t="shared"/>
        <v>1090065.3365628871</v>
      </c>
    </row>
    <row r="185" spans="1:23" x14ac:dyDescent="0.2">
      <c r="A185" t="s">
        <v>247</v>
      </c>
      <c r="B185">
        <f si="57" t="shared"/>
        <v>165670.88691586486</v>
      </c>
      <c r="C185">
        <f si="57" t="shared"/>
        <v>16123.772132583021</v>
      </c>
      <c r="D185">
        <f si="57" t="shared"/>
        <v>0</v>
      </c>
      <c r="E185">
        <f si="57" t="shared"/>
        <v>0</v>
      </c>
      <c r="F185">
        <f si="57" t="shared"/>
        <v>6789.430984004086</v>
      </c>
      <c r="G185">
        <f si="57" t="shared"/>
        <v>138.97420144443322</v>
      </c>
      <c r="H185">
        <f si="57" t="shared"/>
        <v>0</v>
      </c>
      <c r="I185">
        <f si="58" t="shared"/>
        <v>0</v>
      </c>
      <c r="J185">
        <f si="59" t="shared"/>
        <v>188723.06423389638</v>
      </c>
      <c r="N185" t="s">
        <v>247</v>
      </c>
      <c r="O185" s="105" t="n">
        <v>189736.2000000002</v>
      </c>
      <c r="P185" s="105" t="n">
        <v>18743.850000000002</v>
      </c>
      <c r="Q185" s="105" t="n">
        <v>0.0</v>
      </c>
      <c r="R185" s="105" t="n">
        <v>0.0</v>
      </c>
      <c r="S185" s="105" t="n">
        <v>6728.5712945880605</v>
      </c>
      <c r="T185" s="105" t="n">
        <v>197.86354430498264</v>
      </c>
      <c r="U185" s="105" t="n">
        <v>0.0</v>
      </c>
      <c r="V185" s="105" t="n">
        <v>0.0</v>
      </c>
      <c r="W185">
        <f si="60" t="shared"/>
        <v>188723.06423389638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2">
      <c r="A189" t="s">
        <v>210</v>
      </c>
      <c r="B189">
        <f ref="B189:D196" si="61" t="shared">O189*$B$1</f>
        <v>37856.456145381038</v>
      </c>
      <c r="C189">
        <f si="61" t="shared"/>
        <v>310306.47216539097</v>
      </c>
      <c r="D189">
        <f si="61" t="shared"/>
        <v>296181.28918187419</v>
      </c>
      <c r="E189">
        <f ref="E189:E196" si="62" t="shared">R189*$B$1</f>
        <v>1054453.9536616211</v>
      </c>
      <c r="F189">
        <f ref="F189:F196" si="63" t="shared">S189*$B$1</f>
        <v>1698798.1711542672</v>
      </c>
      <c r="N189" t="s">
        <v>210</v>
      </c>
      <c r="O189" s="105" t="n">
        <v>37486.826342200584</v>
      </c>
      <c r="P189" s="105" t="n">
        <v>348052.3895940179</v>
      </c>
      <c r="Q189" s="105" t="n">
        <v>337974.12274558144</v>
      </c>
      <c r="R189" s="105" t="n">
        <v>1211868.5303925858</v>
      </c>
      <c r="S189">
        <f>SUM(O189:R189)</f>
        <v>1698798.1711542672</v>
      </c>
    </row>
    <row r="190" spans="1:23" x14ac:dyDescent="0.2">
      <c r="A190" t="s">
        <v>211</v>
      </c>
      <c r="B190">
        <f si="61" t="shared"/>
        <v>62527.827563688865</v>
      </c>
      <c r="C190">
        <f si="61" t="shared"/>
        <v>170401.131451844</v>
      </c>
      <c r="D190">
        <f si="61" t="shared"/>
        <v>117919.50298682171</v>
      </c>
      <c r="E190">
        <f si="62" t="shared"/>
        <v>408130.9742208207</v>
      </c>
      <c r="F190">
        <f si="63" t="shared"/>
        <v>758979.43622317526</v>
      </c>
      <c r="N190" t="s">
        <v>211</v>
      </c>
      <c r="O190" s="105" t="n">
        <v>37010.9263100299</v>
      </c>
      <c r="P190" s="105" t="n">
        <v>164941.20718524887</v>
      </c>
      <c r="Q190" s="105" t="n">
        <v>128615.20043272256</v>
      </c>
      <c r="R190" s="105" t="n">
        <v>462646.68683642</v>
      </c>
      <c r="S190">
        <f ref="S190:S196" si="64" t="shared">SUM(O190:R190)</f>
        <v>758979.43622317526</v>
      </c>
    </row>
    <row r="191" spans="1:23" x14ac:dyDescent="0.2">
      <c r="A191" t="s">
        <v>212</v>
      </c>
      <c r="B191">
        <f si="61" t="shared"/>
        <v>39697.820982000871</v>
      </c>
      <c r="C191">
        <f si="61" t="shared"/>
        <v>141113.62755547249</v>
      </c>
      <c r="D191">
        <f si="61" t="shared"/>
        <v>117104.78007420669</v>
      </c>
      <c r="E191">
        <f si="62" t="shared"/>
        <v>348502.36774293927</v>
      </c>
      <c r="F191">
        <f si="63" t="shared"/>
        <v>646418.59635461937</v>
      </c>
      <c r="N191" t="s">
        <v>212</v>
      </c>
      <c r="O191" s="105" t="n">
        <v>25243.121639966634</v>
      </c>
      <c r="P191" s="105" t="n">
        <v>129369.94531860077</v>
      </c>
      <c r="Q191" s="105" t="n">
        <v>119590.64083685153</v>
      </c>
      <c r="R191" s="105" t="n">
        <v>384177.1632934756</v>
      </c>
      <c r="S191">
        <f si="64" t="shared"/>
        <v>646418.59635461937</v>
      </c>
    </row>
    <row r="192" spans="1:23" x14ac:dyDescent="0.2">
      <c r="A192" t="s">
        <v>36</v>
      </c>
      <c r="B192">
        <f si="61" t="shared"/>
        <v>68718.688329120952</v>
      </c>
      <c r="C192">
        <f si="61" t="shared"/>
        <v>211759.41152946017</v>
      </c>
      <c r="D192">
        <f si="61" t="shared"/>
        <v>122578.14008627173</v>
      </c>
      <c r="E192">
        <f si="62" t="shared"/>
        <v>302667.87879190367</v>
      </c>
      <c r="F192">
        <f si="63" t="shared"/>
        <v>705724.1187367565</v>
      </c>
      <c r="N192" t="s">
        <v>36</v>
      </c>
      <c r="O192" s="105" t="n">
        <v>37913.203319805834</v>
      </c>
      <c r="P192" s="105" t="n">
        <v>165177.64090092352</v>
      </c>
      <c r="Q192" s="105" t="n">
        <v>111878.14932040314</v>
      </c>
      <c r="R192" s="105" t="n">
        <v>319309.19242724904</v>
      </c>
      <c r="S192">
        <f si="64" t="shared"/>
        <v>705724.1187367565</v>
      </c>
    </row>
    <row r="193" spans="1:19" x14ac:dyDescent="0.2">
      <c r="A193" t="s">
        <v>214</v>
      </c>
      <c r="B193">
        <f si="61" t="shared"/>
        <v>70731.359002927376</v>
      </c>
      <c r="C193">
        <f si="61" t="shared"/>
        <v>200787.23845818898</v>
      </c>
      <c r="D193">
        <f si="61" t="shared"/>
        <v>122065.27945027244</v>
      </c>
      <c r="E193">
        <f si="62" t="shared"/>
        <v>301541.59311557794</v>
      </c>
      <c r="F193">
        <f si="63" t="shared"/>
        <v>695125.47002696677</v>
      </c>
      <c r="N193" t="s">
        <v>214</v>
      </c>
      <c r="O193" s="105" t="n">
        <v>37772.86457479739</v>
      </c>
      <c r="P193" s="105" t="n">
        <v>156826.63593745412</v>
      </c>
      <c r="Q193" s="105" t="n">
        <v>114000.46094881052</v>
      </c>
      <c r="R193" s="105" t="n">
        <v>313345.97068085626</v>
      </c>
      <c r="S193">
        <f si="64" t="shared"/>
        <v>695125.47002696677</v>
      </c>
    </row>
    <row r="194" spans="1:19" x14ac:dyDescent="0.2">
      <c r="A194" t="s">
        <v>129</v>
      </c>
      <c r="B194">
        <f si="61" t="shared"/>
        <v>15547.367814482091</v>
      </c>
      <c r="C194">
        <f si="61" t="shared"/>
        <v>58836.333695016328</v>
      </c>
      <c r="D194">
        <f si="61" t="shared"/>
        <v>40695.187783477573</v>
      </c>
      <c r="E194">
        <f si="62" t="shared"/>
        <v>115457.90333687022</v>
      </c>
      <c r="F194">
        <f si="63" t="shared"/>
        <v>230536.79262984623</v>
      </c>
      <c r="N194" t="s">
        <v>129</v>
      </c>
      <c r="O194" s="105" t="n">
        <v>8288.33953378472</v>
      </c>
      <c r="P194" s="105" t="n">
        <v>48240.95570305217</v>
      </c>
      <c r="Q194" s="105" t="n">
        <v>39065.50623297071</v>
      </c>
      <c r="R194" s="105" t="n">
        <v>121520.94800175751</v>
      </c>
      <c r="S194">
        <f si="64" t="shared"/>
        <v>230536.79262984623</v>
      </c>
    </row>
    <row r="195" spans="1:19" x14ac:dyDescent="0.2">
      <c r="A195" t="s">
        <v>130</v>
      </c>
      <c r="B195">
        <f si="61" t="shared"/>
        <v>62863.0452443592</v>
      </c>
      <c r="C195">
        <f si="61" t="shared"/>
        <v>257440.84292869229</v>
      </c>
      <c r="D195">
        <f si="61" t="shared"/>
        <v>191375.64263579962</v>
      </c>
      <c r="E195">
        <f si="62" t="shared"/>
        <v>578385.80575403594</v>
      </c>
      <c r="F195">
        <f si="63" t="shared"/>
        <v>1090065.3365628871</v>
      </c>
      <c r="N195" t="s">
        <v>130</v>
      </c>
      <c r="O195" s="105" t="n">
        <v>36200.063651191325</v>
      </c>
      <c r="P195" s="105" t="n">
        <v>217542.60565928475</v>
      </c>
      <c r="Q195" s="105" t="n">
        <v>182919.49262580113</v>
      </c>
      <c r="R195" s="105" t="n">
        <v>616810.2072329406</v>
      </c>
      <c r="S195">
        <f si="64" t="shared"/>
        <v>1090065.3365628871</v>
      </c>
    </row>
    <row r="196" spans="1:19" x14ac:dyDescent="0.2">
      <c r="A196" t="s">
        <v>247</v>
      </c>
      <c r="B196">
        <f si="61" t="shared"/>
        <v>3387.5024535467664</v>
      </c>
      <c r="C196">
        <f si="61" t="shared"/>
        <v>32086.447232394319</v>
      </c>
      <c r="D196">
        <f si="61" t="shared"/>
        <v>31430.607851473953</v>
      </c>
      <c r="E196">
        <f si="62" t="shared"/>
        <v>121818.50669648136</v>
      </c>
      <c r="F196">
        <f si="63" t="shared"/>
        <v>188723.06423389638</v>
      </c>
      <c r="N196" t="s">
        <v>247</v>
      </c>
      <c r="O196" s="105" t="n">
        <v>3296.6413961489993</v>
      </c>
      <c r="P196" s="105" t="n">
        <v>36602.35864662036</v>
      </c>
      <c r="Q196" s="105" t="n">
        <v>35536.49373242227</v>
      </c>
      <c r="R196" s="105" t="n">
        <v>139908.89106370133</v>
      </c>
      <c r="S196">
        <f si="64" t="shared"/>
        <v>188723.06423389638</v>
      </c>
    </row>
    <row r="198" spans="1:19" x14ac:dyDescent="0.2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2">
      <c r="A200" t="s">
        <v>210</v>
      </c>
      <c r="B200">
        <f ref="B200:D207" si="65" t="shared">O200*$B$1</f>
        <v>49732.638412656233</v>
      </c>
      <c r="C200">
        <f si="65" t="shared"/>
        <v>415370.7861392629</v>
      </c>
      <c r="D200">
        <f si="65" t="shared"/>
        <v>949714.50634871342</v>
      </c>
      <c r="E200">
        <f ref="E200:E207" si="66" t="shared">R200*$B$1</f>
        <v>283980.2402536351</v>
      </c>
      <c r="F200">
        <f ref="F200:F207" si="67" t="shared">S200*$B$1</f>
        <v>1698798.1711542676</v>
      </c>
      <c r="N200" t="s">
        <v>210</v>
      </c>
      <c r="O200" s="105" t="n">
        <v>54405.231506000535</v>
      </c>
      <c r="P200" s="105" t="n">
        <v>476124.9437586374</v>
      </c>
      <c r="Q200" s="105" t="n">
        <v>1079114.7585338228</v>
      </c>
      <c r="R200" s="105" t="n">
        <v>326351.0352759281</v>
      </c>
      <c r="S200">
        <f>SUM(O200:R200)</f>
        <v>1698798.1711542676</v>
      </c>
    </row>
    <row r="201" spans="1:19" x14ac:dyDescent="0.2">
      <c r="A201" t="s">
        <v>211</v>
      </c>
      <c r="B201">
        <f si="65" t="shared"/>
        <v>32792.839112070324</v>
      </c>
      <c r="C201">
        <f si="65" t="shared"/>
        <v>255441.37525646682</v>
      </c>
      <c r="D201">
        <f si="65" t="shared"/>
        <v>373257.25430377154</v>
      </c>
      <c r="E201">
        <f si="66" t="shared"/>
        <v>97487.967550866582</v>
      </c>
      <c r="F201">
        <f si="67" t="shared"/>
        <v>758979.43622317514</v>
      </c>
      <c r="N201" t="s">
        <v>211</v>
      </c>
      <c r="O201" s="105" t="n">
        <v>22811.556364828375</v>
      </c>
      <c r="P201" s="105" t="n">
        <v>269172.98309940746</v>
      </c>
      <c r="Q201" s="105" t="n">
        <v>395094.65607335843</v>
      </c>
      <c r="R201" s="105" t="n">
        <v>106480.48869498163</v>
      </c>
      <c r="S201">
        <f ref="S201:S207" si="68" t="shared">SUM(O201:R201)</f>
        <v>758979.43622317514</v>
      </c>
    </row>
    <row r="202" spans="1:19" x14ac:dyDescent="0.2">
      <c r="A202" t="s">
        <v>212</v>
      </c>
      <c r="B202">
        <f si="65" t="shared"/>
        <v>21311.946784628977</v>
      </c>
      <c r="C202">
        <f si="65" t="shared"/>
        <v>196134.91053219605</v>
      </c>
      <c r="D202">
        <f si="65" t="shared"/>
        <v>338297.17494989658</v>
      </c>
      <c r="E202">
        <f si="66" t="shared"/>
        <v>90674.564087897728</v>
      </c>
      <c r="F202">
        <f si="67" t="shared"/>
        <v>646418.59635461937</v>
      </c>
      <c r="N202" t="s">
        <v>212</v>
      </c>
      <c r="O202" s="105" t="n">
        <v>16273.652351223462</v>
      </c>
      <c r="P202" s="105" t="n">
        <v>205388.8508324736</v>
      </c>
      <c r="Q202" s="105" t="n">
        <v>343698.01389098726</v>
      </c>
      <c r="R202" s="105" t="n">
        <v>93279.12314046753</v>
      </c>
      <c r="S202">
        <f si="68" t="shared"/>
        <v>646418.59635461937</v>
      </c>
    </row>
    <row r="203" spans="1:19" x14ac:dyDescent="0.2">
      <c r="A203" t="s">
        <v>36</v>
      </c>
      <c r="B203">
        <f si="65" t="shared"/>
        <v>46176.285262912592</v>
      </c>
      <c r="C203">
        <f si="65" t="shared"/>
        <v>173889.99806207849</v>
      </c>
      <c r="D203">
        <f si="65" t="shared"/>
        <v>380995.62934275146</v>
      </c>
      <c r="E203">
        <f si="66" t="shared"/>
        <v>104662.20606901399</v>
      </c>
      <c r="F203">
        <f si="67" t="shared"/>
        <v>705724.11873675662</v>
      </c>
      <c r="N203" t="s">
        <v>36</v>
      </c>
      <c r="O203" s="105" t="n">
        <v>28751.385844814762</v>
      </c>
      <c r="P203" s="105" t="n">
        <v>170658.58059283244</v>
      </c>
      <c r="Q203" s="105" t="n">
        <v>341763.2722369165</v>
      </c>
      <c r="R203" s="105" t="n">
        <v>93414.65998368664</v>
      </c>
      <c r="S203">
        <f si="68" t="shared"/>
        <v>705724.11873675662</v>
      </c>
    </row>
    <row r="204" spans="1:19" x14ac:dyDescent="0.2">
      <c r="A204" t="s">
        <v>214</v>
      </c>
      <c r="B204">
        <f si="65" t="shared"/>
        <v>58977.952145936615</v>
      </c>
      <c r="C204">
        <f si="65" t="shared"/>
        <v>170964.68421239007</v>
      </c>
      <c r="D204">
        <f si="65" t="shared"/>
        <v>365151.8164582199</v>
      </c>
      <c r="E204">
        <f si="66" t="shared"/>
        <v>100031.01721042008</v>
      </c>
      <c r="F204">
        <f si="67" t="shared"/>
        <v>695125.47002696665</v>
      </c>
      <c r="N204" t="s">
        <v>214</v>
      </c>
      <c r="O204" s="105" t="n">
        <v>36878.397948289625</v>
      </c>
      <c r="P204" s="105" t="n">
        <v>167248.54158585306</v>
      </c>
      <c r="Q204" s="105" t="n">
        <v>329216.85533112846</v>
      </c>
      <c r="R204" s="105" t="n">
        <v>88893.91280385884</v>
      </c>
      <c r="S204">
        <f si="68" t="shared"/>
        <v>695125.47002696665</v>
      </c>
    </row>
    <row r="205" spans="1:19" x14ac:dyDescent="0.2">
      <c r="A205" t="s">
        <v>129</v>
      </c>
      <c r="B205">
        <f si="65" t="shared"/>
        <v>11681.115008536055</v>
      </c>
      <c r="C205">
        <f si="65" t="shared"/>
        <v>67652.751081945709</v>
      </c>
      <c r="D205">
        <f si="65" t="shared"/>
        <v>117647.04705751124</v>
      </c>
      <c r="E205">
        <f si="66" t="shared"/>
        <v>33555.879481853219</v>
      </c>
      <c r="F205">
        <f si="67" t="shared"/>
        <v>230536.79262984623</v>
      </c>
      <c r="N205" t="s">
        <v>129</v>
      </c>
      <c r="O205" s="105" t="n">
        <v>7987.400335693823</v>
      </c>
      <c r="P205" s="105" t="n">
        <v>68170.33285748889</v>
      </c>
      <c r="Q205" s="105" t="n">
        <v>109848.84921906354</v>
      </c>
      <c r="R205" s="105" t="n">
        <v>31207.37725107461</v>
      </c>
      <c r="S205">
        <f si="68" t="shared"/>
        <v>230536.79262984623</v>
      </c>
    </row>
    <row r="206" spans="1:19" x14ac:dyDescent="0.2">
      <c r="A206" t="s">
        <v>130</v>
      </c>
      <c r="B206">
        <f si="65" t="shared"/>
        <v>40374.552271902699</v>
      </c>
      <c r="C206">
        <f si="65" t="shared"/>
        <v>263103.53180095338</v>
      </c>
      <c r="D206">
        <f si="65" t="shared"/>
        <v>609954.13126566564</v>
      </c>
      <c r="E206">
        <f si="66" t="shared"/>
        <v>176633.12122436534</v>
      </c>
      <c r="F206">
        <f si="67" t="shared"/>
        <v>1090065.3365628871</v>
      </c>
      <c r="N206" t="s">
        <v>130</v>
      </c>
      <c r="O206" s="105" t="n">
        <v>28557.02229502803</v>
      </c>
      <c r="P206" s="105" t="n">
        <v>265700.9974259231</v>
      </c>
      <c r="Q206" s="105" t="n">
        <v>590584.0683385759</v>
      </c>
      <c r="R206" s="105" t="n">
        <v>169108.3925190344</v>
      </c>
      <c r="S206">
        <f si="68" t="shared"/>
        <v>1090065.3365628871</v>
      </c>
    </row>
    <row r="207" spans="1:19" x14ac:dyDescent="0.2">
      <c r="A207" t="s">
        <v>247</v>
      </c>
      <c r="B207">
        <f si="65" t="shared"/>
        <v>6336.6990492096438</v>
      </c>
      <c r="C207">
        <f si="65" t="shared"/>
        <v>49003.106901604835</v>
      </c>
      <c r="D207">
        <f si="65" t="shared"/>
        <v>102516.85896928504</v>
      </c>
      <c r="E207">
        <f si="66" t="shared"/>
        <v>30866.399313796883</v>
      </c>
      <c r="F207">
        <f si="67" t="shared"/>
        <v>188723.06423389641</v>
      </c>
      <c r="N207" t="s">
        <v>247</v>
      </c>
      <c r="O207" s="105" t="n">
        <v>7329.566906345079</v>
      </c>
      <c r="P207" s="105" t="n">
        <v>56258.50659557893</v>
      </c>
      <c r="Q207" s="105" t="n">
        <v>116327.59900195217</v>
      </c>
      <c r="R207" s="105" t="n">
        <v>35490.812335016744</v>
      </c>
      <c r="S207">
        <f si="68" t="shared"/>
        <v>188723.06423389641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3919</v>
      </c>
      <c r="C210" t="s">
        <v>3920</v>
      </c>
      <c r="D210" t="s">
        <v>3921</v>
      </c>
      <c r="E210" t="s">
        <v>3922</v>
      </c>
      <c r="F210" t="s">
        <v>1522</v>
      </c>
      <c r="G210" t="s">
        <v>3923</v>
      </c>
      <c r="H210" t="s">
        <v>3924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2">
      <c r="A211" t="s">
        <v>210</v>
      </c>
      <c r="B211">
        <f ref="B211:E218" si="69" t="shared">O211*$B$1</f>
        <v>71617.25</v>
      </c>
      <c r="C211">
        <f si="69" t="shared"/>
        <v>5676.5</v>
      </c>
      <c r="D211">
        <f si="69" t="shared"/>
        <v>67538.5</v>
      </c>
      <c r="E211">
        <f si="69" t="shared"/>
        <v>51987</v>
      </c>
      <c r="F211">
        <f ref="F211:G218" si="70" t="shared">S211*$B$1</f>
        <v>336692.62465466378</v>
      </c>
      <c r="G211">
        <f si="70" t="shared"/>
        <v>37371.270186860667</v>
      </c>
      <c r="H211">
        <f ref="H211:I218" si="71" t="shared">U211*$B$1</f>
        <v>1127915.0263127433</v>
      </c>
      <c r="I211">
        <f si="71" t="shared"/>
        <v>1698798.1711542676</v>
      </c>
      <c r="N211" t="s">
        <v>210</v>
      </c>
      <c r="O211" s="105" t="n">
        <v>81361.70957595548</v>
      </c>
      <c r="P211" s="105" t="n">
        <v>6476.898176809162</v>
      </c>
      <c r="Q211" s="105" t="n">
        <v>76870.44004761979</v>
      </c>
      <c r="R211" s="105" t="n">
        <v>59391.84979910031</v>
      </c>
      <c r="S211" s="105" t="n">
        <v>381765.11394615273</v>
      </c>
      <c r="T211" s="105" t="n">
        <v>42294.307388912064</v>
      </c>
      <c r="U211" t="n">
        <v>1287835.6501398338</v>
      </c>
      <c r="V211">
        <f>SUM(O211:U211)</f>
        <v>1698798.1711542676</v>
      </c>
    </row>
    <row r="212" spans="1:23" x14ac:dyDescent="0.2">
      <c r="A212" t="s">
        <v>211</v>
      </c>
      <c r="B212">
        <f si="69" t="shared"/>
        <v>35135.25</v>
      </c>
      <c r="C212">
        <f si="69" t="shared"/>
        <v>1065.75</v>
      </c>
      <c r="D212">
        <f si="69" t="shared"/>
        <v>28462.75</v>
      </c>
      <c r="E212">
        <f si="69" t="shared"/>
        <v>24011</v>
      </c>
      <c r="F212">
        <f si="70" t="shared"/>
        <v>123069.87078104632</v>
      </c>
      <c r="G212">
        <f si="70" t="shared"/>
        <v>5544.741199518644</v>
      </c>
      <c r="H212">
        <f si="71" t="shared"/>
        <v>541690.07424261025</v>
      </c>
      <c r="I212">
        <f si="71" t="shared"/>
        <v>758979.43622317526</v>
      </c>
      <c r="N212" t="s">
        <v>211</v>
      </c>
      <c r="O212" s="105" t="n">
        <v>37504.18534590816</v>
      </c>
      <c r="P212" s="105" t="n">
        <v>1038.3875743564531</v>
      </c>
      <c r="Q212" s="105" t="n">
        <v>29781.241277918576</v>
      </c>
      <c r="R212" s="105" t="n">
        <v>25881.941125989855</v>
      </c>
      <c r="S212" s="105" t="n">
        <v>120951.92673389503</v>
      </c>
      <c r="T212" s="105" t="n">
        <v>4633.101292547861</v>
      </c>
      <c r="U212" t="n">
        <v>573768.9008819591</v>
      </c>
      <c r="V212">
        <f ref="V212:V218" si="72" t="shared">SUM(O212:U212)</f>
        <v>758979.43622317526</v>
      </c>
    </row>
    <row r="213" spans="1:23" x14ac:dyDescent="0.2">
      <c r="A213" t="s">
        <v>212</v>
      </c>
      <c r="B213">
        <f si="69" t="shared"/>
        <v>26873.75</v>
      </c>
      <c r="C213">
        <f si="69" t="shared"/>
        <v>1348.75</v>
      </c>
      <c r="D213">
        <f si="69" t="shared"/>
        <v>22642</v>
      </c>
      <c r="E213">
        <f si="69" t="shared"/>
        <v>19138.75</v>
      </c>
      <c r="F213">
        <f si="70" t="shared"/>
        <v>92965.125396921008</v>
      </c>
      <c r="G213">
        <f si="70" t="shared"/>
        <v>5599.6764974669286</v>
      </c>
      <c r="H213">
        <f si="71" t="shared"/>
        <v>477850.54446023138</v>
      </c>
      <c r="I213">
        <f si="71" t="shared"/>
        <v>646418.59635461937</v>
      </c>
      <c r="N213" t="s">
        <v>212</v>
      </c>
      <c r="O213" s="105" t="n">
        <v>27437.13112932356</v>
      </c>
      <c r="P213" s="105" t="n">
        <v>1295.2107635779919</v>
      </c>
      <c r="Q213" s="105" t="n">
        <v>22988.667274760337</v>
      </c>
      <c r="R213" s="105" t="n">
        <v>19995.739875515737</v>
      </c>
      <c r="S213" s="105" t="n">
        <v>94069.62844067266</v>
      </c>
      <c r="T213" s="105" t="n">
        <v>5214.2920150416185</v>
      </c>
      <c r="U213" t="n">
        <v>487638.9707162603</v>
      </c>
      <c r="V213">
        <f si="72" t="shared"/>
        <v>646418.59635461937</v>
      </c>
    </row>
    <row r="214" spans="1:23" x14ac:dyDescent="0.2">
      <c r="A214" t="s">
        <v>36</v>
      </c>
      <c r="B214">
        <f si="69" t="shared"/>
        <v>27771.75</v>
      </c>
      <c r="C214">
        <f si="69" t="shared"/>
        <v>1989.75</v>
      </c>
      <c r="D214">
        <f si="69" t="shared"/>
        <v>24625.25</v>
      </c>
      <c r="E214">
        <f si="69" t="shared"/>
        <v>19503</v>
      </c>
      <c r="F214">
        <f si="70" t="shared"/>
        <v>112695.23020836122</v>
      </c>
      <c r="G214">
        <f si="70" t="shared"/>
        <v>11294.902693418731</v>
      </c>
      <c r="H214">
        <f si="71" t="shared"/>
        <v>507844.2358349766</v>
      </c>
      <c r="I214">
        <f si="71" t="shared"/>
        <v>705724.1187367565</v>
      </c>
      <c r="N214" t="s">
        <v>36</v>
      </c>
      <c r="O214" s="105" t="n">
        <v>24365.429206075314</v>
      </c>
      <c r="P214" s="105" t="n">
        <v>1757.282787042238</v>
      </c>
      <c r="Q214" s="105" t="n">
        <v>21579.737549879774</v>
      </c>
      <c r="R214" s="105" t="n">
        <v>17880.555471986376</v>
      </c>
      <c r="S214" s="105" t="n">
        <v>98450.94163288758</v>
      </c>
      <c r="T214" s="105" t="n">
        <v>9934.856511331647</v>
      </c>
      <c r="U214" t="n">
        <v>460619.0954990477</v>
      </c>
      <c r="V214">
        <f si="72" t="shared"/>
        <v>705724.1187367565</v>
      </c>
    </row>
    <row r="215" spans="1:23" x14ac:dyDescent="0.2">
      <c r="A215" t="s">
        <v>214</v>
      </c>
      <c r="B215">
        <f si="69" t="shared"/>
        <v>23927.25</v>
      </c>
      <c r="C215">
        <f si="69" t="shared"/>
        <v>1875.25</v>
      </c>
      <c r="D215">
        <f si="69" t="shared"/>
        <v>20895.25</v>
      </c>
      <c r="E215">
        <f si="69" t="shared"/>
        <v>16598.5</v>
      </c>
      <c r="F215">
        <f si="70" t="shared"/>
        <v>100718.68693661864</v>
      </c>
      <c r="G215">
        <f si="70" t="shared"/>
        <v>10915.514916160148</v>
      </c>
      <c r="H215">
        <f si="71" t="shared"/>
        <v>520195.01817418792</v>
      </c>
      <c r="I215">
        <f si="71" t="shared"/>
        <v>695125.47002696665</v>
      </c>
      <c r="N215" t="s">
        <v>214</v>
      </c>
      <c r="O215" s="105" t="n">
        <v>21433.71812485878</v>
      </c>
      <c r="P215" s="105" t="n">
        <v>1648.8056285087257</v>
      </c>
      <c r="Q215" s="105" t="n">
        <v>18627.918310369416</v>
      </c>
      <c r="R215" s="105" t="n">
        <v>15302.173169388274</v>
      </c>
      <c r="S215" s="105" t="n">
        <v>88562.52875316991</v>
      </c>
      <c r="T215" s="105" t="n">
        <v>9787.309498071982</v>
      </c>
      <c r="U215" t="n">
        <v>466875.25418476335</v>
      </c>
      <c r="V215">
        <f si="72" t="shared"/>
        <v>695125.47002696665</v>
      </c>
    </row>
    <row r="216" spans="1:23" x14ac:dyDescent="0.2">
      <c r="A216" t="s">
        <v>129</v>
      </c>
      <c r="B216">
        <f si="69" t="shared"/>
        <v>11468</v>
      </c>
      <c r="C216">
        <f si="69" t="shared"/>
        <v>1006.75</v>
      </c>
      <c r="D216">
        <f si="69" t="shared"/>
        <v>9490.75</v>
      </c>
      <c r="E216">
        <f si="69" t="shared"/>
        <v>7376.25</v>
      </c>
      <c r="F216">
        <f si="70" t="shared"/>
        <v>45991.125142457131</v>
      </c>
      <c r="G216">
        <f si="70" t="shared"/>
        <v>5583.5817036315839</v>
      </c>
      <c r="H216">
        <f si="71" t="shared"/>
        <v>149620.3357837575</v>
      </c>
      <c r="I216">
        <f si="71" t="shared"/>
        <v>230536.79262984623</v>
      </c>
      <c r="N216" t="s">
        <v>129</v>
      </c>
      <c r="O216" s="105" t="n">
        <v>10903.772996100646</v>
      </c>
      <c r="P216" s="105" t="n">
        <v>982.488892940875</v>
      </c>
      <c r="Q216" s="105" t="n">
        <v>8949.332430292268</v>
      </c>
      <c r="R216" s="105" t="n">
        <v>7124.48432544376</v>
      </c>
      <c r="S216" s="105" t="n">
        <v>43406.79987142536</v>
      </c>
      <c r="T216" s="105" t="n">
        <v>5315.584261798538</v>
      </c>
      <c r="U216" t="n">
        <v>140531.49688531944</v>
      </c>
      <c r="V216">
        <f si="72" t="shared"/>
        <v>230536.79262984623</v>
      </c>
    </row>
    <row r="217" spans="1:23" x14ac:dyDescent="0.2">
      <c r="A217" t="s">
        <v>130</v>
      </c>
      <c r="B217">
        <f si="69" t="shared"/>
        <v>50814.75</v>
      </c>
      <c r="C217">
        <f si="69" t="shared"/>
        <v>3595</v>
      </c>
      <c r="D217">
        <f si="69" t="shared"/>
        <v>43122.25</v>
      </c>
      <c r="E217">
        <f si="69" t="shared"/>
        <v>35252.5</v>
      </c>
      <c r="F217">
        <f si="70" t="shared"/>
        <v>194331.64397841663</v>
      </c>
      <c r="G217">
        <f si="70" t="shared"/>
        <v>18721.259381480191</v>
      </c>
      <c r="H217">
        <f si="71" t="shared"/>
        <v>744227.93320299021</v>
      </c>
      <c r="I217">
        <f si="71" t="shared"/>
        <v>1090065.3365628871</v>
      </c>
      <c r="N217" t="s">
        <v>130</v>
      </c>
      <c r="O217" s="105" t="n">
        <v>50046.383432836774</v>
      </c>
      <c r="P217" s="105" t="n">
        <v>3481.867609499206</v>
      </c>
      <c r="Q217" s="105" t="n">
        <v>41896.78390947917</v>
      </c>
      <c r="R217" s="105" t="n">
        <v>35494.72969869948</v>
      </c>
      <c r="S217" s="105" t="n">
        <v>189307.1829671511</v>
      </c>
      <c r="T217" s="105" t="n">
        <v>18187.883831693784</v>
      </c>
      <c r="U217" t="n">
        <v>715535.6491291992</v>
      </c>
      <c r="V217">
        <f si="72" t="shared"/>
        <v>1090065.3365628871</v>
      </c>
    </row>
    <row r="218" spans="1:23" x14ac:dyDescent="0.2">
      <c r="A218" t="s">
        <v>247</v>
      </c>
      <c r="B218">
        <f si="69" t="shared"/>
        <v>8970.25</v>
      </c>
      <c r="C218">
        <f si="69" t="shared"/>
        <v>809.25</v>
      </c>
      <c r="D218">
        <f si="69" t="shared"/>
        <v>8243.75</v>
      </c>
      <c r="E218">
        <f si="69" t="shared"/>
        <v>6125</v>
      </c>
      <c r="F218">
        <f si="70" t="shared"/>
        <v>43118.234243594481</v>
      </c>
      <c r="G218">
        <f si="70" t="shared"/>
        <v>5233.2520308773728</v>
      </c>
      <c r="H218">
        <f si="71" t="shared"/>
        <v>116223.32795942455</v>
      </c>
      <c r="I218">
        <f si="71" t="shared"/>
        <v>188723.06423389641</v>
      </c>
      <c r="N218" t="s">
        <v>247</v>
      </c>
      <c r="O218" s="105" t="n">
        <v>10134.40783969567</v>
      </c>
      <c r="P218" s="105" t="n">
        <v>976.2082574609481</v>
      </c>
      <c r="Q218" s="105" t="n">
        <v>9574.21606197344</v>
      </c>
      <c r="R218" s="105" t="n">
        <v>7113.3035166839245</v>
      </c>
      <c r="S218" s="105" t="n">
        <v>49726.47163851878</v>
      </c>
      <c r="T218" s="105" t="n">
        <v>6074.91757242787</v>
      </c>
      <c r="U218" t="n">
        <v>131806.95995213228</v>
      </c>
      <c r="V218">
        <f si="72" t="shared"/>
        <v>188723.06423389641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210</v>
      </c>
      <c r="B222">
        <f ref="B222:H228" si="73" t="shared">O222*$B$1</f>
        <v>224006.04393101318</v>
      </c>
      <c r="C222">
        <f si="73" t="shared"/>
        <v>30658.038502171625</v>
      </c>
      <c r="D222">
        <f si="73" t="shared"/>
        <v>0</v>
      </c>
      <c r="E222">
        <f si="73" t="shared"/>
        <v>0</v>
      </c>
      <c r="F222">
        <f si="73" t="shared"/>
        <v>9912.7302914089887</v>
      </c>
      <c r="G222">
        <f si="73" t="shared"/>
        <v>268.29919063410648</v>
      </c>
      <c r="H222">
        <f si="73" t="shared"/>
        <v>0</v>
      </c>
      <c r="I222">
        <f ref="I222:I228" si="74" t="shared">V222*$B$1</f>
        <v>0</v>
      </c>
      <c r="J222">
        <f ref="J222:J228" si="75" t="shared">W222*$B$1</f>
        <v>264845.1119152279</v>
      </c>
      <c r="N222" t="s">
        <v>210</v>
      </c>
      <c r="O222" s="105" t="n">
        <v>257674.75000000052</v>
      </c>
      <c r="P222" s="105" t="n">
        <v>34932.4</v>
      </c>
      <c r="Q222" s="105" t="n">
        <v>0.0</v>
      </c>
      <c r="R222" s="105" t="n">
        <v>0.0</v>
      </c>
      <c r="S222" s="105" t="n">
        <v>9255.390321487943</v>
      </c>
      <c r="T222" s="105" t="n">
        <v>238.2612673792191</v>
      </c>
      <c r="U222" s="105" t="n">
        <v>0.0</v>
      </c>
      <c r="V222" s="105" t="n">
        <v>0.0</v>
      </c>
      <c r="W222">
        <f>SUM(O222:V222)</f>
        <v>264845.1119152279</v>
      </c>
    </row>
    <row r="223" spans="1:23" x14ac:dyDescent="0.2">
      <c r="A223" t="s">
        <v>211</v>
      </c>
      <c r="B223">
        <f si="73" t="shared"/>
        <v>1656.0967409837308</v>
      </c>
      <c r="C223">
        <f si="73" t="shared"/>
        <v>0</v>
      </c>
      <c r="D223">
        <f si="73" t="shared"/>
        <v>0</v>
      </c>
      <c r="E223">
        <f si="73" t="shared"/>
        <v>0</v>
      </c>
      <c r="F223">
        <f si="73" t="shared"/>
        <v>23285.903477935168</v>
      </c>
      <c r="G223">
        <f si="73" t="shared"/>
        <v>15873.948272992433</v>
      </c>
      <c r="H223">
        <f si="73" t="shared"/>
        <v>57489.550899930371</v>
      </c>
      <c r="I223">
        <f si="74" t="shared"/>
        <v>5800.9532285861997</v>
      </c>
      <c r="J223">
        <f si="75" t="shared"/>
        <v>104106.4526204279</v>
      </c>
      <c r="N223" t="s">
        <v>211</v>
      </c>
      <c r="O223" s="105" t="n">
        <v>1825.05</v>
      </c>
      <c r="P223" s="105" t="n">
        <v>0.0</v>
      </c>
      <c r="Q223" s="105" t="n">
        <v>0.0</v>
      </c>
      <c r="R223" s="105" t="n">
        <v>0.0</v>
      </c>
      <c r="S223" s="105" t="n">
        <v>20631.759352528854</v>
      </c>
      <c r="T223" s="105" t="n">
        <v>16635.774668181966</v>
      </c>
      <c r="U223" s="105" t="n">
        <v>62987.845577815344</v>
      </c>
      <c r="V223" s="105" t="n">
        <v>6159.303263868579</v>
      </c>
      <c r="W223">
        <f ref="W223:W228" si="76" t="shared">SUM(O223:V223)</f>
        <v>104106.4526204279</v>
      </c>
    </row>
    <row r="224" spans="1:23" x14ac:dyDescent="0.2">
      <c r="A224" t="s">
        <v>212</v>
      </c>
      <c r="B224">
        <f si="73" t="shared"/>
        <v>333859.00305129855</v>
      </c>
      <c r="C224">
        <f si="73" t="shared"/>
        <v>39548.961376035753</v>
      </c>
      <c r="D224">
        <f si="73" t="shared"/>
        <v>12880.098302461196</v>
      </c>
      <c r="E224">
        <f si="73" t="shared"/>
        <v>40370.606997673676</v>
      </c>
      <c r="F224">
        <f si="73" t="shared"/>
        <v>23458.279684484027</v>
      </c>
      <c r="G224">
        <f si="73" t="shared"/>
        <v>8680.5779522173398</v>
      </c>
      <c r="H224">
        <f si="73" t="shared"/>
        <v>24129.275920543358</v>
      </c>
      <c r="I224">
        <f si="74" t="shared"/>
        <v>20278.00367614676</v>
      </c>
      <c r="J224">
        <f si="75" t="shared"/>
        <v>503204.80696086062</v>
      </c>
      <c r="N224" t="s">
        <v>212</v>
      </c>
      <c r="O224" s="105" t="n">
        <v>384631.30000000115</v>
      </c>
      <c r="P224" s="105" t="n">
        <v>46106.94999999999</v>
      </c>
      <c r="Q224" s="105" t="n">
        <v>7463.677586405424</v>
      </c>
      <c r="R224" s="105" t="n">
        <v>37982.67738869561</v>
      </c>
      <c r="S224" s="105" t="n">
        <v>22219.342941657407</v>
      </c>
      <c r="T224" s="105" t="n">
        <v>8921.448235145168</v>
      </c>
      <c r="U224" s="105" t="n">
        <v>26222.65773246098</v>
      </c>
      <c r="V224" s="105" t="n">
        <v>21822.19932718753</v>
      </c>
      <c r="W224">
        <f si="76" t="shared"/>
        <v>503204.80696086062</v>
      </c>
    </row>
    <row r="225" spans="1:23" x14ac:dyDescent="0.2">
      <c r="A225" t="s">
        <v>36</v>
      </c>
      <c r="B225">
        <f si="73" t="shared"/>
        <v>467204.28442582185</v>
      </c>
      <c r="C225">
        <f si="73" t="shared"/>
        <v>108635.88017766197</v>
      </c>
      <c r="D225">
        <f si="73" t="shared"/>
        <v>145133.92827221073</v>
      </c>
      <c r="E225">
        <f si="73" t="shared"/>
        <v>196337.59774671655</v>
      </c>
      <c r="F225">
        <f si="73" t="shared"/>
        <v>46841.812607850108</v>
      </c>
      <c r="G225">
        <f si="73" t="shared"/>
        <v>12338.192748419699</v>
      </c>
      <c r="H225">
        <f si="73" t="shared"/>
        <v>87747.073715716338</v>
      </c>
      <c r="I225">
        <f si="74" t="shared"/>
        <v>77494.867897025571</v>
      </c>
      <c r="J225">
        <f si="75" t="shared"/>
        <v>1141733.6375914228</v>
      </c>
      <c r="N225" t="s">
        <v>36</v>
      </c>
      <c r="O225" s="105" t="n">
        <v>537007.4500000016</v>
      </c>
      <c r="P225" s="105" t="n">
        <v>126968.04999999989</v>
      </c>
      <c r="Q225" s="105" t="n">
        <v>69943.92810071127</v>
      </c>
      <c r="R225" s="105" t="n">
        <v>159982.9452611935</v>
      </c>
      <c r="S225" s="105" t="n">
        <v>39180.10358362929</v>
      </c>
      <c r="T225" s="105" t="n">
        <v>13130.269509451644</v>
      </c>
      <c r="U225" s="105" t="n">
        <v>94699.8408476286</v>
      </c>
      <c r="V225" s="105" t="n">
        <v>85138.87418262461</v>
      </c>
      <c r="W225">
        <f si="76" t="shared"/>
        <v>1141733.6375914228</v>
      </c>
    </row>
    <row r="226" spans="1:23" x14ac:dyDescent="0.2">
      <c r="A226" t="s">
        <v>214</v>
      </c>
      <c r="B226">
        <f si="73" t="shared"/>
        <v>744115.76120686845</v>
      </c>
      <c r="C226">
        <f si="73" t="shared"/>
        <v>128730.80233617478</v>
      </c>
      <c r="D226">
        <f si="73" t="shared"/>
        <v>177852.12055458489</v>
      </c>
      <c r="E226">
        <f si="73" t="shared"/>
        <v>296404.34405661636</v>
      </c>
      <c r="F226">
        <f si="73" t="shared"/>
        <v>74250.646265134768</v>
      </c>
      <c r="G226">
        <f si="73" t="shared"/>
        <v>6371.9560693137864</v>
      </c>
      <c r="H226">
        <f si="73" t="shared"/>
        <v>23534.461232789006</v>
      </c>
      <c r="I226">
        <f si="74" t="shared"/>
        <v>84630.489031883524</v>
      </c>
      <c r="J226">
        <f si="75" t="shared"/>
        <v>1535890.5807533653</v>
      </c>
      <c r="N226" t="s">
        <v>214</v>
      </c>
      <c r="O226" s="105" t="n">
        <v>858271.4499999952</v>
      </c>
      <c r="P226" s="105" t="n">
        <v>149281.49999999997</v>
      </c>
      <c r="Q226" s="105" t="n">
        <v>86477.37309955186</v>
      </c>
      <c r="R226" s="105" t="n">
        <v>246590.9509393314</v>
      </c>
      <c r="S226" s="105" t="n">
        <v>64040.72633135439</v>
      </c>
      <c r="T226" s="105" t="n">
        <v>6364.421856523534</v>
      </c>
      <c r="U226" s="105" t="n">
        <v>24699.514652156773</v>
      </c>
      <c r="V226" s="105" t="n">
        <v>91903.43113510641</v>
      </c>
      <c r="W226">
        <f si="76" t="shared"/>
        <v>1535890.5807533653</v>
      </c>
    </row>
    <row r="227" spans="1:23" x14ac:dyDescent="0.2">
      <c r="A227" t="s">
        <v>129</v>
      </c>
      <c r="B227">
        <f si="73" t="shared"/>
        <v>369765.52126612671</v>
      </c>
      <c r="C227">
        <f si="73" t="shared"/>
        <v>51190.03382606143</v>
      </c>
      <c r="D227">
        <f si="73" t="shared"/>
        <v>53154.192380509921</v>
      </c>
      <c r="E227">
        <f si="73" t="shared"/>
        <v>98633.841627441187</v>
      </c>
      <c r="F227">
        <f si="73" t="shared"/>
        <v>48665.650428203546</v>
      </c>
      <c r="G227">
        <f si="73" t="shared"/>
        <v>30394.673423912624</v>
      </c>
      <c r="H227">
        <f si="73" t="shared"/>
        <v>60397.635380322528</v>
      </c>
      <c r="I227">
        <f si="74" t="shared"/>
        <v>23122.434698513567</v>
      </c>
      <c r="J227">
        <f si="75" t="shared"/>
        <v>735323.98303109151</v>
      </c>
      <c r="N227" t="s">
        <v>129</v>
      </c>
      <c r="O227" s="105" t="n">
        <v>425941.6000000013</v>
      </c>
      <c r="P227" s="105" t="n">
        <v>59767.799999999974</v>
      </c>
      <c r="Q227" s="105" t="n">
        <v>27301.63956682678</v>
      </c>
      <c r="R227" s="105" t="n">
        <v>83804.7803221309</v>
      </c>
      <c r="S227" s="105" t="n">
        <v>43542.28058664725</v>
      </c>
      <c r="T227" s="105" t="n">
        <v>32429.318283044908</v>
      </c>
      <c r="U227" s="105" t="n">
        <v>66269.81438417321</v>
      </c>
      <c r="V227" s="105" t="n">
        <v>25107.01823000919</v>
      </c>
      <c r="W227">
        <f si="76" t="shared"/>
        <v>735323.98303109151</v>
      </c>
    </row>
    <row r="228" spans="1:23" x14ac:dyDescent="0.2">
      <c r="A228" t="s">
        <v>130</v>
      </c>
      <c r="B228">
        <f si="73" t="shared"/>
        <v>317000.03501036146</v>
      </c>
      <c r="C228">
        <f si="73" t="shared"/>
        <v>73779.251213728872</v>
      </c>
      <c r="D228">
        <f si="73" t="shared"/>
        <v>65499.695705334918</v>
      </c>
      <c r="E228">
        <f si="73" t="shared"/>
        <v>108522.71238336734</v>
      </c>
      <c r="F228">
        <f si="73" t="shared"/>
        <v>41170.217513448661</v>
      </c>
      <c r="G228">
        <f si="73" t="shared"/>
        <v>20482.601500082117</v>
      </c>
      <c r="H228">
        <f si="73" t="shared"/>
        <v>124474.25016278434</v>
      </c>
      <c r="I228">
        <f si="74" t="shared"/>
        <v>54466.260380437685</v>
      </c>
      <c r="J228">
        <f si="75" t="shared"/>
        <v>805395.02386954543</v>
      </c>
      <c r="N228" t="s">
        <v>130</v>
      </c>
      <c r="O228" s="105" t="n">
        <v>362094.75000000105</v>
      </c>
      <c r="P228" s="105" t="n">
        <v>83754.49999999994</v>
      </c>
      <c r="Q228" s="105" t="n">
        <v>32547.86358807571</v>
      </c>
      <c r="R228" s="105" t="n">
        <v>93983.67291548771</v>
      </c>
      <c r="S228" s="105" t="n">
        <v>38283.005349131614</v>
      </c>
      <c r="T228" s="105" t="n">
        <v>22275.851310855465</v>
      </c>
      <c r="U228" s="105" t="n">
        <v>135733.1747002254</v>
      </c>
      <c r="V228" s="105" t="n">
        <v>59597.932255593005</v>
      </c>
      <c r="W228">
        <f si="76" t="shared"/>
        <v>805395.02386954543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2">
      <c r="A232" t="s">
        <v>210</v>
      </c>
      <c r="B232">
        <f ref="B232:D238" si="77" t="shared">O232*$B$1</f>
        <v>5459.9641300335934</v>
      </c>
      <c r="C232">
        <f si="77" t="shared"/>
        <v>47820.51177287841</v>
      </c>
      <c r="D232">
        <f si="77" t="shared"/>
        <v>45899.211027668396</v>
      </c>
      <c r="E232">
        <f ref="E232:E238" si="78" t="shared">R232*$B$1</f>
        <v>165665.42498464751</v>
      </c>
      <c r="F232">
        <f ref="F232:F238" si="79" t="shared">S232*$B$1</f>
        <v>264845.1119152279</v>
      </c>
      <c r="N232" t="s">
        <v>210</v>
      </c>
      <c r="O232" s="105" t="n">
        <v>5389.531505688456</v>
      </c>
      <c r="P232" s="105" t="n">
        <v>53168.45857793225</v>
      </c>
      <c r="Q232" s="105" t="n">
        <v>51430.693649735935</v>
      </c>
      <c r="R232" s="105" t="n">
        <v>192016.66785551066</v>
      </c>
      <c r="S232">
        <f>SUM(O232:R232)</f>
        <v>264845.1119152279</v>
      </c>
    </row>
    <row r="233" spans="1:23" x14ac:dyDescent="0.2">
      <c r="A233" t="s">
        <v>211</v>
      </c>
      <c r="B233">
        <f si="77" t="shared"/>
        <v>8458.2849244378212</v>
      </c>
      <c r="C233">
        <f si="77" t="shared"/>
        <v>22543.70153011549</v>
      </c>
      <c r="D233">
        <f si="77" t="shared"/>
        <v>15671.482669145118</v>
      </c>
      <c r="E233">
        <f si="78" t="shared"/>
        <v>57432.983496729474</v>
      </c>
      <c r="F233">
        <f si="79" t="shared"/>
        <v>104106.45262042791</v>
      </c>
      <c r="N233" t="s">
        <v>211</v>
      </c>
      <c r="O233" s="105" t="n">
        <v>4780.994950659031</v>
      </c>
      <c r="P233" s="105" t="n">
        <v>22381.816497031155</v>
      </c>
      <c r="Q233" s="105" t="n">
        <v>16976.815811190787</v>
      </c>
      <c r="R233" s="105" t="n">
        <v>64044.355400856664</v>
      </c>
      <c r="S233">
        <f ref="S233:S238" si="80" t="shared">SUM(O233:R233)</f>
        <v>104106.45262042791</v>
      </c>
    </row>
    <row r="234" spans="1:23" x14ac:dyDescent="0.2">
      <c r="A234" t="s">
        <v>212</v>
      </c>
      <c r="B234">
        <f si="77" t="shared"/>
        <v>14132.591817472536</v>
      </c>
      <c r="C234">
        <f si="77" t="shared"/>
        <v>77839.205587669916</v>
      </c>
      <c r="D234">
        <f si="77" t="shared"/>
        <v>84783.072816907981</v>
      </c>
      <c r="E234">
        <f si="78" t="shared"/>
        <v>326449.93673881021</v>
      </c>
      <c r="F234">
        <f si="79" t="shared"/>
        <v>503204.80696086062</v>
      </c>
      <c r="N234" t="s">
        <v>212</v>
      </c>
      <c r="O234" s="105" t="n">
        <v>10083.901381852294</v>
      </c>
      <c r="P234" s="105" t="n">
        <v>81310.68966695733</v>
      </c>
      <c r="Q234" s="105" t="n">
        <v>92541.45973315167</v>
      </c>
      <c r="R234" s="105" t="n">
        <v>371295.56789156276</v>
      </c>
      <c r="S234">
        <f si="80" t="shared"/>
        <v>503204.80696086062</v>
      </c>
    </row>
    <row r="235" spans="1:23" x14ac:dyDescent="0.2">
      <c r="A235" t="s">
        <v>36</v>
      </c>
      <c r="B235">
        <f si="77" t="shared"/>
        <v>76107.176862758832</v>
      </c>
      <c r="C235">
        <f si="77" t="shared"/>
        <v>286575.15188637434</v>
      </c>
      <c r="D235">
        <f si="77" t="shared"/>
        <v>192998.371351671</v>
      </c>
      <c r="E235">
        <f si="78" t="shared"/>
        <v>586052.93749061867</v>
      </c>
      <c r="F235">
        <f si="79" t="shared"/>
        <v>1141733.637591423</v>
      </c>
      <c r="N235" t="s">
        <v>36</v>
      </c>
      <c r="O235" s="105" t="n">
        <v>44636.47959070925</v>
      </c>
      <c r="P235" s="105" t="n">
        <v>250728.94960164514</v>
      </c>
      <c r="Q235" s="105" t="n">
        <v>192198.88719005825</v>
      </c>
      <c r="R235" s="105" t="n">
        <v>638035.3533245686</v>
      </c>
      <c r="S235">
        <f si="80" t="shared"/>
        <v>1141733.637591423</v>
      </c>
    </row>
    <row r="236" spans="1:23" x14ac:dyDescent="0.2">
      <c r="A236" t="s">
        <v>214</v>
      </c>
      <c r="B236">
        <f si="77" t="shared"/>
        <v>95252.777289770747</v>
      </c>
      <c r="C236">
        <f si="77" t="shared"/>
        <v>354280.51688894461</v>
      </c>
      <c r="D236">
        <f si="77" t="shared"/>
        <v>262793.07828113664</v>
      </c>
      <c r="E236">
        <f si="78" t="shared"/>
        <v>823564.20829351339</v>
      </c>
      <c r="F236">
        <f si="79" t="shared"/>
        <v>1535890.5807533653</v>
      </c>
      <c r="N236" t="s">
        <v>214</v>
      </c>
      <c r="O236" s="105" t="n">
        <v>55036.69152401034</v>
      </c>
      <c r="P236" s="105" t="n">
        <v>306715.2568164858</v>
      </c>
      <c r="Q236" s="105" t="n">
        <v>263973.4038341481</v>
      </c>
      <c r="R236" s="105" t="n">
        <v>901317.0404710656</v>
      </c>
      <c r="S236">
        <f si="80" t="shared"/>
        <v>1535890.5807533653</v>
      </c>
    </row>
    <row r="237" spans="1:23" x14ac:dyDescent="0.2">
      <c r="A237" t="s">
        <v>129</v>
      </c>
      <c r="B237">
        <f si="77" t="shared"/>
        <v>32225.762161584531</v>
      </c>
      <c r="C237">
        <f si="77" t="shared"/>
        <v>154639.47830533391</v>
      </c>
      <c r="D237">
        <f si="77" t="shared"/>
        <v>125986.58030914421</v>
      </c>
      <c r="E237">
        <f si="78" t="shared"/>
        <v>422472.1622550289</v>
      </c>
      <c r="F237">
        <f si="79" t="shared"/>
        <v>735323.98303109151</v>
      </c>
      <c r="N237" t="s">
        <v>129</v>
      </c>
      <c r="O237" s="105" t="n">
        <v>19780.88124356297</v>
      </c>
      <c r="P237" s="105" t="n">
        <v>144781.23946769486</v>
      </c>
      <c r="Q237" s="105" t="n">
        <v>131259.97466249176</v>
      </c>
      <c r="R237" s="105" t="n">
        <v>468049.7087156004</v>
      </c>
      <c r="S237">
        <f si="80" t="shared"/>
        <v>735323.98303109151</v>
      </c>
    </row>
    <row r="238" spans="1:23" x14ac:dyDescent="0.2">
      <c r="A238" t="s">
        <v>130</v>
      </c>
      <c r="B238">
        <f si="77" t="shared"/>
        <v>35416.657947379746</v>
      </c>
      <c r="C238">
        <f si="77" t="shared"/>
        <v>165997.55504251664</v>
      </c>
      <c r="D238">
        <f si="77" t="shared"/>
        <v>135840.98030072241</v>
      </c>
      <c r="E238">
        <f si="78" t="shared"/>
        <v>468139.83057892666</v>
      </c>
      <c r="F238">
        <f si="79" t="shared"/>
        <v>805395.02386954543</v>
      </c>
      <c r="N238" t="s">
        <v>130</v>
      </c>
      <c r="O238" s="105" t="n">
        <v>21850.8784788626</v>
      </c>
      <c r="P238" s="105" t="n">
        <v>152761.457245593</v>
      </c>
      <c r="Q238" s="105" t="n">
        <v>137884.4332741259</v>
      </c>
      <c r="R238" s="105" t="n">
        <v>515481.9223994548</v>
      </c>
      <c r="S238">
        <f si="80" t="shared"/>
        <v>805395.02386954543</v>
      </c>
    </row>
    <row r="240" spans="1:23" x14ac:dyDescent="0.2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2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2">
      <c r="A242" t="s">
        <v>210</v>
      </c>
      <c r="B242">
        <f ref="B242:D248" si="81" t="shared">O242*$B$1</f>
        <v>8587.9516345813299</v>
      </c>
      <c r="C242">
        <f si="81" t="shared"/>
        <v>64697.453179402437</v>
      </c>
      <c r="D242">
        <f si="81" t="shared"/>
        <v>148194.96050813384</v>
      </c>
      <c r="E242">
        <f ref="E242:E248" si="82" t="shared">R242*$B$1</f>
        <v>43364.746593110307</v>
      </c>
      <c r="F242">
        <f ref="F242:F248" si="83" t="shared">S242*$B$1</f>
        <v>264845.1119152279</v>
      </c>
      <c r="N242" t="s">
        <v>210</v>
      </c>
      <c r="O242" s="105" t="n">
        <v>9684.639101996894</v>
      </c>
      <c r="P242" s="105" t="n">
        <v>74018.99684938233</v>
      </c>
      <c r="Q242" s="105" t="n">
        <v>167458.45913144722</v>
      </c>
      <c r="R242" s="105" t="n">
        <v>50938.70650604072</v>
      </c>
      <c r="S242">
        <f>SUM(O242:R242)</f>
        <v>264845.1119152279</v>
      </c>
    </row>
    <row r="243" spans="1:22" x14ac:dyDescent="0.2">
      <c r="A243" t="s">
        <v>211</v>
      </c>
      <c r="B243">
        <f si="81" t="shared"/>
        <v>4765.1459386389879</v>
      </c>
      <c r="C243">
        <f si="81" t="shared"/>
        <v>35462.034322227861</v>
      </c>
      <c r="D243">
        <f si="81" t="shared"/>
        <v>50560.600744910153</v>
      </c>
      <c r="E243">
        <f si="82" t="shared"/>
        <v>13318.671614650902</v>
      </c>
      <c r="F243">
        <f si="83" t="shared"/>
        <v>104106.45262042791</v>
      </c>
      <c r="N243" t="s">
        <v>211</v>
      </c>
      <c r="O243" s="105" t="n">
        <v>3073.5083761428373</v>
      </c>
      <c r="P243" s="105" t="n">
        <v>38009.07101139135</v>
      </c>
      <c r="Q243" s="105" t="n">
        <v>52836.31161376801</v>
      </c>
      <c r="R243" s="105" t="n">
        <v>14320.841861092555</v>
      </c>
      <c r="S243">
        <f ref="S243:S248" si="84" t="shared">SUM(O243:R243)</f>
        <v>104106.45262042791</v>
      </c>
    </row>
    <row r="244" spans="1:22" x14ac:dyDescent="0.2">
      <c r="A244" t="s">
        <v>212</v>
      </c>
      <c r="B244">
        <f si="81" t="shared"/>
        <v>9415.2706576478449</v>
      </c>
      <c r="C244">
        <f si="81" t="shared"/>
        <v>136930.70396075846</v>
      </c>
      <c r="D244">
        <f si="81" t="shared"/>
        <v>276471.82064106845</v>
      </c>
      <c r="E244">
        <f si="82" t="shared"/>
        <v>80387.011701385898</v>
      </c>
      <c r="F244">
        <f si="83" t="shared"/>
        <v>503204.80696086067</v>
      </c>
      <c r="N244" t="s">
        <v>212</v>
      </c>
      <c r="O244" s="105" t="n">
        <v>8627.032929886978</v>
      </c>
      <c r="P244" s="105" t="n">
        <v>151704.51948698243</v>
      </c>
      <c r="Q244" s="105" t="n">
        <v>305224.88031611184</v>
      </c>
      <c r="R244" s="105" t="n">
        <v>89813.82047857155</v>
      </c>
      <c r="S244">
        <f si="84" t="shared"/>
        <v>503204.80696086067</v>
      </c>
    </row>
    <row r="245" spans="1:22" x14ac:dyDescent="0.2">
      <c r="A245" t="s">
        <v>36</v>
      </c>
      <c r="B245">
        <f si="81" t="shared"/>
        <v>48600.247611096034</v>
      </c>
      <c r="C245">
        <f si="81" t="shared"/>
        <v>286902.94540121575</v>
      </c>
      <c r="D245">
        <f si="81" t="shared"/>
        <v>628350.24007060938</v>
      </c>
      <c r="E245">
        <f si="82" t="shared"/>
        <v>177880.20450850169</v>
      </c>
      <c r="F245">
        <f si="83" t="shared"/>
        <v>1141733.637591423</v>
      </c>
      <c r="N245" t="s">
        <v>36</v>
      </c>
      <c r="O245" s="105" t="n">
        <v>34703.96559471397</v>
      </c>
      <c r="P245" s="105" t="n">
        <v>296339.81814894214</v>
      </c>
      <c r="Q245" s="105" t="n">
        <v>618611.1153029051</v>
      </c>
      <c r="R245" s="105" t="n">
        <v>176396.56243867855</v>
      </c>
      <c r="S245">
        <f si="84" t="shared"/>
        <v>1141733.637591423</v>
      </c>
    </row>
    <row r="246" spans="1:22" x14ac:dyDescent="0.2">
      <c r="A246" t="s">
        <v>214</v>
      </c>
      <c r="B246">
        <f si="81" t="shared"/>
        <v>64245.103290526247</v>
      </c>
      <c r="C246">
        <f si="81" t="shared"/>
        <v>392271.1698441336</v>
      </c>
      <c r="D246">
        <f si="81" t="shared"/>
        <v>839128.97879036667</v>
      </c>
      <c r="E246">
        <f si="82" t="shared"/>
        <v>240245.32882833903</v>
      </c>
      <c r="F246">
        <f si="83" t="shared"/>
        <v>1535890.5807533655</v>
      </c>
      <c r="N246" t="s">
        <v>214</v>
      </c>
      <c r="O246" s="105" t="n">
        <v>45711.90327137613</v>
      </c>
      <c r="P246" s="105" t="n">
        <v>408717.9787283173</v>
      </c>
      <c r="Q246" s="105" t="n">
        <v>831451.448335711</v>
      </c>
      <c r="R246" s="105" t="n">
        <v>241748.0376786173</v>
      </c>
      <c r="S246">
        <f si="84" t="shared"/>
        <v>1535890.5807533655</v>
      </c>
    </row>
    <row r="247" spans="1:22" x14ac:dyDescent="0.2">
      <c r="A247" t="s">
        <v>129</v>
      </c>
      <c r="B247">
        <f si="81" t="shared"/>
        <v>26428.802453850683</v>
      </c>
      <c r="C247">
        <f si="81" t="shared"/>
        <v>216317.09468305999</v>
      </c>
      <c r="D247">
        <f si="81" t="shared"/>
        <v>382068.16172925802</v>
      </c>
      <c r="E247">
        <f si="82" t="shared"/>
        <v>110509.92416492278</v>
      </c>
      <c r="F247">
        <f si="83" t="shared"/>
        <v>735323.98303109151</v>
      </c>
      <c r="N247" t="s">
        <v>129</v>
      </c>
      <c r="O247" s="105" t="n">
        <v>21181.740718139165</v>
      </c>
      <c r="P247" s="105" t="n">
        <v>230643.76315627134</v>
      </c>
      <c r="Q247" s="105" t="n">
        <v>396786.9107328949</v>
      </c>
      <c r="R247" s="105" t="n">
        <v>115551.83676552835</v>
      </c>
      <c r="S247">
        <f si="84" t="shared"/>
        <v>735323.98303109151</v>
      </c>
    </row>
    <row r="248" spans="1:22" x14ac:dyDescent="0.2">
      <c r="A248" t="s">
        <v>130</v>
      </c>
      <c r="B248">
        <f si="81" t="shared"/>
        <v>24032.506083838845</v>
      </c>
      <c r="C248">
        <f si="81" t="shared"/>
        <v>198133.8983591068</v>
      </c>
      <c r="D248">
        <f si="81" t="shared"/>
        <v>452831.37028410973</v>
      </c>
      <c r="E248">
        <f si="82" t="shared"/>
        <v>130397.24914249004</v>
      </c>
      <c r="F248">
        <f si="83" t="shared"/>
        <v>805395.02386954543</v>
      </c>
      <c r="N248" t="s">
        <v>130</v>
      </c>
      <c r="O248" s="105" t="n">
        <v>18412.573205364777</v>
      </c>
      <c r="P248" s="105" t="n">
        <v>211276.53180264172</v>
      </c>
      <c r="Q248" s="105" t="n">
        <v>463485.78037531837</v>
      </c>
      <c r="R248" s="105" t="n">
        <v>135095.86473604583</v>
      </c>
      <c r="S248">
        <f si="84" t="shared"/>
        <v>805395.02386954543</v>
      </c>
    </row>
    <row r="250" spans="1:22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2">
      <c r="A251" t="s">
        <v>44</v>
      </c>
      <c r="B251" t="s">
        <v>3919</v>
      </c>
      <c r="C251" t="s">
        <v>3920</v>
      </c>
      <c r="D251" t="s">
        <v>3921</v>
      </c>
      <c r="E251" t="s">
        <v>3922</v>
      </c>
      <c r="F251" t="s">
        <v>1522</v>
      </c>
      <c r="G251" t="s">
        <v>3923</v>
      </c>
      <c r="H251" t="s">
        <v>3924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2">
      <c r="A252" t="s">
        <v>210</v>
      </c>
      <c r="B252">
        <f ref="B252:F258" si="85" t="shared">O252*$B$1</f>
        <v>11552.75</v>
      </c>
      <c r="C252">
        <f si="85" t="shared"/>
        <v>924.5</v>
      </c>
      <c r="D252">
        <f si="85" t="shared"/>
        <v>10882</v>
      </c>
      <c r="E252">
        <f si="85" t="shared"/>
        <v>8320.75</v>
      </c>
      <c r="F252">
        <f si="85" t="shared"/>
        <v>54347.125007772964</v>
      </c>
      <c r="G252">
        <f ref="G252:G258" si="86" t="shared">T252*$B$1</f>
        <v>6120.9465896875963</v>
      </c>
      <c r="H252">
        <f ref="H252:I258" si="87" t="shared">U252*$B$1</f>
        <v>172697.04031776736</v>
      </c>
      <c r="I252">
        <f si="87" t="shared"/>
        <v>264845.1119152279</v>
      </c>
      <c r="N252" t="s">
        <v>210</v>
      </c>
      <c r="O252" s="105" t="n">
        <v>13010.766191652607</v>
      </c>
      <c r="P252" s="105" t="n">
        <v>1026.875898174184</v>
      </c>
      <c r="Q252" s="105" t="n">
        <v>12434.88945376276</v>
      </c>
      <c r="R252" s="105" t="n">
        <v>9548.827338595247</v>
      </c>
      <c r="S252" t="n">
        <v>61546.243440241626</v>
      </c>
      <c r="T252" t="n">
        <v>6827.580770558503</v>
      </c>
      <c r="U252" t="n">
        <v>197705.61849588243</v>
      </c>
      <c r="V252">
        <f>SUM(O252:U252)</f>
        <v>264845.1119152279</v>
      </c>
    </row>
    <row r="253" spans="1:22" x14ac:dyDescent="0.2">
      <c r="A253" t="s">
        <v>211</v>
      </c>
      <c r="B253">
        <f si="85" t="shared"/>
        <v>5337.75</v>
      </c>
      <c r="C253">
        <f si="85" t="shared"/>
        <v>169.25</v>
      </c>
      <c r="D253">
        <f si="85" t="shared"/>
        <v>4220.5</v>
      </c>
      <c r="E253">
        <f si="85" t="shared"/>
        <v>3528.75</v>
      </c>
      <c r="F253">
        <f si="85" t="shared"/>
        <v>18381.286831840876</v>
      </c>
      <c r="G253">
        <f si="86" t="shared"/>
        <v>849.32439697206178</v>
      </c>
      <c r="H253">
        <f si="87" t="shared"/>
        <v>71619.591391614958</v>
      </c>
      <c r="I253">
        <f si="87" t="shared"/>
        <v>104106.4526204279</v>
      </c>
      <c r="N253" t="s">
        <v>211</v>
      </c>
      <c r="O253" s="105" t="n">
        <v>5677.551849817515</v>
      </c>
      <c r="P253" s="105" t="n">
        <v>167.5771878282604</v>
      </c>
      <c r="Q253" s="105" t="n">
        <v>4369.420726997454</v>
      </c>
      <c r="R253" s="105" t="n">
        <v>3756.366088805804</v>
      </c>
      <c r="S253" t="n">
        <v>18022.1621922062</v>
      </c>
      <c r="T253" t="n">
        <v>780.2795007853791</v>
      </c>
      <c r="U253" t="n">
        <v>75466.37531595412</v>
      </c>
      <c r="V253">
        <f ref="V253:V258" si="88" t="shared">SUM(O253:U253)</f>
        <v>104106.4526204279</v>
      </c>
    </row>
    <row r="254" spans="1:22" x14ac:dyDescent="0.2">
      <c r="A254" t="s">
        <v>212</v>
      </c>
      <c r="B254">
        <f si="85" t="shared"/>
        <v>22662.5</v>
      </c>
      <c r="C254">
        <f si="85" t="shared"/>
        <v>1033</v>
      </c>
      <c r="D254">
        <f si="85" t="shared"/>
        <v>19839</v>
      </c>
      <c r="E254">
        <f si="85" t="shared"/>
        <v>16055</v>
      </c>
      <c r="F254">
        <f si="85" t="shared"/>
        <v>85272.862388848094</v>
      </c>
      <c r="G254">
        <f si="86" t="shared"/>
        <v>5337.58081681562</v>
      </c>
      <c r="H254">
        <f si="87" t="shared"/>
        <v>353004.86375519692</v>
      </c>
      <c r="I254">
        <f si="87" t="shared"/>
        <v>503204.80696086062</v>
      </c>
      <c r="N254" t="s">
        <v>212</v>
      </c>
      <c r="O254" s="105" t="n">
        <v>24930.577057630577</v>
      </c>
      <c r="P254" s="105" t="n">
        <v>1186.4651644109524</v>
      </c>
      <c r="Q254" s="105" t="n">
        <v>21712.787019910054</v>
      </c>
      <c r="R254" s="105" t="n">
        <v>17734.18986298432</v>
      </c>
      <c r="S254" t="n">
        <v>94700.53648467177</v>
      </c>
      <c r="T254" t="n">
        <v>5917.478727474697</v>
      </c>
      <c r="U254" t="n">
        <v>389188.21889447083</v>
      </c>
      <c r="V254">
        <f si="88" t="shared"/>
        <v>503204.80696086062</v>
      </c>
    </row>
    <row r="255" spans="1:22" x14ac:dyDescent="0.2">
      <c r="A255" t="s">
        <v>36</v>
      </c>
      <c r="B255">
        <f si="85" t="shared"/>
        <v>49611</v>
      </c>
      <c r="C255">
        <f si="85" t="shared"/>
        <v>3510.5</v>
      </c>
      <c r="D255">
        <f si="85" t="shared"/>
        <v>44268</v>
      </c>
      <c r="E255">
        <f si="85" t="shared"/>
        <v>34519.5</v>
      </c>
      <c r="F255">
        <f si="85" t="shared"/>
        <v>205047.54767969984</v>
      </c>
      <c r="G255">
        <f si="86" t="shared"/>
        <v>20290.741677979553</v>
      </c>
      <c r="H255">
        <f si="87" t="shared"/>
        <v>784486.34823374345</v>
      </c>
      <c r="I255">
        <f si="87" t="shared"/>
        <v>1141733.6375914228</v>
      </c>
      <c r="N255" t="s">
        <v>36</v>
      </c>
      <c r="O255" s="105" t="n">
        <v>49187.97480298077</v>
      </c>
      <c r="P255" s="105" t="n">
        <v>3387.469532822694</v>
      </c>
      <c r="Q255" s="105" t="n">
        <v>44183.29787555529</v>
      </c>
      <c r="R255" s="105" t="n">
        <v>35149.19229732849</v>
      </c>
      <c r="S255" t="n">
        <v>202479.82200474842</v>
      </c>
      <c r="T255" t="n">
        <v>20095.53790100496</v>
      </c>
      <c r="U255" t="n">
        <v>771568.1670707958</v>
      </c>
      <c r="V255">
        <f si="88" t="shared"/>
        <v>1141733.6375914228</v>
      </c>
    </row>
    <row r="256" spans="1:22" x14ac:dyDescent="0.2">
      <c r="A256" t="s">
        <v>214</v>
      </c>
      <c r="B256">
        <f si="85" t="shared"/>
        <v>66646</v>
      </c>
      <c r="C256">
        <f si="85" t="shared"/>
        <v>5008.75</v>
      </c>
      <c r="D256">
        <f si="85" t="shared"/>
        <v>59886</v>
      </c>
      <c r="E256">
        <f si="85" t="shared"/>
        <v>46823.5</v>
      </c>
      <c r="F256">
        <f si="85" t="shared"/>
        <v>280839.71118457778</v>
      </c>
      <c r="G256">
        <f si="86" t="shared"/>
        <v>29125.128916730882</v>
      </c>
      <c r="H256">
        <f si="87" t="shared"/>
        <v>1047561.4906520569</v>
      </c>
      <c r="I256">
        <f si="87" t="shared"/>
        <v>1535890.5807533655</v>
      </c>
      <c r="N256" t="s">
        <v>214</v>
      </c>
      <c r="O256" s="105" t="n">
        <v>66471.24045778811</v>
      </c>
      <c r="P256" s="105" t="n">
        <v>4992.351359437105</v>
      </c>
      <c r="Q256" s="105" t="n">
        <v>59562.632444384086</v>
      </c>
      <c r="R256" s="105" t="n">
        <v>48024.30131773864</v>
      </c>
      <c r="S256" t="n">
        <v>281612.17435236153</v>
      </c>
      <c r="T256" t="n">
        <v>29180.942265615206</v>
      </c>
      <c r="U256" t="n">
        <v>1037785.7258166925</v>
      </c>
      <c r="V256">
        <f si="88" t="shared"/>
        <v>1535890.5807533655</v>
      </c>
    </row>
    <row r="257" spans="1:23" x14ac:dyDescent="0.2">
      <c r="A257" t="s">
        <v>129</v>
      </c>
      <c r="B257">
        <f si="85" t="shared"/>
        <v>38657.5</v>
      </c>
      <c r="C257">
        <f si="85" t="shared"/>
        <v>3181.5</v>
      </c>
      <c r="D257">
        <f si="85" t="shared"/>
        <v>32811.75</v>
      </c>
      <c r="E257">
        <f si="85" t="shared"/>
        <v>24860</v>
      </c>
      <c r="F257">
        <f si="85" t="shared"/>
        <v>159423.04834749241</v>
      </c>
      <c r="G257">
        <f si="86" t="shared"/>
        <v>17873.351515391638</v>
      </c>
      <c r="H257">
        <f si="87" t="shared"/>
        <v>458516.83316820743</v>
      </c>
      <c r="I257">
        <f si="87" t="shared"/>
        <v>735323.98303109151</v>
      </c>
      <c r="N257" t="s">
        <v>129</v>
      </c>
      <c r="O257" s="105" t="n">
        <v>39884.95874865625</v>
      </c>
      <c r="P257" s="105" t="n">
        <v>3362.3659205771287</v>
      </c>
      <c r="Q257" s="105" t="n">
        <v>34549.54153333869</v>
      </c>
      <c r="R257" s="105" t="n">
        <v>26248.45970723677</v>
      </c>
      <c r="S257" t="n">
        <v>166852.0891473684</v>
      </c>
      <c r="T257" t="n">
        <v>18839.579078204348</v>
      </c>
      <c r="U257" t="n">
        <v>474427.2572374523</v>
      </c>
      <c r="V257">
        <f si="88" t="shared"/>
        <v>735323.98303109151</v>
      </c>
    </row>
    <row r="258" spans="1:23" x14ac:dyDescent="0.2">
      <c r="A258" t="s">
        <v>130</v>
      </c>
      <c r="B258">
        <f si="85" t="shared"/>
        <v>36881.5</v>
      </c>
      <c r="C258">
        <f si="85" t="shared"/>
        <v>2254.75</v>
      </c>
      <c r="D258">
        <f si="85" t="shared"/>
        <v>32375</v>
      </c>
      <c r="E258">
        <f si="85" t="shared"/>
        <v>26279.75</v>
      </c>
      <c r="F258">
        <f si="85" t="shared"/>
        <v>141382.17925052781</v>
      </c>
      <c r="G258">
        <f si="86" t="shared"/>
        <v>11964.521076344168</v>
      </c>
      <c r="H258">
        <f si="87" t="shared"/>
        <v>554257.32354267337</v>
      </c>
      <c r="I258">
        <f si="87" t="shared"/>
        <v>805395.02386954532</v>
      </c>
      <c r="N258" t="s">
        <v>130</v>
      </c>
      <c r="O258" s="105" t="n">
        <v>38099.99507777617</v>
      </c>
      <c r="P258" s="105" t="n">
        <v>2323.7615311296054</v>
      </c>
      <c r="Q258" s="105" t="n">
        <v>33579.95091376293</v>
      </c>
      <c r="R258" s="105" t="n">
        <v>27630.981489392263</v>
      </c>
      <c r="S258" t="n">
        <v>146315.16754400515</v>
      </c>
      <c r="T258" t="n">
        <v>12184.830823338876</v>
      </c>
      <c r="U258" t="n">
        <v>568136.062739965</v>
      </c>
      <c r="V258">
        <f si="88" t="shared"/>
        <v>805395.02386954532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210</v>
      </c>
      <c r="B262">
        <f ref="B262:H269" si="89" t="shared">O262*$B$1</f>
        <v>1876925.0431750503</v>
      </c>
      <c r="C262">
        <f si="89" t="shared"/>
        <v>284831.31695155101</v>
      </c>
      <c r="D262">
        <f si="89" t="shared"/>
        <v>0</v>
      </c>
      <c r="E262">
        <f si="89" t="shared"/>
        <v>0</v>
      </c>
      <c r="F262">
        <f si="89" t="shared"/>
        <v>97223.338317121583</v>
      </c>
      <c r="G262">
        <f si="89" t="shared"/>
        <v>3027.9100025034513</v>
      </c>
      <c r="H262">
        <f si="89" t="shared"/>
        <v>0</v>
      </c>
      <c r="I262">
        <f ref="I262:I269" si="90" t="shared">V262*$B$1</f>
        <v>0</v>
      </c>
      <c r="J262">
        <f ref="J262:J269" si="91" t="shared">W262*$B$1</f>
        <v>2262007.6084462265</v>
      </c>
      <c r="N262" t="s">
        <v>210</v>
      </c>
      <c r="O262" s="105" t="n">
        <v>2156417.899999975</v>
      </c>
      <c r="P262" s="105" t="n">
        <v>328776.9500000009</v>
      </c>
      <c r="Q262" s="105" t="n">
        <v>0.0</v>
      </c>
      <c r="R262" s="105" t="n">
        <v>0.0</v>
      </c>
      <c r="S262" s="105" t="n">
        <v>88315.16381807944</v>
      </c>
      <c r="T262" s="105" t="n">
        <v>3231.14084670099</v>
      </c>
      <c r="U262" s="105" t="n">
        <v>0.0</v>
      </c>
      <c r="V262" s="105" t="n">
        <v>0.0</v>
      </c>
      <c r="W262">
        <f>SUM(O262:V262)</f>
        <v>2262007.6084462265</v>
      </c>
    </row>
    <row r="263" spans="1:23" x14ac:dyDescent="0.2">
      <c r="A263" t="s">
        <v>211</v>
      </c>
      <c r="B263">
        <f si="89" t="shared"/>
        <v>13006.338424218493</v>
      </c>
      <c r="C263">
        <f si="89" t="shared"/>
        <v>0</v>
      </c>
      <c r="D263">
        <f si="89" t="shared"/>
        <v>0</v>
      </c>
      <c r="E263">
        <f si="89" t="shared"/>
        <v>0</v>
      </c>
      <c r="F263">
        <f si="89" t="shared"/>
        <v>162988.58767754078</v>
      </c>
      <c r="G263">
        <f si="89" t="shared"/>
        <v>118976.46570046716</v>
      </c>
      <c r="H263">
        <f si="89" t="shared"/>
        <v>488981.88410376373</v>
      </c>
      <c r="I263">
        <f si="90" t="shared"/>
        <v>41364.452668512553</v>
      </c>
      <c r="J263">
        <f si="91" t="shared"/>
        <v>825317.72857450275</v>
      </c>
      <c r="N263" t="s">
        <v>211</v>
      </c>
      <c r="O263" s="105" t="n">
        <v>14929.300000000001</v>
      </c>
      <c r="P263" s="105" t="n">
        <v>0.0</v>
      </c>
      <c r="Q263" s="105" t="n">
        <v>0.0</v>
      </c>
      <c r="R263" s="105" t="n">
        <v>0.0</v>
      </c>
      <c r="S263" s="105" t="n">
        <v>144115.86067045268</v>
      </c>
      <c r="T263" s="105" t="n">
        <v>126669.33244799847</v>
      </c>
      <c r="U263" s="105" t="n">
        <v>530184.9171832668</v>
      </c>
      <c r="V263" s="105" t="n">
        <v>45878.32087187793</v>
      </c>
      <c r="W263">
        <f ref="W263:W269" si="92" t="shared">SUM(O263:V263)</f>
        <v>825317.72857450275</v>
      </c>
    </row>
    <row r="264" spans="1:23" x14ac:dyDescent="0.2">
      <c r="A264" t="s">
        <v>212</v>
      </c>
      <c r="B264">
        <f si="89" t="shared"/>
        <v>583717.0370090279</v>
      </c>
      <c r="C264">
        <f si="89" t="shared"/>
        <v>122763.8133680537</v>
      </c>
      <c r="D264">
        <f si="89" t="shared"/>
        <v>71769.228639948866</v>
      </c>
      <c r="E264">
        <f si="89" t="shared"/>
        <v>257115.28784149257</v>
      </c>
      <c r="F264">
        <f si="89" t="shared"/>
        <v>41228.906695626683</v>
      </c>
      <c r="G264">
        <f si="89" t="shared"/>
        <v>17235.6553596997</v>
      </c>
      <c r="H264">
        <f si="89" t="shared"/>
        <v>59065.029616217558</v>
      </c>
      <c r="I264">
        <f si="90" t="shared"/>
        <v>80877.732948953635</v>
      </c>
      <c r="J264">
        <f si="91" t="shared"/>
        <v>1233772.6914790208</v>
      </c>
      <c r="N264" t="s">
        <v>212</v>
      </c>
      <c r="O264" s="105" t="n">
        <v>671346.999999999</v>
      </c>
      <c r="P264" s="105" t="n">
        <v>144717.14999999997</v>
      </c>
      <c r="Q264" s="105" t="n">
        <v>42572.64865928901</v>
      </c>
      <c r="R264" s="105" t="n">
        <v>243081.91091170843</v>
      </c>
      <c r="S264" s="105" t="n">
        <v>38082.48699507742</v>
      </c>
      <c r="T264" s="105" t="n">
        <v>17868.829734971117</v>
      </c>
      <c r="U264" s="105" t="n">
        <v>64647.79685979536</v>
      </c>
      <c r="V264" s="105" t="n">
        <v>88422.7431680655</v>
      </c>
      <c r="W264">
        <f si="92" t="shared"/>
        <v>1233772.6914790208</v>
      </c>
    </row>
    <row r="265" spans="1:23" x14ac:dyDescent="0.2">
      <c r="A265" t="s">
        <v>36</v>
      </c>
      <c r="B265">
        <f si="89" t="shared"/>
        <v>566971.81795241905</v>
      </c>
      <c r="C265">
        <f si="89" t="shared"/>
        <v>184886.69642869494</v>
      </c>
      <c r="D265">
        <f si="89" t="shared"/>
        <v>310202.19211782271</v>
      </c>
      <c r="E265">
        <f si="89" t="shared"/>
        <v>391936.97888308176</v>
      </c>
      <c r="F265">
        <f si="89" t="shared"/>
        <v>59716.38867149828</v>
      </c>
      <c r="G265">
        <f si="89" t="shared"/>
        <v>18656.573288417701</v>
      </c>
      <c r="H265">
        <f si="89" t="shared"/>
        <v>145188.15158960439</v>
      </c>
      <c r="I265">
        <f si="90" t="shared"/>
        <v>148355.9998586266</v>
      </c>
      <c r="J265">
        <f si="91" t="shared"/>
        <v>1825914.7987901655</v>
      </c>
      <c r="N265" t="s">
        <v>36</v>
      </c>
      <c r="O265" s="105" t="n">
        <v>648779.3999999993</v>
      </c>
      <c r="P265" s="105" t="n">
        <v>216218.4000000003</v>
      </c>
      <c r="Q265" s="105" t="n">
        <v>147732.4016549909</v>
      </c>
      <c r="R265" s="105" t="n">
        <v>317954.60967979924</v>
      </c>
      <c r="S265" s="105" t="n">
        <v>48740.09259692104</v>
      </c>
      <c r="T265" s="105" t="n">
        <v>19031.650114395237</v>
      </c>
      <c r="U265" s="105" t="n">
        <v>164188.7921339081</v>
      </c>
      <c r="V265" s="105" t="n">
        <v>167392.99884502846</v>
      </c>
      <c r="W265">
        <f si="92" t="shared"/>
        <v>1825914.7987901655</v>
      </c>
    </row>
    <row r="266" spans="1:23" x14ac:dyDescent="0.2">
      <c r="A266" t="s">
        <v>214</v>
      </c>
      <c r="B266">
        <f si="89" t="shared"/>
        <v>763858.31637815642</v>
      </c>
      <c r="C266">
        <f si="89" t="shared"/>
        <v>171950.53429726686</v>
      </c>
      <c r="D266">
        <f si="89" t="shared"/>
        <v>295059.2865904147</v>
      </c>
      <c r="E266">
        <f si="89" t="shared"/>
        <v>476686.37705566705</v>
      </c>
      <c r="F266">
        <f si="89" t="shared"/>
        <v>76708.271828494806</v>
      </c>
      <c r="G266">
        <f si="89" t="shared"/>
        <v>6888.7384019751526</v>
      </c>
      <c r="H266">
        <f si="89" t="shared"/>
        <v>61212.484067180929</v>
      </c>
      <c r="I266">
        <f si="90" t="shared"/>
        <v>169715.13998273015</v>
      </c>
      <c r="J266">
        <f si="91" t="shared"/>
        <v>2022079.1486018861</v>
      </c>
      <c r="N266" t="s">
        <v>214</v>
      </c>
      <c r="O266" s="105" t="n">
        <v>880093.8499999947</v>
      </c>
      <c r="P266" s="105" t="n">
        <v>198090.95000000022</v>
      </c>
      <c r="Q266" s="105" t="n">
        <v>142504.26981672543</v>
      </c>
      <c r="R266" s="105" t="n">
        <v>390297.64449980523</v>
      </c>
      <c r="S266" s="105" t="n">
        <v>65498.14614281754</v>
      </c>
      <c r="T266" s="105" t="n">
        <v>7133.507088764252</v>
      </c>
      <c r="U266" s="105" t="n">
        <v>64610.92121270463</v>
      </c>
      <c r="V266" s="105" t="n">
        <v>181281.48718597656</v>
      </c>
      <c r="W266">
        <f si="92" t="shared"/>
        <v>2022079.1486018861</v>
      </c>
    </row>
    <row r="267" spans="1:23" x14ac:dyDescent="0.2">
      <c r="A267" t="s">
        <v>129</v>
      </c>
      <c r="B267">
        <f si="89" t="shared"/>
        <v>375896.39236832887</v>
      </c>
      <c r="C267">
        <f si="89" t="shared"/>
        <v>63318.647106554046</v>
      </c>
      <c r="D267">
        <f si="89" t="shared"/>
        <v>77826.621182706236</v>
      </c>
      <c r="E267">
        <f si="89" t="shared"/>
        <v>137958.1103730005</v>
      </c>
      <c r="F267">
        <f si="89" t="shared"/>
        <v>46599.779311332597</v>
      </c>
      <c r="G267">
        <f si="89" t="shared"/>
        <v>33288.975771151199</v>
      </c>
      <c r="H267">
        <f si="89" t="shared"/>
        <v>68660.01007465001</v>
      </c>
      <c r="I267">
        <f si="90" t="shared"/>
        <v>28451.554915899454</v>
      </c>
      <c r="J267">
        <f si="91" t="shared"/>
        <v>832000.09110362304</v>
      </c>
      <c r="N267" t="s">
        <v>129</v>
      </c>
      <c r="O267" s="105" t="n">
        <v>431802.0000000014</v>
      </c>
      <c r="P267" s="105" t="n">
        <v>72983.59999999996</v>
      </c>
      <c r="Q267" s="105" t="n">
        <v>40037.64011405332</v>
      </c>
      <c r="R267" s="105" t="n">
        <v>117446.01122740527</v>
      </c>
      <c r="S267" s="105" t="n">
        <v>42185.35943189535</v>
      </c>
      <c r="T267" s="105" t="n">
        <v>35029.3105159401</v>
      </c>
      <c r="U267" s="105" t="n">
        <v>74294.04703457784</v>
      </c>
      <c r="V267" s="105" t="n">
        <v>31438.85733640967</v>
      </c>
      <c r="W267">
        <f si="92" t="shared"/>
        <v>832000.09110362304</v>
      </c>
    </row>
    <row r="268" spans="1:23" x14ac:dyDescent="0.2">
      <c r="A268" t="s">
        <v>130</v>
      </c>
      <c r="B268">
        <f si="89" t="shared"/>
        <v>538065.96655234136</v>
      </c>
      <c r="C268">
        <f si="89" t="shared"/>
        <v>174396.78976676826</v>
      </c>
      <c r="D268">
        <f si="89" t="shared"/>
        <v>204130.79132400494</v>
      </c>
      <c r="E268">
        <f si="89" t="shared"/>
        <v>332001.37640842359</v>
      </c>
      <c r="F268">
        <f si="89" t="shared"/>
        <v>55627.566109849264</v>
      </c>
      <c r="G268">
        <f si="89" t="shared"/>
        <v>35505.145448104195</v>
      </c>
      <c r="H268">
        <f si="89" t="shared"/>
        <v>228500.35827712031</v>
      </c>
      <c r="I268">
        <f si="90" t="shared"/>
        <v>138522.25768151315</v>
      </c>
      <c r="J268">
        <f si="91" t="shared"/>
        <v>1706750.2515681253</v>
      </c>
      <c r="N268" t="s">
        <v>130</v>
      </c>
      <c r="O268" s="105" t="n">
        <v>614192.0</v>
      </c>
      <c r="P268" s="105" t="n">
        <v>199276.6000000002</v>
      </c>
      <c r="Q268" s="105" t="n">
        <v>101071.54326451516</v>
      </c>
      <c r="R268" s="105" t="n">
        <v>285263.2054669293</v>
      </c>
      <c r="S268" s="105" t="n">
        <v>51479.81494067977</v>
      </c>
      <c r="T268" s="105" t="n">
        <v>38299.66289817777</v>
      </c>
      <c r="U268" s="105" t="n">
        <v>250335.48767036258</v>
      </c>
      <c r="V268" s="105" t="n">
        <v>151614.11205917428</v>
      </c>
      <c r="W268">
        <f si="92" t="shared"/>
        <v>1706750.2515681253</v>
      </c>
    </row>
    <row r="269" spans="1:23" x14ac:dyDescent="0.2">
      <c r="A269" t="s">
        <v>145</v>
      </c>
      <c r="B269">
        <f si="89" t="shared"/>
        <v>2225965.2185449474</v>
      </c>
      <c r="C269">
        <f si="89" t="shared"/>
        <v>551612.537986079</v>
      </c>
      <c r="D269">
        <f si="89" t="shared"/>
        <v>549327.69474107178</v>
      </c>
      <c r="E269">
        <f si="89" t="shared"/>
        <v>933532.80342873803</v>
      </c>
      <c r="F269">
        <f si="89" t="shared"/>
        <v>287227.43843376567</v>
      </c>
      <c r="G269">
        <f si="89" t="shared"/>
        <v>153527.25434228685</v>
      </c>
      <c r="H269">
        <f si="89" t="shared"/>
        <v>723294.55130787299</v>
      </c>
      <c r="I269">
        <f si="90" t="shared"/>
        <v>366046.13812257064</v>
      </c>
      <c r="J269">
        <f si="91" t="shared"/>
        <v>5790533.6369073316</v>
      </c>
      <c r="N269" t="s">
        <v>145</v>
      </c>
      <c r="O269" s="105" t="n">
        <v>2558469.4000000074</v>
      </c>
      <c r="P269" s="105" t="n">
        <v>639119.3999999996</v>
      </c>
      <c r="Q269" s="105" t="n">
        <v>272593.9670678473</v>
      </c>
      <c r="R269" s="105" t="n">
        <v>793542.1493610401</v>
      </c>
      <c r="S269" s="105" t="n">
        <v>252485.1464623458</v>
      </c>
      <c r="T269" s="105" t="n">
        <v>163029.67220841747</v>
      </c>
      <c r="U269" s="105" t="n">
        <v>792888.330645454</v>
      </c>
      <c r="V269" s="105" t="n">
        <v>402016.39978893864</v>
      </c>
      <c r="W269">
        <f si="92" t="shared"/>
        <v>5790533.6369073316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2">
      <c r="A273" t="s">
        <v>210</v>
      </c>
      <c r="B273">
        <f ref="B273:D280" si="93" t="shared">O273*$B$1</f>
        <v>50560.069611530002</v>
      </c>
      <c r="C273">
        <f si="93" t="shared"/>
        <v>413283.40360259521</v>
      </c>
      <c r="D273">
        <f si="93" t="shared"/>
        <v>391386.97283953405</v>
      </c>
      <c r="E273">
        <f ref="E273:E280" si="94" t="shared">R273*$B$1</f>
        <v>1406777.1623925671</v>
      </c>
      <c r="F273">
        <f ref="F273:F280" si="95" t="shared">S273*$B$1</f>
        <v>2262007.6084462265</v>
      </c>
      <c r="N273" t="s">
        <v>210</v>
      </c>
      <c r="O273" s="105" t="n">
        <v>49624.045061935525</v>
      </c>
      <c r="P273" s="105" t="n">
        <v>462821.92514833</v>
      </c>
      <c r="Q273" s="105" t="n">
        <v>444180.93249368714</v>
      </c>
      <c r="R273" s="105" t="n">
        <v>1619303.501960811</v>
      </c>
      <c r="S273">
        <f>SUM(O273:R273)</f>
        <v>2262007.6084462265</v>
      </c>
    </row>
    <row r="274" spans="1:19" x14ac:dyDescent="0.2">
      <c r="A274" t="s">
        <v>211</v>
      </c>
      <c r="B274">
        <f si="93" t="shared"/>
        <v>68190.124707316354</v>
      </c>
      <c r="C274">
        <f si="93" t="shared"/>
        <v>184802.30948310386</v>
      </c>
      <c r="D274">
        <f si="93" t="shared"/>
        <v>127889.81857563925</v>
      </c>
      <c r="E274">
        <f si="94" t="shared"/>
        <v>444435.47580844321</v>
      </c>
      <c r="F274">
        <f si="95" t="shared"/>
        <v>825317.72857450275</v>
      </c>
      <c r="N274" t="s">
        <v>211</v>
      </c>
      <c r="O274" s="105" t="n">
        <v>40045.38145530297</v>
      </c>
      <c r="P274" s="105" t="n">
        <v>178980.6811650588</v>
      </c>
      <c r="Q274" s="105" t="n">
        <v>139297.95705395754</v>
      </c>
      <c r="R274" s="105" t="n">
        <v>503080.66200695845</v>
      </c>
      <c r="S274">
        <f ref="S274:S280" si="96" t="shared">SUM(O274:R274)</f>
        <v>825317.72857450275</v>
      </c>
    </row>
    <row r="275" spans="1:19" x14ac:dyDescent="0.2">
      <c r="A275" t="s">
        <v>212</v>
      </c>
      <c r="B275">
        <f si="93" t="shared"/>
        <v>54631.781789707944</v>
      </c>
      <c r="C275">
        <f si="93" t="shared"/>
        <v>228528.69797713749</v>
      </c>
      <c r="D275">
        <f si="93" t="shared"/>
        <v>215017.1432723577</v>
      </c>
      <c r="E275">
        <f si="94" t="shared"/>
        <v>735595.06843981752</v>
      </c>
      <c r="F275">
        <f si="95" t="shared"/>
        <v>1233772.6914790208</v>
      </c>
      <c r="N275" t="s">
        <v>212</v>
      </c>
      <c r="O275" s="105" t="n">
        <v>35976.69370428661</v>
      </c>
      <c r="P275" s="105" t="n">
        <v>221849.3539105031</v>
      </c>
      <c r="Q275" s="105" t="n">
        <v>227821.20898785436</v>
      </c>
      <c r="R275" s="105" t="n">
        <v>824669.4754985789</v>
      </c>
      <c r="S275">
        <f si="96" t="shared"/>
        <v>1233772.6914790208</v>
      </c>
    </row>
    <row r="276" spans="1:19" x14ac:dyDescent="0.2">
      <c r="A276" t="s">
        <v>36</v>
      </c>
      <c r="B276">
        <f si="93" t="shared"/>
        <v>147578.69593706829</v>
      </c>
      <c r="C276">
        <f si="93" t="shared"/>
        <v>499206.58847273997</v>
      </c>
      <c r="D276">
        <f si="93" t="shared"/>
        <v>312810.31098066922</v>
      </c>
      <c r="E276">
        <f si="94" t="shared"/>
        <v>866319.20339968789</v>
      </c>
      <c r="F276">
        <f si="95" t="shared"/>
        <v>1825914.7987901652</v>
      </c>
      <c r="N276" t="s">
        <v>36</v>
      </c>
      <c r="O276" s="105" t="n">
        <v>83235.81149867424</v>
      </c>
      <c r="P276" s="105" t="n">
        <v>413750.9919239955</v>
      </c>
      <c r="Q276" s="105" t="n">
        <v>299737.74138346233</v>
      </c>
      <c r="R276" s="105" t="n">
        <v>932567.4527743554</v>
      </c>
      <c r="S276">
        <f si="96" t="shared"/>
        <v>1825914.7987901652</v>
      </c>
    </row>
    <row r="277" spans="1:19" x14ac:dyDescent="0.2">
      <c r="A277" t="s">
        <v>214</v>
      </c>
      <c r="B277">
        <f si="93" t="shared"/>
        <v>153851.72930663504</v>
      </c>
      <c r="C277">
        <f si="93" t="shared"/>
        <v>510482.14174925938</v>
      </c>
      <c r="D277">
        <f si="93" t="shared"/>
        <v>350713.52875003638</v>
      </c>
      <c r="E277">
        <f si="94" t="shared"/>
        <v>1007031.7487959551</v>
      </c>
      <c r="F277">
        <f si="95" t="shared"/>
        <v>2022079.1486018859</v>
      </c>
      <c r="N277" t="s">
        <v>214</v>
      </c>
      <c r="O277" s="105" t="n">
        <v>85452.92499363275</v>
      </c>
      <c r="P277" s="105" t="n">
        <v>420338.97752344335</v>
      </c>
      <c r="Q277" s="105" t="n">
        <v>340846.5248779201</v>
      </c>
      <c r="R277" s="105" t="n">
        <v>1082074.3341750193</v>
      </c>
      <c r="S277">
        <f si="96" t="shared"/>
        <v>2022079.1486018859</v>
      </c>
    </row>
    <row r="278" spans="1:19" x14ac:dyDescent="0.2">
      <c r="A278" t="s">
        <v>129</v>
      </c>
      <c r="B278">
        <f si="93" t="shared"/>
        <v>41266.378083901051</v>
      </c>
      <c r="C278">
        <f si="93" t="shared"/>
        <v>184525.13108457354</v>
      </c>
      <c r="D278">
        <f si="93" t="shared"/>
        <v>143669.57046536673</v>
      </c>
      <c r="E278">
        <f si="94" t="shared"/>
        <v>462539.01146978163</v>
      </c>
      <c r="F278">
        <f si="95" t="shared"/>
        <v>832000.09110362292</v>
      </c>
      <c r="N278" t="s">
        <v>129</v>
      </c>
      <c r="O278" s="105" t="n">
        <v>24225.903602576072</v>
      </c>
      <c r="P278" s="105" t="n">
        <v>166963.4711464837</v>
      </c>
      <c r="Q278" s="105" t="n">
        <v>147464.00152356943</v>
      </c>
      <c r="R278" s="105" t="n">
        <v>506233.90075197245</v>
      </c>
      <c r="S278">
        <f si="96" t="shared"/>
        <v>832000.09110362292</v>
      </c>
    </row>
    <row r="279" spans="1:19" x14ac:dyDescent="0.2">
      <c r="A279" t="s">
        <v>130</v>
      </c>
      <c r="B279">
        <f si="93" t="shared"/>
        <v>89066.890812225</v>
      </c>
      <c r="C279">
        <f si="93" t="shared"/>
        <v>382205.70873914426</v>
      </c>
      <c r="D279">
        <f si="93" t="shared"/>
        <v>295457.41892849689</v>
      </c>
      <c r="E279">
        <f si="94" t="shared"/>
        <v>940020.23308825865</v>
      </c>
      <c r="F279">
        <f si="95" t="shared"/>
        <v>1706750.2515681249</v>
      </c>
      <c r="N279" t="s">
        <v>130</v>
      </c>
      <c r="O279" s="105" t="n">
        <v>52468.023684718995</v>
      </c>
      <c r="P279" s="105" t="n">
        <v>333852.1670440989</v>
      </c>
      <c r="Q279" s="105" t="n">
        <v>289327.2194170575</v>
      </c>
      <c r="R279" s="105" t="n">
        <v>1015186.5732445448</v>
      </c>
      <c r="S279">
        <f si="96" t="shared"/>
        <v>1706750.2515681249</v>
      </c>
    </row>
    <row r="280" spans="1:19" x14ac:dyDescent="0.2">
      <c r="A280" t="s">
        <v>145</v>
      </c>
      <c r="B280">
        <f si="93" t="shared"/>
        <v>356735.92309554672</v>
      </c>
      <c r="C280">
        <f si="93" t="shared"/>
        <v>1343727.1719064917</v>
      </c>
      <c r="D280">
        <f si="93" t="shared"/>
        <v>1000900.7247428977</v>
      </c>
      <c r="E280">
        <f si="94" t="shared"/>
        <v>3089169.8171623978</v>
      </c>
      <c r="F280">
        <f si="95" t="shared"/>
        <v>5790533.6369073335</v>
      </c>
      <c r="N280" t="s">
        <v>145</v>
      </c>
      <c r="O280" s="105" t="n">
        <v>218682.16032056962</v>
      </c>
      <c r="P280" s="105" t="n">
        <v>1221982.3844226936</v>
      </c>
      <c r="Q280" s="105" t="n">
        <v>1025967.5012111185</v>
      </c>
      <c r="R280" s="105" t="n">
        <v>3405136.0276643243</v>
      </c>
      <c r="S280">
        <f si="96" t="shared"/>
        <v>5790533.6369073335</v>
      </c>
    </row>
    <row r="282" spans="1:19" x14ac:dyDescent="0.2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2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2">
      <c r="A284" t="s">
        <v>210</v>
      </c>
      <c r="B284">
        <f ref="B284:D291" si="97" t="shared">O284*$B$1</f>
        <v>68232.968725979896</v>
      </c>
      <c r="C284">
        <f si="97" t="shared"/>
        <v>559154.17568454181</v>
      </c>
      <c r="D284">
        <f si="97" t="shared"/>
        <v>1260760.866877795</v>
      </c>
      <c r="E284">
        <f ref="E284:E291" si="98" t="shared">R284*$B$1</f>
        <v>373859.59715791018</v>
      </c>
      <c r="F284">
        <f ref="F284:F291" si="99" t="shared">S284*$B$1</f>
        <v>2262007.6084462269</v>
      </c>
      <c r="N284" t="s">
        <v>210</v>
      </c>
      <c r="O284" s="105" t="n">
        <v>75515.61555416779</v>
      </c>
      <c r="P284" s="105" t="n">
        <v>640322.9829742647</v>
      </c>
      <c r="Q284" s="105" t="n">
        <v>1428433.6268510602</v>
      </c>
      <c r="R284" s="105" t="n">
        <v>432468.9292852726</v>
      </c>
      <c r="S284">
        <f>SUM(O284:R284)</f>
        <v>2262007.6084462269</v>
      </c>
    </row>
    <row r="285" spans="1:19" x14ac:dyDescent="0.2">
      <c r="A285" t="s">
        <v>211</v>
      </c>
      <c r="B285">
        <f si="97" t="shared"/>
        <v>35990.026045171857</v>
      </c>
      <c r="C285">
        <f si="97" t="shared"/>
        <v>277884.2770700691</v>
      </c>
      <c r="D285">
        <f si="97" t="shared"/>
        <v>405395.06497362989</v>
      </c>
      <c r="E285">
        <f si="98" t="shared"/>
        <v>106048.36048563183</v>
      </c>
      <c r="F285">
        <f si="99" t="shared"/>
        <v>825317.72857450263</v>
      </c>
      <c r="N285" t="s">
        <v>211</v>
      </c>
      <c r="O285" s="105" t="n">
        <v>24806.67852107155</v>
      </c>
      <c r="P285" s="105" t="n">
        <v>293441.2614398566</v>
      </c>
      <c r="Q285" s="105" t="n">
        <v>428061.5807900388</v>
      </c>
      <c r="R285" s="105" t="n">
        <v>115468.21042262932</v>
      </c>
      <c r="S285">
        <f ref="S285:S291" si="100" t="shared">SUM(O285:R285)</f>
        <v>825317.72857450263</v>
      </c>
    </row>
    <row r="286" spans="1:19" x14ac:dyDescent="0.2">
      <c r="A286" t="s">
        <v>212</v>
      </c>
      <c r="B286">
        <f si="97" t="shared"/>
        <v>29823.071141350891</v>
      </c>
      <c r="C286">
        <f si="97" t="shared"/>
        <v>359570.63092721096</v>
      </c>
      <c r="D286">
        <f si="97" t="shared"/>
        <v>659657.7380958685</v>
      </c>
      <c r="E286">
        <f si="98" t="shared"/>
        <v>184721.25131459022</v>
      </c>
      <c r="F286">
        <f si="99" t="shared"/>
        <v>1233772.6914790205</v>
      </c>
      <c r="N286" t="s">
        <v>212</v>
      </c>
      <c r="O286" s="105" t="n">
        <v>24232.318000824427</v>
      </c>
      <c r="P286" s="105" t="n">
        <v>387715.4074638803</v>
      </c>
      <c r="Q286" s="105" t="n">
        <v>700321.0650879785</v>
      </c>
      <c r="R286" s="105" t="n">
        <v>198471.77577622308</v>
      </c>
      <c r="S286">
        <f si="100" t="shared"/>
        <v>1233772.6914790205</v>
      </c>
    </row>
    <row r="287" spans="1:19" x14ac:dyDescent="0.2">
      <c r="A287" t="s">
        <v>36</v>
      </c>
      <c r="B287">
        <f si="97" t="shared"/>
        <v>93940.544425671644</v>
      </c>
      <c r="C287">
        <f si="97" t="shared"/>
        <v>456405.65631010069</v>
      </c>
      <c r="D287">
        <f si="97" t="shared"/>
        <v>999123.95170507336</v>
      </c>
      <c r="E287">
        <f si="98" t="shared"/>
        <v>276444.64634931984</v>
      </c>
      <c r="F287">
        <f si="99" t="shared"/>
        <v>1825914.7987901657</v>
      </c>
      <c r="N287" t="s">
        <v>36</v>
      </c>
      <c r="O287" s="105" t="n">
        <v>61908.455824970435</v>
      </c>
      <c r="P287" s="105" t="n">
        <v>460388.3137126698</v>
      </c>
      <c r="Q287" s="105" t="n">
        <v>944817.4830810723</v>
      </c>
      <c r="R287" s="105" t="n">
        <v>262924.0924063258</v>
      </c>
      <c r="S287">
        <f si="100" t="shared"/>
        <v>1825914.7987901657</v>
      </c>
    </row>
    <row r="288" spans="1:19" x14ac:dyDescent="0.2">
      <c r="A288" t="s">
        <v>214</v>
      </c>
      <c r="B288">
        <f si="97" t="shared"/>
        <v>112045.26893010817</v>
      </c>
      <c r="C288">
        <f si="97" t="shared"/>
        <v>511008.54301900446</v>
      </c>
      <c r="D288">
        <f si="97" t="shared"/>
        <v>1090383.4113396273</v>
      </c>
      <c r="E288">
        <f si="98" t="shared"/>
        <v>308641.92531314585</v>
      </c>
      <c r="F288">
        <f si="99" t="shared"/>
        <v>2022079.1486018859</v>
      </c>
      <c r="N288" t="s">
        <v>214</v>
      </c>
      <c r="O288" s="105" t="n">
        <v>74103.94551315292</v>
      </c>
      <c r="P288" s="105" t="n">
        <v>520418.5685584323</v>
      </c>
      <c r="Q288" s="105" t="n">
        <v>1039507.2290512259</v>
      </c>
      <c r="R288" s="105" t="n">
        <v>295481.03282397654</v>
      </c>
      <c r="S288">
        <f si="100" t="shared"/>
        <v>2022079.1486018859</v>
      </c>
    </row>
    <row r="289" spans="1:22" x14ac:dyDescent="0.2">
      <c r="A289" t="s">
        <v>129</v>
      </c>
      <c r="B289">
        <f si="97" t="shared"/>
        <v>32136.365189996413</v>
      </c>
      <c r="C289">
        <f si="97" t="shared"/>
        <v>247594.75051295961</v>
      </c>
      <c r="D289">
        <f si="97" t="shared"/>
        <v>429323.438514159</v>
      </c>
      <c r="E289">
        <f si="98" t="shared"/>
        <v>122945.53688650783</v>
      </c>
      <c r="F289">
        <f si="99" t="shared"/>
        <v>832000.09110362292</v>
      </c>
      <c r="N289" t="s">
        <v>129</v>
      </c>
      <c r="O289" s="105" t="n">
        <v>25294.488087367256</v>
      </c>
      <c r="P289" s="105" t="n">
        <v>258683.426102635</v>
      </c>
      <c r="Q289" s="105" t="n">
        <v>435950.03317082283</v>
      </c>
      <c r="R289" s="105" t="n">
        <v>125288.87829945824</v>
      </c>
      <c r="S289">
        <f si="100" t="shared"/>
        <v>832000.09110362292</v>
      </c>
    </row>
    <row r="290" spans="1:22" x14ac:dyDescent="0.2">
      <c r="A290" t="s">
        <v>130</v>
      </c>
      <c r="B290">
        <f si="97" t="shared"/>
        <v>57174.521922380467</v>
      </c>
      <c r="C290">
        <f si="97" t="shared"/>
        <v>416816.2609171478</v>
      </c>
      <c r="D290">
        <f si="97" t="shared"/>
        <v>956765.26098544849</v>
      </c>
      <c r="E290">
        <f si="98" t="shared"/>
        <v>275994.2077431482</v>
      </c>
      <c r="F290">
        <f si="99" t="shared"/>
        <v>1706750.2515681251</v>
      </c>
      <c r="N290" t="s">
        <v>130</v>
      </c>
      <c r="O290" s="105" t="n">
        <v>41925.44998777997</v>
      </c>
      <c r="P290" s="105" t="n">
        <v>429688.98167200095</v>
      </c>
      <c r="Q290" s="105" t="n">
        <v>946680.9855788182</v>
      </c>
      <c r="R290" s="105" t="n">
        <v>273237.00906123454</v>
      </c>
      <c r="S290">
        <f si="100" t="shared"/>
        <v>1706750.2515681251</v>
      </c>
    </row>
    <row r="291" spans="1:22" x14ac:dyDescent="0.2">
      <c r="A291" t="s">
        <v>145</v>
      </c>
      <c r="B291">
        <f si="97" t="shared"/>
        <v>260541.48142071295</v>
      </c>
      <c r="C291">
        <f si="97" t="shared"/>
        <v>1535671.9981638407</v>
      </c>
      <c r="D291">
        <f si="97" t="shared"/>
        <v>3113453.7330614552</v>
      </c>
      <c r="E291">
        <f si="98" t="shared"/>
        <v>880866.42426132376</v>
      </c>
      <c r="F291">
        <f si="99" t="shared"/>
        <v>5790533.6369073335</v>
      </c>
      <c r="N291" t="s">
        <v>145</v>
      </c>
      <c r="O291" s="105" t="n">
        <v>194896.358267575</v>
      </c>
      <c r="P291" s="105" t="n">
        <v>1613749.4925461982</v>
      </c>
      <c r="Q291" s="105" t="n">
        <v>3164279.1273720316</v>
      </c>
      <c r="R291" s="105" t="n">
        <v>901219.487348269</v>
      </c>
      <c r="S291">
        <f si="100" t="shared"/>
        <v>5790533.6369073335</v>
      </c>
    </row>
    <row r="293" spans="1:22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2">
      <c r="A294" t="s">
        <v>44</v>
      </c>
      <c r="B294" t="s">
        <v>3919</v>
      </c>
      <c r="C294" t="s">
        <v>3920</v>
      </c>
      <c r="D294" t="s">
        <v>3921</v>
      </c>
      <c r="E294" t="s">
        <v>3922</v>
      </c>
      <c r="F294" t="s">
        <v>1522</v>
      </c>
      <c r="G294" t="s">
        <v>3923</v>
      </c>
      <c r="H294" t="s">
        <v>3924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2">
      <c r="A295" t="s">
        <v>210</v>
      </c>
      <c r="B295">
        <f ref="B295:F302" si="101" t="shared">O295*$B$1</f>
        <v>118552.65817366683</v>
      </c>
      <c r="C295">
        <f si="101" t="shared"/>
        <v>14811.911795814643</v>
      </c>
      <c r="D295">
        <f si="101" t="shared"/>
        <v>95857.420239085652</v>
      </c>
      <c r="E295">
        <f si="101" t="shared"/>
        <v>73957.919111851676</v>
      </c>
      <c r="F295">
        <f si="101" t="shared"/>
        <v>444913.17057057837</v>
      </c>
      <c r="G295">
        <f ref="G295:G302" si="102" t="shared">T295*$B$1</f>
        <v>99938.091109917936</v>
      </c>
      <c r="H295">
        <f ref="H295:I302" si="103" t="shared">U295*$B$1</f>
        <v>1377213.9919417079</v>
      </c>
      <c r="I295">
        <f si="103" t="shared"/>
        <v>2225245.1629426228</v>
      </c>
      <c r="N295" t="s">
        <v>210</v>
      </c>
      <c r="O295" s="105" t="n">
        <v>137051.64591908728</v>
      </c>
      <c r="P295" s="105" t="n">
        <v>17925.72841148359</v>
      </c>
      <c r="Q295" s="105" t="n">
        <v>111063.21253816359</v>
      </c>
      <c r="R295" s="105" t="n">
        <v>84543.82354787106</v>
      </c>
      <c r="S295" t="n">
        <v>513657.44544317207</v>
      </c>
      <c r="T295" t="n">
        <v>119843.10144880369</v>
      </c>
      <c r="U295" t="n">
        <v>1549023.8317169906</v>
      </c>
      <c r="V295">
        <f>SUM(O295:U295)</f>
        <v>2225245.1629426228</v>
      </c>
    </row>
    <row r="296" spans="1:22" x14ac:dyDescent="0.2">
      <c r="A296" t="s">
        <v>211</v>
      </c>
      <c r="B296">
        <f si="101" t="shared"/>
        <v>41154.460228452219</v>
      </c>
      <c r="C296">
        <f si="101" t="shared"/>
        <v>1356.9548282344062</v>
      </c>
      <c r="D296">
        <f si="101" t="shared"/>
        <v>32759.216399103454</v>
      </c>
      <c r="E296">
        <f si="101" t="shared"/>
        <v>25924.408607965779</v>
      </c>
      <c r="F296">
        <f si="101" t="shared"/>
        <v>135788.05512125266</v>
      </c>
      <c r="G296">
        <f si="102" t="shared"/>
        <v>6885.6200313556537</v>
      </c>
      <c r="H296">
        <f si="103" t="shared"/>
        <v>581440.77006954781</v>
      </c>
      <c r="I296">
        <f si="103" t="shared"/>
        <v>825309.48528591194</v>
      </c>
      <c r="N296" t="s">
        <v>211</v>
      </c>
      <c r="O296" s="105" t="n">
        <v>43936.60572401195</v>
      </c>
      <c r="P296" s="105" t="n">
        <v>1419.717126371781</v>
      </c>
      <c r="Q296" s="105" t="n">
        <v>34958.00791214907</v>
      </c>
      <c r="R296" s="105" t="n">
        <v>28183.00474934131</v>
      </c>
      <c r="S296" t="n">
        <v>132235.10821650995</v>
      </c>
      <c r="T296" t="n">
        <v>5567.670315019935</v>
      </c>
      <c r="U296" t="n">
        <v>615448.3220571615</v>
      </c>
      <c r="V296">
        <f ref="V296:V302" si="104" t="shared">SUM(O296:U296)</f>
        <v>825309.48528591194</v>
      </c>
    </row>
    <row r="297" spans="1:22" x14ac:dyDescent="0.2">
      <c r="A297" t="s">
        <v>212</v>
      </c>
      <c r="B297">
        <f si="101" t="shared"/>
        <v>62071.136015470438</v>
      </c>
      <c r="C297">
        <f si="101" t="shared"/>
        <v>5958.7865994446774</v>
      </c>
      <c r="D297">
        <f si="101" t="shared"/>
        <v>50205.161806806304</v>
      </c>
      <c r="E297">
        <f si="101" t="shared"/>
        <v>41312.39854825048</v>
      </c>
      <c r="F297">
        <f si="101" t="shared"/>
        <v>193284.27185212509</v>
      </c>
      <c r="G297">
        <f si="102" t="shared"/>
        <v>29508.975372594967</v>
      </c>
      <c r="H297">
        <f si="103" t="shared"/>
        <v>850398.91872919328</v>
      </c>
      <c r="I297">
        <f si="103" t="shared"/>
        <v>1232739.6489238853</v>
      </c>
      <c r="N297" t="s">
        <v>212</v>
      </c>
      <c r="O297" s="105" t="n">
        <v>67457.53385685461</v>
      </c>
      <c r="P297" s="105" t="n">
        <v>6499.294717950552</v>
      </c>
      <c r="Q297" s="105" t="n">
        <v>53545.36672770526</v>
      </c>
      <c r="R297" s="105" t="n">
        <v>45300.51861319251</v>
      </c>
      <c r="S297" t="n">
        <v>206771.26517435868</v>
      </c>
      <c r="T297" t="n">
        <v>34746.33086960483</v>
      </c>
      <c r="U297" t="n">
        <v>895316.7342596315</v>
      </c>
      <c r="V297">
        <f si="104" t="shared"/>
        <v>1232739.6489238853</v>
      </c>
    </row>
    <row r="298" spans="1:22" x14ac:dyDescent="0.2">
      <c r="A298" t="s">
        <v>36</v>
      </c>
      <c r="B298">
        <f si="101" t="shared"/>
        <v>87570.175212791772</v>
      </c>
      <c r="C298">
        <f si="101" t="shared"/>
        <v>10525.392389905934</v>
      </c>
      <c r="D298">
        <f si="101" t="shared"/>
        <v>73324.692497449316</v>
      </c>
      <c r="E298">
        <f si="101" t="shared"/>
        <v>56111.209411309843</v>
      </c>
      <c r="F298">
        <f si="101" t="shared"/>
        <v>310240.56159418437</v>
      </c>
      <c r="G298">
        <f si="102" t="shared"/>
        <v>57939.50125382586</v>
      </c>
      <c r="H298">
        <f si="103" t="shared"/>
        <v>1228066.864703716</v>
      </c>
      <c r="I298">
        <f si="103" t="shared"/>
        <v>1823778.3970631831</v>
      </c>
      <c r="N298" t="s">
        <v>36</v>
      </c>
      <c r="O298" s="105" t="n">
        <v>84629.7134379647</v>
      </c>
      <c r="P298" s="105" t="n">
        <v>10562.868249620526</v>
      </c>
      <c r="Q298" s="105" t="n">
        <v>69948.05287621607</v>
      </c>
      <c r="R298" s="105" t="n">
        <v>55783.903521353524</v>
      </c>
      <c r="S298" t="n">
        <v>291784.90540166653</v>
      </c>
      <c r="T298" t="n">
        <v>60349.819380233515</v>
      </c>
      <c r="U298" t="n">
        <v>1154378.141929324</v>
      </c>
      <c r="V298">
        <f si="104" t="shared"/>
        <v>1823778.3970631831</v>
      </c>
    </row>
    <row r="299" spans="1:22" x14ac:dyDescent="0.2">
      <c r="A299" t="s">
        <v>214</v>
      </c>
      <c r="B299">
        <f si="101" t="shared"/>
        <v>93186.83753999378</v>
      </c>
      <c r="C299">
        <f si="101" t="shared"/>
        <v>14953.277265021257</v>
      </c>
      <c r="D299">
        <f si="101" t="shared"/>
        <v>76398.601470707043</v>
      </c>
      <c r="E299">
        <f si="101" t="shared"/>
        <v>62595.982822208884</v>
      </c>
      <c r="F299">
        <f si="101" t="shared"/>
        <v>330640.40477095055</v>
      </c>
      <c r="G299">
        <f si="102" t="shared"/>
        <v>81093.950953564432</v>
      </c>
      <c r="H299">
        <f si="103" t="shared"/>
        <v>1358909.220367908</v>
      </c>
      <c r="I299">
        <f si="103" t="shared"/>
        <v>2017778.2751903539</v>
      </c>
      <c r="N299" t="s">
        <v>214</v>
      </c>
      <c r="O299" s="105" t="n">
        <v>91783.37976221483</v>
      </c>
      <c r="P299" s="105" t="n">
        <v>15430.317801058876</v>
      </c>
      <c r="Q299" s="105" t="n">
        <v>74053.09034803679</v>
      </c>
      <c r="R299" s="105" t="n">
        <v>63534.05595090503</v>
      </c>
      <c r="S299" t="n">
        <v>320066.1579349036</v>
      </c>
      <c r="T299" t="n">
        <v>89743.41881177208</v>
      </c>
      <c r="U299" t="n">
        <v>1269495.1229095035</v>
      </c>
      <c r="V299">
        <f si="104" t="shared"/>
        <v>2017778.2751903539</v>
      </c>
    </row>
    <row r="300" spans="1:22" x14ac:dyDescent="0.2">
      <c r="A300" t="s">
        <v>129</v>
      </c>
      <c r="B300">
        <f si="101" t="shared"/>
        <v>46630.591738827192</v>
      </c>
      <c r="C300">
        <f si="101" t="shared"/>
        <v>7727.3660752290471</v>
      </c>
      <c r="D300">
        <f si="101" t="shared"/>
        <v>36562.63402171171</v>
      </c>
      <c r="E300">
        <f si="101" t="shared"/>
        <v>30926.948577097766</v>
      </c>
      <c r="F300">
        <f si="101" t="shared"/>
        <v>166443.98091808727</v>
      </c>
      <c r="G300">
        <f si="102" t="shared"/>
        <v>47601.701877318221</v>
      </c>
      <c r="H300">
        <f si="103" t="shared"/>
        <v>495043.25059852691</v>
      </c>
      <c r="I300">
        <f si="103" t="shared"/>
        <v>830936.47380679811</v>
      </c>
      <c r="N300" t="s">
        <v>129</v>
      </c>
      <c r="O300" s="105" t="n">
        <v>48641.839052449875</v>
      </c>
      <c r="P300" s="105" t="n">
        <v>8671.0786723066</v>
      </c>
      <c r="Q300" s="105" t="n">
        <v>38222.19811373467</v>
      </c>
      <c r="R300" s="105" t="n">
        <v>32937.12289449344</v>
      </c>
      <c r="S300" t="n">
        <v>170710.89898816304</v>
      </c>
      <c r="T300" t="n">
        <v>54553.81309694124</v>
      </c>
      <c r="U300" t="n">
        <v>490203.396935239</v>
      </c>
      <c r="V300">
        <f si="104" t="shared"/>
        <v>830936.47380679811</v>
      </c>
    </row>
    <row r="301" spans="1:22" x14ac:dyDescent="0.2">
      <c r="A301" t="s">
        <v>130</v>
      </c>
      <c r="B301">
        <f si="101" t="shared"/>
        <v>84860.023970789189</v>
      </c>
      <c r="C301">
        <f si="101" t="shared"/>
        <v>8493.0935440625562</v>
      </c>
      <c r="D301">
        <f si="101" t="shared"/>
        <v>70938.65714860872</v>
      </c>
      <c r="E301">
        <f si="101" t="shared"/>
        <v>56985.621657549877</v>
      </c>
      <c r="F301">
        <f si="101" t="shared"/>
        <v>299185.8172868304</v>
      </c>
      <c r="G301">
        <f si="102" t="shared"/>
        <v>44709.159222848735</v>
      </c>
      <c r="H301">
        <f si="103" t="shared"/>
        <v>1139707.1040680795</v>
      </c>
      <c r="I301">
        <f si="103" t="shared"/>
        <v>1704879.4768987689</v>
      </c>
      <c r="N301" t="s">
        <v>130</v>
      </c>
      <c r="O301" s="105" t="n">
        <v>86162.0312564402</v>
      </c>
      <c r="P301" s="105" t="n">
        <v>8850.786493811065</v>
      </c>
      <c r="Q301" s="105" t="n">
        <v>71493.1568231513</v>
      </c>
      <c r="R301" s="105" t="n">
        <v>58627.62035957622</v>
      </c>
      <c r="S301" t="n">
        <v>299341.90011196386</v>
      </c>
      <c r="T301" t="n">
        <v>48410.70093882352</v>
      </c>
      <c r="U301" t="n">
        <v>1116640.066981861</v>
      </c>
      <c r="V301">
        <f si="104" t="shared"/>
        <v>1704879.4768987689</v>
      </c>
    </row>
    <row r="302" spans="1:22" x14ac:dyDescent="0.2">
      <c r="A302" t="s">
        <v>145</v>
      </c>
      <c r="B302">
        <f si="101" t="shared"/>
        <v>302607.46382653987</v>
      </c>
      <c r="C302">
        <f si="101" t="shared"/>
        <v>45286.412770479401</v>
      </c>
      <c r="D302">
        <f si="101" t="shared"/>
        <v>249958.09079330045</v>
      </c>
      <c r="E302">
        <f si="101" t="shared"/>
        <v>179792.26301116243</v>
      </c>
      <c r="F302">
        <f si="101" t="shared"/>
        <v>993200.47099062626</v>
      </c>
      <c r="G302">
        <f si="102" t="shared"/>
        <v>219746.38736612935</v>
      </c>
      <c r="H302">
        <f si="103" t="shared"/>
        <v>3776074.3095476073</v>
      </c>
      <c r="I302">
        <f si="103" t="shared"/>
        <v>5766665.3983058445</v>
      </c>
      <c r="N302" t="s">
        <v>145</v>
      </c>
      <c r="O302" s="105" t="n">
        <v>317077.3527809332</v>
      </c>
      <c r="P302" s="105" t="n">
        <v>47824.92625137867</v>
      </c>
      <c r="Q302" s="105" t="n">
        <v>259461.4326250041</v>
      </c>
      <c r="R302" s="105" t="n">
        <v>188389.73669812034</v>
      </c>
      <c r="S302" t="n">
        <v>1008568.0532236638</v>
      </c>
      <c r="T302" t="n">
        <v>237829.73235756237</v>
      </c>
      <c r="U302" t="n">
        <v>3786865.898959352</v>
      </c>
      <c r="V302">
        <f si="104" t="shared"/>
        <v>5766665.3983058445</v>
      </c>
    </row>
    <row r="304" spans="1:22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105" t="shared">O306*$B$1</f>
        <v>1410222.3792541239</v>
      </c>
      <c r="N306" t="s">
        <v>21</v>
      </c>
      <c r="O306" s="105" t="n">
        <v>1623523.9999999802</v>
      </c>
    </row>
    <row r="307" spans="1:15" x14ac:dyDescent="0.2">
      <c r="A307" t="s">
        <v>22</v>
      </c>
      <c r="B307">
        <f si="105" t="shared"/>
        <v>330587.79410013492</v>
      </c>
      <c r="N307" t="s">
        <v>22</v>
      </c>
      <c r="O307" s="105" t="n">
        <v>382730.35000000114</v>
      </c>
    </row>
    <row r="308" spans="1:15" x14ac:dyDescent="0.2">
      <c r="A308" t="s">
        <v>148</v>
      </c>
      <c r="B308">
        <f si="105" t="shared"/>
        <v>393707.17935026012</v>
      </c>
      <c r="N308" t="s">
        <v>148</v>
      </c>
      <c r="O308" s="105" t="n">
        <v>197290.87266769412</v>
      </c>
    </row>
    <row r="309" spans="1:15" x14ac:dyDescent="0.2">
      <c r="A309" t="s">
        <v>243</v>
      </c>
      <c r="B309">
        <f si="105" t="shared"/>
        <v>573902.57800400315</v>
      </c>
      <c r="N309" t="s">
        <v>243</v>
      </c>
      <c r="O309" s="105" t="n">
        <v>484460.6168782638</v>
      </c>
    </row>
    <row r="310" spans="1:15" x14ac:dyDescent="0.2">
      <c r="A310" t="s">
        <v>23</v>
      </c>
      <c r="B310">
        <f si="105" t="shared"/>
        <v>175566.13317979188</v>
      </c>
      <c r="N310" t="s">
        <v>23</v>
      </c>
      <c r="O310" s="105" t="n">
        <v>155297.95649913355</v>
      </c>
    </row>
    <row r="311" spans="1:15" x14ac:dyDescent="0.2">
      <c r="A311" t="s">
        <v>24</v>
      </c>
      <c r="B311">
        <f si="105" t="shared"/>
        <v>119540.37697423306</v>
      </c>
      <c r="N311" t="s">
        <v>24</v>
      </c>
      <c r="O311" s="105" t="n">
        <v>127059.77102351056</v>
      </c>
    </row>
    <row r="312" spans="1:15" x14ac:dyDescent="0.2">
      <c r="A312" t="s">
        <v>25</v>
      </c>
      <c r="B312">
        <f si="105" t="shared"/>
        <v>503887.95581699541</v>
      </c>
      <c r="N312" t="s">
        <v>25</v>
      </c>
      <c r="O312" s="105" t="n">
        <v>546514.3511565825</v>
      </c>
    </row>
    <row r="313" spans="1:15" x14ac:dyDescent="0.2">
      <c r="A313" t="s">
        <v>26</v>
      </c>
      <c r="B313">
        <f si="105" t="shared"/>
        <v>235060.42178434858</v>
      </c>
      <c r="N313" t="s">
        <v>26</v>
      </c>
      <c r="O313" s="105" t="n">
        <v>255000.38177475354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296</v>
      </c>
      <c r="B317">
        <f>O317*$B$1</f>
        <v>229472.39050954158</v>
      </c>
      <c r="N317" t="s">
        <v>296</v>
      </c>
      <c r="O317" s="105" t="n">
        <v>139592.5058973892</v>
      </c>
    </row>
    <row r="318" spans="1:15" x14ac:dyDescent="0.2">
      <c r="A318" t="s">
        <v>297</v>
      </c>
      <c r="B318">
        <f>O318*$B$1</f>
        <v>870027.32078039099</v>
      </c>
      <c r="N318" t="s">
        <v>297</v>
      </c>
      <c r="O318" s="105" t="n">
        <v>781999.9252361297</v>
      </c>
    </row>
    <row r="319" spans="1:15" x14ac:dyDescent="0.2">
      <c r="A319" t="s">
        <v>298</v>
      </c>
      <c r="B319">
        <f>O319*$B$1</f>
        <v>650117.12699459423</v>
      </c>
      <c r="N319" t="s">
        <v>298</v>
      </c>
      <c r="O319" s="105" t="n">
        <v>661165.3025854051</v>
      </c>
    </row>
    <row r="320" spans="1:15" x14ac:dyDescent="0.2">
      <c r="A320" t="s">
        <v>299</v>
      </c>
      <c r="B320">
        <f>O320*$B$1</f>
        <v>1992857.9801793641</v>
      </c>
      <c r="N320" t="s">
        <v>299</v>
      </c>
      <c r="O320" s="105" t="n">
        <v>2187622.0330731017</v>
      </c>
    </row>
    <row r="322" spans="1:16" x14ac:dyDescent="0.2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2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2">
      <c r="A324" t="s">
        <v>98</v>
      </c>
      <c r="B324">
        <f>O324*$B$1</f>
        <v>166401.65160679657</v>
      </c>
      <c r="N324" t="s">
        <v>98</v>
      </c>
      <c r="O324" s="105" t="n">
        <v>124140.3946447753</v>
      </c>
    </row>
    <row r="325" spans="1:16" x14ac:dyDescent="0.2">
      <c r="A325" t="s">
        <v>281</v>
      </c>
      <c r="B325">
        <f>O325*$B$1</f>
        <v>1015877.8531804486</v>
      </c>
      <c r="N325" t="s">
        <v>281</v>
      </c>
      <c r="O325" s="105" t="n">
        <v>1063808.104137812</v>
      </c>
    </row>
    <row r="326" spans="1:16" x14ac:dyDescent="0.2">
      <c r="A326" t="s">
        <v>282</v>
      </c>
      <c r="B326">
        <f>O326*$B$1</f>
        <v>1995597.8115541458</v>
      </c>
      <c r="N326" t="s">
        <v>282</v>
      </c>
      <c r="O326" s="105" t="n">
        <v>2010229.5037751324</v>
      </c>
    </row>
    <row r="327" spans="1:16" x14ac:dyDescent="0.2">
      <c r="A327" t="s">
        <v>283</v>
      </c>
      <c r="B327">
        <f>O327*$B$1</f>
        <v>564597.50212249986</v>
      </c>
      <c r="N327" t="s">
        <v>283</v>
      </c>
      <c r="O327" s="105" t="n">
        <v>573700.2974421806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2">
      <c r="A331" t="s">
        <v>3919</v>
      </c>
      <c r="B331">
        <f>O331*$B$1</f>
        <v>152941.5</v>
      </c>
      <c r="N331">
        <v>1</v>
      </c>
      <c r="O331" s="105" t="n">
        <v>155319.35</v>
      </c>
    </row>
    <row r="332" spans="1:16" x14ac:dyDescent="0.2">
      <c r="A332" t="s">
        <v>3920</v>
      </c>
      <c r="B332">
        <f>O332*$B$1</f>
        <v>9701</v>
      </c>
      <c r="N332">
        <v>2</v>
      </c>
      <c r="O332" s="105" t="n">
        <v>9718.600000000004</v>
      </c>
    </row>
    <row r="333" spans="1:16" x14ac:dyDescent="0.2">
      <c r="A333" t="s">
        <v>3921</v>
      </c>
      <c r="B333">
        <f>O333*$B$1</f>
        <v>135841.5</v>
      </c>
      <c r="N333">
        <v>3</v>
      </c>
      <c r="O333" s="105" t="n">
        <v>137808.30000000013</v>
      </c>
    </row>
    <row r="334" spans="1:16" x14ac:dyDescent="0.2">
      <c r="A334" t="s">
        <v>3922</v>
      </c>
      <c r="B334">
        <f>O334*$B$1</f>
        <v>108932</v>
      </c>
      <c r="N334">
        <v>4</v>
      </c>
      <c r="O334" s="105" t="n">
        <v>112630.59999999993</v>
      </c>
    </row>
    <row r="335" spans="1:16" x14ac:dyDescent="0.2">
      <c r="A335" t="s">
        <v>1522</v>
      </c>
      <c r="B335">
        <f ref="B335:B337" si="106" t="shared">O335*$B$1</f>
        <v>623275.53186630248</v>
      </c>
      <c r="N335">
        <v>5</v>
      </c>
      <c r="O335" t="n">
        <v>625915.9999999987</v>
      </c>
    </row>
    <row r="336" spans="1:16" x14ac:dyDescent="0.2">
      <c r="A336" t="s">
        <v>3923</v>
      </c>
      <c r="B336">
        <f si="106" t="shared"/>
        <v>54870.858576608582</v>
      </c>
      <c r="N336">
        <v>6</v>
      </c>
      <c r="O336" t="n">
        <v>55010.000000002605</v>
      </c>
    </row>
    <row r="337" spans="1:15" x14ac:dyDescent="0.2">
      <c r="A337" t="s">
        <v>3924</v>
      </c>
      <c r="B337">
        <f si="106" t="shared"/>
        <v>2656912.4280209807</v>
      </c>
      <c r="O337" t="n">
        <v>2675475.449999948</v>
      </c>
    </row>
  </sheetData>
  <phoneticPr fontId="6"/>
  <pageMargins bottom="1" footer="0.5" header="0.5" left="0.75" right="0.75" top="1"/>
  <pageSetup orientation="portrait" r:id="rId1"/>
  <headerFooter alignWithMargins="0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W337"/>
  <sheetViews>
    <sheetView topLeftCell="C210" workbookViewId="0">
      <selection activeCell="N220" sqref="N220:U228"/>
    </sheetView>
  </sheetViews>
  <sheetFormatPr defaultColWidth="11" defaultRowHeight="12.75" x14ac:dyDescent="0.2"/>
  <sheetData>
    <row r="1" spans="1:23" x14ac:dyDescent="0.2">
      <c r="A1" t="s">
        <v>290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J7" si="0" t="shared">O4*$B$1</f>
        <v>133589.2432</v>
      </c>
      <c r="C4">
        <f si="0" t="shared"/>
        <v>52345.508900000001</v>
      </c>
      <c r="D4">
        <f si="0" t="shared"/>
        <v>98804.242599999998</v>
      </c>
      <c r="E4">
        <f si="0" t="shared"/>
        <v>138794.01149999999</v>
      </c>
      <c r="F4">
        <f si="0" t="shared"/>
        <v>14349.929399999999</v>
      </c>
      <c r="G4">
        <f si="0" t="shared"/>
        <v>10939.2585</v>
      </c>
      <c r="H4">
        <f si="0" t="shared"/>
        <v>73420.644700000004</v>
      </c>
      <c r="I4">
        <f si="0" t="shared"/>
        <v>75248.821500000005</v>
      </c>
      <c r="J4">
        <f si="0" t="shared"/>
        <v>597491.66029999999</v>
      </c>
      <c r="N4">
        <v>0</v>
      </c>
      <c r="O4" t="n">
        <v>133589.2432</v>
      </c>
      <c r="P4" t="n">
        <v>52345.5089</v>
      </c>
      <c r="Q4" t="n">
        <v>98804.2426</v>
      </c>
      <c r="R4" t="n">
        <v>138794.0115</v>
      </c>
      <c r="S4" t="n">
        <v>14349.929399999999</v>
      </c>
      <c r="T4" t="n">
        <v>10939.2585</v>
      </c>
      <c r="U4" t="n">
        <v>73420.6447</v>
      </c>
      <c r="V4" t="n">
        <v>75248.8215</v>
      </c>
      <c r="W4">
        <f>SUM(O4:V4)</f>
        <v>597491.66029999999</v>
      </c>
    </row>
    <row r="5" spans="1:23" x14ac:dyDescent="0.2">
      <c r="A5">
        <v>1</v>
      </c>
      <c r="B5">
        <f si="0" t="shared"/>
        <v>841078.6716</v>
      </c>
      <c r="C5">
        <f si="0" t="shared"/>
        <v>151297.4866</v>
      </c>
      <c r="D5">
        <f si="0" t="shared"/>
        <v>169643.10519999999</v>
      </c>
      <c r="E5">
        <f si="0" t="shared"/>
        <v>233293.49830000001</v>
      </c>
      <c r="F5">
        <f si="0" t="shared"/>
        <v>60544.9401</v>
      </c>
      <c r="G5">
        <f si="0" t="shared"/>
        <v>52315.058900000004</v>
      </c>
      <c r="H5">
        <f si="0" t="shared"/>
        <v>293269.97470000002</v>
      </c>
      <c r="I5">
        <f si="0" t="shared"/>
        <v>120674.7025</v>
      </c>
      <c r="J5">
        <f si="0" t="shared"/>
        <v>1922117.4379</v>
      </c>
      <c r="N5">
        <v>1</v>
      </c>
      <c r="O5" t="n">
        <v>841078.6716</v>
      </c>
      <c r="P5" t="n">
        <v>151297.4866</v>
      </c>
      <c r="Q5" t="n">
        <v>169643.1052</v>
      </c>
      <c r="R5" t="n">
        <v>233293.4983</v>
      </c>
      <c r="S5" t="n">
        <v>60544.9401</v>
      </c>
      <c r="T5" t="n">
        <v>52315.0589</v>
      </c>
      <c r="U5" t="n">
        <v>293269.9747</v>
      </c>
      <c r="V5" t="n">
        <v>120674.7025</v>
      </c>
      <c r="W5">
        <f>SUM(O5:V5)</f>
        <v>1922117.4379</v>
      </c>
    </row>
    <row r="6" spans="1:23" x14ac:dyDescent="0.2">
      <c r="A6">
        <v>2</v>
      </c>
      <c r="B6">
        <f si="0" t="shared"/>
        <v>344297.10820000002</v>
      </c>
      <c r="C6">
        <f si="0" t="shared"/>
        <v>88542.419299999994</v>
      </c>
      <c r="D6">
        <f si="0" t="shared"/>
        <v>87984.228799999997</v>
      </c>
      <c r="E6">
        <f si="0" t="shared"/>
        <v>133133.39629999999</v>
      </c>
      <c r="F6">
        <f si="0" t="shared"/>
        <v>25108.126700000001</v>
      </c>
      <c r="G6">
        <f si="0" t="shared"/>
        <v>12935.2233</v>
      </c>
      <c r="H6">
        <f si="0" t="shared"/>
        <v>128967.9434</v>
      </c>
      <c r="I6">
        <f si="0" t="shared"/>
        <v>60024.7399</v>
      </c>
      <c r="J6">
        <f si="0" t="shared"/>
        <v>880993.18590000004</v>
      </c>
      <c r="N6">
        <v>2</v>
      </c>
      <c r="O6" t="n">
        <v>344297.1082</v>
      </c>
      <c r="P6" t="n">
        <v>88542.4193</v>
      </c>
      <c r="Q6" t="n">
        <v>87984.2288</v>
      </c>
      <c r="R6" t="n">
        <v>133133.3963</v>
      </c>
      <c r="S6" t="n">
        <v>25108.1267</v>
      </c>
      <c r="T6" t="n">
        <v>12935.2233</v>
      </c>
      <c r="U6" t="n">
        <v>128967.9434</v>
      </c>
      <c r="V6" t="n">
        <v>60024.7399</v>
      </c>
      <c r="W6">
        <f>SUM(O6:V6)</f>
        <v>880993.18590000004</v>
      </c>
    </row>
    <row r="7" spans="1:23" x14ac:dyDescent="0.2">
      <c r="A7">
        <v>3</v>
      </c>
      <c r="B7">
        <f si="0" t="shared"/>
        <v>93624.719400000002</v>
      </c>
      <c r="C7">
        <f si="0" t="shared"/>
        <v>48770.2673</v>
      </c>
      <c r="D7">
        <f si="0" t="shared"/>
        <v>28660.4018</v>
      </c>
      <c r="E7">
        <f si="0" t="shared"/>
        <v>87067.762300000002</v>
      </c>
      <c r="F7">
        <f si="0" t="shared"/>
        <v>11475.939399999999</v>
      </c>
      <c r="G7">
        <f si="0" t="shared"/>
        <v>2310.0034999999998</v>
      </c>
      <c r="H7">
        <f si="0" t="shared"/>
        <v>20257.363099999999</v>
      </c>
      <c r="I7">
        <f si="0" t="shared"/>
        <v>15749.225700000001</v>
      </c>
      <c r="J7">
        <f si="0" t="shared"/>
        <v>307915.6825</v>
      </c>
      <c r="N7">
        <v>3</v>
      </c>
      <c r="O7" t="n">
        <v>93624.7194</v>
      </c>
      <c r="P7" t="n">
        <v>48770.2673</v>
      </c>
      <c r="Q7" t="n">
        <v>28660.4018</v>
      </c>
      <c r="R7" t="n">
        <v>87067.7623</v>
      </c>
      <c r="S7" t="n">
        <v>11475.9394</v>
      </c>
      <c r="T7" t="n">
        <v>2310.0035</v>
      </c>
      <c r="U7" t="n">
        <v>20257.3631</v>
      </c>
      <c r="V7" t="n">
        <v>15749.2257</v>
      </c>
      <c r="W7">
        <f>SUM(O7:V7)</f>
        <v>307915.6825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226</v>
      </c>
      <c r="B11">
        <f ref="B11:J23" si="1" t="shared">O11*$B$1</f>
        <v>133589.2432</v>
      </c>
      <c r="C11">
        <f si="1" t="shared"/>
        <v>52345.508900000001</v>
      </c>
      <c r="D11">
        <f si="1" t="shared"/>
        <v>98804.242599999998</v>
      </c>
      <c r="E11">
        <f si="1" t="shared"/>
        <v>138794.01149999999</v>
      </c>
      <c r="F11">
        <f si="1" t="shared"/>
        <v>14349.929399999999</v>
      </c>
      <c r="G11">
        <f si="1" t="shared"/>
        <v>10939.2585</v>
      </c>
      <c r="H11">
        <f si="1" t="shared"/>
        <v>73420.644700000004</v>
      </c>
      <c r="I11">
        <f si="1" t="shared"/>
        <v>75248.821500000005</v>
      </c>
      <c r="J11">
        <f si="1" t="shared"/>
        <v>597491.66029999999</v>
      </c>
      <c r="N11" t="s">
        <v>226</v>
      </c>
      <c r="O11" t="n">
        <v>133589.2432</v>
      </c>
      <c r="P11" t="n">
        <v>52345.5089</v>
      </c>
      <c r="Q11" t="n">
        <v>98804.2426</v>
      </c>
      <c r="R11" t="n">
        <v>138794.0115</v>
      </c>
      <c r="S11" t="n">
        <v>14349.929399999999</v>
      </c>
      <c r="T11" t="n">
        <v>10939.2585</v>
      </c>
      <c r="U11" t="n">
        <v>73420.6447</v>
      </c>
      <c r="V11" t="n">
        <v>75248.8215</v>
      </c>
      <c r="W11">
        <f>SUM(O11:V11)</f>
        <v>597491.66029999999</v>
      </c>
    </row>
    <row r="12" spans="1:23" x14ac:dyDescent="0.2">
      <c r="A12" s="95" t="s">
        <v>231</v>
      </c>
      <c r="B12">
        <f si="1" t="shared"/>
        <v>377747.32630000002</v>
      </c>
      <c r="C12">
        <f si="1" t="shared"/>
        <v>58587.577599999997</v>
      </c>
      <c r="D12">
        <f si="1" t="shared"/>
        <v>66169.390400000004</v>
      </c>
      <c r="E12">
        <f si="1" t="shared"/>
        <v>114436.3297</v>
      </c>
      <c r="F12">
        <f si="1" t="shared"/>
        <v>21088.5406</v>
      </c>
      <c r="G12">
        <f si="1" t="shared"/>
        <v>42364.337099999997</v>
      </c>
      <c r="H12">
        <f si="1" t="shared"/>
        <v>198849.9216</v>
      </c>
      <c r="I12">
        <f si="1" t="shared"/>
        <v>69193.017699999997</v>
      </c>
      <c r="J12">
        <f si="1" t="shared"/>
        <v>948436.44099999999</v>
      </c>
      <c r="N12" s="95" t="s">
        <v>231</v>
      </c>
      <c r="O12" t="n">
        <v>377747.3263</v>
      </c>
      <c r="P12" t="n">
        <v>58587.5776</v>
      </c>
      <c r="Q12" t="n">
        <v>66169.3904</v>
      </c>
      <c r="R12" t="n">
        <v>114436.3297</v>
      </c>
      <c r="S12" t="n">
        <v>21088.5406</v>
      </c>
      <c r="T12" t="n">
        <v>42364.3371</v>
      </c>
      <c r="U12" t="n">
        <v>198849.9216</v>
      </c>
      <c r="V12" t="n">
        <v>69193.0177</v>
      </c>
      <c r="W12">
        <f ref="W12:W23" si="2" t="shared">SUM(O12:V12)</f>
        <v>948436.44099999999</v>
      </c>
    </row>
    <row r="13" spans="1:23" x14ac:dyDescent="0.2">
      <c r="A13" s="93" t="s">
        <v>232</v>
      </c>
      <c r="B13">
        <f si="1" t="shared"/>
        <v>200024.98610000001</v>
      </c>
      <c r="C13">
        <f si="1" t="shared"/>
        <v>41779.876799999998</v>
      </c>
      <c r="D13">
        <f si="1" t="shared"/>
        <v>35920.774700000002</v>
      </c>
      <c r="E13">
        <f si="1" t="shared"/>
        <v>60051.396500000003</v>
      </c>
      <c r="F13">
        <f si="1" t="shared"/>
        <v>15567.2601</v>
      </c>
      <c r="G13">
        <f si="1" t="shared"/>
        <v>6553.0110999999997</v>
      </c>
      <c r="H13">
        <f si="1" t="shared"/>
        <v>40574.814700000003</v>
      </c>
      <c r="I13">
        <f si="1" t="shared"/>
        <v>28176.842100000002</v>
      </c>
      <c r="J13">
        <f si="1" t="shared"/>
        <v>428648.96210000006</v>
      </c>
      <c r="N13" s="93" t="s">
        <v>232</v>
      </c>
      <c r="O13" t="n">
        <v>200024.9861</v>
      </c>
      <c r="P13" t="n">
        <v>41779.8768</v>
      </c>
      <c r="Q13" t="n">
        <v>35920.7747</v>
      </c>
      <c r="R13" t="n">
        <v>60051.3965</v>
      </c>
      <c r="S13" t="n">
        <v>15567.2601</v>
      </c>
      <c r="T13" t="n">
        <v>6553.0111</v>
      </c>
      <c r="U13" t="n">
        <v>40574.8147</v>
      </c>
      <c r="V13" t="n">
        <v>28176.8421</v>
      </c>
      <c r="W13">
        <f si="2" t="shared"/>
        <v>428648.96210000006</v>
      </c>
    </row>
    <row r="14" spans="1:23" x14ac:dyDescent="0.2">
      <c r="A14" s="93" t="s">
        <v>207</v>
      </c>
      <c r="B14">
        <f si="1" t="shared"/>
        <v>142675.4374</v>
      </c>
      <c r="C14">
        <f si="1" t="shared"/>
        <v>25557.249100000001</v>
      </c>
      <c r="D14">
        <f si="1" t="shared"/>
        <v>32191.101699999999</v>
      </c>
      <c r="E14">
        <f si="1" t="shared"/>
        <v>27161.731800000001</v>
      </c>
      <c r="F14">
        <f si="1" t="shared"/>
        <v>11732.017400000001</v>
      </c>
      <c r="G14">
        <f si="1" t="shared"/>
        <v>1867.7065</v>
      </c>
      <c r="H14">
        <f si="1" t="shared"/>
        <v>37721.159599999999</v>
      </c>
      <c r="I14">
        <f si="1" t="shared"/>
        <v>12199.2299</v>
      </c>
      <c r="J14">
        <f si="1" t="shared"/>
        <v>291105.63339999999</v>
      </c>
      <c r="N14" s="93" t="s">
        <v>207</v>
      </c>
      <c r="O14" t="n">
        <v>142675.4374</v>
      </c>
      <c r="P14" t="n">
        <v>25557.2491</v>
      </c>
      <c r="Q14" t="n">
        <v>32191.1017</v>
      </c>
      <c r="R14" t="n">
        <v>27161.7318</v>
      </c>
      <c r="S14" t="n">
        <v>11732.0174</v>
      </c>
      <c r="T14" t="n">
        <v>1867.7065</v>
      </c>
      <c r="U14" t="n">
        <v>37721.1596</v>
      </c>
      <c r="V14" t="n">
        <v>12199.2299</v>
      </c>
      <c r="W14">
        <f si="2" t="shared"/>
        <v>291105.63339999999</v>
      </c>
    </row>
    <row r="15" spans="1:23" x14ac:dyDescent="0.2">
      <c r="A15" t="s">
        <v>9</v>
      </c>
      <c r="B15">
        <f si="1" t="shared"/>
        <v>120630.9218</v>
      </c>
      <c r="C15">
        <f si="1" t="shared"/>
        <v>25372.783100000001</v>
      </c>
      <c r="D15">
        <f si="1" t="shared"/>
        <v>35361.838400000001</v>
      </c>
      <c r="E15">
        <f si="1" t="shared"/>
        <v>31644.040300000001</v>
      </c>
      <c r="F15">
        <f si="1" t="shared"/>
        <v>12157.121999999999</v>
      </c>
      <c r="G15">
        <f si="1" t="shared"/>
        <v>1530.0042000000001</v>
      </c>
      <c r="H15">
        <f si="1" t="shared"/>
        <v>16124.078800000001</v>
      </c>
      <c r="I15">
        <f si="1" t="shared"/>
        <v>11105.612800000001</v>
      </c>
      <c r="J15">
        <f si="1" t="shared"/>
        <v>253926.4014</v>
      </c>
      <c r="N15" t="s">
        <v>9</v>
      </c>
      <c r="O15" t="n">
        <v>120630.9218</v>
      </c>
      <c r="P15" t="n">
        <v>25372.7831</v>
      </c>
      <c r="Q15" t="n">
        <v>35361.8384</v>
      </c>
      <c r="R15" t="n">
        <v>31644.0403</v>
      </c>
      <c r="S15" t="n">
        <v>12157.122</v>
      </c>
      <c r="T15" t="n">
        <v>1530.0042</v>
      </c>
      <c r="U15" t="n">
        <v>16124.078800000001</v>
      </c>
      <c r="V15" t="n">
        <v>11105.6128</v>
      </c>
      <c r="W15">
        <f si="2" t="shared"/>
        <v>253926.4014</v>
      </c>
    </row>
    <row r="16" spans="1:23" x14ac:dyDescent="0.2">
      <c r="A16" s="95" t="s">
        <v>233</v>
      </c>
      <c r="B16">
        <f si="1" t="shared"/>
        <v>128582.4902</v>
      </c>
      <c r="C16">
        <f si="1" t="shared"/>
        <v>31988.435600000001</v>
      </c>
      <c r="D16">
        <f si="1" t="shared"/>
        <v>33327.541499999999</v>
      </c>
      <c r="E16">
        <f si="1" t="shared"/>
        <v>44108.813199999997</v>
      </c>
      <c r="F16">
        <f si="1" t="shared"/>
        <v>7189.4974000000002</v>
      </c>
      <c r="G16">
        <f si="1" t="shared"/>
        <v>6343.6036000000004</v>
      </c>
      <c r="H16">
        <f si="1" t="shared"/>
        <v>71646.120899999994</v>
      </c>
      <c r="I16">
        <f si="1" t="shared"/>
        <v>20279.749499999998</v>
      </c>
      <c r="J16">
        <f si="1" t="shared"/>
        <v>343466.25189999997</v>
      </c>
      <c r="N16" s="95" t="s">
        <v>233</v>
      </c>
      <c r="O16" t="n">
        <v>128582.4902</v>
      </c>
      <c r="P16" t="n">
        <v>31988.4356</v>
      </c>
      <c r="Q16" t="n">
        <v>33327.5415</v>
      </c>
      <c r="R16" t="n">
        <v>44108.8132</v>
      </c>
      <c r="S16" t="n">
        <v>7189.4974</v>
      </c>
      <c r="T16" t="n">
        <v>6343.6036</v>
      </c>
      <c r="U16" t="n">
        <v>71646.1209</v>
      </c>
      <c r="V16" t="n">
        <v>20279.749499999998</v>
      </c>
      <c r="W16">
        <f si="2" t="shared"/>
        <v>343466.25189999997</v>
      </c>
    </row>
    <row r="17" spans="1:23" x14ac:dyDescent="0.2">
      <c r="A17" s="93" t="s">
        <v>234</v>
      </c>
      <c r="B17">
        <f si="1" t="shared"/>
        <v>83277.632100000003</v>
      </c>
      <c r="C17">
        <f si="1" t="shared"/>
        <v>20990.624</v>
      </c>
      <c r="D17">
        <f si="1" t="shared"/>
        <v>18624.7988</v>
      </c>
      <c r="E17">
        <f si="1" t="shared"/>
        <v>31855.793700000002</v>
      </c>
      <c r="F17">
        <f si="1" t="shared"/>
        <v>7361.0712000000003</v>
      </c>
      <c r="G17">
        <f si="1" t="shared"/>
        <v>3671.1267000000003</v>
      </c>
      <c r="H17">
        <f si="1" t="shared"/>
        <v>33107.998200000002</v>
      </c>
      <c r="I17">
        <f si="1" t="shared"/>
        <v>16527.154900000001</v>
      </c>
      <c r="J17">
        <f si="1" t="shared"/>
        <v>215416.19959999999</v>
      </c>
      <c r="N17" s="93" t="s">
        <v>234</v>
      </c>
      <c r="O17" t="n">
        <v>83277.6321</v>
      </c>
      <c r="P17" t="n">
        <v>20990.624</v>
      </c>
      <c r="Q17" t="n">
        <v>18624.7988</v>
      </c>
      <c r="R17" t="n">
        <v>31855.793700000002</v>
      </c>
      <c r="S17" t="n">
        <v>7361.0712</v>
      </c>
      <c r="T17" t="n">
        <v>3671.1267000000003</v>
      </c>
      <c r="U17" t="n">
        <v>33107.9982</v>
      </c>
      <c r="V17" t="n">
        <v>16527.1549</v>
      </c>
      <c r="W17">
        <f si="2" t="shared"/>
        <v>215416.19959999999</v>
      </c>
    </row>
    <row r="18" spans="1:23" x14ac:dyDescent="0.2">
      <c r="A18" s="93" t="s">
        <v>208</v>
      </c>
      <c r="B18">
        <f si="1" t="shared"/>
        <v>63249.097000000002</v>
      </c>
      <c r="C18">
        <f si="1" t="shared"/>
        <v>15951.5651</v>
      </c>
      <c r="D18">
        <f si="1" t="shared"/>
        <v>15731.315000000001</v>
      </c>
      <c r="E18">
        <f si="1" t="shared"/>
        <v>21410.5121</v>
      </c>
      <c r="F18">
        <f si="1" t="shared"/>
        <v>4448.7123000000001</v>
      </c>
      <c r="G18">
        <f si="1" t="shared"/>
        <v>716.88099999999997</v>
      </c>
      <c r="H18">
        <f si="1" t="shared"/>
        <v>16365.447399999999</v>
      </c>
      <c r="I18">
        <f si="1" t="shared"/>
        <v>9447.9115000000002</v>
      </c>
      <c r="J18">
        <f si="1" t="shared"/>
        <v>147321.44139999998</v>
      </c>
      <c r="N18" s="93" t="s">
        <v>208</v>
      </c>
      <c r="O18" t="n">
        <v>63249.097</v>
      </c>
      <c r="P18" t="n">
        <v>15951.5651</v>
      </c>
      <c r="Q18" t="n">
        <v>15731.315</v>
      </c>
      <c r="R18" t="n">
        <v>21410.5121</v>
      </c>
      <c r="S18" t="n">
        <v>4448.7123</v>
      </c>
      <c r="T18" t="n">
        <v>716.881</v>
      </c>
      <c r="U18" t="n">
        <v>16365.4474</v>
      </c>
      <c r="V18" t="n">
        <v>9447.9115</v>
      </c>
      <c r="W18">
        <f si="2" t="shared"/>
        <v>147321.44139999998</v>
      </c>
    </row>
    <row r="19" spans="1:23" x14ac:dyDescent="0.2">
      <c r="A19" t="s">
        <v>10</v>
      </c>
      <c r="B19">
        <f si="1" t="shared"/>
        <v>69187.888900000005</v>
      </c>
      <c r="C19">
        <f si="1" t="shared"/>
        <v>19611.794600000001</v>
      </c>
      <c r="D19">
        <f si="1" t="shared"/>
        <v>20300.573499999999</v>
      </c>
      <c r="E19">
        <f si="1" t="shared"/>
        <v>35758.277300000002</v>
      </c>
      <c r="F19">
        <f si="1" t="shared"/>
        <v>6108.8458000000001</v>
      </c>
      <c r="G19">
        <f si="1" t="shared"/>
        <v>2203.6120000000001</v>
      </c>
      <c r="H19">
        <f si="1" t="shared"/>
        <v>7848.3769000000002</v>
      </c>
      <c r="I19">
        <f si="1" t="shared"/>
        <v>13769.924000000001</v>
      </c>
      <c r="J19">
        <f si="1" t="shared"/>
        <v>174789.29300000001</v>
      </c>
      <c r="N19" t="s">
        <v>10</v>
      </c>
      <c r="O19" t="n">
        <v>69187.8889</v>
      </c>
      <c r="P19" t="n">
        <v>19611.7946</v>
      </c>
      <c r="Q19" t="n">
        <v>20300.5735</v>
      </c>
      <c r="R19" t="n">
        <v>35758.2773</v>
      </c>
      <c r="S19" t="n">
        <v>6108.8458</v>
      </c>
      <c r="T19" t="n">
        <v>2203.612</v>
      </c>
      <c r="U19" t="n">
        <v>7848.3769</v>
      </c>
      <c r="V19" t="n">
        <v>13769.924</v>
      </c>
      <c r="W19">
        <f si="2" t="shared"/>
        <v>174789.29300000001</v>
      </c>
    </row>
    <row r="20" spans="1:23" x14ac:dyDescent="0.2">
      <c r="A20" s="95" t="s">
        <v>227</v>
      </c>
      <c r="B20">
        <f si="1" t="shared"/>
        <v>30193.672299999998</v>
      </c>
      <c r="C20">
        <f si="1" t="shared"/>
        <v>13044.925800000001</v>
      </c>
      <c r="D20">
        <f si="1" t="shared"/>
        <v>10862.3963</v>
      </c>
      <c r="E20">
        <f si="1" t="shared"/>
        <v>31364.203399999999</v>
      </c>
      <c r="F20">
        <f si="1" t="shared"/>
        <v>2919.1940999999997</v>
      </c>
      <c r="G20">
        <f si="1" t="shared"/>
        <v>1276.2311</v>
      </c>
      <c r="H20">
        <f si="1" t="shared"/>
        <v>8200.3914000000004</v>
      </c>
      <c r="I20">
        <f si="1" t="shared"/>
        <v>3920.2066</v>
      </c>
      <c r="J20">
        <f si="1" t="shared"/>
        <v>101781.22099999999</v>
      </c>
      <c r="N20" s="95" t="s">
        <v>227</v>
      </c>
      <c r="O20" t="n">
        <v>30193.6723</v>
      </c>
      <c r="P20" t="n">
        <v>13044.9258</v>
      </c>
      <c r="Q20" t="n">
        <v>10862.3963</v>
      </c>
      <c r="R20" t="n">
        <v>31364.2034</v>
      </c>
      <c r="S20" t="n">
        <v>2919.1940999999997</v>
      </c>
      <c r="T20" t="n">
        <v>1276.2311</v>
      </c>
      <c r="U20" t="n">
        <v>8200.3914</v>
      </c>
      <c r="V20" t="n">
        <v>3920.2066</v>
      </c>
      <c r="W20">
        <f si="2" t="shared"/>
        <v>101781.22099999999</v>
      </c>
    </row>
    <row r="21" spans="1:23" x14ac:dyDescent="0.2">
      <c r="A21" s="93" t="s">
        <v>230</v>
      </c>
      <c r="B21">
        <f si="1" t="shared"/>
        <v>26638.0461</v>
      </c>
      <c r="C21">
        <f si="1" t="shared"/>
        <v>13930.504300000001</v>
      </c>
      <c r="D21">
        <f si="1" t="shared"/>
        <v>6443.3931999999995</v>
      </c>
      <c r="E21">
        <f si="1" t="shared"/>
        <v>18856.1813</v>
      </c>
      <c r="F21">
        <f si="1" t="shared"/>
        <v>2026.6964</v>
      </c>
      <c r="G21">
        <f si="1" t="shared"/>
        <v>624.63400000000001</v>
      </c>
      <c r="H21">
        <f si="1" t="shared"/>
        <v>7619.9182000000001</v>
      </c>
      <c r="I21">
        <f si="1" t="shared"/>
        <v>2962.8834000000002</v>
      </c>
      <c r="J21">
        <f si="1" t="shared"/>
        <v>79102.256900000008</v>
      </c>
      <c r="N21" s="93" t="s">
        <v>230</v>
      </c>
      <c r="O21" t="n">
        <v>26638.0461</v>
      </c>
      <c r="P21" t="n">
        <v>13930.5043</v>
      </c>
      <c r="Q21" t="n">
        <v>6443.3931999999995</v>
      </c>
      <c r="R21" t="n">
        <v>18856.1813</v>
      </c>
      <c r="S21" t="n">
        <v>2026.6964</v>
      </c>
      <c r="T21" t="n">
        <v>624.634</v>
      </c>
      <c r="U21" t="n">
        <v>7619.9182</v>
      </c>
      <c r="V21" t="n">
        <v>2962.8834</v>
      </c>
      <c r="W21">
        <f si="2" t="shared"/>
        <v>79102.256900000008</v>
      </c>
    </row>
    <row r="22" spans="1:23" x14ac:dyDescent="0.2">
      <c r="A22" s="93" t="s">
        <v>11</v>
      </c>
      <c r="B22">
        <f si="1" t="shared"/>
        <v>11933.115600000001</v>
      </c>
      <c r="C22">
        <f si="1" t="shared"/>
        <v>6204.84</v>
      </c>
      <c r="D22">
        <f si="1" t="shared"/>
        <v>4497.2606999999998</v>
      </c>
      <c r="E22">
        <f si="1" t="shared"/>
        <v>10571.4203</v>
      </c>
      <c r="F22">
        <f si="1" t="shared"/>
        <v>2807.8681000000001</v>
      </c>
      <c r="G22">
        <f si="1" t="shared"/>
        <v>409.13839999999999</v>
      </c>
      <c r="H22">
        <f si="1" t="shared"/>
        <v>1336.7948000000001</v>
      </c>
      <c r="I22">
        <f si="1" t="shared"/>
        <v>4361.8217999999997</v>
      </c>
      <c r="J22">
        <f si="1" t="shared"/>
        <v>42122.259700000002</v>
      </c>
      <c r="N22" s="93" t="s">
        <v>11</v>
      </c>
      <c r="O22" t="n">
        <v>11933.115600000001</v>
      </c>
      <c r="P22" t="n">
        <v>6204.84</v>
      </c>
      <c r="Q22" t="n">
        <v>4497.2607</v>
      </c>
      <c r="R22" t="n">
        <v>10571.4203</v>
      </c>
      <c r="S22" t="n">
        <v>2807.8681</v>
      </c>
      <c r="T22" t="n">
        <v>409.1384</v>
      </c>
      <c r="U22" t="n">
        <v>1336.7948000000001</v>
      </c>
      <c r="V22" t="n">
        <v>4361.8218</v>
      </c>
      <c r="W22">
        <f si="2" t="shared"/>
        <v>42122.259700000002</v>
      </c>
    </row>
    <row r="23" spans="1:23" x14ac:dyDescent="0.2">
      <c r="A23" t="s">
        <v>206</v>
      </c>
      <c r="B23">
        <f si="1" t="shared"/>
        <v>24859.885399999999</v>
      </c>
      <c r="C23">
        <f si="1" t="shared"/>
        <v>15589.9972</v>
      </c>
      <c r="D23">
        <f si="1" t="shared"/>
        <v>6857.3516</v>
      </c>
      <c r="E23">
        <f si="1" t="shared"/>
        <v>26275.957299999998</v>
      </c>
      <c r="F23">
        <f si="1" t="shared"/>
        <v>3722.1808000000001</v>
      </c>
      <c r="G23">
        <f si="1" t="shared"/>
        <v>0</v>
      </c>
      <c r="H23">
        <f si="1" t="shared"/>
        <v>3100.2586999999999</v>
      </c>
      <c r="I23">
        <f si="1" t="shared"/>
        <v>4504.3139000000001</v>
      </c>
      <c r="J23">
        <f si="1" t="shared"/>
        <v>84909.944900000002</v>
      </c>
      <c r="N23" t="s">
        <v>206</v>
      </c>
      <c r="O23" t="n">
        <v>24859.8854</v>
      </c>
      <c r="P23" t="n">
        <v>15589.9972</v>
      </c>
      <c r="Q23" t="n">
        <v>6857.3516</v>
      </c>
      <c r="R23" t="n">
        <v>26275.9573</v>
      </c>
      <c r="S23" t="n">
        <v>3722.1808</v>
      </c>
      <c r="T23" t="n">
        <v>0.0</v>
      </c>
      <c r="U23" t="n">
        <v>3100.2587</v>
      </c>
      <c r="V23" t="n">
        <v>4504.3139</v>
      </c>
      <c r="W23">
        <f si="2" t="shared"/>
        <v>84909.944900000002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226</v>
      </c>
      <c r="B29">
        <f ref="B29:J32" si="3" t="shared">O29*$B$1</f>
        <v>309978.09000000003</v>
      </c>
      <c r="C29">
        <f si="3" t="shared"/>
        <v>192987.40669999999</v>
      </c>
      <c r="D29">
        <f si="3" t="shared"/>
        <v>371501.76870000002</v>
      </c>
      <c r="E29">
        <f si="3" t="shared"/>
        <v>567106.41650000005</v>
      </c>
      <c r="F29">
        <f si="3" t="shared"/>
        <v>58277.5726</v>
      </c>
      <c r="G29">
        <f si="3" t="shared"/>
        <v>75735.547900000005</v>
      </c>
      <c r="H29">
        <f si="3" t="shared"/>
        <v>514385.86489999999</v>
      </c>
      <c r="I29">
        <f si="3" t="shared"/>
        <v>271129.36839999998</v>
      </c>
      <c r="J29">
        <f si="3" t="shared"/>
        <v>2361102.0357000004</v>
      </c>
      <c r="N29" t="s">
        <v>226</v>
      </c>
      <c r="O29" t="n">
        <v>309978.09</v>
      </c>
      <c r="P29" t="n">
        <v>192987.4067</v>
      </c>
      <c r="Q29" t="n">
        <v>371501.7687</v>
      </c>
      <c r="R29" t="n">
        <v>567106.4165</v>
      </c>
      <c r="S29" t="n">
        <v>58277.5726</v>
      </c>
      <c r="T29" t="n">
        <v>75735.5479</v>
      </c>
      <c r="U29" t="n">
        <v>514385.8649</v>
      </c>
      <c r="V29" t="n">
        <v>271129.3684</v>
      </c>
      <c r="W29">
        <f>SUM(O29:V29)</f>
        <v>2361102.0357000004</v>
      </c>
    </row>
    <row r="30" spans="1:23" x14ac:dyDescent="0.2">
      <c r="A30" t="s">
        <v>235</v>
      </c>
      <c r="B30">
        <f si="3" t="shared"/>
        <v>0</v>
      </c>
      <c r="C30">
        <f si="3" t="shared"/>
        <v>0</v>
      </c>
      <c r="D30">
        <f si="3" t="shared"/>
        <v>0</v>
      </c>
      <c r="E30">
        <f si="3" t="shared"/>
        <v>0</v>
      </c>
      <c r="F30">
        <f si="3" t="shared"/>
        <v>10609.2641</v>
      </c>
      <c r="G30">
        <f si="3" t="shared"/>
        <v>1120.2595999999999</v>
      </c>
      <c r="H30">
        <f si="3" t="shared"/>
        <v>309.71820000000002</v>
      </c>
      <c r="I30">
        <f si="3" t="shared"/>
        <v>191.50479999999999</v>
      </c>
      <c r="J30">
        <f si="3" t="shared"/>
        <v>12230.7467</v>
      </c>
      <c r="N30" t="s">
        <v>235</v>
      </c>
      <c r="O30" t="n">
        <v>0.0</v>
      </c>
      <c r="P30" t="n">
        <v>0.0</v>
      </c>
      <c r="Q30" t="n">
        <v>0.0</v>
      </c>
      <c r="R30" t="n">
        <v>0.0</v>
      </c>
      <c r="S30" t="n">
        <v>10609.2641</v>
      </c>
      <c r="T30" t="n">
        <v>1120.2595999999999</v>
      </c>
      <c r="U30" t="n">
        <v>309.7182</v>
      </c>
      <c r="V30" t="n">
        <v>191.5048</v>
      </c>
      <c r="W30">
        <f>SUM(O30:V30)</f>
        <v>12230.7467</v>
      </c>
    </row>
    <row r="31" spans="1:23" x14ac:dyDescent="0.2">
      <c r="A31" t="s">
        <v>236</v>
      </c>
      <c r="B31">
        <f si="3" t="shared"/>
        <v>938366.50230000005</v>
      </c>
      <c r="C31">
        <f si="3" t="shared"/>
        <v>130109.1422</v>
      </c>
      <c r="D31">
        <f si="3" t="shared"/>
        <v>11032.9881</v>
      </c>
      <c r="E31">
        <f si="3" t="shared"/>
        <v>18927.109400000001</v>
      </c>
      <c r="F31">
        <f si="3" t="shared"/>
        <v>33301.330500000004</v>
      </c>
      <c r="G31">
        <f si="3" t="shared"/>
        <v>1643.7366999999999</v>
      </c>
      <c r="H31">
        <f si="3" t="shared"/>
        <v>1220.3427999999999</v>
      </c>
      <c r="I31">
        <f si="3" t="shared"/>
        <v>376.6164</v>
      </c>
      <c r="J31">
        <f si="3" t="shared"/>
        <v>1134977.7683999997</v>
      </c>
      <c r="N31" t="s">
        <v>236</v>
      </c>
      <c r="O31" t="n">
        <v>938366.5023</v>
      </c>
      <c r="P31" t="n">
        <v>130109.1422</v>
      </c>
      <c r="Q31" t="n">
        <v>11032.9881</v>
      </c>
      <c r="R31" t="n">
        <v>18927.1094</v>
      </c>
      <c r="S31" t="n">
        <v>33301.330500000004</v>
      </c>
      <c r="T31" t="n">
        <v>1643.7367</v>
      </c>
      <c r="U31" t="n">
        <v>1220.3428</v>
      </c>
      <c r="V31" t="n">
        <v>376.6164</v>
      </c>
      <c r="W31">
        <f>SUM(O31:V31)</f>
        <v>1134977.7683999997</v>
      </c>
    </row>
    <row r="32" spans="1:23" x14ac:dyDescent="0.2">
      <c r="A32" t="s">
        <v>173</v>
      </c>
      <c r="B32">
        <f si="3" t="shared"/>
        <v>164245.1501</v>
      </c>
      <c r="C32">
        <f si="3" t="shared"/>
        <v>17859.1332</v>
      </c>
      <c r="D32">
        <f si="3" t="shared"/>
        <v>2557.2215999999999</v>
      </c>
      <c r="E32">
        <f si="3" t="shared"/>
        <v>6255.1424999999999</v>
      </c>
      <c r="F32">
        <f si="3" t="shared"/>
        <v>9290.768399999999</v>
      </c>
      <c r="G32">
        <f si="3" t="shared"/>
        <v>0</v>
      </c>
      <c r="H32">
        <f si="3" t="shared"/>
        <v>0</v>
      </c>
      <c r="I32">
        <f si="3" t="shared"/>
        <v>0</v>
      </c>
      <c r="J32">
        <f si="3" t="shared"/>
        <v>200207.41579999999</v>
      </c>
      <c r="N32" t="s">
        <v>173</v>
      </c>
      <c r="O32" t="n">
        <v>164245.1501</v>
      </c>
      <c r="P32" t="n">
        <v>17859.1332</v>
      </c>
      <c r="Q32" t="n">
        <v>2557.2216</v>
      </c>
      <c r="R32" t="n">
        <v>6255.1425</v>
      </c>
      <c r="S32" t="n">
        <v>9290.768399999999</v>
      </c>
      <c r="T32" t="n">
        <v>0.0</v>
      </c>
      <c r="U32" t="n">
        <v>0.0</v>
      </c>
      <c r="V32" t="n">
        <v>0.0</v>
      </c>
      <c r="W32">
        <f>SUM(O32:V32)</f>
        <v>200207.41579999999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226</v>
      </c>
      <c r="B36">
        <f ref="B36:J39" si="4" t="shared">O36*$B$1</f>
        <v>1402310.6379</v>
      </c>
      <c r="C36">
        <f si="4" t="shared"/>
        <v>311406.7513</v>
      </c>
      <c r="D36">
        <f si="4" t="shared"/>
        <v>383947.18560000003</v>
      </c>
      <c r="E36">
        <f si="4" t="shared"/>
        <v>546066.64709999994</v>
      </c>
      <c r="F36">
        <f si="4" t="shared"/>
        <v>74268.934800000003</v>
      </c>
      <c r="G36">
        <f si="4" t="shared"/>
        <v>18109.356500000002</v>
      </c>
      <c r="H36">
        <f si="4" t="shared"/>
        <v>128576.4286</v>
      </c>
      <c r="I36">
        <f si="4" t="shared"/>
        <v>221739.19380000001</v>
      </c>
      <c r="J36">
        <f si="4" t="shared"/>
        <v>3086425.1356000006</v>
      </c>
      <c r="N36" t="s">
        <v>226</v>
      </c>
      <c r="O36" t="n">
        <v>1402310.6379</v>
      </c>
      <c r="P36" t="n">
        <v>311406.7513</v>
      </c>
      <c r="Q36" t="n">
        <v>383947.1856</v>
      </c>
      <c r="R36" t="n">
        <v>546066.6471</v>
      </c>
      <c r="S36" t="n">
        <v>74268.9348</v>
      </c>
      <c r="T36" t="n">
        <v>18109.3565</v>
      </c>
      <c r="U36" t="n">
        <v>128576.4286</v>
      </c>
      <c r="V36" t="n">
        <v>221739.1938</v>
      </c>
      <c r="W36">
        <f>SUM(O36:V36)</f>
        <v>3086425.1356000006</v>
      </c>
    </row>
    <row r="37" spans="1:23" x14ac:dyDescent="0.2">
      <c r="A37" t="s">
        <v>235</v>
      </c>
      <c r="B37">
        <f si="4" t="shared"/>
        <v>4389.9489000000003</v>
      </c>
      <c r="C37">
        <f si="4" t="shared"/>
        <v>1908.1568</v>
      </c>
      <c r="D37">
        <f si="4" t="shared"/>
        <v>0</v>
      </c>
      <c r="E37">
        <f si="4" t="shared"/>
        <v>909.55520000000001</v>
      </c>
      <c r="F37">
        <f si="4" t="shared"/>
        <v>1240.1602</v>
      </c>
      <c r="G37">
        <f si="4" t="shared"/>
        <v>0</v>
      </c>
      <c r="H37">
        <f si="4" t="shared"/>
        <v>0</v>
      </c>
      <c r="I37">
        <f si="4" t="shared"/>
        <v>0</v>
      </c>
      <c r="J37">
        <f si="4" t="shared"/>
        <v>8447.8210999999992</v>
      </c>
      <c r="N37" t="s">
        <v>235</v>
      </c>
      <c r="O37" t="n">
        <v>4389.9489</v>
      </c>
      <c r="P37" t="n">
        <v>1908.1568</v>
      </c>
      <c r="Q37" t="n">
        <v>0.0</v>
      </c>
      <c r="R37" t="n">
        <v>909.5552</v>
      </c>
      <c r="S37" t="n">
        <v>1240.1602</v>
      </c>
      <c r="T37" t="n">
        <v>0.0</v>
      </c>
      <c r="U37" t="n">
        <v>0.0</v>
      </c>
      <c r="V37" t="n">
        <v>0.0</v>
      </c>
      <c r="W37">
        <f>SUM(O37:V37)</f>
        <v>8447.8210999999992</v>
      </c>
    </row>
    <row r="38" spans="1:23" x14ac:dyDescent="0.2">
      <c r="A38" t="s">
        <v>236</v>
      </c>
      <c r="B38">
        <f si="4" t="shared"/>
        <v>5889.1556</v>
      </c>
      <c r="C38">
        <f si="4" t="shared"/>
        <v>23084.378000000001</v>
      </c>
      <c r="D38">
        <f si="4" t="shared"/>
        <v>1144.7927999999999</v>
      </c>
      <c r="E38">
        <f si="4" t="shared"/>
        <v>43075.839699999997</v>
      </c>
      <c r="F38">
        <f si="4" t="shared"/>
        <v>28988.1702</v>
      </c>
      <c r="G38">
        <f si="4" t="shared"/>
        <v>58515.546199999997</v>
      </c>
      <c r="H38">
        <f si="4" t="shared"/>
        <v>367602.43810000003</v>
      </c>
      <c r="I38">
        <f si="4" t="shared"/>
        <v>49958.2958</v>
      </c>
      <c r="J38">
        <f si="4" t="shared"/>
        <v>578258.61639999994</v>
      </c>
      <c r="N38" t="s">
        <v>236</v>
      </c>
      <c r="O38" t="n">
        <v>5889.1556</v>
      </c>
      <c r="P38" t="n">
        <v>23084.378</v>
      </c>
      <c r="Q38" t="n">
        <v>1144.7928</v>
      </c>
      <c r="R38" t="n">
        <v>43075.8397</v>
      </c>
      <c r="S38" t="n">
        <v>28988.1702</v>
      </c>
      <c r="T38" t="n">
        <v>58515.5462</v>
      </c>
      <c r="U38" t="n">
        <v>367602.4381</v>
      </c>
      <c r="V38" t="n">
        <v>49958.2958</v>
      </c>
      <c r="W38">
        <f>SUM(O38:V38)</f>
        <v>578258.61639999994</v>
      </c>
    </row>
    <row r="39" spans="1:23" x14ac:dyDescent="0.2">
      <c r="A39" t="s">
        <v>173</v>
      </c>
      <c r="B39">
        <f si="4" t="shared"/>
        <v>0</v>
      </c>
      <c r="C39">
        <f si="4" t="shared"/>
        <v>4556.3959999999997</v>
      </c>
      <c r="D39">
        <f si="4" t="shared"/>
        <v>0</v>
      </c>
      <c r="E39">
        <f si="4" t="shared"/>
        <v>2236.6264000000001</v>
      </c>
      <c r="F39">
        <f si="4" t="shared"/>
        <v>6981.6704</v>
      </c>
      <c r="G39">
        <f si="4" t="shared"/>
        <v>1874.6415</v>
      </c>
      <c r="H39">
        <f si="4" t="shared"/>
        <v>19737.0592</v>
      </c>
      <c r="I39">
        <f si="4" t="shared"/>
        <v>0</v>
      </c>
      <c r="J39">
        <f si="4" t="shared"/>
        <v>35386.393499999998</v>
      </c>
      <c r="N39" t="s">
        <v>173</v>
      </c>
      <c r="O39" t="n">
        <v>0.0</v>
      </c>
      <c r="P39" t="n">
        <v>4556.396</v>
      </c>
      <c r="Q39" t="n">
        <v>0.0</v>
      </c>
      <c r="R39" t="n">
        <v>2236.6264</v>
      </c>
      <c r="S39" t="n">
        <v>6981.6704</v>
      </c>
      <c r="T39" t="n">
        <v>1874.6415</v>
      </c>
      <c r="U39" t="n">
        <v>19737.0592</v>
      </c>
      <c r="V39" t="n">
        <v>0.0</v>
      </c>
      <c r="W39">
        <f>SUM(O39:V39)</f>
        <v>35386.393499999998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226</v>
      </c>
      <c r="B43">
        <f ref="B43:J46" si="5" t="shared">O43*$B$1</f>
        <v>1170786.4288000001</v>
      </c>
      <c r="C43">
        <f si="5" t="shared"/>
        <v>269877.15750000003</v>
      </c>
      <c r="D43">
        <f si="5" t="shared"/>
        <v>343819.14360000001</v>
      </c>
      <c r="E43">
        <f si="5" t="shared"/>
        <v>472909.28409999999</v>
      </c>
      <c r="F43">
        <f si="5" t="shared"/>
        <v>97324.167700000005</v>
      </c>
      <c r="G43">
        <f si="5" t="shared"/>
        <v>70802.5196</v>
      </c>
      <c r="H43">
        <f si="5" t="shared"/>
        <v>451128.91239999997</v>
      </c>
      <c r="I43">
        <f si="5" t="shared"/>
        <v>229554.15270000001</v>
      </c>
      <c r="J43">
        <f si="5" t="shared"/>
        <v>3106201.7663999996</v>
      </c>
      <c r="N43" t="s">
        <v>226</v>
      </c>
      <c r="O43" t="n">
        <v>1170786.4288</v>
      </c>
      <c r="P43" t="n">
        <v>269877.15750000003</v>
      </c>
      <c r="Q43" t="n">
        <v>343819.1436</v>
      </c>
      <c r="R43" t="n">
        <v>472909.2841</v>
      </c>
      <c r="S43" t="n">
        <v>97324.1677</v>
      </c>
      <c r="T43" t="n">
        <v>70802.5196</v>
      </c>
      <c r="U43" t="n">
        <v>451128.9124</v>
      </c>
      <c r="V43" t="n">
        <v>229554.1527</v>
      </c>
      <c r="W43">
        <f>SUM(O43:V43)</f>
        <v>3106201.7663999996</v>
      </c>
    </row>
    <row r="44" spans="1:23" x14ac:dyDescent="0.2">
      <c r="A44" t="s">
        <v>235</v>
      </c>
      <c r="B44">
        <f si="5" t="shared"/>
        <v>131806.09890000001</v>
      </c>
      <c r="C44">
        <f si="5" t="shared"/>
        <v>19671.083999999999</v>
      </c>
      <c r="D44">
        <f si="5" t="shared"/>
        <v>1185.3100999999999</v>
      </c>
      <c r="E44">
        <f si="5" t="shared"/>
        <v>8263.1383000000005</v>
      </c>
      <c r="F44">
        <f si="5" t="shared"/>
        <v>6225.4962999999998</v>
      </c>
      <c r="G44">
        <f si="5" t="shared"/>
        <v>1787.0099</v>
      </c>
      <c r="H44">
        <f si="5" t="shared"/>
        <v>40902.989000000001</v>
      </c>
      <c r="I44">
        <f si="5" t="shared"/>
        <v>9318.4874</v>
      </c>
      <c r="J44">
        <f si="5" t="shared"/>
        <v>219159.61390000003</v>
      </c>
      <c r="N44" t="s">
        <v>235</v>
      </c>
      <c r="O44" t="n">
        <v>131806.0989</v>
      </c>
      <c r="P44" t="n">
        <v>19671.084</v>
      </c>
      <c r="Q44" t="n">
        <v>1185.3101</v>
      </c>
      <c r="R44" t="n">
        <v>8263.1383</v>
      </c>
      <c r="S44" t="n">
        <v>6225.4963</v>
      </c>
      <c r="T44" t="n">
        <v>1787.0099</v>
      </c>
      <c r="U44" t="n">
        <v>40902.989</v>
      </c>
      <c r="V44" t="n">
        <v>9318.4874</v>
      </c>
      <c r="W44">
        <f>SUM(O44:V44)</f>
        <v>219159.61390000003</v>
      </c>
    </row>
    <row r="45" spans="1:23" x14ac:dyDescent="0.2">
      <c r="A45" t="s">
        <v>236</v>
      </c>
      <c r="B45">
        <f si="5" t="shared"/>
        <v>75780.759099999996</v>
      </c>
      <c r="C45">
        <f si="5" t="shared"/>
        <v>34084.678999999996</v>
      </c>
      <c r="D45">
        <f si="5" t="shared"/>
        <v>29365.375499999998</v>
      </c>
      <c r="E45">
        <f si="5" t="shared"/>
        <v>79650.944799999997</v>
      </c>
      <c r="F45">
        <f si="5" t="shared"/>
        <v>5316.4103999999998</v>
      </c>
      <c r="G45">
        <f si="5" t="shared"/>
        <v>5008.3037999999997</v>
      </c>
      <c r="H45">
        <f si="5" t="shared"/>
        <v>19176.989000000001</v>
      </c>
      <c r="I45">
        <f si="5" t="shared"/>
        <v>20526.135399999999</v>
      </c>
      <c r="J45">
        <f si="5" t="shared"/>
        <v>268909.59699999995</v>
      </c>
      <c r="N45" t="s">
        <v>236</v>
      </c>
      <c r="O45" t="n">
        <v>75780.7591</v>
      </c>
      <c r="P45" t="n">
        <v>34084.679</v>
      </c>
      <c r="Q45" t="n">
        <v>29365.3755</v>
      </c>
      <c r="R45" t="n">
        <v>79650.9448</v>
      </c>
      <c r="S45" t="n">
        <v>5316.4104</v>
      </c>
      <c r="T45" t="n">
        <v>5008.3038</v>
      </c>
      <c r="U45" t="n">
        <v>19176.989</v>
      </c>
      <c r="V45" t="n">
        <v>20526.1354</v>
      </c>
      <c r="W45">
        <f>SUM(O45:V45)</f>
        <v>268909.59699999995</v>
      </c>
    </row>
    <row r="46" spans="1:23" x14ac:dyDescent="0.2">
      <c r="A46" t="s">
        <v>173</v>
      </c>
      <c r="B46">
        <f si="5" t="shared"/>
        <v>34216.455600000001</v>
      </c>
      <c r="C46">
        <f si="5" t="shared"/>
        <v>17322.761600000002</v>
      </c>
      <c r="D46">
        <f si="5" t="shared"/>
        <v>10722.1492</v>
      </c>
      <c r="E46">
        <f si="5" t="shared"/>
        <v>31465.301200000002</v>
      </c>
      <c r="F46">
        <f si="5" t="shared"/>
        <v>2612.8611999999998</v>
      </c>
      <c r="G46">
        <f si="5" t="shared"/>
        <v>901.71090000000004</v>
      </c>
      <c r="H46">
        <f si="5" t="shared"/>
        <v>4707.0355</v>
      </c>
      <c r="I46">
        <f si="5" t="shared"/>
        <v>12298.714099999999</v>
      </c>
      <c r="J46">
        <f si="5" t="shared"/>
        <v>114246.9893</v>
      </c>
      <c r="N46" t="s">
        <v>173</v>
      </c>
      <c r="O46" t="n">
        <v>34216.4556</v>
      </c>
      <c r="P46" t="n">
        <v>17322.7616</v>
      </c>
      <c r="Q46" t="n">
        <v>10722.1492</v>
      </c>
      <c r="R46" t="n">
        <v>31465.3012</v>
      </c>
      <c r="S46" t="n">
        <v>2612.8612</v>
      </c>
      <c r="T46" t="n">
        <v>901.7109</v>
      </c>
      <c r="U46" t="n">
        <v>4707.0355</v>
      </c>
      <c r="V46" t="n">
        <v>12298.7141</v>
      </c>
      <c r="W46">
        <f>SUM(O46:V46)</f>
        <v>114246.9893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226</v>
      </c>
      <c r="B50">
        <f ref="B50:J53" si="6" t="shared">O50*$B$1</f>
        <v>1113272.6473000001</v>
      </c>
      <c r="C50">
        <f si="6" t="shared"/>
        <v>232288.56830000001</v>
      </c>
      <c r="D50">
        <f si="6" t="shared"/>
        <v>222352.8186</v>
      </c>
      <c r="E50">
        <f si="6" t="shared"/>
        <v>384193.6262</v>
      </c>
      <c r="F50">
        <f si="6" t="shared"/>
        <v>81730.876399999994</v>
      </c>
      <c r="G50">
        <f si="6" t="shared"/>
        <v>68610.821299999996</v>
      </c>
      <c r="H50">
        <f si="6" t="shared"/>
        <v>416335.38909999997</v>
      </c>
      <c r="I50">
        <f si="6" t="shared"/>
        <v>198513.9712</v>
      </c>
      <c r="J50">
        <f si="6" t="shared"/>
        <v>2717298.7184000001</v>
      </c>
      <c r="N50" t="s">
        <v>226</v>
      </c>
      <c r="O50" t="n">
        <v>1113272.6473</v>
      </c>
      <c r="P50" t="n">
        <v>232288.5683</v>
      </c>
      <c r="Q50" t="n">
        <v>222352.8186</v>
      </c>
      <c r="R50" t="n">
        <v>384193.6262</v>
      </c>
      <c r="S50" t="n">
        <v>81730.8764</v>
      </c>
      <c r="T50" t="n">
        <v>68610.8213</v>
      </c>
      <c r="U50" t="n">
        <v>416335.3891</v>
      </c>
      <c r="V50" t="n">
        <v>198513.9712</v>
      </c>
      <c r="W50">
        <f>SUM(O50:V50)</f>
        <v>2717298.7184000001</v>
      </c>
    </row>
    <row r="51" spans="1:23" x14ac:dyDescent="0.2">
      <c r="A51" t="s">
        <v>235</v>
      </c>
      <c r="B51">
        <f si="6" t="shared"/>
        <v>193981.12059999999</v>
      </c>
      <c r="C51">
        <f si="6" t="shared"/>
        <v>56784.45</v>
      </c>
      <c r="D51">
        <f si="6" t="shared"/>
        <v>54669.329100000003</v>
      </c>
      <c r="E51">
        <f si="6" t="shared"/>
        <v>81491.540200000003</v>
      </c>
      <c r="F51">
        <f si="6" t="shared"/>
        <v>18112.385200000001</v>
      </c>
      <c r="G51">
        <f si="6" t="shared"/>
        <v>5902.9106000000002</v>
      </c>
      <c r="H51">
        <f si="6" t="shared"/>
        <v>55315.3796</v>
      </c>
      <c r="I51">
        <f si="6" t="shared"/>
        <v>31902.856900000002</v>
      </c>
      <c r="J51">
        <f si="6" t="shared"/>
        <v>498159.97219999996</v>
      </c>
      <c r="N51" t="s">
        <v>235</v>
      </c>
      <c r="O51" t="n">
        <v>193981.1206</v>
      </c>
      <c r="P51" t="n">
        <v>56784.45</v>
      </c>
      <c r="Q51" t="n">
        <v>54669.3291</v>
      </c>
      <c r="R51" t="n">
        <v>81491.5402</v>
      </c>
      <c r="S51" t="n">
        <v>18112.3852</v>
      </c>
      <c r="T51" t="n">
        <v>5902.9106</v>
      </c>
      <c r="U51" t="n">
        <v>55315.3796</v>
      </c>
      <c r="V51" t="n">
        <v>31902.856900000002</v>
      </c>
      <c r="W51">
        <f>SUM(O51:V51)</f>
        <v>498159.97219999996</v>
      </c>
    </row>
    <row r="52" spans="1:23" x14ac:dyDescent="0.2">
      <c r="A52" t="s">
        <v>236</v>
      </c>
      <c r="B52">
        <f si="6" t="shared"/>
        <v>73458.005000000005</v>
      </c>
      <c r="C52">
        <f si="6" t="shared"/>
        <v>31320.718700000001</v>
      </c>
      <c r="D52">
        <f si="6" t="shared"/>
        <v>67024.686900000001</v>
      </c>
      <c r="E52">
        <f si="6" t="shared"/>
        <v>85683.5288</v>
      </c>
      <c r="F52">
        <f si="6" t="shared"/>
        <v>8286.1494000000002</v>
      </c>
      <c r="G52">
        <f si="6" t="shared"/>
        <v>3167.3186999999998</v>
      </c>
      <c r="H52">
        <f si="6" t="shared"/>
        <v>34455.658600000002</v>
      </c>
      <c r="I52">
        <f si="6" t="shared"/>
        <v>26144.924800000001</v>
      </c>
      <c r="J52">
        <f si="6" t="shared"/>
        <v>329540.99090000003</v>
      </c>
      <c r="N52" t="s">
        <v>236</v>
      </c>
      <c r="O52" t="n">
        <v>73458.005</v>
      </c>
      <c r="P52" t="n">
        <v>31320.7187</v>
      </c>
      <c r="Q52" t="n">
        <v>67024.6869</v>
      </c>
      <c r="R52" t="n">
        <v>85683.5288</v>
      </c>
      <c r="S52" t="n">
        <v>8286.1494</v>
      </c>
      <c r="T52" t="n">
        <v>3167.3187</v>
      </c>
      <c r="U52" t="n">
        <v>34455.6586</v>
      </c>
      <c r="V52" t="n">
        <v>26144.9248</v>
      </c>
      <c r="W52">
        <f>SUM(O52:V52)</f>
        <v>329540.99090000003</v>
      </c>
    </row>
    <row r="53" spans="1:23" x14ac:dyDescent="0.2">
      <c r="A53" t="s">
        <v>173</v>
      </c>
      <c r="B53">
        <f si="6" t="shared"/>
        <v>31877.969499999999</v>
      </c>
      <c r="C53">
        <f si="6" t="shared"/>
        <v>20561.945100000001</v>
      </c>
      <c r="D53">
        <f si="6" t="shared"/>
        <v>41045.143799999998</v>
      </c>
      <c r="E53">
        <f si="6" t="shared"/>
        <v>40919.9732</v>
      </c>
      <c r="F53">
        <f si="6" t="shared"/>
        <v>3349.5245999999997</v>
      </c>
      <c r="G53">
        <f si="6" t="shared"/>
        <v>818.49360000000001</v>
      </c>
      <c r="H53">
        <f si="6" t="shared"/>
        <v>9809.498599999999</v>
      </c>
      <c r="I53">
        <f si="6" t="shared"/>
        <v>15135.736699999999</v>
      </c>
      <c r="J53">
        <f si="6" t="shared"/>
        <v>163518.28510000001</v>
      </c>
      <c r="N53" t="s">
        <v>173</v>
      </c>
      <c r="O53" t="n">
        <v>31877.9695</v>
      </c>
      <c r="P53" t="n">
        <v>20561.9451</v>
      </c>
      <c r="Q53" t="n">
        <v>41045.1438</v>
      </c>
      <c r="R53" t="n">
        <v>40919.9732</v>
      </c>
      <c r="S53" t="n">
        <v>3349.5245999999997</v>
      </c>
      <c r="T53" t="n">
        <v>818.4936</v>
      </c>
      <c r="U53" t="n">
        <v>9809.498599999999</v>
      </c>
      <c r="V53" t="n">
        <v>15135.7367</v>
      </c>
      <c r="W53">
        <f>SUM(O53:V53)</f>
        <v>163518.28510000001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226</v>
      </c>
      <c r="B57">
        <f ref="B57:J60" si="7" t="shared">O57*$B$1</f>
        <v>1024698.9209</v>
      </c>
      <c r="C57">
        <f si="7" t="shared"/>
        <v>221575.80220000001</v>
      </c>
      <c r="D57">
        <f si="7" t="shared"/>
        <v>222412.003</v>
      </c>
      <c r="E57">
        <f si="7" t="shared"/>
        <v>343842.96279999998</v>
      </c>
      <c r="F57">
        <f si="7" t="shared"/>
        <v>76340.894700000004</v>
      </c>
      <c r="G57">
        <f si="7" t="shared"/>
        <v>74524.907000000007</v>
      </c>
      <c r="H57">
        <f si="7" t="shared"/>
        <v>444213.38170000003</v>
      </c>
      <c r="I57">
        <f si="7" t="shared"/>
        <v>182785.78539999999</v>
      </c>
      <c r="J57">
        <f si="7" t="shared"/>
        <v>2590394.6576999999</v>
      </c>
      <c r="N57" t="s">
        <v>226</v>
      </c>
      <c r="O57" t="n">
        <v>1024698.9209</v>
      </c>
      <c r="P57" t="n">
        <v>221575.8022</v>
      </c>
      <c r="Q57" t="n">
        <v>222412.003</v>
      </c>
      <c r="R57" t="n">
        <v>343842.9628</v>
      </c>
      <c r="S57" t="n">
        <v>76340.8947</v>
      </c>
      <c r="T57" t="n">
        <v>74524.907</v>
      </c>
      <c r="U57" t="n">
        <v>444213.3817</v>
      </c>
      <c r="V57" t="n">
        <v>182785.7854</v>
      </c>
      <c r="W57">
        <f>SUM(O57:V57)</f>
        <v>2590394.6576999999</v>
      </c>
    </row>
    <row r="58" spans="1:23" x14ac:dyDescent="0.2">
      <c r="A58" t="s">
        <v>235</v>
      </c>
      <c r="B58">
        <f si="7" t="shared"/>
        <v>269815.44959999999</v>
      </c>
      <c r="C58">
        <f si="7" t="shared"/>
        <v>66949.157000000007</v>
      </c>
      <c r="D58">
        <f si="7" t="shared"/>
        <v>64869.167699999998</v>
      </c>
      <c r="E58">
        <f si="7" t="shared"/>
        <v>95490.977199999994</v>
      </c>
      <c r="F58">
        <f si="7" t="shared"/>
        <v>21641.47</v>
      </c>
      <c r="G58">
        <f si="7" t="shared"/>
        <v>3236.4888000000001</v>
      </c>
      <c r="H58">
        <f si="7" t="shared"/>
        <v>46208.358200000002</v>
      </c>
      <c r="I58">
        <f si="7" t="shared"/>
        <v>33029.441400000003</v>
      </c>
      <c r="J58">
        <f si="7" t="shared"/>
        <v>601240.50989999995</v>
      </c>
      <c r="N58" t="s">
        <v>235</v>
      </c>
      <c r="O58" t="n">
        <v>269815.4496</v>
      </c>
      <c r="P58" t="n">
        <v>66949.157</v>
      </c>
      <c r="Q58" t="n">
        <v>64869.1677</v>
      </c>
      <c r="R58" t="n">
        <v>95490.9772</v>
      </c>
      <c r="S58" t="n">
        <v>21641.47</v>
      </c>
      <c r="T58" t="n">
        <v>3236.4888</v>
      </c>
      <c r="U58" t="n">
        <v>46208.3582</v>
      </c>
      <c r="V58" t="n">
        <v>33029.4414</v>
      </c>
      <c r="W58">
        <f>SUM(O58:V58)</f>
        <v>601240.50989999995</v>
      </c>
    </row>
    <row r="59" spans="1:23" x14ac:dyDescent="0.2">
      <c r="A59" t="s">
        <v>236</v>
      </c>
      <c r="B59">
        <f si="7" t="shared"/>
        <v>80204.026899999997</v>
      </c>
      <c r="C59">
        <f si="7" t="shared"/>
        <v>26294.175200000001</v>
      </c>
      <c r="D59">
        <f si="7" t="shared"/>
        <v>58513.545700000002</v>
      </c>
      <c r="E59">
        <f si="7" t="shared"/>
        <v>103383.83620000001</v>
      </c>
      <c r="F59">
        <f si="7" t="shared"/>
        <v>7364.5722999999998</v>
      </c>
      <c r="G59">
        <f si="7" t="shared"/>
        <v>738.14840000000004</v>
      </c>
      <c r="H59">
        <f si="7" t="shared"/>
        <v>20535.034500000002</v>
      </c>
      <c r="I59">
        <f si="7" t="shared"/>
        <v>32286.611100000002</v>
      </c>
      <c r="J59">
        <f si="7" t="shared"/>
        <v>329319.95030000003</v>
      </c>
      <c r="N59" t="s">
        <v>236</v>
      </c>
      <c r="O59" t="n">
        <v>80204.0269</v>
      </c>
      <c r="P59" t="n">
        <v>26294.1752</v>
      </c>
      <c r="Q59" t="n">
        <v>58513.5457</v>
      </c>
      <c r="R59" t="n">
        <v>103383.8362</v>
      </c>
      <c r="S59" t="n">
        <v>7364.5723</v>
      </c>
      <c r="T59" t="n">
        <v>738.1484</v>
      </c>
      <c r="U59" t="n">
        <v>20535.0345</v>
      </c>
      <c r="V59" t="n">
        <v>32286.611100000002</v>
      </c>
      <c r="W59">
        <f>SUM(O59:V59)</f>
        <v>329319.95030000003</v>
      </c>
    </row>
    <row r="60" spans="1:23" x14ac:dyDescent="0.2">
      <c r="A60" t="s">
        <v>173</v>
      </c>
      <c r="B60">
        <f si="7" t="shared"/>
        <v>37871.345000000001</v>
      </c>
      <c r="C60">
        <f si="7" t="shared"/>
        <v>26136.547699999999</v>
      </c>
      <c r="D60">
        <f si="7" t="shared"/>
        <v>39297.262000000002</v>
      </c>
      <c r="E60">
        <f si="7" t="shared"/>
        <v>49570.892200000002</v>
      </c>
      <c r="F60">
        <f si="7" t="shared"/>
        <v>6131.9985999999999</v>
      </c>
      <c r="G60">
        <f si="7" t="shared"/>
        <v>0</v>
      </c>
      <c r="H60">
        <f si="7" t="shared"/>
        <v>4959.1514999999999</v>
      </c>
      <c r="I60">
        <f si="7" t="shared"/>
        <v>23595.651699999999</v>
      </c>
      <c r="J60">
        <f si="7" t="shared"/>
        <v>187562.8487</v>
      </c>
      <c r="N60" t="s">
        <v>173</v>
      </c>
      <c r="O60" t="n">
        <v>37871.345</v>
      </c>
      <c r="P60" t="n">
        <v>26136.5477</v>
      </c>
      <c r="Q60" t="n">
        <v>39297.262</v>
      </c>
      <c r="R60" t="n">
        <v>49570.8922</v>
      </c>
      <c r="S60" t="n">
        <v>6131.9986</v>
      </c>
      <c r="T60" t="n">
        <v>0.0</v>
      </c>
      <c r="U60" t="n">
        <v>4959.1515</v>
      </c>
      <c r="V60" t="n">
        <v>23595.6517</v>
      </c>
      <c r="W60">
        <f>SUM(O60:V60)</f>
        <v>187562.8487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226</v>
      </c>
      <c r="B64">
        <f ref="B64:J67" si="8" t="shared">O64*$B$1</f>
        <v>1160986.6899000001</v>
      </c>
      <c r="C64">
        <f si="8" t="shared"/>
        <v>283988.239</v>
      </c>
      <c r="D64">
        <f si="8" t="shared"/>
        <v>317009.45600000001</v>
      </c>
      <c r="E64">
        <f si="8" t="shared"/>
        <v>485455.98259999999</v>
      </c>
      <c r="F64">
        <f si="8" t="shared"/>
        <v>90074.873300000007</v>
      </c>
      <c r="G64">
        <f si="8" t="shared"/>
        <v>74132.851200000005</v>
      </c>
      <c r="H64">
        <f si="8" t="shared"/>
        <v>483799.28100000002</v>
      </c>
      <c r="I64">
        <f si="8" t="shared"/>
        <v>246178.72589999999</v>
      </c>
      <c r="J64">
        <f si="8" t="shared"/>
        <v>3141626.0989000001</v>
      </c>
      <c r="N64" t="s">
        <v>226</v>
      </c>
      <c r="O64" t="n">
        <v>1160986.6899</v>
      </c>
      <c r="P64" t="n">
        <v>283988.239</v>
      </c>
      <c r="Q64" t="n">
        <v>317009.456</v>
      </c>
      <c r="R64" t="n">
        <v>485455.9826</v>
      </c>
      <c r="S64" t="n">
        <v>90074.8733</v>
      </c>
      <c r="T64" t="n">
        <v>74132.8512</v>
      </c>
      <c r="U64" t="n">
        <v>483799.281</v>
      </c>
      <c r="V64" t="n">
        <v>246178.7259</v>
      </c>
      <c r="W64">
        <f>SUM(O64:V64)</f>
        <v>3141626.0989000001</v>
      </c>
    </row>
    <row r="65" spans="1:23" x14ac:dyDescent="0.2">
      <c r="A65" t="s">
        <v>235</v>
      </c>
      <c r="B65">
        <f si="8" t="shared"/>
        <v>194510.7476</v>
      </c>
      <c r="C65">
        <f si="8" t="shared"/>
        <v>41898.851499999997</v>
      </c>
      <c r="D65">
        <f si="8" t="shared"/>
        <v>37388.003799999999</v>
      </c>
      <c r="E65">
        <f si="8" t="shared"/>
        <v>61610.771000000001</v>
      </c>
      <c r="F65">
        <f si="8" t="shared"/>
        <v>15918.462100000001</v>
      </c>
      <c r="G65">
        <f si="8" t="shared"/>
        <v>4366.6930000000002</v>
      </c>
      <c r="H65">
        <f si="8" t="shared"/>
        <v>20842.0085</v>
      </c>
      <c r="I65">
        <f si="8" t="shared"/>
        <v>19674.477699999999</v>
      </c>
      <c r="J65">
        <f si="8" t="shared"/>
        <v>396210.01520000002</v>
      </c>
      <c r="N65" t="s">
        <v>235</v>
      </c>
      <c r="O65" t="n">
        <v>194510.7476</v>
      </c>
      <c r="P65" t="n">
        <v>41898.8515</v>
      </c>
      <c r="Q65" t="n">
        <v>37388.0038</v>
      </c>
      <c r="R65" t="n">
        <v>61610.771</v>
      </c>
      <c r="S65" t="n">
        <v>15918.4621</v>
      </c>
      <c r="T65" t="n">
        <v>4366.693</v>
      </c>
      <c r="U65" t="n">
        <v>20842.0085</v>
      </c>
      <c r="V65" t="n">
        <v>19674.4777</v>
      </c>
      <c r="W65">
        <f>SUM(O65:V65)</f>
        <v>396210.01520000002</v>
      </c>
    </row>
    <row r="66" spans="1:23" x14ac:dyDescent="0.2">
      <c r="A66" t="s">
        <v>236</v>
      </c>
      <c r="B66">
        <f si="8" t="shared"/>
        <v>46765.183899999996</v>
      </c>
      <c r="C66">
        <f si="8" t="shared"/>
        <v>13416.2698</v>
      </c>
      <c r="D66">
        <f si="8" t="shared"/>
        <v>27935.698499999999</v>
      </c>
      <c r="E66">
        <f si="8" t="shared"/>
        <v>37695.944100000001</v>
      </c>
      <c r="F66">
        <f si="8" t="shared"/>
        <v>4004.7819999999997</v>
      </c>
      <c r="G66">
        <f si="8" t="shared"/>
        <v>0</v>
      </c>
      <c r="H66">
        <f si="8" t="shared"/>
        <v>9419.7792000000009</v>
      </c>
      <c r="I66">
        <f si="8" t="shared"/>
        <v>5613.5671000000002</v>
      </c>
      <c r="J66">
        <f si="8" t="shared"/>
        <v>144851.22460000002</v>
      </c>
      <c r="N66" t="s">
        <v>236</v>
      </c>
      <c r="O66" t="n">
        <v>46765.183899999996</v>
      </c>
      <c r="P66" t="n">
        <v>13416.2698</v>
      </c>
      <c r="Q66" t="n">
        <v>27935.6985</v>
      </c>
      <c r="R66" t="n">
        <v>37695.9441</v>
      </c>
      <c r="S66" t="n">
        <v>4004.7819999999997</v>
      </c>
      <c r="T66" t="n">
        <v>0.0</v>
      </c>
      <c r="U66" t="n">
        <v>9419.7792</v>
      </c>
      <c r="V66" t="n">
        <v>5613.5671</v>
      </c>
      <c r="W66">
        <f>SUM(O66:V66)</f>
        <v>144851.22460000002</v>
      </c>
    </row>
    <row r="67" spans="1:23" x14ac:dyDescent="0.2">
      <c r="A67" t="s">
        <v>173</v>
      </c>
      <c r="B67">
        <f si="8" t="shared"/>
        <v>10327.120999999999</v>
      </c>
      <c r="C67">
        <f si="8" t="shared"/>
        <v>1652.3217999999999</v>
      </c>
      <c r="D67">
        <f si="8" t="shared"/>
        <v>2758.8200999999999</v>
      </c>
      <c r="E67">
        <f si="8" t="shared"/>
        <v>7525.9706999999999</v>
      </c>
      <c r="F67">
        <f si="8" t="shared"/>
        <v>1480.8181999999999</v>
      </c>
      <c r="G67">
        <f si="8" t="shared"/>
        <v>0</v>
      </c>
      <c r="H67">
        <f si="8" t="shared"/>
        <v>1854.8571999999999</v>
      </c>
      <c r="I67">
        <f si="8" t="shared"/>
        <v>230.71889999999999</v>
      </c>
      <c r="J67">
        <f si="8" t="shared"/>
        <v>25830.627899999999</v>
      </c>
      <c r="N67" t="s">
        <v>173</v>
      </c>
      <c r="O67" t="n">
        <v>10327.121</v>
      </c>
      <c r="P67" t="n">
        <v>1652.3218</v>
      </c>
      <c r="Q67" t="n">
        <v>2758.8201</v>
      </c>
      <c r="R67" t="n">
        <v>7525.9707</v>
      </c>
      <c r="S67" t="n">
        <v>1480.8182</v>
      </c>
      <c r="T67" t="n">
        <v>0.0</v>
      </c>
      <c r="U67" t="n">
        <v>1854.8572</v>
      </c>
      <c r="V67" t="n">
        <v>230.7189</v>
      </c>
      <c r="W67">
        <f>SUM(O67:V67)</f>
        <v>25830.627899999999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226</v>
      </c>
      <c r="B71">
        <f ref="B71:J74" si="9" t="shared">O71*$B$1</f>
        <v>1066130.7389</v>
      </c>
      <c r="C71">
        <f si="9" t="shared"/>
        <v>235920.698</v>
      </c>
      <c r="D71">
        <f si="9" t="shared"/>
        <v>262344.42749999999</v>
      </c>
      <c r="E71">
        <f si="9" t="shared"/>
        <v>389155.25099999999</v>
      </c>
      <c r="F71">
        <f si="9" t="shared"/>
        <v>84292.914300000004</v>
      </c>
      <c r="G71">
        <f si="9" t="shared"/>
        <v>64742.405500000001</v>
      </c>
      <c r="H71">
        <f si="9" t="shared"/>
        <v>375350.43459999998</v>
      </c>
      <c r="I71">
        <f si="9" t="shared"/>
        <v>184503.02910000001</v>
      </c>
      <c r="J71">
        <f si="9" t="shared"/>
        <v>2662439.8988999999</v>
      </c>
      <c r="N71" t="s">
        <v>226</v>
      </c>
      <c r="O71" t="n">
        <v>1066130.7389</v>
      </c>
      <c r="P71" t="n">
        <v>235920.698</v>
      </c>
      <c r="Q71" t="n">
        <v>262344.4275</v>
      </c>
      <c r="R71" t="n">
        <v>389155.251</v>
      </c>
      <c r="S71" t="n">
        <v>84292.9143</v>
      </c>
      <c r="T71" t="n">
        <v>64742.4055</v>
      </c>
      <c r="U71" t="n">
        <v>375350.4346</v>
      </c>
      <c r="V71" t="n">
        <v>184503.0291</v>
      </c>
      <c r="W71">
        <f>SUM(O71:V71)</f>
        <v>2662439.8988999999</v>
      </c>
    </row>
    <row r="72" spans="1:23" x14ac:dyDescent="0.2">
      <c r="A72" t="s">
        <v>235</v>
      </c>
      <c r="B72">
        <f si="9" t="shared"/>
        <v>136094.36319999999</v>
      </c>
      <c r="C72">
        <f si="9" t="shared"/>
        <v>28036.0105</v>
      </c>
      <c r="D72">
        <f si="9" t="shared"/>
        <v>21024.740600000001</v>
      </c>
      <c r="E72">
        <f si="9" t="shared"/>
        <v>40655.946400000001</v>
      </c>
      <c r="F72">
        <f si="9" t="shared"/>
        <v>10308.7971</v>
      </c>
      <c r="G72">
        <f si="9" t="shared"/>
        <v>4029.8694</v>
      </c>
      <c r="H72">
        <f si="9" t="shared"/>
        <v>43043.366600000001</v>
      </c>
      <c r="I72">
        <f si="9" t="shared"/>
        <v>9319.4100999999991</v>
      </c>
      <c r="J72">
        <f si="9" t="shared"/>
        <v>292512.50389999995</v>
      </c>
      <c r="N72" t="s">
        <v>235</v>
      </c>
      <c r="O72" t="n">
        <v>136094.3632</v>
      </c>
      <c r="P72" t="n">
        <v>28036.0105</v>
      </c>
      <c r="Q72" t="n">
        <v>21024.7406</v>
      </c>
      <c r="R72" t="n">
        <v>40655.9464</v>
      </c>
      <c r="S72" t="n">
        <v>10308.7971</v>
      </c>
      <c r="T72" t="n">
        <v>4029.8694</v>
      </c>
      <c r="U72" t="n">
        <v>43043.3666</v>
      </c>
      <c r="V72" t="n">
        <v>9319.4101</v>
      </c>
      <c r="W72">
        <f>SUM(O72:V72)</f>
        <v>292512.50389999995</v>
      </c>
    </row>
    <row r="73" spans="1:23" x14ac:dyDescent="0.2">
      <c r="A73" t="s">
        <v>236</v>
      </c>
      <c r="B73">
        <f si="9" t="shared"/>
        <v>185501.5773</v>
      </c>
      <c r="C73">
        <f si="9" t="shared"/>
        <v>65174.660400000001</v>
      </c>
      <c r="D73">
        <f si="9" t="shared"/>
        <v>82733.957699999999</v>
      </c>
      <c r="E73">
        <f si="9" t="shared"/>
        <v>135830.89000000001</v>
      </c>
      <c r="F73">
        <f si="9" t="shared"/>
        <v>13655.1072</v>
      </c>
      <c r="G73">
        <f si="9" t="shared"/>
        <v>9727.2692999999999</v>
      </c>
      <c r="H73">
        <f si="9" t="shared"/>
        <v>88272.691800000001</v>
      </c>
      <c r="I73">
        <f si="9" t="shared"/>
        <v>66825.039199999999</v>
      </c>
      <c r="J73">
        <f si="9" t="shared"/>
        <v>647721.19290000002</v>
      </c>
      <c r="N73" t="s">
        <v>236</v>
      </c>
      <c r="O73" t="n">
        <v>185501.5773</v>
      </c>
      <c r="P73" t="n">
        <v>65174.6604</v>
      </c>
      <c r="Q73" t="n">
        <v>82733.9577</v>
      </c>
      <c r="R73" t="n">
        <v>135830.89</v>
      </c>
      <c r="S73" t="n">
        <v>13655.1072</v>
      </c>
      <c r="T73" t="n">
        <v>9727.2693</v>
      </c>
      <c r="U73" t="n">
        <v>88272.6918</v>
      </c>
      <c r="V73" t="n">
        <v>66825.0392</v>
      </c>
      <c r="W73">
        <f>SUM(O73:V73)</f>
        <v>647721.19290000002</v>
      </c>
    </row>
    <row r="74" spans="1:23" x14ac:dyDescent="0.2">
      <c r="A74" t="s">
        <v>173</v>
      </c>
      <c r="B74">
        <f si="9" t="shared"/>
        <v>24863.062999999998</v>
      </c>
      <c r="C74">
        <f si="9" t="shared"/>
        <v>11824.313200000001</v>
      </c>
      <c r="D74">
        <f si="9" t="shared"/>
        <v>18988.852599999998</v>
      </c>
      <c r="E74">
        <f si="9" t="shared"/>
        <v>26646.580999999998</v>
      </c>
      <c r="F74">
        <f si="9" t="shared"/>
        <v>3222.1170000000002</v>
      </c>
      <c r="G74">
        <f si="9" t="shared"/>
        <v>0</v>
      </c>
      <c r="H74">
        <f si="9" t="shared"/>
        <v>9249.4328999999998</v>
      </c>
      <c r="I74">
        <f si="9" t="shared"/>
        <v>11050.011200000001</v>
      </c>
      <c r="J74">
        <f si="9" t="shared"/>
        <v>105844.37089999998</v>
      </c>
      <c r="N74" t="s">
        <v>173</v>
      </c>
      <c r="O74" t="n">
        <v>24863.063</v>
      </c>
      <c r="P74" t="n">
        <v>11824.3132</v>
      </c>
      <c r="Q74" t="n">
        <v>18988.8526</v>
      </c>
      <c r="R74" t="n">
        <v>26646.581</v>
      </c>
      <c r="S74" t="n">
        <v>3222.117</v>
      </c>
      <c r="T74" t="n">
        <v>0.0</v>
      </c>
      <c r="U74" t="n">
        <v>9249.4329</v>
      </c>
      <c r="V74" t="n">
        <v>11050.0112</v>
      </c>
      <c r="W74">
        <f>SUM(O74:V74)</f>
        <v>105844.37089999998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J83" si="10" t="shared">O80*$B$1</f>
        <v>309978.09000000003</v>
      </c>
      <c r="C80">
        <f si="10" t="shared"/>
        <v>192987.40669999999</v>
      </c>
      <c r="D80">
        <f si="10" t="shared"/>
        <v>371501.76870000002</v>
      </c>
      <c r="E80">
        <f si="10" t="shared"/>
        <v>567106.41650000005</v>
      </c>
      <c r="F80">
        <f si="10" t="shared"/>
        <v>68886.8367</v>
      </c>
      <c r="G80">
        <f si="10" t="shared"/>
        <v>76855.807499999995</v>
      </c>
      <c r="H80">
        <f si="10" t="shared"/>
        <v>514695.58309999999</v>
      </c>
      <c r="I80">
        <f si="10" t="shared"/>
        <v>271320.87319999997</v>
      </c>
      <c r="J80">
        <f si="10" t="shared"/>
        <v>2373332.7823999999</v>
      </c>
      <c r="N80">
        <v>0</v>
      </c>
      <c r="O80" t="n">
        <v>309978.09</v>
      </c>
      <c r="P80" t="n">
        <v>192987.4067</v>
      </c>
      <c r="Q80" t="n">
        <v>371501.7687</v>
      </c>
      <c r="R80" t="n">
        <v>567106.4165</v>
      </c>
      <c r="S80" t="n">
        <v>68886.8367</v>
      </c>
      <c r="T80" t="n">
        <v>76855.8075</v>
      </c>
      <c r="U80" t="n">
        <v>514695.5831</v>
      </c>
      <c r="V80" t="n">
        <v>271320.8732</v>
      </c>
      <c r="W80">
        <f>SUM(O80:V80)</f>
        <v>2373332.7823999999</v>
      </c>
    </row>
    <row r="81" spans="1:23" x14ac:dyDescent="0.2">
      <c r="A81">
        <v>1</v>
      </c>
      <c r="B81">
        <f si="10" t="shared"/>
        <v>1062549.9314999999</v>
      </c>
      <c r="C81">
        <f si="10" t="shared"/>
        <v>138671.49619999999</v>
      </c>
      <c r="D81">
        <f si="10" t="shared"/>
        <v>13297.178400000001</v>
      </c>
      <c r="E81">
        <f si="10" t="shared"/>
        <v>24357.343499999999</v>
      </c>
      <c r="F81">
        <f si="10" t="shared"/>
        <v>38204.534899999999</v>
      </c>
      <c r="G81">
        <f si="10" t="shared"/>
        <v>1643.7366999999999</v>
      </c>
      <c r="H81">
        <f si="10" t="shared"/>
        <v>1220.3427999999999</v>
      </c>
      <c r="I81">
        <f si="10" t="shared"/>
        <v>376.6164</v>
      </c>
      <c r="J81">
        <f si="10" t="shared"/>
        <v>1280321.1804</v>
      </c>
      <c r="N81">
        <v>1</v>
      </c>
      <c r="O81" t="n">
        <v>1062549.9315</v>
      </c>
      <c r="P81" t="n">
        <v>138671.4962</v>
      </c>
      <c r="Q81" t="n">
        <v>13297.1784</v>
      </c>
      <c r="R81" t="n">
        <v>24357.3435</v>
      </c>
      <c r="S81" t="n">
        <v>38204.5349</v>
      </c>
      <c r="T81" t="n">
        <v>1643.7367</v>
      </c>
      <c r="U81" t="n">
        <v>1220.3428</v>
      </c>
      <c r="V81" t="n">
        <v>376.6164</v>
      </c>
      <c r="W81">
        <f>SUM(O81:V81)</f>
        <v>1280321.1804</v>
      </c>
    </row>
    <row r="82" spans="1:23" x14ac:dyDescent="0.2">
      <c r="A82">
        <v>2</v>
      </c>
      <c r="B82">
        <f si="10" t="shared"/>
        <v>38602.193299999999</v>
      </c>
      <c r="C82">
        <f si="10" t="shared"/>
        <v>9203.8503999999994</v>
      </c>
      <c r="D82">
        <f si="10" t="shared"/>
        <v>293.03129999999999</v>
      </c>
      <c r="E82">
        <f si="10" t="shared"/>
        <v>566.16300000000001</v>
      </c>
      <c r="F82">
        <f si="10" t="shared"/>
        <v>3206.3818000000001</v>
      </c>
      <c r="G82">
        <f si="10" t="shared"/>
        <v>0</v>
      </c>
      <c r="H82">
        <f si="10" t="shared"/>
        <v>0</v>
      </c>
      <c r="I82">
        <f si="10" t="shared"/>
        <v>0</v>
      </c>
      <c r="J82">
        <f si="10" t="shared"/>
        <v>51871.6198</v>
      </c>
      <c r="N82">
        <v>2</v>
      </c>
      <c r="O82" t="n">
        <v>38602.1933</v>
      </c>
      <c r="P82" t="n">
        <v>9203.8504</v>
      </c>
      <c r="Q82" t="n">
        <v>293.0313</v>
      </c>
      <c r="R82" t="n">
        <v>566.163</v>
      </c>
      <c r="S82" t="n">
        <v>3206.3818</v>
      </c>
      <c r="T82" t="n">
        <v>0.0</v>
      </c>
      <c r="U82" t="n">
        <v>0.0</v>
      </c>
      <c r="V82" t="n">
        <v>0.0</v>
      </c>
      <c r="W82">
        <f>SUM(O82:V82)</f>
        <v>51871.6198</v>
      </c>
    </row>
    <row r="83" spans="1:23" x14ac:dyDescent="0.2">
      <c r="A83" t="s">
        <v>116</v>
      </c>
      <c r="B83">
        <f si="10" t="shared"/>
        <v>1459.5275999999999</v>
      </c>
      <c r="C83">
        <f si="10" t="shared"/>
        <v>92.928799999999995</v>
      </c>
      <c r="D83">
        <f si="10" t="shared"/>
        <v>0</v>
      </c>
      <c r="E83">
        <f si="10" t="shared"/>
        <v>258.74540000000002</v>
      </c>
      <c r="F83">
        <f si="10" t="shared"/>
        <v>1181.1822</v>
      </c>
      <c r="G83">
        <f si="10" t="shared"/>
        <v>0</v>
      </c>
      <c r="H83">
        <f si="10" t="shared"/>
        <v>0</v>
      </c>
      <c r="I83">
        <f si="10" t="shared"/>
        <v>0</v>
      </c>
      <c r="J83">
        <f si="10" t="shared"/>
        <v>2992.384</v>
      </c>
      <c r="N83" t="s">
        <v>116</v>
      </c>
      <c r="O83" t="n">
        <v>1459.5276</v>
      </c>
      <c r="P83" t="n">
        <v>92.9288</v>
      </c>
      <c r="Q83" t="n">
        <v>0.0</v>
      </c>
      <c r="R83" t="n">
        <v>258.7454</v>
      </c>
      <c r="S83" t="n">
        <v>1181.1822</v>
      </c>
      <c r="T83" t="n">
        <v>0.0</v>
      </c>
      <c r="U83" t="n">
        <v>0.0</v>
      </c>
      <c r="V83" t="n">
        <v>0.0</v>
      </c>
      <c r="W83">
        <f>SUM(O83:V83)</f>
        <v>2992.384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J90" si="11" t="shared">O87*$B$1</f>
        <v>1406700.5867999999</v>
      </c>
      <c r="C87">
        <f si="11" t="shared"/>
        <v>313314.9081</v>
      </c>
      <c r="D87">
        <f si="11" t="shared"/>
        <v>383947.18560000003</v>
      </c>
      <c r="E87">
        <f si="11" t="shared"/>
        <v>546976.2023</v>
      </c>
      <c r="F87">
        <f si="11" t="shared"/>
        <v>75509.095000000001</v>
      </c>
      <c r="G87">
        <f si="11" t="shared"/>
        <v>18109.356500000002</v>
      </c>
      <c r="H87">
        <f si="11" t="shared"/>
        <v>128576.4286</v>
      </c>
      <c r="I87">
        <f si="11" t="shared"/>
        <v>221739.19380000001</v>
      </c>
      <c r="J87">
        <f si="11" t="shared"/>
        <v>3094872.9567000004</v>
      </c>
      <c r="N87">
        <v>0</v>
      </c>
      <c r="O87" t="n">
        <v>1406700.5868</v>
      </c>
      <c r="P87" t="n">
        <v>313314.9081</v>
      </c>
      <c r="Q87" t="n">
        <v>383947.1856</v>
      </c>
      <c r="R87" t="n">
        <v>546976.2023</v>
      </c>
      <c r="S87" t="n">
        <v>75509.095</v>
      </c>
      <c r="T87" t="n">
        <v>18109.3565</v>
      </c>
      <c r="U87" t="n">
        <v>128576.4286</v>
      </c>
      <c r="V87" t="n">
        <v>221739.1938</v>
      </c>
      <c r="W87">
        <f>SUM(O87:V87)</f>
        <v>3094872.9567000004</v>
      </c>
    </row>
    <row r="88" spans="1:23" x14ac:dyDescent="0.2">
      <c r="A88">
        <v>1</v>
      </c>
      <c r="B88">
        <f si="11" t="shared"/>
        <v>5889.1556</v>
      </c>
      <c r="C88">
        <f si="11" t="shared"/>
        <v>26502.902600000001</v>
      </c>
      <c r="D88">
        <f si="11" t="shared"/>
        <v>1144.7927999999999</v>
      </c>
      <c r="E88">
        <f si="11" t="shared"/>
        <v>42613.266300000003</v>
      </c>
      <c r="F88">
        <f si="11" t="shared"/>
        <v>32428.623899999999</v>
      </c>
      <c r="G88">
        <f si="11" t="shared"/>
        <v>59582.183900000004</v>
      </c>
      <c r="H88">
        <f si="11" t="shared"/>
        <v>382414.44829999999</v>
      </c>
      <c r="I88">
        <f si="11" t="shared"/>
        <v>49199.931700000001</v>
      </c>
      <c r="J88">
        <f si="11" t="shared"/>
        <v>599775.3051</v>
      </c>
      <c r="N88">
        <v>1</v>
      </c>
      <c r="O88" t="n">
        <v>5889.1556</v>
      </c>
      <c r="P88" t="n">
        <v>26502.9026</v>
      </c>
      <c r="Q88" t="n">
        <v>1144.7928</v>
      </c>
      <c r="R88" t="n">
        <v>42613.2663</v>
      </c>
      <c r="S88" t="n">
        <v>32428.6239</v>
      </c>
      <c r="T88" t="n">
        <v>59582.1839</v>
      </c>
      <c r="U88" t="n">
        <v>382414.4483</v>
      </c>
      <c r="V88" t="n">
        <v>49199.9317</v>
      </c>
      <c r="W88">
        <f>SUM(O88:V88)</f>
        <v>599775.3051</v>
      </c>
    </row>
    <row r="89" spans="1:23" x14ac:dyDescent="0.2">
      <c r="A89">
        <v>2</v>
      </c>
      <c r="B89">
        <f si="11" t="shared"/>
        <v>0</v>
      </c>
      <c r="C89">
        <f si="11" t="shared"/>
        <v>1137.8714</v>
      </c>
      <c r="D89">
        <f si="11" t="shared"/>
        <v>0</v>
      </c>
      <c r="E89">
        <f si="11" t="shared"/>
        <v>2699.1997999999999</v>
      </c>
      <c r="F89">
        <f si="11" t="shared"/>
        <v>2847.0187000000001</v>
      </c>
      <c r="G89">
        <f si="11" t="shared"/>
        <v>808.00379999999996</v>
      </c>
      <c r="H89">
        <f si="11" t="shared"/>
        <v>4925.049</v>
      </c>
      <c r="I89">
        <f si="11" t="shared"/>
        <v>437.35910000000001</v>
      </c>
      <c r="J89">
        <f si="11" t="shared"/>
        <v>12854.5018</v>
      </c>
      <c r="N89">
        <v>2</v>
      </c>
      <c r="O89" t="n">
        <v>0.0</v>
      </c>
      <c r="P89" t="n">
        <v>1137.8714</v>
      </c>
      <c r="Q89" t="n">
        <v>0.0</v>
      </c>
      <c r="R89" t="n">
        <v>2699.1998</v>
      </c>
      <c r="S89" t="n">
        <v>2847.0187</v>
      </c>
      <c r="T89" t="n">
        <v>808.0038</v>
      </c>
      <c r="U89" t="n">
        <v>4925.049</v>
      </c>
      <c r="V89" t="n">
        <v>437.3591</v>
      </c>
      <c r="W89">
        <f>SUM(O89:V89)</f>
        <v>12854.5018</v>
      </c>
    </row>
    <row r="90" spans="1:23" x14ac:dyDescent="0.2">
      <c r="A90" t="s">
        <v>116</v>
      </c>
      <c r="B90">
        <f si="11" t="shared"/>
        <v>0</v>
      </c>
      <c r="C90">
        <f si="11" t="shared"/>
        <v>0</v>
      </c>
      <c r="D90">
        <f si="11" t="shared"/>
        <v>0</v>
      </c>
      <c r="E90">
        <f si="11" t="shared"/>
        <v>0</v>
      </c>
      <c r="F90">
        <f si="11" t="shared"/>
        <v>694.19799999999998</v>
      </c>
      <c r="G90">
        <f si="11" t="shared"/>
        <v>0</v>
      </c>
      <c r="H90">
        <f si="11" t="shared"/>
        <v>0</v>
      </c>
      <c r="I90">
        <f si="11" t="shared"/>
        <v>321.005</v>
      </c>
      <c r="J90">
        <f si="11" t="shared"/>
        <v>1015.203</v>
      </c>
      <c r="N90" t="s">
        <v>116</v>
      </c>
      <c r="O90" t="n">
        <v>0.0</v>
      </c>
      <c r="P90" t="n">
        <v>0.0</v>
      </c>
      <c r="Q90" t="n">
        <v>0.0</v>
      </c>
      <c r="R90" t="n">
        <v>0.0</v>
      </c>
      <c r="S90" t="n">
        <v>694.198</v>
      </c>
      <c r="T90" t="n">
        <v>0.0</v>
      </c>
      <c r="U90" t="n">
        <v>0.0</v>
      </c>
      <c r="V90" t="n">
        <v>321.005</v>
      </c>
      <c r="W90">
        <f>SUM(O90:V90)</f>
        <v>1015.203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J97" si="12" t="shared">O94*$B$1</f>
        <v>1302592.5277</v>
      </c>
      <c r="C94">
        <f si="12" t="shared"/>
        <v>289548.2415</v>
      </c>
      <c r="D94">
        <f si="12" t="shared"/>
        <v>345004.45370000001</v>
      </c>
      <c r="E94">
        <f si="12" t="shared"/>
        <v>481172.42239999998</v>
      </c>
      <c r="F94">
        <f si="12" t="shared"/>
        <v>103549.664</v>
      </c>
      <c r="G94">
        <f si="12" t="shared"/>
        <v>72589.529500000004</v>
      </c>
      <c r="H94">
        <f si="12" t="shared"/>
        <v>492031.90139999997</v>
      </c>
      <c r="I94">
        <f si="12" t="shared"/>
        <v>238872.64009999999</v>
      </c>
      <c r="J94">
        <f si="12" t="shared"/>
        <v>3325361.3802999998</v>
      </c>
      <c r="N94">
        <v>0</v>
      </c>
      <c r="O94" t="n">
        <v>1302592.5277</v>
      </c>
      <c r="P94" t="n">
        <v>289548.2415</v>
      </c>
      <c r="Q94" t="n">
        <v>345004.4537</v>
      </c>
      <c r="R94" t="n">
        <v>481172.4224</v>
      </c>
      <c r="S94" t="n">
        <v>103549.664</v>
      </c>
      <c r="T94" t="n">
        <v>72589.5295</v>
      </c>
      <c r="U94" t="n">
        <v>492031.9014</v>
      </c>
      <c r="V94" t="n">
        <v>238872.6401</v>
      </c>
      <c r="W94">
        <f>SUM(O94:V94)</f>
        <v>3325361.3802999998</v>
      </c>
    </row>
    <row r="95" spans="1:23" x14ac:dyDescent="0.2">
      <c r="A95">
        <v>1</v>
      </c>
      <c r="B95">
        <f si="12" t="shared"/>
        <v>77436.779399999999</v>
      </c>
      <c r="C95">
        <f si="12" t="shared"/>
        <v>29562.633600000001</v>
      </c>
      <c r="D95">
        <f si="12" t="shared"/>
        <v>35438.350299999998</v>
      </c>
      <c r="E95">
        <f si="12" t="shared"/>
        <v>63223.855499999998</v>
      </c>
      <c r="F95">
        <f si="12" t="shared"/>
        <v>6761.3572999999997</v>
      </c>
      <c r="G95">
        <f si="12" t="shared"/>
        <v>5500.8762999999999</v>
      </c>
      <c r="H95">
        <f si="12" t="shared"/>
        <v>22926.458600000002</v>
      </c>
      <c r="I95">
        <f si="12" t="shared"/>
        <v>30602.965499999998</v>
      </c>
      <c r="J95">
        <f si="12" t="shared"/>
        <v>271453.27650000004</v>
      </c>
      <c r="N95">
        <v>1</v>
      </c>
      <c r="O95" t="n">
        <v>77436.7794</v>
      </c>
      <c r="P95" t="n">
        <v>29562.6336</v>
      </c>
      <c r="Q95" t="n">
        <v>35438.3503</v>
      </c>
      <c r="R95" t="n">
        <v>63223.8555</v>
      </c>
      <c r="S95" t="n">
        <v>6761.3573</v>
      </c>
      <c r="T95" t="n">
        <v>5500.8763</v>
      </c>
      <c r="U95" t="n">
        <v>22926.4586</v>
      </c>
      <c r="V95" t="n">
        <v>30602.9655</v>
      </c>
      <c r="W95">
        <f>SUM(O95:V95)</f>
        <v>271453.27650000004</v>
      </c>
    </row>
    <row r="96" spans="1:23" x14ac:dyDescent="0.2">
      <c r="A96">
        <v>2</v>
      </c>
      <c r="B96">
        <f si="12" t="shared"/>
        <v>29857.371900000002</v>
      </c>
      <c r="C96">
        <f si="12" t="shared"/>
        <v>17732.657299999999</v>
      </c>
      <c r="D96">
        <f si="12" t="shared"/>
        <v>4384.6768000000002</v>
      </c>
      <c r="E96">
        <f si="12" t="shared"/>
        <v>34505.280200000001</v>
      </c>
      <c r="F96">
        <f si="12" t="shared"/>
        <v>901.66160000000002</v>
      </c>
      <c r="G96">
        <f si="12" t="shared"/>
        <v>409.13839999999999</v>
      </c>
      <c r="H96">
        <f si="12" t="shared"/>
        <v>957.56590000000006</v>
      </c>
      <c r="I96">
        <f si="12" t="shared"/>
        <v>2221.884</v>
      </c>
      <c r="J96">
        <f si="12" t="shared"/>
        <v>90970.236100000024</v>
      </c>
      <c r="N96">
        <v>2</v>
      </c>
      <c r="O96" t="n">
        <v>29857.371900000002</v>
      </c>
      <c r="P96" t="n">
        <v>17732.6573</v>
      </c>
      <c r="Q96" t="n">
        <v>4384.6768</v>
      </c>
      <c r="R96" t="n">
        <v>34505.2802</v>
      </c>
      <c r="S96" t="n">
        <v>901.6616</v>
      </c>
      <c r="T96" t="n">
        <v>409.1384</v>
      </c>
      <c r="U96" t="n">
        <v>957.5659</v>
      </c>
      <c r="V96" t="n">
        <v>2221.884</v>
      </c>
      <c r="W96">
        <f>SUM(O96:V96)</f>
        <v>90970.236100000024</v>
      </c>
    </row>
    <row r="97" spans="1:23" x14ac:dyDescent="0.2">
      <c r="A97" t="s">
        <v>116</v>
      </c>
      <c r="B97">
        <f si="12" t="shared"/>
        <v>2703.0634</v>
      </c>
      <c r="C97">
        <f si="12" t="shared"/>
        <v>4112.1496999999999</v>
      </c>
      <c r="D97">
        <f si="12" t="shared"/>
        <v>264.49760000000003</v>
      </c>
      <c r="E97">
        <f si="12" t="shared"/>
        <v>13387.1103</v>
      </c>
      <c r="F97">
        <f si="12" t="shared"/>
        <v>266.2527</v>
      </c>
      <c r="G97">
        <f si="12" t="shared"/>
        <v>0</v>
      </c>
      <c r="H97">
        <f si="12" t="shared"/>
        <v>0</v>
      </c>
      <c r="I97">
        <f si="12" t="shared"/>
        <v>0</v>
      </c>
      <c r="J97">
        <f si="12" t="shared"/>
        <v>20733.073700000001</v>
      </c>
      <c r="N97" t="s">
        <v>116</v>
      </c>
      <c r="O97" t="n">
        <v>2703.0634</v>
      </c>
      <c r="P97" t="n">
        <v>4112.1497</v>
      </c>
      <c r="Q97" t="n">
        <v>264.49760000000003</v>
      </c>
      <c r="R97" t="n">
        <v>13387.1103</v>
      </c>
      <c r="S97" t="n">
        <v>266.2527</v>
      </c>
      <c r="T97" t="n">
        <v>0.0</v>
      </c>
      <c r="U97" t="n">
        <v>0.0</v>
      </c>
      <c r="V97" t="n">
        <v>0.0</v>
      </c>
      <c r="W97">
        <f>SUM(O97:V97)</f>
        <v>20733.073700000001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J104" si="13" t="shared">O101*$B$1</f>
        <v>1307253.7679000001</v>
      </c>
      <c r="C101">
        <f si="13" t="shared"/>
        <v>289073.0183</v>
      </c>
      <c r="D101">
        <f si="13" t="shared"/>
        <v>277022.14769999997</v>
      </c>
      <c r="E101">
        <f si="13" t="shared"/>
        <v>465685.16639999999</v>
      </c>
      <c r="F101">
        <f si="13" t="shared"/>
        <v>99843.261599999998</v>
      </c>
      <c r="G101">
        <f si="13" t="shared"/>
        <v>74513.731899999999</v>
      </c>
      <c r="H101">
        <f si="13" t="shared"/>
        <v>471650.76870000002</v>
      </c>
      <c r="I101">
        <f si="13" t="shared"/>
        <v>230416.82810000001</v>
      </c>
      <c r="J101">
        <f si="13" t="shared"/>
        <v>3215458.6905999999</v>
      </c>
      <c r="N101">
        <v>0</v>
      </c>
      <c r="O101" t="n">
        <v>1307253.7679</v>
      </c>
      <c r="P101" t="n">
        <v>289073.0183</v>
      </c>
      <c r="Q101" t="n">
        <v>277022.1477</v>
      </c>
      <c r="R101" t="n">
        <v>465685.1664</v>
      </c>
      <c r="S101" t="n">
        <v>99843.2616</v>
      </c>
      <c r="T101" t="n">
        <v>74513.7319</v>
      </c>
      <c r="U101" t="n">
        <v>471650.7687</v>
      </c>
      <c r="V101" t="n">
        <v>230416.8281</v>
      </c>
      <c r="W101">
        <f>SUM(O101:V101)</f>
        <v>3215458.6905999999</v>
      </c>
    </row>
    <row r="102" spans="1:23" x14ac:dyDescent="0.2">
      <c r="A102">
        <v>1</v>
      </c>
      <c r="B102">
        <f si="13" t="shared"/>
        <v>97614.944499999998</v>
      </c>
      <c r="C102">
        <f si="13" t="shared"/>
        <v>42991.531499999997</v>
      </c>
      <c r="D102">
        <f si="13" t="shared"/>
        <v>90653.794999999998</v>
      </c>
      <c r="E102">
        <f si="13" t="shared"/>
        <v>110835.7007</v>
      </c>
      <c r="F102">
        <f si="13" t="shared"/>
        <v>10976.9329</v>
      </c>
      <c r="G102">
        <f si="13" t="shared"/>
        <v>3953.6905999999999</v>
      </c>
      <c r="H102">
        <f si="13" t="shared"/>
        <v>38440.995600000002</v>
      </c>
      <c r="I102">
        <f si="13" t="shared"/>
        <v>32648.784800000001</v>
      </c>
      <c r="J102">
        <f si="13" t="shared"/>
        <v>428116.37560000003</v>
      </c>
      <c r="N102">
        <v>1</v>
      </c>
      <c r="O102" t="n">
        <v>97614.9445</v>
      </c>
      <c r="P102" t="n">
        <v>42991.5315</v>
      </c>
      <c r="Q102" t="n">
        <v>90653.795</v>
      </c>
      <c r="R102" t="n">
        <v>110835.7007</v>
      </c>
      <c r="S102" t="n">
        <v>10976.9329</v>
      </c>
      <c r="T102" t="n">
        <v>3953.6906</v>
      </c>
      <c r="U102" t="n">
        <v>38440.9956</v>
      </c>
      <c r="V102" t="n">
        <v>32648.7848</v>
      </c>
      <c r="W102">
        <f>SUM(O102:V102)</f>
        <v>428116.37560000003</v>
      </c>
    </row>
    <row r="103" spans="1:23" x14ac:dyDescent="0.2">
      <c r="A103">
        <v>2</v>
      </c>
      <c r="B103">
        <f si="13" t="shared"/>
        <v>6928.1251000000002</v>
      </c>
      <c r="C103">
        <f si="13" t="shared"/>
        <v>5791.0122000000001</v>
      </c>
      <c r="D103">
        <f si="13" t="shared"/>
        <v>14948.9519</v>
      </c>
      <c r="E103">
        <f si="13" t="shared"/>
        <v>13513.2983</v>
      </c>
      <c r="F103">
        <f si="13" t="shared"/>
        <v>537.34649999999999</v>
      </c>
      <c r="G103">
        <f si="13" t="shared"/>
        <v>32.121699999999997</v>
      </c>
      <c r="H103">
        <f si="13" t="shared"/>
        <v>3627.4007999999999</v>
      </c>
      <c r="I103">
        <f si="13" t="shared"/>
        <v>6828.0311999999994</v>
      </c>
      <c r="J103">
        <f si="13" t="shared"/>
        <v>52206.287700000008</v>
      </c>
      <c r="N103">
        <v>2</v>
      </c>
      <c r="O103" t="n">
        <v>6928.1251</v>
      </c>
      <c r="P103" t="n">
        <v>5791.0122</v>
      </c>
      <c r="Q103" t="n">
        <v>14948.9519</v>
      </c>
      <c r="R103" t="n">
        <v>13513.2983</v>
      </c>
      <c r="S103" t="n">
        <v>537.3465</v>
      </c>
      <c r="T103" t="n">
        <v>32.1217</v>
      </c>
      <c r="U103" t="n">
        <v>3627.4008</v>
      </c>
      <c r="V103" t="n">
        <v>6828.031199999999</v>
      </c>
      <c r="W103">
        <f>SUM(O103:V103)</f>
        <v>52206.287700000008</v>
      </c>
    </row>
    <row r="104" spans="1:23" x14ac:dyDescent="0.2">
      <c r="A104" t="s">
        <v>116</v>
      </c>
      <c r="B104">
        <f si="13" t="shared"/>
        <v>792.9049</v>
      </c>
      <c r="C104">
        <f si="13" t="shared"/>
        <v>3100.1201000000001</v>
      </c>
      <c r="D104">
        <f si="13" t="shared"/>
        <v>2467.0837999999999</v>
      </c>
      <c r="E104">
        <f si="13" t="shared"/>
        <v>2254.5029999999997</v>
      </c>
      <c r="F104">
        <f si="13" t="shared"/>
        <v>121.3946</v>
      </c>
      <c r="G104">
        <f si="13" t="shared"/>
        <v>0</v>
      </c>
      <c r="H104">
        <f si="13" t="shared"/>
        <v>2196.7608</v>
      </c>
      <c r="I104">
        <f si="13" t="shared"/>
        <v>1803.8454999999999</v>
      </c>
      <c r="J104">
        <f si="13" t="shared"/>
        <v>12736.612699999998</v>
      </c>
      <c r="N104" t="s">
        <v>116</v>
      </c>
      <c r="O104" t="n">
        <v>792.9049</v>
      </c>
      <c r="P104" t="n">
        <v>3100.1201</v>
      </c>
      <c r="Q104" t="n">
        <v>2467.0838</v>
      </c>
      <c r="R104" t="n">
        <v>2254.5029999999997</v>
      </c>
      <c r="S104" t="n">
        <v>121.3946</v>
      </c>
      <c r="T104" t="n">
        <v>0.0</v>
      </c>
      <c r="U104" t="n">
        <v>2196.7608</v>
      </c>
      <c r="V104" t="n">
        <v>1803.8455</v>
      </c>
      <c r="W104">
        <f>SUM(O104:V104)</f>
        <v>12736.612699999998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J111" si="14" t="shared">O108*$B$1</f>
        <v>1294514.3705</v>
      </c>
      <c r="C108">
        <f si="14" t="shared"/>
        <v>288524.95919999998</v>
      </c>
      <c r="D108">
        <f si="14" t="shared"/>
        <v>287281.17070000002</v>
      </c>
      <c r="E108">
        <f si="14" t="shared"/>
        <v>439333.94</v>
      </c>
      <c r="F108">
        <f si="14" t="shared"/>
        <v>97982.364700000006</v>
      </c>
      <c r="G108">
        <f si="14" t="shared"/>
        <v>77761.395799999998</v>
      </c>
      <c r="H108">
        <f si="14" t="shared"/>
        <v>490421.73989999999</v>
      </c>
      <c r="I108">
        <f si="14" t="shared"/>
        <v>215815.2268</v>
      </c>
      <c r="J108">
        <f si="14" t="shared"/>
        <v>3191635.1675999993</v>
      </c>
      <c r="N108">
        <v>0</v>
      </c>
      <c r="O108" t="n">
        <v>1294514.3705</v>
      </c>
      <c r="P108" t="n">
        <v>288524.9592</v>
      </c>
      <c r="Q108" t="n">
        <v>287281.1707</v>
      </c>
      <c r="R108" t="n">
        <v>439333.94</v>
      </c>
      <c r="S108" t="n">
        <v>97982.3647</v>
      </c>
      <c r="T108" t="n">
        <v>77761.3958</v>
      </c>
      <c r="U108" t="n">
        <v>490421.7399</v>
      </c>
      <c r="V108" t="n">
        <v>215815.2268</v>
      </c>
      <c r="W108">
        <f>SUM(O108:V108)</f>
        <v>3191635.1675999993</v>
      </c>
    </row>
    <row r="109" spans="1:23" x14ac:dyDescent="0.2">
      <c r="A109">
        <v>1</v>
      </c>
      <c r="B109">
        <f si="14" t="shared"/>
        <v>110121.61</v>
      </c>
      <c r="C109">
        <f si="14" t="shared"/>
        <v>49271.663399999998</v>
      </c>
      <c r="D109">
        <f si="14" t="shared"/>
        <v>88392.359400000001</v>
      </c>
      <c r="E109">
        <f si="14" t="shared"/>
        <v>139573.2182</v>
      </c>
      <c r="F109">
        <f si="14" t="shared"/>
        <v>11909.3249</v>
      </c>
      <c r="G109">
        <f si="14" t="shared"/>
        <v>738.14840000000004</v>
      </c>
      <c r="H109">
        <f si="14" t="shared"/>
        <v>24935.952700000002</v>
      </c>
      <c r="I109">
        <f si="14" t="shared"/>
        <v>54386.484199999999</v>
      </c>
      <c r="J109">
        <f si="14" t="shared"/>
        <v>479328.76120000007</v>
      </c>
      <c r="N109">
        <v>1</v>
      </c>
      <c r="O109" t="n">
        <v>110121.61</v>
      </c>
      <c r="P109" t="n">
        <v>49271.6634</v>
      </c>
      <c r="Q109" t="n">
        <v>88392.3594</v>
      </c>
      <c r="R109" t="n">
        <v>139573.2182</v>
      </c>
      <c r="S109" t="n">
        <v>11909.3249</v>
      </c>
      <c r="T109" t="n">
        <v>738.1484</v>
      </c>
      <c r="U109" t="n">
        <v>24935.9527</v>
      </c>
      <c r="V109" t="n">
        <v>54386.4842</v>
      </c>
      <c r="W109">
        <f>SUM(O109:V109)</f>
        <v>479328.76120000007</v>
      </c>
    </row>
    <row r="110" spans="1:23" x14ac:dyDescent="0.2">
      <c r="A110">
        <v>2</v>
      </c>
      <c r="B110">
        <f si="14" t="shared"/>
        <v>7451.8483999999999</v>
      </c>
      <c r="C110">
        <f si="14" t="shared"/>
        <v>3159.0594999999998</v>
      </c>
      <c r="D110">
        <f si="14" t="shared"/>
        <v>9418.4483</v>
      </c>
      <c r="E110">
        <f si="14" t="shared"/>
        <v>12962.8369</v>
      </c>
      <c r="F110">
        <f si="14" t="shared"/>
        <v>1587.2460000000001</v>
      </c>
      <c r="G110">
        <f si="14" t="shared"/>
        <v>0</v>
      </c>
      <c r="H110">
        <f si="14" t="shared"/>
        <v>311.46559999999999</v>
      </c>
      <c r="I110">
        <f si="14" t="shared"/>
        <v>1495.7786000000001</v>
      </c>
      <c r="J110">
        <f si="14" t="shared"/>
        <v>36386.683300000004</v>
      </c>
      <c r="N110">
        <v>2</v>
      </c>
      <c r="O110" t="n">
        <v>7451.8484</v>
      </c>
      <c r="P110" t="n">
        <v>3159.0595</v>
      </c>
      <c r="Q110" t="n">
        <v>9418.4483</v>
      </c>
      <c r="R110" t="n">
        <v>12962.8369</v>
      </c>
      <c r="S110" t="n">
        <v>1587.246</v>
      </c>
      <c r="T110" t="n">
        <v>0.0</v>
      </c>
      <c r="U110" t="n">
        <v>311.4656</v>
      </c>
      <c r="V110" t="n">
        <v>1495.7786</v>
      </c>
      <c r="W110">
        <f>SUM(O110:V110)</f>
        <v>36386.683300000004</v>
      </c>
    </row>
    <row r="111" spans="1:23" x14ac:dyDescent="0.2">
      <c r="A111" t="s">
        <v>116</v>
      </c>
      <c r="B111">
        <f si="14" t="shared"/>
        <v>501.9135</v>
      </c>
      <c r="C111">
        <f si="14" t="shared"/>
        <v>0</v>
      </c>
      <c r="D111">
        <f si="14" t="shared"/>
        <v>0</v>
      </c>
      <c r="E111">
        <f si="14" t="shared"/>
        <v>418.67329999999998</v>
      </c>
      <c r="F111">
        <f si="14" t="shared"/>
        <v>0</v>
      </c>
      <c r="G111">
        <f si="14" t="shared"/>
        <v>0</v>
      </c>
      <c r="H111">
        <f si="14" t="shared"/>
        <v>246.76769999999999</v>
      </c>
      <c r="I111">
        <f si="14" t="shared"/>
        <v>0</v>
      </c>
      <c r="J111">
        <f si="14" t="shared"/>
        <v>1167.3544999999999</v>
      </c>
      <c r="N111" t="s">
        <v>116</v>
      </c>
      <c r="O111" t="n">
        <v>501.9135</v>
      </c>
      <c r="P111" t="n">
        <v>0.0</v>
      </c>
      <c r="Q111" t="n">
        <v>0.0</v>
      </c>
      <c r="R111" t="n">
        <v>418.6733</v>
      </c>
      <c r="S111" t="n">
        <v>0.0</v>
      </c>
      <c r="T111" t="n">
        <v>0.0</v>
      </c>
      <c r="U111" t="n">
        <v>246.7677</v>
      </c>
      <c r="V111" t="n">
        <v>0.0</v>
      </c>
      <c r="W111">
        <f>SUM(O111:V111)</f>
        <v>1167.3544999999999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J118" si="15" t="shared">O115*$B$1</f>
        <v>1355497.4375</v>
      </c>
      <c r="C115">
        <f si="15" t="shared"/>
        <v>325887.09049999999</v>
      </c>
      <c r="D115">
        <f si="15" t="shared"/>
        <v>354397.45980000001</v>
      </c>
      <c r="E115">
        <f si="15" t="shared"/>
        <v>547066.75360000005</v>
      </c>
      <c r="F115">
        <f si="15" t="shared"/>
        <v>105993.3354</v>
      </c>
      <c r="G115">
        <f si="15" t="shared"/>
        <v>78499.544200000004</v>
      </c>
      <c r="H115">
        <f si="15" t="shared"/>
        <v>504641.28950000001</v>
      </c>
      <c r="I115">
        <f si="15" t="shared"/>
        <v>265853.20360000001</v>
      </c>
      <c r="J115">
        <f si="15" t="shared"/>
        <v>3537836.1141000004</v>
      </c>
      <c r="N115">
        <v>0</v>
      </c>
      <c r="O115" t="n">
        <v>1355497.4375</v>
      </c>
      <c r="P115" t="n">
        <v>325887.0905</v>
      </c>
      <c r="Q115" t="n">
        <v>354397.4598</v>
      </c>
      <c r="R115" t="n">
        <v>547066.7536</v>
      </c>
      <c r="S115" t="n">
        <v>105993.3354</v>
      </c>
      <c r="T115" t="n">
        <v>78499.5442</v>
      </c>
      <c r="U115" t="n">
        <v>504641.2895</v>
      </c>
      <c r="V115" t="n">
        <v>265853.2036</v>
      </c>
      <c r="W115">
        <f>SUM(O115:V115)</f>
        <v>3537836.1141000004</v>
      </c>
    </row>
    <row r="116" spans="1:23" x14ac:dyDescent="0.2">
      <c r="A116">
        <v>1</v>
      </c>
      <c r="B116">
        <f si="15" t="shared"/>
        <v>55954.385000000002</v>
      </c>
      <c r="C116">
        <f si="15" t="shared"/>
        <v>13600.0836</v>
      </c>
      <c r="D116">
        <f si="15" t="shared"/>
        <v>28889.490900000001</v>
      </c>
      <c r="E116">
        <f si="15" t="shared"/>
        <v>42300.472999999998</v>
      </c>
      <c r="F116">
        <f si="15" t="shared"/>
        <v>5375.8301999999994</v>
      </c>
      <c r="G116">
        <f si="15" t="shared"/>
        <v>0</v>
      </c>
      <c r="H116">
        <f si="15" t="shared"/>
        <v>11274.636399999999</v>
      </c>
      <c r="I116">
        <f si="15" t="shared"/>
        <v>5844.2860000000001</v>
      </c>
      <c r="J116">
        <f si="15" t="shared"/>
        <v>163239.18509999997</v>
      </c>
      <c r="N116">
        <v>1</v>
      </c>
      <c r="O116" t="n">
        <v>55954.385</v>
      </c>
      <c r="P116" t="n">
        <v>13600.0836</v>
      </c>
      <c r="Q116" t="n">
        <v>28889.4909</v>
      </c>
      <c r="R116" t="n">
        <v>42300.473</v>
      </c>
      <c r="S116" t="n">
        <v>5375.830199999999</v>
      </c>
      <c r="T116" t="n">
        <v>0.0</v>
      </c>
      <c r="U116" t="n">
        <v>11274.6364</v>
      </c>
      <c r="V116" t="n">
        <v>5844.286</v>
      </c>
      <c r="W116">
        <f>SUM(O116:V116)</f>
        <v>163239.18509999997</v>
      </c>
    </row>
    <row r="117" spans="1:23" x14ac:dyDescent="0.2">
      <c r="A117">
        <v>2</v>
      </c>
      <c r="B117">
        <f si="15" t="shared"/>
        <v>1137.9198999999999</v>
      </c>
      <c r="C117">
        <f si="15" t="shared"/>
        <v>1468.508</v>
      </c>
      <c r="D117">
        <f si="15" t="shared"/>
        <v>1805.0276999999999</v>
      </c>
      <c r="E117">
        <f si="15" t="shared"/>
        <v>2921.4418000000001</v>
      </c>
      <c r="F117">
        <f si="15" t="shared"/>
        <v>109.77</v>
      </c>
      <c r="G117">
        <f si="15" t="shared"/>
        <v>0</v>
      </c>
      <c r="H117">
        <f si="15" t="shared"/>
        <v>0</v>
      </c>
      <c r="I117">
        <f si="15" t="shared"/>
        <v>0</v>
      </c>
      <c r="J117">
        <f si="15" t="shared"/>
        <v>7442.6674000000003</v>
      </c>
      <c r="N117">
        <v>2</v>
      </c>
      <c r="O117" t="n">
        <v>1137.9198999999999</v>
      </c>
      <c r="P117" t="n">
        <v>1468.508</v>
      </c>
      <c r="Q117" t="n">
        <v>1805.0276999999999</v>
      </c>
      <c r="R117" t="n">
        <v>2921.4418</v>
      </c>
      <c r="S117" t="n">
        <v>109.77</v>
      </c>
      <c r="T117" t="n">
        <v>0.0</v>
      </c>
      <c r="U117" t="n">
        <v>0.0</v>
      </c>
      <c r="V117" t="n">
        <v>0.0</v>
      </c>
      <c r="W117">
        <f>SUM(O117:V117)</f>
        <v>7442.6674000000003</v>
      </c>
    </row>
    <row r="118" spans="1:23" x14ac:dyDescent="0.2">
      <c r="A118" t="s">
        <v>116</v>
      </c>
      <c r="B118">
        <f si="15" t="shared"/>
        <v>0</v>
      </c>
      <c r="C118">
        <f si="15" t="shared"/>
        <v>0</v>
      </c>
      <c r="D118">
        <f si="15" t="shared"/>
        <v>0</v>
      </c>
      <c r="E118">
        <f si="15" t="shared"/>
        <v>0</v>
      </c>
      <c r="F118">
        <f si="15" t="shared"/>
        <v>0</v>
      </c>
      <c r="G118">
        <f si="15" t="shared"/>
        <v>0</v>
      </c>
      <c r="H118">
        <f si="15" t="shared"/>
        <v>0</v>
      </c>
      <c r="I118">
        <f si="15" t="shared"/>
        <v>0</v>
      </c>
      <c r="J118">
        <f si="15" t="shared"/>
        <v>0</v>
      </c>
      <c r="N118" t="s">
        <v>116</v>
      </c>
      <c r="O118" t="n">
        <v>0.0</v>
      </c>
      <c r="P118" t="n">
        <v>0.0</v>
      </c>
      <c r="Q118" t="n">
        <v>0.0</v>
      </c>
      <c r="R118" t="n">
        <v>0.0</v>
      </c>
      <c r="S118" t="n">
        <v>0.0</v>
      </c>
      <c r="T118" t="n">
        <v>0.0</v>
      </c>
      <c r="U118" t="n">
        <v>0.0</v>
      </c>
      <c r="V118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J125" si="16" t="shared">O122*$B$1</f>
        <v>1202225.1021</v>
      </c>
      <c r="C122">
        <f si="16" t="shared"/>
        <v>263956.70850000001</v>
      </c>
      <c r="D122">
        <f si="16" t="shared"/>
        <v>283369.16810000001</v>
      </c>
      <c r="E122">
        <f si="16" t="shared"/>
        <v>429811.1974</v>
      </c>
      <c r="F122">
        <f si="16" t="shared"/>
        <v>94601.7114</v>
      </c>
      <c r="G122">
        <f si="16" t="shared"/>
        <v>68772.274900000004</v>
      </c>
      <c r="H122">
        <f si="16" t="shared"/>
        <v>418393.80119999999</v>
      </c>
      <c r="I122">
        <f si="16" t="shared"/>
        <v>193822.43919999999</v>
      </c>
      <c r="J122">
        <f si="16" t="shared"/>
        <v>2954952.4027999998</v>
      </c>
      <c r="N122">
        <v>0</v>
      </c>
      <c r="O122" t="n">
        <v>1202225.1021</v>
      </c>
      <c r="P122" t="n">
        <v>263956.7085</v>
      </c>
      <c r="Q122" t="n">
        <v>283369.1681</v>
      </c>
      <c r="R122" t="n">
        <v>429811.1974</v>
      </c>
      <c r="S122" t="n">
        <v>94601.7114</v>
      </c>
      <c r="T122" t="n">
        <v>68772.2749</v>
      </c>
      <c r="U122" t="n">
        <v>418393.8012</v>
      </c>
      <c r="V122" t="n">
        <v>193822.4392</v>
      </c>
      <c r="W122">
        <f>SUM(O122:V122)</f>
        <v>2954952.4027999998</v>
      </c>
    </row>
    <row r="123" spans="1:23" x14ac:dyDescent="0.2">
      <c r="A123">
        <v>1</v>
      </c>
      <c r="B123">
        <f si="16" t="shared"/>
        <v>182970.90150000001</v>
      </c>
      <c r="C123">
        <f si="16" t="shared"/>
        <v>61561.319000000003</v>
      </c>
      <c r="D123">
        <f si="16" t="shared"/>
        <v>91964.605800000005</v>
      </c>
      <c r="E123">
        <f si="16" t="shared"/>
        <v>138729.14079999999</v>
      </c>
      <c r="F123">
        <f si="16" t="shared"/>
        <v>14870.8604</v>
      </c>
      <c r="G123">
        <f si="16" t="shared"/>
        <v>7631.5523000000003</v>
      </c>
      <c r="H123">
        <f si="16" t="shared"/>
        <v>87320.081699999995</v>
      </c>
      <c r="I123">
        <f si="16" t="shared"/>
        <v>66774.047500000001</v>
      </c>
      <c r="J123">
        <f si="16" t="shared"/>
        <v>651822.50899999996</v>
      </c>
      <c r="N123">
        <v>1</v>
      </c>
      <c r="O123" t="n">
        <v>182970.9015</v>
      </c>
      <c r="P123" t="n">
        <v>61561.319</v>
      </c>
      <c r="Q123" t="n">
        <v>91964.6058</v>
      </c>
      <c r="R123" t="n">
        <v>138729.1408</v>
      </c>
      <c r="S123" t="n">
        <v>14870.8604</v>
      </c>
      <c r="T123" t="n">
        <v>7631.5523</v>
      </c>
      <c r="U123" t="n">
        <v>87320.0817</v>
      </c>
      <c r="V123" t="n">
        <v>66774.0475</v>
      </c>
      <c r="W123">
        <f>SUM(O123:V123)</f>
        <v>651822.50899999996</v>
      </c>
    </row>
    <row r="124" spans="1:23" x14ac:dyDescent="0.2">
      <c r="A124">
        <v>2</v>
      </c>
      <c r="B124">
        <f si="16" t="shared"/>
        <v>25393.6842</v>
      </c>
      <c r="C124">
        <f si="16" t="shared"/>
        <v>14047.1021</v>
      </c>
      <c r="D124">
        <f si="16" t="shared"/>
        <v>9544.2831000000006</v>
      </c>
      <c r="E124">
        <f si="16" t="shared"/>
        <v>20678.5128</v>
      </c>
      <c r="F124">
        <f si="16" t="shared"/>
        <v>1750.9271999999999</v>
      </c>
      <c r="G124">
        <f si="16" t="shared"/>
        <v>2095.7170000000001</v>
      </c>
      <c r="H124">
        <f si="16" t="shared"/>
        <v>8164.1266000000005</v>
      </c>
      <c r="I124">
        <f si="16" t="shared"/>
        <v>10950.9704</v>
      </c>
      <c r="J124">
        <f si="16" t="shared"/>
        <v>92625.323400000023</v>
      </c>
      <c r="N124">
        <v>2</v>
      </c>
      <c r="O124" t="n">
        <v>25393.6842</v>
      </c>
      <c r="P124" t="n">
        <v>14047.1021</v>
      </c>
      <c r="Q124" t="n">
        <v>9544.2831</v>
      </c>
      <c r="R124" t="n">
        <v>20678.5128</v>
      </c>
      <c r="S124" t="n">
        <v>1750.9271999999999</v>
      </c>
      <c r="T124" t="n">
        <v>2095.717</v>
      </c>
      <c r="U124" t="n">
        <v>8164.1266000000005</v>
      </c>
      <c r="V124" t="n">
        <v>10950.9704</v>
      </c>
      <c r="W124">
        <f>SUM(O124:V124)</f>
        <v>92625.323400000023</v>
      </c>
    </row>
    <row r="125" spans="1:23" x14ac:dyDescent="0.2">
      <c r="A125" t="s">
        <v>116</v>
      </c>
      <c r="B125">
        <f si="16" t="shared"/>
        <v>2000.0545999999999</v>
      </c>
      <c r="C125">
        <f si="16" t="shared"/>
        <v>1390.5525</v>
      </c>
      <c r="D125">
        <f si="16" t="shared"/>
        <v>213.92140000000001</v>
      </c>
      <c r="E125">
        <f si="16" t="shared"/>
        <v>3069.8173999999999</v>
      </c>
      <c r="F125">
        <f si="16" t="shared"/>
        <v>255.4366</v>
      </c>
      <c r="G125">
        <f si="16" t="shared"/>
        <v>0</v>
      </c>
      <c r="H125">
        <f si="16" t="shared"/>
        <v>2037.9164000000001</v>
      </c>
      <c r="I125">
        <f si="16" t="shared"/>
        <v>150.0325</v>
      </c>
      <c r="J125">
        <f si="16" t="shared"/>
        <v>9117.7313999999988</v>
      </c>
      <c r="N125" t="s">
        <v>116</v>
      </c>
      <c r="O125" t="n">
        <v>2000.0546</v>
      </c>
      <c r="P125" t="n">
        <v>1390.5525</v>
      </c>
      <c r="Q125" t="n">
        <v>213.9214</v>
      </c>
      <c r="R125" t="n">
        <v>3069.8174</v>
      </c>
      <c r="S125" t="n">
        <v>255.4366</v>
      </c>
      <c r="T125" t="n">
        <v>0.0</v>
      </c>
      <c r="U125" t="n">
        <v>2037.9164</v>
      </c>
      <c r="V125" t="n">
        <v>150.0325</v>
      </c>
      <c r="W125">
        <f>SUM(O125:V125)</f>
        <v>9117.7313999999988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17" t="shared">O129*$B$1</f>
        <v>1292498.7388391215</v>
      </c>
      <c r="C129">
        <f si="17" t="shared"/>
        <v>306580.7553827535</v>
      </c>
      <c r="D129">
        <f si="17" t="shared"/>
        <v>1599079.494221875</v>
      </c>
      <c r="N129">
        <v>0</v>
      </c>
      <c r="O129" t="n">
        <v>1292498.7388391215</v>
      </c>
      <c r="P129" t="n">
        <v>306580.7553827535</v>
      </c>
      <c r="Q129">
        <f>SUM(O129:P129)</f>
        <v>1599079.494221875</v>
      </c>
    </row>
    <row r="130" spans="1:17" x14ac:dyDescent="0.2">
      <c r="A130">
        <v>1</v>
      </c>
      <c r="B130">
        <f si="17" t="shared"/>
        <v>137981.88574798559</v>
      </c>
      <c r="C130">
        <f si="17" t="shared"/>
        <v>10566.514708062001</v>
      </c>
      <c r="D130">
        <f si="17" t="shared"/>
        <v>148548.40045604759</v>
      </c>
      <c r="N130">
        <v>1</v>
      </c>
      <c r="O130" t="n">
        <v>137981.8857479856</v>
      </c>
      <c r="P130" t="n">
        <v>10566.514708062</v>
      </c>
      <c r="Q130">
        <f>SUM(O130:P130)</f>
        <v>148548.40045604759</v>
      </c>
    </row>
    <row r="131" spans="1:17" x14ac:dyDescent="0.2">
      <c r="A131">
        <v>2</v>
      </c>
      <c r="B131">
        <f si="17" t="shared"/>
        <v>14708.445954918099</v>
      </c>
      <c r="C131">
        <f si="17" t="shared"/>
        <v>1031.9271690444</v>
      </c>
      <c r="D131">
        <f si="17" t="shared"/>
        <v>15740.373123962499</v>
      </c>
      <c r="N131">
        <v>2</v>
      </c>
      <c r="O131" t="n">
        <v>14708.4459549181</v>
      </c>
      <c r="P131" t="n">
        <v>1031.9271690444</v>
      </c>
      <c r="Q131">
        <f>SUM(O131:P131)</f>
        <v>15740.373123962499</v>
      </c>
    </row>
    <row r="132" spans="1:17" x14ac:dyDescent="0.2">
      <c r="A132" t="s">
        <v>116</v>
      </c>
      <c r="B132">
        <f si="17" t="shared"/>
        <v>1317.5793538109001</v>
      </c>
      <c r="C132">
        <f si="17" t="shared"/>
        <v>0</v>
      </c>
      <c r="D132">
        <f si="17" t="shared"/>
        <v>1317.5793538109001</v>
      </c>
      <c r="N132" t="s">
        <v>116</v>
      </c>
      <c r="O132" t="n">
        <v>1317.5793538109</v>
      </c>
      <c r="P132" t="n">
        <v>0.0</v>
      </c>
      <c r="Q132">
        <f>SUM(O132:P132)</f>
        <v>1317.5793538109001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ref="B136:D142" si="18" t="shared">O136*$B$1</f>
        <v>36654.401015437703</v>
      </c>
      <c r="C136">
        <f si="18" t="shared"/>
        <v>472.4928851121</v>
      </c>
      <c r="D136">
        <f si="18" t="shared"/>
        <v>37126.893900549803</v>
      </c>
      <c r="N136" t="s">
        <v>210</v>
      </c>
      <c r="O136" t="n">
        <v>36654.4010154377</v>
      </c>
      <c r="P136" t="n">
        <v>472.4928851121</v>
      </c>
      <c r="Q136">
        <f>SUM(O136:P136)</f>
        <v>37126.893900549803</v>
      </c>
    </row>
    <row r="137" spans="1:17" x14ac:dyDescent="0.2">
      <c r="A137" t="s">
        <v>211</v>
      </c>
      <c r="B137">
        <f si="18" t="shared"/>
        <v>0</v>
      </c>
      <c r="C137">
        <f si="18" t="shared"/>
        <v>591.03222056499999</v>
      </c>
      <c r="D137">
        <f si="18" t="shared"/>
        <v>591.03222056499999</v>
      </c>
      <c r="N137" t="s">
        <v>211</v>
      </c>
      <c r="O137" t="n">
        <v>0.0</v>
      </c>
      <c r="P137" t="n">
        <v>591.032220565</v>
      </c>
      <c r="Q137">
        <f ref="Q137:Q142" si="19" t="shared">SUM(O137:P137)</f>
        <v>591.03222056499999</v>
      </c>
    </row>
    <row r="138" spans="1:17" x14ac:dyDescent="0.2">
      <c r="A138" t="s">
        <v>212</v>
      </c>
      <c r="B138">
        <f si="18" t="shared"/>
        <v>4412.3882527593996</v>
      </c>
      <c r="C138">
        <f si="18" t="shared"/>
        <v>1144.2150675861001</v>
      </c>
      <c r="D138">
        <f si="18" t="shared"/>
        <v>5556.6033203454999</v>
      </c>
      <c r="N138" t="s">
        <v>212</v>
      </c>
      <c r="O138" t="n">
        <v>4412.3882527594</v>
      </c>
      <c r="P138" t="n">
        <v>1144.2150675861</v>
      </c>
      <c r="Q138">
        <f si="19" t="shared"/>
        <v>5556.6033203454999</v>
      </c>
    </row>
    <row r="139" spans="1:17" x14ac:dyDescent="0.2">
      <c r="A139" t="s">
        <v>36</v>
      </c>
      <c r="B139">
        <f si="18" t="shared"/>
        <v>17566.6386825552</v>
      </c>
      <c r="C139">
        <f si="18" t="shared"/>
        <v>1954.7555523542001</v>
      </c>
      <c r="D139">
        <f si="18" t="shared"/>
        <v>19521.3942349094</v>
      </c>
      <c r="N139" t="s">
        <v>36</v>
      </c>
      <c r="O139" t="n">
        <v>17566.6386825552</v>
      </c>
      <c r="P139" t="n">
        <v>1954.7555523542</v>
      </c>
      <c r="Q139">
        <f si="19" t="shared"/>
        <v>19521.3942349094</v>
      </c>
    </row>
    <row r="140" spans="1:17" x14ac:dyDescent="0.2">
      <c r="A140" t="s">
        <v>214</v>
      </c>
      <c r="B140">
        <f si="18" t="shared"/>
        <v>18454.6077949467</v>
      </c>
      <c r="C140">
        <f si="18" t="shared"/>
        <v>2447.9891537814001</v>
      </c>
      <c r="D140">
        <f si="18" t="shared"/>
        <v>20902.5969487281</v>
      </c>
      <c r="N140" t="s">
        <v>214</v>
      </c>
      <c r="O140" t="n">
        <v>18454.6077949467</v>
      </c>
      <c r="P140" t="n">
        <v>2447.9891537814</v>
      </c>
      <c r="Q140">
        <f si="19" t="shared"/>
        <v>20902.5969487281</v>
      </c>
    </row>
    <row r="141" spans="1:17" x14ac:dyDescent="0.2">
      <c r="A141" t="s">
        <v>129</v>
      </c>
      <c r="B141">
        <f si="18" t="shared"/>
        <v>74624.192465650296</v>
      </c>
      <c r="C141">
        <f si="18" t="shared"/>
        <v>5505.6302936890997</v>
      </c>
      <c r="D141">
        <f si="18" t="shared"/>
        <v>80129.822759339397</v>
      </c>
      <c r="N141" t="s">
        <v>129</v>
      </c>
      <c r="O141" t="n">
        <v>74624.1924656503</v>
      </c>
      <c r="P141" t="n">
        <v>5505.6302936891</v>
      </c>
      <c r="Q141">
        <f si="19" t="shared"/>
        <v>80129.822759339397</v>
      </c>
    </row>
    <row r="142" spans="1:17" x14ac:dyDescent="0.2">
      <c r="A142" t="s">
        <v>130</v>
      </c>
      <c r="B142">
        <f si="18" t="shared"/>
        <v>19700.5681399241</v>
      </c>
      <c r="C142">
        <f si="18" t="shared"/>
        <v>514.25387306289997</v>
      </c>
      <c r="D142">
        <f si="18" t="shared"/>
        <v>20214.822012986999</v>
      </c>
      <c r="N142" t="s">
        <v>130</v>
      </c>
      <c r="O142" t="n">
        <v>19700.5681399241</v>
      </c>
      <c r="P142" t="n">
        <v>514.2538730629</v>
      </c>
      <c r="Q142">
        <f si="19" t="shared"/>
        <v>20214.822012986999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I154" si="20" t="shared">O148*$B$1</f>
        <v>0</v>
      </c>
      <c r="C148">
        <f si="20" t="shared"/>
        <v>0</v>
      </c>
      <c r="D148">
        <f si="20" t="shared"/>
        <v>0</v>
      </c>
      <c r="E148">
        <f si="20" t="shared"/>
        <v>0</v>
      </c>
      <c r="F148">
        <f si="20" t="shared"/>
        <v>0</v>
      </c>
      <c r="G148">
        <f si="20" t="shared"/>
        <v>0</v>
      </c>
      <c r="H148">
        <f si="20" t="shared"/>
        <v>0</v>
      </c>
      <c r="I148">
        <f si="20" t="shared"/>
        <v>0</v>
      </c>
      <c r="N148">
        <v>0</v>
      </c>
      <c r="O148" t="n">
        <v>0.0</v>
      </c>
      <c r="P148" t="n">
        <v>0.0</v>
      </c>
      <c r="Q148" t="n">
        <v>0.0</v>
      </c>
      <c r="R148" t="n">
        <v>0.0</v>
      </c>
      <c r="S148" t="n">
        <v>0.0</v>
      </c>
      <c r="T148" t="n">
        <v>0.0</v>
      </c>
      <c r="U148" t="n">
        <v>0.0</v>
      </c>
      <c r="V148">
        <f>SUM(O148:U148)</f>
        <v>0</v>
      </c>
    </row>
    <row r="149" spans="1:22" x14ac:dyDescent="0.2">
      <c r="A149">
        <v>1</v>
      </c>
      <c r="B149">
        <f si="20" t="shared"/>
        <v>0</v>
      </c>
      <c r="C149">
        <f si="20" t="shared"/>
        <v>0</v>
      </c>
      <c r="D149">
        <f si="20" t="shared"/>
        <v>0</v>
      </c>
      <c r="E149">
        <f si="20" t="shared"/>
        <v>0</v>
      </c>
      <c r="F149">
        <f si="20" t="shared"/>
        <v>0</v>
      </c>
      <c r="G149">
        <f si="20" t="shared"/>
        <v>0</v>
      </c>
      <c r="H149">
        <f si="20" t="shared"/>
        <v>0</v>
      </c>
      <c r="I149">
        <f si="20" t="shared"/>
        <v>0</v>
      </c>
      <c r="N149">
        <v>1</v>
      </c>
      <c r="O149" t="n">
        <v>0.0</v>
      </c>
      <c r="P149" t="n">
        <v>0.0</v>
      </c>
      <c r="Q149" t="n">
        <v>0.0</v>
      </c>
      <c r="R149" t="n">
        <v>0.0</v>
      </c>
      <c r="S149" t="n">
        <v>0.0</v>
      </c>
      <c r="T149" t="n">
        <v>0.0</v>
      </c>
      <c r="U149" t="n">
        <v>0.0</v>
      </c>
      <c r="V149">
        <f ref="V149:V154" si="21" t="shared">SUM(O149:U149)</f>
        <v>0</v>
      </c>
    </row>
    <row r="150" spans="1:22" x14ac:dyDescent="0.2">
      <c r="A150">
        <v>2</v>
      </c>
      <c r="B150">
        <f si="20" t="shared"/>
        <v>850163.17855827289</v>
      </c>
      <c r="C150">
        <f si="20" t="shared"/>
        <v>555556.89067634055</v>
      </c>
      <c r="D150">
        <f si="20" t="shared"/>
        <v>366842.74715619418</v>
      </c>
      <c r="E150">
        <f si="20" t="shared"/>
        <v>492186.51275025128</v>
      </c>
      <c r="F150">
        <f si="20" t="shared"/>
        <v>406524.2417937576</v>
      </c>
      <c r="G150">
        <f si="20" t="shared"/>
        <v>220216.38766735839</v>
      </c>
      <c r="H150">
        <f si="20" t="shared"/>
        <v>817674.49637275969</v>
      </c>
      <c r="I150">
        <f si="20" t="shared"/>
        <v>3709164.4549749349</v>
      </c>
      <c r="N150">
        <v>2</v>
      </c>
      <c r="O150" t="n">
        <v>850163.1785582729</v>
      </c>
      <c r="P150" t="n">
        <v>555556.8906763406</v>
      </c>
      <c r="Q150" t="n">
        <v>366842.7471561942</v>
      </c>
      <c r="R150" t="n">
        <v>492186.5127502513</v>
      </c>
      <c r="S150" t="n">
        <v>406524.2417937576</v>
      </c>
      <c r="T150" t="n">
        <v>220216.3876673584</v>
      </c>
      <c r="U150" t="n">
        <v>817674.4963727597</v>
      </c>
      <c r="V150">
        <f si="21" t="shared"/>
        <v>3709164.4549749349</v>
      </c>
    </row>
    <row r="151" spans="1:22" x14ac:dyDescent="0.2">
      <c r="A151">
        <v>3</v>
      </c>
      <c r="B151">
        <f si="20" t="shared"/>
        <v>0</v>
      </c>
      <c r="C151">
        <f si="20" t="shared"/>
        <v>0</v>
      </c>
      <c r="D151">
        <f si="20" t="shared"/>
        <v>0</v>
      </c>
      <c r="E151">
        <f si="20" t="shared"/>
        <v>0</v>
      </c>
      <c r="F151">
        <f si="20" t="shared"/>
        <v>0</v>
      </c>
      <c r="G151">
        <f si="20" t="shared"/>
        <v>0</v>
      </c>
      <c r="H151">
        <f si="20" t="shared"/>
        <v>0</v>
      </c>
      <c r="I151">
        <f si="20" t="shared"/>
        <v>0</v>
      </c>
      <c r="N151">
        <v>3</v>
      </c>
      <c r="O151" t="n">
        <v>0.0</v>
      </c>
      <c r="P151" t="n">
        <v>0.0</v>
      </c>
      <c r="Q151" t="n">
        <v>0.0</v>
      </c>
      <c r="R151" t="n">
        <v>0.0</v>
      </c>
      <c r="S151" t="n">
        <v>0.0</v>
      </c>
      <c r="T151" t="n">
        <v>0.0</v>
      </c>
      <c r="U151" t="n">
        <v>0.0</v>
      </c>
      <c r="V151">
        <f si="21" t="shared"/>
        <v>0</v>
      </c>
    </row>
    <row r="152" spans="1:22" x14ac:dyDescent="0.2">
      <c r="A152">
        <v>4</v>
      </c>
      <c r="B152">
        <f si="20" t="shared"/>
        <v>416835.5918039112</v>
      </c>
      <c r="C152">
        <f si="20" t="shared"/>
        <v>122431.65521144291</v>
      </c>
      <c r="D152">
        <f si="20" t="shared"/>
        <v>109380.47835772041</v>
      </c>
      <c r="E152">
        <f si="20" t="shared"/>
        <v>122901.0787472137</v>
      </c>
      <c r="F152">
        <f si="20" t="shared"/>
        <v>166831.39521195189</v>
      </c>
      <c r="G152">
        <f si="20" t="shared"/>
        <v>42079.823639005503</v>
      </c>
      <c r="H152">
        <f si="20" t="shared"/>
        <v>180190.33592293461</v>
      </c>
      <c r="I152">
        <f si="20" t="shared"/>
        <v>1160650.3588941803</v>
      </c>
      <c r="N152">
        <v>4</v>
      </c>
      <c r="O152" t="n">
        <v>416835.5918039112</v>
      </c>
      <c r="P152" t="n">
        <v>122431.6552114429</v>
      </c>
      <c r="Q152" t="n">
        <v>109380.4783577204</v>
      </c>
      <c r="R152" t="n">
        <v>122901.0787472137</v>
      </c>
      <c r="S152" t="n">
        <v>166831.3952119519</v>
      </c>
      <c r="T152" t="n">
        <v>42079.8236390055</v>
      </c>
      <c r="U152" t="n">
        <v>180190.3359229346</v>
      </c>
      <c r="V152">
        <f si="21" t="shared"/>
        <v>1160650.3588941803</v>
      </c>
    </row>
    <row r="153" spans="1:22" x14ac:dyDescent="0.2">
      <c r="A153">
        <v>5</v>
      </c>
      <c r="B153">
        <f si="20" t="shared"/>
        <v>0</v>
      </c>
      <c r="C153">
        <f si="20" t="shared"/>
        <v>0</v>
      </c>
      <c r="D153">
        <f si="20" t="shared"/>
        <v>0</v>
      </c>
      <c r="E153">
        <f si="20" t="shared"/>
        <v>0</v>
      </c>
      <c r="F153">
        <f si="20" t="shared"/>
        <v>0</v>
      </c>
      <c r="G153">
        <f si="20" t="shared"/>
        <v>0</v>
      </c>
      <c r="H153">
        <f si="20" t="shared"/>
        <v>0</v>
      </c>
      <c r="I153">
        <f si="20" t="shared"/>
        <v>0</v>
      </c>
      <c r="N153">
        <v>5</v>
      </c>
      <c r="O153" t="n">
        <v>0.0</v>
      </c>
      <c r="P153" t="n">
        <v>0.0</v>
      </c>
      <c r="Q153" t="n">
        <v>0.0</v>
      </c>
      <c r="R153" t="n">
        <v>0.0</v>
      </c>
      <c r="S153" t="n">
        <v>0.0</v>
      </c>
      <c r="T153" t="n">
        <v>0.0</v>
      </c>
      <c r="U153" t="n">
        <v>0.0</v>
      </c>
      <c r="V153">
        <f si="21" t="shared"/>
        <v>0</v>
      </c>
    </row>
    <row r="154" spans="1:22" x14ac:dyDescent="0.2">
      <c r="A154" t="s">
        <v>209</v>
      </c>
      <c r="B154">
        <f si="20" t="shared"/>
        <v>497687.07679351198</v>
      </c>
      <c r="C154">
        <f si="20" t="shared"/>
        <v>127679.0113816044</v>
      </c>
      <c r="D154">
        <f si="20" t="shared"/>
        <v>178130.390904</v>
      </c>
      <c r="E154">
        <f si="20" t="shared"/>
        <v>122576.90796582621</v>
      </c>
      <c r="F154">
        <f si="20" t="shared"/>
        <v>149984.77525040691</v>
      </c>
      <c r="G154">
        <f si="20" t="shared"/>
        <v>43084.155179826499</v>
      </c>
      <c r="H154">
        <f si="20" t="shared"/>
        <v>112360.5903440359</v>
      </c>
      <c r="I154">
        <f si="20" t="shared"/>
        <v>1231502.9078192119</v>
      </c>
      <c r="N154" t="s">
        <v>209</v>
      </c>
      <c r="O154" t="n">
        <v>497687.076793512</v>
      </c>
      <c r="P154" t="n">
        <v>127679.0113816044</v>
      </c>
      <c r="Q154" t="n">
        <v>178130.390904</v>
      </c>
      <c r="R154" t="n">
        <v>122576.9079658262</v>
      </c>
      <c r="S154" t="n">
        <v>149984.7752504069</v>
      </c>
      <c r="T154" t="n">
        <v>43084.1551798265</v>
      </c>
      <c r="U154" t="n">
        <v>112360.5903440359</v>
      </c>
      <c r="V154">
        <f si="21" t="shared"/>
        <v>1231502.9078192119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I164" si="22" t="shared">O158*$B$1</f>
        <v>0</v>
      </c>
      <c r="C158">
        <f si="22" t="shared"/>
        <v>0</v>
      </c>
      <c r="D158">
        <f si="22" t="shared"/>
        <v>0</v>
      </c>
      <c r="E158">
        <f si="22" t="shared"/>
        <v>0</v>
      </c>
      <c r="F158">
        <f si="22" t="shared"/>
        <v>0</v>
      </c>
      <c r="G158">
        <f si="22" t="shared"/>
        <v>0</v>
      </c>
      <c r="H158">
        <f si="22" t="shared"/>
        <v>0</v>
      </c>
      <c r="I158">
        <f si="22" t="shared"/>
        <v>0</v>
      </c>
      <c r="N158">
        <v>0</v>
      </c>
      <c r="O158" t="n">
        <v>0.0</v>
      </c>
      <c r="P158" t="n">
        <v>0.0</v>
      </c>
      <c r="Q158" t="n">
        <v>0.0</v>
      </c>
      <c r="R158" t="n">
        <v>0.0</v>
      </c>
      <c r="S158" t="n">
        <v>0.0</v>
      </c>
      <c r="T158" t="n">
        <v>0.0</v>
      </c>
      <c r="U158" t="n">
        <v>0.0</v>
      </c>
      <c r="V158">
        <f>SUM(O158:U158)</f>
        <v>0</v>
      </c>
    </row>
    <row r="159" spans="1:22" x14ac:dyDescent="0.2">
      <c r="A159">
        <v>1</v>
      </c>
      <c r="B159">
        <f si="22" t="shared"/>
        <v>1353578.9766182671</v>
      </c>
      <c r="C159">
        <f si="22" t="shared"/>
        <v>723621.18630806101</v>
      </c>
      <c r="D159">
        <f si="22" t="shared"/>
        <v>532627.96633201651</v>
      </c>
      <c r="E159">
        <f si="22" t="shared"/>
        <v>649573.33830771246</v>
      </c>
      <c r="F159">
        <f si="22" t="shared"/>
        <v>531670.63336025469</v>
      </c>
      <c r="G159">
        <f si="22" t="shared"/>
        <v>254894.64656995289</v>
      </c>
      <c r="H159">
        <f si="22" t="shared"/>
        <v>954490.24112322112</v>
      </c>
      <c r="I159">
        <f si="22" t="shared"/>
        <v>5000456.9886194859</v>
      </c>
      <c r="N159">
        <v>1</v>
      </c>
      <c r="O159" t="n">
        <v>1353578.9766182671</v>
      </c>
      <c r="P159" t="n">
        <v>723621.186308061</v>
      </c>
      <c r="Q159" t="n">
        <v>532627.9663320165</v>
      </c>
      <c r="R159" t="n">
        <v>649573.3383077125</v>
      </c>
      <c r="S159" t="n">
        <v>531670.6333602547</v>
      </c>
      <c r="T159" t="n">
        <v>254894.6465699529</v>
      </c>
      <c r="U159" t="n">
        <v>954490.2411232211</v>
      </c>
      <c r="V159">
        <f ref="V159:V164" si="23" t="shared">SUM(O159:U159)</f>
        <v>5000456.9886194859</v>
      </c>
    </row>
    <row r="160" spans="1:22" x14ac:dyDescent="0.2">
      <c r="A160">
        <v>2</v>
      </c>
      <c r="B160">
        <f si="22" t="shared"/>
        <v>0</v>
      </c>
      <c r="C160">
        <f si="22" t="shared"/>
        <v>0</v>
      </c>
      <c r="D160">
        <f si="22" t="shared"/>
        <v>0</v>
      </c>
      <c r="E160">
        <f si="22" t="shared"/>
        <v>0</v>
      </c>
      <c r="F160">
        <f si="22" t="shared"/>
        <v>0</v>
      </c>
      <c r="G160">
        <f si="22" t="shared"/>
        <v>0</v>
      </c>
      <c r="H160">
        <f si="22" t="shared"/>
        <v>0</v>
      </c>
      <c r="I160">
        <f si="22" t="shared"/>
        <v>0</v>
      </c>
      <c r="N160">
        <v>2</v>
      </c>
      <c r="O160" t="n">
        <v>0.0</v>
      </c>
      <c r="P160" t="n">
        <v>0.0</v>
      </c>
      <c r="Q160" t="n">
        <v>0.0</v>
      </c>
      <c r="R160" t="n">
        <v>0.0</v>
      </c>
      <c r="S160" t="n">
        <v>0.0</v>
      </c>
      <c r="T160" t="n">
        <v>0.0</v>
      </c>
      <c r="U160" t="n">
        <v>0.0</v>
      </c>
      <c r="V160">
        <f si="23" t="shared"/>
        <v>0</v>
      </c>
    </row>
    <row r="161" spans="1:22" x14ac:dyDescent="0.2">
      <c r="A161">
        <v>3</v>
      </c>
      <c r="B161">
        <f si="22" t="shared"/>
        <v>310379.47150553821</v>
      </c>
      <c r="C161">
        <f si="22" t="shared"/>
        <v>63714.479996736503</v>
      </c>
      <c r="D161">
        <f si="22" t="shared"/>
        <v>63416.685790107404</v>
      </c>
      <c r="E161">
        <f si="22" t="shared"/>
        <v>58920.351676455197</v>
      </c>
      <c r="F161">
        <f si="22" t="shared"/>
        <v>130711.6812053507</v>
      </c>
      <c r="G161">
        <f si="22" t="shared"/>
        <v>28293.553434978101</v>
      </c>
      <c r="H161">
        <f si="22" t="shared"/>
        <v>116031.5814928582</v>
      </c>
      <c r="I161">
        <f si="22" t="shared"/>
        <v>771467.80510202434</v>
      </c>
      <c r="N161">
        <v>3</v>
      </c>
      <c r="O161" t="n">
        <v>310379.4715055382</v>
      </c>
      <c r="P161" t="n">
        <v>63714.4799967365</v>
      </c>
      <c r="Q161" t="n">
        <v>63416.6857901074</v>
      </c>
      <c r="R161" t="n">
        <v>58920.3516764552</v>
      </c>
      <c r="S161" t="n">
        <v>130711.6812053507</v>
      </c>
      <c r="T161" t="n">
        <v>28293.5534349781</v>
      </c>
      <c r="U161" t="n">
        <v>116031.5814928582</v>
      </c>
      <c r="V161">
        <f si="23" t="shared"/>
        <v>771467.80510202434</v>
      </c>
    </row>
    <row r="162" spans="1:22" x14ac:dyDescent="0.2">
      <c r="A162">
        <v>4</v>
      </c>
      <c r="B162">
        <f si="22" t="shared"/>
        <v>0</v>
      </c>
      <c r="C162">
        <f si="22" t="shared"/>
        <v>0</v>
      </c>
      <c r="D162">
        <f si="22" t="shared"/>
        <v>0</v>
      </c>
      <c r="E162">
        <f si="22" t="shared"/>
        <v>0</v>
      </c>
      <c r="F162">
        <f si="22" t="shared"/>
        <v>0</v>
      </c>
      <c r="G162">
        <f si="22" t="shared"/>
        <v>0</v>
      </c>
      <c r="H162">
        <f si="22" t="shared"/>
        <v>0</v>
      </c>
      <c r="I162">
        <f si="22" t="shared"/>
        <v>0</v>
      </c>
      <c r="N162">
        <v>4</v>
      </c>
      <c r="O162" t="n">
        <v>0.0</v>
      </c>
      <c r="P162" t="n">
        <v>0.0</v>
      </c>
      <c r="Q162" t="n">
        <v>0.0</v>
      </c>
      <c r="R162" t="n">
        <v>0.0</v>
      </c>
      <c r="S162" t="n">
        <v>0.0</v>
      </c>
      <c r="T162" t="n">
        <v>0.0</v>
      </c>
      <c r="U162" t="n">
        <v>0.0</v>
      </c>
      <c r="V162">
        <f si="23" t="shared"/>
        <v>0</v>
      </c>
    </row>
    <row r="163" spans="1:22" x14ac:dyDescent="0.2">
      <c r="A163">
        <v>5</v>
      </c>
      <c r="B163">
        <f si="22" t="shared"/>
        <v>66434.489085606605</v>
      </c>
      <c r="C163">
        <f si="22" t="shared"/>
        <v>10589.5168099973</v>
      </c>
      <c r="D163">
        <f si="22" t="shared"/>
        <v>24651.252896546299</v>
      </c>
      <c r="E163">
        <f si="22" t="shared"/>
        <v>19362.895843436399</v>
      </c>
      <c r="F163">
        <f si="22" t="shared"/>
        <v>36472.595666781002</v>
      </c>
      <c r="G163">
        <f si="22" t="shared"/>
        <v>13375.654605624</v>
      </c>
      <c r="H163">
        <f si="22" t="shared"/>
        <v>26988.078014195598</v>
      </c>
      <c r="I163">
        <f si="22" t="shared"/>
        <v>197874.48292218722</v>
      </c>
      <c r="N163">
        <v>5</v>
      </c>
      <c r="O163" t="n">
        <v>66434.4890856066</v>
      </c>
      <c r="P163" t="n">
        <v>10589.5168099973</v>
      </c>
      <c r="Q163" t="n">
        <v>24651.2528965463</v>
      </c>
      <c r="R163" t="n">
        <v>19362.8958434364</v>
      </c>
      <c r="S163" t="n">
        <v>36472.595666781</v>
      </c>
      <c r="T163" t="n">
        <v>13375.654605624</v>
      </c>
      <c r="U163" t="n">
        <v>26988.0780141956</v>
      </c>
      <c r="V163">
        <f si="23" t="shared"/>
        <v>197874.48292218722</v>
      </c>
    </row>
    <row r="164" spans="1:22" x14ac:dyDescent="0.2">
      <c r="A164" t="s">
        <v>209</v>
      </c>
      <c r="B164">
        <f si="22" t="shared"/>
        <v>34292.909946284097</v>
      </c>
      <c r="C164">
        <f si="22" t="shared"/>
        <v>7742.3741545930998</v>
      </c>
      <c r="D164">
        <f si="22" t="shared"/>
        <v>33657.711399244399</v>
      </c>
      <c r="E164">
        <f si="22" t="shared"/>
        <v>9807.9136356871004</v>
      </c>
      <c r="F164">
        <f si="22" t="shared"/>
        <v>24485.502023729998</v>
      </c>
      <c r="G164">
        <f si="22" t="shared"/>
        <v>8816.5118756354004</v>
      </c>
      <c r="H164">
        <f si="22" t="shared"/>
        <v>12715.522009455301</v>
      </c>
      <c r="I164">
        <f si="22" t="shared"/>
        <v>131518.44504462939</v>
      </c>
      <c r="N164" t="s">
        <v>209</v>
      </c>
      <c r="O164" t="n">
        <v>34292.9099462841</v>
      </c>
      <c r="P164" t="n">
        <v>7742.3741545931</v>
      </c>
      <c r="Q164" t="n">
        <v>33657.7113992444</v>
      </c>
      <c r="R164" t="n">
        <v>9807.9136356871</v>
      </c>
      <c r="S164" t="n">
        <v>24485.502023729998</v>
      </c>
      <c r="T164" t="n">
        <v>8816.5118756354</v>
      </c>
      <c r="U164" t="n">
        <v>12715.5220094553</v>
      </c>
      <c r="V164">
        <f si="23" t="shared"/>
        <v>131518.44504462939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I174" si="24" t="shared">O168*$B$1</f>
        <v>0</v>
      </c>
      <c r="C168">
        <f si="24" t="shared"/>
        <v>0</v>
      </c>
      <c r="D168">
        <f si="24" t="shared"/>
        <v>0</v>
      </c>
      <c r="E168">
        <f si="24" t="shared"/>
        <v>0</v>
      </c>
      <c r="F168">
        <f si="24" t="shared"/>
        <v>0</v>
      </c>
      <c r="G168">
        <f si="24" t="shared"/>
        <v>0</v>
      </c>
      <c r="H168">
        <f si="24" t="shared"/>
        <v>0</v>
      </c>
      <c r="I168">
        <f si="24" t="shared"/>
        <v>0</v>
      </c>
      <c r="N168">
        <v>0</v>
      </c>
      <c r="O168" t="n">
        <v>0.0</v>
      </c>
      <c r="P168" t="n">
        <v>0.0</v>
      </c>
      <c r="Q168" t="n">
        <v>0.0</v>
      </c>
      <c r="R168" t="n">
        <v>0.0</v>
      </c>
      <c r="S168" t="n">
        <v>0.0</v>
      </c>
      <c r="T168" t="n">
        <v>0.0</v>
      </c>
      <c r="U168" t="n">
        <v>0.0</v>
      </c>
      <c r="V168">
        <f>SUM(O168:U168)</f>
        <v>0</v>
      </c>
    </row>
    <row r="169" spans="1:22" x14ac:dyDescent="0.2">
      <c r="A169">
        <v>1</v>
      </c>
      <c r="B169">
        <f si="24" t="shared"/>
        <v>1006866.1643876479</v>
      </c>
      <c r="C169">
        <f si="24" t="shared"/>
        <v>590343.71804805694</v>
      </c>
      <c r="D169">
        <f si="24" t="shared"/>
        <v>441948.67661729018</v>
      </c>
      <c r="E169">
        <f si="24" t="shared"/>
        <v>532877.63366740977</v>
      </c>
      <c r="F169">
        <f si="24" t="shared"/>
        <v>526405.98105220206</v>
      </c>
      <c r="G169">
        <f si="24" t="shared"/>
        <v>250935.44001746021</v>
      </c>
      <c r="H169">
        <f si="24" t="shared"/>
        <v>920402.46608768881</v>
      </c>
      <c r="I169">
        <f si="24" t="shared"/>
        <v>4269780.0798777565</v>
      </c>
      <c r="N169">
        <v>1</v>
      </c>
      <c r="O169" t="n">
        <v>1006866.1643876479</v>
      </c>
      <c r="P169" t="n">
        <v>590343.7180480569</v>
      </c>
      <c r="Q169" t="n">
        <v>441948.6766172902</v>
      </c>
      <c r="R169" t="n">
        <v>532877.6336674098</v>
      </c>
      <c r="S169" t="n">
        <v>526405.981052202</v>
      </c>
      <c r="T169" t="n">
        <v>250935.4400174602</v>
      </c>
      <c r="U169" t="n">
        <v>920402.4660876888</v>
      </c>
      <c r="V169">
        <f ref="V169:V174" si="25" t="shared">SUM(O169:U169)</f>
        <v>4269780.0798777565</v>
      </c>
    </row>
    <row r="170" spans="1:22" x14ac:dyDescent="0.2">
      <c r="A170">
        <v>2</v>
      </c>
      <c r="B170">
        <f si="24" t="shared"/>
        <v>0</v>
      </c>
      <c r="C170">
        <f si="24" t="shared"/>
        <v>0</v>
      </c>
      <c r="D170">
        <f si="24" t="shared"/>
        <v>0</v>
      </c>
      <c r="E170">
        <f si="24" t="shared"/>
        <v>0</v>
      </c>
      <c r="F170">
        <f si="24" t="shared"/>
        <v>0</v>
      </c>
      <c r="G170">
        <f si="24" t="shared"/>
        <v>0</v>
      </c>
      <c r="H170">
        <f si="24" t="shared"/>
        <v>0</v>
      </c>
      <c r="I170">
        <f si="24" t="shared"/>
        <v>0</v>
      </c>
      <c r="N170">
        <v>2</v>
      </c>
      <c r="O170" t="n">
        <v>0.0</v>
      </c>
      <c r="P170" t="n">
        <v>0.0</v>
      </c>
      <c r="Q170" t="n">
        <v>0.0</v>
      </c>
      <c r="R170" t="n">
        <v>0.0</v>
      </c>
      <c r="S170" t="n">
        <v>0.0</v>
      </c>
      <c r="T170" t="n">
        <v>0.0</v>
      </c>
      <c r="U170" t="n">
        <v>0.0</v>
      </c>
      <c r="V170">
        <f si="25" t="shared"/>
        <v>0</v>
      </c>
    </row>
    <row r="171" spans="1:22" x14ac:dyDescent="0.2">
      <c r="A171">
        <v>3</v>
      </c>
      <c r="B171">
        <f si="24" t="shared"/>
        <v>437011.86727682297</v>
      </c>
      <c r="C171">
        <f si="24" t="shared"/>
        <v>128201.490035583</v>
      </c>
      <c r="D171">
        <f si="24" t="shared"/>
        <v>94699.7286609125</v>
      </c>
      <c r="E171">
        <f si="24" t="shared"/>
        <v>129960.4586082343</v>
      </c>
      <c r="F171">
        <f si="24" t="shared"/>
        <v>135656.46358124079</v>
      </c>
      <c r="G171">
        <f si="24" t="shared"/>
        <v>37703.640686931103</v>
      </c>
      <c r="H171">
        <f si="24" t="shared"/>
        <v>141112.2164816194</v>
      </c>
      <c r="I171">
        <f si="24" t="shared"/>
        <v>1104345.8653313438</v>
      </c>
      <c r="N171">
        <v>3</v>
      </c>
      <c r="O171" t="n">
        <v>437011.867276823</v>
      </c>
      <c r="P171" t="n">
        <v>128201.490035583</v>
      </c>
      <c r="Q171" t="n">
        <v>94699.7286609125</v>
      </c>
      <c r="R171" t="n">
        <v>129960.4586082343</v>
      </c>
      <c r="S171" t="n">
        <v>135656.4635812408</v>
      </c>
      <c r="T171" t="n">
        <v>37703.6406869311</v>
      </c>
      <c r="U171" t="n">
        <v>141112.2164816194</v>
      </c>
      <c r="V171">
        <f si="25" t="shared"/>
        <v>1104345.8653313438</v>
      </c>
    </row>
    <row r="172" spans="1:22" x14ac:dyDescent="0.2">
      <c r="A172">
        <v>4</v>
      </c>
      <c r="B172">
        <f si="24" t="shared"/>
        <v>0</v>
      </c>
      <c r="C172">
        <f si="24" t="shared"/>
        <v>0</v>
      </c>
      <c r="D172">
        <f si="24" t="shared"/>
        <v>0</v>
      </c>
      <c r="E172">
        <f si="24" t="shared"/>
        <v>0</v>
      </c>
      <c r="F172">
        <f si="24" t="shared"/>
        <v>0</v>
      </c>
      <c r="G172">
        <f si="24" t="shared"/>
        <v>0</v>
      </c>
      <c r="H172">
        <f si="24" t="shared"/>
        <v>0</v>
      </c>
      <c r="I172">
        <f si="24" t="shared"/>
        <v>0</v>
      </c>
      <c r="N172">
        <v>4</v>
      </c>
      <c r="O172" t="n">
        <v>0.0</v>
      </c>
      <c r="P172" t="n">
        <v>0.0</v>
      </c>
      <c r="Q172" t="n">
        <v>0.0</v>
      </c>
      <c r="R172" t="n">
        <v>0.0</v>
      </c>
      <c r="S172" t="n">
        <v>0.0</v>
      </c>
      <c r="T172" t="n">
        <v>0.0</v>
      </c>
      <c r="U172" t="n">
        <v>0.0</v>
      </c>
      <c r="V172">
        <f si="25" t="shared"/>
        <v>0</v>
      </c>
    </row>
    <row r="173" spans="1:22" x14ac:dyDescent="0.2">
      <c r="A173">
        <v>5</v>
      </c>
      <c r="B173">
        <f si="24" t="shared"/>
        <v>221154.7046470725</v>
      </c>
      <c r="C173">
        <f si="24" t="shared"/>
        <v>63150.179185809699</v>
      </c>
      <c r="D173">
        <f si="24" t="shared"/>
        <v>67432.067515017203</v>
      </c>
      <c r="E173">
        <f si="24" t="shared"/>
        <v>45194.760754001902</v>
      </c>
      <c r="F173">
        <f si="24" t="shared"/>
        <v>38478.596849287598</v>
      </c>
      <c r="G173">
        <f si="24" t="shared"/>
        <v>10855.2670758776</v>
      </c>
      <c r="H173">
        <f si="24" t="shared"/>
        <v>33144.076408098597</v>
      </c>
      <c r="I173">
        <f si="24" t="shared"/>
        <v>479409.65243516513</v>
      </c>
      <c r="N173">
        <v>5</v>
      </c>
      <c r="O173" t="n">
        <v>221154.7046470725</v>
      </c>
      <c r="P173" t="n">
        <v>63150.1791858097</v>
      </c>
      <c r="Q173" t="n">
        <v>67432.0675150172</v>
      </c>
      <c r="R173" t="n">
        <v>45194.7607540019</v>
      </c>
      <c r="S173" t="n">
        <v>38478.5968492876</v>
      </c>
      <c r="T173" t="n">
        <v>10855.2670758776</v>
      </c>
      <c r="U173" t="n">
        <v>33144.0764080986</v>
      </c>
      <c r="V173">
        <f si="25" t="shared"/>
        <v>479409.65243516513</v>
      </c>
    </row>
    <row r="174" spans="1:22" x14ac:dyDescent="0.2">
      <c r="A174" t="s">
        <v>209</v>
      </c>
      <c r="B174">
        <f si="24" t="shared"/>
        <v>99653.110844152703</v>
      </c>
      <c r="C174">
        <f si="24" t="shared"/>
        <v>23972.169999938302</v>
      </c>
      <c r="D174">
        <f si="24" t="shared"/>
        <v>50273.143624694698</v>
      </c>
      <c r="E174">
        <f si="24" t="shared"/>
        <v>29631.646433645201</v>
      </c>
      <c r="F174">
        <f si="24" t="shared"/>
        <v>22799.370773385901</v>
      </c>
      <c r="G174">
        <f si="24" t="shared"/>
        <v>5886.0187059215004</v>
      </c>
      <c r="H174">
        <f si="24" t="shared"/>
        <v>15566.663662323399</v>
      </c>
      <c r="I174">
        <f si="24" t="shared"/>
        <v>247782.1240440617</v>
      </c>
      <c r="N174" t="s">
        <v>209</v>
      </c>
      <c r="O174" t="n">
        <v>99653.1108441527</v>
      </c>
      <c r="P174" t="n">
        <v>23972.1699999383</v>
      </c>
      <c r="Q174" t="n">
        <v>50273.1436246947</v>
      </c>
      <c r="R174" t="n">
        <v>29631.6464336452</v>
      </c>
      <c r="S174" t="n">
        <v>22799.3707733859</v>
      </c>
      <c r="T174" t="n">
        <v>5886.0187059215</v>
      </c>
      <c r="U174" t="n">
        <v>15566.663662323399</v>
      </c>
      <c r="V174">
        <f si="25" t="shared"/>
        <v>247782.1240440617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ref="B178:J185" si="26" t="shared">O178*$B$1</f>
        <v>1409852.2488803985</v>
      </c>
      <c r="C178">
        <f si="26" t="shared"/>
        <v>197024.1172217548</v>
      </c>
      <c r="D178">
        <f si="26" t="shared"/>
        <v>17274.135335971201</v>
      </c>
      <c r="E178">
        <f si="26" t="shared"/>
        <v>36504.904088915901</v>
      </c>
      <c r="F178">
        <f si="26" t="shared"/>
        <v>62852.677853105903</v>
      </c>
      <c r="G178">
        <f si="26" t="shared"/>
        <v>2054.6708749999998</v>
      </c>
      <c r="H178">
        <f si="26" t="shared"/>
        <v>1525.4285</v>
      </c>
      <c r="I178">
        <f si="26" t="shared"/>
        <v>470.77049999999997</v>
      </c>
      <c r="J178">
        <f si="26" t="shared"/>
        <v>1727558.953255146</v>
      </c>
      <c r="N178" t="s">
        <v>210</v>
      </c>
      <c r="O178" t="n">
        <v>1409852.2488803985</v>
      </c>
      <c r="P178" t="n">
        <v>197024.1172217548</v>
      </c>
      <c r="Q178" t="n">
        <v>17274.1353359712</v>
      </c>
      <c r="R178" t="n">
        <v>36504.9040889159</v>
      </c>
      <c r="S178" t="n">
        <v>62852.6778531059</v>
      </c>
      <c r="T178" t="n">
        <v>2054.670875</v>
      </c>
      <c r="U178" t="n">
        <v>1525.4285</v>
      </c>
      <c r="V178" t="n">
        <v>470.77049999999997</v>
      </c>
      <c r="W178">
        <f>SUM(O178:V178)</f>
        <v>1727558.953255146</v>
      </c>
    </row>
    <row r="179" spans="1:23" x14ac:dyDescent="0.2">
      <c r="A179" t="s">
        <v>211</v>
      </c>
      <c r="B179">
        <f si="26" t="shared"/>
        <v>7504.0738574372999</v>
      </c>
      <c r="C179">
        <f si="26" t="shared"/>
        <v>41458.994241735199</v>
      </c>
      <c r="D179">
        <f si="26" t="shared"/>
        <v>1402.1807139949999</v>
      </c>
      <c r="E179">
        <f si="26" t="shared"/>
        <v>71975.982674155399</v>
      </c>
      <c r="F179">
        <f si="26" t="shared"/>
        <v>51839.910811920003</v>
      </c>
      <c r="G179">
        <f si="26" t="shared"/>
        <v>76767.618749579997</v>
      </c>
      <c r="H179">
        <f si="26" t="shared"/>
        <v>490330.682875</v>
      </c>
      <c r="I179">
        <f si="26" t="shared"/>
        <v>63797.081124999997</v>
      </c>
      <c r="J179">
        <f si="26" t="shared"/>
        <v>805076.52504882286</v>
      </c>
      <c r="N179" t="s">
        <v>211</v>
      </c>
      <c r="O179" t="n">
        <v>7504.0738574373</v>
      </c>
      <c r="P179" t="n">
        <v>41458.9942417352</v>
      </c>
      <c r="Q179" t="n">
        <v>1402.180713995</v>
      </c>
      <c r="R179" t="n">
        <v>71975.9826741554</v>
      </c>
      <c r="S179" t="n">
        <v>51839.91081192</v>
      </c>
      <c r="T179" t="n">
        <v>76767.61874958</v>
      </c>
      <c r="U179" t="n">
        <v>490330.682875</v>
      </c>
      <c r="V179" t="n">
        <v>63797.081125</v>
      </c>
      <c r="W179">
        <f ref="W179:W185" si="27" t="shared">SUM(O179:V179)</f>
        <v>805076.52504882286</v>
      </c>
    </row>
    <row r="180" spans="1:23" x14ac:dyDescent="0.2">
      <c r="A180" t="s">
        <v>212</v>
      </c>
      <c r="B180">
        <f si="26" t="shared"/>
        <v>175960.01260278179</v>
      </c>
      <c r="C180">
        <f si="26" t="shared"/>
        <v>95203.5709531881</v>
      </c>
      <c r="D180">
        <f si="26" t="shared"/>
        <v>56287.992597320299</v>
      </c>
      <c r="E180">
        <f si="26" t="shared"/>
        <v>226676.82404124251</v>
      </c>
      <c r="F180">
        <f si="26" t="shared"/>
        <v>11569.829231076399</v>
      </c>
      <c r="G180">
        <f si="26" t="shared"/>
        <v>8238.3787969599998</v>
      </c>
      <c r="H180">
        <f si="26" t="shared"/>
        <v>31051.988000000001</v>
      </c>
      <c r="I180">
        <f si="26" t="shared"/>
        <v>43808.416875000003</v>
      </c>
      <c r="J180">
        <f>W180*$B$1*1.2</f>
        <v>778556.41571708291</v>
      </c>
      <c r="N180" t="s">
        <v>212</v>
      </c>
      <c r="O180" t="n">
        <v>175960.0126027818</v>
      </c>
      <c r="P180" t="n">
        <v>95203.5709531881</v>
      </c>
      <c r="Q180" t="n">
        <v>56287.9925973203</v>
      </c>
      <c r="R180" t="n">
        <v>226676.8240412425</v>
      </c>
      <c r="S180" t="n">
        <v>11569.829231076399</v>
      </c>
      <c r="T180" t="n">
        <v>8238.37879696</v>
      </c>
      <c r="U180" t="n">
        <v>31051.988</v>
      </c>
      <c r="V180" t="n">
        <v>43808.416875</v>
      </c>
      <c r="W180">
        <f si="27" t="shared"/>
        <v>648797.01309756911</v>
      </c>
    </row>
    <row r="181" spans="1:23" x14ac:dyDescent="0.2">
      <c r="A181" t="s">
        <v>36</v>
      </c>
      <c r="B181">
        <f si="26" t="shared"/>
        <v>139948.29881939929</v>
      </c>
      <c r="C181">
        <f si="26" t="shared"/>
        <v>78011.263471984406</v>
      </c>
      <c r="D181">
        <f si="26" t="shared"/>
        <v>160095.9780834032</v>
      </c>
      <c r="E181">
        <f si="26" t="shared"/>
        <v>187885.90913780901</v>
      </c>
      <c r="F181">
        <f si="26" t="shared"/>
        <v>15998.2777157859</v>
      </c>
      <c r="G181">
        <f si="26" t="shared"/>
        <v>5022.4174999999996</v>
      </c>
      <c r="H181">
        <f si="26" t="shared"/>
        <v>65357.599499999997</v>
      </c>
      <c r="I181">
        <f si="26" t="shared"/>
        <v>65823.361000000004</v>
      </c>
      <c r="J181">
        <f>W181*$B$1*1.2</f>
        <v>861771.72627405811</v>
      </c>
      <c r="N181" t="s">
        <v>36</v>
      </c>
      <c r="O181" t="n">
        <v>139948.2988193993</v>
      </c>
      <c r="P181" t="n">
        <v>78011.2634719844</v>
      </c>
      <c r="Q181" t="n">
        <v>160095.9780834032</v>
      </c>
      <c r="R181" t="n">
        <v>187885.909137809</v>
      </c>
      <c r="S181" t="n">
        <v>15998.2777157859</v>
      </c>
      <c r="T181" t="n">
        <v>5022.4175</v>
      </c>
      <c r="U181" t="n">
        <v>65357.5995</v>
      </c>
      <c r="V181" t="n">
        <v>65823.361</v>
      </c>
      <c r="W181">
        <f si="27" t="shared"/>
        <v>718143.10522838181</v>
      </c>
    </row>
    <row r="182" spans="1:23" x14ac:dyDescent="0.2">
      <c r="A182" t="s">
        <v>214</v>
      </c>
      <c r="B182">
        <f si="26" t="shared"/>
        <v>155422.9852594453</v>
      </c>
      <c r="C182">
        <f si="26" t="shared"/>
        <v>69258.373600786697</v>
      </c>
      <c r="D182">
        <f si="26" t="shared"/>
        <v>132977.5494189795</v>
      </c>
      <c r="E182">
        <f si="26" t="shared"/>
        <v>219601.48351633549</v>
      </c>
      <c r="F182">
        <f si="26" t="shared"/>
        <v>19537.267189447299</v>
      </c>
      <c r="G182">
        <f si="26" t="shared"/>
        <v>1043.620822394</v>
      </c>
      <c r="H182">
        <f si="26" t="shared"/>
        <v>32873.983749999999</v>
      </c>
      <c r="I182">
        <f si="26" t="shared"/>
        <v>71722.551749999999</v>
      </c>
      <c r="J182">
        <f>W182*$B$1*1.2</f>
        <v>842925.37836886593</v>
      </c>
      <c r="N182" t="s">
        <v>214</v>
      </c>
      <c r="O182" t="n">
        <v>155422.9852594453</v>
      </c>
      <c r="P182" t="n">
        <v>69258.3736007867</v>
      </c>
      <c r="Q182" t="n">
        <v>132977.5494189795</v>
      </c>
      <c r="R182" t="n">
        <v>219601.4835163355</v>
      </c>
      <c r="S182" t="n">
        <v>19537.2671894473</v>
      </c>
      <c r="T182" t="n">
        <v>1043.620822394</v>
      </c>
      <c r="U182" t="n">
        <v>32873.98375</v>
      </c>
      <c r="V182" t="n">
        <v>71722.55175</v>
      </c>
      <c r="W182">
        <f si="27" t="shared"/>
        <v>702437.81530738831</v>
      </c>
    </row>
    <row r="183" spans="1:23" x14ac:dyDescent="0.2">
      <c r="A183" t="s">
        <v>129</v>
      </c>
      <c r="B183">
        <f si="26" t="shared"/>
        <v>72908.890458873895</v>
      </c>
      <c r="C183">
        <f si="26" t="shared"/>
        <v>20670.231697515501</v>
      </c>
      <c r="D183">
        <f si="26" t="shared"/>
        <v>40669.872001609103</v>
      </c>
      <c r="E183">
        <f si="26" t="shared"/>
        <v>62725.6534069314</v>
      </c>
      <c r="F183">
        <f si="26" t="shared"/>
        <v>6877.2431619211002</v>
      </c>
      <c r="G183">
        <f si="26" t="shared"/>
        <v>0</v>
      </c>
      <c r="H183">
        <f si="26" t="shared"/>
        <v>14093.2955</v>
      </c>
      <c r="I183">
        <f si="26" t="shared"/>
        <v>7305.3575000000001</v>
      </c>
      <c r="J183">
        <f>W183*$B$1*1.2</f>
        <v>270300.65247222123</v>
      </c>
      <c r="N183" t="s">
        <v>129</v>
      </c>
      <c r="O183" t="n">
        <v>72908.8904588739</v>
      </c>
      <c r="P183" t="n">
        <v>20670.2316975155</v>
      </c>
      <c r="Q183" t="n">
        <v>40669.8720016091</v>
      </c>
      <c r="R183" t="n">
        <v>62725.6534069314</v>
      </c>
      <c r="S183" t="n">
        <v>6877.2431619211</v>
      </c>
      <c r="T183" t="n">
        <v>0.0</v>
      </c>
      <c r="U183" t="n">
        <v>14093.2955</v>
      </c>
      <c r="V183" t="n">
        <v>7305.3575</v>
      </c>
      <c r="W183">
        <f si="27" t="shared"/>
        <v>225250.54372685103</v>
      </c>
    </row>
    <row r="184" spans="1:23" x14ac:dyDescent="0.2">
      <c r="A184" t="s">
        <v>130</v>
      </c>
      <c r="B184">
        <f si="26" t="shared"/>
        <v>298428.71659137728</v>
      </c>
      <c r="C184">
        <f si="26" t="shared"/>
        <v>116955.65387866209</v>
      </c>
      <c r="D184">
        <f si="26" t="shared"/>
        <v>139202.5364632381</v>
      </c>
      <c r="E184">
        <f si="26" t="shared"/>
        <v>247086.65098616161</v>
      </c>
      <c r="F184">
        <f si="26" t="shared"/>
        <v>24740.3139376461</v>
      </c>
      <c r="G184">
        <f si="26" t="shared"/>
        <v>14986.516394658</v>
      </c>
      <c r="H184">
        <f si="26" t="shared"/>
        <v>137202.605125</v>
      </c>
      <c r="I184">
        <f si="26" t="shared"/>
        <v>111407.60725</v>
      </c>
      <c r="J184">
        <f>W184*$B$1*1.2</f>
        <v>1308012.7207520921</v>
      </c>
      <c r="N184" t="s">
        <v>130</v>
      </c>
      <c r="O184" t="n">
        <v>298428.7165913773</v>
      </c>
      <c r="P184" t="n">
        <v>116955.6538786621</v>
      </c>
      <c r="Q184" t="n">
        <v>139202.5364632381</v>
      </c>
      <c r="R184" t="n">
        <v>247086.6509861616</v>
      </c>
      <c r="S184" t="n">
        <v>24740.3139376461</v>
      </c>
      <c r="T184" t="n">
        <v>14986.516394658</v>
      </c>
      <c r="U184" t="n">
        <v>137202.605125</v>
      </c>
      <c r="V184" t="n">
        <v>111407.60725</v>
      </c>
      <c r="W184">
        <f si="27" t="shared"/>
        <v>1090010.6006267434</v>
      </c>
    </row>
    <row r="185" spans="1:23" x14ac:dyDescent="0.2">
      <c r="A185" t="s">
        <v>247</v>
      </c>
      <c r="B185">
        <f si="26" t="shared"/>
        <v>171412.7963512734</v>
      </c>
      <c r="C185">
        <f si="26" t="shared"/>
        <v>6756.4626421812</v>
      </c>
      <c r="D185">
        <f si="26" t="shared"/>
        <v>0</v>
      </c>
      <c r="E185">
        <f si="26" t="shared"/>
        <v>0</v>
      </c>
      <c r="F185">
        <f si="26" t="shared"/>
        <v>5873.9064039696004</v>
      </c>
      <c r="G185">
        <f si="26" t="shared"/>
        <v>0</v>
      </c>
      <c r="H185">
        <f si="26" t="shared"/>
        <v>0</v>
      </c>
      <c r="I185">
        <f si="26" t="shared"/>
        <v>0</v>
      </c>
      <c r="J185">
        <f si="26" t="shared"/>
        <v>184043.16539742419</v>
      </c>
      <c r="N185" t="s">
        <v>247</v>
      </c>
      <c r="O185" t="n">
        <v>171412.7963512734</v>
      </c>
      <c r="P185" t="n">
        <v>6756.4626421812</v>
      </c>
      <c r="Q185" t="n">
        <v>0.0</v>
      </c>
      <c r="R185" t="n">
        <v>0.0</v>
      </c>
      <c r="S185" t="n">
        <v>5873.9064039696</v>
      </c>
      <c r="T185" t="n">
        <v>0.0</v>
      </c>
      <c r="U185" t="n">
        <v>0.0</v>
      </c>
      <c r="V185" t="n">
        <v>0.0</v>
      </c>
      <c r="W185">
        <f si="27" t="shared"/>
        <v>184043.16539742419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2">
      <c r="A189" t="s">
        <v>210</v>
      </c>
      <c r="B189">
        <f ref="B189:F196" si="28" t="shared">O189*$B$1</f>
        <v>23973.1038806467</v>
      </c>
      <c r="C189">
        <f si="28" t="shared"/>
        <v>357867.5113332902</v>
      </c>
      <c r="D189">
        <f si="28" t="shared"/>
        <v>290869.97480684449</v>
      </c>
      <c r="E189">
        <f si="28" t="shared"/>
        <v>942766.21372491436</v>
      </c>
      <c r="F189">
        <f si="28" t="shared"/>
        <v>1615476.8037456959</v>
      </c>
      <c r="N189" t="s">
        <v>210</v>
      </c>
      <c r="O189" t="n">
        <v>23973.1038806467</v>
      </c>
      <c r="P189" t="n">
        <v>357867.5113332902</v>
      </c>
      <c r="Q189" t="n">
        <v>290869.9748068445</v>
      </c>
      <c r="R189" t="n">
        <v>942766.2137249144</v>
      </c>
      <c r="S189">
        <f>SUM(O189:R189)</f>
        <v>1615476.8037456959</v>
      </c>
    </row>
    <row r="190" spans="1:23" x14ac:dyDescent="0.2">
      <c r="A190" t="s">
        <v>211</v>
      </c>
      <c r="B190">
        <f si="28" t="shared"/>
        <v>32332.695402171001</v>
      </c>
      <c r="C190">
        <f si="28" t="shared"/>
        <v>125157.18571351509</v>
      </c>
      <c r="D190">
        <f si="28" t="shared"/>
        <v>102632.6406399655</v>
      </c>
      <c r="E190">
        <f si="28" t="shared"/>
        <v>469654.1482004784</v>
      </c>
      <c r="F190">
        <f si="28" t="shared"/>
        <v>729776.66995612998</v>
      </c>
      <c r="N190" t="s">
        <v>211</v>
      </c>
      <c r="O190" t="n">
        <v>32332.695402171</v>
      </c>
      <c r="P190" t="n">
        <v>125157.1857135151</v>
      </c>
      <c r="Q190" t="n">
        <v>102632.6406399655</v>
      </c>
      <c r="R190" t="n">
        <v>469654.1482004784</v>
      </c>
      <c r="S190">
        <f ref="S190:S196" si="29" t="shared">SUM(O190:R190)</f>
        <v>729776.66995612998</v>
      </c>
    </row>
    <row r="191" spans="1:23" x14ac:dyDescent="0.2">
      <c r="A191" t="s">
        <v>212</v>
      </c>
      <c r="B191">
        <f si="28" t="shared"/>
        <v>12395.359192328</v>
      </c>
      <c r="C191">
        <f si="28" t="shared"/>
        <v>115137.03102640119</v>
      </c>
      <c r="D191">
        <f si="28" t="shared"/>
        <v>92875.6482897674</v>
      </c>
      <c r="E191">
        <f si="28" t="shared"/>
        <v>386915.6707161339</v>
      </c>
      <c r="F191">
        <f si="28" t="shared"/>
        <v>607323.7092246305</v>
      </c>
      <c r="N191" t="s">
        <v>212</v>
      </c>
      <c r="O191" t="n">
        <v>12395.359192328</v>
      </c>
      <c r="P191" t="n">
        <v>115137.0310264012</v>
      </c>
      <c r="Q191" t="n">
        <v>92875.6482897674</v>
      </c>
      <c r="R191" t="n">
        <v>386915.6707161339</v>
      </c>
      <c r="S191">
        <f si="29" t="shared"/>
        <v>607323.7092246305</v>
      </c>
    </row>
    <row r="192" spans="1:23" x14ac:dyDescent="0.2">
      <c r="A192" t="s">
        <v>36</v>
      </c>
      <c r="B192">
        <f si="28" t="shared"/>
        <v>29439.6744888787</v>
      </c>
      <c r="C192">
        <f si="28" t="shared"/>
        <v>223389.26797829839</v>
      </c>
      <c r="D192">
        <f si="28" t="shared"/>
        <v>110808.204528332</v>
      </c>
      <c r="E192">
        <f si="28" t="shared"/>
        <v>280900.6964128915</v>
      </c>
      <c r="F192">
        <f si="28" t="shared"/>
        <v>644537.84340840066</v>
      </c>
      <c r="N192" t="s">
        <v>36</v>
      </c>
      <c r="O192" t="n">
        <v>29439.6744888787</v>
      </c>
      <c r="P192" t="n">
        <v>223389.2679782984</v>
      </c>
      <c r="Q192" t="n">
        <v>110808.204528332</v>
      </c>
      <c r="R192" t="n">
        <v>280900.6964128915</v>
      </c>
      <c r="S192">
        <f si="29" t="shared"/>
        <v>644537.84340840066</v>
      </c>
    </row>
    <row r="193" spans="1:19" x14ac:dyDescent="0.2">
      <c r="A193" t="s">
        <v>214</v>
      </c>
      <c r="B193">
        <f si="28" t="shared"/>
        <v>44933.087407614599</v>
      </c>
      <c r="C193">
        <f si="28" t="shared"/>
        <v>217946.06335067839</v>
      </c>
      <c r="D193">
        <f si="28" t="shared"/>
        <v>109450.3372731321</v>
      </c>
      <c r="E193">
        <f si="28" t="shared"/>
        <v>259602.1523556851</v>
      </c>
      <c r="F193">
        <f si="28" t="shared"/>
        <v>631931.64038711018</v>
      </c>
      <c r="N193" t="s">
        <v>214</v>
      </c>
      <c r="O193" t="n">
        <v>44933.0874076146</v>
      </c>
      <c r="P193" t="n">
        <v>217946.0633506784</v>
      </c>
      <c r="Q193" t="n">
        <v>109450.3372731321</v>
      </c>
      <c r="R193" t="n">
        <v>259602.1523556851</v>
      </c>
      <c r="S193">
        <f si="29" t="shared"/>
        <v>631931.64038711018</v>
      </c>
    </row>
    <row r="194" spans="1:19" x14ac:dyDescent="0.2">
      <c r="A194" t="s">
        <v>129</v>
      </c>
      <c r="B194">
        <f si="28" t="shared"/>
        <v>13143.7339791591</v>
      </c>
      <c r="C194">
        <f si="28" t="shared"/>
        <v>49814.064367628001</v>
      </c>
      <c r="D194">
        <f si="28" t="shared"/>
        <v>42437.7007725203</v>
      </c>
      <c r="E194">
        <f si="28" t="shared"/>
        <v>102138.39791281951</v>
      </c>
      <c r="F194">
        <f si="28" t="shared"/>
        <v>207533.8970321269</v>
      </c>
      <c r="N194" t="s">
        <v>129</v>
      </c>
      <c r="O194" t="n">
        <v>13143.7339791591</v>
      </c>
      <c r="P194" t="n">
        <v>49814.064367628</v>
      </c>
      <c r="Q194" t="n">
        <v>42437.7007725203</v>
      </c>
      <c r="R194" t="n">
        <v>102138.3979128195</v>
      </c>
      <c r="S194">
        <f si="29" t="shared"/>
        <v>207533.8970321269</v>
      </c>
    </row>
    <row r="195" spans="1:19" x14ac:dyDescent="0.2">
      <c r="A195" t="s">
        <v>130</v>
      </c>
      <c r="B195">
        <f si="28" t="shared"/>
        <v>31184.264254218</v>
      </c>
      <c r="C195">
        <f si="28" t="shared"/>
        <v>219310.85452634661</v>
      </c>
      <c r="D195">
        <f si="28" t="shared"/>
        <v>218476.79083731989</v>
      </c>
      <c r="E195">
        <f si="28" t="shared"/>
        <v>549344.97051413718</v>
      </c>
      <c r="F195">
        <f si="28" t="shared"/>
        <v>1018316.8801320216</v>
      </c>
      <c r="N195" t="s">
        <v>130</v>
      </c>
      <c r="O195" t="n">
        <v>31184.264254218</v>
      </c>
      <c r="P195" t="n">
        <v>219310.8545263466</v>
      </c>
      <c r="Q195" t="n">
        <v>218476.7908373199</v>
      </c>
      <c r="R195" t="n">
        <v>549344.9705141372</v>
      </c>
      <c r="S195">
        <f si="29" t="shared"/>
        <v>1018316.8801320216</v>
      </c>
    </row>
    <row r="196" spans="1:19" x14ac:dyDescent="0.2">
      <c r="A196" t="s">
        <v>247</v>
      </c>
      <c r="B196">
        <f si="28" t="shared"/>
        <v>1218.068316504</v>
      </c>
      <c r="C196">
        <f si="28" t="shared"/>
        <v>33725.786522540198</v>
      </c>
      <c r="D196">
        <f si="28" t="shared"/>
        <v>26178.468096921599</v>
      </c>
      <c r="E196">
        <f si="28" t="shared"/>
        <v>110356.1492992104</v>
      </c>
      <c r="F196">
        <f si="28" t="shared"/>
        <v>171478.47223517619</v>
      </c>
      <c r="N196" t="s">
        <v>247</v>
      </c>
      <c r="O196" t="n">
        <v>1218.068316504</v>
      </c>
      <c r="P196" t="n">
        <v>33725.7865225402</v>
      </c>
      <c r="Q196" t="n">
        <v>26178.4680969216</v>
      </c>
      <c r="R196" t="n">
        <v>110356.1492992104</v>
      </c>
      <c r="S196">
        <f si="29" t="shared"/>
        <v>171478.47223517619</v>
      </c>
    </row>
    <row r="198" spans="1:19" x14ac:dyDescent="0.2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2">
      <c r="A200" t="s">
        <v>210</v>
      </c>
      <c r="B200">
        <f ref="B200:F207" si="30" t="shared">O200*$B$1</f>
        <v>60280.514200637401</v>
      </c>
      <c r="C200">
        <f si="30" t="shared"/>
        <v>391349.90256017592</v>
      </c>
      <c r="D200">
        <f si="30" t="shared"/>
        <v>925814.18518766505</v>
      </c>
      <c r="E200">
        <f si="30" t="shared"/>
        <v>350114.35130666802</v>
      </c>
      <c r="F200">
        <f si="30" t="shared"/>
        <v>1727558.9532551463</v>
      </c>
      <c r="N200" t="s">
        <v>210</v>
      </c>
      <c r="O200" t="n">
        <v>60280.5142006374</v>
      </c>
      <c r="P200" t="n">
        <v>391349.9025601759</v>
      </c>
      <c r="Q200" t="n">
        <v>925814.185187665</v>
      </c>
      <c r="R200" t="n">
        <v>350114.351306668</v>
      </c>
      <c r="S200">
        <f>SUM(O200:R200)</f>
        <v>1727558.9532551463</v>
      </c>
    </row>
    <row r="201" spans="1:19" x14ac:dyDescent="0.2">
      <c r="A201" t="s">
        <v>211</v>
      </c>
      <c r="B201">
        <f si="30" t="shared"/>
        <v>30743.897198667699</v>
      </c>
      <c r="C201">
        <f si="30" t="shared"/>
        <v>192782.48298951349</v>
      </c>
      <c r="D201">
        <f si="30" t="shared"/>
        <v>425818.83063079568</v>
      </c>
      <c r="E201">
        <f si="30" t="shared"/>
        <v>155731.314229846</v>
      </c>
      <c r="F201">
        <f si="30" t="shared"/>
        <v>805076.52504882286</v>
      </c>
      <c r="N201" t="s">
        <v>211</v>
      </c>
      <c r="O201" t="n">
        <v>30743.8971986677</v>
      </c>
      <c r="P201" t="n">
        <v>192782.4829895135</v>
      </c>
      <c r="Q201" t="n">
        <v>425818.8306307957</v>
      </c>
      <c r="R201" t="n">
        <v>155731.314229846</v>
      </c>
      <c r="S201">
        <f ref="S201:S207" si="31" t="shared">SUM(O201:R201)</f>
        <v>805076.52504882286</v>
      </c>
    </row>
    <row r="202" spans="1:19" x14ac:dyDescent="0.2">
      <c r="A202" t="s">
        <v>212</v>
      </c>
      <c r="B202">
        <f si="30" t="shared"/>
        <v>2121.520120229</v>
      </c>
      <c r="C202">
        <f si="30" t="shared"/>
        <v>172596.5724439226</v>
      </c>
      <c r="D202">
        <f si="30" t="shared"/>
        <v>379105.21711695648</v>
      </c>
      <c r="E202">
        <f si="30" t="shared"/>
        <v>94973.703416460994</v>
      </c>
      <c r="F202">
        <f si="30" t="shared"/>
        <v>648797.01309756911</v>
      </c>
      <c r="N202" t="s">
        <v>212</v>
      </c>
      <c r="O202" t="n">
        <v>2121.520120229</v>
      </c>
      <c r="P202" t="n">
        <v>172596.5724439226</v>
      </c>
      <c r="Q202" t="n">
        <v>379105.2171169565</v>
      </c>
      <c r="R202" t="n">
        <v>94973.703416461</v>
      </c>
      <c r="S202">
        <f si="31" t="shared"/>
        <v>648797.01309756911</v>
      </c>
    </row>
    <row r="203" spans="1:19" x14ac:dyDescent="0.2">
      <c r="A203" t="s">
        <v>36</v>
      </c>
      <c r="B203">
        <f si="30" t="shared"/>
        <v>44053.570156906397</v>
      </c>
      <c r="C203">
        <f si="30" t="shared"/>
        <v>158707.9126729001</v>
      </c>
      <c r="D203">
        <f si="30" t="shared"/>
        <v>370361.55323061289</v>
      </c>
      <c r="E203">
        <f si="30" t="shared"/>
        <v>145020.06916796241</v>
      </c>
      <c r="F203">
        <f si="30" t="shared"/>
        <v>718143.10522838181</v>
      </c>
      <c r="N203" t="s">
        <v>36</v>
      </c>
      <c r="O203" t="n">
        <v>44053.5701569064</v>
      </c>
      <c r="P203" t="n">
        <v>158707.9126729001</v>
      </c>
      <c r="Q203" t="n">
        <v>370361.5532306129</v>
      </c>
      <c r="R203" t="n">
        <v>145020.0691679624</v>
      </c>
      <c r="S203">
        <f si="31" t="shared"/>
        <v>718143.10522838181</v>
      </c>
    </row>
    <row r="204" spans="1:19" x14ac:dyDescent="0.2">
      <c r="A204" t="s">
        <v>214</v>
      </c>
      <c r="B204">
        <f si="30" t="shared"/>
        <v>70390.809119538695</v>
      </c>
      <c r="C204">
        <f si="30" t="shared"/>
        <v>171550.67889519571</v>
      </c>
      <c r="D204">
        <f si="30" t="shared"/>
        <v>338030.03311831591</v>
      </c>
      <c r="E204">
        <f si="30" t="shared"/>
        <v>122466.29417433801</v>
      </c>
      <c r="F204">
        <f si="30" t="shared"/>
        <v>702437.81530738831</v>
      </c>
      <c r="N204" t="s">
        <v>214</v>
      </c>
      <c r="O204" t="n">
        <v>70390.8091195387</v>
      </c>
      <c r="P204" t="n">
        <v>171550.6788951957</v>
      </c>
      <c r="Q204" t="n">
        <v>338030.0331183159</v>
      </c>
      <c r="R204" t="n">
        <v>122466.294174338</v>
      </c>
      <c r="S204">
        <f si="31" t="shared"/>
        <v>702437.81530738831</v>
      </c>
    </row>
    <row r="205" spans="1:19" x14ac:dyDescent="0.2">
      <c r="A205" t="s">
        <v>129</v>
      </c>
      <c r="B205">
        <f si="30" t="shared"/>
        <v>24127.762738625999</v>
      </c>
      <c r="C205">
        <f si="30" t="shared"/>
        <v>39489.0092153812</v>
      </c>
      <c r="D205">
        <f si="30" t="shared"/>
        <v>119708.27903641311</v>
      </c>
      <c r="E205">
        <f si="30" t="shared"/>
        <v>41925.4927364307</v>
      </c>
      <c r="F205">
        <f si="30" t="shared"/>
        <v>225250.543726851</v>
      </c>
      <c r="N205" t="s">
        <v>129</v>
      </c>
      <c r="O205" t="n">
        <v>24127.762738626</v>
      </c>
      <c r="P205" t="n">
        <v>39489.0092153812</v>
      </c>
      <c r="Q205" t="n">
        <v>119708.2790364131</v>
      </c>
      <c r="R205" t="n">
        <v>41925.4927364307</v>
      </c>
      <c r="S205">
        <f si="31" t="shared"/>
        <v>225250.543726851</v>
      </c>
    </row>
    <row r="206" spans="1:19" x14ac:dyDescent="0.2">
      <c r="A206" t="s">
        <v>130</v>
      </c>
      <c r="B206">
        <f si="30" t="shared"/>
        <v>34881.266744015404</v>
      </c>
      <c r="C206">
        <f si="30" t="shared"/>
        <v>228331.0271530441</v>
      </c>
      <c r="D206">
        <f si="30" t="shared"/>
        <v>657983.59176856664</v>
      </c>
      <c r="E206">
        <f si="30" t="shared"/>
        <v>168814.7149611171</v>
      </c>
      <c r="F206">
        <f si="30" t="shared"/>
        <v>1090010.6006267432</v>
      </c>
      <c r="N206" t="s">
        <v>130</v>
      </c>
      <c r="O206" t="n">
        <v>34881.266744015404</v>
      </c>
      <c r="P206" t="n">
        <v>228331.0271530441</v>
      </c>
      <c r="Q206" t="n">
        <v>657983.5917685666</v>
      </c>
      <c r="R206" t="n">
        <v>168814.7149611171</v>
      </c>
      <c r="S206">
        <f si="31" t="shared"/>
        <v>1090010.6006267432</v>
      </c>
    </row>
    <row r="207" spans="1:19" x14ac:dyDescent="0.2">
      <c r="A207" t="s">
        <v>247</v>
      </c>
      <c r="B207">
        <f si="30" t="shared"/>
        <v>9709.3602703451998</v>
      </c>
      <c r="C207">
        <f si="30" t="shared"/>
        <v>46663.354949858702</v>
      </c>
      <c r="D207">
        <f si="30" t="shared"/>
        <v>99043.818484483505</v>
      </c>
      <c r="E207">
        <f si="30" t="shared"/>
        <v>28626.631692736799</v>
      </c>
      <c r="F207">
        <f si="30" t="shared"/>
        <v>184043.16539742419</v>
      </c>
      <c r="N207" t="s">
        <v>247</v>
      </c>
      <c r="O207" t="n">
        <v>9709.3602703452</v>
      </c>
      <c r="P207" t="n">
        <v>46663.3549498587</v>
      </c>
      <c r="Q207" t="n">
        <v>99043.8184844835</v>
      </c>
      <c r="R207" t="n">
        <v>28626.6316927368</v>
      </c>
      <c r="S207">
        <f si="31" t="shared"/>
        <v>184043.16539742419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3919</v>
      </c>
      <c r="C210" t="s">
        <v>3920</v>
      </c>
      <c r="D210" t="s">
        <v>3921</v>
      </c>
      <c r="E210" t="s">
        <v>3922</v>
      </c>
      <c r="F210" t="s">
        <v>1522</v>
      </c>
      <c r="G210" t="s">
        <v>3923</v>
      </c>
      <c r="H210" t="s">
        <v>3924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2">
      <c r="A211" t="s">
        <v>210</v>
      </c>
      <c r="B211">
        <f ref="B211:E218" si="32" t="shared">O211*$B$1</f>
        <v>79037.6401089188</v>
      </c>
      <c r="C211">
        <f si="32" t="shared"/>
        <v>6027.8099673173001</v>
      </c>
      <c r="D211">
        <f si="32" t="shared"/>
        <v>70900.655516414394</v>
      </c>
      <c r="E211">
        <f si="32" t="shared"/>
        <v>50371.362533848602</v>
      </c>
      <c r="F211">
        <f ref="F211:F218" si="33" t="shared">S211*$B$1</f>
        <v>366865.11869293661</v>
      </c>
      <c r="G211">
        <f ref="G211:G218" si="34" t="shared">T211*$B$1</f>
        <v>40389.307369103197</v>
      </c>
      <c r="H211">
        <f ref="H211:I218" si="35" t="shared">U211*$B$1</f>
        <v>1113967.0590666074</v>
      </c>
      <c r="I211">
        <f si="35" t="shared"/>
        <v>1727558.9532551463</v>
      </c>
      <c r="N211" t="s">
        <v>210</v>
      </c>
      <c r="O211" t="n">
        <v>79037.6401089188</v>
      </c>
      <c r="P211" t="n">
        <v>6027.8099673173</v>
      </c>
      <c r="Q211" t="n">
        <v>70900.6555164144</v>
      </c>
      <c r="R211" t="n">
        <v>50371.3625338486</v>
      </c>
      <c r="S211" t="n">
        <v>366865.1186929366</v>
      </c>
      <c r="T211" t="n">
        <v>40389.3073691032</v>
      </c>
      <c r="U211" t="n">
        <v>1113967.0590666074</v>
      </c>
      <c r="V211">
        <f>SUM(O211:U211)</f>
        <v>1727558.9532551463</v>
      </c>
    </row>
    <row r="212" spans="1:23" x14ac:dyDescent="0.2">
      <c r="A212" t="s">
        <v>211</v>
      </c>
      <c r="B212">
        <f si="32" t="shared"/>
        <v>34613.001160360101</v>
      </c>
      <c r="C212">
        <f si="32" t="shared"/>
        <v>789.45598320570002</v>
      </c>
      <c r="D212">
        <f si="32" t="shared"/>
        <v>28160.228371058001</v>
      </c>
      <c r="E212">
        <f si="32" t="shared"/>
        <v>35343.089765855999</v>
      </c>
      <c r="F212">
        <f si="33" t="shared"/>
        <v>128049.85788342191</v>
      </c>
      <c r="G212">
        <f si="34" t="shared"/>
        <v>3679.5907776108002</v>
      </c>
      <c r="H212">
        <f si="35" t="shared"/>
        <v>574441.30110731046</v>
      </c>
      <c r="I212">
        <f si="35" t="shared"/>
        <v>805076.52504882298</v>
      </c>
      <c r="N212" t="s">
        <v>211</v>
      </c>
      <c r="O212" t="n">
        <v>34613.0011603601</v>
      </c>
      <c r="P212" t="n">
        <v>789.4559832057</v>
      </c>
      <c r="Q212" t="n">
        <v>28160.228371058</v>
      </c>
      <c r="R212" t="n">
        <v>35343.089765856</v>
      </c>
      <c r="S212" t="n">
        <v>128049.85788342191</v>
      </c>
      <c r="T212" t="n">
        <v>3679.5907776108</v>
      </c>
      <c r="U212" t="n">
        <v>574441.3011073105</v>
      </c>
      <c r="V212">
        <f ref="V212:V218" si="36" t="shared">SUM(O212:U212)</f>
        <v>805076.52504882298</v>
      </c>
    </row>
    <row r="213" spans="1:23" x14ac:dyDescent="0.2">
      <c r="A213" t="s">
        <v>212</v>
      </c>
      <c r="B213">
        <f si="32" t="shared"/>
        <v>34061.977706629201</v>
      </c>
      <c r="C213">
        <f si="32" t="shared"/>
        <v>462.67095220929997</v>
      </c>
      <c r="D213">
        <f si="32" t="shared"/>
        <v>31876.0289466779</v>
      </c>
      <c r="E213">
        <f si="32" t="shared"/>
        <v>34571.719632258399</v>
      </c>
      <c r="F213">
        <f si="33" t="shared"/>
        <v>92579.880363555902</v>
      </c>
      <c r="G213">
        <f si="34" t="shared"/>
        <v>2611.1811652474998</v>
      </c>
      <c r="H213">
        <f si="35" t="shared"/>
        <v>452633.55433099088</v>
      </c>
      <c r="I213">
        <f si="35" t="shared"/>
        <v>648797.01309756911</v>
      </c>
      <c r="N213" t="s">
        <v>212</v>
      </c>
      <c r="O213" t="n">
        <v>34061.9777066292</v>
      </c>
      <c r="P213" t="n">
        <v>462.67095220929997</v>
      </c>
      <c r="Q213" t="n">
        <v>31876.0289466779</v>
      </c>
      <c r="R213" t="n">
        <v>34571.7196322584</v>
      </c>
      <c r="S213" t="n">
        <v>92579.8803635559</v>
      </c>
      <c r="T213" t="n">
        <v>2611.1811652475</v>
      </c>
      <c r="U213" t="n">
        <v>452633.5543309909</v>
      </c>
      <c r="V213">
        <f si="36" t="shared"/>
        <v>648797.01309756911</v>
      </c>
    </row>
    <row r="214" spans="1:23" x14ac:dyDescent="0.2">
      <c r="A214" t="s">
        <v>36</v>
      </c>
      <c r="B214">
        <f si="32" t="shared"/>
        <v>24933.076938066599</v>
      </c>
      <c r="C214">
        <f si="32" t="shared"/>
        <v>485.76884120250003</v>
      </c>
      <c r="D214">
        <f si="32" t="shared"/>
        <v>30369.740848877998</v>
      </c>
      <c r="E214">
        <f si="32" t="shared"/>
        <v>24559.552869661002</v>
      </c>
      <c r="F214">
        <f si="33" t="shared"/>
        <v>110186.080294496</v>
      </c>
      <c r="G214">
        <f si="34" t="shared"/>
        <v>10687.5900859625</v>
      </c>
      <c r="H214">
        <f si="35" t="shared"/>
        <v>516921.29535011522</v>
      </c>
      <c r="I214">
        <f si="35" t="shared"/>
        <v>718143.10522838181</v>
      </c>
      <c r="N214" t="s">
        <v>36</v>
      </c>
      <c r="O214" t="n">
        <v>24933.0769380666</v>
      </c>
      <c r="P214" t="n">
        <v>485.7688412025</v>
      </c>
      <c r="Q214" t="n">
        <v>30369.740848878</v>
      </c>
      <c r="R214" t="n">
        <v>24559.552869661</v>
      </c>
      <c r="S214" t="n">
        <v>110186.080294496</v>
      </c>
      <c r="T214" t="n">
        <v>10687.5900859625</v>
      </c>
      <c r="U214" t="n">
        <v>516921.2953501152</v>
      </c>
      <c r="V214">
        <f si="36" t="shared"/>
        <v>718143.10522838181</v>
      </c>
    </row>
    <row r="215" spans="1:23" x14ac:dyDescent="0.2">
      <c r="A215" t="s">
        <v>214</v>
      </c>
      <c r="B215">
        <f si="32" t="shared"/>
        <v>17968.983954022002</v>
      </c>
      <c r="C215">
        <f si="32" t="shared"/>
        <v>1607.070992965</v>
      </c>
      <c r="D215">
        <f si="32" t="shared"/>
        <v>20932.738866469499</v>
      </c>
      <c r="E215">
        <f si="32" t="shared"/>
        <v>19696.594297641499</v>
      </c>
      <c r="F215">
        <f si="33" t="shared"/>
        <v>105114.46815625941</v>
      </c>
      <c r="G215">
        <f si="34" t="shared"/>
        <v>12804.510940579499</v>
      </c>
      <c r="H215">
        <f si="35" t="shared"/>
        <v>524313.44809945137</v>
      </c>
      <c r="I215">
        <f si="35" t="shared"/>
        <v>702437.81530738831</v>
      </c>
      <c r="N215" t="s">
        <v>214</v>
      </c>
      <c r="O215" t="n">
        <v>17968.983954022002</v>
      </c>
      <c r="P215" t="n">
        <v>1607.070992965</v>
      </c>
      <c r="Q215" t="n">
        <v>20932.7388664695</v>
      </c>
      <c r="R215" t="n">
        <v>19696.5942976415</v>
      </c>
      <c r="S215" t="n">
        <v>105114.4681562594</v>
      </c>
      <c r="T215" t="n">
        <v>12804.5109405795</v>
      </c>
      <c r="U215" t="n">
        <v>524313.4480994514</v>
      </c>
      <c r="V215">
        <f si="36" t="shared"/>
        <v>702437.81530738831</v>
      </c>
    </row>
    <row r="216" spans="1:23" x14ac:dyDescent="0.2">
      <c r="A216" t="s">
        <v>129</v>
      </c>
      <c r="B216">
        <f si="32" t="shared"/>
        <v>11939.972133858801</v>
      </c>
      <c r="C216">
        <f si="32" t="shared"/>
        <v>488.07562926700001</v>
      </c>
      <c r="D216">
        <f si="32" t="shared"/>
        <v>4287.132606657</v>
      </c>
      <c r="E216">
        <f si="32" t="shared"/>
        <v>11946.260995394001</v>
      </c>
      <c r="F216">
        <f si="33" t="shared"/>
        <v>51316.740136362801</v>
      </c>
      <c r="G216">
        <f si="34" t="shared"/>
        <v>6574.4430957761997</v>
      </c>
      <c r="H216">
        <f si="35" t="shared"/>
        <v>138697.91912953521</v>
      </c>
      <c r="I216">
        <f si="35" t="shared"/>
        <v>225250.543726851</v>
      </c>
      <c r="N216" t="s">
        <v>129</v>
      </c>
      <c r="O216" t="n">
        <v>11939.9721338588</v>
      </c>
      <c r="P216" t="n">
        <v>488.075629267</v>
      </c>
      <c r="Q216" t="n">
        <v>4287.132606657</v>
      </c>
      <c r="R216" t="n">
        <v>11946.260995394001</v>
      </c>
      <c r="S216" t="n">
        <v>51316.7401363628</v>
      </c>
      <c r="T216" t="n">
        <v>6574.4430957762</v>
      </c>
      <c r="U216" t="n">
        <v>138697.9191295352</v>
      </c>
      <c r="V216">
        <f si="36" t="shared"/>
        <v>225250.543726851</v>
      </c>
    </row>
    <row r="217" spans="1:23" x14ac:dyDescent="0.2">
      <c r="A217" t="s">
        <v>130</v>
      </c>
      <c r="B217">
        <f si="32" t="shared"/>
        <v>45357.532431543703</v>
      </c>
      <c r="C217">
        <f si="32" t="shared"/>
        <v>2552.9661731877</v>
      </c>
      <c r="D217">
        <f si="32" t="shared"/>
        <v>32411.710559707601</v>
      </c>
      <c r="E217">
        <f si="32" t="shared"/>
        <v>39687.352662972</v>
      </c>
      <c r="F217">
        <f si="33" t="shared"/>
        <v>218949.4684907874</v>
      </c>
      <c r="G217">
        <f si="34" t="shared"/>
        <v>20280.583342895599</v>
      </c>
      <c r="H217">
        <f si="35" t="shared"/>
        <v>730770.98696564918</v>
      </c>
      <c r="I217">
        <f si="35" t="shared"/>
        <v>1090010.6006267432</v>
      </c>
      <c r="N217" t="s">
        <v>130</v>
      </c>
      <c r="O217" t="n">
        <v>45357.5324315437</v>
      </c>
      <c r="P217" t="n">
        <v>2552.9661731877</v>
      </c>
      <c r="Q217" t="n">
        <v>32411.7105597076</v>
      </c>
      <c r="R217" t="n">
        <v>39687.352662972</v>
      </c>
      <c r="S217" t="n">
        <v>218949.4684907874</v>
      </c>
      <c r="T217" t="n">
        <v>20280.5833428956</v>
      </c>
      <c r="U217" t="n">
        <v>730770.9869656492</v>
      </c>
      <c r="V217">
        <f si="36" t="shared"/>
        <v>1090010.6006267432</v>
      </c>
    </row>
    <row r="218" spans="1:23" x14ac:dyDescent="0.2">
      <c r="A218" t="s">
        <v>247</v>
      </c>
      <c r="B218">
        <f si="32" t="shared"/>
        <v>5113.9959560066</v>
      </c>
      <c r="C218">
        <f si="32" t="shared"/>
        <v>811.99076192229995</v>
      </c>
      <c r="D218">
        <f si="32" t="shared"/>
        <v>8000.7828230945006</v>
      </c>
      <c r="E218">
        <f si="32" t="shared"/>
        <v>8435.7198634551005</v>
      </c>
      <c r="F218">
        <f si="33" t="shared"/>
        <v>49565.2087046374</v>
      </c>
      <c r="G218">
        <f si="34" t="shared"/>
        <v>8562.5809054546007</v>
      </c>
      <c r="H218">
        <f si="35" t="shared"/>
        <v>103552.8863828537</v>
      </c>
      <c r="I218">
        <f si="35" t="shared"/>
        <v>184043.16539742419</v>
      </c>
      <c r="N218" t="s">
        <v>247</v>
      </c>
      <c r="O218" t="n">
        <v>5113.9959560066</v>
      </c>
      <c r="P218" t="n">
        <v>811.9907619223</v>
      </c>
      <c r="Q218" t="n">
        <v>8000.782823094501</v>
      </c>
      <c r="R218" t="n">
        <v>8435.7198634551</v>
      </c>
      <c r="S218" t="n">
        <v>49565.2087046374</v>
      </c>
      <c r="T218" t="n">
        <v>8562.5809054546</v>
      </c>
      <c r="U218" t="n">
        <v>103552.8863828537</v>
      </c>
      <c r="V218">
        <f si="36" t="shared"/>
        <v>184043.16539742419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210</v>
      </c>
      <c r="B222">
        <f ref="B222:J228" si="37" t="shared">O222*$B$1</f>
        <v>250075.8413</v>
      </c>
      <c r="C222">
        <f si="37" t="shared"/>
        <v>26046.423600000002</v>
      </c>
      <c r="D222">
        <f si="37" t="shared"/>
        <v>3695.3521000000001</v>
      </c>
      <c r="E222">
        <f si="37" t="shared"/>
        <v>9623.4645999999993</v>
      </c>
      <c r="F222">
        <f si="37" t="shared"/>
        <v>26115.8714</v>
      </c>
      <c r="G222">
        <f si="37" t="shared"/>
        <v>1120.2595999999999</v>
      </c>
      <c r="H222">
        <f si="37" t="shared"/>
        <v>309.71820000000002</v>
      </c>
      <c r="I222">
        <f si="37" t="shared"/>
        <v>191.50479999999999</v>
      </c>
      <c r="J222">
        <f si="37" t="shared"/>
        <v>317178.43560000003</v>
      </c>
      <c r="N222" t="s">
        <v>210</v>
      </c>
      <c r="O222" s="104" t="n">
        <v>250075.8413</v>
      </c>
      <c r="P222" s="104" t="n">
        <v>26046.423600000002</v>
      </c>
      <c r="Q222" s="104" t="n">
        <v>3695.3521</v>
      </c>
      <c r="R222" s="104" t="n">
        <v>9623.4646</v>
      </c>
      <c r="S222" s="104" t="n">
        <v>26115.8714</v>
      </c>
      <c r="T222" s="104" t="n">
        <v>1120.2595999999999</v>
      </c>
      <c r="U222" s="104" t="n">
        <v>309.7182</v>
      </c>
      <c r="V222" t="n">
        <v>191.5048</v>
      </c>
      <c r="W222" s="104">
        <f>SUM(O222:V222)</f>
        <v>317178.43560000003</v>
      </c>
    </row>
    <row r="223" spans="1:23" x14ac:dyDescent="0.2">
      <c r="A223" t="s">
        <v>211</v>
      </c>
      <c r="B223">
        <f si="37" t="shared"/>
        <v>4523.5419000000002</v>
      </c>
      <c r="C223">
        <f si="37" t="shared"/>
        <v>6911.4877999999999</v>
      </c>
      <c r="D223">
        <f si="37" t="shared"/>
        <v>0</v>
      </c>
      <c r="E223">
        <f si="37" t="shared"/>
        <v>3468.9843000000001</v>
      </c>
      <c r="F223">
        <f si="37" t="shared"/>
        <v>12918.3516</v>
      </c>
      <c r="G223">
        <f si="37" t="shared"/>
        <v>2645.8099000000002</v>
      </c>
      <c r="H223">
        <f si="37" t="shared"/>
        <v>20731.526399999999</v>
      </c>
      <c r="I223">
        <f si="37" t="shared"/>
        <v>0</v>
      </c>
      <c r="J223">
        <f si="37" t="shared"/>
        <v>51199.7019</v>
      </c>
      <c r="N223" t="s">
        <v>211</v>
      </c>
      <c r="O223" s="104" t="n">
        <v>4523.5419</v>
      </c>
      <c r="P223" s="104" t="n">
        <v>6911.4878</v>
      </c>
      <c r="Q223" s="104" t="n">
        <v>0.0</v>
      </c>
      <c r="R223" s="104" t="n">
        <v>3468.9843</v>
      </c>
      <c r="S223" s="104" t="n">
        <v>12918.3516</v>
      </c>
      <c r="T223" s="104" t="n">
        <v>2645.8099</v>
      </c>
      <c r="U223" s="104" t="n">
        <v>20731.5264</v>
      </c>
      <c r="V223" t="n">
        <v>0.0</v>
      </c>
      <c r="W223" s="104">
        <f ref="W223:W228" si="38" t="shared">SUM(O223:V223)</f>
        <v>51199.7019</v>
      </c>
    </row>
    <row r="224" spans="1:23" x14ac:dyDescent="0.2">
      <c r="A224" t="s">
        <v>212</v>
      </c>
      <c r="B224">
        <f si="37" t="shared"/>
        <v>258953.26190000001</v>
      </c>
      <c r="C224">
        <f si="37" t="shared"/>
        <v>50365.078000000001</v>
      </c>
      <c r="D224">
        <f si="37" t="shared"/>
        <v>14575.7464</v>
      </c>
      <c r="E224">
        <f si="37" t="shared"/>
        <v>56325.4948</v>
      </c>
      <c r="F224">
        <f si="37" t="shared"/>
        <v>12863.8066</v>
      </c>
      <c r="G224">
        <f si="37" t="shared"/>
        <v>2984.3738000000003</v>
      </c>
      <c r="H224">
        <f si="37" t="shared"/>
        <v>49023.294200000004</v>
      </c>
      <c r="I224">
        <f si="37" t="shared"/>
        <v>34883.820899999999</v>
      </c>
      <c r="J224">
        <f si="37" t="shared"/>
        <v>479974.87660000002</v>
      </c>
      <c r="N224" t="s">
        <v>212</v>
      </c>
      <c r="O224" s="104" t="n">
        <v>258953.2619</v>
      </c>
      <c r="P224" s="104" t="n">
        <v>50365.078</v>
      </c>
      <c r="Q224" s="104" t="n">
        <v>14575.7464</v>
      </c>
      <c r="R224" s="104" t="n">
        <v>56325.4948</v>
      </c>
      <c r="S224" s="104" t="n">
        <v>12863.8066</v>
      </c>
      <c r="T224" s="104" t="n">
        <v>2984.3738000000003</v>
      </c>
      <c r="U224" s="104" t="n">
        <v>49023.294200000004</v>
      </c>
      <c r="V224" t="n">
        <v>34883.8209</v>
      </c>
      <c r="W224" s="104">
        <f si="38" t="shared"/>
        <v>479974.87660000002</v>
      </c>
    </row>
    <row r="225" spans="1:23" x14ac:dyDescent="0.2">
      <c r="A225" t="s">
        <v>36</v>
      </c>
      <c r="B225">
        <f si="37" t="shared"/>
        <v>296124.28149999998</v>
      </c>
      <c r="C225">
        <f si="37" t="shared"/>
        <v>100810.35189999999</v>
      </c>
      <c r="D225">
        <f si="37" t="shared"/>
        <v>142343.75649999999</v>
      </c>
      <c r="E225">
        <f si="37" t="shared"/>
        <v>177472.20550000001</v>
      </c>
      <c r="F225">
        <f si="37" t="shared"/>
        <v>32635.4974</v>
      </c>
      <c r="G225">
        <f si="37" t="shared"/>
        <v>8743.7734999999993</v>
      </c>
      <c r="H225">
        <f si="37" t="shared"/>
        <v>77077.590200000006</v>
      </c>
      <c r="I225">
        <f si="37" t="shared"/>
        <v>66528.124899999995</v>
      </c>
      <c r="J225">
        <f si="37" t="shared"/>
        <v>901735.58140000002</v>
      </c>
      <c r="N225" t="s">
        <v>36</v>
      </c>
      <c r="O225" s="104" t="n">
        <v>296124.2815</v>
      </c>
      <c r="P225" s="104" t="n">
        <v>100810.3519</v>
      </c>
      <c r="Q225" s="104" t="n">
        <v>142343.7565</v>
      </c>
      <c r="R225" s="104" t="n">
        <v>177472.2055</v>
      </c>
      <c r="S225" s="104" t="n">
        <v>32635.4974</v>
      </c>
      <c r="T225" s="104" t="n">
        <v>8743.7735</v>
      </c>
      <c r="U225" s="104" t="n">
        <v>77077.5902</v>
      </c>
      <c r="V225" t="n">
        <v>66528.1249</v>
      </c>
      <c r="W225" s="104">
        <f si="38" t="shared"/>
        <v>901735.58140000002</v>
      </c>
    </row>
    <row r="226" spans="1:23" x14ac:dyDescent="0.2">
      <c r="A226" t="s">
        <v>214</v>
      </c>
      <c r="B226">
        <f si="37" t="shared"/>
        <v>390974.17910000001</v>
      </c>
      <c r="C226">
        <f si="37" t="shared"/>
        <v>135854.54620000001</v>
      </c>
      <c r="D226">
        <f si="37" t="shared"/>
        <v>163320.2421</v>
      </c>
      <c r="E226">
        <f si="37" t="shared"/>
        <v>209052.5955</v>
      </c>
      <c r="F226">
        <f si="37" t="shared"/>
        <v>41543.5645</v>
      </c>
      <c r="G226">
        <f si="37" t="shared"/>
        <v>4572.2660000000005</v>
      </c>
      <c r="H226">
        <f si="37" t="shared"/>
        <v>59605.488100000002</v>
      </c>
      <c r="I226">
        <f si="37" t="shared"/>
        <v>69632.557400000005</v>
      </c>
      <c r="J226">
        <f si="37" t="shared"/>
        <v>1074555.4389</v>
      </c>
      <c r="N226" t="s">
        <v>214</v>
      </c>
      <c r="O226" s="104" t="n">
        <v>390974.1791</v>
      </c>
      <c r="P226" s="104" t="n">
        <v>135854.5462</v>
      </c>
      <c r="Q226" s="104" t="n">
        <v>163320.2421</v>
      </c>
      <c r="R226" s="104" t="n">
        <v>209052.5955</v>
      </c>
      <c r="S226" s="104" t="n">
        <v>41543.5645</v>
      </c>
      <c r="T226" s="104" t="n">
        <v>4572.2660000000005</v>
      </c>
      <c r="U226" s="104" t="n">
        <v>59605.4881</v>
      </c>
      <c r="V226" t="n">
        <v>69632.5574</v>
      </c>
      <c r="W226" s="104">
        <f si="38" t="shared"/>
        <v>1074555.4389</v>
      </c>
    </row>
    <row r="227" spans="1:23" x14ac:dyDescent="0.2">
      <c r="A227" t="s">
        <v>129</v>
      </c>
      <c r="B227">
        <f si="37" t="shared"/>
        <v>235806.9326</v>
      </c>
      <c r="C227">
        <f si="37" t="shared"/>
        <v>49290.2304</v>
      </c>
      <c r="D227">
        <f si="37" t="shared"/>
        <v>46714.241900000001</v>
      </c>
      <c r="E227">
        <f si="37" t="shared"/>
        <v>76092.9326</v>
      </c>
      <c r="F227">
        <f si="37" t="shared"/>
        <v>20415.510299999998</v>
      </c>
      <c r="G227">
        <f si="37" t="shared"/>
        <v>5501.6325999999999</v>
      </c>
      <c r="H227">
        <f si="37" t="shared"/>
        <v>23327.257399999999</v>
      </c>
      <c r="I227">
        <f si="37" t="shared"/>
        <v>20135.915499999999</v>
      </c>
      <c r="J227">
        <f si="37" t="shared"/>
        <v>477284.65330000006</v>
      </c>
      <c r="N227" t="s">
        <v>129</v>
      </c>
      <c r="O227" s="104" t="n">
        <v>235806.9326</v>
      </c>
      <c r="P227" s="104" t="n">
        <v>49290.2304</v>
      </c>
      <c r="Q227" s="104" t="n">
        <v>46714.2419</v>
      </c>
      <c r="R227" s="104" t="n">
        <v>76092.9326</v>
      </c>
      <c r="S227" s="104" t="n">
        <v>20415.510299999998</v>
      </c>
      <c r="T227" s="104" t="n">
        <v>5501.6326</v>
      </c>
      <c r="U227" s="104" t="n">
        <v>23327.2574</v>
      </c>
      <c r="V227" t="n">
        <v>20135.9155</v>
      </c>
      <c r="W227" s="104">
        <f si="38" t="shared"/>
        <v>477284.65330000006</v>
      </c>
    </row>
    <row r="228" spans="1:23" x14ac:dyDescent="0.2">
      <c r="A228" t="s">
        <v>130</v>
      </c>
      <c r="B228">
        <f si="37" t="shared"/>
        <v>192394.38690000001</v>
      </c>
      <c r="C228">
        <f si="37" t="shared"/>
        <v>48520.614399999999</v>
      </c>
      <c r="D228">
        <f si="37" t="shared"/>
        <v>51253.290800000002</v>
      </c>
      <c r="E228">
        <f si="37" t="shared"/>
        <v>100849.0634</v>
      </c>
      <c r="F228">
        <f si="37" t="shared"/>
        <v>16398.062300000001</v>
      </c>
      <c r="G228">
        <f si="37" t="shared"/>
        <v>5304.2622999999994</v>
      </c>
      <c r="H228">
        <f si="37" t="shared"/>
        <v>56621.2785</v>
      </c>
      <c r="I228">
        <f si="37" t="shared"/>
        <v>23936.415300000001</v>
      </c>
      <c r="J228">
        <f si="37" t="shared"/>
        <v>495277.37390000001</v>
      </c>
      <c r="N228" t="s">
        <v>130</v>
      </c>
      <c r="O228" s="104" t="n">
        <v>192394.3869</v>
      </c>
      <c r="P228" s="104" t="n">
        <v>48520.6144</v>
      </c>
      <c r="Q228" s="104" t="n">
        <v>51253.2908</v>
      </c>
      <c r="R228" s="104" t="n">
        <v>100849.0634</v>
      </c>
      <c r="S228" s="104" t="n">
        <v>16398.0623</v>
      </c>
      <c r="T228" s="104" t="n">
        <v>5304.262299999999</v>
      </c>
      <c r="U228" s="104" t="n">
        <v>56621.2785</v>
      </c>
      <c r="V228" t="n">
        <v>23936.4153</v>
      </c>
      <c r="W228" s="104">
        <f si="38" t="shared"/>
        <v>495277.37390000001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2">
      <c r="A232" t="s">
        <v>210</v>
      </c>
      <c r="B232">
        <f ref="B232:F238" si="39" t="shared">O232*$B$1</f>
        <v>2485.2287000000001</v>
      </c>
      <c r="C232">
        <f si="39" t="shared"/>
        <v>86538.9329</v>
      </c>
      <c r="D232">
        <f si="39" t="shared"/>
        <v>44027.546900000001</v>
      </c>
      <c r="E232">
        <f si="39" t="shared"/>
        <v>164733.38039999999</v>
      </c>
      <c r="F232">
        <f si="39" t="shared"/>
        <v>297785.08889999997</v>
      </c>
      <c r="N232" t="s">
        <v>210</v>
      </c>
      <c r="O232" s="104" t="n">
        <v>2485.2287</v>
      </c>
      <c r="P232" s="104" t="n">
        <v>86538.9329</v>
      </c>
      <c r="Q232" s="104" t="n">
        <v>44027.5469</v>
      </c>
      <c r="R232" s="104" t="n">
        <v>164733.3804</v>
      </c>
      <c r="S232" s="104">
        <f>SUM(O232:R232)</f>
        <v>297785.08889999997</v>
      </c>
    </row>
    <row r="233" spans="1:23" x14ac:dyDescent="0.2">
      <c r="A233" t="s">
        <v>211</v>
      </c>
      <c r="B233">
        <f si="39" t="shared"/>
        <v>2299.152</v>
      </c>
      <c r="C233">
        <f si="39" t="shared"/>
        <v>8519.1494999999995</v>
      </c>
      <c r="D233">
        <f si="39" t="shared"/>
        <v>3941.2957999999999</v>
      </c>
      <c r="E233">
        <f si="39" t="shared"/>
        <v>24467.006600000001</v>
      </c>
      <c r="F233">
        <f si="39" t="shared"/>
        <v>39226.603900000002</v>
      </c>
      <c r="N233" t="s">
        <v>211</v>
      </c>
      <c r="O233" s="104" t="n">
        <v>2299.152</v>
      </c>
      <c r="P233" s="104" t="n">
        <v>8519.1495</v>
      </c>
      <c r="Q233" s="104" t="n">
        <v>3941.2958</v>
      </c>
      <c r="R233" s="104" t="n">
        <v>24467.0066</v>
      </c>
      <c r="S233" s="104">
        <f ref="S233:S238" si="40" t="shared">SUM(O233:R233)</f>
        <v>39226.603900000002</v>
      </c>
    </row>
    <row r="234" spans="1:23" x14ac:dyDescent="0.2">
      <c r="A234" t="s">
        <v>212</v>
      </c>
      <c r="B234">
        <f si="39" t="shared"/>
        <v>9201.5738999999994</v>
      </c>
      <c r="C234">
        <f si="39" t="shared"/>
        <v>74539.947199999995</v>
      </c>
      <c r="D234">
        <f si="39" t="shared"/>
        <v>66793.489000000001</v>
      </c>
      <c r="E234">
        <f si="39" t="shared"/>
        <v>294244.41509999998</v>
      </c>
      <c r="F234">
        <f si="39" t="shared"/>
        <v>444779.4252</v>
      </c>
      <c r="N234" t="s">
        <v>212</v>
      </c>
      <c r="O234" s="104" t="n">
        <v>9201.5739</v>
      </c>
      <c r="P234" s="104" t="n">
        <v>74539.9472</v>
      </c>
      <c r="Q234" s="104" t="n">
        <v>66793.489</v>
      </c>
      <c r="R234" s="104" t="n">
        <v>294244.4151</v>
      </c>
      <c r="S234" s="104">
        <f si="40" t="shared"/>
        <v>444779.4252</v>
      </c>
    </row>
    <row r="235" spans="1:23" x14ac:dyDescent="0.2">
      <c r="A235" t="s">
        <v>36</v>
      </c>
      <c r="B235">
        <f si="39" t="shared"/>
        <v>40875.726600000002</v>
      </c>
      <c r="C235">
        <f si="39" t="shared"/>
        <v>266857.96419999999</v>
      </c>
      <c r="D235">
        <f si="39" t="shared"/>
        <v>137884.7164</v>
      </c>
      <c r="E235">
        <f si="39" t="shared"/>
        <v>356679.21500000003</v>
      </c>
      <c r="F235">
        <f si="39" t="shared"/>
        <v>802297.6222000001</v>
      </c>
      <c r="N235" t="s">
        <v>36</v>
      </c>
      <c r="O235" s="104" t="n">
        <v>40875.7266</v>
      </c>
      <c r="P235" s="104" t="n">
        <v>266857.9642</v>
      </c>
      <c r="Q235" s="104" t="n">
        <v>137884.7164</v>
      </c>
      <c r="R235" s="104" t="n">
        <v>356679.215</v>
      </c>
      <c r="S235" s="104">
        <f si="40" t="shared"/>
        <v>802297.6222000001</v>
      </c>
    </row>
    <row r="236" spans="1:23" x14ac:dyDescent="0.2">
      <c r="A236" t="s">
        <v>214</v>
      </c>
      <c r="B236">
        <f si="39" t="shared"/>
        <v>38726.070599999999</v>
      </c>
      <c r="C236">
        <f si="39" t="shared"/>
        <v>320920.20299999998</v>
      </c>
      <c r="D236">
        <f si="39" t="shared"/>
        <v>162743.34700000001</v>
      </c>
      <c r="E236">
        <f si="39" t="shared"/>
        <v>462006.85369999998</v>
      </c>
      <c r="F236">
        <f si="39" t="shared"/>
        <v>984396.47429999989</v>
      </c>
      <c r="N236" t="s">
        <v>214</v>
      </c>
      <c r="O236" s="104" t="n">
        <v>38726.0706</v>
      </c>
      <c r="P236" s="104" t="n">
        <v>320920.203</v>
      </c>
      <c r="Q236" s="104" t="n">
        <v>162743.347</v>
      </c>
      <c r="R236" s="104" t="n">
        <v>462006.8537</v>
      </c>
      <c r="S236" s="104">
        <f si="40" t="shared"/>
        <v>984396.47429999989</v>
      </c>
    </row>
    <row r="237" spans="1:23" x14ac:dyDescent="0.2">
      <c r="A237" t="s">
        <v>129</v>
      </c>
      <c r="B237">
        <f si="39" t="shared"/>
        <v>14801.2716</v>
      </c>
      <c r="C237">
        <f si="39" t="shared"/>
        <v>115979.33840000001</v>
      </c>
      <c r="D237">
        <f si="39" t="shared"/>
        <v>79532.120500000005</v>
      </c>
      <c r="E237">
        <f si="39" t="shared"/>
        <v>233216.42989999999</v>
      </c>
      <c r="F237">
        <f si="39" t="shared"/>
        <v>443529.16039999999</v>
      </c>
      <c r="N237" t="s">
        <v>129</v>
      </c>
      <c r="O237" s="104" t="n">
        <v>14801.2716</v>
      </c>
      <c r="P237" s="104" t="n">
        <v>115979.33840000001</v>
      </c>
      <c r="Q237" s="104" t="n">
        <v>79532.1205</v>
      </c>
      <c r="R237" s="104" t="n">
        <v>233216.4299</v>
      </c>
      <c r="S237" s="104">
        <f si="40" t="shared"/>
        <v>443529.16039999999</v>
      </c>
    </row>
    <row r="238" spans="1:23" x14ac:dyDescent="0.2">
      <c r="A238" t="s">
        <v>130</v>
      </c>
      <c r="B238">
        <f si="39" t="shared"/>
        <v>11926.9622</v>
      </c>
      <c r="C238">
        <f si="39" t="shared"/>
        <v>91677.203500000003</v>
      </c>
      <c r="D238">
        <f si="39" t="shared"/>
        <v>78208.240900000004</v>
      </c>
      <c r="E238">
        <f si="39" t="shared"/>
        <v>256161.74799999999</v>
      </c>
      <c r="F238">
        <f si="39" t="shared"/>
        <v>437974.15460000001</v>
      </c>
      <c r="N238" t="s">
        <v>130</v>
      </c>
      <c r="O238" s="104" t="n">
        <v>11926.9622</v>
      </c>
      <c r="P238" s="104" t="n">
        <v>91677.2035</v>
      </c>
      <c r="Q238" s="104" t="n">
        <v>78208.2409</v>
      </c>
      <c r="R238" s="104" t="n">
        <v>256161.748</v>
      </c>
      <c r="S238" s="104">
        <f si="40" t="shared"/>
        <v>437974.15460000001</v>
      </c>
    </row>
    <row r="240" spans="1:23" x14ac:dyDescent="0.2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2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2">
      <c r="A242" t="s">
        <v>210</v>
      </c>
      <c r="B242">
        <f ref="B242:F248" si="41" t="shared">O242*$B$1</f>
        <v>8100.7168000000001</v>
      </c>
      <c r="C242">
        <f si="41" t="shared"/>
        <v>51651.133600000001</v>
      </c>
      <c r="D242">
        <f si="41" t="shared"/>
        <v>183995.62539999999</v>
      </c>
      <c r="E242">
        <f si="41" t="shared"/>
        <v>73430.959799999997</v>
      </c>
      <c r="F242">
        <f si="41" t="shared"/>
        <v>317178.43559999997</v>
      </c>
      <c r="N242" t="s">
        <v>210</v>
      </c>
      <c r="O242" s="104" t="n">
        <v>8100.7168</v>
      </c>
      <c r="P242" s="104" t="n">
        <v>51651.1336</v>
      </c>
      <c r="Q242" s="104" t="n">
        <v>183995.6254</v>
      </c>
      <c r="R242" s="104" t="n">
        <v>73430.9598</v>
      </c>
      <c r="S242" s="104">
        <f>SUM(O242:R242)</f>
        <v>317178.43559999997</v>
      </c>
    </row>
    <row r="243" spans="1:22" x14ac:dyDescent="0.2">
      <c r="A243" t="s">
        <v>211</v>
      </c>
      <c r="B243">
        <f si="41" t="shared"/>
        <v>10103.864799999999</v>
      </c>
      <c r="C243">
        <f si="41" t="shared"/>
        <v>9937.6767</v>
      </c>
      <c r="D243">
        <f si="41" t="shared"/>
        <v>25743.243299999998</v>
      </c>
      <c r="E243">
        <f si="41" t="shared"/>
        <v>5414.9170999999997</v>
      </c>
      <c r="F243">
        <f si="41" t="shared"/>
        <v>51199.701899999993</v>
      </c>
      <c r="N243" t="s">
        <v>211</v>
      </c>
      <c r="O243" s="104" t="n">
        <v>10103.8648</v>
      </c>
      <c r="P243" s="104" t="n">
        <v>9937.6767</v>
      </c>
      <c r="Q243" s="104" t="n">
        <v>25743.2433</v>
      </c>
      <c r="R243" s="104" t="n">
        <v>5414.9171</v>
      </c>
      <c r="S243" s="104">
        <f ref="S243:S248" si="42" t="shared">SUM(O243:R243)</f>
        <v>51199.701899999993</v>
      </c>
    </row>
    <row r="244" spans="1:22" x14ac:dyDescent="0.2">
      <c r="A244" t="s">
        <v>212</v>
      </c>
      <c r="B244">
        <f si="41" t="shared"/>
        <v>1728.5329000000002</v>
      </c>
      <c r="C244">
        <f si="41" t="shared"/>
        <v>97484.4035</v>
      </c>
      <c r="D244">
        <f si="41" t="shared"/>
        <v>306216.32150000002</v>
      </c>
      <c r="E244">
        <f si="41" t="shared"/>
        <v>74545.618700000006</v>
      </c>
      <c r="F244">
        <f si="41" t="shared"/>
        <v>479974.87660000002</v>
      </c>
      <c r="N244" t="s">
        <v>212</v>
      </c>
      <c r="O244" s="104" t="n">
        <v>1728.5329000000002</v>
      </c>
      <c r="P244" s="104" t="n">
        <v>97484.4035</v>
      </c>
      <c r="Q244" s="104" t="n">
        <v>306216.3215</v>
      </c>
      <c r="R244" s="104" t="n">
        <v>74545.6187</v>
      </c>
      <c r="S244" s="104">
        <f si="42" t="shared"/>
        <v>479974.87660000002</v>
      </c>
    </row>
    <row r="245" spans="1:22" x14ac:dyDescent="0.2">
      <c r="A245" t="s">
        <v>36</v>
      </c>
      <c r="B245">
        <f si="41" t="shared"/>
        <v>41604.058299999997</v>
      </c>
      <c r="C245">
        <f si="41" t="shared"/>
        <v>177124.9871</v>
      </c>
      <c r="D245">
        <f si="41" t="shared"/>
        <v>516472.0294</v>
      </c>
      <c r="E245">
        <f si="41" t="shared"/>
        <v>166534.50659999999</v>
      </c>
      <c r="F245">
        <f si="41" t="shared"/>
        <v>901735.58140000002</v>
      </c>
      <c r="N245" t="s">
        <v>36</v>
      </c>
      <c r="O245" s="104" t="n">
        <v>41604.0583</v>
      </c>
      <c r="P245" s="104" t="n">
        <v>177124.9871</v>
      </c>
      <c r="Q245" s="104" t="n">
        <v>516472.0294</v>
      </c>
      <c r="R245" s="104" t="n">
        <v>166534.5066</v>
      </c>
      <c r="S245" s="104">
        <f si="42" t="shared"/>
        <v>901735.58140000002</v>
      </c>
    </row>
    <row r="246" spans="1:22" x14ac:dyDescent="0.2">
      <c r="A246" t="s">
        <v>214</v>
      </c>
      <c r="B246">
        <f si="41" t="shared"/>
        <v>52649.452599999997</v>
      </c>
      <c r="C246">
        <f si="41" t="shared"/>
        <v>216442.99590000001</v>
      </c>
      <c r="D246">
        <f si="41" t="shared"/>
        <v>615209.38340000005</v>
      </c>
      <c r="E246">
        <f si="41" t="shared"/>
        <v>190253.60699999999</v>
      </c>
      <c r="F246">
        <f si="41" t="shared"/>
        <v>1074555.4389000002</v>
      </c>
      <c r="N246" t="s">
        <v>214</v>
      </c>
      <c r="O246" s="104" t="n">
        <v>52649.4526</v>
      </c>
      <c r="P246" s="104" t="n">
        <v>216442.9959</v>
      </c>
      <c r="Q246" s="104" t="n">
        <v>615209.3834</v>
      </c>
      <c r="R246" s="104" t="n">
        <v>190253.607</v>
      </c>
      <c r="S246" s="104">
        <f si="42" t="shared"/>
        <v>1074555.4389000002</v>
      </c>
    </row>
    <row r="247" spans="1:22" x14ac:dyDescent="0.2">
      <c r="A247" t="s">
        <v>129</v>
      </c>
      <c r="B247">
        <f si="41" t="shared"/>
        <v>28415.916300000001</v>
      </c>
      <c r="C247">
        <f si="41" t="shared"/>
        <v>129191.2453</v>
      </c>
      <c r="D247">
        <f si="41" t="shared"/>
        <v>247110.8651</v>
      </c>
      <c r="E247">
        <f si="41" t="shared"/>
        <v>72566.626600000003</v>
      </c>
      <c r="F247">
        <f si="41" t="shared"/>
        <v>477284.65330000001</v>
      </c>
      <c r="N247" t="s">
        <v>129</v>
      </c>
      <c r="O247" s="104" t="n">
        <v>28415.9163</v>
      </c>
      <c r="P247" s="104" t="n">
        <v>129191.2453</v>
      </c>
      <c r="Q247" s="104" t="n">
        <v>247110.8651</v>
      </c>
      <c r="R247" s="104" t="n">
        <v>72566.6266</v>
      </c>
      <c r="S247" s="104">
        <f si="42" t="shared"/>
        <v>477284.65330000001</v>
      </c>
    </row>
    <row r="248" spans="1:22" x14ac:dyDescent="0.2">
      <c r="A248" t="s">
        <v>130</v>
      </c>
      <c r="B248">
        <f si="41" t="shared"/>
        <v>15999.9439</v>
      </c>
      <c r="C248">
        <f si="41" t="shared"/>
        <v>82060.3</v>
      </c>
      <c r="D248">
        <f si="41" t="shared"/>
        <v>322602.35399999999</v>
      </c>
      <c r="E248">
        <f si="41" t="shared"/>
        <v>74614.775999999998</v>
      </c>
      <c r="F248">
        <f si="41" t="shared"/>
        <v>495277.37390000001</v>
      </c>
      <c r="N248" t="s">
        <v>130</v>
      </c>
      <c r="O248" s="104" t="n">
        <v>15999.9439</v>
      </c>
      <c r="P248" s="104" t="n">
        <v>82060.3</v>
      </c>
      <c r="Q248" s="104" t="n">
        <v>322602.354</v>
      </c>
      <c r="R248" s="104" t="n">
        <v>74614.776</v>
      </c>
      <c r="S248" s="104">
        <f si="42" t="shared"/>
        <v>495277.37390000001</v>
      </c>
    </row>
    <row r="250" spans="1:22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2">
      <c r="A251" t="s">
        <v>44</v>
      </c>
      <c r="B251" t="s">
        <v>3919</v>
      </c>
      <c r="C251" t="s">
        <v>3920</v>
      </c>
      <c r="D251" t="s">
        <v>3921</v>
      </c>
      <c r="E251" t="s">
        <v>3922</v>
      </c>
      <c r="F251" t="s">
        <v>1522</v>
      </c>
      <c r="G251" t="s">
        <v>3923</v>
      </c>
      <c r="H251" t="s">
        <v>3924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2">
      <c r="A252" t="s">
        <v>210</v>
      </c>
      <c r="B252">
        <f ref="B252:G258" si="43" t="shared">O252*$B$1</f>
        <v>6923.8131999999996</v>
      </c>
      <c r="C252">
        <f si="43" t="shared"/>
        <v>1080.2171000000001</v>
      </c>
      <c r="D252">
        <f si="43" t="shared"/>
        <v>12381.686400000001</v>
      </c>
      <c r="E252">
        <f si="43" t="shared"/>
        <v>5648.2267000000002</v>
      </c>
      <c r="F252">
        <f si="43" t="shared"/>
        <v>78157.741699999999</v>
      </c>
      <c r="G252">
        <f si="43" t="shared"/>
        <v>6283.9052000000001</v>
      </c>
      <c r="H252">
        <f ref="H252:I258" si="44" t="shared">U252*$B$1</f>
        <v>206702.84529999999</v>
      </c>
      <c r="I252">
        <f si="44" t="shared"/>
        <v>317178.43559999997</v>
      </c>
      <c r="N252" t="s">
        <v>210</v>
      </c>
      <c r="O252" s="104" t="n">
        <v>6923.8132</v>
      </c>
      <c r="P252" s="104" t="n">
        <v>1080.2171</v>
      </c>
      <c r="Q252" s="104" t="n">
        <v>12381.6864</v>
      </c>
      <c r="R252" s="104" t="n">
        <v>5648.2267</v>
      </c>
      <c r="S252" s="104" t="n">
        <v>78157.7417</v>
      </c>
      <c r="T252" s="104" t="n">
        <v>6283.9052</v>
      </c>
      <c r="U252" s="104" t="n">
        <v>206702.8453</v>
      </c>
      <c r="V252" s="104">
        <f>SUM(O252:U252)</f>
        <v>317178.43559999997</v>
      </c>
    </row>
    <row r="253" spans="1:22" x14ac:dyDescent="0.2">
      <c r="A253" t="s">
        <v>211</v>
      </c>
      <c r="B253">
        <f si="43" t="shared"/>
        <v>1646.5905</v>
      </c>
      <c r="C253">
        <f si="43" t="shared"/>
        <v>32.201999999999998</v>
      </c>
      <c r="D253">
        <f si="43" t="shared"/>
        <v>2191.0479</v>
      </c>
      <c r="E253">
        <f si="43" t="shared"/>
        <v>496.8381</v>
      </c>
      <c r="F253">
        <f ref="F253:F258" si="45" t="shared">S253*$B$1</f>
        <v>22018.809600000001</v>
      </c>
      <c r="G253">
        <f ref="G253:G258" si="46" t="shared">T253*$B$1</f>
        <v>524.40599999999995</v>
      </c>
      <c r="H253">
        <f si="44" t="shared"/>
        <v>24289.807799999999</v>
      </c>
      <c r="I253">
        <f si="44" t="shared"/>
        <v>51199.7019</v>
      </c>
      <c r="N253" t="s">
        <v>211</v>
      </c>
      <c r="O253" s="104" t="n">
        <v>1646.5905</v>
      </c>
      <c r="P253" s="104" t="n">
        <v>32.202</v>
      </c>
      <c r="Q253" s="104" t="n">
        <v>2191.0479</v>
      </c>
      <c r="R253" s="104" t="n">
        <v>496.8381</v>
      </c>
      <c r="S253" s="104" t="n">
        <v>22018.8096</v>
      </c>
      <c r="T253" s="104" t="n">
        <v>524.406</v>
      </c>
      <c r="U253" s="104" t="n">
        <v>24289.8078</v>
      </c>
      <c r="V253" s="104">
        <f ref="V253:V258" si="47" t="shared">SUM(O253:U253)</f>
        <v>51199.7019</v>
      </c>
    </row>
    <row r="254" spans="1:22" x14ac:dyDescent="0.2">
      <c r="A254" t="s">
        <v>212</v>
      </c>
      <c r="B254">
        <f si="43" t="shared"/>
        <v>30462.906999999999</v>
      </c>
      <c r="C254">
        <f si="43" t="shared"/>
        <v>431.32029999999997</v>
      </c>
      <c r="D254">
        <f si="43" t="shared"/>
        <v>20026.817600000002</v>
      </c>
      <c r="E254">
        <f si="43" t="shared"/>
        <v>17693.594000000001</v>
      </c>
      <c r="F254">
        <f si="45" t="shared"/>
        <v>82251.821299999996</v>
      </c>
      <c r="G254">
        <f si="46" t="shared"/>
        <v>1801.1107</v>
      </c>
      <c r="H254">
        <f si="44" t="shared"/>
        <v>327307.30570000003</v>
      </c>
      <c r="I254">
        <f si="44" t="shared"/>
        <v>479974.87660000002</v>
      </c>
      <c r="N254" t="s">
        <v>212</v>
      </c>
      <c r="O254" s="104" t="n">
        <v>30462.907</v>
      </c>
      <c r="P254" s="104" t="n">
        <v>431.3203</v>
      </c>
      <c r="Q254" s="104" t="n">
        <v>20026.817600000002</v>
      </c>
      <c r="R254" s="104" t="n">
        <v>17693.594</v>
      </c>
      <c r="S254" s="104" t="n">
        <v>82251.8213</v>
      </c>
      <c r="T254" s="104" t="n">
        <v>1801.1107</v>
      </c>
      <c r="U254" s="104" t="n">
        <v>327307.3057</v>
      </c>
      <c r="V254" s="104">
        <f si="47" t="shared"/>
        <v>479974.87660000002</v>
      </c>
    </row>
    <row r="255" spans="1:22" x14ac:dyDescent="0.2">
      <c r="A255" t="s">
        <v>36</v>
      </c>
      <c r="B255">
        <f si="43" t="shared"/>
        <v>26310.457399999999</v>
      </c>
      <c r="C255">
        <f si="43" t="shared"/>
        <v>1648.1524999999999</v>
      </c>
      <c r="D255">
        <f si="43" t="shared"/>
        <v>24141.128799999999</v>
      </c>
      <c r="E255">
        <f si="43" t="shared"/>
        <v>21889.563099999999</v>
      </c>
      <c r="F255">
        <f si="45" t="shared"/>
        <v>157948.239</v>
      </c>
      <c r="G255">
        <f si="46" t="shared"/>
        <v>12457.092699999999</v>
      </c>
      <c r="H255">
        <f si="44" t="shared"/>
        <v>657340.94790000003</v>
      </c>
      <c r="I255">
        <f si="44" t="shared"/>
        <v>901735.58140000002</v>
      </c>
      <c r="N255" t="s">
        <v>36</v>
      </c>
      <c r="O255" s="104" t="n">
        <v>26310.4574</v>
      </c>
      <c r="P255" s="104" t="n">
        <v>1648.1525</v>
      </c>
      <c r="Q255" s="104" t="n">
        <v>24141.1288</v>
      </c>
      <c r="R255" s="104" t="n">
        <v>21889.5631</v>
      </c>
      <c r="S255" s="104" t="n">
        <v>157948.239</v>
      </c>
      <c r="T255" s="104" t="n">
        <v>12457.0927</v>
      </c>
      <c r="U255" s="104" t="n">
        <v>657340.9479</v>
      </c>
      <c r="V255" s="104">
        <f si="47" t="shared"/>
        <v>901735.58140000002</v>
      </c>
    </row>
    <row r="256" spans="1:22" x14ac:dyDescent="0.2">
      <c r="A256" t="s">
        <v>214</v>
      </c>
      <c r="B256">
        <f si="43" t="shared"/>
        <v>38577.354899999998</v>
      </c>
      <c r="C256">
        <f si="43" t="shared"/>
        <v>1723.5217</v>
      </c>
      <c r="D256">
        <f si="43" t="shared"/>
        <v>38740.460500000001</v>
      </c>
      <c r="E256">
        <f si="43" t="shared"/>
        <v>29042.2399</v>
      </c>
      <c r="F256">
        <f si="45" t="shared"/>
        <v>186320.94380000001</v>
      </c>
      <c r="G256">
        <f si="46" t="shared"/>
        <v>16772.111199999999</v>
      </c>
      <c r="H256">
        <f si="44" t="shared"/>
        <v>763378.80689999997</v>
      </c>
      <c r="I256">
        <f si="44" t="shared"/>
        <v>1074555.4389</v>
      </c>
      <c r="N256" t="s">
        <v>214</v>
      </c>
      <c r="O256" s="104" t="n">
        <v>38577.3549</v>
      </c>
      <c r="P256" s="104" t="n">
        <v>1723.5217</v>
      </c>
      <c r="Q256" s="104" t="n">
        <v>38740.4605</v>
      </c>
      <c r="R256" s="104" t="n">
        <v>29042.2399</v>
      </c>
      <c r="S256" s="104" t="n">
        <v>186320.9438</v>
      </c>
      <c r="T256" s="104" t="n">
        <v>16772.1112</v>
      </c>
      <c r="U256" s="104" t="n">
        <v>763378.8069</v>
      </c>
      <c r="V256" s="104">
        <f si="47" t="shared"/>
        <v>1074555.4389</v>
      </c>
    </row>
    <row r="257" spans="1:23" x14ac:dyDescent="0.2">
      <c r="A257" t="s">
        <v>129</v>
      </c>
      <c r="B257">
        <f si="43" t="shared"/>
        <v>15798.5699</v>
      </c>
      <c r="C257">
        <f si="43" t="shared"/>
        <v>931.07539999999995</v>
      </c>
      <c r="D257">
        <f si="43" t="shared"/>
        <v>9291.6589000000004</v>
      </c>
      <c r="E257">
        <f si="43" t="shared"/>
        <v>25828.3236</v>
      </c>
      <c r="F257">
        <f si="45" t="shared"/>
        <v>99797.627999999997</v>
      </c>
      <c r="G257">
        <f si="46" t="shared"/>
        <v>15433.157800000001</v>
      </c>
      <c r="H257">
        <f si="44" t="shared"/>
        <v>310204.23969999998</v>
      </c>
      <c r="I257">
        <f si="44" t="shared"/>
        <v>477284.65329999995</v>
      </c>
      <c r="N257" t="s">
        <v>129</v>
      </c>
      <c r="O257" s="104" t="n">
        <v>15798.5699</v>
      </c>
      <c r="P257" s="104" t="n">
        <v>931.0754</v>
      </c>
      <c r="Q257" s="104" t="n">
        <v>9291.6589</v>
      </c>
      <c r="R257" s="104" t="n">
        <v>25828.3236</v>
      </c>
      <c r="S257" s="104" t="n">
        <v>99797.628</v>
      </c>
      <c r="T257" s="104" t="n">
        <v>15433.1578</v>
      </c>
      <c r="U257" s="104" t="n">
        <v>310204.2397</v>
      </c>
      <c r="V257" s="104">
        <f si="47" t="shared"/>
        <v>477284.65329999995</v>
      </c>
    </row>
    <row r="258" spans="1:23" x14ac:dyDescent="0.2">
      <c r="A258" t="s">
        <v>130</v>
      </c>
      <c r="B258">
        <f si="43" t="shared"/>
        <v>21874.137500000001</v>
      </c>
      <c r="C258">
        <f si="43" t="shared"/>
        <v>394.45179999999999</v>
      </c>
      <c r="D258">
        <f si="43" t="shared"/>
        <v>12859.3099</v>
      </c>
      <c r="E258">
        <f si="43" t="shared"/>
        <v>26672.872100000001</v>
      </c>
      <c r="F258">
        <f si="45" t="shared"/>
        <v>114111.53170000001</v>
      </c>
      <c r="G258">
        <f si="46" t="shared"/>
        <v>8336.0727999999999</v>
      </c>
      <c r="H258">
        <f si="44" t="shared"/>
        <v>311028.99810000003</v>
      </c>
      <c r="I258">
        <f si="44" t="shared"/>
        <v>495277.37390000001</v>
      </c>
      <c r="N258" t="s">
        <v>130</v>
      </c>
      <c r="O258" s="104" t="n">
        <v>21874.1375</v>
      </c>
      <c r="P258" s="104" t="n">
        <v>394.4518</v>
      </c>
      <c r="Q258" s="104" t="n">
        <v>12859.3099</v>
      </c>
      <c r="R258" s="104" t="n">
        <v>26672.8721</v>
      </c>
      <c r="S258" s="104" t="n">
        <v>114111.5317</v>
      </c>
      <c r="T258" s="104" t="n">
        <v>8336.0728</v>
      </c>
      <c r="U258" s="104" t="n">
        <v>311028.9981</v>
      </c>
      <c r="V258" s="104">
        <f si="47" t="shared"/>
        <v>495277.37390000001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210</v>
      </c>
      <c r="B262">
        <f ref="B262:J269" si="48" t="shared">O262*$B$1</f>
        <v>1882637.104251564</v>
      </c>
      <c r="C262">
        <f si="48" t="shared"/>
        <v>234494.7700699605</v>
      </c>
      <c r="D262">
        <f si="48" t="shared"/>
        <v>21819.047668798099</v>
      </c>
      <c r="E262">
        <f si="48" t="shared"/>
        <v>49778.948362793402</v>
      </c>
      <c r="F262">
        <f si="48" t="shared"/>
        <v>103237.59271916401</v>
      </c>
      <c r="G262">
        <f si="48" t="shared"/>
        <v>3454.995375</v>
      </c>
      <c r="H262">
        <f si="48" t="shared"/>
        <v>1912.5762499999998</v>
      </c>
      <c r="I262">
        <f si="48" t="shared"/>
        <v>916.36924999999997</v>
      </c>
      <c r="J262">
        <f si="48" t="shared"/>
        <v>2298251.4039472798</v>
      </c>
      <c r="N262" t="s">
        <v>210</v>
      </c>
      <c r="O262" t="n">
        <v>1882637.104251564</v>
      </c>
      <c r="P262" t="n">
        <v>234494.7700699605</v>
      </c>
      <c r="Q262" t="n">
        <v>21819.0476687981</v>
      </c>
      <c r="R262" t="n">
        <v>49778.9483627934</v>
      </c>
      <c r="S262" t="n">
        <v>103237.59271916401</v>
      </c>
      <c r="T262" t="n">
        <v>3454.995375</v>
      </c>
      <c r="U262" t="n">
        <v>1912.5762499999998</v>
      </c>
      <c r="V262" t="n">
        <v>916.36925</v>
      </c>
      <c r="W262">
        <f>SUM(O262:V262)</f>
        <v>2298251.4039472798</v>
      </c>
    </row>
    <row r="263" spans="1:23" x14ac:dyDescent="0.2">
      <c r="A263" t="s">
        <v>211</v>
      </c>
      <c r="B263">
        <f si="48" t="shared"/>
        <v>13216.3521083552</v>
      </c>
      <c r="C263">
        <f si="48" t="shared"/>
        <v>52646.016471054303</v>
      </c>
      <c r="D263">
        <f si="48" t="shared"/>
        <v>1402.1807139949999</v>
      </c>
      <c r="E263">
        <f si="48" t="shared"/>
        <v>77386.515796188294</v>
      </c>
      <c r="F263">
        <f si="48" t="shared"/>
        <v>68188.028325767096</v>
      </c>
      <c r="G263">
        <f si="48" t="shared"/>
        <v>80074.881124580003</v>
      </c>
      <c r="H263">
        <f si="48" t="shared"/>
        <v>518281.29412500001</v>
      </c>
      <c r="I263">
        <f si="48" t="shared"/>
        <v>63797.081124999997</v>
      </c>
      <c r="J263">
        <f si="48" t="shared"/>
        <v>874992.34978993994</v>
      </c>
      <c r="N263" t="s">
        <v>211</v>
      </c>
      <c r="O263" t="n">
        <v>13216.3521083552</v>
      </c>
      <c r="P263" t="n">
        <v>52646.0164710543</v>
      </c>
      <c r="Q263" t="n">
        <v>1402.180713995</v>
      </c>
      <c r="R263" t="n">
        <v>77386.5157961883</v>
      </c>
      <c r="S263" t="n">
        <v>68188.0283257671</v>
      </c>
      <c r="T263" t="n">
        <v>80074.88112458</v>
      </c>
      <c r="U263" t="n">
        <v>518281.294125</v>
      </c>
      <c r="V263" t="n">
        <v>63797.081125</v>
      </c>
      <c r="W263">
        <f ref="W263:W269" si="49" t="shared">SUM(O263:V263)</f>
        <v>874992.34978993994</v>
      </c>
    </row>
    <row r="264" spans="1:23" x14ac:dyDescent="0.2">
      <c r="A264" t="s">
        <v>212</v>
      </c>
      <c r="B264">
        <f si="48" t="shared"/>
        <v>492148.23910684302</v>
      </c>
      <c r="C264">
        <f si="48" t="shared"/>
        <v>157793.97888876311</v>
      </c>
      <c r="D264">
        <f si="48" t="shared"/>
        <v>74447.560782668093</v>
      </c>
      <c r="E264">
        <f si="48" t="shared"/>
        <v>300731.38909281947</v>
      </c>
      <c r="F264">
        <f si="48" t="shared"/>
        <v>28975.10060862</v>
      </c>
      <c r="G264">
        <f si="48" t="shared"/>
        <v>11968.84604696</v>
      </c>
      <c r="H264">
        <f si="48" t="shared"/>
        <v>92331.105750000002</v>
      </c>
      <c r="I264">
        <f si="48" t="shared"/>
        <v>87413.192999999999</v>
      </c>
      <c r="J264">
        <f ref="J264:J269" si="50" t="shared">W264*$B$1</f>
        <v>1245809.4132766738</v>
      </c>
      <c r="N264" t="s">
        <v>212</v>
      </c>
      <c r="O264" t="n">
        <v>492148.239106843</v>
      </c>
      <c r="P264" t="n">
        <v>157793.97888876311</v>
      </c>
      <c r="Q264" t="n">
        <v>74447.5607826681</v>
      </c>
      <c r="R264" t="n">
        <v>300731.3890928195</v>
      </c>
      <c r="S264" t="n">
        <v>28975.10060862</v>
      </c>
      <c r="T264" t="n">
        <v>11968.84604696</v>
      </c>
      <c r="U264" t="n">
        <v>92331.10575</v>
      </c>
      <c r="V264" t="n">
        <v>87413.193</v>
      </c>
      <c r="W264">
        <f si="49" t="shared"/>
        <v>1245809.4132766738</v>
      </c>
    </row>
    <row r="265" spans="1:23" x14ac:dyDescent="0.2">
      <c r="A265" t="s">
        <v>36</v>
      </c>
      <c r="B265">
        <f si="48" t="shared"/>
        <v>503090.24165628297</v>
      </c>
      <c r="C265">
        <f si="48" t="shared"/>
        <v>203956.1181323682</v>
      </c>
      <c r="D265">
        <f si="48" t="shared"/>
        <v>336872.84540896118</v>
      </c>
      <c r="E265">
        <f si="48" t="shared"/>
        <v>417831.0454963611</v>
      </c>
      <c r="F265">
        <f si="48" t="shared"/>
        <v>57633.854780504204</v>
      </c>
      <c r="G265">
        <f si="48" t="shared"/>
        <v>15952.134375</v>
      </c>
      <c r="H265">
        <f si="48" t="shared"/>
        <v>161805.522375</v>
      </c>
      <c r="I265">
        <f si="48" t="shared"/>
        <v>149084.45225</v>
      </c>
      <c r="J265">
        <f si="50" t="shared"/>
        <v>1846226.2144744776</v>
      </c>
      <c r="N265" t="s">
        <v>36</v>
      </c>
      <c r="O265" t="n">
        <v>503090.241656283</v>
      </c>
      <c r="P265" t="n">
        <v>203956.1181323682</v>
      </c>
      <c r="Q265" t="n">
        <v>336872.8454089612</v>
      </c>
      <c r="R265" t="n">
        <v>417831.0454963611</v>
      </c>
      <c r="S265" t="n">
        <v>57633.8547805042</v>
      </c>
      <c r="T265" t="n">
        <v>15952.134375</v>
      </c>
      <c r="U265" t="n">
        <v>161805.522375</v>
      </c>
      <c r="V265" t="n">
        <v>149084.45225</v>
      </c>
      <c r="W265">
        <f si="49" t="shared"/>
        <v>1846226.2144744776</v>
      </c>
    </row>
    <row r="266" spans="1:23" x14ac:dyDescent="0.2">
      <c r="A266" t="s">
        <v>214</v>
      </c>
      <c r="B266">
        <f si="48" t="shared"/>
        <v>633307.49862378545</v>
      </c>
      <c r="C266">
        <f si="48" t="shared"/>
        <v>236707.7546520952</v>
      </c>
      <c r="D266">
        <f si="48" t="shared"/>
        <v>336041.82314902107</v>
      </c>
      <c r="E266">
        <f si="48" t="shared"/>
        <v>490310.14628425823</v>
      </c>
      <c r="F266">
        <f si="48" t="shared"/>
        <v>72874.106651743597</v>
      </c>
      <c r="G266">
        <f si="48" t="shared"/>
        <v>6758.9533223939998</v>
      </c>
      <c r="H266">
        <f si="48" t="shared"/>
        <v>107380.84387500001</v>
      </c>
      <c r="I266">
        <f si="48" t="shared"/>
        <v>158763.24849999999</v>
      </c>
      <c r="J266">
        <f si="50" t="shared"/>
        <v>2042144.3750582975</v>
      </c>
      <c r="N266" t="s">
        <v>214</v>
      </c>
      <c r="O266" t="n">
        <v>633307.4986237854</v>
      </c>
      <c r="P266" t="n">
        <v>236707.7546520952</v>
      </c>
      <c r="Q266" t="n">
        <v>336041.8231490211</v>
      </c>
      <c r="R266" t="n">
        <v>490310.1462842582</v>
      </c>
      <c r="S266" t="n">
        <v>72874.1066517436</v>
      </c>
      <c r="T266" t="n">
        <v>6758.953322394</v>
      </c>
      <c r="U266" t="n">
        <v>107380.843875</v>
      </c>
      <c r="V266" t="n">
        <v>158763.2485</v>
      </c>
      <c r="W266">
        <f si="49" t="shared"/>
        <v>2042144.3750582975</v>
      </c>
    </row>
    <row r="267" spans="1:23" x14ac:dyDescent="0.2">
      <c r="A267" t="s">
        <v>129</v>
      </c>
      <c r="B267">
        <f si="48" t="shared"/>
        <v>367084.79000479722</v>
      </c>
      <c r="C267">
        <f si="48" t="shared"/>
        <v>83181.423740284605</v>
      </c>
      <c r="D267">
        <f si="48" t="shared"/>
        <v>99173.737299580796</v>
      </c>
      <c r="E267">
        <f si="48" t="shared"/>
        <v>162143.82640126671</v>
      </c>
      <c r="F267">
        <f si="48" t="shared"/>
        <v>33916.577703929797</v>
      </c>
      <c r="G267">
        <f si="48" t="shared"/>
        <v>6877.0407500000001</v>
      </c>
      <c r="H267">
        <f si="48" t="shared"/>
        <v>43252.367250000003</v>
      </c>
      <c r="I267">
        <f si="48" t="shared"/>
        <v>32475.251875000002</v>
      </c>
      <c r="J267">
        <f si="50" t="shared"/>
        <v>828105.01502485911</v>
      </c>
      <c r="N267" t="s">
        <v>129</v>
      </c>
      <c r="O267" t="n">
        <v>367084.7900047972</v>
      </c>
      <c r="P267" t="n">
        <v>83181.4237402846</v>
      </c>
      <c r="Q267" t="n">
        <v>99173.7372995808</v>
      </c>
      <c r="R267" t="n">
        <v>162143.8264012667</v>
      </c>
      <c r="S267" t="n">
        <v>33916.5777039298</v>
      </c>
      <c r="T267" t="n">
        <v>6877.04075</v>
      </c>
      <c r="U267" t="n">
        <v>43252.36725</v>
      </c>
      <c r="V267" t="n">
        <v>32475.251875</v>
      </c>
      <c r="W267">
        <f si="49" t="shared"/>
        <v>828105.01502485911</v>
      </c>
    </row>
    <row r="268" spans="1:23" x14ac:dyDescent="0.2">
      <c r="A268" t="s">
        <v>130</v>
      </c>
      <c r="B268">
        <f si="48" t="shared"/>
        <v>537293.30976057926</v>
      </c>
      <c r="C268">
        <f si="48" t="shared"/>
        <v>179404.36812362741</v>
      </c>
      <c r="D268">
        <f si="48" t="shared"/>
        <v>202815.14805023739</v>
      </c>
      <c r="E268">
        <f si="48" t="shared"/>
        <v>379141.66976063087</v>
      </c>
      <c r="F268">
        <f si="48" t="shared"/>
        <v>46320.502170605199</v>
      </c>
      <c r="G268">
        <f si="48" t="shared"/>
        <v>21616.844269657999</v>
      </c>
      <c r="H268">
        <f si="48" t="shared"/>
        <v>208062.59575000001</v>
      </c>
      <c r="I268">
        <f si="48" t="shared"/>
        <v>141492.62787500001</v>
      </c>
      <c r="J268">
        <f si="50" t="shared"/>
        <v>1716147.0657603382</v>
      </c>
      <c r="N268" t="s">
        <v>130</v>
      </c>
      <c r="O268" t="n">
        <v>537293.3097605793</v>
      </c>
      <c r="P268" t="n">
        <v>179404.3681236274</v>
      </c>
      <c r="Q268" t="n">
        <v>202815.1480502374</v>
      </c>
      <c r="R268" t="n">
        <v>379141.6697606309</v>
      </c>
      <c r="S268" t="n">
        <v>46320.5021706052</v>
      </c>
      <c r="T268" t="n">
        <v>21616.844269658</v>
      </c>
      <c r="U268" t="n">
        <v>208062.59575</v>
      </c>
      <c r="V268" t="n">
        <v>141492.627875</v>
      </c>
      <c r="W268">
        <f si="49" t="shared"/>
        <v>1716147.0657603382</v>
      </c>
    </row>
    <row r="269" spans="1:23" x14ac:dyDescent="0.2">
      <c r="A269" t="s">
        <v>145</v>
      </c>
      <c r="B269">
        <f si="48" t="shared"/>
        <v>2252239.1619469607</v>
      </c>
      <c r="C269">
        <f si="48" t="shared"/>
        <v>615198.59191001416</v>
      </c>
      <c r="D269">
        <f si="48" t="shared"/>
        <v>547643.30129612843</v>
      </c>
      <c r="E269">
        <f si="48" t="shared"/>
        <v>1050057.9685095558</v>
      </c>
      <c r="F269">
        <f si="48" t="shared"/>
        <v>190437.4047858167</v>
      </c>
      <c r="G269">
        <f si="48" t="shared"/>
        <v>108113.223138592</v>
      </c>
      <c r="H269">
        <f si="48" t="shared"/>
        <v>770215.05237499997</v>
      </c>
      <c r="I269">
        <f si="48" t="shared"/>
        <v>363863.49162500002</v>
      </c>
      <c r="J269">
        <f si="50" t="shared"/>
        <v>5897768.1955870669</v>
      </c>
      <c r="N269" t="s">
        <v>145</v>
      </c>
      <c r="O269" t="n">
        <v>2252239.1619469607</v>
      </c>
      <c r="P269" t="n">
        <v>615198.5919100142</v>
      </c>
      <c r="Q269" t="n">
        <v>547643.3012961284</v>
      </c>
      <c r="R269" t="n">
        <v>1050057.9685095558</v>
      </c>
      <c r="S269" t="n">
        <v>190437.4047858167</v>
      </c>
      <c r="T269" t="n">
        <v>108113.223138592</v>
      </c>
      <c r="U269" t="n">
        <v>770215.052375</v>
      </c>
      <c r="V269" t="n">
        <v>363863.491625</v>
      </c>
      <c r="W269">
        <f si="49" t="shared"/>
        <v>5897768.1955870669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2">
      <c r="A273" t="s">
        <v>210</v>
      </c>
      <c r="B273">
        <f ref="B273:F280" si="51" t="shared">O273*$B$1</f>
        <v>28498.140899397498</v>
      </c>
      <c r="C273">
        <f si="51" t="shared"/>
        <v>496824.41104277677</v>
      </c>
      <c r="D273">
        <f si="51" t="shared"/>
        <v>370052.8882844511</v>
      </c>
      <c r="E273">
        <f si="51" t="shared"/>
        <v>1253633.2342763571</v>
      </c>
      <c r="F273">
        <f si="51" t="shared"/>
        <v>2149008.6745029828</v>
      </c>
      <c r="N273" t="s">
        <v>210</v>
      </c>
      <c r="O273" t="n">
        <v>28498.1408993975</v>
      </c>
      <c r="P273" t="n">
        <v>496824.4110427768</v>
      </c>
      <c r="Q273" t="n">
        <v>370052.8882844511</v>
      </c>
      <c r="R273" t="n">
        <v>1253633.234276357</v>
      </c>
      <c r="S273">
        <f>SUM(O273:R273)</f>
        <v>2149008.6745029828</v>
      </c>
    </row>
    <row r="274" spans="1:19" x14ac:dyDescent="0.2">
      <c r="A274" t="s">
        <v>211</v>
      </c>
      <c r="B274">
        <f si="51" t="shared"/>
        <v>36101.037549612003</v>
      </c>
      <c r="C274">
        <f si="51" t="shared"/>
        <v>139183.93195783929</v>
      </c>
      <c r="D274">
        <f si="51" t="shared"/>
        <v>107872.9074486196</v>
      </c>
      <c r="E274">
        <f si="51" t="shared"/>
        <v>501397.80388968613</v>
      </c>
      <c r="F274">
        <f si="51" t="shared"/>
        <v>784555.68084575702</v>
      </c>
      <c r="N274" t="s">
        <v>211</v>
      </c>
      <c r="O274" t="n">
        <v>36101.037549612</v>
      </c>
      <c r="P274" t="n">
        <v>139183.9319578393</v>
      </c>
      <c r="Q274" t="n">
        <v>107872.9074486196</v>
      </c>
      <c r="R274" t="n">
        <v>501397.8038896861</v>
      </c>
      <c r="S274">
        <f ref="S274:S280" si="52" t="shared">SUM(O274:R274)</f>
        <v>784555.68084575702</v>
      </c>
    </row>
    <row r="275" spans="1:19" x14ac:dyDescent="0.2">
      <c r="A275" t="s">
        <v>212</v>
      </c>
      <c r="B275">
        <f si="51" t="shared"/>
        <v>24724.241933775</v>
      </c>
      <c r="C275">
        <f si="51" t="shared"/>
        <v>210454.6635120245</v>
      </c>
      <c r="D275">
        <f si="51" t="shared"/>
        <v>176418.47065998861</v>
      </c>
      <c r="E275">
        <f si="51" t="shared"/>
        <v>749186.73234488163</v>
      </c>
      <c r="F275">
        <f si="51" t="shared"/>
        <v>1160784.1084506698</v>
      </c>
      <c r="N275" t="s">
        <v>212</v>
      </c>
      <c r="O275" t="n">
        <v>24724.241933775</v>
      </c>
      <c r="P275" t="n">
        <v>210454.6635120245</v>
      </c>
      <c r="Q275" t="n">
        <v>176418.4706599886</v>
      </c>
      <c r="R275" t="n">
        <v>749186.7323448816</v>
      </c>
      <c r="S275">
        <f si="52" t="shared"/>
        <v>1160784.1084506698</v>
      </c>
    </row>
    <row r="276" spans="1:19" x14ac:dyDescent="0.2">
      <c r="A276" t="s">
        <v>36</v>
      </c>
      <c r="B276">
        <f si="51" t="shared"/>
        <v>81949.709491690999</v>
      </c>
      <c r="C276">
        <f si="51" t="shared"/>
        <v>558241.23235357867</v>
      </c>
      <c r="D276">
        <f si="51" t="shared"/>
        <v>283588.22591676551</v>
      </c>
      <c r="E276">
        <f si="51" t="shared"/>
        <v>725060.09350684483</v>
      </c>
      <c r="F276">
        <f si="51" t="shared"/>
        <v>1648839.26126888</v>
      </c>
      <c r="N276" t="s">
        <v>36</v>
      </c>
      <c r="O276" t="n">
        <v>81949.709491691</v>
      </c>
      <c r="P276" t="n">
        <v>558241.2323535787</v>
      </c>
      <c r="Q276" t="n">
        <v>283588.2259167655</v>
      </c>
      <c r="R276" t="n">
        <v>725060.0935068448</v>
      </c>
      <c r="S276">
        <f si="52" t="shared"/>
        <v>1648839.26126888</v>
      </c>
    </row>
    <row r="277" spans="1:19" x14ac:dyDescent="0.2">
      <c r="A277" t="s">
        <v>214</v>
      </c>
      <c r="B277">
        <f si="51" t="shared"/>
        <v>96008.829298845696</v>
      </c>
      <c r="C277">
        <f si="51" t="shared"/>
        <v>621796.902857512</v>
      </c>
      <c r="D277">
        <f si="51" t="shared"/>
        <v>311175.03560368973</v>
      </c>
      <c r="E277">
        <f si="51" t="shared"/>
        <v>830860.56803235144</v>
      </c>
      <c r="F277">
        <f si="51" t="shared"/>
        <v>1859841.335792399</v>
      </c>
      <c r="N277" t="s">
        <v>214</v>
      </c>
      <c r="O277" t="n">
        <v>96008.8292988457</v>
      </c>
      <c r="P277" t="n">
        <v>621796.902857512</v>
      </c>
      <c r="Q277" t="n">
        <v>311175.0356036897</v>
      </c>
      <c r="R277" t="n">
        <v>830860.5680323514</v>
      </c>
      <c r="S277">
        <f si="52" t="shared"/>
        <v>1859841.335792399</v>
      </c>
    </row>
    <row r="278" spans="1:19" x14ac:dyDescent="0.2">
      <c r="A278" t="s">
        <v>129</v>
      </c>
      <c r="B278">
        <f si="51" t="shared"/>
        <v>33921.859150095697</v>
      </c>
      <c r="C278">
        <f si="51" t="shared"/>
        <v>198841.45258059521</v>
      </c>
      <c r="D278">
        <f si="51" t="shared"/>
        <v>142289.7327638336</v>
      </c>
      <c r="E278">
        <f si="51" t="shared"/>
        <v>392495.01564504579</v>
      </c>
      <c r="F278">
        <f si="51" t="shared"/>
        <v>767548.06013957027</v>
      </c>
      <c r="N278" t="s">
        <v>129</v>
      </c>
      <c r="O278" t="n">
        <v>33921.8591500957</v>
      </c>
      <c r="P278" t="n">
        <v>198841.4525805952</v>
      </c>
      <c r="Q278" t="n">
        <v>142289.7327638336</v>
      </c>
      <c r="R278" t="n">
        <v>392495.0156450458</v>
      </c>
      <c r="S278">
        <f si="52" t="shared"/>
        <v>767548.06013957027</v>
      </c>
    </row>
    <row r="279" spans="1:19" x14ac:dyDescent="0.2">
      <c r="A279" t="s">
        <v>130</v>
      </c>
      <c r="B279">
        <f si="51" t="shared"/>
        <v>47863.087056686796</v>
      </c>
      <c r="C279">
        <f si="51" t="shared"/>
        <v>337941.29553768778</v>
      </c>
      <c r="D279">
        <f si="51" t="shared"/>
        <v>316277.87750156928</v>
      </c>
      <c r="E279">
        <f si="51" t="shared"/>
        <v>871004.25252380385</v>
      </c>
      <c r="F279">
        <f si="51" t="shared"/>
        <v>1573086.5126197478</v>
      </c>
      <c r="N279" t="s">
        <v>130</v>
      </c>
      <c r="O279" t="n">
        <v>47863.087056686796</v>
      </c>
      <c r="P279" t="n">
        <v>337941.2955376878</v>
      </c>
      <c r="Q279" t="n">
        <v>316277.8775015693</v>
      </c>
      <c r="R279" t="n">
        <v>871004.2525238039</v>
      </c>
      <c r="S279">
        <f si="52" t="shared"/>
        <v>1573086.5126197478</v>
      </c>
    </row>
    <row r="280" spans="1:19" x14ac:dyDescent="0.2">
      <c r="A280" t="s">
        <v>145</v>
      </c>
      <c r="B280">
        <f si="51" t="shared"/>
        <v>186268.83885934309</v>
      </c>
      <c r="C280">
        <f si="51" t="shared"/>
        <v>1299712.6931240482</v>
      </c>
      <c r="D280">
        <f si="51" t="shared"/>
        <v>964979.23858593171</v>
      </c>
      <c r="E280">
        <f si="51" t="shared"/>
        <v>2986691.0302768489</v>
      </c>
      <c r="F280">
        <f si="51" t="shared"/>
        <v>5437651.8008461725</v>
      </c>
      <c r="N280" t="s">
        <v>145</v>
      </c>
      <c r="O280" t="n">
        <v>186268.8388593431</v>
      </c>
      <c r="P280" t="n">
        <v>1299712.6931240482</v>
      </c>
      <c r="Q280" t="n">
        <v>964979.2385859317</v>
      </c>
      <c r="R280" t="n">
        <v>2986691.030276849</v>
      </c>
      <c r="S280">
        <f si="52" t="shared"/>
        <v>5437651.8008461725</v>
      </c>
    </row>
    <row r="282" spans="1:19" x14ac:dyDescent="0.2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2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2">
      <c r="A284" t="s">
        <v>210</v>
      </c>
      <c r="B284">
        <f ref="B284:F291" si="53" t="shared">O284*$B$1</f>
        <v>80264.433645508107</v>
      </c>
      <c r="C284">
        <f si="53" t="shared"/>
        <v>501596.21011665161</v>
      </c>
      <c r="D284">
        <f si="53" t="shared"/>
        <v>1248260.4089752845</v>
      </c>
      <c r="E284">
        <f si="53" t="shared"/>
        <v>468130.35120983562</v>
      </c>
      <c r="F284">
        <f si="53" t="shared"/>
        <v>2298251.4039472798</v>
      </c>
      <c r="N284" t="s">
        <v>210</v>
      </c>
      <c r="O284" t="n">
        <v>80264.4336455081</v>
      </c>
      <c r="P284" t="n">
        <v>501596.2101166516</v>
      </c>
      <c r="Q284" t="n">
        <v>1248260.4089752845</v>
      </c>
      <c r="R284" t="n">
        <v>468130.3512098356</v>
      </c>
      <c r="S284">
        <f>SUM(O284:R284)</f>
        <v>2298251.4039472798</v>
      </c>
    </row>
    <row r="285" spans="1:19" x14ac:dyDescent="0.2">
      <c r="A285" t="s">
        <v>211</v>
      </c>
      <c r="B285">
        <f si="53" t="shared"/>
        <v>43818.857477205202</v>
      </c>
      <c r="C285">
        <f si="53" t="shared"/>
        <v>207413.5868679155</v>
      </c>
      <c r="D285">
        <f si="53" t="shared"/>
        <v>461098.36786125822</v>
      </c>
      <c r="E285">
        <f si="53" t="shared"/>
        <v>162661.537583561</v>
      </c>
      <c r="F285">
        <f si="53" t="shared"/>
        <v>874992.34978993994</v>
      </c>
      <c r="N285" t="s">
        <v>211</v>
      </c>
      <c r="O285" t="n">
        <v>43818.8574772052</v>
      </c>
      <c r="P285" t="n">
        <v>207413.5868679155</v>
      </c>
      <c r="Q285" t="n">
        <v>461098.3678612582</v>
      </c>
      <c r="R285" t="n">
        <v>162661.537583561</v>
      </c>
      <c r="S285">
        <f ref="S285:S291" si="54" t="shared">SUM(O285:R285)</f>
        <v>874992.34978993994</v>
      </c>
    </row>
    <row r="286" spans="1:19" x14ac:dyDescent="0.2">
      <c r="A286" t="s">
        <v>212</v>
      </c>
      <c r="B286">
        <f si="53" t="shared"/>
        <v>4474.8467739469997</v>
      </c>
      <c r="C286">
        <f si="53" t="shared"/>
        <v>297184.48398886871</v>
      </c>
      <c r="D286">
        <f si="53" t="shared"/>
        <v>756714.98131501593</v>
      </c>
      <c r="E286">
        <f si="53" t="shared"/>
        <v>187435.10119884211</v>
      </c>
      <c r="F286">
        <f si="53" t="shared"/>
        <v>1245809.4132766738</v>
      </c>
      <c r="N286" t="s">
        <v>212</v>
      </c>
      <c r="O286" t="n">
        <v>4474.846773947</v>
      </c>
      <c r="P286" t="n">
        <v>297184.4839888687</v>
      </c>
      <c r="Q286" t="n">
        <v>756714.9813150159</v>
      </c>
      <c r="R286" t="n">
        <v>187435.1011988421</v>
      </c>
      <c r="S286">
        <f si="54" t="shared"/>
        <v>1245809.4132766738</v>
      </c>
    </row>
    <row r="287" spans="1:19" x14ac:dyDescent="0.2">
      <c r="A287" t="s">
        <v>36</v>
      </c>
      <c r="B287">
        <f si="53" t="shared"/>
        <v>97623.201890102297</v>
      </c>
      <c r="C287">
        <f si="53" t="shared"/>
        <v>389660.59053870908</v>
      </c>
      <c r="D287">
        <f si="53" t="shared"/>
        <v>1010176.9386890318</v>
      </c>
      <c r="E287">
        <f si="53" t="shared"/>
        <v>348765.48335663462</v>
      </c>
      <c r="F287">
        <f si="53" t="shared"/>
        <v>1846226.2144744778</v>
      </c>
      <c r="N287" t="s">
        <v>36</v>
      </c>
      <c r="O287" t="n">
        <v>97623.2018901023</v>
      </c>
      <c r="P287" t="n">
        <v>389660.5905387091</v>
      </c>
      <c r="Q287" t="n">
        <v>1010176.9386890318</v>
      </c>
      <c r="R287" t="n">
        <v>348765.4833566346</v>
      </c>
      <c r="S287">
        <f si="54" t="shared"/>
        <v>1846226.2144744778</v>
      </c>
    </row>
    <row r="288" spans="1:19" x14ac:dyDescent="0.2">
      <c r="A288" t="s">
        <v>214</v>
      </c>
      <c r="B288">
        <f si="53" t="shared"/>
        <v>139524.45564470999</v>
      </c>
      <c r="C288">
        <f si="53" t="shared"/>
        <v>449224.41085105308</v>
      </c>
      <c r="D288">
        <f si="53" t="shared"/>
        <v>1097551.4490860666</v>
      </c>
      <c r="E288">
        <f si="53" t="shared"/>
        <v>355844.0594764679</v>
      </c>
      <c r="F288">
        <f si="53" t="shared"/>
        <v>2042144.3750582975</v>
      </c>
      <c r="N288" t="s">
        <v>214</v>
      </c>
      <c r="O288" t="n">
        <v>139524.45564471</v>
      </c>
      <c r="P288" t="n">
        <v>449224.4108510531</v>
      </c>
      <c r="Q288" t="n">
        <v>1097551.4490860666</v>
      </c>
      <c r="R288" t="n">
        <v>355844.0594764679</v>
      </c>
      <c r="S288">
        <f si="54" t="shared"/>
        <v>2042144.3750582975</v>
      </c>
    </row>
    <row r="289" spans="1:22" x14ac:dyDescent="0.2">
      <c r="A289" t="s">
        <v>129</v>
      </c>
      <c r="B289">
        <f si="53" t="shared"/>
        <v>63273.131287787197</v>
      </c>
      <c r="C289">
        <f si="53" t="shared"/>
        <v>208456.54522700951</v>
      </c>
      <c r="D289">
        <f si="53" t="shared"/>
        <v>425136.33803920599</v>
      </c>
      <c r="E289">
        <f si="53" t="shared"/>
        <v>131239.00047085641</v>
      </c>
      <c r="F289">
        <f si="53" t="shared"/>
        <v>828105.01502485911</v>
      </c>
      <c r="N289" t="s">
        <v>129</v>
      </c>
      <c r="O289" t="n">
        <v>63273.1312877872</v>
      </c>
      <c r="P289" t="n">
        <v>208456.5452270095</v>
      </c>
      <c r="Q289" t="n">
        <v>425136.338039206</v>
      </c>
      <c r="R289" t="n">
        <v>131239.0004708564</v>
      </c>
      <c r="S289">
        <f si="54" t="shared"/>
        <v>828105.01502485911</v>
      </c>
    </row>
    <row r="290" spans="1:22" x14ac:dyDescent="0.2">
      <c r="A290" t="s">
        <v>130</v>
      </c>
      <c r="B290">
        <f si="53" t="shared"/>
        <v>56409.451373268799</v>
      </c>
      <c r="C290">
        <f si="53" t="shared"/>
        <v>337075.60147807101</v>
      </c>
      <c r="D290">
        <f si="53" t="shared"/>
        <v>1061533.1201933629</v>
      </c>
      <c r="E290">
        <f si="53" t="shared"/>
        <v>261128.89271563551</v>
      </c>
      <c r="F290">
        <f si="53" t="shared"/>
        <v>1716147.0657603382</v>
      </c>
      <c r="N290" t="s">
        <v>130</v>
      </c>
      <c r="O290" t="n">
        <v>56409.4513732688</v>
      </c>
      <c r="P290" t="n">
        <v>337075.601478071</v>
      </c>
      <c r="Q290" t="n">
        <v>1061533.120193363</v>
      </c>
      <c r="R290" t="n">
        <v>261128.8927156355</v>
      </c>
      <c r="S290">
        <f si="54" t="shared"/>
        <v>1716147.0657603382</v>
      </c>
    </row>
    <row r="291" spans="1:22" x14ac:dyDescent="0.2">
      <c r="A291" t="s">
        <v>145</v>
      </c>
      <c r="B291">
        <f si="53" t="shared"/>
        <v>264158.0049878119</v>
      </c>
      <c r="C291">
        <f si="53" t="shared"/>
        <v>1352280.7709092938</v>
      </c>
      <c r="D291">
        <f si="53" t="shared"/>
        <v>3204483.4941770295</v>
      </c>
      <c r="E291">
        <f si="53" t="shared"/>
        <v>1076845.9255129325</v>
      </c>
      <c r="F291">
        <f si="53" t="shared"/>
        <v>5897768.1955870669</v>
      </c>
      <c r="N291" t="s">
        <v>145</v>
      </c>
      <c r="O291" t="n">
        <v>264158.0049878119</v>
      </c>
      <c r="P291" t="n">
        <v>1352280.7709092938</v>
      </c>
      <c r="Q291" t="n">
        <v>3204483.4941770295</v>
      </c>
      <c r="R291" t="n">
        <v>1076845.9255129325</v>
      </c>
      <c r="S291">
        <f si="54" t="shared"/>
        <v>5897768.1955870669</v>
      </c>
    </row>
    <row r="293" spans="1:22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2">
      <c r="A294" t="s">
        <v>44</v>
      </c>
      <c r="B294" t="s">
        <v>3919</v>
      </c>
      <c r="C294" t="s">
        <v>3920</v>
      </c>
      <c r="D294" t="s">
        <v>3921</v>
      </c>
      <c r="E294" t="s">
        <v>3922</v>
      </c>
      <c r="F294" t="s">
        <v>1522</v>
      </c>
      <c r="G294" t="s">
        <v>3923</v>
      </c>
      <c r="H294" t="s">
        <v>3924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2">
      <c r="A295" t="s">
        <v>210</v>
      </c>
      <c r="B295">
        <f ref="B295:F302" si="55" t="shared">O295*$B$1</f>
        <v>106929.0849276715</v>
      </c>
      <c r="C295">
        <f si="55" t="shared"/>
        <v>24754.6926149272</v>
      </c>
      <c r="D295">
        <f si="55" t="shared"/>
        <v>86448.595542202107</v>
      </c>
      <c r="E295">
        <f si="55" t="shared"/>
        <v>72172.644143710306</v>
      </c>
      <c r="F295">
        <f si="55" t="shared"/>
        <v>536928.68142426875</v>
      </c>
      <c r="G295">
        <f ref="G295:G302" si="56" t="shared">T295*$B$1</f>
        <v>132250.63393863311</v>
      </c>
      <c r="H295">
        <f ref="H295:I302" si="57" t="shared">U295*$B$1</f>
        <v>1338767.071355867</v>
      </c>
      <c r="I295">
        <f si="57" t="shared"/>
        <v>2298251.4039472798</v>
      </c>
      <c r="N295" t="s">
        <v>210</v>
      </c>
      <c r="O295" t="n">
        <v>106929.0849276715</v>
      </c>
      <c r="P295" t="n">
        <v>24754.6926149272</v>
      </c>
      <c r="Q295" t="n">
        <v>86448.5955422021</v>
      </c>
      <c r="R295" t="n">
        <v>72172.6441437103</v>
      </c>
      <c r="S295" t="n">
        <v>536928.6814242688</v>
      </c>
      <c r="T295" t="n">
        <v>132250.6339386331</v>
      </c>
      <c r="U295" t="n">
        <v>1338767.071355867</v>
      </c>
      <c r="V295">
        <f>SUM(O295:U295)</f>
        <v>2298251.4039472798</v>
      </c>
    </row>
    <row r="296" spans="1:22" x14ac:dyDescent="0.2">
      <c r="A296" t="s">
        <v>211</v>
      </c>
      <c r="B296">
        <f si="55" t="shared"/>
        <v>38466.117531986798</v>
      </c>
      <c r="C296">
        <f si="55" t="shared"/>
        <v>1406.8269816186</v>
      </c>
      <c r="D296">
        <f si="55" t="shared"/>
        <v>33032.756553621999</v>
      </c>
      <c r="E296">
        <f si="55" t="shared"/>
        <v>34422.242464117997</v>
      </c>
      <c r="F296">
        <f si="55" t="shared"/>
        <v>169100.3647460698</v>
      </c>
      <c r="G296">
        <f si="56" t="shared"/>
        <v>6575.6071729757005</v>
      </c>
      <c r="H296">
        <f si="57" t="shared"/>
        <v>591988.43433954904</v>
      </c>
      <c r="I296">
        <f si="57" t="shared"/>
        <v>874992.34978994005</v>
      </c>
      <c r="N296" t="s">
        <v>211</v>
      </c>
      <c r="O296" t="n">
        <v>38466.1175319868</v>
      </c>
      <c r="P296" t="n">
        <v>1406.8269816186</v>
      </c>
      <c r="Q296" t="n">
        <v>33032.756553622</v>
      </c>
      <c r="R296" t="n">
        <v>34422.242464118</v>
      </c>
      <c r="S296" t="n">
        <v>169100.3647460698</v>
      </c>
      <c r="T296" t="n">
        <v>6575.6071729757</v>
      </c>
      <c r="U296" t="n">
        <v>591988.434339549</v>
      </c>
      <c r="V296">
        <f ref="V296:V302" si="58" t="shared">SUM(O296:U296)</f>
        <v>874992.34978994005</v>
      </c>
    </row>
    <row r="297" spans="1:22" x14ac:dyDescent="0.2">
      <c r="A297" t="s">
        <v>212</v>
      </c>
      <c r="B297">
        <f si="55" t="shared"/>
        <v>70026.031617185494</v>
      </c>
      <c r="C297">
        <f si="55" t="shared"/>
        <v>9590.7289506468005</v>
      </c>
      <c r="D297">
        <f si="55" t="shared"/>
        <v>57117.033784888896</v>
      </c>
      <c r="E297">
        <f si="55" t="shared"/>
        <v>59810.472862319199</v>
      </c>
      <c r="F297">
        <f si="55" t="shared"/>
        <v>201421.86230743869</v>
      </c>
      <c r="G297">
        <f si="56" t="shared"/>
        <v>28115.7393296562</v>
      </c>
      <c r="H297">
        <f si="57" t="shared"/>
        <v>819727.54442453838</v>
      </c>
      <c r="I297">
        <f si="57" t="shared"/>
        <v>1245809.4132766738</v>
      </c>
      <c r="N297" t="s">
        <v>212</v>
      </c>
      <c r="O297" t="n">
        <v>70026.0316171855</v>
      </c>
      <c r="P297" t="n">
        <v>9590.7289506468</v>
      </c>
      <c r="Q297" t="n">
        <v>57117.033784888896</v>
      </c>
      <c r="R297" t="n">
        <v>59810.4728623192</v>
      </c>
      <c r="S297" t="n">
        <v>201421.86230743869</v>
      </c>
      <c r="T297" t="n">
        <v>28115.7393296562</v>
      </c>
      <c r="U297" t="n">
        <v>819727.5444245384</v>
      </c>
      <c r="V297">
        <f si="58" t="shared"/>
        <v>1245809.4132766738</v>
      </c>
    </row>
    <row r="298" spans="1:22" x14ac:dyDescent="0.2">
      <c r="A298" t="s">
        <v>36</v>
      </c>
      <c r="B298">
        <f si="55" t="shared"/>
        <v>55292.872301563802</v>
      </c>
      <c r="C298">
        <f si="55" t="shared"/>
        <v>11941.9436546048</v>
      </c>
      <c r="D298">
        <f si="55" t="shared"/>
        <v>60941.5413613852</v>
      </c>
      <c r="E298">
        <f si="55" t="shared"/>
        <v>58794.195004650799</v>
      </c>
      <c r="F298">
        <f si="55" t="shared"/>
        <v>316259.57867141609</v>
      </c>
      <c r="G298">
        <f si="56" t="shared"/>
        <v>53976.252527494798</v>
      </c>
      <c r="H298">
        <f si="57" t="shared"/>
        <v>1289019.8309533622</v>
      </c>
      <c r="I298">
        <f si="57" t="shared"/>
        <v>1846226.2144744778</v>
      </c>
      <c r="N298" t="s">
        <v>36</v>
      </c>
      <c r="O298" t="n">
        <v>55292.8723015638</v>
      </c>
      <c r="P298" t="n">
        <v>11941.9436546048</v>
      </c>
      <c r="Q298" t="n">
        <v>60941.5413613852</v>
      </c>
      <c r="R298" t="n">
        <v>58794.1950046508</v>
      </c>
      <c r="S298" t="n">
        <v>316259.5786714161</v>
      </c>
      <c r="T298" t="n">
        <v>53976.2525274948</v>
      </c>
      <c r="U298" t="n">
        <v>1289019.8309533622</v>
      </c>
      <c r="V298">
        <f si="58" t="shared"/>
        <v>1846226.2144744778</v>
      </c>
    </row>
    <row r="299" spans="1:22" x14ac:dyDescent="0.2">
      <c r="A299" t="s">
        <v>214</v>
      </c>
      <c r="B299">
        <f si="55" t="shared"/>
        <v>66071.146098922196</v>
      </c>
      <c r="C299">
        <f si="55" t="shared"/>
        <v>15058.9825684676</v>
      </c>
      <c r="D299">
        <f si="55" t="shared"/>
        <v>73049.531360591995</v>
      </c>
      <c r="E299">
        <f si="55" t="shared"/>
        <v>59055.176237026099</v>
      </c>
      <c r="F299">
        <f si="55" t="shared"/>
        <v>341603.82782808488</v>
      </c>
      <c r="G299">
        <f si="56" t="shared"/>
        <v>83582.991327303898</v>
      </c>
      <c r="H299">
        <f si="57" t="shared"/>
        <v>1403722.7196379008</v>
      </c>
      <c r="I299">
        <f si="57" t="shared"/>
        <v>2042144.3750582975</v>
      </c>
      <c r="N299" t="s">
        <v>214</v>
      </c>
      <c r="O299" t="n">
        <v>66071.1460989222</v>
      </c>
      <c r="P299" t="n">
        <v>15058.9825684676</v>
      </c>
      <c r="Q299" t="n">
        <v>73049.531360592</v>
      </c>
      <c r="R299" t="n">
        <v>59055.1762370261</v>
      </c>
      <c r="S299" t="n">
        <v>341603.8278280849</v>
      </c>
      <c r="T299" t="n">
        <v>83582.9913273039</v>
      </c>
      <c r="U299" t="n">
        <v>1403722.7196379008</v>
      </c>
      <c r="V299">
        <f si="58" t="shared"/>
        <v>2042144.3750582975</v>
      </c>
    </row>
    <row r="300" spans="1:22" x14ac:dyDescent="0.2">
      <c r="A300" t="s">
        <v>129</v>
      </c>
      <c r="B300">
        <f si="55" t="shared"/>
        <v>42106.779806808401</v>
      </c>
      <c r="C300">
        <f si="55" t="shared"/>
        <v>10385.803995926201</v>
      </c>
      <c r="D300">
        <f si="55" t="shared"/>
        <v>13490.268722328599</v>
      </c>
      <c r="E300">
        <f si="55" t="shared"/>
        <v>37115.394703387901</v>
      </c>
      <c r="F300">
        <f si="55" t="shared"/>
        <v>167218.32137992649</v>
      </c>
      <c r="G300">
        <f si="56" t="shared"/>
        <v>82584.158815259696</v>
      </c>
      <c r="H300">
        <f si="57" t="shared"/>
        <v>475204.28760122182</v>
      </c>
      <c r="I300">
        <f si="57" t="shared"/>
        <v>828105.01502485911</v>
      </c>
      <c r="N300" t="s">
        <v>129</v>
      </c>
      <c r="O300" t="n">
        <v>42106.7798068084</v>
      </c>
      <c r="P300" t="n">
        <v>10385.8039959262</v>
      </c>
      <c r="Q300" t="n">
        <v>13490.2687223286</v>
      </c>
      <c r="R300" t="n">
        <v>37115.3947033879</v>
      </c>
      <c r="S300" t="n">
        <v>167218.3213799265</v>
      </c>
      <c r="T300" t="n">
        <v>82584.1588152597</v>
      </c>
      <c r="U300" t="n">
        <v>475204.2876012218</v>
      </c>
      <c r="V300">
        <f si="58" t="shared"/>
        <v>828105.01502485911</v>
      </c>
    </row>
    <row r="301" spans="1:22" x14ac:dyDescent="0.2">
      <c r="A301" t="s">
        <v>130</v>
      </c>
      <c r="B301">
        <f si="55" t="shared"/>
        <v>72331.766635122098</v>
      </c>
      <c r="C301">
        <f si="55" t="shared"/>
        <v>10877.522436389399</v>
      </c>
      <c r="D301">
        <f si="55" t="shared"/>
        <v>49294.555866011797</v>
      </c>
      <c r="E301">
        <f si="55" t="shared"/>
        <v>59356.353783971601</v>
      </c>
      <c r="F301">
        <f si="55" t="shared"/>
        <v>369521.96244732628</v>
      </c>
      <c r="G301">
        <f si="56" t="shared"/>
        <v>67351.171172335104</v>
      </c>
      <c r="H301">
        <f si="57" t="shared"/>
        <v>1087413.733419182</v>
      </c>
      <c r="I301">
        <f si="57" t="shared"/>
        <v>1716147.0657603382</v>
      </c>
      <c r="N301" t="s">
        <v>130</v>
      </c>
      <c r="O301" t="n">
        <v>72331.7666351221</v>
      </c>
      <c r="P301" t="n">
        <v>10877.5224363894</v>
      </c>
      <c r="Q301" t="n">
        <v>49294.5558660118</v>
      </c>
      <c r="R301" t="n">
        <v>59356.3537839716</v>
      </c>
      <c r="S301" t="n">
        <v>369521.9624473263</v>
      </c>
      <c r="T301" t="n">
        <v>67351.1711723351</v>
      </c>
      <c r="U301" t="n">
        <v>1087413.733419182</v>
      </c>
      <c r="V301">
        <f si="58" t="shared"/>
        <v>1716147.0657603382</v>
      </c>
    </row>
    <row r="302" spans="1:22" x14ac:dyDescent="0.2">
      <c r="A302" t="s">
        <v>145</v>
      </c>
      <c r="B302">
        <f si="55" t="shared"/>
        <v>241769.65931290659</v>
      </c>
      <c r="C302">
        <f si="55" t="shared"/>
        <v>58553.092879586402</v>
      </c>
      <c r="D302">
        <f si="55" t="shared"/>
        <v>262977.97054264991</v>
      </c>
      <c r="E302">
        <f si="55" t="shared"/>
        <v>223892.79211616231</v>
      </c>
      <c r="F302">
        <f si="55" t="shared"/>
        <v>1060346.0925459838</v>
      </c>
      <c r="G302">
        <f si="56" t="shared"/>
        <v>288141.4278706219</v>
      </c>
      <c r="H302">
        <f si="57" t="shared"/>
        <v>3762087.1603191569</v>
      </c>
      <c r="I302">
        <f si="57" t="shared"/>
        <v>5897768.1955870679</v>
      </c>
      <c r="N302" t="s">
        <v>145</v>
      </c>
      <c r="O302" t="n">
        <v>241769.6593129066</v>
      </c>
      <c r="P302" t="n">
        <v>58553.0928795864</v>
      </c>
      <c r="Q302" t="n">
        <v>262977.9705426499</v>
      </c>
      <c r="R302" t="n">
        <v>223892.7921161623</v>
      </c>
      <c r="S302" t="n">
        <v>1060346.0925459838</v>
      </c>
      <c r="T302" t="n">
        <v>288141.4278706219</v>
      </c>
      <c r="U302" t="n">
        <v>3762087.160319157</v>
      </c>
      <c r="V302">
        <f si="58" t="shared"/>
        <v>5897768.1955870679</v>
      </c>
    </row>
    <row r="304" spans="1:22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59" t="shared">O306*$B$1</f>
        <v>1412589.7424000001</v>
      </c>
      <c r="N306" t="s">
        <v>21</v>
      </c>
      <c r="O306" t="n">
        <v>1412589.7424</v>
      </c>
    </row>
    <row r="307" spans="1:15" x14ac:dyDescent="0.2">
      <c r="A307" t="s">
        <v>22</v>
      </c>
      <c r="B307">
        <f si="59" t="shared"/>
        <v>340955.68209999998</v>
      </c>
      <c r="N307" t="s">
        <v>22</v>
      </c>
      <c r="O307" t="n">
        <v>340955.6821</v>
      </c>
    </row>
    <row r="308" spans="1:15" x14ac:dyDescent="0.2">
      <c r="A308" t="s">
        <v>148</v>
      </c>
      <c r="B308">
        <f si="59" t="shared"/>
        <v>385091.97840000002</v>
      </c>
      <c r="N308" t="s">
        <v>148</v>
      </c>
      <c r="O308" t="n">
        <v>385091.9784</v>
      </c>
    </row>
    <row r="309" spans="1:15" x14ac:dyDescent="0.2">
      <c r="A309" t="s">
        <v>243</v>
      </c>
      <c r="B309">
        <f si="59" t="shared"/>
        <v>592288.66839999997</v>
      </c>
      <c r="N309" t="s">
        <v>243</v>
      </c>
      <c r="O309" t="n">
        <v>592288.6684</v>
      </c>
    </row>
    <row r="310" spans="1:15" x14ac:dyDescent="0.2">
      <c r="A310" t="s">
        <v>23</v>
      </c>
      <c r="B310">
        <f si="59" t="shared"/>
        <v>111478.9356</v>
      </c>
      <c r="N310" t="s">
        <v>23</v>
      </c>
      <c r="O310" t="n">
        <v>111478.9356</v>
      </c>
    </row>
    <row r="311" spans="1:15" x14ac:dyDescent="0.2">
      <c r="A311" t="s">
        <v>24</v>
      </c>
      <c r="B311">
        <f si="59" t="shared"/>
        <v>78499.544200000004</v>
      </c>
      <c r="N311" t="s">
        <v>24</v>
      </c>
      <c r="O311" t="n">
        <v>78499.5442</v>
      </c>
    </row>
    <row r="312" spans="1:15" x14ac:dyDescent="0.2">
      <c r="A312" t="s">
        <v>25</v>
      </c>
      <c r="B312">
        <f si="59" t="shared"/>
        <v>515915.92589999997</v>
      </c>
      <c r="N312" t="s">
        <v>25</v>
      </c>
      <c r="O312" t="n">
        <v>515915.9259</v>
      </c>
    </row>
    <row r="313" spans="1:15" x14ac:dyDescent="0.2">
      <c r="A313" t="s">
        <v>26</v>
      </c>
      <c r="B313">
        <f si="59" t="shared"/>
        <v>271697.48960000003</v>
      </c>
      <c r="N313" t="s">
        <v>26</v>
      </c>
      <c r="O313" t="n">
        <v>271697.48960000003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296</v>
      </c>
      <c r="B317">
        <f>O317*$B$1</f>
        <v>119572.32399999999</v>
      </c>
      <c r="N317" t="s">
        <v>296</v>
      </c>
      <c r="O317" s="104" t="n">
        <v>119572.324</v>
      </c>
    </row>
    <row r="318" spans="1:15" x14ac:dyDescent="0.2">
      <c r="A318" t="s">
        <v>297</v>
      </c>
      <c r="B318">
        <f>O318*$B$1</f>
        <v>834810.03260000004</v>
      </c>
      <c r="N318" t="s">
        <v>297</v>
      </c>
      <c r="O318" s="104" t="n">
        <v>834810.0326</v>
      </c>
    </row>
    <row r="319" spans="1:15" x14ac:dyDescent="0.2">
      <c r="A319" t="s">
        <v>298</v>
      </c>
      <c r="B319">
        <f>O319*$B$1</f>
        <v>590147.33030000003</v>
      </c>
      <c r="N319" t="s">
        <v>298</v>
      </c>
      <c r="O319" s="104" t="n">
        <v>590147.3303</v>
      </c>
    </row>
    <row r="320" spans="1:15" x14ac:dyDescent="0.2">
      <c r="A320" t="s">
        <v>299</v>
      </c>
      <c r="B320">
        <f>O320*$B$1</f>
        <v>1852875.3618999999</v>
      </c>
      <c r="N320" t="s">
        <v>299</v>
      </c>
      <c r="O320" s="104" t="n">
        <v>1852875.3619</v>
      </c>
    </row>
    <row r="322" spans="1:16" x14ac:dyDescent="0.2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2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2">
      <c r="A324" t="s">
        <v>98</v>
      </c>
      <c r="B324">
        <f>O324*$B$1</f>
        <v>177389.8438</v>
      </c>
      <c r="N324" t="s">
        <v>98</v>
      </c>
      <c r="O324" s="104" t="n">
        <v>177389.8438</v>
      </c>
    </row>
    <row r="325" spans="1:16" x14ac:dyDescent="0.2">
      <c r="A325" t="s">
        <v>281</v>
      </c>
      <c r="B325">
        <f>O325*$B$1</f>
        <v>898293.45270000002</v>
      </c>
      <c r="N325" t="s">
        <v>281</v>
      </c>
      <c r="O325" s="104" t="n">
        <v>898293.4527</v>
      </c>
    </row>
    <row r="326" spans="1:16" x14ac:dyDescent="0.2">
      <c r="A326" t="s">
        <v>282</v>
      </c>
      <c r="B326">
        <f>O326*$B$1</f>
        <v>1927570.8387</v>
      </c>
      <c r="N326" t="s">
        <v>282</v>
      </c>
      <c r="O326" s="104" t="n">
        <v>1927570.8387</v>
      </c>
    </row>
    <row r="327" spans="1:16" x14ac:dyDescent="0.2">
      <c r="A327" t="s">
        <v>283</v>
      </c>
      <c r="B327">
        <f>O327*$B$1</f>
        <v>705263.83140000002</v>
      </c>
      <c r="N327" t="s">
        <v>283</v>
      </c>
      <c r="O327" s="104" t="n">
        <v>705263.8314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2">
      <c r="A331" t="s">
        <v>3919</v>
      </c>
      <c r="B331">
        <f>O331*$B$1</f>
        <v>151396.64790000001</v>
      </c>
      <c r="N331">
        <v>1</v>
      </c>
      <c r="O331" s="104" t="n">
        <v>151396.6479</v>
      </c>
    </row>
    <row r="332" spans="1:16" x14ac:dyDescent="0.2">
      <c r="A332" t="s">
        <v>3920</v>
      </c>
      <c r="B332">
        <f>O332*$B$1</f>
        <v>8845.8525000000009</v>
      </c>
      <c r="N332">
        <v>2</v>
      </c>
      <c r="O332" s="104" t="n">
        <v>8845.8525</v>
      </c>
    </row>
    <row r="333" spans="1:16" x14ac:dyDescent="0.2">
      <c r="A333" t="s">
        <v>3921</v>
      </c>
      <c r="B333">
        <f>O333*$B$1</f>
        <v>131529.91500000001</v>
      </c>
      <c r="N333">
        <v>3</v>
      </c>
      <c r="O333" s="104" t="n">
        <v>131529.915</v>
      </c>
    </row>
    <row r="334" spans="1:16" x14ac:dyDescent="0.2">
      <c r="A334" t="s">
        <v>3922</v>
      </c>
      <c r="B334">
        <f>O334*$B$1</f>
        <v>123832.13039999999</v>
      </c>
      <c r="N334">
        <v>4</v>
      </c>
      <c r="O334" s="104" t="n">
        <v>123832.1304</v>
      </c>
    </row>
    <row r="335" spans="1:16" x14ac:dyDescent="0.2">
      <c r="A335" t="s">
        <v>1522</v>
      </c>
      <c r="B335">
        <f ref="B335:B337" si="60" t="shared">O335*$B$1</f>
        <v>636827.67330000002</v>
      </c>
      <c r="N335">
        <v>5</v>
      </c>
      <c r="O335" s="104" t="n">
        <v>636827.6733</v>
      </c>
    </row>
    <row r="336" spans="1:16" x14ac:dyDescent="0.2">
      <c r="A336" t="s">
        <v>3923</v>
      </c>
      <c r="B336">
        <f si="60" t="shared"/>
        <v>54534.662199999999</v>
      </c>
      <c r="N336">
        <v>6</v>
      </c>
      <c r="O336" s="104" t="n">
        <v>54534.6622</v>
      </c>
    </row>
    <row r="337" spans="1:15" x14ac:dyDescent="0.2">
      <c r="A337" t="s">
        <v>3924</v>
      </c>
      <c r="B337">
        <f si="60" t="shared"/>
        <v>2601551.0852999999</v>
      </c>
      <c r="N337">
        <v>7</v>
      </c>
      <c r="O337" t="n">
        <v>2601551.0853</v>
      </c>
    </row>
  </sheetData>
  <phoneticPr fontId="0" type="noConversion"/>
  <pageMargins bottom="0.75" footer="0.3" header="0.3" left="0.7" right="0.7" top="0.75"/>
  <pageSetup orientation="portrait" r:id="rId1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363"/>
  <sheetViews>
    <sheetView topLeftCell="A180" workbookViewId="0">
      <selection activeCell="J33" sqref="J33"/>
    </sheetView>
  </sheetViews>
  <sheetFormatPr defaultRowHeight="12.75" x14ac:dyDescent="0.2"/>
  <sheetData>
    <row ht="15" r="1" spans="1:5" x14ac:dyDescent="0.25">
      <c r="A1" s="109" t="s">
        <v>1021</v>
      </c>
      <c r="B1" s="109" t="s">
        <v>317</v>
      </c>
      <c r="C1" s="109" t="s">
        <v>318</v>
      </c>
      <c r="D1" s="110" t="s">
        <v>319</v>
      </c>
      <c r="E1" s="111" t="s">
        <v>320</v>
      </c>
    </row>
    <row ht="15" r="2" spans="1:5" x14ac:dyDescent="0.25">
      <c r="A2" s="107">
        <v>100</v>
      </c>
      <c r="B2" s="107" t="s">
        <v>321</v>
      </c>
      <c r="C2" s="107" t="s">
        <v>322</v>
      </c>
      <c r="D2" s="112">
        <v>0.59360162660100002</v>
      </c>
      <c r="E2" s="106" t="s">
        <v>323</v>
      </c>
    </row>
    <row ht="15" r="3" spans="1:5" x14ac:dyDescent="0.25">
      <c r="A3" s="107">
        <v>101</v>
      </c>
      <c r="B3" s="107" t="s">
        <v>324</v>
      </c>
      <c r="C3" s="107" t="s">
        <v>322</v>
      </c>
      <c r="D3" s="112">
        <v>2.2607629985500002</v>
      </c>
      <c r="E3" s="106" t="s">
        <v>325</v>
      </c>
    </row>
    <row ht="15" r="4" spans="1:5" x14ac:dyDescent="0.25">
      <c r="A4" s="107">
        <v>102</v>
      </c>
      <c r="B4" s="107" t="s">
        <v>326</v>
      </c>
      <c r="C4" s="107" t="s">
        <v>322</v>
      </c>
      <c r="D4" s="108">
        <v>-0.67702180034500004</v>
      </c>
      <c r="E4" s="106" t="s">
        <v>327</v>
      </c>
    </row>
    <row ht="15" r="5" spans="1:5" x14ac:dyDescent="0.25">
      <c r="A5" s="107">
        <v>105</v>
      </c>
      <c r="B5" s="107" t="s">
        <v>328</v>
      </c>
      <c r="C5" s="107" t="s">
        <v>322</v>
      </c>
      <c r="D5" s="108">
        <v>-1.2291096581800001</v>
      </c>
      <c r="E5" s="106" t="s">
        <v>329</v>
      </c>
    </row>
    <row ht="15" r="6" spans="1:5" x14ac:dyDescent="0.25">
      <c r="A6" s="107">
        <v>106</v>
      </c>
      <c r="B6" s="107" t="s">
        <v>330</v>
      </c>
      <c r="C6" s="107" t="s">
        <v>322</v>
      </c>
      <c r="D6" s="108">
        <v>-1.88719601199</v>
      </c>
      <c r="E6" s="106" t="s">
        <v>331</v>
      </c>
    </row>
    <row ht="15" r="7" spans="1:5" x14ac:dyDescent="0.25">
      <c r="A7" s="107">
        <v>109</v>
      </c>
      <c r="B7" s="107" t="s">
        <v>332</v>
      </c>
      <c r="C7" s="107" t="s">
        <v>322</v>
      </c>
      <c r="D7" s="108">
        <v>-0.104539156562</v>
      </c>
      <c r="E7" s="106" t="s">
        <v>333</v>
      </c>
    </row>
    <row ht="15" r="8" spans="1:5" x14ac:dyDescent="0.25">
      <c r="A8" s="107">
        <v>110</v>
      </c>
      <c r="B8" s="107" t="s">
        <v>334</v>
      </c>
      <c r="C8" s="107" t="s">
        <v>322</v>
      </c>
      <c r="D8" s="108">
        <v>-5.3840960751700001E-2</v>
      </c>
      <c r="E8" s="106" t="s">
        <v>335</v>
      </c>
    </row>
    <row ht="15" r="9" spans="1:5" x14ac:dyDescent="0.25">
      <c r="A9" s="107">
        <v>111</v>
      </c>
      <c r="B9" s="107" t="s">
        <v>336</v>
      </c>
      <c r="C9" s="107" t="s">
        <v>322</v>
      </c>
      <c r="D9" s="108">
        <v>5.5398475571900002E-2</v>
      </c>
      <c r="E9" s="106" t="s">
        <v>337</v>
      </c>
    </row>
    <row ht="15" r="10" spans="1:5" x14ac:dyDescent="0.25">
      <c r="A10" s="107">
        <v>112</v>
      </c>
      <c r="B10" s="107" t="s">
        <v>338</v>
      </c>
      <c r="C10" s="107" t="s">
        <v>322</v>
      </c>
      <c r="D10" s="108">
        <v>0.104963199705</v>
      </c>
      <c r="E10" s="106" t="s">
        <v>339</v>
      </c>
    </row>
    <row ht="15" r="11" spans="1:5" x14ac:dyDescent="0.25">
      <c r="A11" s="107">
        <v>113</v>
      </c>
      <c r="B11" s="107" t="s">
        <v>340</v>
      </c>
      <c r="C11" s="107" t="s">
        <v>341</v>
      </c>
      <c r="D11" s="108">
        <v>0</v>
      </c>
      <c r="E11" s="106" t="s">
        <v>342</v>
      </c>
    </row>
    <row ht="15" r="12" spans="1:5" x14ac:dyDescent="0.25">
      <c r="A12" s="107">
        <v>114</v>
      </c>
      <c r="B12" s="107" t="s">
        <v>343</v>
      </c>
      <c r="C12" s="107" t="s">
        <v>341</v>
      </c>
      <c r="D12" s="108">
        <v>0</v>
      </c>
      <c r="E12" s="106" t="s">
        <v>344</v>
      </c>
    </row>
    <row ht="15" r="13" spans="1:5" x14ac:dyDescent="0.25">
      <c r="A13" s="107">
        <v>116</v>
      </c>
      <c r="B13" s="107" t="s">
        <v>345</v>
      </c>
      <c r="C13" s="107" t="s">
        <v>322</v>
      </c>
      <c r="D13" s="108">
        <v>0.119359946565</v>
      </c>
      <c r="E13" s="106" t="s">
        <v>346</v>
      </c>
    </row>
    <row ht="15" r="14" spans="1:5" x14ac:dyDescent="0.25">
      <c r="A14" s="107">
        <v>117</v>
      </c>
      <c r="B14" s="107" t="s">
        <v>347</v>
      </c>
      <c r="C14" s="107" t="s">
        <v>322</v>
      </c>
      <c r="D14" s="108">
        <v>-0.46873969835200002</v>
      </c>
      <c r="E14" s="106" t="s">
        <v>348</v>
      </c>
    </row>
    <row ht="15" r="15" spans="1:5" x14ac:dyDescent="0.25">
      <c r="A15" s="107">
        <v>118</v>
      </c>
      <c r="B15" s="107" t="s">
        <v>349</v>
      </c>
      <c r="C15" s="107" t="s">
        <v>341</v>
      </c>
      <c r="D15" s="108">
        <v>0</v>
      </c>
      <c r="E15" s="106" t="s">
        <v>350</v>
      </c>
    </row>
    <row ht="15" r="16" spans="1:5" x14ac:dyDescent="0.25">
      <c r="A16" s="107">
        <v>119</v>
      </c>
      <c r="B16" s="107" t="s">
        <v>351</v>
      </c>
      <c r="C16" s="107" t="s">
        <v>341</v>
      </c>
      <c r="D16" s="108">
        <v>0</v>
      </c>
      <c r="E16" s="106" t="s">
        <v>352</v>
      </c>
    </row>
    <row ht="15" r="17" spans="1:5" x14ac:dyDescent="0.25">
      <c r="A17" s="107">
        <v>120</v>
      </c>
      <c r="B17" s="107" t="s">
        <v>353</v>
      </c>
      <c r="C17" s="107" t="s">
        <v>341</v>
      </c>
      <c r="D17" s="108">
        <v>0</v>
      </c>
      <c r="E17" s="106" t="s">
        <v>354</v>
      </c>
    </row>
    <row ht="15" r="18" spans="1:5" x14ac:dyDescent="0.25">
      <c r="A18" s="107">
        <v>121</v>
      </c>
      <c r="B18" s="107" t="s">
        <v>355</v>
      </c>
      <c r="C18" s="107" t="s">
        <v>341</v>
      </c>
      <c r="D18" s="108">
        <v>0</v>
      </c>
      <c r="E18" s="106" t="s">
        <v>356</v>
      </c>
    </row>
    <row ht="15" r="19" spans="1:5" x14ac:dyDescent="0.25">
      <c r="A19" s="107">
        <v>122</v>
      </c>
      <c r="B19" s="107" t="s">
        <v>357</v>
      </c>
      <c r="C19" s="107" t="s">
        <v>341</v>
      </c>
      <c r="D19" s="108">
        <v>0</v>
      </c>
      <c r="E19" s="106" t="s">
        <v>358</v>
      </c>
    </row>
    <row ht="15" r="20" spans="1:5" x14ac:dyDescent="0.25">
      <c r="A20" s="107">
        <v>123</v>
      </c>
      <c r="B20" s="107" t="s">
        <v>359</v>
      </c>
      <c r="C20" s="107" t="s">
        <v>341</v>
      </c>
      <c r="D20" s="108">
        <v>0</v>
      </c>
      <c r="E20" s="106" t="s">
        <v>360</v>
      </c>
    </row>
    <row ht="15" r="21" spans="1:5" x14ac:dyDescent="0.25">
      <c r="A21" s="107">
        <v>124</v>
      </c>
      <c r="B21" s="107" t="s">
        <v>361</v>
      </c>
      <c r="C21" s="107" t="s">
        <v>322</v>
      </c>
      <c r="D21" s="108">
        <v>-1.93525950132</v>
      </c>
      <c r="E21" s="106" t="s">
        <v>362</v>
      </c>
    </row>
    <row ht="15" r="22" spans="1:5" x14ac:dyDescent="0.25">
      <c r="A22" s="107">
        <v>125</v>
      </c>
      <c r="B22" s="107" t="s">
        <v>363</v>
      </c>
      <c r="C22" s="107" t="s">
        <v>341</v>
      </c>
      <c r="D22" s="108">
        <v>0</v>
      </c>
      <c r="E22" s="106" t="s">
        <v>364</v>
      </c>
    </row>
    <row ht="15" r="23" spans="1:5" x14ac:dyDescent="0.25">
      <c r="A23" s="107">
        <v>126</v>
      </c>
      <c r="B23" s="107" t="s">
        <v>365</v>
      </c>
      <c r="C23" s="107" t="s">
        <v>341</v>
      </c>
      <c r="D23" s="108">
        <v>0</v>
      </c>
      <c r="E23" s="106" t="s">
        <v>366</v>
      </c>
    </row>
    <row ht="15" r="24" spans="1:5" x14ac:dyDescent="0.25">
      <c r="A24" s="107">
        <v>127</v>
      </c>
      <c r="B24" s="107" t="s">
        <v>367</v>
      </c>
      <c r="C24" s="107" t="s">
        <v>322</v>
      </c>
      <c r="D24" s="108">
        <v>0.70457506868099995</v>
      </c>
      <c r="E24" s="106" t="s">
        <v>368</v>
      </c>
    </row>
    <row ht="15" r="25" spans="1:5" x14ac:dyDescent="0.25">
      <c r="A25" s="107">
        <v>128</v>
      </c>
      <c r="B25" s="107" t="s">
        <v>369</v>
      </c>
      <c r="C25" s="107" t="s">
        <v>322</v>
      </c>
      <c r="D25" s="108">
        <v>-0.473736021364</v>
      </c>
      <c r="E25" s="106" t="s">
        <v>368</v>
      </c>
    </row>
    <row ht="15" r="26" spans="1:5" x14ac:dyDescent="0.25">
      <c r="A26" s="107">
        <v>129</v>
      </c>
      <c r="B26" s="107" t="s">
        <v>370</v>
      </c>
      <c r="C26" s="107" t="s">
        <v>322</v>
      </c>
      <c r="D26" s="108">
        <v>-0.39185504390800002</v>
      </c>
      <c r="E26" s="106" t="s">
        <v>368</v>
      </c>
    </row>
    <row ht="15" r="27" spans="1:5" x14ac:dyDescent="0.25">
      <c r="A27" s="107">
        <v>151</v>
      </c>
      <c r="B27" s="107" t="s">
        <v>371</v>
      </c>
      <c r="C27" s="107" t="s">
        <v>341</v>
      </c>
      <c r="D27" s="108">
        <v>0</v>
      </c>
      <c r="E27" s="106" t="s">
        <v>372</v>
      </c>
    </row>
    <row ht="15" r="28" spans="1:5" x14ac:dyDescent="0.25">
      <c r="A28" s="107">
        <v>200</v>
      </c>
      <c r="B28" s="107" t="s">
        <v>373</v>
      </c>
      <c r="C28" s="107" t="s">
        <v>322</v>
      </c>
      <c r="D28" s="112">
        <v>-0.86143817039500004</v>
      </c>
      <c r="E28" s="106" t="s">
        <v>374</v>
      </c>
    </row>
    <row ht="15" r="29" spans="1:5" x14ac:dyDescent="0.25">
      <c r="A29" s="107">
        <v>201</v>
      </c>
      <c r="B29" s="107" t="s">
        <v>375</v>
      </c>
      <c r="C29" s="107" t="s">
        <v>322</v>
      </c>
      <c r="D29" s="112">
        <v>-0.78594987134100003</v>
      </c>
      <c r="E29" s="106" t="s">
        <v>376</v>
      </c>
    </row>
    <row ht="15" r="30" spans="1:5" x14ac:dyDescent="0.25">
      <c r="A30" s="107"/>
      <c r="B30" s="107"/>
      <c r="C30" s="107"/>
      <c r="D30" s="108"/>
      <c r="E30" s="106" t="s">
        <v>377</v>
      </c>
    </row>
    <row ht="15" r="31" spans="1:5" x14ac:dyDescent="0.25">
      <c r="A31" s="107"/>
      <c r="B31" s="107"/>
      <c r="C31" s="107"/>
      <c r="D31" s="108"/>
      <c r="E31" s="106" t="s">
        <v>378</v>
      </c>
    </row>
    <row ht="15" r="32" spans="1:5" x14ac:dyDescent="0.25">
      <c r="A32" s="107"/>
      <c r="B32" s="107"/>
      <c r="C32" s="107"/>
      <c r="D32" s="108"/>
      <c r="E32" s="106" t="s">
        <v>379</v>
      </c>
    </row>
    <row ht="15" r="33" spans="1:5" x14ac:dyDescent="0.25">
      <c r="A33" s="107">
        <v>205</v>
      </c>
      <c r="B33" s="107" t="s">
        <v>380</v>
      </c>
      <c r="C33" s="107" t="s">
        <v>322</v>
      </c>
      <c r="D33" s="108">
        <v>1.0083216006</v>
      </c>
      <c r="E33" s="106" t="s">
        <v>381</v>
      </c>
    </row>
    <row ht="15" r="34" spans="1:5" x14ac:dyDescent="0.25">
      <c r="A34" s="107">
        <v>206</v>
      </c>
      <c r="B34" s="107" t="s">
        <v>382</v>
      </c>
      <c r="C34" s="107" t="s">
        <v>322</v>
      </c>
      <c r="D34" s="108">
        <v>2.08888367603</v>
      </c>
      <c r="E34" s="106" t="s">
        <v>383</v>
      </c>
    </row>
    <row ht="15" r="35" spans="1:5" x14ac:dyDescent="0.25">
      <c r="A35" s="107">
        <v>207</v>
      </c>
      <c r="B35" s="107" t="s">
        <v>384</v>
      </c>
      <c r="C35" s="107" t="s">
        <v>322</v>
      </c>
      <c r="D35" s="108">
        <v>2.1761416178699999</v>
      </c>
      <c r="E35" s="106" t="s">
        <v>385</v>
      </c>
    </row>
    <row ht="15" r="36" spans="1:5" x14ac:dyDescent="0.25">
      <c r="A36" s="107">
        <v>208</v>
      </c>
      <c r="B36" s="107" t="s">
        <v>386</v>
      </c>
      <c r="C36" s="107" t="s">
        <v>322</v>
      </c>
      <c r="D36" s="108">
        <v>1.14749890025</v>
      </c>
      <c r="E36" s="106" t="s">
        <v>387</v>
      </c>
    </row>
    <row ht="15" r="37" spans="1:5" x14ac:dyDescent="0.25">
      <c r="A37" s="107">
        <v>209</v>
      </c>
      <c r="B37" s="107" t="s">
        <v>388</v>
      </c>
      <c r="C37" s="107" t="s">
        <v>341</v>
      </c>
      <c r="D37" s="108">
        <v>0</v>
      </c>
      <c r="E37" s="106" t="s">
        <v>389</v>
      </c>
    </row>
    <row ht="15" r="38" spans="1:5" x14ac:dyDescent="0.25">
      <c r="A38" s="107">
        <v>210</v>
      </c>
      <c r="B38" s="107" t="s">
        <v>390</v>
      </c>
      <c r="C38" s="107" t="s">
        <v>322</v>
      </c>
      <c r="D38" s="108">
        <v>0.175618791701</v>
      </c>
      <c r="E38" s="106" t="s">
        <v>391</v>
      </c>
    </row>
    <row ht="15" r="39" spans="1:5" x14ac:dyDescent="0.25">
      <c r="A39" s="107">
        <v>211</v>
      </c>
      <c r="B39" s="107" t="s">
        <v>392</v>
      </c>
      <c r="C39" s="107" t="s">
        <v>341</v>
      </c>
      <c r="D39" s="108">
        <v>0</v>
      </c>
      <c r="E39" s="106" t="s">
        <v>393</v>
      </c>
    </row>
    <row ht="15" r="40" spans="1:5" x14ac:dyDescent="0.25">
      <c r="A40" s="107">
        <v>212</v>
      </c>
      <c r="B40" s="107" t="s">
        <v>394</v>
      </c>
      <c r="C40" s="107" t="s">
        <v>341</v>
      </c>
      <c r="D40" s="108">
        <v>0</v>
      </c>
      <c r="E40" s="106" t="s">
        <v>395</v>
      </c>
    </row>
    <row ht="15" r="41" spans="1:5" x14ac:dyDescent="0.25">
      <c r="A41" s="107">
        <v>213</v>
      </c>
      <c r="B41" s="107" t="s">
        <v>396</v>
      </c>
      <c r="C41" s="107" t="s">
        <v>341</v>
      </c>
      <c r="D41" s="108">
        <v>0</v>
      </c>
      <c r="E41" s="106" t="s">
        <v>397</v>
      </c>
    </row>
    <row ht="15" r="42" spans="1:5" x14ac:dyDescent="0.25">
      <c r="A42" s="107">
        <v>214</v>
      </c>
      <c r="B42" s="107" t="s">
        <v>398</v>
      </c>
      <c r="C42" s="107" t="s">
        <v>341</v>
      </c>
      <c r="D42" s="108">
        <v>0</v>
      </c>
      <c r="E42" s="106" t="s">
        <v>399</v>
      </c>
    </row>
    <row ht="15" r="43" spans="1:5" x14ac:dyDescent="0.25">
      <c r="A43" s="107"/>
      <c r="B43" s="107"/>
      <c r="C43" s="107"/>
      <c r="D43" s="108"/>
      <c r="E43" s="106" t="s">
        <v>400</v>
      </c>
    </row>
    <row ht="15" r="44" spans="1:5" x14ac:dyDescent="0.25">
      <c r="A44" s="107">
        <v>216</v>
      </c>
      <c r="B44" s="107" t="s">
        <v>401</v>
      </c>
      <c r="C44" s="107" t="s">
        <v>341</v>
      </c>
      <c r="D44" s="108">
        <v>0</v>
      </c>
      <c r="E44" s="106" t="s">
        <v>402</v>
      </c>
    </row>
    <row ht="15" r="45" spans="1:5" x14ac:dyDescent="0.25">
      <c r="A45" s="107">
        <v>217</v>
      </c>
      <c r="B45" s="107" t="s">
        <v>403</v>
      </c>
      <c r="C45" s="107" t="s">
        <v>322</v>
      </c>
      <c r="D45" s="108">
        <v>-1.04665789108</v>
      </c>
      <c r="E45" s="106" t="s">
        <v>404</v>
      </c>
    </row>
    <row ht="15" r="46" spans="1:5" x14ac:dyDescent="0.25">
      <c r="A46" s="107">
        <v>218</v>
      </c>
      <c r="B46" s="107" t="s">
        <v>405</v>
      </c>
      <c r="C46" s="107" t="s">
        <v>341</v>
      </c>
      <c r="D46" s="108">
        <v>0</v>
      </c>
      <c r="E46" s="106" t="s">
        <v>406</v>
      </c>
    </row>
    <row ht="15" r="47" spans="1:5" x14ac:dyDescent="0.25">
      <c r="A47" s="107">
        <v>219</v>
      </c>
      <c r="B47" s="107" t="s">
        <v>407</v>
      </c>
      <c r="C47" s="107" t="s">
        <v>341</v>
      </c>
      <c r="D47" s="108">
        <v>0</v>
      </c>
      <c r="E47" s="106" t="s">
        <v>408</v>
      </c>
    </row>
    <row ht="15" r="48" spans="1:5" x14ac:dyDescent="0.25">
      <c r="A48" s="107">
        <v>220</v>
      </c>
      <c r="B48" s="107" t="s">
        <v>409</v>
      </c>
      <c r="C48" s="107" t="s">
        <v>341</v>
      </c>
      <c r="D48" s="108">
        <v>0</v>
      </c>
      <c r="E48" s="106" t="s">
        <v>410</v>
      </c>
    </row>
    <row ht="15" r="49" spans="1:5" x14ac:dyDescent="0.25">
      <c r="A49" s="107">
        <v>221</v>
      </c>
      <c r="B49" s="107" t="s">
        <v>411</v>
      </c>
      <c r="C49" s="107" t="s">
        <v>322</v>
      </c>
      <c r="D49" s="108">
        <v>0.28116382464200002</v>
      </c>
      <c r="E49" s="106" t="s">
        <v>412</v>
      </c>
    </row>
    <row ht="15" r="50" spans="1:5" x14ac:dyDescent="0.25">
      <c r="A50" s="107">
        <v>222</v>
      </c>
      <c r="B50" s="107" t="s">
        <v>413</v>
      </c>
      <c r="C50" s="107" t="s">
        <v>341</v>
      </c>
      <c r="D50" s="108">
        <v>0</v>
      </c>
      <c r="E50" s="106" t="s">
        <v>414</v>
      </c>
    </row>
    <row ht="15" r="51" spans="1:5" x14ac:dyDescent="0.25">
      <c r="A51" s="107">
        <v>223</v>
      </c>
      <c r="B51" s="107" t="s">
        <v>415</v>
      </c>
      <c r="C51" s="107" t="s">
        <v>322</v>
      </c>
      <c r="D51" s="108">
        <v>-0.85726200968300004</v>
      </c>
      <c r="E51" s="106" t="s">
        <v>416</v>
      </c>
    </row>
    <row ht="15" r="52" spans="1:5" x14ac:dyDescent="0.25">
      <c r="A52" s="107">
        <v>224</v>
      </c>
      <c r="B52" s="107" t="s">
        <v>417</v>
      </c>
      <c r="C52" s="107" t="s">
        <v>341</v>
      </c>
      <c r="D52" s="108">
        <v>0</v>
      </c>
      <c r="E52" s="106" t="s">
        <v>418</v>
      </c>
    </row>
    <row ht="15" r="53" spans="1:5" x14ac:dyDescent="0.25">
      <c r="A53" s="107">
        <v>225</v>
      </c>
      <c r="B53" s="107" t="s">
        <v>419</v>
      </c>
      <c r="C53" s="107" t="s">
        <v>341</v>
      </c>
      <c r="D53" s="108">
        <v>0</v>
      </c>
      <c r="E53" s="106" t="s">
        <v>420</v>
      </c>
    </row>
    <row ht="15" r="54" spans="1:5" x14ac:dyDescent="0.25">
      <c r="A54" s="107">
        <v>226</v>
      </c>
      <c r="B54" s="107" t="s">
        <v>421</v>
      </c>
      <c r="C54" s="107" t="s">
        <v>341</v>
      </c>
      <c r="D54" s="108">
        <v>0</v>
      </c>
      <c r="E54" s="106" t="s">
        <v>422</v>
      </c>
    </row>
    <row ht="15" r="55" spans="1:5" x14ac:dyDescent="0.25">
      <c r="A55" s="107">
        <v>227</v>
      </c>
      <c r="B55" s="107" t="s">
        <v>423</v>
      </c>
      <c r="C55" s="107" t="s">
        <v>341</v>
      </c>
      <c r="D55" s="108">
        <v>0</v>
      </c>
      <c r="E55" s="106" t="s">
        <v>424</v>
      </c>
    </row>
    <row ht="15" r="56" spans="1:5" x14ac:dyDescent="0.25">
      <c r="A56" s="107">
        <v>228</v>
      </c>
      <c r="B56" s="107" t="s">
        <v>425</v>
      </c>
      <c r="C56" s="107" t="s">
        <v>322</v>
      </c>
      <c r="D56" s="108">
        <v>0.21589729844200001</v>
      </c>
      <c r="E56" s="106" t="s">
        <v>424</v>
      </c>
    </row>
    <row ht="15" r="57" spans="1:5" x14ac:dyDescent="0.25">
      <c r="A57" s="107">
        <v>229</v>
      </c>
      <c r="B57" s="107" t="s">
        <v>426</v>
      </c>
      <c r="C57" s="107" t="s">
        <v>322</v>
      </c>
      <c r="D57" s="108">
        <v>0.39645838010899997</v>
      </c>
      <c r="E57" s="106" t="s">
        <v>424</v>
      </c>
    </row>
    <row ht="15" r="58" spans="1:5" x14ac:dyDescent="0.25">
      <c r="A58" s="107">
        <v>251</v>
      </c>
      <c r="B58" s="107" t="s">
        <v>427</v>
      </c>
      <c r="C58" s="107" t="s">
        <v>341</v>
      </c>
      <c r="D58" s="108">
        <v>0</v>
      </c>
      <c r="E58" s="106" t="s">
        <v>428</v>
      </c>
    </row>
    <row ht="15" r="59" spans="1:5" x14ac:dyDescent="0.25">
      <c r="A59" s="107">
        <v>300</v>
      </c>
      <c r="B59" s="107" t="s">
        <v>429</v>
      </c>
      <c r="C59" s="107" t="s">
        <v>322</v>
      </c>
      <c r="D59" s="112">
        <v>-3.4074389037100001</v>
      </c>
      <c r="E59" s="106" t="s">
        <v>430</v>
      </c>
    </row>
    <row ht="15" r="60" spans="1:5" x14ac:dyDescent="0.25">
      <c r="A60" s="107">
        <v>301</v>
      </c>
      <c r="B60" s="107" t="s">
        <v>431</v>
      </c>
      <c r="C60" s="107" t="s">
        <v>322</v>
      </c>
      <c r="D60" s="112">
        <v>-1.46802054944</v>
      </c>
      <c r="E60" s="106" t="s">
        <v>432</v>
      </c>
    </row>
    <row ht="15" r="61" spans="1:5" x14ac:dyDescent="0.25">
      <c r="A61" s="107">
        <v>302</v>
      </c>
      <c r="B61" s="107" t="s">
        <v>433</v>
      </c>
      <c r="C61" s="107" t="s">
        <v>341</v>
      </c>
      <c r="D61" s="108">
        <v>0</v>
      </c>
      <c r="E61" s="106" t="s">
        <v>434</v>
      </c>
    </row>
    <row ht="15" r="62" spans="1:5" x14ac:dyDescent="0.25">
      <c r="A62" s="107">
        <v>303</v>
      </c>
      <c r="B62" s="107" t="s">
        <v>435</v>
      </c>
      <c r="C62" s="107" t="s">
        <v>322</v>
      </c>
      <c r="D62" s="108">
        <v>-0.74665963725100004</v>
      </c>
      <c r="E62" s="106" t="s">
        <v>436</v>
      </c>
    </row>
    <row ht="15" r="63" spans="1:5" x14ac:dyDescent="0.25">
      <c r="A63" s="107">
        <v>304</v>
      </c>
      <c r="B63" s="107" t="s">
        <v>437</v>
      </c>
      <c r="C63" s="107" t="s">
        <v>341</v>
      </c>
      <c r="D63" s="108">
        <v>0</v>
      </c>
      <c r="E63" s="106" t="s">
        <v>438</v>
      </c>
    </row>
    <row ht="15" r="64" spans="1:5" x14ac:dyDescent="0.25">
      <c r="A64" s="107">
        <v>305</v>
      </c>
      <c r="B64" s="107" t="s">
        <v>439</v>
      </c>
      <c r="C64" s="107" t="s">
        <v>341</v>
      </c>
      <c r="D64" s="108">
        <v>0</v>
      </c>
      <c r="E64" s="106" t="s">
        <v>440</v>
      </c>
    </row>
    <row ht="15" r="65" spans="1:5" x14ac:dyDescent="0.25">
      <c r="A65" s="107">
        <v>306</v>
      </c>
      <c r="B65" s="107" t="s">
        <v>441</v>
      </c>
      <c r="C65" s="107" t="s">
        <v>341</v>
      </c>
      <c r="D65" s="108">
        <v>0</v>
      </c>
      <c r="E65" s="106" t="s">
        <v>442</v>
      </c>
    </row>
    <row ht="15" r="66" spans="1:5" x14ac:dyDescent="0.25">
      <c r="A66" s="107">
        <v>307</v>
      </c>
      <c r="B66" s="107" t="s">
        <v>443</v>
      </c>
      <c r="C66" s="107" t="s">
        <v>341</v>
      </c>
      <c r="D66" s="108">
        <v>0</v>
      </c>
      <c r="E66" s="106" t="s">
        <v>444</v>
      </c>
    </row>
    <row ht="15" r="67" spans="1:5" x14ac:dyDescent="0.25">
      <c r="A67" s="107">
        <v>308</v>
      </c>
      <c r="B67" s="107" t="s">
        <v>445</v>
      </c>
      <c r="C67" s="107" t="s">
        <v>322</v>
      </c>
      <c r="D67" s="108">
        <v>0.55350968411900003</v>
      </c>
      <c r="E67" s="106" t="s">
        <v>446</v>
      </c>
    </row>
    <row ht="15" r="68" spans="1:5" x14ac:dyDescent="0.25">
      <c r="A68" s="107">
        <v>309</v>
      </c>
      <c r="B68" s="107" t="s">
        <v>447</v>
      </c>
      <c r="C68" s="107" t="s">
        <v>322</v>
      </c>
      <c r="D68" s="108">
        <v>-0.23172742344700001</v>
      </c>
      <c r="E68" s="106" t="s">
        <v>448</v>
      </c>
    </row>
    <row ht="15" r="69" spans="1:5" x14ac:dyDescent="0.25">
      <c r="A69" s="107">
        <v>310</v>
      </c>
      <c r="B69" s="107" t="s">
        <v>449</v>
      </c>
      <c r="C69" s="107" t="s">
        <v>322</v>
      </c>
      <c r="D69" s="108">
        <v>-0.13772236960600001</v>
      </c>
      <c r="E69" s="106" t="s">
        <v>450</v>
      </c>
    </row>
    <row ht="15" r="70" spans="1:5" x14ac:dyDescent="0.25">
      <c r="A70" s="107">
        <v>311</v>
      </c>
      <c r="B70" s="107" t="s">
        <v>451</v>
      </c>
      <c r="C70" s="107" t="s">
        <v>341</v>
      </c>
      <c r="D70" s="108">
        <v>0</v>
      </c>
      <c r="E70" s="106" t="s">
        <v>452</v>
      </c>
    </row>
    <row ht="15" r="71" spans="1:5" x14ac:dyDescent="0.25">
      <c r="A71" s="107">
        <v>312</v>
      </c>
      <c r="B71" s="107" t="s">
        <v>453</v>
      </c>
      <c r="C71" s="107" t="s">
        <v>341</v>
      </c>
      <c r="D71" s="108">
        <v>0</v>
      </c>
      <c r="E71" s="106" t="s">
        <v>454</v>
      </c>
    </row>
    <row ht="15" r="72" spans="1:5" x14ac:dyDescent="0.25">
      <c r="A72" s="107">
        <v>313</v>
      </c>
      <c r="B72" s="107" t="s">
        <v>455</v>
      </c>
      <c r="C72" s="107" t="s">
        <v>322</v>
      </c>
      <c r="D72" s="108">
        <v>0.15830555373499999</v>
      </c>
      <c r="E72" s="106" t="s">
        <v>456</v>
      </c>
    </row>
    <row ht="15" r="73" spans="1:5" x14ac:dyDescent="0.25">
      <c r="A73" s="107">
        <v>314</v>
      </c>
      <c r="B73" s="107" t="s">
        <v>457</v>
      </c>
      <c r="C73" s="107" t="s">
        <v>322</v>
      </c>
      <c r="D73" s="108">
        <v>-0.47638575072</v>
      </c>
      <c r="E73" s="106" t="s">
        <v>458</v>
      </c>
    </row>
    <row ht="15" r="74" spans="1:5" x14ac:dyDescent="0.25">
      <c r="A74" s="107"/>
      <c r="B74" s="107"/>
      <c r="C74" s="107"/>
      <c r="D74" s="108"/>
      <c r="E74" s="106" t="s">
        <v>459</v>
      </c>
    </row>
    <row ht="15" r="75" spans="1:5" x14ac:dyDescent="0.25">
      <c r="A75" s="107">
        <v>316</v>
      </c>
      <c r="B75" s="107" t="s">
        <v>460</v>
      </c>
      <c r="C75" s="107" t="s">
        <v>341</v>
      </c>
      <c r="D75" s="108">
        <v>0</v>
      </c>
      <c r="E75" s="106" t="s">
        <v>461</v>
      </c>
    </row>
    <row ht="15" r="76" spans="1:5" x14ac:dyDescent="0.25">
      <c r="A76" s="107">
        <v>317</v>
      </c>
      <c r="B76" s="107" t="s">
        <v>462</v>
      </c>
      <c r="C76" s="107" t="s">
        <v>322</v>
      </c>
      <c r="D76" s="108">
        <v>1.2331767950900001</v>
      </c>
      <c r="E76" s="106" t="s">
        <v>463</v>
      </c>
    </row>
    <row ht="15" r="77" spans="1:5" x14ac:dyDescent="0.25">
      <c r="A77" s="107">
        <v>318</v>
      </c>
      <c r="B77" s="107" t="s">
        <v>464</v>
      </c>
      <c r="C77" s="107" t="s">
        <v>322</v>
      </c>
      <c r="D77" s="108">
        <v>1.79373653729</v>
      </c>
      <c r="E77" s="106" t="s">
        <v>465</v>
      </c>
    </row>
    <row ht="15" r="78" spans="1:5" x14ac:dyDescent="0.25">
      <c r="A78" s="107">
        <v>319</v>
      </c>
      <c r="B78" s="107" t="s">
        <v>466</v>
      </c>
      <c r="C78" s="107" t="s">
        <v>322</v>
      </c>
      <c r="D78" s="108">
        <v>0.54032130864700001</v>
      </c>
      <c r="E78" s="106" t="s">
        <v>467</v>
      </c>
    </row>
    <row ht="15" r="79" spans="1:5" x14ac:dyDescent="0.25">
      <c r="A79" s="107">
        <v>320</v>
      </c>
      <c r="B79" s="107" t="s">
        <v>468</v>
      </c>
      <c r="C79" s="107" t="s">
        <v>322</v>
      </c>
      <c r="D79" s="108">
        <v>1.2225471973399999</v>
      </c>
      <c r="E79" s="106" t="s">
        <v>469</v>
      </c>
    </row>
    <row ht="15" r="80" spans="1:5" x14ac:dyDescent="0.25">
      <c r="A80" s="107">
        <v>321</v>
      </c>
      <c r="B80" s="107" t="s">
        <v>470</v>
      </c>
      <c r="C80" s="107" t="s">
        <v>322</v>
      </c>
      <c r="D80" s="108">
        <v>-0.66641066384699998</v>
      </c>
      <c r="E80" s="106" t="s">
        <v>471</v>
      </c>
    </row>
    <row ht="15" r="81" spans="1:5" x14ac:dyDescent="0.25">
      <c r="A81" s="107">
        <v>322</v>
      </c>
      <c r="B81" s="107" t="s">
        <v>472</v>
      </c>
      <c r="C81" s="107" t="s">
        <v>322</v>
      </c>
      <c r="D81" s="108">
        <v>-0.26227433626199997</v>
      </c>
      <c r="E81" s="106" t="s">
        <v>473</v>
      </c>
    </row>
    <row ht="15" r="82" spans="1:5" x14ac:dyDescent="0.25">
      <c r="A82" s="107">
        <v>323</v>
      </c>
      <c r="B82" s="107" t="s">
        <v>474</v>
      </c>
      <c r="C82" s="107" t="s">
        <v>322</v>
      </c>
      <c r="D82" s="108">
        <v>-0.32522027447700003</v>
      </c>
      <c r="E82" s="106" t="s">
        <v>475</v>
      </c>
    </row>
    <row ht="15" r="83" spans="1:5" x14ac:dyDescent="0.25">
      <c r="A83" s="107">
        <v>324</v>
      </c>
      <c r="B83" s="107" t="s">
        <v>476</v>
      </c>
      <c r="C83" s="107" t="s">
        <v>341</v>
      </c>
      <c r="D83" s="108">
        <v>0</v>
      </c>
      <c r="E83" s="106" t="s">
        <v>477</v>
      </c>
    </row>
    <row ht="15" r="84" spans="1:5" x14ac:dyDescent="0.25">
      <c r="A84" s="107">
        <v>325</v>
      </c>
      <c r="B84" s="107" t="s">
        <v>478</v>
      </c>
      <c r="C84" s="107" t="s">
        <v>341</v>
      </c>
      <c r="D84" s="108">
        <v>0</v>
      </c>
      <c r="E84" s="106" t="s">
        <v>479</v>
      </c>
    </row>
    <row ht="15" r="85" spans="1:5" x14ac:dyDescent="0.25">
      <c r="A85" s="107">
        <v>326</v>
      </c>
      <c r="B85" s="107" t="s">
        <v>480</v>
      </c>
      <c r="C85" s="107" t="s">
        <v>341</v>
      </c>
      <c r="D85" s="108">
        <v>0</v>
      </c>
      <c r="E85" s="106" t="s">
        <v>481</v>
      </c>
    </row>
    <row ht="15" r="86" spans="1:5" x14ac:dyDescent="0.25">
      <c r="A86" s="107">
        <v>327</v>
      </c>
      <c r="B86" s="107" t="s">
        <v>482</v>
      </c>
      <c r="C86" s="107" t="s">
        <v>341</v>
      </c>
      <c r="D86" s="108">
        <v>0</v>
      </c>
      <c r="E86" s="106" t="s">
        <v>483</v>
      </c>
    </row>
    <row ht="15" r="87" spans="1:5" x14ac:dyDescent="0.25">
      <c r="A87" s="107">
        <v>328</v>
      </c>
      <c r="B87" s="107" t="s">
        <v>484</v>
      </c>
      <c r="C87" s="107" t="s">
        <v>322</v>
      </c>
      <c r="D87" s="108">
        <v>3.4768357092199997E-2</v>
      </c>
      <c r="E87" s="106" t="s">
        <v>483</v>
      </c>
    </row>
    <row ht="15" r="88" spans="1:5" x14ac:dyDescent="0.25">
      <c r="A88" s="107">
        <v>329</v>
      </c>
      <c r="B88" s="107" t="s">
        <v>485</v>
      </c>
      <c r="C88" s="107" t="s">
        <v>322</v>
      </c>
      <c r="D88" s="108">
        <v>7.6268365288400003E-2</v>
      </c>
      <c r="E88" s="106" t="s">
        <v>483</v>
      </c>
    </row>
    <row ht="15" r="89" spans="1:5" x14ac:dyDescent="0.25">
      <c r="A89" s="107">
        <v>351</v>
      </c>
      <c r="B89" s="107" t="s">
        <v>486</v>
      </c>
      <c r="C89" s="107" t="s">
        <v>341</v>
      </c>
      <c r="D89" s="108">
        <v>0</v>
      </c>
      <c r="E89" s="106" t="s">
        <v>487</v>
      </c>
    </row>
    <row ht="15" r="90" spans="1:5" x14ac:dyDescent="0.25">
      <c r="A90" s="107">
        <v>400</v>
      </c>
      <c r="B90" s="107" t="s">
        <v>488</v>
      </c>
      <c r="C90" s="107" t="s">
        <v>322</v>
      </c>
      <c r="D90" s="112">
        <v>-2.3982761737499998</v>
      </c>
      <c r="E90" s="106" t="s">
        <v>489</v>
      </c>
    </row>
    <row ht="15" r="91" spans="1:5" x14ac:dyDescent="0.25">
      <c r="A91" s="107">
        <v>401</v>
      </c>
      <c r="B91" s="107" t="s">
        <v>490</v>
      </c>
      <c r="C91" s="107" t="s">
        <v>322</v>
      </c>
      <c r="D91" s="112">
        <v>1.76216764608</v>
      </c>
      <c r="E91" s="106" t="s">
        <v>491</v>
      </c>
    </row>
    <row ht="15" r="92" spans="1:5" x14ac:dyDescent="0.25">
      <c r="A92" s="107">
        <v>402</v>
      </c>
      <c r="B92" s="107" t="s">
        <v>492</v>
      </c>
      <c r="C92" s="107" t="s">
        <v>322</v>
      </c>
      <c r="D92" s="108">
        <v>0.19320373610399999</v>
      </c>
      <c r="E92" s="106" t="s">
        <v>493</v>
      </c>
    </row>
    <row ht="15" r="93" spans="1:5" x14ac:dyDescent="0.25">
      <c r="A93" s="107">
        <v>403</v>
      </c>
      <c r="B93" s="107" t="s">
        <v>494</v>
      </c>
      <c r="C93" s="107" t="s">
        <v>322</v>
      </c>
      <c r="D93" s="108">
        <v>0.52545543591999999</v>
      </c>
      <c r="E93" s="106" t="s">
        <v>495</v>
      </c>
    </row>
    <row ht="15" r="94" spans="1:5" x14ac:dyDescent="0.25">
      <c r="A94" s="107">
        <v>404</v>
      </c>
      <c r="B94" s="107" t="s">
        <v>496</v>
      </c>
      <c r="C94" s="107" t="s">
        <v>322</v>
      </c>
      <c r="D94" s="108">
        <v>0.41321074580299999</v>
      </c>
      <c r="E94" s="106" t="s">
        <v>497</v>
      </c>
    </row>
    <row ht="15" r="95" spans="1:5" x14ac:dyDescent="0.25">
      <c r="A95" s="107">
        <v>405</v>
      </c>
      <c r="B95" s="107" t="s">
        <v>498</v>
      </c>
      <c r="C95" s="107" t="s">
        <v>341</v>
      </c>
      <c r="D95" s="108">
        <v>0</v>
      </c>
      <c r="E95" s="106" t="s">
        <v>499</v>
      </c>
    </row>
    <row ht="15" r="96" spans="1:5" x14ac:dyDescent="0.25">
      <c r="A96" s="107">
        <v>406</v>
      </c>
      <c r="B96" s="107" t="s">
        <v>500</v>
      </c>
      <c r="C96" s="107" t="s">
        <v>322</v>
      </c>
      <c r="D96" s="108">
        <v>-0.28000928906599998</v>
      </c>
      <c r="E96" s="106" t="s">
        <v>501</v>
      </c>
    </row>
    <row ht="15" r="97" spans="1:5" x14ac:dyDescent="0.25">
      <c r="A97" s="107">
        <v>407</v>
      </c>
      <c r="B97" s="107" t="s">
        <v>502</v>
      </c>
      <c r="C97" s="107" t="s">
        <v>322</v>
      </c>
      <c r="D97" s="108">
        <v>-0.44484435744700002</v>
      </c>
      <c r="E97" s="106" t="s">
        <v>503</v>
      </c>
    </row>
    <row ht="15" r="98" spans="1:5" x14ac:dyDescent="0.25">
      <c r="A98" s="107">
        <v>408</v>
      </c>
      <c r="B98" s="107" t="s">
        <v>504</v>
      </c>
      <c r="C98" s="107" t="s">
        <v>322</v>
      </c>
      <c r="D98" s="108">
        <v>-0.56977797245299999</v>
      </c>
      <c r="E98" s="106" t="s">
        <v>505</v>
      </c>
    </row>
    <row ht="15" r="99" spans="1:5" x14ac:dyDescent="0.25">
      <c r="A99" s="107">
        <v>409</v>
      </c>
      <c r="B99" s="107" t="s">
        <v>506</v>
      </c>
      <c r="C99" s="107" t="s">
        <v>322</v>
      </c>
      <c r="D99" s="108">
        <v>-0.14054445235400001</v>
      </c>
      <c r="E99" s="106" t="s">
        <v>507</v>
      </c>
    </row>
    <row ht="15" r="100" spans="1:5" x14ac:dyDescent="0.25">
      <c r="A100" s="107">
        <v>410</v>
      </c>
      <c r="B100" s="107" t="s">
        <v>508</v>
      </c>
      <c r="C100" s="107" t="s">
        <v>341</v>
      </c>
      <c r="D100" s="108">
        <v>0</v>
      </c>
      <c r="E100" s="106" t="s">
        <v>509</v>
      </c>
    </row>
    <row ht="15" r="101" spans="1:5" x14ac:dyDescent="0.25">
      <c r="A101" s="107">
        <v>411</v>
      </c>
      <c r="B101" s="107" t="s">
        <v>510</v>
      </c>
      <c r="C101" s="107" t="s">
        <v>322</v>
      </c>
      <c r="D101" s="108">
        <v>0.115311648879</v>
      </c>
      <c r="E101" s="106" t="s">
        <v>511</v>
      </c>
    </row>
    <row ht="15" r="102" spans="1:5" x14ac:dyDescent="0.25">
      <c r="A102" s="107">
        <v>412</v>
      </c>
      <c r="B102" s="107" t="s">
        <v>512</v>
      </c>
      <c r="C102" s="107" t="s">
        <v>322</v>
      </c>
      <c r="D102" s="108">
        <v>9.47178749948E-2</v>
      </c>
      <c r="E102" s="106" t="s">
        <v>513</v>
      </c>
    </row>
    <row ht="15" r="103" spans="1:5" x14ac:dyDescent="0.25">
      <c r="A103" s="107">
        <v>413</v>
      </c>
      <c r="B103" s="107" t="s">
        <v>514</v>
      </c>
      <c r="C103" s="107" t="s">
        <v>322</v>
      </c>
      <c r="D103" s="108">
        <v>6.1244785304499998E-2</v>
      </c>
      <c r="E103" s="106" t="s">
        <v>515</v>
      </c>
    </row>
    <row ht="15" r="104" spans="1:5" x14ac:dyDescent="0.25">
      <c r="A104" s="107">
        <v>414</v>
      </c>
      <c r="B104" s="107" t="s">
        <v>516</v>
      </c>
      <c r="C104" s="107" t="s">
        <v>341</v>
      </c>
      <c r="D104" s="108">
        <v>0</v>
      </c>
      <c r="E104" s="106" t="s">
        <v>517</v>
      </c>
    </row>
    <row ht="15" r="105" spans="1:5" x14ac:dyDescent="0.25">
      <c r="A105" s="107"/>
      <c r="B105" s="107"/>
      <c r="C105" s="107"/>
      <c r="D105" s="108"/>
      <c r="E105" s="106" t="s">
        <v>518</v>
      </c>
    </row>
    <row ht="15" r="106" spans="1:5" x14ac:dyDescent="0.25">
      <c r="A106" s="107">
        <v>416</v>
      </c>
      <c r="B106" s="107" t="s">
        <v>519</v>
      </c>
      <c r="C106" s="107" t="s">
        <v>341</v>
      </c>
      <c r="D106" s="108">
        <v>0</v>
      </c>
      <c r="E106" s="106" t="s">
        <v>520</v>
      </c>
    </row>
    <row ht="15" r="107" spans="1:5" x14ac:dyDescent="0.25">
      <c r="A107" s="107">
        <v>417</v>
      </c>
      <c r="B107" s="107" t="s">
        <v>521</v>
      </c>
      <c r="C107" s="107" t="s">
        <v>322</v>
      </c>
      <c r="D107" s="108">
        <v>-0.40965813037100002</v>
      </c>
      <c r="E107" s="106" t="s">
        <v>522</v>
      </c>
    </row>
    <row ht="15" r="108" spans="1:5" x14ac:dyDescent="0.25">
      <c r="A108" s="107">
        <v>418</v>
      </c>
      <c r="B108" s="107" t="s">
        <v>523</v>
      </c>
      <c r="C108" s="107" t="s">
        <v>322</v>
      </c>
      <c r="D108" s="108">
        <v>-0.27272828309399999</v>
      </c>
      <c r="E108" s="106" t="s">
        <v>524</v>
      </c>
    </row>
    <row ht="15" r="109" spans="1:5" x14ac:dyDescent="0.25">
      <c r="A109" s="107">
        <v>419</v>
      </c>
      <c r="B109" s="107" t="s">
        <v>525</v>
      </c>
      <c r="C109" s="107" t="s">
        <v>341</v>
      </c>
      <c r="D109" s="108">
        <v>0</v>
      </c>
      <c r="E109" s="106" t="s">
        <v>526</v>
      </c>
    </row>
    <row ht="15" r="110" spans="1:5" x14ac:dyDescent="0.25">
      <c r="A110" s="107">
        <v>420</v>
      </c>
      <c r="B110" s="107" t="s">
        <v>527</v>
      </c>
      <c r="C110" s="107" t="s">
        <v>322</v>
      </c>
      <c r="D110" s="108">
        <v>-0.47043638995300002</v>
      </c>
      <c r="E110" s="106" t="s">
        <v>528</v>
      </c>
    </row>
    <row ht="15" r="111" spans="1:5" x14ac:dyDescent="0.25">
      <c r="A111" s="107">
        <v>421</v>
      </c>
      <c r="B111" s="107" t="s">
        <v>529</v>
      </c>
      <c r="C111" s="107" t="s">
        <v>322</v>
      </c>
      <c r="D111" s="108">
        <v>-0.37600681948100001</v>
      </c>
      <c r="E111" s="106" t="s">
        <v>530</v>
      </c>
    </row>
    <row ht="15" r="112" spans="1:5" x14ac:dyDescent="0.25">
      <c r="A112" s="107">
        <v>422</v>
      </c>
      <c r="B112" s="107" t="s">
        <v>531</v>
      </c>
      <c r="C112" s="107" t="s">
        <v>322</v>
      </c>
      <c r="D112" s="108">
        <v>-0.209864278569</v>
      </c>
      <c r="E112" s="106" t="s">
        <v>532</v>
      </c>
    </row>
    <row ht="15" r="113" spans="1:5" x14ac:dyDescent="0.25">
      <c r="A113" s="107">
        <v>423</v>
      </c>
      <c r="B113" s="107" t="s">
        <v>533</v>
      </c>
      <c r="C113" s="107" t="s">
        <v>322</v>
      </c>
      <c r="D113" s="108">
        <v>9.4396255009400007E-2</v>
      </c>
      <c r="E113" s="106" t="s">
        <v>534</v>
      </c>
    </row>
    <row ht="15" r="114" spans="1:5" x14ac:dyDescent="0.25">
      <c r="A114" s="107">
        <v>424</v>
      </c>
      <c r="B114" s="107" t="s">
        <v>535</v>
      </c>
      <c r="C114" s="107" t="s">
        <v>341</v>
      </c>
      <c r="D114" s="108">
        <v>0</v>
      </c>
      <c r="E114" s="106" t="s">
        <v>536</v>
      </c>
    </row>
    <row ht="15" r="115" spans="1:5" x14ac:dyDescent="0.25">
      <c r="A115" s="107">
        <v>425</v>
      </c>
      <c r="B115" s="107" t="s">
        <v>537</v>
      </c>
      <c r="C115" s="107" t="s">
        <v>341</v>
      </c>
      <c r="D115" s="108">
        <v>0</v>
      </c>
      <c r="E115" s="106" t="s">
        <v>538</v>
      </c>
    </row>
    <row ht="15" r="116" spans="1:5" x14ac:dyDescent="0.25">
      <c r="A116" s="107">
        <v>426</v>
      </c>
      <c r="B116" s="107" t="s">
        <v>539</v>
      </c>
      <c r="C116" s="107" t="s">
        <v>341</v>
      </c>
      <c r="D116" s="108">
        <v>0</v>
      </c>
      <c r="E116" s="106" t="s">
        <v>540</v>
      </c>
    </row>
    <row ht="15" r="117" spans="1:5" x14ac:dyDescent="0.25">
      <c r="A117" s="107">
        <v>427</v>
      </c>
      <c r="B117" s="107" t="s">
        <v>541</v>
      </c>
      <c r="C117" s="107" t="s">
        <v>341</v>
      </c>
      <c r="D117" s="108">
        <v>0</v>
      </c>
      <c r="E117" s="106" t="s">
        <v>542</v>
      </c>
    </row>
    <row ht="15" r="118" spans="1:5" x14ac:dyDescent="0.25">
      <c r="A118" s="107">
        <v>428</v>
      </c>
      <c r="B118" s="107" t="s">
        <v>543</v>
      </c>
      <c r="C118" s="107" t="s">
        <v>322</v>
      </c>
      <c r="D118" s="108">
        <v>1.73847560434E-2</v>
      </c>
      <c r="E118" s="106" t="s">
        <v>542</v>
      </c>
    </row>
    <row ht="15" r="119" spans="1:5" x14ac:dyDescent="0.25">
      <c r="A119" s="107">
        <v>429</v>
      </c>
      <c r="B119" s="107" t="s">
        <v>544</v>
      </c>
      <c r="C119" s="107" t="s">
        <v>322</v>
      </c>
      <c r="D119" s="108">
        <v>-5.59466962609E-2</v>
      </c>
      <c r="E119" s="106" t="s">
        <v>542</v>
      </c>
    </row>
    <row ht="15" r="120" spans="1:5" x14ac:dyDescent="0.25">
      <c r="A120" s="107">
        <v>451</v>
      </c>
      <c r="B120" s="107" t="s">
        <v>545</v>
      </c>
      <c r="C120" s="107" t="s">
        <v>341</v>
      </c>
      <c r="D120" s="108">
        <v>0</v>
      </c>
      <c r="E120" s="106" t="s">
        <v>546</v>
      </c>
    </row>
    <row ht="15" r="121" spans="1:5" x14ac:dyDescent="0.25">
      <c r="A121" s="107">
        <v>500</v>
      </c>
      <c r="B121" s="107" t="s">
        <v>547</v>
      </c>
      <c r="C121" s="107" t="s">
        <v>322</v>
      </c>
      <c r="D121" s="112">
        <v>-2.8894802391700001</v>
      </c>
      <c r="E121" s="106" t="s">
        <v>548</v>
      </c>
    </row>
    <row ht="15" r="122" spans="1:5" x14ac:dyDescent="0.25">
      <c r="A122" s="107">
        <v>501</v>
      </c>
      <c r="B122" s="107" t="s">
        <v>549</v>
      </c>
      <c r="C122" s="107" t="s">
        <v>322</v>
      </c>
      <c r="D122" s="112">
        <v>1.20019223739</v>
      </c>
      <c r="E122" s="106" t="s">
        <v>550</v>
      </c>
    </row>
    <row ht="15" r="123" spans="1:5" x14ac:dyDescent="0.25">
      <c r="A123" s="107">
        <v>502</v>
      </c>
      <c r="B123" s="107" t="s">
        <v>551</v>
      </c>
      <c r="C123" s="107" t="s">
        <v>322</v>
      </c>
      <c r="D123" s="108">
        <v>5.8380087117899999E-2</v>
      </c>
      <c r="E123" s="106" t="s">
        <v>552</v>
      </c>
    </row>
    <row ht="15" r="124" spans="1:5" x14ac:dyDescent="0.25">
      <c r="A124" s="107">
        <v>503</v>
      </c>
      <c r="B124" s="107" t="s">
        <v>553</v>
      </c>
      <c r="C124" s="107" t="s">
        <v>322</v>
      </c>
      <c r="D124" s="108">
        <v>0.203681069582</v>
      </c>
      <c r="E124" s="106" t="s">
        <v>554</v>
      </c>
    </row>
    <row ht="15" r="125" spans="1:5" x14ac:dyDescent="0.25">
      <c r="A125" s="107">
        <v>504</v>
      </c>
      <c r="B125" s="107" t="s">
        <v>555</v>
      </c>
      <c r="C125" s="107" t="s">
        <v>322</v>
      </c>
      <c r="D125" s="108">
        <v>0.46146093992800002</v>
      </c>
      <c r="E125" s="106" t="s">
        <v>556</v>
      </c>
    </row>
    <row ht="15" r="126" spans="1:5" x14ac:dyDescent="0.25">
      <c r="A126" s="107">
        <v>505</v>
      </c>
      <c r="B126" s="107" t="s">
        <v>557</v>
      </c>
      <c r="C126" s="107" t="s">
        <v>322</v>
      </c>
      <c r="D126" s="108">
        <v>0.221710710605</v>
      </c>
      <c r="E126" s="106" t="s">
        <v>558</v>
      </c>
    </row>
    <row ht="15" r="127" spans="1:5" x14ac:dyDescent="0.25">
      <c r="A127" s="107">
        <v>506</v>
      </c>
      <c r="B127" s="107" t="s">
        <v>559</v>
      </c>
      <c r="C127" s="107" t="s">
        <v>322</v>
      </c>
      <c r="D127" s="108">
        <v>-0.47361611325699998</v>
      </c>
      <c r="E127" s="106" t="s">
        <v>560</v>
      </c>
    </row>
    <row ht="15" r="128" spans="1:5" x14ac:dyDescent="0.25">
      <c r="A128" s="107">
        <v>507</v>
      </c>
      <c r="B128" s="107" t="s">
        <v>561</v>
      </c>
      <c r="C128" s="107" t="s">
        <v>322</v>
      </c>
      <c r="D128" s="108">
        <v>-0.55915518403499997</v>
      </c>
      <c r="E128" s="106" t="s">
        <v>562</v>
      </c>
    </row>
    <row ht="15" r="129" spans="1:5" x14ac:dyDescent="0.25">
      <c r="A129" s="107">
        <v>508</v>
      </c>
      <c r="B129" s="107" t="s">
        <v>563</v>
      </c>
      <c r="C129" s="107" t="s">
        <v>341</v>
      </c>
      <c r="D129" s="108">
        <v>0</v>
      </c>
      <c r="E129" s="106" t="s">
        <v>564</v>
      </c>
    </row>
    <row ht="15" r="130" spans="1:5" x14ac:dyDescent="0.25">
      <c r="A130" s="107">
        <v>509</v>
      </c>
      <c r="B130" s="107" t="s">
        <v>565</v>
      </c>
      <c r="C130" s="107" t="s">
        <v>322</v>
      </c>
      <c r="D130" s="108">
        <v>-0.17146619609700001</v>
      </c>
      <c r="E130" s="106" t="s">
        <v>566</v>
      </c>
    </row>
    <row ht="15" r="131" spans="1:5" x14ac:dyDescent="0.25">
      <c r="A131" s="107">
        <v>510</v>
      </c>
      <c r="B131" s="107" t="s">
        <v>567</v>
      </c>
      <c r="C131" s="107" t="s">
        <v>341</v>
      </c>
      <c r="D131" s="108">
        <v>0</v>
      </c>
      <c r="E131" s="106" t="s">
        <v>568</v>
      </c>
    </row>
    <row ht="15" r="132" spans="1:5" x14ac:dyDescent="0.25">
      <c r="A132" s="107">
        <v>511</v>
      </c>
      <c r="B132" s="107" t="s">
        <v>569</v>
      </c>
      <c r="C132" s="107" t="s">
        <v>341</v>
      </c>
      <c r="D132" s="108">
        <v>0</v>
      </c>
      <c r="E132" s="106" t="s">
        <v>570</v>
      </c>
    </row>
    <row ht="15" r="133" spans="1:5" x14ac:dyDescent="0.25">
      <c r="A133" s="107">
        <v>512</v>
      </c>
      <c r="B133" s="107" t="s">
        <v>571</v>
      </c>
      <c r="C133" s="107" t="s">
        <v>322</v>
      </c>
      <c r="D133" s="108">
        <v>0.107493865359</v>
      </c>
      <c r="E133" s="106" t="s">
        <v>572</v>
      </c>
    </row>
    <row ht="15" r="134" spans="1:5" x14ac:dyDescent="0.25">
      <c r="A134" s="107">
        <v>513</v>
      </c>
      <c r="B134" s="107" t="s">
        <v>573</v>
      </c>
      <c r="C134" s="107" t="s">
        <v>322</v>
      </c>
      <c r="D134" s="108">
        <v>0.26453943645099998</v>
      </c>
      <c r="E134" s="106" t="s">
        <v>574</v>
      </c>
    </row>
    <row ht="15" r="135" spans="1:5" x14ac:dyDescent="0.25">
      <c r="A135" s="107">
        <v>514</v>
      </c>
      <c r="B135" s="107" t="s">
        <v>575</v>
      </c>
      <c r="C135" s="107" t="s">
        <v>341</v>
      </c>
      <c r="D135" s="108">
        <v>0</v>
      </c>
      <c r="E135" s="106" t="s">
        <v>576</v>
      </c>
    </row>
    <row ht="15" r="136" spans="1:5" x14ac:dyDescent="0.25">
      <c r="A136" s="107"/>
      <c r="B136" s="107"/>
      <c r="C136" s="107"/>
      <c r="D136" s="108"/>
      <c r="E136" s="106" t="s">
        <v>577</v>
      </c>
    </row>
    <row ht="15" r="137" spans="1:5" x14ac:dyDescent="0.25">
      <c r="A137" s="107">
        <v>516</v>
      </c>
      <c r="B137" s="107" t="s">
        <v>578</v>
      </c>
      <c r="C137" s="107" t="s">
        <v>322</v>
      </c>
      <c r="D137" s="108">
        <v>0.17106021717600001</v>
      </c>
      <c r="E137" s="106" t="s">
        <v>579</v>
      </c>
    </row>
    <row ht="15" r="138" spans="1:5" x14ac:dyDescent="0.25">
      <c r="A138" s="107">
        <v>517</v>
      </c>
      <c r="B138" s="107" t="s">
        <v>580</v>
      </c>
      <c r="C138" s="107" t="s">
        <v>341</v>
      </c>
      <c r="D138" s="108">
        <v>0</v>
      </c>
      <c r="E138" s="106" t="s">
        <v>581</v>
      </c>
    </row>
    <row ht="15" r="139" spans="1:5" x14ac:dyDescent="0.25">
      <c r="A139" s="107">
        <v>518</v>
      </c>
      <c r="B139" s="107" t="s">
        <v>582</v>
      </c>
      <c r="C139" s="107" t="s">
        <v>341</v>
      </c>
      <c r="D139" s="108">
        <v>0</v>
      </c>
      <c r="E139" s="106" t="s">
        <v>583</v>
      </c>
    </row>
    <row ht="15" r="140" spans="1:5" x14ac:dyDescent="0.25">
      <c r="A140" s="107">
        <v>519</v>
      </c>
      <c r="B140" s="107" t="s">
        <v>584</v>
      </c>
      <c r="C140" s="107" t="s">
        <v>322</v>
      </c>
      <c r="D140" s="108">
        <v>-0.35204692353900002</v>
      </c>
      <c r="E140" s="106" t="s">
        <v>585</v>
      </c>
    </row>
    <row ht="15" r="141" spans="1:5" x14ac:dyDescent="0.25">
      <c r="A141" s="107">
        <v>520</v>
      </c>
      <c r="B141" s="107" t="s">
        <v>586</v>
      </c>
      <c r="C141" s="107" t="s">
        <v>341</v>
      </c>
      <c r="D141" s="108">
        <v>0</v>
      </c>
      <c r="E141" s="106" t="s">
        <v>587</v>
      </c>
    </row>
    <row ht="15" r="142" spans="1:5" x14ac:dyDescent="0.25">
      <c r="A142" s="107">
        <v>521</v>
      </c>
      <c r="B142" s="107" t="s">
        <v>588</v>
      </c>
      <c r="C142" s="107" t="s">
        <v>322</v>
      </c>
      <c r="D142" s="108">
        <v>-0.30791030020900001</v>
      </c>
      <c r="E142" s="106" t="s">
        <v>589</v>
      </c>
    </row>
    <row ht="15" r="143" spans="1:5" x14ac:dyDescent="0.25">
      <c r="A143" s="107">
        <v>522</v>
      </c>
      <c r="B143" s="107" t="s">
        <v>590</v>
      </c>
      <c r="C143" s="107" t="s">
        <v>322</v>
      </c>
      <c r="D143" s="108">
        <v>-0.29888855118699997</v>
      </c>
      <c r="E143" s="106" t="s">
        <v>591</v>
      </c>
    </row>
    <row ht="15" r="144" spans="1:5" x14ac:dyDescent="0.25">
      <c r="A144" s="107">
        <v>523</v>
      </c>
      <c r="B144" s="107" t="s">
        <v>592</v>
      </c>
      <c r="C144" s="107" t="s">
        <v>322</v>
      </c>
      <c r="D144" s="108">
        <v>8.0266289956400005E-2</v>
      </c>
      <c r="E144" s="106" t="s">
        <v>593</v>
      </c>
    </row>
    <row ht="15" r="145" spans="1:5" x14ac:dyDescent="0.25">
      <c r="A145" s="107">
        <v>524</v>
      </c>
      <c r="B145" s="107" t="s">
        <v>594</v>
      </c>
      <c r="C145" s="107" t="s">
        <v>341</v>
      </c>
      <c r="D145" s="108">
        <v>0</v>
      </c>
      <c r="E145" s="106" t="s">
        <v>595</v>
      </c>
    </row>
    <row ht="15" r="146" spans="1:5" x14ac:dyDescent="0.25">
      <c r="A146" s="107">
        <v>525</v>
      </c>
      <c r="B146" s="107" t="s">
        <v>596</v>
      </c>
      <c r="C146" s="107" t="s">
        <v>341</v>
      </c>
      <c r="D146" s="108">
        <v>0</v>
      </c>
      <c r="E146" s="106" t="s">
        <v>597</v>
      </c>
    </row>
    <row ht="15" r="147" spans="1:5" x14ac:dyDescent="0.25">
      <c r="A147" s="107">
        <v>526</v>
      </c>
      <c r="B147" s="107" t="s">
        <v>598</v>
      </c>
      <c r="C147" s="107" t="s">
        <v>341</v>
      </c>
      <c r="D147" s="108">
        <v>0</v>
      </c>
      <c r="E147" s="106" t="s">
        <v>599</v>
      </c>
    </row>
    <row ht="15" r="148" spans="1:5" x14ac:dyDescent="0.25">
      <c r="A148" s="107">
        <v>527</v>
      </c>
      <c r="B148" s="107" t="s">
        <v>600</v>
      </c>
      <c r="C148" s="107" t="s">
        <v>341</v>
      </c>
      <c r="D148" s="108">
        <v>0</v>
      </c>
      <c r="E148" s="106" t="s">
        <v>601</v>
      </c>
    </row>
    <row ht="15" r="149" spans="1:5" x14ac:dyDescent="0.25">
      <c r="A149" s="107">
        <v>528</v>
      </c>
      <c r="B149" s="107" t="s">
        <v>602</v>
      </c>
      <c r="C149" s="107" t="s">
        <v>322</v>
      </c>
      <c r="D149" s="108">
        <v>5.4115472884499999E-2</v>
      </c>
      <c r="E149" s="106" t="s">
        <v>601</v>
      </c>
    </row>
    <row ht="15" r="150" spans="1:5" x14ac:dyDescent="0.25">
      <c r="A150" s="107">
        <v>529</v>
      </c>
      <c r="B150" s="107" t="s">
        <v>603</v>
      </c>
      <c r="C150" s="107" t="s">
        <v>322</v>
      </c>
      <c r="D150" s="108">
        <v>-2.8648428481899999E-2</v>
      </c>
      <c r="E150" s="106" t="s">
        <v>601</v>
      </c>
    </row>
    <row ht="15" r="151" spans="1:5" x14ac:dyDescent="0.25">
      <c r="A151" s="107">
        <v>551</v>
      </c>
      <c r="B151" s="107" t="s">
        <v>604</v>
      </c>
      <c r="C151" s="107" t="s">
        <v>341</v>
      </c>
      <c r="D151" s="108">
        <v>0</v>
      </c>
      <c r="E151" s="106" t="s">
        <v>605</v>
      </c>
    </row>
    <row ht="15" r="152" spans="1:5" x14ac:dyDescent="0.25">
      <c r="A152" s="107">
        <v>600</v>
      </c>
      <c r="B152" s="107" t="s">
        <v>606</v>
      </c>
      <c r="C152" s="107" t="s">
        <v>322</v>
      </c>
      <c r="D152" s="112">
        <v>-3.1425534854400001</v>
      </c>
      <c r="E152" s="106" t="s">
        <v>607</v>
      </c>
    </row>
    <row ht="15" r="153" spans="1:5" x14ac:dyDescent="0.25">
      <c r="A153" s="107">
        <v>601</v>
      </c>
      <c r="B153" s="107" t="s">
        <v>608</v>
      </c>
      <c r="C153" s="107" t="s">
        <v>322</v>
      </c>
      <c r="D153" s="112">
        <v>0.46830660861500001</v>
      </c>
      <c r="E153" s="106" t="s">
        <v>609</v>
      </c>
    </row>
    <row ht="15" r="154" spans="1:5" x14ac:dyDescent="0.25">
      <c r="A154" s="107">
        <v>602</v>
      </c>
      <c r="B154" s="107" t="s">
        <v>610</v>
      </c>
      <c r="C154" s="107" t="s">
        <v>322</v>
      </c>
      <c r="D154" s="108">
        <v>-0.25863723025500002</v>
      </c>
      <c r="E154" s="106" t="s">
        <v>611</v>
      </c>
    </row>
    <row ht="15" r="155" spans="1:5" x14ac:dyDescent="0.25">
      <c r="A155" s="107">
        <v>603</v>
      </c>
      <c r="B155" s="107" t="s">
        <v>612</v>
      </c>
      <c r="C155" s="107" t="s">
        <v>341</v>
      </c>
      <c r="D155" s="108">
        <v>0</v>
      </c>
      <c r="E155" s="106" t="s">
        <v>613</v>
      </c>
    </row>
    <row ht="15" r="156" spans="1:5" x14ac:dyDescent="0.25">
      <c r="A156" s="107">
        <v>604</v>
      </c>
      <c r="B156" s="107" t="s">
        <v>614</v>
      </c>
      <c r="C156" s="107" t="s">
        <v>341</v>
      </c>
      <c r="D156" s="108">
        <v>0</v>
      </c>
      <c r="E156" s="106" t="s">
        <v>615</v>
      </c>
    </row>
    <row ht="15" r="157" spans="1:5" x14ac:dyDescent="0.25">
      <c r="A157" s="107">
        <v>605</v>
      </c>
      <c r="B157" s="107" t="s">
        <v>616</v>
      </c>
      <c r="C157" s="107" t="s">
        <v>341</v>
      </c>
      <c r="D157" s="108">
        <v>0</v>
      </c>
      <c r="E157" s="106" t="s">
        <v>617</v>
      </c>
    </row>
    <row ht="15" r="158" spans="1:5" x14ac:dyDescent="0.25">
      <c r="A158" s="107">
        <v>606</v>
      </c>
      <c r="B158" s="107" t="s">
        <v>618</v>
      </c>
      <c r="C158" s="107" t="s">
        <v>322</v>
      </c>
      <c r="D158" s="108">
        <v>-0.43185728271200002</v>
      </c>
      <c r="E158" s="106" t="s">
        <v>619</v>
      </c>
    </row>
    <row ht="15" r="159" spans="1:5" x14ac:dyDescent="0.25">
      <c r="A159" s="107">
        <v>607</v>
      </c>
      <c r="B159" s="107" t="s">
        <v>620</v>
      </c>
      <c r="C159" s="107" t="s">
        <v>322</v>
      </c>
      <c r="D159" s="108">
        <v>-0.761624854909</v>
      </c>
      <c r="E159" s="106" t="s">
        <v>621</v>
      </c>
    </row>
    <row ht="15" r="160" spans="1:5" x14ac:dyDescent="0.25">
      <c r="A160" s="107">
        <v>608</v>
      </c>
      <c r="B160" s="107" t="s">
        <v>622</v>
      </c>
      <c r="C160" s="107" t="s">
        <v>322</v>
      </c>
      <c r="D160" s="108">
        <v>-0.333105150643</v>
      </c>
      <c r="E160" s="106" t="s">
        <v>623</v>
      </c>
    </row>
    <row ht="15" r="161" spans="1:5" x14ac:dyDescent="0.25">
      <c r="A161" s="107">
        <v>609</v>
      </c>
      <c r="B161" s="107" t="s">
        <v>624</v>
      </c>
      <c r="C161" s="107" t="s">
        <v>322</v>
      </c>
      <c r="D161" s="108">
        <v>-0.13926104036799999</v>
      </c>
      <c r="E161" s="106" t="s">
        <v>625</v>
      </c>
    </row>
    <row ht="15" r="162" spans="1:5" x14ac:dyDescent="0.25">
      <c r="A162" s="107">
        <v>610</v>
      </c>
      <c r="B162" s="107" t="s">
        <v>626</v>
      </c>
      <c r="C162" s="107" t="s">
        <v>322</v>
      </c>
      <c r="D162" s="108">
        <v>-0.138284140981</v>
      </c>
      <c r="E162" s="106" t="s">
        <v>627</v>
      </c>
    </row>
    <row ht="15" r="163" spans="1:5" x14ac:dyDescent="0.25">
      <c r="A163" s="107">
        <v>611</v>
      </c>
      <c r="B163" s="107" t="s">
        <v>628</v>
      </c>
      <c r="C163" s="107" t="s">
        <v>341</v>
      </c>
      <c r="D163" s="108">
        <v>0</v>
      </c>
      <c r="E163" s="106" t="s">
        <v>629</v>
      </c>
    </row>
    <row ht="15" r="164" spans="1:5" x14ac:dyDescent="0.25">
      <c r="A164" s="107">
        <v>612</v>
      </c>
      <c r="B164" s="107" t="s">
        <v>630</v>
      </c>
      <c r="C164" s="107" t="s">
        <v>322</v>
      </c>
      <c r="D164" s="108">
        <v>0.113283156875</v>
      </c>
      <c r="E164" s="106" t="s">
        <v>631</v>
      </c>
    </row>
    <row ht="15" r="165" spans="1:5" x14ac:dyDescent="0.25">
      <c r="A165" s="107">
        <v>613</v>
      </c>
      <c r="B165" s="107" t="s">
        <v>632</v>
      </c>
      <c r="C165" s="107" t="s">
        <v>341</v>
      </c>
      <c r="D165" s="108">
        <v>0</v>
      </c>
      <c r="E165" s="106" t="s">
        <v>633</v>
      </c>
    </row>
    <row ht="15" r="166" spans="1:5" x14ac:dyDescent="0.25">
      <c r="A166" s="107">
        <v>614</v>
      </c>
      <c r="B166" s="107" t="s">
        <v>634</v>
      </c>
      <c r="C166" s="107" t="s">
        <v>341</v>
      </c>
      <c r="D166" s="108">
        <v>0</v>
      </c>
      <c r="E166" s="106" t="s">
        <v>635</v>
      </c>
    </row>
    <row ht="15" r="167" spans="1:5" x14ac:dyDescent="0.25">
      <c r="A167" s="107"/>
      <c r="B167" s="107"/>
      <c r="C167" s="107"/>
      <c r="D167" s="108"/>
      <c r="E167" s="106" t="s">
        <v>636</v>
      </c>
    </row>
    <row ht="15" r="168" spans="1:5" x14ac:dyDescent="0.25">
      <c r="A168" s="107">
        <v>616</v>
      </c>
      <c r="B168" s="107" t="s">
        <v>637</v>
      </c>
      <c r="C168" s="107" t="s">
        <v>322</v>
      </c>
      <c r="D168" s="108">
        <v>-0.14819313325899999</v>
      </c>
      <c r="E168" s="106" t="s">
        <v>638</v>
      </c>
    </row>
    <row ht="15" r="169" spans="1:5" x14ac:dyDescent="0.25">
      <c r="A169" s="107">
        <v>617</v>
      </c>
      <c r="B169" s="107" t="s">
        <v>639</v>
      </c>
      <c r="C169" s="107" t="s">
        <v>341</v>
      </c>
      <c r="D169" s="108">
        <v>0</v>
      </c>
      <c r="E169" s="106" t="s">
        <v>640</v>
      </c>
    </row>
    <row ht="15" r="170" spans="1:5" x14ac:dyDescent="0.25">
      <c r="A170" s="107">
        <v>618</v>
      </c>
      <c r="B170" s="107" t="s">
        <v>641</v>
      </c>
      <c r="C170" s="107" t="s">
        <v>322</v>
      </c>
      <c r="D170" s="108">
        <v>-0.77235565857900002</v>
      </c>
      <c r="E170" s="106" t="s">
        <v>642</v>
      </c>
    </row>
    <row ht="15" r="171" spans="1:5" x14ac:dyDescent="0.25">
      <c r="A171" s="107">
        <v>619</v>
      </c>
      <c r="B171" s="107" t="s">
        <v>643</v>
      </c>
      <c r="C171" s="107" t="s">
        <v>341</v>
      </c>
      <c r="D171" s="108">
        <v>0</v>
      </c>
      <c r="E171" s="106" t="s">
        <v>644</v>
      </c>
    </row>
    <row ht="15" r="172" spans="1:5" x14ac:dyDescent="0.25">
      <c r="A172" s="107">
        <v>620</v>
      </c>
      <c r="B172" s="107" t="s">
        <v>645</v>
      </c>
      <c r="C172" s="107" t="s">
        <v>322</v>
      </c>
      <c r="D172" s="108">
        <v>-0.52846389883400002</v>
      </c>
      <c r="E172" s="106" t="s">
        <v>646</v>
      </c>
    </row>
    <row ht="15" r="173" spans="1:5" x14ac:dyDescent="0.25">
      <c r="A173" s="107">
        <v>621</v>
      </c>
      <c r="B173" s="107" t="s">
        <v>647</v>
      </c>
      <c r="C173" s="107" t="s">
        <v>341</v>
      </c>
      <c r="D173" s="108">
        <v>0</v>
      </c>
      <c r="E173" s="106" t="s">
        <v>648</v>
      </c>
    </row>
    <row ht="15" r="174" spans="1:5" x14ac:dyDescent="0.25">
      <c r="A174" s="107">
        <v>622</v>
      </c>
      <c r="B174" s="107" t="s">
        <v>649</v>
      </c>
      <c r="C174" s="107" t="s">
        <v>341</v>
      </c>
      <c r="D174" s="108">
        <v>0</v>
      </c>
      <c r="E174" s="106" t="s">
        <v>650</v>
      </c>
    </row>
    <row ht="15" r="175" spans="1:5" x14ac:dyDescent="0.25">
      <c r="A175" s="107">
        <v>623</v>
      </c>
      <c r="B175" s="107" t="s">
        <v>651</v>
      </c>
      <c r="C175" s="107" t="s">
        <v>341</v>
      </c>
      <c r="D175" s="108">
        <v>0</v>
      </c>
      <c r="E175" s="106" t="s">
        <v>652</v>
      </c>
    </row>
    <row ht="15" r="176" spans="1:5" x14ac:dyDescent="0.25">
      <c r="A176" s="107">
        <v>624</v>
      </c>
      <c r="B176" s="107" t="s">
        <v>653</v>
      </c>
      <c r="C176" s="107" t="s">
        <v>341</v>
      </c>
      <c r="D176" s="108">
        <v>0</v>
      </c>
      <c r="E176" s="106" t="s">
        <v>654</v>
      </c>
    </row>
    <row ht="15" r="177" spans="1:5" x14ac:dyDescent="0.25">
      <c r="A177" s="107">
        <v>625</v>
      </c>
      <c r="B177" s="107" t="s">
        <v>655</v>
      </c>
      <c r="C177" s="107" t="s">
        <v>341</v>
      </c>
      <c r="D177" s="108">
        <v>0</v>
      </c>
      <c r="E177" s="106" t="s">
        <v>656</v>
      </c>
    </row>
    <row ht="15" r="178" spans="1:5" x14ac:dyDescent="0.25">
      <c r="A178" s="107">
        <v>626</v>
      </c>
      <c r="B178" s="107" t="s">
        <v>657</v>
      </c>
      <c r="C178" s="107" t="s">
        <v>341</v>
      </c>
      <c r="D178" s="108">
        <v>0</v>
      </c>
      <c r="E178" s="106" t="s">
        <v>658</v>
      </c>
    </row>
    <row ht="15" r="179" spans="1:5" x14ac:dyDescent="0.25">
      <c r="A179" s="107">
        <v>627</v>
      </c>
      <c r="B179" s="107" t="s">
        <v>659</v>
      </c>
      <c r="C179" s="107" t="s">
        <v>341</v>
      </c>
      <c r="D179" s="108">
        <v>0</v>
      </c>
      <c r="E179" s="106" t="s">
        <v>660</v>
      </c>
    </row>
    <row ht="15" r="180" spans="1:5" x14ac:dyDescent="0.25">
      <c r="A180" s="107">
        <v>628</v>
      </c>
      <c r="B180" s="107" t="s">
        <v>661</v>
      </c>
      <c r="C180" s="107" t="s">
        <v>322</v>
      </c>
      <c r="D180" s="108">
        <v>1.67714133211E-2</v>
      </c>
      <c r="E180" s="106" t="s">
        <v>660</v>
      </c>
    </row>
    <row ht="15" r="181" spans="1:5" x14ac:dyDescent="0.25">
      <c r="A181" s="107">
        <v>629</v>
      </c>
      <c r="B181" s="107" t="s">
        <v>662</v>
      </c>
      <c r="C181" s="107" t="s">
        <v>322</v>
      </c>
      <c r="D181" s="108">
        <v>-5.7462042074900001E-2</v>
      </c>
      <c r="E181" s="106" t="s">
        <v>660</v>
      </c>
    </row>
    <row ht="15" r="182" spans="1:5" x14ac:dyDescent="0.25">
      <c r="A182" s="107">
        <v>651</v>
      </c>
      <c r="B182" s="107" t="s">
        <v>663</v>
      </c>
      <c r="C182" s="107" t="s">
        <v>341</v>
      </c>
      <c r="D182" s="108">
        <v>0</v>
      </c>
      <c r="E182" s="106" t="s">
        <v>664</v>
      </c>
    </row>
    <row ht="15" r="183" spans="1:5" x14ac:dyDescent="0.25">
      <c r="A183" s="107">
        <v>700</v>
      </c>
      <c r="B183" s="107" t="s">
        <v>665</v>
      </c>
      <c r="C183" s="107" t="s">
        <v>322</v>
      </c>
      <c r="D183" s="112">
        <v>-2.2957108102200001</v>
      </c>
      <c r="E183" s="106" t="s">
        <v>666</v>
      </c>
    </row>
    <row ht="15" r="184" spans="1:5" x14ac:dyDescent="0.25">
      <c r="A184" s="107">
        <v>701</v>
      </c>
      <c r="B184" s="107" t="s">
        <v>667</v>
      </c>
      <c r="C184" s="107" t="s">
        <v>322</v>
      </c>
      <c r="D184" s="112">
        <v>1.0435208703700001</v>
      </c>
      <c r="E184" s="106" t="s">
        <v>668</v>
      </c>
    </row>
    <row ht="15" r="185" spans="1:5" x14ac:dyDescent="0.25">
      <c r="A185" s="107">
        <v>702</v>
      </c>
      <c r="B185" s="107" t="s">
        <v>669</v>
      </c>
      <c r="C185" s="107" t="s">
        <v>341</v>
      </c>
      <c r="D185" s="108">
        <v>0</v>
      </c>
      <c r="E185" s="106" t="s">
        <v>670</v>
      </c>
    </row>
    <row ht="15" r="186" spans="1:5" x14ac:dyDescent="0.25">
      <c r="A186" s="107">
        <v>703</v>
      </c>
      <c r="B186" s="107" t="s">
        <v>671</v>
      </c>
      <c r="C186" s="107" t="s">
        <v>341</v>
      </c>
      <c r="D186" s="108">
        <v>0</v>
      </c>
      <c r="E186" s="106" t="s">
        <v>672</v>
      </c>
    </row>
    <row ht="15" r="187" spans="1:5" x14ac:dyDescent="0.25">
      <c r="A187" s="107">
        <v>704</v>
      </c>
      <c r="B187" s="107" t="s">
        <v>673</v>
      </c>
      <c r="C187" s="107" t="s">
        <v>341</v>
      </c>
      <c r="D187" s="108">
        <v>0</v>
      </c>
      <c r="E187" s="106" t="s">
        <v>674</v>
      </c>
    </row>
    <row ht="15" r="188" spans="1:5" x14ac:dyDescent="0.25">
      <c r="A188" s="107">
        <v>705</v>
      </c>
      <c r="B188" s="107" t="s">
        <v>675</v>
      </c>
      <c r="C188" s="107" t="s">
        <v>341</v>
      </c>
      <c r="D188" s="108">
        <v>0</v>
      </c>
      <c r="E188" s="106" t="s">
        <v>676</v>
      </c>
    </row>
    <row ht="15" r="189" spans="1:5" x14ac:dyDescent="0.25">
      <c r="A189" s="107">
        <v>706</v>
      </c>
      <c r="B189" s="107" t="s">
        <v>677</v>
      </c>
      <c r="C189" s="107" t="s">
        <v>341</v>
      </c>
      <c r="D189" s="108">
        <v>0</v>
      </c>
      <c r="E189" s="106" t="s">
        <v>678</v>
      </c>
    </row>
    <row ht="15" r="190" spans="1:5" x14ac:dyDescent="0.25">
      <c r="A190" s="107">
        <v>707</v>
      </c>
      <c r="B190" s="107" t="s">
        <v>679</v>
      </c>
      <c r="C190" s="107" t="s">
        <v>322</v>
      </c>
      <c r="D190" s="108">
        <v>0.32823377068999998</v>
      </c>
      <c r="E190" s="106" t="s">
        <v>680</v>
      </c>
    </row>
    <row ht="15" r="191" spans="1:5" x14ac:dyDescent="0.25">
      <c r="A191" s="107">
        <v>708</v>
      </c>
      <c r="B191" s="107" t="s">
        <v>681</v>
      </c>
      <c r="C191" s="107" t="s">
        <v>322</v>
      </c>
      <c r="D191" s="108">
        <v>0.35139233343499998</v>
      </c>
      <c r="E191" s="106" t="s">
        <v>682</v>
      </c>
    </row>
    <row ht="15" r="192" spans="1:5" x14ac:dyDescent="0.25">
      <c r="A192" s="107">
        <v>709</v>
      </c>
      <c r="B192" s="107" t="s">
        <v>683</v>
      </c>
      <c r="C192" s="107" t="s">
        <v>322</v>
      </c>
      <c r="D192" s="108">
        <v>-0.32863919348999998</v>
      </c>
      <c r="E192" s="106" t="s">
        <v>684</v>
      </c>
    </row>
    <row ht="15" r="193" spans="1:5" x14ac:dyDescent="0.25">
      <c r="A193" s="107">
        <v>710</v>
      </c>
      <c r="B193" s="107" t="s">
        <v>685</v>
      </c>
      <c r="C193" s="107" t="s">
        <v>322</v>
      </c>
      <c r="D193" s="108">
        <v>-0.20972042282600001</v>
      </c>
      <c r="E193" s="106" t="s">
        <v>686</v>
      </c>
    </row>
    <row ht="15" r="194" spans="1:5" x14ac:dyDescent="0.25">
      <c r="A194" s="107">
        <v>711</v>
      </c>
      <c r="B194" s="107" t="s">
        <v>687</v>
      </c>
      <c r="C194" s="107" t="s">
        <v>322</v>
      </c>
      <c r="D194" s="108">
        <v>0.228834456336</v>
      </c>
      <c r="E194" s="106" t="s">
        <v>688</v>
      </c>
    </row>
    <row ht="15" r="195" spans="1:5" x14ac:dyDescent="0.25">
      <c r="A195" s="107">
        <v>712</v>
      </c>
      <c r="B195" s="107" t="s">
        <v>689</v>
      </c>
      <c r="C195" s="107" t="s">
        <v>322</v>
      </c>
      <c r="D195" s="108">
        <v>8.8648559868700003E-2</v>
      </c>
      <c r="E195" s="106" t="s">
        <v>690</v>
      </c>
    </row>
    <row ht="15" r="196" spans="1:5" x14ac:dyDescent="0.25">
      <c r="A196" s="107">
        <v>713</v>
      </c>
      <c r="B196" s="107" t="s">
        <v>691</v>
      </c>
      <c r="C196" s="107" t="s">
        <v>322</v>
      </c>
      <c r="D196" s="108">
        <v>6.1717359063299997E-2</v>
      </c>
      <c r="E196" s="106" t="s">
        <v>692</v>
      </c>
    </row>
    <row ht="15" r="197" spans="1:5" x14ac:dyDescent="0.25">
      <c r="A197" s="107">
        <v>714</v>
      </c>
      <c r="B197" s="107" t="s">
        <v>693</v>
      </c>
      <c r="C197" s="107" t="s">
        <v>341</v>
      </c>
      <c r="D197" s="108">
        <v>0</v>
      </c>
      <c r="E197" s="106" t="s">
        <v>694</v>
      </c>
    </row>
    <row ht="15" r="198" spans="1:5" x14ac:dyDescent="0.25">
      <c r="A198" s="107"/>
      <c r="B198" s="107"/>
      <c r="C198" s="107"/>
      <c r="D198" s="108"/>
      <c r="E198" s="106" t="s">
        <v>695</v>
      </c>
    </row>
    <row ht="15" r="199" spans="1:5" x14ac:dyDescent="0.25">
      <c r="A199" s="107">
        <v>716</v>
      </c>
      <c r="B199" s="107" t="s">
        <v>696</v>
      </c>
      <c r="C199" s="107" t="s">
        <v>341</v>
      </c>
      <c r="D199" s="108">
        <v>0</v>
      </c>
      <c r="E199" s="106" t="s">
        <v>697</v>
      </c>
    </row>
    <row ht="15" r="200" spans="1:5" x14ac:dyDescent="0.25">
      <c r="A200" s="107">
        <v>717</v>
      </c>
      <c r="B200" s="107" t="s">
        <v>698</v>
      </c>
      <c r="C200" s="107" t="s">
        <v>341</v>
      </c>
      <c r="D200" s="108">
        <v>0</v>
      </c>
      <c r="E200" s="106" t="s">
        <v>699</v>
      </c>
    </row>
    <row ht="15" r="201" spans="1:5" x14ac:dyDescent="0.25">
      <c r="A201" s="107">
        <v>718</v>
      </c>
      <c r="B201" s="107" t="s">
        <v>700</v>
      </c>
      <c r="C201" s="107" t="s">
        <v>322</v>
      </c>
      <c r="D201" s="108">
        <v>-0.34857981358700002</v>
      </c>
      <c r="E201" s="106" t="s">
        <v>701</v>
      </c>
    </row>
    <row ht="15" r="202" spans="1:5" x14ac:dyDescent="0.25">
      <c r="A202" s="107">
        <v>719</v>
      </c>
      <c r="B202" s="107" t="s">
        <v>702</v>
      </c>
      <c r="C202" s="107" t="s">
        <v>341</v>
      </c>
      <c r="D202" s="108">
        <v>0</v>
      </c>
      <c r="E202" s="106" t="s">
        <v>703</v>
      </c>
    </row>
    <row ht="15" r="203" spans="1:5" x14ac:dyDescent="0.25">
      <c r="A203" s="107">
        <v>720</v>
      </c>
      <c r="B203" s="107" t="s">
        <v>704</v>
      </c>
      <c r="C203" s="107" t="s">
        <v>322</v>
      </c>
      <c r="D203" s="108">
        <v>-0.37096408844599998</v>
      </c>
      <c r="E203" s="106" t="s">
        <v>705</v>
      </c>
    </row>
    <row ht="15" r="204" spans="1:5" x14ac:dyDescent="0.25">
      <c r="A204" s="107">
        <v>721</v>
      </c>
      <c r="B204" s="107" t="s">
        <v>706</v>
      </c>
      <c r="C204" s="107" t="s">
        <v>341</v>
      </c>
      <c r="D204" s="108">
        <v>0</v>
      </c>
      <c r="E204" s="106" t="s">
        <v>707</v>
      </c>
    </row>
    <row ht="15" r="205" spans="1:5" x14ac:dyDescent="0.25">
      <c r="A205" s="107">
        <v>722</v>
      </c>
      <c r="B205" s="107" t="s">
        <v>708</v>
      </c>
      <c r="C205" s="107" t="s">
        <v>341</v>
      </c>
      <c r="D205" s="108">
        <v>0</v>
      </c>
      <c r="E205" s="106" t="s">
        <v>709</v>
      </c>
    </row>
    <row ht="15" r="206" spans="1:5" x14ac:dyDescent="0.25">
      <c r="A206" s="107">
        <v>723</v>
      </c>
      <c r="B206" s="107" t="s">
        <v>710</v>
      </c>
      <c r="C206" s="107" t="s">
        <v>322</v>
      </c>
      <c r="D206" s="108">
        <v>-0.27446758810600003</v>
      </c>
      <c r="E206" s="106" t="s">
        <v>711</v>
      </c>
    </row>
    <row ht="15" r="207" spans="1:5" x14ac:dyDescent="0.25">
      <c r="A207" s="107">
        <v>724</v>
      </c>
      <c r="B207" s="107" t="s">
        <v>712</v>
      </c>
      <c r="C207" s="107" t="s">
        <v>322</v>
      </c>
      <c r="D207" s="108">
        <v>-0.54557098181399999</v>
      </c>
      <c r="E207" s="106" t="s">
        <v>713</v>
      </c>
    </row>
    <row ht="15" r="208" spans="1:5" x14ac:dyDescent="0.25">
      <c r="A208" s="107">
        <v>725</v>
      </c>
      <c r="B208" s="107" t="s">
        <v>714</v>
      </c>
      <c r="C208" s="107" t="s">
        <v>341</v>
      </c>
      <c r="D208" s="108">
        <v>0</v>
      </c>
      <c r="E208" s="106" t="s">
        <v>715</v>
      </c>
    </row>
    <row ht="15" r="209" spans="1:5" x14ac:dyDescent="0.25">
      <c r="A209" s="107">
        <v>726</v>
      </c>
      <c r="B209" s="107" t="s">
        <v>716</v>
      </c>
      <c r="C209" s="107" t="s">
        <v>341</v>
      </c>
      <c r="D209" s="108">
        <v>0</v>
      </c>
      <c r="E209" s="106" t="s">
        <v>717</v>
      </c>
    </row>
    <row ht="15" r="210" spans="1:5" x14ac:dyDescent="0.25">
      <c r="A210" s="107">
        <v>727</v>
      </c>
      <c r="B210" s="107" t="s">
        <v>718</v>
      </c>
      <c r="C210" s="107" t="s">
        <v>341</v>
      </c>
      <c r="D210" s="108">
        <v>0</v>
      </c>
      <c r="E210" s="106" t="s">
        <v>719</v>
      </c>
    </row>
    <row ht="15" r="211" spans="1:5" x14ac:dyDescent="0.25">
      <c r="A211" s="107">
        <v>728</v>
      </c>
      <c r="B211" s="107" t="s">
        <v>720</v>
      </c>
      <c r="C211" s="107" t="s">
        <v>322</v>
      </c>
      <c r="D211" s="108">
        <v>1.8259670169799999E-2</v>
      </c>
      <c r="E211" s="106" t="s">
        <v>719</v>
      </c>
    </row>
    <row ht="15" r="212" spans="1:5" x14ac:dyDescent="0.25">
      <c r="A212" s="107">
        <v>729</v>
      </c>
      <c r="B212" s="107" t="s">
        <v>721</v>
      </c>
      <c r="C212" s="107" t="s">
        <v>322</v>
      </c>
      <c r="D212" s="108">
        <v>-8.7588819390500006E-2</v>
      </c>
      <c r="E212" s="106" t="s">
        <v>719</v>
      </c>
    </row>
    <row ht="15" r="213" spans="1:5" x14ac:dyDescent="0.25">
      <c r="A213" s="107">
        <v>751</v>
      </c>
      <c r="B213" s="107" t="s">
        <v>722</v>
      </c>
      <c r="C213" s="107" t="s">
        <v>322</v>
      </c>
      <c r="D213" s="108">
        <v>-0.22130910929299999</v>
      </c>
      <c r="E213" s="106" t="s">
        <v>723</v>
      </c>
    </row>
    <row ht="15" r="214" spans="1:5" x14ac:dyDescent="0.25">
      <c r="A214" s="107">
        <v>802</v>
      </c>
      <c r="B214" s="107" t="s">
        <v>724</v>
      </c>
      <c r="C214" s="107" t="s">
        <v>322</v>
      </c>
      <c r="D214" s="108">
        <v>0.60088845647900002</v>
      </c>
      <c r="E214" s="106" t="s">
        <v>725</v>
      </c>
    </row>
    <row ht="15" r="215" spans="1:5" x14ac:dyDescent="0.25">
      <c r="A215" s="107">
        <v>803</v>
      </c>
      <c r="B215" s="107" t="s">
        <v>726</v>
      </c>
      <c r="C215" s="107" t="s">
        <v>322</v>
      </c>
      <c r="D215" s="108">
        <v>0.35497920864400001</v>
      </c>
      <c r="E215" s="106" t="s">
        <v>727</v>
      </c>
    </row>
    <row ht="15" r="216" spans="1:5" x14ac:dyDescent="0.25">
      <c r="A216" s="107">
        <v>804</v>
      </c>
      <c r="B216" s="107" t="s">
        <v>728</v>
      </c>
      <c r="C216" s="107" t="s">
        <v>322</v>
      </c>
      <c r="D216" s="108">
        <v>0.20313273922399999</v>
      </c>
      <c r="E216" s="106" t="s">
        <v>729</v>
      </c>
    </row>
    <row ht="15" r="217" spans="1:5" x14ac:dyDescent="0.25">
      <c r="A217" s="107">
        <v>805</v>
      </c>
      <c r="B217" s="107" t="s">
        <v>730</v>
      </c>
      <c r="C217" s="107" t="s">
        <v>322</v>
      </c>
      <c r="D217" s="108">
        <v>0.36229771955599999</v>
      </c>
      <c r="E217" s="106" t="s">
        <v>731</v>
      </c>
    </row>
    <row ht="15" r="218" spans="1:5" x14ac:dyDescent="0.25">
      <c r="A218" s="107">
        <v>806</v>
      </c>
      <c r="B218" s="107" t="s">
        <v>732</v>
      </c>
      <c r="C218" s="107" t="s">
        <v>322</v>
      </c>
      <c r="D218" s="108">
        <v>0.94922191818599999</v>
      </c>
      <c r="E218" s="106" t="s">
        <v>733</v>
      </c>
    </row>
    <row ht="15" r="219" spans="1:5" x14ac:dyDescent="0.25">
      <c r="A219" s="107">
        <v>807</v>
      </c>
      <c r="B219" s="107" t="s">
        <v>734</v>
      </c>
      <c r="C219" s="107" t="s">
        <v>322</v>
      </c>
      <c r="D219" s="108">
        <v>0.74295703060700002</v>
      </c>
      <c r="E219" s="106" t="s">
        <v>735</v>
      </c>
    </row>
    <row ht="15" r="220" spans="1:5" x14ac:dyDescent="0.25">
      <c r="A220" s="107">
        <v>808</v>
      </c>
      <c r="B220" s="107" t="s">
        <v>736</v>
      </c>
      <c r="C220" s="107" t="s">
        <v>341</v>
      </c>
      <c r="D220" s="108">
        <v>0</v>
      </c>
      <c r="E220" s="106" t="s">
        <v>737</v>
      </c>
    </row>
    <row ht="15" r="221" spans="1:5" x14ac:dyDescent="0.25">
      <c r="A221" s="107">
        <v>809</v>
      </c>
      <c r="B221" s="107" t="s">
        <v>738</v>
      </c>
      <c r="C221" s="107" t="s">
        <v>341</v>
      </c>
      <c r="D221" s="108">
        <v>0</v>
      </c>
      <c r="E221" s="106" t="s">
        <v>739</v>
      </c>
    </row>
    <row ht="15" r="222" spans="1:5" x14ac:dyDescent="0.25">
      <c r="A222" s="107">
        <v>810</v>
      </c>
      <c r="B222" s="107" t="s">
        <v>740</v>
      </c>
      <c r="C222" s="107" t="s">
        <v>341</v>
      </c>
      <c r="D222" s="108">
        <v>0</v>
      </c>
      <c r="E222" s="106" t="s">
        <v>741</v>
      </c>
    </row>
    <row ht="15" r="223" spans="1:5" x14ac:dyDescent="0.25">
      <c r="A223" s="107">
        <v>811</v>
      </c>
      <c r="B223" s="107" t="s">
        <v>742</v>
      </c>
      <c r="C223" s="107" t="s">
        <v>341</v>
      </c>
      <c r="D223" s="108">
        <v>0</v>
      </c>
      <c r="E223" s="106" t="s">
        <v>743</v>
      </c>
    </row>
    <row ht="15" r="224" spans="1:5" x14ac:dyDescent="0.25">
      <c r="A224" s="107">
        <v>812</v>
      </c>
      <c r="B224" s="107" t="s">
        <v>744</v>
      </c>
      <c r="C224" s="107" t="s">
        <v>341</v>
      </c>
      <c r="D224" s="108">
        <v>0</v>
      </c>
      <c r="E224" s="106" t="s">
        <v>745</v>
      </c>
    </row>
    <row ht="15" r="225" spans="1:5" x14ac:dyDescent="0.25">
      <c r="A225" s="107">
        <v>813</v>
      </c>
      <c r="B225" s="107" t="s">
        <v>746</v>
      </c>
      <c r="C225" s="107" t="s">
        <v>341</v>
      </c>
      <c r="D225" s="108">
        <v>0</v>
      </c>
      <c r="E225" s="106" t="s">
        <v>747</v>
      </c>
    </row>
    <row ht="15" r="226" spans="1:5" x14ac:dyDescent="0.25">
      <c r="A226" s="107">
        <v>814</v>
      </c>
      <c r="B226" s="107" t="s">
        <v>748</v>
      </c>
      <c r="C226" s="107" t="s">
        <v>341</v>
      </c>
      <c r="D226" s="108">
        <v>0</v>
      </c>
      <c r="E226" s="106" t="s">
        <v>749</v>
      </c>
    </row>
    <row ht="15" r="227" spans="1:5" x14ac:dyDescent="0.25">
      <c r="A227" s="107"/>
      <c r="B227" s="107"/>
      <c r="C227" s="107"/>
      <c r="D227" s="108"/>
      <c r="E227" s="106" t="s">
        <v>750</v>
      </c>
    </row>
    <row ht="15" r="228" spans="1:5" x14ac:dyDescent="0.25">
      <c r="A228" s="107">
        <v>816</v>
      </c>
      <c r="B228" s="107" t="s">
        <v>751</v>
      </c>
      <c r="C228" s="107" t="s">
        <v>322</v>
      </c>
      <c r="D228" s="108">
        <v>-0.173824856152</v>
      </c>
      <c r="E228" s="106" t="s">
        <v>752</v>
      </c>
    </row>
    <row ht="15" r="229" spans="1:5" x14ac:dyDescent="0.25">
      <c r="A229" s="107">
        <v>817</v>
      </c>
      <c r="B229" s="107" t="s">
        <v>753</v>
      </c>
      <c r="C229" s="107" t="s">
        <v>322</v>
      </c>
      <c r="D229" s="108">
        <v>-0.84168486773899998</v>
      </c>
      <c r="E229" s="106" t="s">
        <v>754</v>
      </c>
    </row>
    <row ht="15" r="230" spans="1:5" x14ac:dyDescent="0.25">
      <c r="A230" s="107">
        <v>818</v>
      </c>
      <c r="B230" s="107" t="s">
        <v>755</v>
      </c>
      <c r="C230" s="107" t="s">
        <v>322</v>
      </c>
      <c r="D230" s="108">
        <v>0.69190233831699999</v>
      </c>
      <c r="E230" s="106" t="s">
        <v>756</v>
      </c>
    </row>
    <row ht="15" r="231" spans="1:5" x14ac:dyDescent="0.25">
      <c r="A231" s="107">
        <v>819</v>
      </c>
      <c r="B231" s="107" t="s">
        <v>757</v>
      </c>
      <c r="C231" s="107" t="s">
        <v>322</v>
      </c>
      <c r="D231" s="108">
        <v>-0.35930557927899998</v>
      </c>
      <c r="E231" s="106" t="s">
        <v>758</v>
      </c>
    </row>
    <row ht="15" r="232" spans="1:5" x14ac:dyDescent="0.25">
      <c r="A232" s="107">
        <v>820</v>
      </c>
      <c r="B232" s="107" t="s">
        <v>759</v>
      </c>
      <c r="C232" s="107" t="s">
        <v>322</v>
      </c>
      <c r="D232" s="108">
        <v>0.61080273357399995</v>
      </c>
      <c r="E232" s="106" t="s">
        <v>760</v>
      </c>
    </row>
    <row ht="15" r="233" spans="1:5" x14ac:dyDescent="0.25">
      <c r="A233" s="107">
        <v>821</v>
      </c>
      <c r="B233" s="107" t="s">
        <v>761</v>
      </c>
      <c r="C233" s="107" t="s">
        <v>322</v>
      </c>
      <c r="D233" s="108">
        <v>0.41956504765899999</v>
      </c>
      <c r="E233" s="106" t="s">
        <v>762</v>
      </c>
    </row>
    <row ht="15" r="234" spans="1:5" x14ac:dyDescent="0.25">
      <c r="A234" s="107">
        <v>822</v>
      </c>
      <c r="B234" s="107" t="s">
        <v>763</v>
      </c>
      <c r="C234" s="107" t="s">
        <v>341</v>
      </c>
      <c r="D234" s="108">
        <v>0</v>
      </c>
      <c r="E234" s="106" t="s">
        <v>764</v>
      </c>
    </row>
    <row ht="15" r="235" spans="1:5" x14ac:dyDescent="0.25">
      <c r="A235" s="107">
        <v>823</v>
      </c>
      <c r="B235" s="107" t="s">
        <v>765</v>
      </c>
      <c r="C235" s="107" t="s">
        <v>341</v>
      </c>
      <c r="D235" s="108">
        <v>0</v>
      </c>
      <c r="E235" s="106" t="s">
        <v>766</v>
      </c>
    </row>
    <row ht="15" r="236" spans="1:5" x14ac:dyDescent="0.25">
      <c r="A236" s="107">
        <v>824</v>
      </c>
      <c r="B236" s="107" t="s">
        <v>767</v>
      </c>
      <c r="C236" s="107" t="s">
        <v>322</v>
      </c>
      <c r="D236" s="108">
        <v>0.58100166113100005</v>
      </c>
      <c r="E236" s="106" t="s">
        <v>768</v>
      </c>
    </row>
    <row ht="15" r="237" spans="1:5" x14ac:dyDescent="0.25">
      <c r="A237" s="107">
        <v>825</v>
      </c>
      <c r="B237" s="107" t="s">
        <v>769</v>
      </c>
      <c r="C237" s="107" t="s">
        <v>341</v>
      </c>
      <c r="D237" s="108">
        <v>0</v>
      </c>
      <c r="E237" s="106" t="s">
        <v>770</v>
      </c>
    </row>
    <row ht="15" r="238" spans="1:5" x14ac:dyDescent="0.25">
      <c r="A238" s="107">
        <v>826</v>
      </c>
      <c r="B238" s="107" t="s">
        <v>771</v>
      </c>
      <c r="C238" s="107" t="s">
        <v>322</v>
      </c>
      <c r="D238" s="108">
        <v>1.2369334111600001E-3</v>
      </c>
      <c r="E238" s="106" t="s">
        <v>772</v>
      </c>
    </row>
    <row ht="15" r="239" spans="1:5" x14ac:dyDescent="0.25">
      <c r="A239" s="107">
        <v>827</v>
      </c>
      <c r="B239" s="107" t="s">
        <v>773</v>
      </c>
      <c r="C239" s="107" t="s">
        <v>322</v>
      </c>
      <c r="D239" s="108">
        <v>3.29179941507E-2</v>
      </c>
      <c r="E239" s="106" t="s">
        <v>774</v>
      </c>
    </row>
    <row ht="15" r="240" spans="1:5" x14ac:dyDescent="0.25">
      <c r="A240" s="107">
        <v>851</v>
      </c>
      <c r="B240" s="107" t="s">
        <v>775</v>
      </c>
      <c r="C240" s="107" t="s">
        <v>341</v>
      </c>
      <c r="D240" s="108">
        <v>0</v>
      </c>
      <c r="E240" s="106" t="s">
        <v>776</v>
      </c>
    </row>
    <row ht="15" r="241" spans="1:5" x14ac:dyDescent="0.25">
      <c r="A241" s="107">
        <v>902</v>
      </c>
      <c r="B241" s="107" t="s">
        <v>777</v>
      </c>
      <c r="C241" s="107" t="s">
        <v>341</v>
      </c>
      <c r="D241" s="108">
        <v>0</v>
      </c>
      <c r="E241" s="106" t="s">
        <v>778</v>
      </c>
    </row>
    <row ht="15" r="242" spans="1:5" x14ac:dyDescent="0.25">
      <c r="A242" s="107">
        <v>903</v>
      </c>
      <c r="B242" s="107" t="s">
        <v>779</v>
      </c>
      <c r="C242" s="107" t="s">
        <v>341</v>
      </c>
      <c r="D242" s="108">
        <v>0</v>
      </c>
      <c r="E242" s="106" t="s">
        <v>780</v>
      </c>
    </row>
    <row ht="15" r="243" spans="1:5" x14ac:dyDescent="0.25">
      <c r="A243" s="107">
        <v>904</v>
      </c>
      <c r="B243" s="107" t="s">
        <v>781</v>
      </c>
      <c r="C243" s="107" t="s">
        <v>341</v>
      </c>
      <c r="D243" s="108">
        <v>0</v>
      </c>
      <c r="E243" s="106" t="s">
        <v>782</v>
      </c>
    </row>
    <row ht="15" r="244" spans="1:5" x14ac:dyDescent="0.25">
      <c r="A244" s="107">
        <v>905</v>
      </c>
      <c r="B244" s="107" t="s">
        <v>783</v>
      </c>
      <c r="C244" s="107" t="s">
        <v>341</v>
      </c>
      <c r="D244" s="108">
        <v>0</v>
      </c>
      <c r="E244" s="106" t="s">
        <v>784</v>
      </c>
    </row>
    <row ht="15" r="245" spans="1:5" x14ac:dyDescent="0.25">
      <c r="A245" s="107">
        <v>906</v>
      </c>
      <c r="B245" s="107" t="s">
        <v>785</v>
      </c>
      <c r="C245" s="107" t="s">
        <v>322</v>
      </c>
      <c r="D245" s="108">
        <v>0.91744825006800002</v>
      </c>
      <c r="E245" s="106" t="s">
        <v>786</v>
      </c>
    </row>
    <row ht="15" r="246" spans="1:5" x14ac:dyDescent="0.25">
      <c r="A246" s="107">
        <v>907</v>
      </c>
      <c r="B246" s="107" t="s">
        <v>787</v>
      </c>
      <c r="C246" s="107" t="s">
        <v>322</v>
      </c>
      <c r="D246" s="108">
        <v>0.210035136712</v>
      </c>
      <c r="E246" s="106" t="s">
        <v>788</v>
      </c>
    </row>
    <row ht="15" r="247" spans="1:5" x14ac:dyDescent="0.25">
      <c r="A247" s="107">
        <v>908</v>
      </c>
      <c r="B247" s="107" t="s">
        <v>789</v>
      </c>
      <c r="C247" s="107" t="s">
        <v>341</v>
      </c>
      <c r="D247" s="108">
        <v>0</v>
      </c>
      <c r="E247" s="106" t="s">
        <v>790</v>
      </c>
    </row>
    <row ht="15" r="248" spans="1:5" x14ac:dyDescent="0.25">
      <c r="A248" s="107">
        <v>909</v>
      </c>
      <c r="B248" s="107" t="s">
        <v>791</v>
      </c>
      <c r="C248" s="107" t="s">
        <v>341</v>
      </c>
      <c r="D248" s="108">
        <v>0</v>
      </c>
      <c r="E248" s="106" t="s">
        <v>792</v>
      </c>
    </row>
    <row ht="15" r="249" spans="1:5" x14ac:dyDescent="0.25">
      <c r="A249" s="107">
        <v>910</v>
      </c>
      <c r="B249" s="107" t="s">
        <v>793</v>
      </c>
      <c r="C249" s="107" t="s">
        <v>341</v>
      </c>
      <c r="D249" s="108">
        <v>0</v>
      </c>
      <c r="E249" s="106" t="s">
        <v>794</v>
      </c>
    </row>
    <row ht="15" r="250" spans="1:5" x14ac:dyDescent="0.25">
      <c r="A250" s="107">
        <v>911</v>
      </c>
      <c r="B250" s="107" t="s">
        <v>795</v>
      </c>
      <c r="C250" s="107" t="s">
        <v>341</v>
      </c>
      <c r="D250" s="108">
        <v>0</v>
      </c>
      <c r="E250" s="106" t="s">
        <v>796</v>
      </c>
    </row>
    <row ht="15" r="251" spans="1:5" x14ac:dyDescent="0.25">
      <c r="A251" s="107">
        <v>912</v>
      </c>
      <c r="B251" s="107" t="s">
        <v>797</v>
      </c>
      <c r="C251" s="107" t="s">
        <v>341</v>
      </c>
      <c r="D251" s="108">
        <v>0</v>
      </c>
      <c r="E251" s="106" t="s">
        <v>798</v>
      </c>
    </row>
    <row ht="15" r="252" spans="1:5" x14ac:dyDescent="0.25">
      <c r="A252" s="107">
        <v>913</v>
      </c>
      <c r="B252" s="107" t="s">
        <v>799</v>
      </c>
      <c r="C252" s="107" t="s">
        <v>341</v>
      </c>
      <c r="D252" s="108">
        <v>0</v>
      </c>
      <c r="E252" s="106" t="s">
        <v>800</v>
      </c>
    </row>
    <row ht="15" r="253" spans="1:5" x14ac:dyDescent="0.25">
      <c r="A253" s="107">
        <v>914</v>
      </c>
      <c r="B253" s="107" t="s">
        <v>801</v>
      </c>
      <c r="C253" s="107" t="s">
        <v>341</v>
      </c>
      <c r="D253" s="108">
        <v>0</v>
      </c>
      <c r="E253" s="106" t="s">
        <v>802</v>
      </c>
    </row>
    <row ht="15" r="254" spans="1:5" x14ac:dyDescent="0.25">
      <c r="A254" s="107"/>
      <c r="B254" s="107"/>
      <c r="C254" s="107"/>
      <c r="D254" s="108"/>
      <c r="E254" s="106" t="s">
        <v>803</v>
      </c>
    </row>
    <row ht="15" r="255" spans="1:5" x14ac:dyDescent="0.25">
      <c r="A255" s="107">
        <v>916</v>
      </c>
      <c r="B255" s="107" t="s">
        <v>804</v>
      </c>
      <c r="C255" s="107" t="s">
        <v>341</v>
      </c>
      <c r="D255" s="108">
        <v>0</v>
      </c>
      <c r="E255" s="106" t="s">
        <v>805</v>
      </c>
    </row>
    <row ht="15" r="256" spans="1:5" x14ac:dyDescent="0.25">
      <c r="A256" s="107">
        <v>917</v>
      </c>
      <c r="B256" s="107" t="s">
        <v>806</v>
      </c>
      <c r="C256" s="107" t="s">
        <v>341</v>
      </c>
      <c r="D256" s="108">
        <v>0</v>
      </c>
      <c r="E256" s="106" t="s">
        <v>807</v>
      </c>
    </row>
    <row ht="15" r="257" spans="1:5" x14ac:dyDescent="0.25">
      <c r="A257" s="107">
        <v>918</v>
      </c>
      <c r="B257" s="107" t="s">
        <v>808</v>
      </c>
      <c r="C257" s="107" t="s">
        <v>341</v>
      </c>
      <c r="D257" s="108">
        <v>0</v>
      </c>
      <c r="E257" s="106" t="s">
        <v>809</v>
      </c>
    </row>
    <row ht="15" r="258" spans="1:5" x14ac:dyDescent="0.25">
      <c r="A258" s="107">
        <v>919</v>
      </c>
      <c r="B258" s="107" t="s">
        <v>810</v>
      </c>
      <c r="C258" s="107" t="s">
        <v>341</v>
      </c>
      <c r="D258" s="108">
        <v>0</v>
      </c>
      <c r="E258" s="106" t="s">
        <v>811</v>
      </c>
    </row>
    <row ht="15" r="259" spans="1:5" x14ac:dyDescent="0.25">
      <c r="A259" s="107">
        <v>920</v>
      </c>
      <c r="B259" s="107" t="s">
        <v>812</v>
      </c>
      <c r="C259" s="107" t="s">
        <v>341</v>
      </c>
      <c r="D259" s="108">
        <v>0</v>
      </c>
      <c r="E259" s="106" t="s">
        <v>813</v>
      </c>
    </row>
    <row ht="15" r="260" spans="1:5" x14ac:dyDescent="0.25">
      <c r="A260" s="107">
        <v>921</v>
      </c>
      <c r="B260" s="107" t="s">
        <v>814</v>
      </c>
      <c r="C260" s="107" t="s">
        <v>341</v>
      </c>
      <c r="D260" s="108">
        <v>0</v>
      </c>
      <c r="E260" s="106" t="s">
        <v>815</v>
      </c>
    </row>
    <row ht="15" r="261" spans="1:5" x14ac:dyDescent="0.25">
      <c r="A261" s="107">
        <v>922</v>
      </c>
      <c r="B261" s="107" t="s">
        <v>816</v>
      </c>
      <c r="C261" s="107" t="s">
        <v>341</v>
      </c>
      <c r="D261" s="108">
        <v>0</v>
      </c>
      <c r="E261" s="106" t="s">
        <v>817</v>
      </c>
    </row>
    <row ht="15" r="262" spans="1:5" x14ac:dyDescent="0.25">
      <c r="A262" s="107">
        <v>923</v>
      </c>
      <c r="B262" s="107" t="s">
        <v>818</v>
      </c>
      <c r="C262" s="107" t="s">
        <v>341</v>
      </c>
      <c r="D262" s="108">
        <v>0</v>
      </c>
      <c r="E262" s="106" t="s">
        <v>819</v>
      </c>
    </row>
    <row ht="15" r="263" spans="1:5" x14ac:dyDescent="0.25">
      <c r="A263" s="107">
        <v>924</v>
      </c>
      <c r="B263" s="107" t="s">
        <v>820</v>
      </c>
      <c r="C263" s="107" t="s">
        <v>322</v>
      </c>
      <c r="D263" s="108">
        <v>0.25647966370500003</v>
      </c>
      <c r="E263" s="106" t="s">
        <v>821</v>
      </c>
    </row>
    <row ht="15" r="264" spans="1:5" x14ac:dyDescent="0.25">
      <c r="A264" s="107">
        <v>925</v>
      </c>
      <c r="B264" s="107" t="s">
        <v>822</v>
      </c>
      <c r="C264" s="107" t="s">
        <v>341</v>
      </c>
      <c r="D264" s="108">
        <v>0</v>
      </c>
      <c r="E264" s="106" t="s">
        <v>823</v>
      </c>
    </row>
    <row ht="15" r="265" spans="1:5" x14ac:dyDescent="0.25">
      <c r="A265" s="107">
        <v>926</v>
      </c>
      <c r="B265" s="107" t="s">
        <v>824</v>
      </c>
      <c r="C265" s="107" t="s">
        <v>341</v>
      </c>
      <c r="D265" s="108">
        <v>0</v>
      </c>
      <c r="E265" s="106" t="s">
        <v>825</v>
      </c>
    </row>
    <row ht="15" r="266" spans="1:5" x14ac:dyDescent="0.25">
      <c r="A266" s="107">
        <v>927</v>
      </c>
      <c r="B266" s="107" t="s">
        <v>826</v>
      </c>
      <c r="C266" s="107" t="s">
        <v>341</v>
      </c>
      <c r="D266" s="108">
        <v>0</v>
      </c>
      <c r="E266" s="106" t="s">
        <v>827</v>
      </c>
    </row>
    <row ht="15" r="267" spans="1:5" x14ac:dyDescent="0.25">
      <c r="A267" s="107">
        <v>951</v>
      </c>
      <c r="B267" s="107" t="s">
        <v>828</v>
      </c>
      <c r="C267" s="107" t="s">
        <v>341</v>
      </c>
      <c r="D267" s="108">
        <v>0</v>
      </c>
      <c r="E267" s="106" t="s">
        <v>829</v>
      </c>
    </row>
    <row ht="15" r="268" spans="1:5" x14ac:dyDescent="0.25">
      <c r="A268" s="107">
        <v>1010</v>
      </c>
      <c r="B268" s="107" t="s">
        <v>830</v>
      </c>
      <c r="C268" s="107" t="s">
        <v>322</v>
      </c>
      <c r="D268" s="108">
        <v>0.62022844943300004</v>
      </c>
      <c r="E268" s="106" t="s">
        <v>831</v>
      </c>
    </row>
    <row ht="15" r="269" spans="1:5" x14ac:dyDescent="0.25">
      <c r="A269" s="107">
        <v>1011</v>
      </c>
      <c r="B269" s="107" t="s">
        <v>832</v>
      </c>
      <c r="C269" s="107" t="s">
        <v>322</v>
      </c>
      <c r="D269" s="108">
        <v>-0.92628874550499996</v>
      </c>
      <c r="E269" s="106" t="s">
        <v>833</v>
      </c>
    </row>
    <row ht="15" r="270" spans="1:5" x14ac:dyDescent="0.25">
      <c r="A270" s="107">
        <v>1012</v>
      </c>
      <c r="B270" s="107" t="s">
        <v>834</v>
      </c>
      <c r="C270" s="107" t="s">
        <v>322</v>
      </c>
      <c r="D270" s="108">
        <v>0.122962438174</v>
      </c>
      <c r="E270" s="106" t="s">
        <v>835</v>
      </c>
    </row>
    <row ht="15" r="271" spans="1:5" x14ac:dyDescent="0.25">
      <c r="A271" s="107">
        <v>1013</v>
      </c>
      <c r="B271" s="107" t="s">
        <v>836</v>
      </c>
      <c r="C271" s="107" t="s">
        <v>322</v>
      </c>
      <c r="D271" s="108">
        <v>0.99129580194</v>
      </c>
      <c r="E271" s="106" t="s">
        <v>837</v>
      </c>
    </row>
    <row ht="15" r="272" spans="1:5" x14ac:dyDescent="0.25">
      <c r="A272" s="107">
        <v>1014</v>
      </c>
      <c r="B272" s="107" t="s">
        <v>838</v>
      </c>
      <c r="C272" s="107" t="s">
        <v>322</v>
      </c>
      <c r="D272" s="108">
        <v>-0.25742972486600002</v>
      </c>
      <c r="E272" s="106" t="s">
        <v>839</v>
      </c>
    </row>
    <row ht="15" r="273" spans="1:5" x14ac:dyDescent="0.25">
      <c r="A273" s="107">
        <v>1015</v>
      </c>
      <c r="B273" s="107" t="s">
        <v>840</v>
      </c>
      <c r="C273" s="107" t="s">
        <v>322</v>
      </c>
      <c r="D273" s="108">
        <v>-0.15509922944400001</v>
      </c>
      <c r="E273" s="106" t="s">
        <v>841</v>
      </c>
    </row>
    <row ht="15" r="274" spans="1:5" x14ac:dyDescent="0.25">
      <c r="A274" s="107">
        <v>1016</v>
      </c>
      <c r="B274" s="107" t="s">
        <v>842</v>
      </c>
      <c r="C274" s="107" t="s">
        <v>322</v>
      </c>
      <c r="D274" s="108">
        <v>0.47377553160399999</v>
      </c>
      <c r="E274" s="106" t="s">
        <v>843</v>
      </c>
    </row>
    <row ht="15" r="275" spans="1:5" x14ac:dyDescent="0.25">
      <c r="A275" s="107"/>
      <c r="B275" s="107"/>
      <c r="C275" s="107"/>
      <c r="D275" s="108"/>
      <c r="E275" s="106" t="s">
        <v>844</v>
      </c>
    </row>
    <row ht="15" r="276" spans="1:5" x14ac:dyDescent="0.25">
      <c r="A276" s="107">
        <v>1018</v>
      </c>
      <c r="B276" s="107" t="s">
        <v>845</v>
      </c>
      <c r="C276" s="107" t="s">
        <v>322</v>
      </c>
      <c r="D276" s="108">
        <v>-2.9680946238400001E-2</v>
      </c>
      <c r="E276" s="106" t="s">
        <v>846</v>
      </c>
    </row>
    <row ht="15" r="277" spans="1:5" x14ac:dyDescent="0.25">
      <c r="A277" s="107">
        <v>1019</v>
      </c>
      <c r="B277" s="107" t="s">
        <v>847</v>
      </c>
      <c r="C277" s="107" t="s">
        <v>322</v>
      </c>
      <c r="D277" s="108">
        <v>-5.7505183079299999E-2</v>
      </c>
      <c r="E277" s="106" t="s">
        <v>848</v>
      </c>
    </row>
    <row ht="15" r="278" spans="1:5" x14ac:dyDescent="0.25">
      <c r="A278" s="107">
        <v>1020</v>
      </c>
      <c r="B278" s="107" t="s">
        <v>849</v>
      </c>
      <c r="C278" s="107" t="s">
        <v>322</v>
      </c>
      <c r="D278" s="108">
        <v>0.83467013855500005</v>
      </c>
      <c r="E278" s="106" t="s">
        <v>850</v>
      </c>
    </row>
    <row ht="15" r="279" spans="1:5" x14ac:dyDescent="0.25">
      <c r="A279" s="107">
        <v>1021</v>
      </c>
      <c r="B279" s="107" t="s">
        <v>851</v>
      </c>
      <c r="C279" s="107" t="s">
        <v>322</v>
      </c>
      <c r="D279" s="108">
        <v>2.49151431122E-2</v>
      </c>
      <c r="E279" s="106" t="s">
        <v>852</v>
      </c>
    </row>
    <row ht="15" r="280" spans="1:5" x14ac:dyDescent="0.25">
      <c r="A280" s="107">
        <v>1022</v>
      </c>
      <c r="B280" s="107" t="s">
        <v>853</v>
      </c>
      <c r="C280" s="107" t="s">
        <v>322</v>
      </c>
      <c r="D280" s="108">
        <v>-0.44455279214999999</v>
      </c>
      <c r="E280" s="106" t="s">
        <v>854</v>
      </c>
    </row>
    <row ht="15" r="281" spans="1:5" x14ac:dyDescent="0.25">
      <c r="A281" s="107">
        <v>1023</v>
      </c>
      <c r="B281" s="107" t="s">
        <v>855</v>
      </c>
      <c r="C281" s="107" t="s">
        <v>322</v>
      </c>
      <c r="D281" s="108">
        <v>1.0220867657699999</v>
      </c>
      <c r="E281" s="106" t="s">
        <v>856</v>
      </c>
    </row>
    <row ht="15" r="282" spans="1:5" x14ac:dyDescent="0.25">
      <c r="A282" s="107">
        <v>1024</v>
      </c>
      <c r="B282" s="107" t="s">
        <v>857</v>
      </c>
      <c r="C282" s="107" t="s">
        <v>322</v>
      </c>
      <c r="D282" s="108">
        <v>-0.51603342620100001</v>
      </c>
      <c r="E282" s="106" t="s">
        <v>858</v>
      </c>
    </row>
    <row ht="15" r="283" spans="1:5" x14ac:dyDescent="0.25">
      <c r="A283" s="107">
        <v>1025</v>
      </c>
      <c r="B283" s="107" t="s">
        <v>859</v>
      </c>
      <c r="C283" s="107" t="s">
        <v>322</v>
      </c>
      <c r="D283" s="108">
        <v>-0.557817023548</v>
      </c>
      <c r="E283" s="106" t="s">
        <v>860</v>
      </c>
    </row>
    <row ht="15" r="284" spans="1:5" x14ac:dyDescent="0.25">
      <c r="A284" s="107">
        <v>1026</v>
      </c>
      <c r="B284" s="107" t="s">
        <v>861</v>
      </c>
      <c r="C284" s="107" t="s">
        <v>322</v>
      </c>
      <c r="D284" s="108">
        <v>-0.33987264769100001</v>
      </c>
      <c r="E284" s="106" t="s">
        <v>862</v>
      </c>
    </row>
    <row ht="15" r="285" spans="1:5" x14ac:dyDescent="0.25">
      <c r="A285" s="107">
        <v>1028</v>
      </c>
      <c r="B285" s="107" t="s">
        <v>863</v>
      </c>
      <c r="C285" s="107" t="s">
        <v>322</v>
      </c>
      <c r="D285" s="108">
        <v>-5.8386949563200001E-2</v>
      </c>
      <c r="E285" s="106" t="s">
        <v>864</v>
      </c>
    </row>
    <row ht="15" r="286" spans="1:5" x14ac:dyDescent="0.25">
      <c r="A286" s="107">
        <v>1029</v>
      </c>
      <c r="B286" s="107" t="s">
        <v>865</v>
      </c>
      <c r="C286" s="107" t="s">
        <v>341</v>
      </c>
      <c r="D286" s="108">
        <v>0</v>
      </c>
      <c r="E286" s="106" t="s">
        <v>866</v>
      </c>
    </row>
    <row ht="15" r="287" spans="1:5" x14ac:dyDescent="0.25">
      <c r="A287" s="107">
        <v>1033</v>
      </c>
      <c r="B287" s="107" t="s">
        <v>867</v>
      </c>
      <c r="C287" s="107" t="s">
        <v>322</v>
      </c>
      <c r="D287" s="108">
        <v>2.4065371787399998</v>
      </c>
      <c r="E287" s="106" t="s">
        <v>868</v>
      </c>
    </row>
    <row ht="15" r="288" spans="1:5" x14ac:dyDescent="0.25">
      <c r="A288" s="107">
        <v>1034</v>
      </c>
      <c r="B288" s="107" t="s">
        <v>869</v>
      </c>
      <c r="C288" s="107" t="s">
        <v>322</v>
      </c>
      <c r="D288" s="108">
        <v>0.41307512360999998</v>
      </c>
      <c r="E288" s="106" t="s">
        <v>870</v>
      </c>
    </row>
    <row ht="15" r="289" spans="1:5" x14ac:dyDescent="0.25">
      <c r="A289" s="107">
        <v>1035</v>
      </c>
      <c r="B289" s="107" t="s">
        <v>871</v>
      </c>
      <c r="C289" s="107" t="s">
        <v>322</v>
      </c>
      <c r="D289" s="108">
        <v>0.36473610060099998</v>
      </c>
      <c r="E289" s="106" t="s">
        <v>872</v>
      </c>
    </row>
    <row ht="15" r="290" spans="1:5" x14ac:dyDescent="0.25">
      <c r="A290" s="107">
        <v>1036</v>
      </c>
      <c r="B290" s="107" t="s">
        <v>873</v>
      </c>
      <c r="C290" s="107" t="s">
        <v>322</v>
      </c>
      <c r="D290" s="108">
        <v>0.58814808101500005</v>
      </c>
      <c r="E290" s="106" t="s">
        <v>874</v>
      </c>
    </row>
    <row ht="15" r="291" spans="1:5" x14ac:dyDescent="0.25">
      <c r="A291" s="107">
        <v>1043</v>
      </c>
      <c r="B291" s="107" t="s">
        <v>875</v>
      </c>
      <c r="C291" s="107" t="s">
        <v>322</v>
      </c>
      <c r="D291" s="108">
        <v>-0.55052394285899997</v>
      </c>
      <c r="E291" s="106" t="s">
        <v>876</v>
      </c>
    </row>
    <row ht="15" r="292" spans="1:5" x14ac:dyDescent="0.25">
      <c r="A292" s="107">
        <v>1044</v>
      </c>
      <c r="B292" s="107" t="s">
        <v>877</v>
      </c>
      <c r="C292" s="107" t="s">
        <v>322</v>
      </c>
      <c r="D292" s="108">
        <v>0.41985546286199998</v>
      </c>
      <c r="E292" s="106" t="s">
        <v>878</v>
      </c>
    </row>
    <row ht="15" r="293" spans="1:5" x14ac:dyDescent="0.25">
      <c r="A293" s="107">
        <v>1045</v>
      </c>
      <c r="B293" s="107" t="s">
        <v>879</v>
      </c>
      <c r="C293" s="107" t="s">
        <v>322</v>
      </c>
      <c r="D293" s="108">
        <v>0.14835781039000001</v>
      </c>
      <c r="E293" s="106" t="s">
        <v>880</v>
      </c>
    </row>
    <row ht="15" r="294" spans="1:5" x14ac:dyDescent="0.25">
      <c r="A294" s="107">
        <v>1046</v>
      </c>
      <c r="B294" s="107" t="s">
        <v>881</v>
      </c>
      <c r="C294" s="107" t="s">
        <v>322</v>
      </c>
      <c r="D294" s="108">
        <v>0.249023546515</v>
      </c>
      <c r="E294" s="106" t="s">
        <v>882</v>
      </c>
    </row>
    <row ht="15" r="295" spans="1:5" x14ac:dyDescent="0.25">
      <c r="A295" s="107">
        <v>1053</v>
      </c>
      <c r="B295" s="107" t="s">
        <v>883</v>
      </c>
      <c r="C295" s="107" t="s">
        <v>322</v>
      </c>
      <c r="D295" s="108">
        <v>-0.39976593946</v>
      </c>
      <c r="E295" s="106" t="s">
        <v>884</v>
      </c>
    </row>
    <row ht="15" r="296" spans="1:5" x14ac:dyDescent="0.25">
      <c r="A296" s="107">
        <v>1054</v>
      </c>
      <c r="B296" s="107" t="s">
        <v>885</v>
      </c>
      <c r="C296" s="107" t="s">
        <v>322</v>
      </c>
      <c r="D296" s="108">
        <v>0.190721848</v>
      </c>
      <c r="E296" s="106" t="s">
        <v>886</v>
      </c>
    </row>
    <row ht="15" r="297" spans="1:5" x14ac:dyDescent="0.25">
      <c r="A297" s="107">
        <v>1055</v>
      </c>
      <c r="B297" s="107" t="s">
        <v>887</v>
      </c>
      <c r="C297" s="107" t="s">
        <v>322</v>
      </c>
      <c r="D297" s="108">
        <v>0.77322220290999999</v>
      </c>
      <c r="E297" s="106" t="s">
        <v>888</v>
      </c>
    </row>
    <row ht="15" r="298" spans="1:5" x14ac:dyDescent="0.25">
      <c r="A298" s="107">
        <v>1056</v>
      </c>
      <c r="B298" s="107" t="s">
        <v>889</v>
      </c>
      <c r="C298" s="107" t="s">
        <v>322</v>
      </c>
      <c r="D298" s="108">
        <v>-0.30132160266000002</v>
      </c>
      <c r="E298" s="106" t="s">
        <v>890</v>
      </c>
    </row>
    <row ht="15" r="299" spans="1:5" x14ac:dyDescent="0.25">
      <c r="A299" s="107">
        <v>1063</v>
      </c>
      <c r="B299" s="107" t="s">
        <v>891</v>
      </c>
      <c r="C299" s="107" t="s">
        <v>322</v>
      </c>
      <c r="D299" s="108">
        <v>-8.1217959165099995E-2</v>
      </c>
      <c r="E299" s="106" t="s">
        <v>892</v>
      </c>
    </row>
    <row ht="15" r="300" spans="1:5" x14ac:dyDescent="0.25">
      <c r="A300" s="107">
        <v>1064</v>
      </c>
      <c r="B300" s="107" t="s">
        <v>893</v>
      </c>
      <c r="C300" s="107" t="s">
        <v>322</v>
      </c>
      <c r="D300" s="108">
        <v>0.22551013394899999</v>
      </c>
      <c r="E300" s="106" t="s">
        <v>894</v>
      </c>
    </row>
    <row ht="15" r="301" spans="1:5" x14ac:dyDescent="0.25">
      <c r="A301" s="107">
        <v>1065</v>
      </c>
      <c r="B301" s="107" t="s">
        <v>895</v>
      </c>
      <c r="C301" s="107" t="s">
        <v>322</v>
      </c>
      <c r="D301" s="108">
        <v>0.30120956241699998</v>
      </c>
      <c r="E301" s="106" t="s">
        <v>896</v>
      </c>
    </row>
    <row ht="15" r="302" spans="1:5" x14ac:dyDescent="0.25">
      <c r="A302" s="107">
        <v>1066</v>
      </c>
      <c r="B302" s="107" t="s">
        <v>897</v>
      </c>
      <c r="C302" s="107" t="s">
        <v>322</v>
      </c>
      <c r="D302" s="108">
        <v>-0.14627640169</v>
      </c>
      <c r="E302" s="106" t="s">
        <v>898</v>
      </c>
    </row>
    <row ht="15" r="303" spans="1:5" x14ac:dyDescent="0.25">
      <c r="A303" s="107">
        <v>1073</v>
      </c>
      <c r="B303" s="107" t="s">
        <v>899</v>
      </c>
      <c r="C303" s="107" t="s">
        <v>322</v>
      </c>
      <c r="D303" s="108">
        <v>-0.55358196334700005</v>
      </c>
      <c r="E303" s="106" t="s">
        <v>900</v>
      </c>
    </row>
    <row ht="15" r="304" spans="1:5" x14ac:dyDescent="0.25">
      <c r="A304" s="107">
        <v>1074</v>
      </c>
      <c r="B304" s="107" t="s">
        <v>901</v>
      </c>
      <c r="C304" s="107" t="s">
        <v>322</v>
      </c>
      <c r="D304" s="108">
        <v>-6.9330556773299995E-2</v>
      </c>
      <c r="E304" s="106" t="s">
        <v>902</v>
      </c>
    </row>
    <row ht="15" r="305" spans="1:5" x14ac:dyDescent="0.25">
      <c r="A305" s="107">
        <v>1075</v>
      </c>
      <c r="B305" s="107" t="s">
        <v>903</v>
      </c>
      <c r="C305" s="107" t="s">
        <v>322</v>
      </c>
      <c r="D305" s="108">
        <v>0.112518585229</v>
      </c>
      <c r="E305" s="106" t="s">
        <v>904</v>
      </c>
    </row>
    <row ht="15" r="306" spans="1:5" x14ac:dyDescent="0.25">
      <c r="A306" s="107">
        <v>1076</v>
      </c>
      <c r="B306" s="107" t="s">
        <v>905</v>
      </c>
      <c r="C306" s="107" t="s">
        <v>322</v>
      </c>
      <c r="D306" s="108">
        <v>0.42259980050599999</v>
      </c>
      <c r="E306" s="106" t="s">
        <v>906</v>
      </c>
    </row>
    <row ht="15" r="307" spans="1:5" x14ac:dyDescent="0.25">
      <c r="A307" s="107">
        <v>1112</v>
      </c>
      <c r="B307" s="107" t="s">
        <v>907</v>
      </c>
      <c r="C307" s="107" t="s">
        <v>322</v>
      </c>
      <c r="D307" s="108">
        <v>-1.5159667569199999</v>
      </c>
      <c r="E307" s="106" t="s">
        <v>908</v>
      </c>
    </row>
    <row ht="15" r="308" spans="1:5" x14ac:dyDescent="0.25">
      <c r="A308" s="107">
        <v>1113</v>
      </c>
      <c r="B308" s="107" t="s">
        <v>909</v>
      </c>
      <c r="C308" s="107" t="s">
        <v>322</v>
      </c>
      <c r="D308" s="108">
        <v>-1.25860017038</v>
      </c>
      <c r="E308" s="106" t="s">
        <v>910</v>
      </c>
    </row>
    <row ht="15" r="309" spans="1:5" x14ac:dyDescent="0.25">
      <c r="A309" s="107">
        <v>1114</v>
      </c>
      <c r="B309" s="107" t="s">
        <v>911</v>
      </c>
      <c r="C309" s="107" t="s">
        <v>322</v>
      </c>
      <c r="D309" s="108">
        <v>-0.98798477919399996</v>
      </c>
      <c r="E309" s="106" t="s">
        <v>912</v>
      </c>
    </row>
    <row ht="15" r="310" spans="1:5" x14ac:dyDescent="0.25">
      <c r="A310" s="107">
        <v>1115</v>
      </c>
      <c r="B310" s="107" t="s">
        <v>913</v>
      </c>
      <c r="C310" s="107" t="s">
        <v>322</v>
      </c>
      <c r="D310" s="108">
        <v>-0.85516042207999998</v>
      </c>
      <c r="E310" s="106" t="s">
        <v>914</v>
      </c>
    </row>
    <row ht="15" r="311" spans="1:5" x14ac:dyDescent="0.25">
      <c r="A311" s="107">
        <v>1116</v>
      </c>
      <c r="B311" s="107" t="s">
        <v>915</v>
      </c>
      <c r="C311" s="107" t="s">
        <v>322</v>
      </c>
      <c r="D311" s="108">
        <v>-0.43795874111499999</v>
      </c>
      <c r="E311" s="106" t="s">
        <v>916</v>
      </c>
    </row>
    <row ht="15" r="312" spans="1:5" x14ac:dyDescent="0.25">
      <c r="A312" s="107">
        <v>1117</v>
      </c>
      <c r="B312" s="107" t="s">
        <v>917</v>
      </c>
      <c r="C312" s="107" t="s">
        <v>322</v>
      </c>
      <c r="D312" s="108">
        <v>-0.46612496709000001</v>
      </c>
      <c r="E312" s="106" t="s">
        <v>918</v>
      </c>
    </row>
    <row ht="15" r="313" spans="1:5" x14ac:dyDescent="0.25">
      <c r="A313" s="107">
        <v>1123</v>
      </c>
      <c r="B313" s="107" t="s">
        <v>919</v>
      </c>
      <c r="C313" s="107" t="s">
        <v>322</v>
      </c>
      <c r="D313" s="108">
        <v>-1.3137469667199999</v>
      </c>
      <c r="E313" s="106" t="s">
        <v>920</v>
      </c>
    </row>
    <row ht="15" r="314" spans="1:5" x14ac:dyDescent="0.25">
      <c r="A314" s="107">
        <v>1124</v>
      </c>
      <c r="B314" s="107" t="s">
        <v>921</v>
      </c>
      <c r="C314" s="107" t="s">
        <v>322</v>
      </c>
      <c r="D314" s="108">
        <v>-0.74461563958900001</v>
      </c>
      <c r="E314" s="106" t="s">
        <v>922</v>
      </c>
    </row>
    <row ht="15" r="315" spans="1:5" x14ac:dyDescent="0.25">
      <c r="A315" s="107">
        <v>1125</v>
      </c>
      <c r="B315" s="107" t="s">
        <v>923</v>
      </c>
      <c r="C315" s="107" t="s">
        <v>322</v>
      </c>
      <c r="D315" s="108">
        <v>-0.72233741176900002</v>
      </c>
      <c r="E315" s="106" t="s">
        <v>924</v>
      </c>
    </row>
    <row ht="15" r="316" spans="1:5" x14ac:dyDescent="0.25">
      <c r="A316" s="107">
        <v>1126</v>
      </c>
      <c r="B316" s="107" t="s">
        <v>925</v>
      </c>
      <c r="C316" s="107" t="s">
        <v>322</v>
      </c>
      <c r="D316" s="108">
        <v>-0.508145526987</v>
      </c>
      <c r="E316" s="106" t="s">
        <v>926</v>
      </c>
    </row>
    <row ht="15" r="317" spans="1:5" x14ac:dyDescent="0.25">
      <c r="A317" s="107">
        <v>1127</v>
      </c>
      <c r="B317" s="107" t="s">
        <v>927</v>
      </c>
      <c r="C317" s="107" t="s">
        <v>322</v>
      </c>
      <c r="D317" s="108">
        <v>-0.48686652386000001</v>
      </c>
      <c r="E317" s="106" t="s">
        <v>928</v>
      </c>
    </row>
    <row ht="15" r="318" spans="1:5" x14ac:dyDescent="0.25">
      <c r="A318" s="107">
        <v>1134</v>
      </c>
      <c r="B318" s="107" t="s">
        <v>929</v>
      </c>
      <c r="C318" s="107" t="s">
        <v>322</v>
      </c>
      <c r="D318" s="108">
        <v>0.398720034916</v>
      </c>
      <c r="E318" s="106" t="s">
        <v>930</v>
      </c>
    </row>
    <row ht="15" r="319" spans="1:5" x14ac:dyDescent="0.25">
      <c r="A319" s="107">
        <v>1135</v>
      </c>
      <c r="B319" s="107" t="s">
        <v>931</v>
      </c>
      <c r="C319" s="107" t="s">
        <v>322</v>
      </c>
      <c r="D319" s="108">
        <v>-6.6189123184200005E-2</v>
      </c>
      <c r="E319" s="106" t="s">
        <v>932</v>
      </c>
    </row>
    <row ht="15" r="320" spans="1:5" x14ac:dyDescent="0.25">
      <c r="A320" s="107">
        <v>1136</v>
      </c>
      <c r="B320" s="107" t="s">
        <v>933</v>
      </c>
      <c r="C320" s="107" t="s">
        <v>322</v>
      </c>
      <c r="D320" s="108">
        <v>-7.8918781693600004E-2</v>
      </c>
      <c r="E320" s="106" t="s">
        <v>934</v>
      </c>
    </row>
    <row ht="15" r="321" spans="1:5" x14ac:dyDescent="0.25">
      <c r="A321" s="107">
        <v>1137</v>
      </c>
      <c r="B321" s="107" t="s">
        <v>935</v>
      </c>
      <c r="C321" s="107" t="s">
        <v>322</v>
      </c>
      <c r="D321" s="108">
        <v>0.243957855541</v>
      </c>
      <c r="E321" s="106" t="s">
        <v>936</v>
      </c>
    </row>
    <row ht="15" r="322" spans="1:5" x14ac:dyDescent="0.25">
      <c r="A322" s="107">
        <v>1145</v>
      </c>
      <c r="B322" s="107" t="s">
        <v>937</v>
      </c>
      <c r="C322" s="107" t="s">
        <v>322</v>
      </c>
      <c r="D322" s="108">
        <v>1.14376676225E-2</v>
      </c>
      <c r="E322" s="106" t="s">
        <v>938</v>
      </c>
    </row>
    <row ht="15" r="323" spans="1:5" x14ac:dyDescent="0.25">
      <c r="A323" s="107">
        <v>1146</v>
      </c>
      <c r="B323" s="107" t="s">
        <v>939</v>
      </c>
      <c r="C323" s="107" t="s">
        <v>322</v>
      </c>
      <c r="D323" s="108">
        <v>0.307184455794</v>
      </c>
      <c r="E323" s="106" t="s">
        <v>940</v>
      </c>
    </row>
    <row ht="15" r="324" spans="1:5" x14ac:dyDescent="0.25">
      <c r="A324" s="107">
        <v>1147</v>
      </c>
      <c r="B324" s="107" t="s">
        <v>941</v>
      </c>
      <c r="C324" s="107" t="s">
        <v>322</v>
      </c>
      <c r="D324" s="108">
        <v>-0.12329005178999999</v>
      </c>
      <c r="E324" s="106" t="s">
        <v>942</v>
      </c>
    </row>
    <row ht="15" r="325" spans="1:5" x14ac:dyDescent="0.25">
      <c r="A325" s="107">
        <v>1156</v>
      </c>
      <c r="B325" s="107" t="s">
        <v>943</v>
      </c>
      <c r="C325" s="107" t="s">
        <v>322</v>
      </c>
      <c r="D325" s="108">
        <v>-0.38573730080200003</v>
      </c>
      <c r="E325" s="106" t="s">
        <v>944</v>
      </c>
    </row>
    <row ht="15" r="326" spans="1:5" x14ac:dyDescent="0.25">
      <c r="A326" s="107">
        <v>1157</v>
      </c>
      <c r="B326" s="107" t="s">
        <v>945</v>
      </c>
      <c r="C326" s="107" t="s">
        <v>322</v>
      </c>
      <c r="D326" s="108">
        <v>6.2103537354600002E-2</v>
      </c>
      <c r="E326" s="106" t="s">
        <v>946</v>
      </c>
    </row>
    <row ht="15" r="327" spans="1:5" x14ac:dyDescent="0.25">
      <c r="A327" s="107">
        <v>1213</v>
      </c>
      <c r="B327" s="107" t="s">
        <v>947</v>
      </c>
      <c r="C327" s="107" t="s">
        <v>322</v>
      </c>
      <c r="D327" s="108">
        <v>-1.4107824825799999</v>
      </c>
      <c r="E327" s="106" t="s">
        <v>948</v>
      </c>
    </row>
    <row ht="15" r="328" spans="1:5" x14ac:dyDescent="0.25">
      <c r="A328" s="107">
        <v>1214</v>
      </c>
      <c r="B328" s="107" t="s">
        <v>949</v>
      </c>
      <c r="C328" s="107" t="s">
        <v>322</v>
      </c>
      <c r="D328" s="108">
        <v>-0.67028757194199995</v>
      </c>
      <c r="E328" s="106" t="s">
        <v>950</v>
      </c>
    </row>
    <row ht="15" r="329" spans="1:5" x14ac:dyDescent="0.25">
      <c r="A329" s="107">
        <v>1215</v>
      </c>
      <c r="B329" s="107" t="s">
        <v>951</v>
      </c>
      <c r="C329" s="107" t="s">
        <v>322</v>
      </c>
      <c r="D329" s="108">
        <v>-0.69688193970800005</v>
      </c>
      <c r="E329" s="106" t="s">
        <v>952</v>
      </c>
    </row>
    <row ht="15" r="330" spans="1:5" x14ac:dyDescent="0.25">
      <c r="A330" s="107">
        <v>1216</v>
      </c>
      <c r="B330" s="107" t="s">
        <v>953</v>
      </c>
      <c r="C330" s="107" t="s">
        <v>322</v>
      </c>
      <c r="D330" s="108">
        <v>-0.50289966674099995</v>
      </c>
      <c r="E330" s="106" t="s">
        <v>954</v>
      </c>
    </row>
    <row ht="15" r="331" spans="1:5" x14ac:dyDescent="0.25">
      <c r="A331" s="107">
        <v>1217</v>
      </c>
      <c r="B331" s="107" t="s">
        <v>955</v>
      </c>
      <c r="C331" s="107" t="s">
        <v>322</v>
      </c>
      <c r="D331" s="108">
        <v>-0.99588152693599996</v>
      </c>
      <c r="E331" s="106" t="s">
        <v>956</v>
      </c>
    </row>
    <row ht="15" r="332" spans="1:5" x14ac:dyDescent="0.25">
      <c r="A332" s="107">
        <v>1223</v>
      </c>
      <c r="B332" s="107" t="s">
        <v>957</v>
      </c>
      <c r="C332" s="107" t="s">
        <v>322</v>
      </c>
      <c r="D332" s="108">
        <v>-1.15884229352</v>
      </c>
      <c r="E332" s="106" t="s">
        <v>958</v>
      </c>
    </row>
    <row ht="15" r="333" spans="1:5" x14ac:dyDescent="0.25">
      <c r="A333" s="107">
        <v>1224</v>
      </c>
      <c r="B333" s="107" t="s">
        <v>959</v>
      </c>
      <c r="C333" s="107" t="s">
        <v>322</v>
      </c>
      <c r="D333" s="108">
        <v>-0.41315925356400002</v>
      </c>
      <c r="E333" s="106" t="s">
        <v>960</v>
      </c>
    </row>
    <row ht="15" r="334" spans="1:5" x14ac:dyDescent="0.25">
      <c r="A334" s="107">
        <v>1225</v>
      </c>
      <c r="B334" s="107" t="s">
        <v>961</v>
      </c>
      <c r="C334" s="107" t="s">
        <v>322</v>
      </c>
      <c r="D334" s="108">
        <v>-1.1781073092900001</v>
      </c>
      <c r="E334" s="106" t="s">
        <v>962</v>
      </c>
    </row>
    <row ht="15" r="335" spans="1:5" x14ac:dyDescent="0.25">
      <c r="A335" s="107">
        <v>1226</v>
      </c>
      <c r="B335" s="107" t="s">
        <v>963</v>
      </c>
      <c r="C335" s="107" t="s">
        <v>322</v>
      </c>
      <c r="D335" s="108">
        <v>0.41808528217399998</v>
      </c>
      <c r="E335" s="106" t="s">
        <v>964</v>
      </c>
    </row>
    <row ht="15" r="336" spans="1:5" x14ac:dyDescent="0.25">
      <c r="A336" s="107">
        <v>1227</v>
      </c>
      <c r="B336" s="107" t="s">
        <v>965</v>
      </c>
      <c r="C336" s="107" t="s">
        <v>322</v>
      </c>
      <c r="D336" s="108">
        <v>-0.23909838973600001</v>
      </c>
      <c r="E336" s="106" t="s">
        <v>966</v>
      </c>
    </row>
    <row ht="15" r="337" spans="1:5" x14ac:dyDescent="0.25">
      <c r="A337" s="107">
        <v>1234</v>
      </c>
      <c r="B337" s="107" t="s">
        <v>967</v>
      </c>
      <c r="C337" s="107" t="s">
        <v>322</v>
      </c>
      <c r="D337" s="108">
        <v>-0.53250623547800002</v>
      </c>
      <c r="E337" s="106" t="s">
        <v>968</v>
      </c>
    </row>
    <row ht="15" r="338" spans="1:5" x14ac:dyDescent="0.25">
      <c r="A338" s="107">
        <v>1235</v>
      </c>
      <c r="B338" s="107" t="s">
        <v>969</v>
      </c>
      <c r="C338" s="107" t="s">
        <v>322</v>
      </c>
      <c r="D338" s="108">
        <v>-0.73781638945000005</v>
      </c>
      <c r="E338" s="106" t="s">
        <v>970</v>
      </c>
    </row>
    <row ht="15" r="339" spans="1:5" x14ac:dyDescent="0.25">
      <c r="A339" s="107">
        <v>1236</v>
      </c>
      <c r="B339" s="107" t="s">
        <v>971</v>
      </c>
      <c r="C339" s="107" t="s">
        <v>322</v>
      </c>
      <c r="D339" s="108">
        <v>-0.39225286756099997</v>
      </c>
      <c r="E339" s="106" t="s">
        <v>972</v>
      </c>
    </row>
    <row ht="15" r="340" spans="1:5" x14ac:dyDescent="0.25">
      <c r="A340" s="107">
        <v>1237</v>
      </c>
      <c r="B340" s="107" t="s">
        <v>973</v>
      </c>
      <c r="C340" s="107" t="s">
        <v>322</v>
      </c>
      <c r="D340" s="108">
        <v>-0.20531482124200001</v>
      </c>
      <c r="E340" s="106" t="s">
        <v>974</v>
      </c>
    </row>
    <row ht="15" r="341" spans="1:5" x14ac:dyDescent="0.25">
      <c r="A341" s="107">
        <v>1245</v>
      </c>
      <c r="B341" s="107" t="s">
        <v>975</v>
      </c>
      <c r="C341" s="107" t="s">
        <v>322</v>
      </c>
      <c r="D341" s="108">
        <v>-0.17779072526699999</v>
      </c>
      <c r="E341" s="106" t="s">
        <v>976</v>
      </c>
    </row>
    <row ht="15" r="342" spans="1:5" x14ac:dyDescent="0.25">
      <c r="A342" s="107">
        <v>1246</v>
      </c>
      <c r="B342" s="107" t="s">
        <v>977</v>
      </c>
      <c r="C342" s="107" t="s">
        <v>322</v>
      </c>
      <c r="D342" s="108">
        <v>-0.47229190428099999</v>
      </c>
      <c r="E342" s="106" t="s">
        <v>978</v>
      </c>
    </row>
    <row ht="15" r="343" spans="1:5" x14ac:dyDescent="0.25">
      <c r="A343" s="107">
        <v>1247</v>
      </c>
      <c r="B343" s="107" t="s">
        <v>979</v>
      </c>
      <c r="C343" s="107" t="s">
        <v>322</v>
      </c>
      <c r="D343" s="108">
        <v>-0.702095060341</v>
      </c>
      <c r="E343" s="106" t="s">
        <v>980</v>
      </c>
    </row>
    <row ht="15" r="344" spans="1:5" x14ac:dyDescent="0.25">
      <c r="A344" s="107">
        <v>1256</v>
      </c>
      <c r="B344" s="107" t="s">
        <v>981</v>
      </c>
      <c r="C344" s="107" t="s">
        <v>322</v>
      </c>
      <c r="D344" s="108">
        <v>-0.46940031431700002</v>
      </c>
      <c r="E344" s="106" t="s">
        <v>982</v>
      </c>
    </row>
    <row ht="15" r="345" spans="1:5" x14ac:dyDescent="0.25">
      <c r="A345" s="107">
        <v>1257</v>
      </c>
      <c r="B345" s="107" t="s">
        <v>983</v>
      </c>
      <c r="C345" s="107" t="s">
        <v>322</v>
      </c>
      <c r="D345" s="108">
        <v>-0.63882592744199995</v>
      </c>
      <c r="E345" s="106" t="s">
        <v>984</v>
      </c>
    </row>
    <row ht="15" r="346" spans="1:5" x14ac:dyDescent="0.25">
      <c r="A346" s="107">
        <v>1311</v>
      </c>
      <c r="B346" s="107" t="s">
        <v>985</v>
      </c>
      <c r="C346" s="107" t="s">
        <v>322</v>
      </c>
      <c r="D346" s="112">
        <v>-3.23294475912</v>
      </c>
      <c r="E346" s="106" t="s">
        <v>986</v>
      </c>
    </row>
    <row ht="15" r="347" spans="1:5" x14ac:dyDescent="0.25">
      <c r="A347" s="107">
        <v>1312</v>
      </c>
      <c r="B347" s="107" t="s">
        <v>987</v>
      </c>
      <c r="C347" s="107" t="s">
        <v>322</v>
      </c>
      <c r="D347" s="112">
        <v>-4.9079128005400001</v>
      </c>
      <c r="E347" s="106" t="s">
        <v>988</v>
      </c>
    </row>
    <row ht="15" r="348" spans="1:5" x14ac:dyDescent="0.25">
      <c r="A348" s="107">
        <v>1313</v>
      </c>
      <c r="B348" s="107" t="s">
        <v>989</v>
      </c>
      <c r="C348" s="107" t="s">
        <v>322</v>
      </c>
      <c r="D348" s="112">
        <v>-5.5245256889299998</v>
      </c>
      <c r="E348" s="106" t="s">
        <v>990</v>
      </c>
    </row>
    <row ht="15" r="349" spans="1:5" x14ac:dyDescent="0.25">
      <c r="A349" s="107">
        <v>1321</v>
      </c>
      <c r="B349" s="107" t="s">
        <v>991</v>
      </c>
      <c r="C349" s="107" t="s">
        <v>322</v>
      </c>
      <c r="D349" s="112">
        <v>-3.0694184685499999</v>
      </c>
      <c r="E349" s="106" t="s">
        <v>992</v>
      </c>
    </row>
    <row ht="15" r="350" spans="1:5" x14ac:dyDescent="0.25">
      <c r="A350" s="107">
        <v>1322</v>
      </c>
      <c r="B350" s="107" t="s">
        <v>993</v>
      </c>
      <c r="C350" s="107" t="s">
        <v>322</v>
      </c>
      <c r="D350" s="112">
        <v>-4.6893655781000003</v>
      </c>
      <c r="E350" s="106" t="s">
        <v>994</v>
      </c>
    </row>
    <row ht="15" r="351" spans="1:5" x14ac:dyDescent="0.25">
      <c r="A351" s="107">
        <v>1323</v>
      </c>
      <c r="B351" s="107" t="s">
        <v>995</v>
      </c>
      <c r="C351" s="107" t="s">
        <v>322</v>
      </c>
      <c r="D351" s="112">
        <v>-5.2945530060500001</v>
      </c>
      <c r="E351" s="106" t="s">
        <v>996</v>
      </c>
    </row>
    <row ht="15" r="352" spans="1:5" x14ac:dyDescent="0.25">
      <c r="A352" s="107">
        <v>1331</v>
      </c>
      <c r="B352" s="107" t="s">
        <v>997</v>
      </c>
      <c r="C352" s="107" t="s">
        <v>322</v>
      </c>
      <c r="D352" s="112">
        <v>-2.8060943842600001</v>
      </c>
      <c r="E352" s="106" t="s">
        <v>998</v>
      </c>
    </row>
    <row ht="15" r="353" spans="1:5" x14ac:dyDescent="0.25">
      <c r="A353" s="107">
        <v>1332</v>
      </c>
      <c r="B353" s="107" t="s">
        <v>999</v>
      </c>
      <c r="C353" s="107" t="s">
        <v>322</v>
      </c>
      <c r="D353" s="112">
        <v>-4.5280142445599996</v>
      </c>
      <c r="E353" s="106" t="s">
        <v>1000</v>
      </c>
    </row>
    <row ht="15" r="354" spans="1:5" x14ac:dyDescent="0.25">
      <c r="A354" s="107">
        <v>1401</v>
      </c>
      <c r="B354" s="107" t="s">
        <v>1001</v>
      </c>
      <c r="C354" s="107" t="s">
        <v>322</v>
      </c>
      <c r="D354" s="108">
        <v>9.2723414770299994E-2</v>
      </c>
      <c r="E354" s="106" t="s">
        <v>1002</v>
      </c>
    </row>
    <row ht="15" r="355" spans="1:5" x14ac:dyDescent="0.25">
      <c r="A355" s="107">
        <v>1402</v>
      </c>
      <c r="B355" s="107" t="s">
        <v>1003</v>
      </c>
      <c r="C355" s="107" t="s">
        <v>322</v>
      </c>
      <c r="D355" s="108">
        <v>0.25636973171499999</v>
      </c>
      <c r="E355" s="106" t="s">
        <v>1004</v>
      </c>
    </row>
    <row ht="15" r="356" spans="1:5" x14ac:dyDescent="0.25">
      <c r="A356" s="107">
        <v>1403</v>
      </c>
      <c r="B356" s="107" t="s">
        <v>1005</v>
      </c>
      <c r="C356" s="107" t="s">
        <v>322</v>
      </c>
      <c r="D356" s="108">
        <v>0.46539161270599999</v>
      </c>
      <c r="E356" s="106" t="s">
        <v>1006</v>
      </c>
    </row>
    <row ht="15" r="357" spans="1:5" x14ac:dyDescent="0.25">
      <c r="A357" s="107">
        <v>1404</v>
      </c>
      <c r="B357" s="107" t="s">
        <v>1007</v>
      </c>
      <c r="C357" s="107" t="s">
        <v>322</v>
      </c>
      <c r="D357" s="108">
        <v>-0.81558723264099997</v>
      </c>
      <c r="E357" s="106" t="s">
        <v>1008</v>
      </c>
    </row>
    <row ht="15" r="358" spans="1:5" x14ac:dyDescent="0.25">
      <c r="A358" s="107">
        <v>1405</v>
      </c>
      <c r="B358" s="107" t="s">
        <v>1009</v>
      </c>
      <c r="C358" s="107" t="s">
        <v>322</v>
      </c>
      <c r="D358" s="108">
        <v>-3.5031756741299998E-2</v>
      </c>
      <c r="E358" s="106" t="s">
        <v>1010</v>
      </c>
    </row>
    <row ht="15" r="359" spans="1:5" x14ac:dyDescent="0.25">
      <c r="A359" s="107">
        <v>1411</v>
      </c>
      <c r="B359" s="107" t="s">
        <v>1011</v>
      </c>
      <c r="C359" s="107" t="s">
        <v>322</v>
      </c>
      <c r="D359" s="108">
        <v>0.27709867578399999</v>
      </c>
      <c r="E359" s="106" t="s">
        <v>1012</v>
      </c>
    </row>
    <row ht="15" r="360" spans="1:5" x14ac:dyDescent="0.25">
      <c r="A360" s="107">
        <v>1412</v>
      </c>
      <c r="B360" s="107" t="s">
        <v>1013</v>
      </c>
      <c r="C360" s="107" t="s">
        <v>322</v>
      </c>
      <c r="D360" s="108">
        <v>0.230643528391</v>
      </c>
      <c r="E360" s="106" t="s">
        <v>1014</v>
      </c>
    </row>
    <row ht="15" r="361" spans="1:5" x14ac:dyDescent="0.25">
      <c r="A361" s="107">
        <v>1413</v>
      </c>
      <c r="B361" s="107" t="s">
        <v>1015</v>
      </c>
      <c r="C361" s="107" t="s">
        <v>322</v>
      </c>
      <c r="D361" s="108">
        <v>-0.13102011246199999</v>
      </c>
      <c r="E361" s="106" t="s">
        <v>1016</v>
      </c>
    </row>
    <row ht="15" r="362" spans="1:5" x14ac:dyDescent="0.25">
      <c r="A362" s="107">
        <v>1414</v>
      </c>
      <c r="B362" s="107" t="s">
        <v>1017</v>
      </c>
      <c r="C362" s="107" t="s">
        <v>322</v>
      </c>
      <c r="D362" s="108">
        <v>0.55615704919099995</v>
      </c>
      <c r="E362" s="106" t="s">
        <v>1018</v>
      </c>
    </row>
    <row ht="15" r="363" spans="1:5" x14ac:dyDescent="0.25">
      <c r="A363" s="107">
        <v>1415</v>
      </c>
      <c r="B363" s="107" t="s">
        <v>1019</v>
      </c>
      <c r="C363" s="107" t="s">
        <v>322</v>
      </c>
      <c r="D363" s="108">
        <v>1.26703424977E-2</v>
      </c>
      <c r="E363" s="106" t="s">
        <v>1020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6"/>
  <sheetViews>
    <sheetView workbookViewId="0">
      <selection activeCell="I35" sqref="I35"/>
    </sheetView>
  </sheetViews>
  <sheetFormatPr defaultRowHeight="12.75" x14ac:dyDescent="0.2"/>
  <sheetData>
    <row ht="15" r="1" spans="1:5" x14ac:dyDescent="0.25">
      <c r="A1" s="203" t="s">
        <v>3961</v>
      </c>
      <c r="B1" s="204" t="s">
        <v>3962</v>
      </c>
      <c r="C1" s="205" t="s">
        <v>3963</v>
      </c>
      <c r="D1" s="201" t="s">
        <v>3964</v>
      </c>
      <c r="E1" s="202" t="s">
        <v>320</v>
      </c>
    </row>
    <row ht="15" r="2" spans="1:5" x14ac:dyDescent="0.25">
      <c r="A2" s="206">
        <v>1</v>
      </c>
      <c r="B2" s="207" t="s">
        <v>1041</v>
      </c>
      <c r="C2" s="208">
        <v>-0.22600999999999999</v>
      </c>
      <c r="D2" s="200" t="s">
        <v>3965</v>
      </c>
      <c r="E2" s="200" t="s">
        <v>3966</v>
      </c>
    </row>
    <row ht="15" r="3" spans="1:5" x14ac:dyDescent="0.25">
      <c r="A3" s="206">
        <v>3</v>
      </c>
      <c r="B3" s="207" t="s">
        <v>1042</v>
      </c>
      <c r="C3" s="208">
        <v>-2.1894900000000002</v>
      </c>
      <c r="D3" s="200" t="s">
        <v>3967</v>
      </c>
      <c r="E3" s="200" t="s">
        <v>3966</v>
      </c>
    </row>
    <row ht="15" r="4" spans="1:5" x14ac:dyDescent="0.25">
      <c r="A4" s="206">
        <v>4</v>
      </c>
      <c r="B4" s="207" t="s">
        <v>1043</v>
      </c>
      <c r="C4" s="208">
        <v>-3.1363400000000001</v>
      </c>
      <c r="D4" s="200" t="s">
        <v>3968</v>
      </c>
      <c r="E4" s="200" t="s">
        <v>3966</v>
      </c>
    </row>
    <row ht="15" r="5" spans="1:5" x14ac:dyDescent="0.25">
      <c r="A5" s="206">
        <v>6</v>
      </c>
      <c r="B5" s="207" t="s">
        <v>1044</v>
      </c>
      <c r="C5" s="208">
        <v>-1.4003699999999999</v>
      </c>
      <c r="D5" s="200" t="s">
        <v>3969</v>
      </c>
      <c r="E5" s="200" t="s">
        <v>3966</v>
      </c>
    </row>
    <row ht="15" r="6" spans="1:5" x14ac:dyDescent="0.25">
      <c r="A6" s="206">
        <v>8</v>
      </c>
      <c r="B6" s="207" t="s">
        <v>1045</v>
      </c>
      <c r="C6" s="208">
        <v>-1.7961800000000001</v>
      </c>
      <c r="D6" s="200" t="s">
        <v>3970</v>
      </c>
      <c r="E6" s="200" t="s">
        <v>3966</v>
      </c>
    </row>
    <row ht="15" r="7" spans="1:5" x14ac:dyDescent="0.25">
      <c r="A7" s="206">
        <v>10</v>
      </c>
      <c r="B7" s="207" t="s">
        <v>1046</v>
      </c>
      <c r="C7" s="208">
        <v>-0.27146999999999999</v>
      </c>
      <c r="D7" s="200" t="s">
        <v>3971</v>
      </c>
      <c r="E7" s="200" t="s">
        <v>3966</v>
      </c>
    </row>
    <row ht="15" r="8" spans="1:5" x14ac:dyDescent="0.25">
      <c r="A8" s="206">
        <v>13</v>
      </c>
      <c r="B8" s="207" t="s">
        <v>1047</v>
      </c>
      <c r="C8" s="208">
        <v>-1.7297499999999999</v>
      </c>
      <c r="D8" s="200" t="s">
        <v>3972</v>
      </c>
      <c r="E8" s="200" t="s">
        <v>3966</v>
      </c>
    </row>
    <row ht="15" r="9" spans="1:5" x14ac:dyDescent="0.25">
      <c r="A9" s="206">
        <v>15</v>
      </c>
      <c r="B9" s="207" t="s">
        <v>1048</v>
      </c>
      <c r="C9" s="208">
        <v>1.5746599999999999</v>
      </c>
      <c r="D9" s="200" t="s">
        <v>3973</v>
      </c>
      <c r="E9" s="200" t="s">
        <v>3974</v>
      </c>
    </row>
    <row ht="15" r="10" spans="1:5" x14ac:dyDescent="0.25">
      <c r="A10" s="206">
        <v>16</v>
      </c>
      <c r="B10" s="207" t="s">
        <v>1049</v>
      </c>
      <c r="C10" s="208">
        <v>0.37706000000000001</v>
      </c>
      <c r="D10" s="200" t="s">
        <v>3973</v>
      </c>
      <c r="E10" s="200" t="s">
        <v>3975</v>
      </c>
    </row>
    <row ht="15" r="11" spans="1:5" x14ac:dyDescent="0.25">
      <c r="A11" s="206">
        <v>18</v>
      </c>
      <c r="B11" s="207" t="s">
        <v>1050</v>
      </c>
      <c r="C11" s="208">
        <v>0.73553000000000002</v>
      </c>
      <c r="D11" s="200" t="s">
        <v>3973</v>
      </c>
      <c r="E11" s="200" t="s">
        <v>3976</v>
      </c>
    </row>
    <row ht="15" r="12" spans="1:5" x14ac:dyDescent="0.25">
      <c r="A12" s="206">
        <v>22</v>
      </c>
      <c r="B12" s="207" t="s">
        <v>1051</v>
      </c>
      <c r="C12" s="208">
        <v>2.8899999999999999E-2</v>
      </c>
      <c r="D12" s="200" t="s">
        <v>3973</v>
      </c>
      <c r="E12" s="200" t="s">
        <v>3977</v>
      </c>
    </row>
    <row ht="15" r="13" spans="1:5" x14ac:dyDescent="0.25">
      <c r="A13" s="206">
        <v>23</v>
      </c>
      <c r="B13" s="207" t="s">
        <v>1052</v>
      </c>
      <c r="C13" s="208">
        <v>2.8309999999999998E-2</v>
      </c>
      <c r="D13" s="200" t="s">
        <v>3973</v>
      </c>
      <c r="E13" s="200" t="s">
        <v>3978</v>
      </c>
    </row>
    <row ht="15" r="14" spans="1:5" x14ac:dyDescent="0.25">
      <c r="A14" s="206">
        <v>32</v>
      </c>
      <c r="B14" s="207" t="s">
        <v>1053</v>
      </c>
      <c r="C14" s="208">
        <v>-5.5019999999999999E-2</v>
      </c>
      <c r="D14" s="200" t="s">
        <v>3973</v>
      </c>
      <c r="E14" s="200" t="s">
        <v>3979</v>
      </c>
    </row>
    <row ht="15" r="15" spans="1:5" x14ac:dyDescent="0.25">
      <c r="A15" s="206">
        <v>39</v>
      </c>
      <c r="B15" s="207" t="s">
        <v>1054</v>
      </c>
      <c r="C15" s="208">
        <v>0.11888</v>
      </c>
      <c r="D15" s="200" t="s">
        <v>3968</v>
      </c>
      <c r="E15" s="200" t="s">
        <v>3980</v>
      </c>
    </row>
    <row ht="15" r="16" spans="1:5" x14ac:dyDescent="0.25">
      <c r="A16" s="206">
        <v>50</v>
      </c>
      <c r="B16" s="207" t="s">
        <v>1055</v>
      </c>
      <c r="C16" s="208">
        <v>1.3366199999999999</v>
      </c>
      <c r="D16" s="200" t="s">
        <v>3981</v>
      </c>
      <c r="E16" s="200" t="s">
        <v>3982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C151"/>
  <sheetViews>
    <sheetView workbookViewId="0" zoomScaleNormal="100">
      <selection activeCell="C75" sqref="C75"/>
    </sheetView>
  </sheetViews>
  <sheetFormatPr defaultRowHeight="12.75" x14ac:dyDescent="0.2"/>
  <sheetData>
    <row r="1" spans="1:2" x14ac:dyDescent="0.2">
      <c r="A1" t="s">
        <v>3943</v>
      </c>
      <c r="B1" t="s">
        <v>3933</v>
      </c>
    </row>
    <row r="2" spans="1:2" x14ac:dyDescent="0.2">
      <c r="A2">
        <v>1</v>
      </c>
      <c r="B2">
        <v>352289.522596</v>
      </c>
    </row>
    <row r="3" spans="1:2" x14ac:dyDescent="0.2">
      <c r="A3">
        <v>2</v>
      </c>
      <c r="B3">
        <v>66529.8065394</v>
      </c>
    </row>
    <row r="4" spans="1:2" x14ac:dyDescent="0.2">
      <c r="A4">
        <v>3</v>
      </c>
      <c r="B4">
        <v>587916.81215000001</v>
      </c>
    </row>
    <row r="5" spans="1:2" x14ac:dyDescent="0.2">
      <c r="A5">
        <v>4</v>
      </c>
      <c r="B5">
        <v>1103281.0514100001</v>
      </c>
    </row>
    <row r="6" spans="1:2" x14ac:dyDescent="0.2">
      <c r="A6">
        <v>5</v>
      </c>
      <c r="B6">
        <v>1316083.58406</v>
      </c>
    </row>
    <row r="7" spans="1:2" x14ac:dyDescent="0.2">
      <c r="A7">
        <v>6</v>
      </c>
      <c r="B7">
        <v>519416.79047299997</v>
      </c>
    </row>
    <row r="8" spans="1:2" x14ac:dyDescent="0.2">
      <c r="A8">
        <v>7</v>
      </c>
      <c r="B8">
        <v>601291.02230900002</v>
      </c>
    </row>
    <row r="9" spans="1:2" x14ac:dyDescent="0.2">
      <c r="A9">
        <v>10</v>
      </c>
      <c r="B9">
        <v>93191.210673499998</v>
      </c>
    </row>
    <row r="10" spans="1:2" x14ac:dyDescent="0.2">
      <c r="A10" t="s">
        <v>3944</v>
      </c>
      <c r="B10">
        <v>0</v>
      </c>
    </row>
    <row r="11" spans="1:2" x14ac:dyDescent="0.2">
      <c r="A11" t="s">
        <v>3935</v>
      </c>
      <c r="B11">
        <v>212438.16250000001</v>
      </c>
    </row>
    <row r="12" spans="1:2" x14ac:dyDescent="0.2">
      <c r="A12" t="s">
        <v>3936</v>
      </c>
      <c r="B12">
        <v>43834.214599999999</v>
      </c>
    </row>
    <row r="13" spans="1:2" x14ac:dyDescent="0.2">
      <c r="A13" t="s">
        <v>3937</v>
      </c>
      <c r="B13">
        <v>333406.60320000001</v>
      </c>
    </row>
    <row r="14" spans="1:2" x14ac:dyDescent="0.2">
      <c r="A14" t="s">
        <v>3938</v>
      </c>
      <c r="B14">
        <v>661678.25730000006</v>
      </c>
    </row>
    <row r="15" spans="1:2" x14ac:dyDescent="0.2">
      <c r="A15" t="s">
        <v>3939</v>
      </c>
      <c r="B15">
        <v>788803.35860000004</v>
      </c>
    </row>
    <row r="16" spans="1:2" x14ac:dyDescent="0.2">
      <c r="A16" t="s">
        <v>3940</v>
      </c>
      <c r="B16">
        <v>422040.64309999999</v>
      </c>
    </row>
    <row r="17" spans="1:3" x14ac:dyDescent="0.2">
      <c r="A17" t="s">
        <v>3941</v>
      </c>
      <c r="B17">
        <v>398356.87479999999</v>
      </c>
    </row>
    <row r="18" spans="1:3" x14ac:dyDescent="0.2">
      <c r="A18" t="s">
        <v>3934</v>
      </c>
      <c r="B18">
        <v>0</v>
      </c>
    </row>
    <row r="19" spans="1:3" x14ac:dyDescent="0.2">
      <c r="A19" t="s">
        <v>3942</v>
      </c>
      <c r="B19">
        <v>3708517.9665999999</v>
      </c>
    </row>
    <row r="20" spans="1:3" x14ac:dyDescent="0.2">
      <c r="A20" t="s">
        <v>10549</v>
      </c>
      <c r="B20" t="s">
        <v>10550</v>
      </c>
      <c r="C20" t="s">
        <v>10551</v>
      </c>
    </row>
    <row r="21" spans="1:3" x14ac:dyDescent="0.2">
      <c r="A21">
        <v>1</v>
      </c>
      <c r="B21">
        <v>1</v>
      </c>
      <c r="C21">
        <v>67380.191500000001</v>
      </c>
    </row>
    <row r="22" spans="1:3" x14ac:dyDescent="0.2">
      <c r="A22">
        <v>1</v>
      </c>
      <c r="B22">
        <v>2</v>
      </c>
      <c r="C22">
        <v>5546.4423999999999</v>
      </c>
    </row>
    <row r="23" spans="1:3" x14ac:dyDescent="0.2">
      <c r="A23">
        <v>1</v>
      </c>
      <c r="B23">
        <v>3</v>
      </c>
      <c r="C23">
        <v>57225.740599999997</v>
      </c>
    </row>
    <row r="24" spans="1:3" x14ac:dyDescent="0.2">
      <c r="A24">
        <v>1</v>
      </c>
      <c r="B24">
        <v>4</v>
      </c>
      <c r="C24">
        <v>46626.607799999998</v>
      </c>
    </row>
    <row r="25" spans="1:3" x14ac:dyDescent="0.2">
      <c r="A25">
        <v>1</v>
      </c>
      <c r="B25">
        <v>5</v>
      </c>
      <c r="C25">
        <v>276040.17139999999</v>
      </c>
    </row>
    <row r="26" spans="1:3" x14ac:dyDescent="0.2">
      <c r="A26">
        <v>1</v>
      </c>
      <c r="B26">
        <v>6</v>
      </c>
      <c r="C26">
        <v>31451.611099999998</v>
      </c>
    </row>
    <row r="27" spans="1:3" x14ac:dyDescent="0.2">
      <c r="A27">
        <v>1</v>
      </c>
      <c r="B27">
        <v>7</v>
      </c>
      <c r="C27">
        <v>928318.97759999998</v>
      </c>
    </row>
    <row r="28" spans="1:3" x14ac:dyDescent="0.2">
      <c r="A28">
        <v>2</v>
      </c>
      <c r="B28">
        <v>1</v>
      </c>
      <c r="C28">
        <v>13951.564399999999</v>
      </c>
    </row>
    <row r="29" spans="1:3" x14ac:dyDescent="0.2">
      <c r="A29">
        <v>2</v>
      </c>
      <c r="B29">
        <v>2</v>
      </c>
      <c r="C29">
        <v>378.60980000000001</v>
      </c>
    </row>
    <row r="30" spans="1:3" x14ac:dyDescent="0.2">
      <c r="A30">
        <v>2</v>
      </c>
      <c r="B30">
        <v>3</v>
      </c>
      <c r="C30">
        <v>13224.056699999999</v>
      </c>
    </row>
    <row r="31" spans="1:3" x14ac:dyDescent="0.2">
      <c r="A31">
        <v>2</v>
      </c>
      <c r="B31">
        <v>4</v>
      </c>
      <c r="C31">
        <v>10086.334199999999</v>
      </c>
    </row>
    <row r="32" spans="1:3" x14ac:dyDescent="0.2">
      <c r="A32">
        <v>2</v>
      </c>
      <c r="B32">
        <v>5</v>
      </c>
      <c r="C32">
        <v>63855.758099999999</v>
      </c>
    </row>
    <row r="33" spans="1:3" x14ac:dyDescent="0.2">
      <c r="A33">
        <v>2</v>
      </c>
      <c r="B33">
        <v>6</v>
      </c>
      <c r="C33">
        <v>4319.1905999999999</v>
      </c>
    </row>
    <row r="34" spans="1:3" x14ac:dyDescent="0.2">
      <c r="A34">
        <v>2</v>
      </c>
      <c r="B34">
        <v>7</v>
      </c>
      <c r="C34">
        <v>235140.16829999999</v>
      </c>
    </row>
    <row r="35" spans="1:3" x14ac:dyDescent="0.2">
      <c r="A35">
        <v>3</v>
      </c>
      <c r="B35">
        <v>1</v>
      </c>
      <c r="C35">
        <v>17397.107800000002</v>
      </c>
    </row>
    <row r="36" spans="1:3" x14ac:dyDescent="0.2">
      <c r="A36">
        <v>3</v>
      </c>
      <c r="B36">
        <v>2</v>
      </c>
      <c r="C36">
        <v>1382.6705999999999</v>
      </c>
    </row>
    <row r="37" spans="1:3" x14ac:dyDescent="0.2">
      <c r="A37">
        <v>3</v>
      </c>
      <c r="B37">
        <v>3</v>
      </c>
      <c r="C37">
        <v>13957.9494</v>
      </c>
    </row>
    <row r="38" spans="1:3" x14ac:dyDescent="0.2">
      <c r="A38">
        <v>3</v>
      </c>
      <c r="B38">
        <v>4</v>
      </c>
      <c r="C38">
        <v>9612.5879000000004</v>
      </c>
    </row>
    <row r="39" spans="1:3" x14ac:dyDescent="0.2">
      <c r="A39">
        <v>3</v>
      </c>
      <c r="B39">
        <v>5</v>
      </c>
      <c r="C39">
        <v>61542.475599999998</v>
      </c>
    </row>
    <row r="40" spans="1:3" x14ac:dyDescent="0.2">
      <c r="A40">
        <v>3</v>
      </c>
      <c r="B40">
        <v>6</v>
      </c>
      <c r="C40">
        <v>5003.9997999999996</v>
      </c>
    </row>
    <row r="41" spans="1:3" x14ac:dyDescent="0.2">
      <c r="A41">
        <v>3</v>
      </c>
      <c r="B41">
        <v>7</v>
      </c>
      <c r="C41">
        <v>276195.18729999999</v>
      </c>
    </row>
    <row r="42" spans="1:3" x14ac:dyDescent="0.2">
      <c r="A42">
        <v>4</v>
      </c>
      <c r="B42">
        <v>1</v>
      </c>
      <c r="C42">
        <v>17253.851999999999</v>
      </c>
    </row>
    <row r="43" spans="1:3" x14ac:dyDescent="0.2">
      <c r="A43">
        <v>4</v>
      </c>
      <c r="B43">
        <v>2</v>
      </c>
      <c r="C43">
        <v>2143.4193</v>
      </c>
    </row>
    <row r="44" spans="1:3" x14ac:dyDescent="0.2">
      <c r="A44">
        <v>4</v>
      </c>
      <c r="B44">
        <v>3</v>
      </c>
      <c r="C44">
        <v>16102.5137</v>
      </c>
    </row>
    <row r="45" spans="1:3" x14ac:dyDescent="0.2">
      <c r="A45">
        <v>4</v>
      </c>
      <c r="B45">
        <v>4</v>
      </c>
      <c r="C45">
        <v>22962.752400000001</v>
      </c>
    </row>
    <row r="46" spans="1:3" x14ac:dyDescent="0.2">
      <c r="A46">
        <v>4</v>
      </c>
      <c r="B46">
        <v>5</v>
      </c>
      <c r="C46">
        <v>87610.8027</v>
      </c>
    </row>
    <row r="47" spans="1:3" x14ac:dyDescent="0.2">
      <c r="A47">
        <v>4</v>
      </c>
      <c r="B47">
        <v>6</v>
      </c>
      <c r="C47">
        <v>8520.9485999999997</v>
      </c>
    </row>
    <row r="48" spans="1:3" x14ac:dyDescent="0.2">
      <c r="A48">
        <v>4</v>
      </c>
      <c r="B48">
        <v>7</v>
      </c>
      <c r="C48">
        <v>437694.37969999999</v>
      </c>
    </row>
    <row r="49" spans="1:3" x14ac:dyDescent="0.2">
      <c r="A49">
        <v>5</v>
      </c>
      <c r="B49">
        <v>1</v>
      </c>
      <c r="C49">
        <v>2080.6143000000002</v>
      </c>
    </row>
    <row r="50" spans="1:3" x14ac:dyDescent="0.2">
      <c r="A50">
        <v>5</v>
      </c>
      <c r="B50">
        <v>2</v>
      </c>
      <c r="C50">
        <v>294.91109999999998</v>
      </c>
    </row>
    <row r="51" spans="1:3" x14ac:dyDescent="0.2">
      <c r="A51">
        <v>5</v>
      </c>
      <c r="B51">
        <v>3</v>
      </c>
      <c r="C51">
        <v>1471.8117999999999</v>
      </c>
    </row>
    <row r="52" spans="1:3" x14ac:dyDescent="0.2">
      <c r="A52">
        <v>5</v>
      </c>
      <c r="B52">
        <v>4</v>
      </c>
      <c r="C52">
        <v>3498.5259999999998</v>
      </c>
    </row>
    <row r="53" spans="1:3" x14ac:dyDescent="0.2">
      <c r="A53">
        <v>5</v>
      </c>
      <c r="B53">
        <v>5</v>
      </c>
      <c r="C53">
        <v>33894.026700000002</v>
      </c>
    </row>
    <row r="54" spans="1:3" x14ac:dyDescent="0.2">
      <c r="A54">
        <v>5</v>
      </c>
      <c r="B54">
        <v>6</v>
      </c>
      <c r="C54">
        <v>2274.6165999999998</v>
      </c>
    </row>
    <row r="55" spans="1:3" x14ac:dyDescent="0.2">
      <c r="A55">
        <v>5</v>
      </c>
      <c r="B55">
        <v>7</v>
      </c>
      <c r="C55">
        <v>67964.429099999994</v>
      </c>
    </row>
    <row r="56" spans="1:3" x14ac:dyDescent="0.2">
      <c r="A56">
        <v>6</v>
      </c>
      <c r="B56">
        <v>1</v>
      </c>
      <c r="C56">
        <v>1905.2952</v>
      </c>
    </row>
    <row r="57" spans="1:3" x14ac:dyDescent="0.2">
      <c r="A57">
        <v>6</v>
      </c>
      <c r="B57">
        <v>3</v>
      </c>
      <c r="C57">
        <v>2170.0192999999999</v>
      </c>
    </row>
    <row r="58" spans="1:3" x14ac:dyDescent="0.2">
      <c r="A58">
        <v>6</v>
      </c>
      <c r="B58">
        <v>4</v>
      </c>
      <c r="C58">
        <v>3936.4520000000002</v>
      </c>
    </row>
    <row r="59" spans="1:3" x14ac:dyDescent="0.2">
      <c r="A59">
        <v>6</v>
      </c>
      <c r="B59">
        <v>5</v>
      </c>
      <c r="C59">
        <v>4756.9449000000004</v>
      </c>
    </row>
    <row r="60" spans="1:3" x14ac:dyDescent="0.2">
      <c r="A60">
        <v>6</v>
      </c>
      <c r="B60">
        <v>6</v>
      </c>
      <c r="C60">
        <v>178.05779999999999</v>
      </c>
    </row>
    <row r="61" spans="1:3" x14ac:dyDescent="0.2">
      <c r="A61">
        <v>6</v>
      </c>
      <c r="B61">
        <v>7</v>
      </c>
      <c r="C61">
        <v>65552.774999999994</v>
      </c>
    </row>
    <row r="62" spans="1:3" x14ac:dyDescent="0.2">
      <c r="A62">
        <v>7</v>
      </c>
      <c r="B62">
        <v>1</v>
      </c>
      <c r="C62">
        <v>21927.493999999999</v>
      </c>
    </row>
    <row r="63" spans="1:3" x14ac:dyDescent="0.2">
      <c r="A63">
        <v>7</v>
      </c>
      <c r="B63">
        <v>2</v>
      </c>
      <c r="C63">
        <v>164.3246</v>
      </c>
    </row>
    <row r="64" spans="1:3" x14ac:dyDescent="0.2">
      <c r="A64">
        <v>7</v>
      </c>
      <c r="B64">
        <v>3</v>
      </c>
      <c r="C64">
        <v>15498.8351</v>
      </c>
    </row>
    <row r="65" spans="1:3" x14ac:dyDescent="0.2">
      <c r="A65">
        <v>7</v>
      </c>
      <c r="B65">
        <v>4</v>
      </c>
      <c r="C65">
        <v>22665.746500000001</v>
      </c>
    </row>
    <row r="66" spans="1:3" x14ac:dyDescent="0.2">
      <c r="A66">
        <v>7</v>
      </c>
      <c r="B66">
        <v>5</v>
      </c>
      <c r="C66">
        <v>73459.653099999996</v>
      </c>
    </row>
    <row r="67" spans="1:3" x14ac:dyDescent="0.2">
      <c r="A67">
        <v>7</v>
      </c>
      <c r="B67">
        <v>6</v>
      </c>
      <c r="C67">
        <v>686.47450000000003</v>
      </c>
    </row>
    <row r="68" spans="1:3" x14ac:dyDescent="0.2">
      <c r="A68">
        <v>7</v>
      </c>
      <c r="B68">
        <v>7</v>
      </c>
      <c r="C68">
        <v>381513.39809999999</v>
      </c>
    </row>
    <row r="69" spans="1:3" x14ac:dyDescent="0.2">
      <c r="A69">
        <v>8</v>
      </c>
      <c r="B69">
        <v>1</v>
      </c>
      <c r="C69">
        <v>9636.1661000000004</v>
      </c>
    </row>
    <row r="70" spans="1:3" x14ac:dyDescent="0.2">
      <c r="A70">
        <v>8</v>
      </c>
      <c r="B70">
        <v>2</v>
      </c>
      <c r="C70">
        <v>367.029</v>
      </c>
    </row>
    <row r="71" spans="1:3" x14ac:dyDescent="0.2">
      <c r="A71">
        <v>8</v>
      </c>
      <c r="B71">
        <v>3</v>
      </c>
      <c r="C71">
        <v>12903.3161</v>
      </c>
    </row>
    <row r="72" spans="1:3" x14ac:dyDescent="0.2">
      <c r="A72">
        <v>8</v>
      </c>
      <c r="B72">
        <v>4</v>
      </c>
      <c r="C72">
        <v>6513.8216000000002</v>
      </c>
    </row>
    <row r="73" spans="1:3" x14ac:dyDescent="0.2">
      <c r="A73">
        <v>8</v>
      </c>
      <c r="B73">
        <v>5</v>
      </c>
      <c r="C73">
        <v>36361.084000000003</v>
      </c>
    </row>
    <row r="74" spans="1:3" x14ac:dyDescent="0.2">
      <c r="A74">
        <v>8</v>
      </c>
      <c r="B74">
        <v>6</v>
      </c>
      <c r="C74">
        <v>815.52570000000003</v>
      </c>
    </row>
    <row r="75" spans="1:3" x14ac:dyDescent="0.2">
      <c r="A75">
        <v>8</v>
      </c>
      <c r="B75">
        <v>7</v>
      </c>
      <c r="C75">
        <v>205100.5471</v>
      </c>
    </row>
    <row r="76" spans="1:3" x14ac:dyDescent="0.2">
      <c r="A76" t="s">
        <v>3945</v>
      </c>
      <c r="B76" t="s">
        <v>3933</v>
      </c>
    </row>
    <row r="77" spans="1:3" x14ac:dyDescent="0.2">
      <c r="A77">
        <v>1</v>
      </c>
      <c r="B77">
        <v>355526.701894</v>
      </c>
    </row>
    <row r="78" spans="1:3" x14ac:dyDescent="0.2">
      <c r="A78">
        <v>2</v>
      </c>
      <c r="B78">
        <v>57828.318804499999</v>
      </c>
    </row>
    <row r="79" spans="1:3" x14ac:dyDescent="0.2">
      <c r="A79">
        <v>3</v>
      </c>
      <c r="B79">
        <v>576032.95765600004</v>
      </c>
    </row>
    <row r="80" spans="1:3" x14ac:dyDescent="0.2">
      <c r="A80">
        <v>4</v>
      </c>
      <c r="B80">
        <v>1106007.0663900001</v>
      </c>
    </row>
    <row r="81" spans="1:3" x14ac:dyDescent="0.2">
      <c r="A81">
        <v>5</v>
      </c>
      <c r="B81">
        <v>1314597.20108</v>
      </c>
    </row>
    <row r="82" spans="1:3" x14ac:dyDescent="0.2">
      <c r="A82">
        <v>6</v>
      </c>
      <c r="B82">
        <v>518990.383875</v>
      </c>
    </row>
    <row r="83" spans="1:3" x14ac:dyDescent="0.2">
      <c r="A83">
        <v>7</v>
      </c>
      <c r="B83">
        <v>598101.99901699997</v>
      </c>
    </row>
    <row r="84" spans="1:3" x14ac:dyDescent="0.2">
      <c r="A84">
        <v>10</v>
      </c>
      <c r="B84">
        <v>73447.996100000004</v>
      </c>
    </row>
    <row r="85" spans="1:3" x14ac:dyDescent="0.2">
      <c r="A85" t="s">
        <v>3946</v>
      </c>
      <c r="B85">
        <v>0</v>
      </c>
    </row>
    <row r="86" spans="1:3" x14ac:dyDescent="0.2">
      <c r="A86" t="s">
        <v>3935</v>
      </c>
      <c r="B86">
        <v>264617.35916599998</v>
      </c>
    </row>
    <row r="87" spans="1:3" x14ac:dyDescent="0.2">
      <c r="A87" t="s">
        <v>3936</v>
      </c>
      <c r="B87">
        <v>87646.578550599996</v>
      </c>
    </row>
    <row r="88" spans="1:3" x14ac:dyDescent="0.2">
      <c r="A88" t="s">
        <v>3937</v>
      </c>
      <c r="B88">
        <v>495951.74589100003</v>
      </c>
    </row>
    <row r="89" spans="1:3" x14ac:dyDescent="0.2">
      <c r="A89" t="s">
        <v>3938</v>
      </c>
      <c r="B89">
        <v>1144137.1574599999</v>
      </c>
    </row>
    <row r="90" spans="1:3" x14ac:dyDescent="0.2">
      <c r="A90" t="s">
        <v>3939</v>
      </c>
      <c r="B90">
        <v>1538624.2772599999</v>
      </c>
    </row>
    <row r="91" spans="1:3" x14ac:dyDescent="0.2">
      <c r="A91" t="s">
        <v>3940</v>
      </c>
      <c r="B91">
        <v>731080.34515900002</v>
      </c>
    </row>
    <row r="92" spans="1:3" x14ac:dyDescent="0.2">
      <c r="A92" t="s">
        <v>3941</v>
      </c>
      <c r="B92">
        <v>802563.615368</v>
      </c>
    </row>
    <row r="93" spans="1:3" x14ac:dyDescent="0.2">
      <c r="A93" t="s">
        <v>3934</v>
      </c>
      <c r="B93">
        <v>0</v>
      </c>
    </row>
    <row r="94" spans="1:3" x14ac:dyDescent="0.2">
      <c r="A94" t="s">
        <v>3942</v>
      </c>
      <c r="B94">
        <v>3742474.8184699998</v>
      </c>
    </row>
    <row r="95" spans="1:3" x14ac:dyDescent="0.2">
      <c r="A95" t="s">
        <v>10549</v>
      </c>
      <c r="B95" t="s">
        <v>10550</v>
      </c>
      <c r="C95" t="s">
        <v>10551</v>
      </c>
    </row>
    <row r="96" spans="1:3" x14ac:dyDescent="0.2">
      <c r="A96">
        <v>1</v>
      </c>
      <c r="B96">
        <v>1</v>
      </c>
      <c r="C96">
        <v>60013.25</v>
      </c>
    </row>
    <row r="97" spans="1:3" x14ac:dyDescent="0.2">
      <c r="A97">
        <v>1</v>
      </c>
      <c r="B97">
        <v>2</v>
      </c>
      <c r="C97">
        <v>4984</v>
      </c>
    </row>
    <row r="98" spans="1:3" x14ac:dyDescent="0.2">
      <c r="A98">
        <v>1</v>
      </c>
      <c r="B98">
        <v>3</v>
      </c>
      <c r="C98">
        <v>56217.75</v>
      </c>
    </row>
    <row r="99" spans="1:3" x14ac:dyDescent="0.2">
      <c r="A99">
        <v>1</v>
      </c>
      <c r="B99">
        <v>4</v>
      </c>
      <c r="C99">
        <v>44430.5</v>
      </c>
    </row>
    <row r="100" spans="1:3" x14ac:dyDescent="0.2">
      <c r="A100">
        <v>1</v>
      </c>
      <c r="B100">
        <v>5</v>
      </c>
      <c r="C100">
        <v>268946.81977599999</v>
      </c>
    </row>
    <row r="101" spans="1:3" x14ac:dyDescent="0.2">
      <c r="A101">
        <v>1</v>
      </c>
      <c r="B101">
        <v>6</v>
      </c>
      <c r="C101">
        <v>31260.5924581</v>
      </c>
    </row>
    <row r="102" spans="1:3" x14ac:dyDescent="0.2">
      <c r="A102">
        <v>1</v>
      </c>
      <c r="B102">
        <v>7</v>
      </c>
      <c r="C102">
        <v>944369.46701999998</v>
      </c>
    </row>
    <row r="103" spans="1:3" x14ac:dyDescent="0.2">
      <c r="A103">
        <v>2</v>
      </c>
      <c r="B103">
        <v>1</v>
      </c>
      <c r="C103">
        <v>12191.25</v>
      </c>
    </row>
    <row r="104" spans="1:3" x14ac:dyDescent="0.2">
      <c r="A104">
        <v>2</v>
      </c>
      <c r="B104">
        <v>2</v>
      </c>
      <c r="C104">
        <v>542</v>
      </c>
    </row>
    <row r="105" spans="1:3" x14ac:dyDescent="0.2">
      <c r="A105">
        <v>2</v>
      </c>
      <c r="B105">
        <v>3</v>
      </c>
      <c r="C105">
        <v>12070.75</v>
      </c>
    </row>
    <row r="106" spans="1:3" x14ac:dyDescent="0.2">
      <c r="A106">
        <v>2</v>
      </c>
      <c r="B106">
        <v>4</v>
      </c>
      <c r="C106">
        <v>8310.5</v>
      </c>
    </row>
    <row r="107" spans="1:3" x14ac:dyDescent="0.2">
      <c r="A107">
        <v>2</v>
      </c>
      <c r="B107">
        <v>5</v>
      </c>
      <c r="C107">
        <v>62381.709193199997</v>
      </c>
    </row>
    <row r="108" spans="1:3" x14ac:dyDescent="0.2">
      <c r="A108">
        <v>2</v>
      </c>
      <c r="B108">
        <v>6</v>
      </c>
      <c r="C108">
        <v>5142.6713094400002</v>
      </c>
    </row>
    <row r="109" spans="1:3" x14ac:dyDescent="0.2">
      <c r="A109">
        <v>2</v>
      </c>
      <c r="B109">
        <v>7</v>
      </c>
      <c r="C109">
        <v>229948.91359700001</v>
      </c>
    </row>
    <row r="110" spans="1:3" x14ac:dyDescent="0.2">
      <c r="A110">
        <v>3</v>
      </c>
      <c r="B110">
        <v>1</v>
      </c>
      <c r="C110">
        <v>17578</v>
      </c>
    </row>
    <row r="111" spans="1:3" x14ac:dyDescent="0.2">
      <c r="A111">
        <v>3</v>
      </c>
      <c r="B111">
        <v>2</v>
      </c>
      <c r="C111">
        <v>1200</v>
      </c>
    </row>
    <row r="112" spans="1:3" x14ac:dyDescent="0.2">
      <c r="A112">
        <v>3</v>
      </c>
      <c r="B112">
        <v>3</v>
      </c>
      <c r="C112">
        <v>13382</v>
      </c>
    </row>
    <row r="113" spans="1:3" x14ac:dyDescent="0.2">
      <c r="A113">
        <v>3</v>
      </c>
      <c r="B113">
        <v>4</v>
      </c>
      <c r="C113">
        <v>9822.75</v>
      </c>
    </row>
    <row r="114" spans="1:3" x14ac:dyDescent="0.2">
      <c r="A114">
        <v>3</v>
      </c>
      <c r="B114">
        <v>5</v>
      </c>
      <c r="C114">
        <v>63195.251718500003</v>
      </c>
    </row>
    <row r="115" spans="1:3" x14ac:dyDescent="0.2">
      <c r="A115">
        <v>3</v>
      </c>
      <c r="B115">
        <v>6</v>
      </c>
      <c r="C115">
        <v>5554.4927739599998</v>
      </c>
    </row>
    <row r="116" spans="1:3" x14ac:dyDescent="0.2">
      <c r="A116">
        <v>3</v>
      </c>
      <c r="B116">
        <v>7</v>
      </c>
      <c r="C116">
        <v>282974.68485800002</v>
      </c>
    </row>
    <row r="117" spans="1:3" x14ac:dyDescent="0.2">
      <c r="A117">
        <v>4</v>
      </c>
      <c r="B117">
        <v>1</v>
      </c>
      <c r="C117">
        <v>21311.25</v>
      </c>
    </row>
    <row r="118" spans="1:3" x14ac:dyDescent="0.2">
      <c r="A118">
        <v>4</v>
      </c>
      <c r="B118">
        <v>2</v>
      </c>
      <c r="C118">
        <v>1558.25</v>
      </c>
    </row>
    <row r="119" spans="1:3" x14ac:dyDescent="0.2">
      <c r="A119">
        <v>4</v>
      </c>
      <c r="B119">
        <v>3</v>
      </c>
      <c r="C119">
        <v>18011.25</v>
      </c>
    </row>
    <row r="120" spans="1:3" x14ac:dyDescent="0.2">
      <c r="A120">
        <v>4</v>
      </c>
      <c r="B120">
        <v>4</v>
      </c>
      <c r="C120">
        <v>16276</v>
      </c>
    </row>
    <row r="121" spans="1:3" x14ac:dyDescent="0.2">
      <c r="A121">
        <v>4</v>
      </c>
      <c r="B121">
        <v>5</v>
      </c>
      <c r="C121">
        <v>75460.018590000007</v>
      </c>
    </row>
    <row r="122" spans="1:3" x14ac:dyDescent="0.2">
      <c r="A122">
        <v>4</v>
      </c>
      <c r="B122">
        <v>6</v>
      </c>
      <c r="C122">
        <v>7014.57355207</v>
      </c>
    </row>
    <row r="123" spans="1:3" x14ac:dyDescent="0.2">
      <c r="A123">
        <v>4</v>
      </c>
      <c r="B123">
        <v>7</v>
      </c>
      <c r="C123">
        <v>434271.23586199997</v>
      </c>
    </row>
    <row r="124" spans="1:3" x14ac:dyDescent="0.2">
      <c r="A124">
        <v>5</v>
      </c>
      <c r="B124">
        <v>1</v>
      </c>
      <c r="C124">
        <v>7125.5</v>
      </c>
    </row>
    <row r="125" spans="1:3" x14ac:dyDescent="0.2">
      <c r="A125">
        <v>5</v>
      </c>
      <c r="B125">
        <v>2</v>
      </c>
      <c r="C125">
        <v>375.75</v>
      </c>
    </row>
    <row r="126" spans="1:3" x14ac:dyDescent="0.2">
      <c r="A126">
        <v>5</v>
      </c>
      <c r="B126">
        <v>3</v>
      </c>
      <c r="C126">
        <v>5958.25</v>
      </c>
    </row>
    <row r="127" spans="1:3" x14ac:dyDescent="0.2">
      <c r="A127">
        <v>5</v>
      </c>
      <c r="B127">
        <v>4</v>
      </c>
      <c r="C127">
        <v>4049.5</v>
      </c>
    </row>
    <row r="128" spans="1:3" x14ac:dyDescent="0.2">
      <c r="A128">
        <v>5</v>
      </c>
      <c r="B128">
        <v>5</v>
      </c>
      <c r="C128">
        <v>44363.558882800004</v>
      </c>
    </row>
    <row r="129" spans="1:3" x14ac:dyDescent="0.2">
      <c r="A129">
        <v>5</v>
      </c>
      <c r="B129">
        <v>6</v>
      </c>
      <c r="C129">
        <v>3672.0072762700001</v>
      </c>
    </row>
    <row r="130" spans="1:3" x14ac:dyDescent="0.2">
      <c r="A130">
        <v>5</v>
      </c>
      <c r="B130">
        <v>7</v>
      </c>
      <c r="C130">
        <v>110021.567021</v>
      </c>
    </row>
    <row r="131" spans="1:3" x14ac:dyDescent="0.2">
      <c r="A131">
        <v>6</v>
      </c>
      <c r="B131">
        <v>1</v>
      </c>
      <c r="C131">
        <v>5102.75</v>
      </c>
    </row>
    <row r="132" spans="1:3" x14ac:dyDescent="0.2">
      <c r="A132">
        <v>6</v>
      </c>
      <c r="B132">
        <v>2</v>
      </c>
      <c r="C132">
        <v>141.5</v>
      </c>
    </row>
    <row r="133" spans="1:3" x14ac:dyDescent="0.2">
      <c r="A133">
        <v>6</v>
      </c>
      <c r="B133">
        <v>3</v>
      </c>
      <c r="C133">
        <v>4245</v>
      </c>
    </row>
    <row r="134" spans="1:3" x14ac:dyDescent="0.2">
      <c r="A134">
        <v>6</v>
      </c>
      <c r="B134">
        <v>4</v>
      </c>
      <c r="C134">
        <v>3558.5</v>
      </c>
    </row>
    <row r="135" spans="1:3" x14ac:dyDescent="0.2">
      <c r="A135">
        <v>6</v>
      </c>
      <c r="B135">
        <v>5</v>
      </c>
      <c r="C135">
        <v>14046.6172179</v>
      </c>
    </row>
    <row r="136" spans="1:3" x14ac:dyDescent="0.2">
      <c r="A136">
        <v>6</v>
      </c>
      <c r="B136">
        <v>6</v>
      </c>
      <c r="C136">
        <v>349.852824317</v>
      </c>
    </row>
    <row r="137" spans="1:3" x14ac:dyDescent="0.2">
      <c r="A137">
        <v>6</v>
      </c>
      <c r="B137">
        <v>7</v>
      </c>
      <c r="C137">
        <v>92096.156932099999</v>
      </c>
    </row>
    <row r="138" spans="1:3" x14ac:dyDescent="0.2">
      <c r="A138">
        <v>7</v>
      </c>
      <c r="B138">
        <v>1</v>
      </c>
      <c r="C138">
        <v>21597.75</v>
      </c>
    </row>
    <row r="139" spans="1:3" x14ac:dyDescent="0.2">
      <c r="A139">
        <v>7</v>
      </c>
      <c r="B139">
        <v>2</v>
      </c>
      <c r="C139">
        <v>504.5</v>
      </c>
    </row>
    <row r="140" spans="1:3" x14ac:dyDescent="0.2">
      <c r="A140">
        <v>7</v>
      </c>
      <c r="B140">
        <v>3</v>
      </c>
      <c r="C140">
        <v>17436.25</v>
      </c>
    </row>
    <row r="141" spans="1:3" x14ac:dyDescent="0.2">
      <c r="A141">
        <v>7</v>
      </c>
      <c r="B141">
        <v>4</v>
      </c>
      <c r="C141">
        <v>15664.5</v>
      </c>
    </row>
    <row r="142" spans="1:3" x14ac:dyDescent="0.2">
      <c r="A142">
        <v>7</v>
      </c>
      <c r="B142">
        <v>5</v>
      </c>
      <c r="C142">
        <v>61354.289169199998</v>
      </c>
    </row>
    <row r="143" spans="1:3" x14ac:dyDescent="0.2">
      <c r="A143">
        <v>7</v>
      </c>
      <c r="B143">
        <v>6</v>
      </c>
      <c r="C143">
        <v>1149.3870875</v>
      </c>
    </row>
    <row r="144" spans="1:3" x14ac:dyDescent="0.2">
      <c r="A144">
        <v>7</v>
      </c>
      <c r="B144">
        <v>7</v>
      </c>
      <c r="C144">
        <v>386181.27956</v>
      </c>
    </row>
    <row r="145" spans="1:3" x14ac:dyDescent="0.2">
      <c r="A145">
        <v>8</v>
      </c>
      <c r="B145">
        <v>1</v>
      </c>
      <c r="C145">
        <v>8021.75</v>
      </c>
    </row>
    <row r="146" spans="1:3" x14ac:dyDescent="0.2">
      <c r="A146">
        <v>8</v>
      </c>
      <c r="B146">
        <v>2</v>
      </c>
      <c r="C146">
        <v>395</v>
      </c>
    </row>
    <row r="147" spans="1:3" x14ac:dyDescent="0.2">
      <c r="A147">
        <v>8</v>
      </c>
      <c r="B147">
        <v>3</v>
      </c>
      <c r="C147">
        <v>8520.25</v>
      </c>
    </row>
    <row r="148" spans="1:3" x14ac:dyDescent="0.2">
      <c r="A148">
        <v>8</v>
      </c>
      <c r="B148">
        <v>4</v>
      </c>
      <c r="C148">
        <v>6819.75</v>
      </c>
    </row>
    <row r="149" spans="1:3" x14ac:dyDescent="0.2">
      <c r="A149">
        <v>8</v>
      </c>
      <c r="B149">
        <v>5</v>
      </c>
      <c r="C149">
        <v>33527.267318500002</v>
      </c>
    </row>
    <row r="150" spans="1:3" x14ac:dyDescent="0.2">
      <c r="A150">
        <v>8</v>
      </c>
      <c r="B150">
        <v>6</v>
      </c>
      <c r="C150">
        <v>727.28129496300005</v>
      </c>
    </row>
    <row r="151" spans="1:3" x14ac:dyDescent="0.2">
      <c r="A151">
        <v>8</v>
      </c>
      <c r="B151">
        <v>7</v>
      </c>
      <c r="C151">
        <v>177049.12317100001</v>
      </c>
    </row>
  </sheetData>
  <pageMargins bottom="0.75" footer="0.3" header="0.3" left="0.7" right="0.7" top="0.75"/>
  <pageSetup orientation="portrait" r:id="rId1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O7294"/>
  <sheetViews>
    <sheetView topLeftCell="A82" workbookViewId="0" zoomScaleNormal="100">
      <selection activeCell="D96" sqref="D96"/>
    </sheetView>
  </sheetViews>
  <sheetFormatPr defaultRowHeight="15" x14ac:dyDescent="0.25"/>
  <cols>
    <col min="1" max="14" style="114" width="9.0" collapsed="true"/>
    <col min="15" max="15" customWidth="true" style="114" width="14.5" collapsed="true"/>
    <col min="16" max="16384" style="114" width="9.0" collapsed="true"/>
  </cols>
  <sheetData>
    <row r="1" spans="1:15" x14ac:dyDescent="0.25">
      <c r="A1" s="172" t="s">
        <v>1022</v>
      </c>
      <c r="B1" s="173"/>
      <c r="C1" s="173"/>
      <c r="D1" s="173"/>
      <c r="E1" s="173"/>
      <c r="F1" s="173"/>
      <c r="G1" s="173"/>
      <c r="H1" s="173" t="s">
        <v>1023</v>
      </c>
      <c r="I1" s="173"/>
      <c r="J1" s="173"/>
      <c r="K1" s="173"/>
      <c r="L1" s="173"/>
      <c r="M1" s="173"/>
      <c r="N1" s="173"/>
      <c r="O1" s="174"/>
    </row>
    <row r="2" spans="1:15" x14ac:dyDescent="0.25">
      <c r="A2" s="175">
        <v>1</v>
      </c>
      <c r="B2" s="176" t="s">
        <v>3891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7"/>
    </row>
    <row r="3" spans="1:15" x14ac:dyDescent="0.25">
      <c r="A3" s="175">
        <v>2</v>
      </c>
      <c r="B3" s="176" t="s">
        <v>1024</v>
      </c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7"/>
    </row>
    <row r="4" spans="1:15" x14ac:dyDescent="0.25">
      <c r="A4" s="175">
        <v>3</v>
      </c>
      <c r="B4" s="176" t="s">
        <v>1025</v>
      </c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7"/>
    </row>
    <row r="5" spans="1:15" x14ac:dyDescent="0.25">
      <c r="A5" s="175">
        <v>4</v>
      </c>
      <c r="B5" s="176" t="s">
        <v>1032</v>
      </c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7"/>
    </row>
    <row r="6" spans="1:15" x14ac:dyDescent="0.25">
      <c r="A6" s="180" t="s">
        <v>3908</v>
      </c>
      <c r="B6" s="178" t="s">
        <v>3909</v>
      </c>
      <c r="C6" s="178"/>
      <c r="D6" s="178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9"/>
    </row>
    <row r="8" spans="1:15" x14ac:dyDescent="0.25">
      <c r="A8" s="114" t="s">
        <v>1523</v>
      </c>
      <c r="B8" s="114" t="s">
        <v>1524</v>
      </c>
      <c r="C8" s="114" t="s">
        <v>1525</v>
      </c>
      <c r="D8" s="114" t="s">
        <v>3983</v>
      </c>
      <c r="E8" s="114" t="s">
        <v>3984</v>
      </c>
    </row>
    <row r="9" spans="1:15" x14ac:dyDescent="0.25">
      <c r="A9" s="114" t="s">
        <v>1068</v>
      </c>
      <c r="B9" s="114" t="s">
        <v>1069</v>
      </c>
      <c r="C9" s="114" t="s">
        <v>1070</v>
      </c>
      <c r="D9" s="114" t="s">
        <v>1071</v>
      </c>
      <c r="E9" s="114" t="s">
        <v>1526</v>
      </c>
      <c r="F9" s="115"/>
    </row>
    <row r="10" spans="1:15" x14ac:dyDescent="0.25">
      <c r="A10" s="114" t="s">
        <v>316</v>
      </c>
    </row>
    <row r="11" spans="1:15" x14ac:dyDescent="0.25">
      <c r="A11" s="114">
        <v>100</v>
      </c>
      <c r="B11" s="114" t="s">
        <v>321</v>
      </c>
      <c r="C11" s="114" t="s">
        <v>322</v>
      </c>
      <c r="D11" s="114">
        <v>4.2457928319700002</v>
      </c>
      <c r="E11" s="116">
        <v>7.4789885838999995E-2</v>
      </c>
      <c r="F11" s="116"/>
    </row>
    <row r="12" spans="1:15" x14ac:dyDescent="0.25">
      <c r="A12" s="114">
        <v>101</v>
      </c>
      <c r="B12" s="114" t="s">
        <v>324</v>
      </c>
      <c r="C12" s="114" t="s">
        <v>322</v>
      </c>
      <c r="D12" s="114">
        <v>-0.64303764799999996</v>
      </c>
      <c r="E12" s="114">
        <v>0.47747979215899999</v>
      </c>
    </row>
    <row r="13" spans="1:15" x14ac:dyDescent="0.25">
      <c r="A13" s="114">
        <v>102</v>
      </c>
      <c r="B13" s="114" t="s">
        <v>326</v>
      </c>
      <c r="C13" s="114" t="s">
        <v>322</v>
      </c>
      <c r="D13" s="114">
        <v>-3.9741736793400002</v>
      </c>
      <c r="E13" s="116">
        <v>7.4406391713899997E-2</v>
      </c>
      <c r="F13" s="116"/>
    </row>
    <row r="14" spans="1:15" x14ac:dyDescent="0.25">
      <c r="A14" s="114">
        <v>105</v>
      </c>
      <c r="B14" s="114" t="s">
        <v>328</v>
      </c>
      <c r="C14" s="114" t="s">
        <v>322</v>
      </c>
      <c r="D14" s="114">
        <v>3.0966581205899999</v>
      </c>
      <c r="E14" s="114">
        <v>0.16270788367899999</v>
      </c>
    </row>
    <row r="15" spans="1:15" x14ac:dyDescent="0.25">
      <c r="A15" s="114">
        <v>106</v>
      </c>
      <c r="B15" s="114" t="s">
        <v>330</v>
      </c>
      <c r="C15" s="114" t="s">
        <v>341</v>
      </c>
      <c r="D15" s="114">
        <v>-5.0288855916699999</v>
      </c>
      <c r="E15" s="114">
        <v>0</v>
      </c>
    </row>
    <row r="16" spans="1:15" x14ac:dyDescent="0.25">
      <c r="A16" s="114">
        <v>109</v>
      </c>
      <c r="B16" s="114" t="s">
        <v>332</v>
      </c>
      <c r="C16" s="114" t="s">
        <v>341</v>
      </c>
      <c r="D16" s="114">
        <v>-0.35</v>
      </c>
      <c r="E16" s="114">
        <v>0</v>
      </c>
    </row>
    <row r="17" spans="1:6" x14ac:dyDescent="0.25">
      <c r="A17" s="114">
        <v>110</v>
      </c>
      <c r="B17" s="114" t="s">
        <v>334</v>
      </c>
      <c r="C17" s="114" t="s">
        <v>322</v>
      </c>
      <c r="D17" s="114">
        <v>0.11671617156</v>
      </c>
      <c r="E17" s="116">
        <v>8.5742488224899993E-2</v>
      </c>
      <c r="F17" s="116"/>
    </row>
    <row r="18" spans="1:6" x14ac:dyDescent="0.25">
      <c r="A18" s="114">
        <v>111</v>
      </c>
      <c r="B18" s="114" t="s">
        <v>336</v>
      </c>
      <c r="C18" s="114" t="s">
        <v>341</v>
      </c>
      <c r="D18" s="116">
        <v>0</v>
      </c>
      <c r="E18" s="116">
        <v>0</v>
      </c>
      <c r="F18" s="116"/>
    </row>
    <row r="19" spans="1:6" x14ac:dyDescent="0.25">
      <c r="A19" s="114">
        <v>112</v>
      </c>
      <c r="B19" s="114" t="s">
        <v>338</v>
      </c>
      <c r="C19" s="114" t="s">
        <v>322</v>
      </c>
      <c r="D19" s="116">
        <v>8.7571558660000007E-2</v>
      </c>
      <c r="E19" s="116">
        <v>7.0068639817200004E-2</v>
      </c>
      <c r="F19" s="116"/>
    </row>
    <row r="20" spans="1:6" x14ac:dyDescent="0.25">
      <c r="A20" s="114">
        <v>113</v>
      </c>
      <c r="B20" s="114" t="s">
        <v>340</v>
      </c>
      <c r="C20" s="114" t="s">
        <v>341</v>
      </c>
      <c r="D20" s="114">
        <v>0</v>
      </c>
      <c r="E20" s="114">
        <v>0</v>
      </c>
    </row>
    <row r="21" spans="1:6" x14ac:dyDescent="0.25">
      <c r="A21" s="114">
        <v>114</v>
      </c>
      <c r="B21" s="114" t="s">
        <v>343</v>
      </c>
      <c r="C21" s="114" t="s">
        <v>341</v>
      </c>
      <c r="D21" s="114">
        <v>0</v>
      </c>
      <c r="E21" s="114">
        <v>0</v>
      </c>
    </row>
    <row r="22" spans="1:6" x14ac:dyDescent="0.25">
      <c r="A22" s="114">
        <v>116</v>
      </c>
      <c r="B22" s="114" t="s">
        <v>345</v>
      </c>
      <c r="C22" s="114" t="s">
        <v>341</v>
      </c>
      <c r="D22" s="116">
        <v>0</v>
      </c>
      <c r="E22" s="116">
        <v>0</v>
      </c>
      <c r="F22" s="116"/>
    </row>
    <row r="23" spans="1:6" x14ac:dyDescent="0.25">
      <c r="A23" s="114">
        <v>117</v>
      </c>
      <c r="B23" s="114" t="s">
        <v>347</v>
      </c>
      <c r="C23" s="114" t="s">
        <v>322</v>
      </c>
      <c r="D23" s="114">
        <v>-0.4326665079</v>
      </c>
      <c r="E23" s="114">
        <v>0.13281317280300001</v>
      </c>
    </row>
    <row r="24" spans="1:6" x14ac:dyDescent="0.25">
      <c r="A24" s="114">
        <v>118</v>
      </c>
      <c r="B24" s="114" t="s">
        <v>349</v>
      </c>
      <c r="C24" s="114" t="s">
        <v>322</v>
      </c>
      <c r="D24" s="114">
        <v>-0.18505114189999999</v>
      </c>
      <c r="E24" s="114">
        <v>0.117775616969</v>
      </c>
    </row>
    <row r="25" spans="1:6" x14ac:dyDescent="0.25">
      <c r="A25" s="114">
        <v>119</v>
      </c>
      <c r="B25" s="114" t="s">
        <v>351</v>
      </c>
      <c r="C25" s="114" t="s">
        <v>341</v>
      </c>
      <c r="D25" s="114">
        <v>0</v>
      </c>
      <c r="E25" s="114">
        <v>0</v>
      </c>
    </row>
    <row r="26" spans="1:6" x14ac:dyDescent="0.25">
      <c r="A26" s="114">
        <v>120</v>
      </c>
      <c r="B26" s="114" t="s">
        <v>353</v>
      </c>
      <c r="C26" s="114" t="s">
        <v>341</v>
      </c>
      <c r="D26" s="114">
        <v>0</v>
      </c>
      <c r="E26" s="114">
        <v>0</v>
      </c>
    </row>
    <row r="27" spans="1:6" x14ac:dyDescent="0.25">
      <c r="A27" s="114">
        <v>121</v>
      </c>
      <c r="B27" s="114" t="s">
        <v>355</v>
      </c>
      <c r="C27" s="114" t="s">
        <v>341</v>
      </c>
      <c r="D27" s="114">
        <v>0</v>
      </c>
      <c r="E27" s="114">
        <v>0</v>
      </c>
    </row>
    <row r="28" spans="1:6" x14ac:dyDescent="0.25">
      <c r="A28" s="114">
        <v>122</v>
      </c>
      <c r="B28" s="114" t="s">
        <v>357</v>
      </c>
      <c r="C28" s="114" t="s">
        <v>341</v>
      </c>
      <c r="D28" s="114">
        <v>0</v>
      </c>
      <c r="E28" s="114">
        <v>0</v>
      </c>
    </row>
    <row r="29" spans="1:6" x14ac:dyDescent="0.25">
      <c r="A29" s="114">
        <v>123</v>
      </c>
      <c r="B29" s="114" t="s">
        <v>359</v>
      </c>
      <c r="C29" s="114" t="s">
        <v>341</v>
      </c>
      <c r="D29" s="114">
        <v>0</v>
      </c>
      <c r="E29" s="114">
        <v>0</v>
      </c>
    </row>
    <row r="30" spans="1:6" x14ac:dyDescent="0.25">
      <c r="A30" s="114">
        <v>124</v>
      </c>
      <c r="B30" s="114" t="s">
        <v>361</v>
      </c>
      <c r="C30" s="114" t="s">
        <v>341</v>
      </c>
      <c r="D30" s="114">
        <v>-5</v>
      </c>
      <c r="E30" s="114">
        <v>0</v>
      </c>
    </row>
    <row r="31" spans="1:6" x14ac:dyDescent="0.25">
      <c r="A31" s="114">
        <v>125</v>
      </c>
      <c r="B31" s="114" t="s">
        <v>363</v>
      </c>
      <c r="C31" s="114" t="s">
        <v>341</v>
      </c>
      <c r="D31" s="114">
        <v>0</v>
      </c>
      <c r="E31" s="114">
        <v>0</v>
      </c>
    </row>
    <row r="32" spans="1:6" x14ac:dyDescent="0.25">
      <c r="A32" s="114">
        <v>126</v>
      </c>
      <c r="B32" s="114" t="s">
        <v>365</v>
      </c>
      <c r="C32" s="114" t="s">
        <v>341</v>
      </c>
      <c r="D32" s="114">
        <v>0</v>
      </c>
      <c r="E32" s="114">
        <v>0</v>
      </c>
    </row>
    <row r="33" spans="1:6" x14ac:dyDescent="0.25">
      <c r="A33" s="114">
        <v>127</v>
      </c>
      <c r="B33" s="114" t="s">
        <v>367</v>
      </c>
      <c r="C33" s="114" t="s">
        <v>322</v>
      </c>
      <c r="D33" s="114">
        <v>0.20857402136</v>
      </c>
      <c r="E33" s="116">
        <v>4.8232509635199997E-2</v>
      </c>
      <c r="F33" s="116"/>
    </row>
    <row r="34" spans="1:6" x14ac:dyDescent="0.25">
      <c r="A34" s="114">
        <v>128</v>
      </c>
      <c r="B34" s="114" t="s">
        <v>369</v>
      </c>
      <c r="C34" s="114" t="s">
        <v>322</v>
      </c>
      <c r="D34" s="114">
        <v>0.10871281166000001</v>
      </c>
      <c r="E34" s="116">
        <v>1.7165248684599999E-2</v>
      </c>
      <c r="F34" s="116"/>
    </row>
    <row r="35" spans="1:6" x14ac:dyDescent="0.25">
      <c r="A35" s="114">
        <v>129</v>
      </c>
      <c r="B35" s="114" t="s">
        <v>370</v>
      </c>
      <c r="C35" s="114" t="s">
        <v>341</v>
      </c>
      <c r="D35" s="114">
        <v>0</v>
      </c>
      <c r="E35" s="114">
        <v>0</v>
      </c>
    </row>
    <row r="36" spans="1:6" x14ac:dyDescent="0.25">
      <c r="A36" s="114">
        <v>151</v>
      </c>
      <c r="B36" s="114" t="s">
        <v>371</v>
      </c>
      <c r="C36" s="114" t="s">
        <v>341</v>
      </c>
      <c r="D36" s="114">
        <v>-0.17081745740000001</v>
      </c>
      <c r="E36" s="114">
        <v>0</v>
      </c>
    </row>
    <row r="37" spans="1:6" x14ac:dyDescent="0.25">
      <c r="A37" s="114">
        <v>200</v>
      </c>
      <c r="B37" s="114" t="s">
        <v>373</v>
      </c>
      <c r="C37" s="114" t="s">
        <v>322</v>
      </c>
      <c r="D37" s="114">
        <v>4.0808114470000003</v>
      </c>
      <c r="E37" s="116">
        <v>0.12605525825200001</v>
      </c>
      <c r="F37" s="116"/>
    </row>
    <row r="38" spans="1:6" x14ac:dyDescent="0.25">
      <c r="A38" s="114">
        <v>201</v>
      </c>
      <c r="B38" s="114" t="s">
        <v>375</v>
      </c>
      <c r="C38" s="114" t="s">
        <v>322</v>
      </c>
      <c r="D38" s="114">
        <v>-0.51494818921999996</v>
      </c>
      <c r="E38" s="116">
        <v>0.35221197382699998</v>
      </c>
      <c r="F38" s="116"/>
    </row>
    <row r="39" spans="1:6" x14ac:dyDescent="0.25">
      <c r="A39" s="114">
        <v>205</v>
      </c>
      <c r="B39" s="114" t="s">
        <v>380</v>
      </c>
      <c r="C39" s="114" t="s">
        <v>322</v>
      </c>
      <c r="D39" s="116">
        <v>-1.62899807559</v>
      </c>
      <c r="E39" s="116">
        <v>0.126415576275</v>
      </c>
      <c r="F39" s="116"/>
    </row>
    <row r="40" spans="1:6" x14ac:dyDescent="0.25">
      <c r="A40" s="114">
        <v>206</v>
      </c>
      <c r="B40" s="114" t="s">
        <v>382</v>
      </c>
      <c r="C40" s="114" t="s">
        <v>322</v>
      </c>
      <c r="D40" s="114">
        <v>-0.51769045321999996</v>
      </c>
      <c r="E40" s="114">
        <v>0.26546712735900002</v>
      </c>
    </row>
    <row r="41" spans="1:6" x14ac:dyDescent="0.25">
      <c r="A41" s="114">
        <v>207</v>
      </c>
      <c r="B41" s="114" t="s">
        <v>384</v>
      </c>
      <c r="C41" s="114" t="s">
        <v>322</v>
      </c>
      <c r="D41" s="114">
        <v>0.17571915497000001</v>
      </c>
      <c r="E41" s="114">
        <v>0.155790914068</v>
      </c>
    </row>
    <row r="42" spans="1:6" x14ac:dyDescent="0.25">
      <c r="A42" s="114">
        <v>208</v>
      </c>
      <c r="B42" s="114" t="s">
        <v>386</v>
      </c>
      <c r="C42" s="114" t="s">
        <v>322</v>
      </c>
      <c r="D42" s="114">
        <v>4.8114723123400003</v>
      </c>
      <c r="E42" s="114">
        <v>1.0109481059700001</v>
      </c>
    </row>
    <row r="43" spans="1:6" x14ac:dyDescent="0.25">
      <c r="A43" s="114">
        <v>209</v>
      </c>
      <c r="B43" s="114" t="s">
        <v>388</v>
      </c>
      <c r="C43" s="114" t="s">
        <v>341</v>
      </c>
      <c r="D43" s="114">
        <v>0</v>
      </c>
      <c r="E43" s="114">
        <v>0</v>
      </c>
    </row>
    <row r="44" spans="1:6" x14ac:dyDescent="0.25">
      <c r="A44" s="114">
        <v>210</v>
      </c>
      <c r="B44" s="114" t="s">
        <v>390</v>
      </c>
      <c r="C44" s="114" t="s">
        <v>341</v>
      </c>
      <c r="D44" s="114">
        <v>0</v>
      </c>
      <c r="E44" s="114">
        <v>0</v>
      </c>
    </row>
    <row r="45" spans="1:6" x14ac:dyDescent="0.25">
      <c r="A45" s="114">
        <v>211</v>
      </c>
      <c r="B45" s="114" t="s">
        <v>392</v>
      </c>
      <c r="C45" s="114" t="s">
        <v>341</v>
      </c>
      <c r="D45" s="114">
        <v>0</v>
      </c>
      <c r="E45" s="114">
        <v>0</v>
      </c>
    </row>
    <row r="46" spans="1:6" x14ac:dyDescent="0.25">
      <c r="A46" s="114">
        <v>212</v>
      </c>
      <c r="B46" s="114" t="s">
        <v>394</v>
      </c>
      <c r="C46" s="114" t="s">
        <v>322</v>
      </c>
      <c r="D46" s="116">
        <v>-3.1057750999999999E-3</v>
      </c>
      <c r="E46" s="116">
        <v>9.4075076628499996E-2</v>
      </c>
      <c r="F46" s="116"/>
    </row>
    <row r="47" spans="1:6" x14ac:dyDescent="0.25">
      <c r="A47" s="114">
        <v>213</v>
      </c>
      <c r="B47" s="114" t="s">
        <v>396</v>
      </c>
      <c r="C47" s="114" t="s">
        <v>341</v>
      </c>
      <c r="D47" s="114">
        <v>0</v>
      </c>
      <c r="E47" s="114">
        <v>0</v>
      </c>
    </row>
    <row r="48" spans="1:6" x14ac:dyDescent="0.25">
      <c r="A48" s="114">
        <v>214</v>
      </c>
      <c r="B48" s="114" t="s">
        <v>398</v>
      </c>
      <c r="C48" s="114" t="s">
        <v>341</v>
      </c>
      <c r="D48" s="114">
        <v>0</v>
      </c>
      <c r="E48" s="114">
        <v>0</v>
      </c>
    </row>
    <row r="49" spans="1:5" x14ac:dyDescent="0.25">
      <c r="A49" s="114">
        <v>216</v>
      </c>
      <c r="B49" s="114" t="s">
        <v>401</v>
      </c>
      <c r="C49" s="114" t="s">
        <v>341</v>
      </c>
      <c r="D49" s="114">
        <v>0</v>
      </c>
      <c r="E49" s="114">
        <v>0</v>
      </c>
    </row>
    <row r="50" spans="1:5" x14ac:dyDescent="0.25">
      <c r="A50" s="114">
        <v>217</v>
      </c>
      <c r="B50" s="114" t="s">
        <v>403</v>
      </c>
      <c r="C50" s="114" t="s">
        <v>322</v>
      </c>
      <c r="D50" s="114">
        <v>-0.9679499587</v>
      </c>
      <c r="E50" s="114">
        <v>0.467105738923</v>
      </c>
    </row>
    <row r="51" spans="1:5" x14ac:dyDescent="0.25">
      <c r="A51" s="114">
        <v>218</v>
      </c>
      <c r="B51" s="114" t="s">
        <v>405</v>
      </c>
      <c r="C51" s="114" t="s">
        <v>341</v>
      </c>
      <c r="D51" s="114">
        <v>0</v>
      </c>
      <c r="E51" s="114">
        <v>0</v>
      </c>
    </row>
    <row r="52" spans="1:5" x14ac:dyDescent="0.25">
      <c r="A52" s="114">
        <v>219</v>
      </c>
      <c r="B52" s="114" t="s">
        <v>407</v>
      </c>
      <c r="C52" s="114" t="s">
        <v>341</v>
      </c>
      <c r="D52" s="114">
        <v>0</v>
      </c>
      <c r="E52" s="114">
        <v>0</v>
      </c>
    </row>
    <row r="53" spans="1:5" x14ac:dyDescent="0.25">
      <c r="A53" s="114">
        <v>220</v>
      </c>
      <c r="B53" s="114" t="s">
        <v>409</v>
      </c>
      <c r="C53" s="114" t="s">
        <v>341</v>
      </c>
      <c r="D53" s="114">
        <v>0</v>
      </c>
      <c r="E53" s="114">
        <v>0</v>
      </c>
    </row>
    <row r="54" spans="1:5" x14ac:dyDescent="0.25">
      <c r="A54" s="114">
        <v>221</v>
      </c>
      <c r="B54" s="114" t="s">
        <v>411</v>
      </c>
      <c r="C54" s="114" t="s">
        <v>341</v>
      </c>
      <c r="D54" s="114">
        <v>0</v>
      </c>
      <c r="E54" s="114">
        <v>0</v>
      </c>
    </row>
    <row r="55" spans="1:5" x14ac:dyDescent="0.25">
      <c r="A55" s="114">
        <v>222</v>
      </c>
      <c r="B55" s="114" t="s">
        <v>413</v>
      </c>
      <c r="C55" s="114" t="s">
        <v>341</v>
      </c>
      <c r="D55" s="114">
        <v>0</v>
      </c>
      <c r="E55" s="114">
        <v>0</v>
      </c>
    </row>
    <row r="56" spans="1:5" x14ac:dyDescent="0.25">
      <c r="A56" s="114">
        <v>223</v>
      </c>
      <c r="B56" s="114" t="s">
        <v>415</v>
      </c>
      <c r="C56" s="114" t="s">
        <v>322</v>
      </c>
      <c r="D56" s="114">
        <v>-0.2156888713</v>
      </c>
      <c r="E56" s="114">
        <v>0.32277069961299998</v>
      </c>
    </row>
    <row r="57" spans="1:5" x14ac:dyDescent="0.25">
      <c r="A57" s="114">
        <v>224</v>
      </c>
      <c r="B57" s="114" t="s">
        <v>417</v>
      </c>
      <c r="C57" s="114" t="s">
        <v>341</v>
      </c>
      <c r="D57" s="114">
        <v>0</v>
      </c>
      <c r="E57" s="114">
        <v>0</v>
      </c>
    </row>
    <row r="58" spans="1:5" x14ac:dyDescent="0.25">
      <c r="A58" s="114">
        <v>225</v>
      </c>
      <c r="B58" s="114" t="s">
        <v>419</v>
      </c>
      <c r="C58" s="114" t="s">
        <v>341</v>
      </c>
      <c r="D58" s="114">
        <v>0</v>
      </c>
      <c r="E58" s="114">
        <v>0</v>
      </c>
    </row>
    <row r="59" spans="1:5" x14ac:dyDescent="0.25">
      <c r="A59" s="114">
        <v>226</v>
      </c>
      <c r="B59" s="114" t="s">
        <v>421</v>
      </c>
      <c r="C59" s="114" t="s">
        <v>341</v>
      </c>
      <c r="D59" s="114">
        <v>0</v>
      </c>
      <c r="E59" s="114">
        <v>0</v>
      </c>
    </row>
    <row r="60" spans="1:5" x14ac:dyDescent="0.25">
      <c r="A60" s="114">
        <v>227</v>
      </c>
      <c r="B60" s="114" t="s">
        <v>423</v>
      </c>
      <c r="C60" s="114" t="s">
        <v>341</v>
      </c>
      <c r="D60" s="114">
        <v>0</v>
      </c>
      <c r="E60" s="114">
        <v>0</v>
      </c>
    </row>
    <row r="61" spans="1:5" x14ac:dyDescent="0.25">
      <c r="A61" s="114">
        <v>228</v>
      </c>
      <c r="B61" s="114" t="s">
        <v>425</v>
      </c>
      <c r="C61" s="114" t="s">
        <v>341</v>
      </c>
      <c r="D61" s="114">
        <v>0.1</v>
      </c>
      <c r="E61" s="114">
        <v>0</v>
      </c>
    </row>
    <row r="62" spans="1:5" x14ac:dyDescent="0.25">
      <c r="A62" s="114">
        <v>229</v>
      </c>
      <c r="B62" s="114" t="s">
        <v>426</v>
      </c>
      <c r="C62" s="114" t="s">
        <v>341</v>
      </c>
      <c r="D62" s="114">
        <v>0</v>
      </c>
      <c r="E62" s="114">
        <v>0</v>
      </c>
    </row>
    <row r="63" spans="1:5" x14ac:dyDescent="0.25">
      <c r="A63" s="114">
        <v>251</v>
      </c>
      <c r="B63" s="114" t="s">
        <v>427</v>
      </c>
      <c r="C63" s="114" t="s">
        <v>341</v>
      </c>
      <c r="D63" s="114">
        <v>-4.0562395240500004</v>
      </c>
      <c r="E63" s="114">
        <v>0</v>
      </c>
    </row>
    <row r="64" spans="1:5" x14ac:dyDescent="0.25">
      <c r="A64" s="114">
        <v>300</v>
      </c>
      <c r="B64" s="114" t="s">
        <v>429</v>
      </c>
      <c r="C64" s="114" t="s">
        <v>322</v>
      </c>
      <c r="D64" s="114">
        <v>-2.5198779602000001</v>
      </c>
      <c r="E64" s="114">
        <v>0.234283483337</v>
      </c>
    </row>
    <row r="65" spans="1:6" x14ac:dyDescent="0.25">
      <c r="A65" s="114">
        <v>301</v>
      </c>
      <c r="B65" s="114" t="s">
        <v>431</v>
      </c>
      <c r="C65" s="114" t="s">
        <v>322</v>
      </c>
      <c r="D65" s="114">
        <v>-2.254036964</v>
      </c>
      <c r="E65" s="114">
        <v>0.28938342620800001</v>
      </c>
    </row>
    <row r="66" spans="1:6" x14ac:dyDescent="0.25">
      <c r="A66" s="114">
        <v>302</v>
      </c>
      <c r="B66" s="114" t="s">
        <v>433</v>
      </c>
      <c r="C66" s="114" t="s">
        <v>341</v>
      </c>
      <c r="D66" s="114">
        <v>0.1115098678</v>
      </c>
      <c r="E66" s="116">
        <v>0</v>
      </c>
      <c r="F66" s="116"/>
    </row>
    <row r="67" spans="1:6" x14ac:dyDescent="0.25">
      <c r="A67" s="114">
        <v>303</v>
      </c>
      <c r="B67" s="114" t="s">
        <v>435</v>
      </c>
      <c r="C67" s="114" t="s">
        <v>322</v>
      </c>
      <c r="D67" s="114">
        <v>-0.56207576691000005</v>
      </c>
      <c r="E67" s="114">
        <v>0.12600171237900001</v>
      </c>
    </row>
    <row r="68" spans="1:6" x14ac:dyDescent="0.25">
      <c r="A68" s="114">
        <v>304</v>
      </c>
      <c r="B68" s="114" t="s">
        <v>437</v>
      </c>
      <c r="C68" s="114" t="s">
        <v>341</v>
      </c>
      <c r="D68" s="114">
        <v>-9.7250357600000004E-2</v>
      </c>
      <c r="E68" s="114">
        <v>0</v>
      </c>
    </row>
    <row r="69" spans="1:6" x14ac:dyDescent="0.25">
      <c r="A69" s="114">
        <v>305</v>
      </c>
      <c r="B69" s="114" t="s">
        <v>439</v>
      </c>
      <c r="C69" s="114" t="s">
        <v>341</v>
      </c>
      <c r="D69" s="114">
        <v>-0.27437519666999999</v>
      </c>
      <c r="E69" s="114">
        <v>0</v>
      </c>
    </row>
    <row r="70" spans="1:6" x14ac:dyDescent="0.25">
      <c r="A70" s="114">
        <v>306</v>
      </c>
      <c r="B70" s="114" t="s">
        <v>441</v>
      </c>
      <c r="C70" s="114" t="s">
        <v>341</v>
      </c>
      <c r="D70" s="114">
        <v>-0.19329461925999999</v>
      </c>
      <c r="E70" s="114">
        <v>0</v>
      </c>
    </row>
    <row r="71" spans="1:6" x14ac:dyDescent="0.25">
      <c r="A71" s="114">
        <v>307</v>
      </c>
      <c r="B71" s="114" t="s">
        <v>443</v>
      </c>
      <c r="C71" s="114" t="s">
        <v>341</v>
      </c>
      <c r="D71" s="114">
        <v>-0.66463957096000004</v>
      </c>
      <c r="E71" s="114">
        <v>0</v>
      </c>
    </row>
    <row r="72" spans="1:6" x14ac:dyDescent="0.25">
      <c r="A72" s="114">
        <v>308</v>
      </c>
      <c r="B72" s="114" t="s">
        <v>445</v>
      </c>
      <c r="C72" s="114" t="s">
        <v>322</v>
      </c>
      <c r="D72" s="114">
        <v>0.5</v>
      </c>
      <c r="E72" s="114">
        <v>0.136866732454</v>
      </c>
    </row>
    <row r="73" spans="1:6" x14ac:dyDescent="0.25">
      <c r="A73" s="114">
        <v>309</v>
      </c>
      <c r="B73" s="114" t="s">
        <v>447</v>
      </c>
      <c r="C73" s="114" t="s">
        <v>322</v>
      </c>
      <c r="D73" s="114">
        <v>-0.2321226565</v>
      </c>
      <c r="E73" s="114">
        <v>0.122349601563</v>
      </c>
    </row>
    <row r="74" spans="1:6" x14ac:dyDescent="0.25">
      <c r="A74" s="114">
        <v>310</v>
      </c>
      <c r="B74" s="114" t="s">
        <v>449</v>
      </c>
      <c r="C74" s="114" t="s">
        <v>322</v>
      </c>
      <c r="D74" s="114">
        <v>-0.29925114339999997</v>
      </c>
      <c r="E74" s="116">
        <v>9.6523824131799996E-2</v>
      </c>
      <c r="F74" s="116"/>
    </row>
    <row r="75" spans="1:6" x14ac:dyDescent="0.25">
      <c r="A75" s="114">
        <v>311</v>
      </c>
      <c r="B75" s="114" t="s">
        <v>451</v>
      </c>
      <c r="C75" s="114" t="s">
        <v>341</v>
      </c>
      <c r="D75" s="114">
        <v>0</v>
      </c>
      <c r="E75" s="114">
        <v>0</v>
      </c>
    </row>
    <row r="76" spans="1:6" x14ac:dyDescent="0.25">
      <c r="A76" s="114">
        <v>312</v>
      </c>
      <c r="B76" s="114" t="s">
        <v>453</v>
      </c>
      <c r="C76" s="114" t="s">
        <v>341</v>
      </c>
      <c r="D76" s="114">
        <v>0</v>
      </c>
      <c r="E76" s="114">
        <v>0</v>
      </c>
    </row>
    <row r="77" spans="1:6" x14ac:dyDescent="0.25">
      <c r="A77" s="114">
        <v>313</v>
      </c>
      <c r="B77" s="114" t="s">
        <v>455</v>
      </c>
      <c r="C77" s="114" t="s">
        <v>322</v>
      </c>
      <c r="D77" s="114">
        <v>-0.31883301009999998</v>
      </c>
      <c r="E77" s="116">
        <v>9.9317706285599994E-2</v>
      </c>
      <c r="F77" s="116"/>
    </row>
    <row r="78" spans="1:6" x14ac:dyDescent="0.25">
      <c r="A78" s="114">
        <v>314</v>
      </c>
      <c r="B78" s="114" t="s">
        <v>457</v>
      </c>
      <c r="C78" s="114" t="s">
        <v>322</v>
      </c>
      <c r="D78" s="114">
        <v>-0.54794553160000004</v>
      </c>
      <c r="E78" s="116">
        <v>9.6594494483000004E-2</v>
      </c>
      <c r="F78" s="116"/>
    </row>
    <row r="79" spans="1:6" x14ac:dyDescent="0.25">
      <c r="A79" s="114">
        <v>316</v>
      </c>
      <c r="B79" s="114" t="s">
        <v>460</v>
      </c>
      <c r="C79" s="114" t="s">
        <v>341</v>
      </c>
      <c r="D79" s="114">
        <v>0</v>
      </c>
      <c r="E79" s="114">
        <v>0</v>
      </c>
    </row>
    <row r="80" spans="1:6" x14ac:dyDescent="0.25">
      <c r="A80" s="114">
        <v>317</v>
      </c>
      <c r="B80" s="114" t="s">
        <v>462</v>
      </c>
      <c r="C80" s="114" t="s">
        <v>322</v>
      </c>
      <c r="D80" s="114">
        <v>1.22669557621</v>
      </c>
      <c r="E80" s="114">
        <v>0.112979064963</v>
      </c>
    </row>
    <row r="81" spans="1:6" x14ac:dyDescent="0.25">
      <c r="A81" s="114">
        <v>318</v>
      </c>
      <c r="B81" s="114" t="s">
        <v>464</v>
      </c>
      <c r="C81" s="114" t="s">
        <v>322</v>
      </c>
      <c r="D81" s="114">
        <v>1.7287074631199999</v>
      </c>
      <c r="E81" s="116">
        <v>9.6249471901699996E-2</v>
      </c>
      <c r="F81" s="116"/>
    </row>
    <row r="82" spans="1:6" x14ac:dyDescent="0.25">
      <c r="A82" s="114">
        <v>319</v>
      </c>
      <c r="B82" s="114" t="s">
        <v>466</v>
      </c>
      <c r="C82" s="114" t="s">
        <v>322</v>
      </c>
      <c r="D82" s="114">
        <v>0.84736851682000003</v>
      </c>
      <c r="E82" s="116">
        <v>0.123094929182</v>
      </c>
      <c r="F82" s="116"/>
    </row>
    <row r="83" spans="1:6" x14ac:dyDescent="0.25">
      <c r="A83" s="114">
        <v>320</v>
      </c>
      <c r="B83" s="114" t="s">
        <v>468</v>
      </c>
      <c r="C83" s="114" t="s">
        <v>322</v>
      </c>
      <c r="D83" s="114">
        <v>1.2567390153</v>
      </c>
      <c r="E83" s="114">
        <v>0.10771537850100001</v>
      </c>
    </row>
    <row r="84" spans="1:6" x14ac:dyDescent="0.25">
      <c r="A84" s="114">
        <v>321</v>
      </c>
      <c r="B84" s="114" t="s">
        <v>470</v>
      </c>
      <c r="C84" s="114" t="s">
        <v>322</v>
      </c>
      <c r="D84" s="114">
        <v>-0.05</v>
      </c>
      <c r="E84" s="114">
        <v>0.16652607021800001</v>
      </c>
    </row>
    <row r="85" spans="1:6" x14ac:dyDescent="0.25">
      <c r="A85" s="114">
        <v>322</v>
      </c>
      <c r="B85" s="114" t="s">
        <v>472</v>
      </c>
      <c r="C85" s="114" t="s">
        <v>322</v>
      </c>
      <c r="D85" s="114">
        <v>-0.42222676139999998</v>
      </c>
      <c r="E85" s="116">
        <v>8.3743360559900004E-2</v>
      </c>
      <c r="F85" s="116"/>
    </row>
    <row r="86" spans="1:6" x14ac:dyDescent="0.25">
      <c r="A86" s="114">
        <v>323</v>
      </c>
      <c r="B86" s="114" t="s">
        <v>474</v>
      </c>
      <c r="C86" s="114" t="s">
        <v>322</v>
      </c>
      <c r="D86" s="114">
        <v>-0.51140352830000002</v>
      </c>
      <c r="E86" s="114">
        <v>0.10271393568499999</v>
      </c>
    </row>
    <row r="87" spans="1:6" x14ac:dyDescent="0.25">
      <c r="A87" s="114">
        <v>324</v>
      </c>
      <c r="B87" s="114" t="s">
        <v>476</v>
      </c>
      <c r="C87" s="114" t="s">
        <v>341</v>
      </c>
      <c r="D87" s="114">
        <v>0</v>
      </c>
      <c r="E87" s="114">
        <v>0</v>
      </c>
    </row>
    <row r="88" spans="1:6" x14ac:dyDescent="0.25">
      <c r="A88" s="114">
        <v>325</v>
      </c>
      <c r="B88" s="114" t="s">
        <v>478</v>
      </c>
      <c r="C88" s="114" t="s">
        <v>341</v>
      </c>
      <c r="D88" s="114">
        <v>0</v>
      </c>
      <c r="E88" s="114">
        <v>0</v>
      </c>
    </row>
    <row r="89" spans="1:6" x14ac:dyDescent="0.25">
      <c r="A89" s="114">
        <v>326</v>
      </c>
      <c r="B89" s="114" t="s">
        <v>480</v>
      </c>
      <c r="C89" s="114" t="s">
        <v>341</v>
      </c>
      <c r="D89" s="114">
        <v>0</v>
      </c>
      <c r="E89" s="114">
        <v>0</v>
      </c>
    </row>
    <row r="90" spans="1:6" x14ac:dyDescent="0.25">
      <c r="A90" s="114">
        <v>327</v>
      </c>
      <c r="B90" s="114" t="s">
        <v>482</v>
      </c>
      <c r="C90" s="114" t="s">
        <v>341</v>
      </c>
      <c r="D90" s="114">
        <v>0</v>
      </c>
      <c r="E90" s="114">
        <v>0</v>
      </c>
    </row>
    <row r="91" spans="1:6" x14ac:dyDescent="0.25">
      <c r="A91" s="114">
        <v>328</v>
      </c>
      <c r="B91" s="114" t="s">
        <v>484</v>
      </c>
      <c r="C91" s="114" t="s">
        <v>322</v>
      </c>
      <c r="D91" s="116">
        <v>-4.0281415600000002E-2</v>
      </c>
      <c r="E91" s="116">
        <v>2.0586186684300001E-2</v>
      </c>
      <c r="F91" s="116"/>
    </row>
    <row r="92" spans="1:6" x14ac:dyDescent="0.25">
      <c r="A92" s="114">
        <v>329</v>
      </c>
      <c r="B92" s="114" t="s">
        <v>485</v>
      </c>
      <c r="C92" s="114" t="s">
        <v>322</v>
      </c>
      <c r="D92" s="116">
        <v>-1.79238722E-2</v>
      </c>
      <c r="E92" s="116">
        <v>2.3082952457899999E-2</v>
      </c>
      <c r="F92" s="116"/>
    </row>
    <row r="93" spans="1:6" x14ac:dyDescent="0.25">
      <c r="A93" s="114">
        <v>351</v>
      </c>
      <c r="B93" s="114" t="s">
        <v>486</v>
      </c>
      <c r="C93" s="114" t="s">
        <v>322</v>
      </c>
      <c r="D93" s="114">
        <v>0.78954762594000005</v>
      </c>
      <c r="E93" s="116">
        <v>9.2304348169400002E-2</v>
      </c>
      <c r="F93" s="116"/>
    </row>
    <row r="94" spans="1:6" x14ac:dyDescent="0.25">
      <c r="A94" s="114">
        <v>400</v>
      </c>
      <c r="B94" s="114" t="s">
        <v>488</v>
      </c>
      <c r="C94" s="114" t="s">
        <v>322</v>
      </c>
      <c r="D94" s="114">
        <v>-1.4753141472</v>
      </c>
      <c r="E94" s="116">
        <v>0.19666285118499999</v>
      </c>
      <c r="F94" s="116"/>
    </row>
    <row r="95" spans="1:6" x14ac:dyDescent="0.25">
      <c r="A95" s="114">
        <v>401</v>
      </c>
      <c r="B95" s="114" t="s">
        <v>490</v>
      </c>
      <c r="C95" s="114" t="s">
        <v>322</v>
      </c>
      <c r="D95" s="116">
        <v>0.36734048200000002</v>
      </c>
      <c r="E95" s="116">
        <v>2.67241793116</v>
      </c>
    </row>
    <row r="96" spans="1:6" x14ac:dyDescent="0.25">
      <c r="A96" s="114">
        <v>402</v>
      </c>
      <c r="B96" s="114" t="s">
        <v>492</v>
      </c>
      <c r="C96" s="114" t="s">
        <v>322</v>
      </c>
      <c r="D96" s="114">
        <v>9.8331239979999999E-2</v>
      </c>
      <c r="E96" s="116">
        <v>7.9269273795600004E-2</v>
      </c>
      <c r="F96" s="116"/>
    </row>
    <row r="97" spans="1:6" x14ac:dyDescent="0.25">
      <c r="A97" s="114">
        <v>403</v>
      </c>
      <c r="B97" s="114" t="s">
        <v>494</v>
      </c>
      <c r="C97" s="114" t="s">
        <v>322</v>
      </c>
      <c r="D97" s="114">
        <v>1.7130516389999999E-2</v>
      </c>
      <c r="E97" s="116">
        <v>8.7094395941300001E-2</v>
      </c>
      <c r="F97" s="116"/>
    </row>
    <row r="98" spans="1:6" x14ac:dyDescent="0.25">
      <c r="A98" s="114">
        <v>404</v>
      </c>
      <c r="B98" s="114" t="s">
        <v>496</v>
      </c>
      <c r="C98" s="114" t="s">
        <v>322</v>
      </c>
      <c r="D98" s="114">
        <v>-0.17244112544000001</v>
      </c>
      <c r="E98" s="116">
        <v>8.1988380548499995E-2</v>
      </c>
      <c r="F98" s="116"/>
    </row>
    <row r="99" spans="1:6" x14ac:dyDescent="0.25">
      <c r="A99" s="114">
        <v>405</v>
      </c>
      <c r="B99" s="114" t="s">
        <v>498</v>
      </c>
      <c r="C99" s="114" t="s">
        <v>341</v>
      </c>
      <c r="D99" s="114">
        <v>0.24508736319999999</v>
      </c>
      <c r="E99" s="114">
        <v>0</v>
      </c>
    </row>
    <row r="100" spans="1:6" x14ac:dyDescent="0.25">
      <c r="A100" s="114">
        <v>406</v>
      </c>
      <c r="B100" s="114" t="s">
        <v>500</v>
      </c>
      <c r="C100" s="114" t="s">
        <v>322</v>
      </c>
      <c r="D100" s="116">
        <v>-0.86670571516999995</v>
      </c>
      <c r="E100" s="116">
        <v>0.25671853824700003</v>
      </c>
      <c r="F100" s="116"/>
    </row>
    <row r="101" spans="1:6" x14ac:dyDescent="0.25">
      <c r="A101" s="114">
        <v>407</v>
      </c>
      <c r="B101" s="114" t="s">
        <v>502</v>
      </c>
      <c r="C101" s="114" t="s">
        <v>322</v>
      </c>
      <c r="D101" s="114">
        <v>-0.35677195147000001</v>
      </c>
      <c r="E101" s="114">
        <v>0.13821204112800001</v>
      </c>
    </row>
    <row r="102" spans="1:6" x14ac:dyDescent="0.25">
      <c r="A102" s="114">
        <v>408</v>
      </c>
      <c r="B102" s="114" t="s">
        <v>504</v>
      </c>
      <c r="C102" s="114" t="s">
        <v>322</v>
      </c>
      <c r="D102" s="116">
        <v>2.0028345749999999E-2</v>
      </c>
      <c r="E102" s="116">
        <v>0.116157255717</v>
      </c>
      <c r="F102" s="116"/>
    </row>
    <row r="103" spans="1:6" x14ac:dyDescent="0.25">
      <c r="A103" s="114">
        <v>409</v>
      </c>
      <c r="B103" s="114" t="s">
        <v>506</v>
      </c>
      <c r="C103" s="114" t="s">
        <v>322</v>
      </c>
      <c r="D103" s="114">
        <v>0.23285953464</v>
      </c>
      <c r="E103" s="116">
        <v>8.3014488693800001E-2</v>
      </c>
      <c r="F103" s="116"/>
    </row>
    <row r="104" spans="1:6" x14ac:dyDescent="0.25">
      <c r="A104" s="114">
        <v>410</v>
      </c>
      <c r="B104" s="114" t="s">
        <v>508</v>
      </c>
      <c r="C104" s="114" t="s">
        <v>322</v>
      </c>
      <c r="D104" s="114">
        <v>0.24286671275999999</v>
      </c>
      <c r="E104" s="116">
        <v>6.7190512056999996E-2</v>
      </c>
      <c r="F104" s="116"/>
    </row>
    <row r="105" spans="1:6" x14ac:dyDescent="0.25">
      <c r="A105" s="114">
        <v>411</v>
      </c>
      <c r="B105" s="114" t="s">
        <v>510</v>
      </c>
      <c r="C105" s="114" t="s">
        <v>322</v>
      </c>
      <c r="D105" s="116">
        <v>-5.4110020100000003E-2</v>
      </c>
      <c r="E105" s="116">
        <v>5.41737757577E-2</v>
      </c>
      <c r="F105" s="116"/>
    </row>
    <row r="106" spans="1:6" x14ac:dyDescent="0.25">
      <c r="A106" s="114">
        <v>412</v>
      </c>
      <c r="B106" s="114" t="s">
        <v>512</v>
      </c>
      <c r="C106" s="114" t="s">
        <v>322</v>
      </c>
      <c r="D106" s="116">
        <v>4.72182863E-3</v>
      </c>
      <c r="E106" s="116">
        <v>5.6397363119699999E-2</v>
      </c>
      <c r="F106" s="116"/>
    </row>
    <row r="107" spans="1:6" x14ac:dyDescent="0.25">
      <c r="A107" s="114">
        <v>413</v>
      </c>
      <c r="B107" s="114" t="s">
        <v>514</v>
      </c>
      <c r="C107" s="114" t="s">
        <v>322</v>
      </c>
      <c r="D107" s="114">
        <v>0.22859365528</v>
      </c>
      <c r="E107" s="116">
        <v>5.6896529385100002E-2</v>
      </c>
      <c r="F107" s="116"/>
    </row>
    <row r="108" spans="1:6" x14ac:dyDescent="0.25">
      <c r="A108" s="114">
        <v>414</v>
      </c>
      <c r="B108" s="114" t="s">
        <v>516</v>
      </c>
      <c r="C108" s="114" t="s">
        <v>341</v>
      </c>
      <c r="D108" s="114">
        <v>0</v>
      </c>
      <c r="E108" s="116">
        <v>0</v>
      </c>
      <c r="F108" s="116"/>
    </row>
    <row r="109" spans="1:6" x14ac:dyDescent="0.25">
      <c r="A109" s="114">
        <v>416</v>
      </c>
      <c r="B109" s="114" t="s">
        <v>519</v>
      </c>
      <c r="C109" s="114" t="s">
        <v>341</v>
      </c>
      <c r="D109" s="114">
        <v>0</v>
      </c>
      <c r="E109" s="114">
        <v>0</v>
      </c>
    </row>
    <row r="110" spans="1:6" x14ac:dyDescent="0.25">
      <c r="A110" s="114">
        <v>417</v>
      </c>
      <c r="B110" s="114" t="s">
        <v>521</v>
      </c>
      <c r="C110" s="114" t="s">
        <v>322</v>
      </c>
      <c r="D110" s="114">
        <v>-0.13978097549999999</v>
      </c>
      <c r="E110" s="114">
        <v>0.11247814518099999</v>
      </c>
    </row>
    <row r="111" spans="1:6" x14ac:dyDescent="0.25">
      <c r="A111" s="114">
        <v>418</v>
      </c>
      <c r="B111" s="114" t="s">
        <v>523</v>
      </c>
      <c r="C111" s="114" t="s">
        <v>322</v>
      </c>
      <c r="D111" s="114">
        <v>-0.1856787251</v>
      </c>
      <c r="E111" s="114">
        <v>0.100237176786</v>
      </c>
    </row>
    <row r="112" spans="1:6" x14ac:dyDescent="0.25">
      <c r="A112" s="114">
        <v>419</v>
      </c>
      <c r="B112" s="114" t="s">
        <v>525</v>
      </c>
      <c r="C112" s="114" t="s">
        <v>341</v>
      </c>
      <c r="D112" s="114">
        <v>0</v>
      </c>
      <c r="E112" s="114">
        <v>0</v>
      </c>
    </row>
    <row r="113" spans="1:6" x14ac:dyDescent="0.25">
      <c r="A113" s="114">
        <v>420</v>
      </c>
      <c r="B113" s="114" t="s">
        <v>527</v>
      </c>
      <c r="C113" s="114" t="s">
        <v>322</v>
      </c>
      <c r="D113" s="114">
        <v>-0.38992988649999999</v>
      </c>
      <c r="E113" s="114">
        <v>0.11727094473499999</v>
      </c>
    </row>
    <row r="114" spans="1:6" x14ac:dyDescent="0.25">
      <c r="A114" s="114">
        <v>421</v>
      </c>
      <c r="B114" s="114" t="s">
        <v>529</v>
      </c>
      <c r="C114" s="114" t="s">
        <v>322</v>
      </c>
      <c r="D114" s="114">
        <v>-0.51640682849999997</v>
      </c>
      <c r="E114" s="116">
        <v>9.6488485368900007E-2</v>
      </c>
      <c r="F114" s="116"/>
    </row>
    <row r="115" spans="1:6" x14ac:dyDescent="0.25">
      <c r="A115" s="114">
        <v>422</v>
      </c>
      <c r="B115" s="114" t="s">
        <v>531</v>
      </c>
      <c r="C115" s="114" t="s">
        <v>322</v>
      </c>
      <c r="D115" s="116">
        <v>-0.2407891361</v>
      </c>
      <c r="E115" s="116">
        <v>6.6162493603E-2</v>
      </c>
      <c r="F115" s="116"/>
    </row>
    <row r="116" spans="1:6" x14ac:dyDescent="0.25">
      <c r="A116" s="114">
        <v>423</v>
      </c>
      <c r="B116" s="114" t="s">
        <v>533</v>
      </c>
      <c r="C116" s="114" t="s">
        <v>322</v>
      </c>
      <c r="D116" s="114">
        <v>0.16802377205999999</v>
      </c>
      <c r="E116" s="116">
        <v>6.8184700313400001E-2</v>
      </c>
      <c r="F116" s="116"/>
    </row>
    <row r="117" spans="1:6" x14ac:dyDescent="0.25">
      <c r="A117" s="114">
        <v>424</v>
      </c>
      <c r="B117" s="114" t="s">
        <v>535</v>
      </c>
      <c r="C117" s="114" t="s">
        <v>341</v>
      </c>
      <c r="D117" s="114">
        <v>0</v>
      </c>
      <c r="E117" s="116">
        <v>0</v>
      </c>
      <c r="F117" s="116"/>
    </row>
    <row r="118" spans="1:6" x14ac:dyDescent="0.25">
      <c r="A118" s="114">
        <v>425</v>
      </c>
      <c r="B118" s="114" t="s">
        <v>537</v>
      </c>
      <c r="C118" s="114" t="s">
        <v>341</v>
      </c>
      <c r="D118" s="116">
        <v>0</v>
      </c>
      <c r="E118" s="116">
        <v>0</v>
      </c>
      <c r="F118" s="116"/>
    </row>
    <row r="119" spans="1:6" x14ac:dyDescent="0.25">
      <c r="A119" s="114">
        <v>426</v>
      </c>
      <c r="B119" s="114" t="s">
        <v>539</v>
      </c>
      <c r="C119" s="114" t="s">
        <v>341</v>
      </c>
      <c r="D119" s="114">
        <v>0</v>
      </c>
      <c r="E119" s="114">
        <v>0</v>
      </c>
    </row>
    <row r="120" spans="1:6" x14ac:dyDescent="0.25">
      <c r="A120" s="114">
        <v>427</v>
      </c>
      <c r="B120" s="114" t="s">
        <v>541</v>
      </c>
      <c r="C120" s="114" t="s">
        <v>341</v>
      </c>
      <c r="D120" s="114">
        <v>0</v>
      </c>
      <c r="E120" s="114">
        <v>0</v>
      </c>
    </row>
    <row r="121" spans="1:6" x14ac:dyDescent="0.25">
      <c r="A121" s="114">
        <v>428</v>
      </c>
      <c r="B121" s="114" t="s">
        <v>543</v>
      </c>
      <c r="C121" s="114" t="s">
        <v>322</v>
      </c>
      <c r="D121" s="116">
        <v>-3.03237822E-2</v>
      </c>
      <c r="E121" s="116">
        <v>1.47838668001E-2</v>
      </c>
      <c r="F121" s="116"/>
    </row>
    <row r="122" spans="1:6" x14ac:dyDescent="0.25">
      <c r="A122" s="114">
        <v>429</v>
      </c>
      <c r="B122" s="114" t="s">
        <v>544</v>
      </c>
      <c r="C122" s="114" t="s">
        <v>322</v>
      </c>
      <c r="D122" s="116">
        <v>-3.3157486899999998E-2</v>
      </c>
      <c r="E122" s="116">
        <v>1.8361375851900001E-2</v>
      </c>
      <c r="F122" s="116"/>
    </row>
    <row r="123" spans="1:6" x14ac:dyDescent="0.25">
      <c r="A123" s="114">
        <v>451</v>
      </c>
      <c r="B123" s="114" t="s">
        <v>545</v>
      </c>
      <c r="C123" s="114" t="s">
        <v>341</v>
      </c>
      <c r="D123" s="114">
        <v>0.23716100927</v>
      </c>
      <c r="E123" s="114">
        <v>0</v>
      </c>
    </row>
    <row r="124" spans="1:6" x14ac:dyDescent="0.25">
      <c r="A124" s="114">
        <v>500</v>
      </c>
      <c r="B124" s="114" t="s">
        <v>547</v>
      </c>
      <c r="C124" s="114" t="s">
        <v>322</v>
      </c>
      <c r="D124" s="114">
        <v>-1.6177638526</v>
      </c>
      <c r="E124" s="114">
        <v>0.181807649431</v>
      </c>
    </row>
    <row r="125" spans="1:6" x14ac:dyDescent="0.25">
      <c r="A125" s="114">
        <v>501</v>
      </c>
      <c r="B125" s="114" t="s">
        <v>549</v>
      </c>
      <c r="C125" s="114" t="s">
        <v>322</v>
      </c>
      <c r="D125" s="114">
        <v>1.2508733869999999</v>
      </c>
      <c r="E125" s="114">
        <v>0.260633296495</v>
      </c>
    </row>
    <row r="126" spans="1:6" x14ac:dyDescent="0.25">
      <c r="A126" s="114">
        <v>502</v>
      </c>
      <c r="B126" s="114" t="s">
        <v>551</v>
      </c>
      <c r="C126" s="114" t="s">
        <v>322</v>
      </c>
      <c r="D126" s="114">
        <v>-0.13429511461999999</v>
      </c>
      <c r="E126" s="116">
        <v>7.4981264110199994E-2</v>
      </c>
      <c r="F126" s="116"/>
    </row>
    <row r="127" spans="1:6" x14ac:dyDescent="0.25">
      <c r="A127" s="114">
        <v>503</v>
      </c>
      <c r="B127" s="114" t="s">
        <v>553</v>
      </c>
      <c r="C127" s="114" t="s">
        <v>322</v>
      </c>
      <c r="D127" s="114">
        <v>-4.464107355E-2</v>
      </c>
      <c r="E127" s="116">
        <v>8.0065851421599998E-2</v>
      </c>
      <c r="F127" s="116"/>
    </row>
    <row r="128" spans="1:6" x14ac:dyDescent="0.25">
      <c r="A128" s="114">
        <v>504</v>
      </c>
      <c r="B128" s="114" t="s">
        <v>555</v>
      </c>
      <c r="C128" s="114" t="s">
        <v>322</v>
      </c>
      <c r="D128" s="116">
        <v>0.31420686844000001</v>
      </c>
      <c r="E128" s="116">
        <v>7.6938754636199994E-2</v>
      </c>
      <c r="F128" s="116"/>
    </row>
    <row r="129" spans="1:6" x14ac:dyDescent="0.25">
      <c r="A129" s="114">
        <v>505</v>
      </c>
      <c r="B129" s="114" t="s">
        <v>557</v>
      </c>
      <c r="C129" s="114" t="s">
        <v>322</v>
      </c>
      <c r="D129" s="114">
        <v>0.57463336280999999</v>
      </c>
      <c r="E129" s="114">
        <v>0.104564426271</v>
      </c>
    </row>
    <row r="130" spans="1:6" x14ac:dyDescent="0.25">
      <c r="A130" s="114">
        <v>506</v>
      </c>
      <c r="B130" s="114" t="s">
        <v>559</v>
      </c>
      <c r="C130" s="114" t="s">
        <v>322</v>
      </c>
      <c r="D130" s="114">
        <v>-2.1815253284899998</v>
      </c>
      <c r="E130" s="114">
        <v>0.36806454401599997</v>
      </c>
    </row>
    <row r="131" spans="1:6" x14ac:dyDescent="0.25">
      <c r="A131" s="114">
        <v>507</v>
      </c>
      <c r="B131" s="114" t="s">
        <v>561</v>
      </c>
      <c r="C131" s="114" t="s">
        <v>322</v>
      </c>
      <c r="D131" s="114">
        <v>-2.5858190028200001</v>
      </c>
      <c r="E131" s="114">
        <v>0.14037324056299999</v>
      </c>
    </row>
    <row r="132" spans="1:6" x14ac:dyDescent="0.25">
      <c r="A132" s="114">
        <v>508</v>
      </c>
      <c r="B132" s="114" t="s">
        <v>563</v>
      </c>
      <c r="C132" s="114" t="s">
        <v>341</v>
      </c>
      <c r="D132" s="114">
        <v>-0.36776259199</v>
      </c>
      <c r="E132" s="114">
        <v>0</v>
      </c>
    </row>
    <row r="133" spans="1:6" x14ac:dyDescent="0.25">
      <c r="A133" s="114">
        <v>509</v>
      </c>
      <c r="B133" s="114" t="s">
        <v>565</v>
      </c>
      <c r="C133" s="114" t="s">
        <v>322</v>
      </c>
      <c r="D133" s="114">
        <v>0.19765755271999999</v>
      </c>
      <c r="E133" s="116">
        <v>7.53107766032E-2</v>
      </c>
      <c r="F133" s="116"/>
    </row>
    <row r="134" spans="1:6" x14ac:dyDescent="0.25">
      <c r="A134" s="114">
        <v>510</v>
      </c>
      <c r="B134" s="114" t="s">
        <v>567</v>
      </c>
      <c r="C134" s="114" t="s">
        <v>341</v>
      </c>
      <c r="D134" s="116">
        <v>0</v>
      </c>
      <c r="E134" s="116">
        <v>0</v>
      </c>
      <c r="F134" s="116"/>
    </row>
    <row r="135" spans="1:6" x14ac:dyDescent="0.25">
      <c r="A135" s="114">
        <v>511</v>
      </c>
      <c r="B135" s="114" t="s">
        <v>569</v>
      </c>
      <c r="C135" s="114" t="s">
        <v>341</v>
      </c>
      <c r="D135" s="114">
        <v>0</v>
      </c>
      <c r="E135" s="114">
        <v>0</v>
      </c>
    </row>
    <row r="136" spans="1:6" x14ac:dyDescent="0.25">
      <c r="A136" s="114">
        <v>512</v>
      </c>
      <c r="B136" s="114" t="s">
        <v>571</v>
      </c>
      <c r="C136" s="114" t="s">
        <v>322</v>
      </c>
      <c r="D136" s="116">
        <v>-9.6279583599999996E-2</v>
      </c>
      <c r="E136" s="116">
        <v>5.5744887624800003E-2</v>
      </c>
      <c r="F136" s="116"/>
    </row>
    <row r="137" spans="1:6" x14ac:dyDescent="0.25">
      <c r="A137" s="114">
        <v>513</v>
      </c>
      <c r="B137" s="114" t="s">
        <v>573</v>
      </c>
      <c r="C137" s="114" t="s">
        <v>322</v>
      </c>
      <c r="D137" s="114">
        <v>0.31837119661000002</v>
      </c>
      <c r="E137" s="116">
        <v>5.3264103577499999E-2</v>
      </c>
      <c r="F137" s="116"/>
    </row>
    <row r="138" spans="1:6" x14ac:dyDescent="0.25">
      <c r="A138" s="114">
        <v>514</v>
      </c>
      <c r="B138" s="114" t="s">
        <v>575</v>
      </c>
      <c r="C138" s="114" t="s">
        <v>341</v>
      </c>
      <c r="D138" s="114">
        <v>0</v>
      </c>
      <c r="E138" s="116">
        <v>0</v>
      </c>
      <c r="F138" s="116"/>
    </row>
    <row r="139" spans="1:6" x14ac:dyDescent="0.25">
      <c r="A139" s="114">
        <v>516</v>
      </c>
      <c r="B139" s="114" t="s">
        <v>578</v>
      </c>
      <c r="C139" s="114" t="s">
        <v>322</v>
      </c>
      <c r="D139" s="114">
        <v>0.14550911173</v>
      </c>
      <c r="E139" s="116">
        <v>4.5099656366200003E-2</v>
      </c>
      <c r="F139" s="116"/>
    </row>
    <row r="140" spans="1:6" x14ac:dyDescent="0.25">
      <c r="A140" s="114">
        <v>517</v>
      </c>
      <c r="B140" s="114" t="s">
        <v>580</v>
      </c>
      <c r="C140" s="114" t="s">
        <v>341</v>
      </c>
      <c r="D140" s="114">
        <v>0</v>
      </c>
      <c r="E140" s="114">
        <v>0</v>
      </c>
    </row>
    <row r="141" spans="1:6" x14ac:dyDescent="0.25">
      <c r="A141" s="114">
        <v>518</v>
      </c>
      <c r="B141" s="114" t="s">
        <v>582</v>
      </c>
      <c r="C141" s="114" t="s">
        <v>341</v>
      </c>
      <c r="D141" s="114">
        <v>0</v>
      </c>
      <c r="E141" s="114">
        <v>0</v>
      </c>
    </row>
    <row r="142" spans="1:6" x14ac:dyDescent="0.25">
      <c r="A142" s="114">
        <v>519</v>
      </c>
      <c r="B142" s="114" t="s">
        <v>584</v>
      </c>
      <c r="C142" s="114" t="s">
        <v>322</v>
      </c>
      <c r="D142" s="116">
        <v>-0.39019421700000001</v>
      </c>
      <c r="E142" s="116">
        <v>0.118239256599</v>
      </c>
      <c r="F142" s="116"/>
    </row>
    <row r="143" spans="1:6" x14ac:dyDescent="0.25">
      <c r="A143" s="114">
        <v>520</v>
      </c>
      <c r="B143" s="114" t="s">
        <v>586</v>
      </c>
      <c r="C143" s="114" t="s">
        <v>341</v>
      </c>
      <c r="D143" s="114">
        <v>0</v>
      </c>
      <c r="E143" s="116">
        <v>0</v>
      </c>
      <c r="F143" s="116"/>
    </row>
    <row r="144" spans="1:6" x14ac:dyDescent="0.25">
      <c r="A144" s="114">
        <v>521</v>
      </c>
      <c r="B144" s="114" t="s">
        <v>588</v>
      </c>
      <c r="C144" s="114" t="s">
        <v>322</v>
      </c>
      <c r="D144" s="114">
        <v>-0.6648424503</v>
      </c>
      <c r="E144" s="116">
        <v>9.34581777925E-2</v>
      </c>
      <c r="F144" s="116"/>
    </row>
    <row r="145" spans="1:6" x14ac:dyDescent="0.25">
      <c r="A145" s="114">
        <v>522</v>
      </c>
      <c r="B145" s="114" t="s">
        <v>590</v>
      </c>
      <c r="C145" s="114" t="s">
        <v>322</v>
      </c>
      <c r="D145" s="114">
        <v>-0.1282061293</v>
      </c>
      <c r="E145" s="116">
        <v>5.8279882022600003E-2</v>
      </c>
      <c r="F145" s="116"/>
    </row>
    <row r="146" spans="1:6" x14ac:dyDescent="0.25">
      <c r="A146" s="114">
        <v>523</v>
      </c>
      <c r="B146" s="114" t="s">
        <v>592</v>
      </c>
      <c r="C146" s="114" t="s">
        <v>322</v>
      </c>
      <c r="D146" s="114">
        <v>0.10964376344</v>
      </c>
      <c r="E146" s="116">
        <v>6.2344638501900002E-2</v>
      </c>
      <c r="F146" s="116"/>
    </row>
    <row r="147" spans="1:6" x14ac:dyDescent="0.25">
      <c r="A147" s="114">
        <v>524</v>
      </c>
      <c r="B147" s="114" t="s">
        <v>594</v>
      </c>
      <c r="C147" s="114" t="s">
        <v>341</v>
      </c>
      <c r="D147" s="114">
        <v>0</v>
      </c>
      <c r="E147" s="114">
        <v>0</v>
      </c>
    </row>
    <row r="148" spans="1:6" x14ac:dyDescent="0.25">
      <c r="A148" s="114">
        <v>525</v>
      </c>
      <c r="B148" s="114" t="s">
        <v>596</v>
      </c>
      <c r="C148" s="114" t="s">
        <v>341</v>
      </c>
      <c r="D148" s="114">
        <v>0</v>
      </c>
      <c r="E148" s="114">
        <v>0</v>
      </c>
    </row>
    <row r="149" spans="1:6" x14ac:dyDescent="0.25">
      <c r="A149" s="114">
        <v>526</v>
      </c>
      <c r="B149" s="114" t="s">
        <v>598</v>
      </c>
      <c r="C149" s="114" t="s">
        <v>341</v>
      </c>
      <c r="D149" s="114">
        <v>0</v>
      </c>
      <c r="E149" s="116">
        <v>0</v>
      </c>
      <c r="F149" s="116"/>
    </row>
    <row r="150" spans="1:6" x14ac:dyDescent="0.25">
      <c r="A150" s="114">
        <v>527</v>
      </c>
      <c r="B150" s="114" t="s">
        <v>600</v>
      </c>
      <c r="C150" s="114" t="s">
        <v>341</v>
      </c>
      <c r="D150" s="114">
        <v>0</v>
      </c>
      <c r="E150" s="114">
        <v>0</v>
      </c>
    </row>
    <row r="151" spans="1:6" x14ac:dyDescent="0.25">
      <c r="A151" s="114">
        <v>528</v>
      </c>
      <c r="B151" s="114" t="s">
        <v>602</v>
      </c>
      <c r="C151" s="114" t="s">
        <v>322</v>
      </c>
      <c r="D151" s="116">
        <v>-9.9077299000000004E-3</v>
      </c>
      <c r="E151" s="116">
        <v>1.36828090178E-2</v>
      </c>
      <c r="F151" s="116"/>
    </row>
    <row r="152" spans="1:6" x14ac:dyDescent="0.25">
      <c r="A152" s="114">
        <v>529</v>
      </c>
      <c r="B152" s="114" t="s">
        <v>603</v>
      </c>
      <c r="C152" s="114" t="s">
        <v>322</v>
      </c>
      <c r="D152" s="116">
        <v>-3.4007599600000001E-2</v>
      </c>
      <c r="E152" s="116">
        <v>2.3040823534399998E-2</v>
      </c>
      <c r="F152" s="116"/>
    </row>
    <row r="153" spans="1:6" x14ac:dyDescent="0.25">
      <c r="A153" s="114">
        <v>551</v>
      </c>
      <c r="B153" s="114" t="s">
        <v>604</v>
      </c>
      <c r="C153" s="114" t="s">
        <v>341</v>
      </c>
      <c r="D153" s="114">
        <v>0.69788613220999995</v>
      </c>
      <c r="E153" s="116">
        <v>0</v>
      </c>
      <c r="F153" s="116"/>
    </row>
    <row r="154" spans="1:6" x14ac:dyDescent="0.25">
      <c r="A154" s="114">
        <v>600</v>
      </c>
      <c r="B154" s="114" t="s">
        <v>606</v>
      </c>
      <c r="C154" s="114" t="s">
        <v>322</v>
      </c>
      <c r="D154" s="114">
        <v>-2.6825795620799999</v>
      </c>
      <c r="E154" s="114">
        <v>0.150259640217</v>
      </c>
    </row>
    <row r="155" spans="1:6" x14ac:dyDescent="0.25">
      <c r="A155" s="114">
        <v>601</v>
      </c>
      <c r="B155" s="114" t="s">
        <v>608</v>
      </c>
      <c r="C155" s="114" t="s">
        <v>322</v>
      </c>
      <c r="D155" s="114">
        <v>-0.26033909199999999</v>
      </c>
      <c r="E155" s="116">
        <v>0.25290969902499999</v>
      </c>
      <c r="F155" s="116"/>
    </row>
    <row r="156" spans="1:6" x14ac:dyDescent="0.25">
      <c r="A156" s="114">
        <v>602</v>
      </c>
      <c r="B156" s="114" t="s">
        <v>610</v>
      </c>
      <c r="C156" s="114" t="s">
        <v>322</v>
      </c>
      <c r="D156" s="116">
        <v>-0.42900205115000001</v>
      </c>
      <c r="E156" s="116">
        <v>8.4413808957900002E-2</v>
      </c>
      <c r="F156" s="116"/>
    </row>
    <row r="157" spans="1:6" x14ac:dyDescent="0.25">
      <c r="A157" s="114">
        <v>603</v>
      </c>
      <c r="B157" s="114" t="s">
        <v>612</v>
      </c>
      <c r="C157" s="114" t="s">
        <v>341</v>
      </c>
      <c r="D157" s="114">
        <v>-0.32764254858000003</v>
      </c>
      <c r="E157" s="114">
        <v>0</v>
      </c>
    </row>
    <row r="158" spans="1:6" x14ac:dyDescent="0.25">
      <c r="A158" s="114">
        <v>604</v>
      </c>
      <c r="B158" s="114" t="s">
        <v>614</v>
      </c>
      <c r="C158" s="114" t="s">
        <v>341</v>
      </c>
      <c r="D158" s="114">
        <v>-3.7729239009999999E-2</v>
      </c>
      <c r="E158" s="114">
        <v>0</v>
      </c>
    </row>
    <row r="159" spans="1:6" x14ac:dyDescent="0.25">
      <c r="A159" s="114">
        <v>605</v>
      </c>
      <c r="B159" s="114" t="s">
        <v>616</v>
      </c>
      <c r="C159" s="114" t="s">
        <v>341</v>
      </c>
      <c r="D159" s="114">
        <v>4.7209205269999999E-2</v>
      </c>
      <c r="E159" s="114">
        <v>0</v>
      </c>
    </row>
    <row r="160" spans="1:6" x14ac:dyDescent="0.25">
      <c r="A160" s="114">
        <v>606</v>
      </c>
      <c r="B160" s="114" t="s">
        <v>618</v>
      </c>
      <c r="C160" s="114" t="s">
        <v>322</v>
      </c>
      <c r="D160" s="114">
        <v>0.1</v>
      </c>
      <c r="E160" s="114">
        <v>0.37305652044499998</v>
      </c>
    </row>
    <row r="161" spans="1:6" x14ac:dyDescent="0.25">
      <c r="A161" s="114">
        <v>607</v>
      </c>
      <c r="B161" s="114" t="s">
        <v>620</v>
      </c>
      <c r="C161" s="114" t="s">
        <v>322</v>
      </c>
      <c r="D161" s="114">
        <v>-0.97161324606999999</v>
      </c>
      <c r="E161" s="114">
        <v>0.16855216129600001</v>
      </c>
    </row>
    <row r="162" spans="1:6" x14ac:dyDescent="0.25">
      <c r="A162" s="114">
        <v>608</v>
      </c>
      <c r="B162" s="114" t="s">
        <v>622</v>
      </c>
      <c r="C162" s="114" t="s">
        <v>322</v>
      </c>
      <c r="D162" s="116">
        <v>-1.10394031796</v>
      </c>
      <c r="E162" s="116">
        <v>0.14080829364799999</v>
      </c>
      <c r="F162" s="116"/>
    </row>
    <row r="163" spans="1:6" x14ac:dyDescent="0.25">
      <c r="A163" s="114">
        <v>609</v>
      </c>
      <c r="B163" s="114" t="s">
        <v>624</v>
      </c>
      <c r="C163" s="114" t="s">
        <v>322</v>
      </c>
      <c r="D163" s="114">
        <v>-0.29980229739999997</v>
      </c>
      <c r="E163" s="116">
        <v>9.5208572581800002E-2</v>
      </c>
      <c r="F163" s="116"/>
    </row>
    <row r="164" spans="1:6" x14ac:dyDescent="0.25">
      <c r="A164" s="114">
        <v>610</v>
      </c>
      <c r="B164" s="114" t="s">
        <v>626</v>
      </c>
      <c r="C164" s="114" t="s">
        <v>322</v>
      </c>
      <c r="D164" s="116">
        <v>1.6766769720000001E-2</v>
      </c>
      <c r="E164" s="116">
        <v>6.8388728490300005E-2</v>
      </c>
      <c r="F164" s="116"/>
    </row>
    <row r="165" spans="1:6" x14ac:dyDescent="0.25">
      <c r="A165" s="114">
        <v>611</v>
      </c>
      <c r="B165" s="114" t="s">
        <v>628</v>
      </c>
      <c r="C165" s="114" t="s">
        <v>341</v>
      </c>
      <c r="D165" s="114">
        <v>0</v>
      </c>
      <c r="E165" s="114">
        <v>0</v>
      </c>
    </row>
    <row r="166" spans="1:6" x14ac:dyDescent="0.25">
      <c r="A166" s="114">
        <v>612</v>
      </c>
      <c r="B166" s="114" t="s">
        <v>630</v>
      </c>
      <c r="C166" s="114" t="s">
        <v>322</v>
      </c>
      <c r="D166" s="114">
        <v>-0.22841745929999999</v>
      </c>
      <c r="E166" s="116">
        <v>5.6860286755899998E-2</v>
      </c>
      <c r="F166" s="116"/>
    </row>
    <row r="167" spans="1:6" x14ac:dyDescent="0.25">
      <c r="A167" s="114">
        <v>613</v>
      </c>
      <c r="B167" s="114" t="s">
        <v>632</v>
      </c>
      <c r="C167" s="114" t="s">
        <v>341</v>
      </c>
      <c r="D167" s="114">
        <v>0</v>
      </c>
      <c r="E167" s="114">
        <v>0</v>
      </c>
    </row>
    <row r="168" spans="1:6" x14ac:dyDescent="0.25">
      <c r="A168" s="114">
        <v>614</v>
      </c>
      <c r="B168" s="114" t="s">
        <v>634</v>
      </c>
      <c r="C168" s="114" t="s">
        <v>341</v>
      </c>
      <c r="D168" s="116">
        <v>0</v>
      </c>
      <c r="E168" s="116">
        <v>0</v>
      </c>
      <c r="F168" s="116"/>
    </row>
    <row r="169" spans="1:6" x14ac:dyDescent="0.25">
      <c r="A169" s="114">
        <v>616</v>
      </c>
      <c r="B169" s="114" t="s">
        <v>637</v>
      </c>
      <c r="C169" s="114" t="s">
        <v>322</v>
      </c>
      <c r="D169" s="116">
        <v>-5.8983816699999997E-2</v>
      </c>
      <c r="E169" s="116">
        <v>5.2131637347500002E-2</v>
      </c>
      <c r="F169" s="116"/>
    </row>
    <row r="170" spans="1:6" x14ac:dyDescent="0.25">
      <c r="A170" s="114">
        <v>617</v>
      </c>
      <c r="B170" s="114" t="s">
        <v>639</v>
      </c>
      <c r="C170" s="114" t="s">
        <v>341</v>
      </c>
      <c r="D170" s="116">
        <v>0</v>
      </c>
      <c r="E170" s="116">
        <v>0</v>
      </c>
      <c r="F170" s="116"/>
    </row>
    <row r="171" spans="1:6" x14ac:dyDescent="0.25">
      <c r="A171" s="114">
        <v>618</v>
      </c>
      <c r="B171" s="114" t="s">
        <v>641</v>
      </c>
      <c r="C171" s="114" t="s">
        <v>322</v>
      </c>
      <c r="D171" s="114">
        <v>-0.59216940409999996</v>
      </c>
      <c r="E171" s="116">
        <v>0.121169768266</v>
      </c>
      <c r="F171" s="116"/>
    </row>
    <row r="172" spans="1:6" x14ac:dyDescent="0.25">
      <c r="A172" s="114">
        <v>619</v>
      </c>
      <c r="B172" s="114" t="s">
        <v>643</v>
      </c>
      <c r="C172" s="114" t="s">
        <v>341</v>
      </c>
      <c r="D172" s="114">
        <v>0</v>
      </c>
      <c r="E172" s="116">
        <v>0</v>
      </c>
      <c r="F172" s="116"/>
    </row>
    <row r="173" spans="1:6" x14ac:dyDescent="0.25">
      <c r="A173" s="114">
        <v>620</v>
      </c>
      <c r="B173" s="114" t="s">
        <v>645</v>
      </c>
      <c r="C173" s="114" t="s">
        <v>322</v>
      </c>
      <c r="D173" s="114">
        <v>-0.48080125200000001</v>
      </c>
      <c r="E173" s="114">
        <v>0.123565614495</v>
      </c>
    </row>
    <row r="174" spans="1:6" x14ac:dyDescent="0.25">
      <c r="A174" s="114">
        <v>621</v>
      </c>
      <c r="B174" s="114" t="s">
        <v>647</v>
      </c>
      <c r="C174" s="114" t="s">
        <v>341</v>
      </c>
      <c r="D174" s="114">
        <v>0</v>
      </c>
      <c r="E174" s="114">
        <v>0</v>
      </c>
    </row>
    <row r="175" spans="1:6" x14ac:dyDescent="0.25">
      <c r="A175" s="114">
        <v>622</v>
      </c>
      <c r="B175" s="114" t="s">
        <v>649</v>
      </c>
      <c r="C175" s="114" t="s">
        <v>341</v>
      </c>
      <c r="D175" s="114">
        <v>0</v>
      </c>
      <c r="E175" s="114">
        <v>0</v>
      </c>
    </row>
    <row r="176" spans="1:6" x14ac:dyDescent="0.25">
      <c r="A176" s="114">
        <v>623</v>
      </c>
      <c r="B176" s="114" t="s">
        <v>651</v>
      </c>
      <c r="C176" s="114" t="s">
        <v>341</v>
      </c>
      <c r="D176" s="114">
        <v>0</v>
      </c>
      <c r="E176" s="114">
        <v>0</v>
      </c>
    </row>
    <row r="177" spans="1:6" x14ac:dyDescent="0.25">
      <c r="A177" s="114">
        <v>624</v>
      </c>
      <c r="B177" s="114" t="s">
        <v>653</v>
      </c>
      <c r="C177" s="114" t="s">
        <v>341</v>
      </c>
      <c r="D177" s="114">
        <v>0</v>
      </c>
      <c r="E177" s="114">
        <v>0</v>
      </c>
    </row>
    <row r="178" spans="1:6" x14ac:dyDescent="0.25">
      <c r="A178" s="114">
        <v>625</v>
      </c>
      <c r="B178" s="114" t="s">
        <v>655</v>
      </c>
      <c r="C178" s="114" t="s">
        <v>341</v>
      </c>
      <c r="D178" s="114">
        <v>0</v>
      </c>
      <c r="E178" s="114">
        <v>0</v>
      </c>
    </row>
    <row r="179" spans="1:6" x14ac:dyDescent="0.25">
      <c r="A179" s="114">
        <v>626</v>
      </c>
      <c r="B179" s="114" t="s">
        <v>657</v>
      </c>
      <c r="C179" s="114" t="s">
        <v>341</v>
      </c>
      <c r="D179" s="114">
        <v>0</v>
      </c>
      <c r="E179" s="114">
        <v>0</v>
      </c>
    </row>
    <row r="180" spans="1:6" x14ac:dyDescent="0.25">
      <c r="A180" s="114">
        <v>627</v>
      </c>
      <c r="B180" s="114" t="s">
        <v>659</v>
      </c>
      <c r="C180" s="114" t="s">
        <v>341</v>
      </c>
      <c r="D180" s="114">
        <v>0.1</v>
      </c>
      <c r="E180" s="114">
        <v>0</v>
      </c>
    </row>
    <row r="181" spans="1:6" x14ac:dyDescent="0.25">
      <c r="A181" s="114">
        <v>628</v>
      </c>
      <c r="B181" s="114" t="s">
        <v>661</v>
      </c>
      <c r="C181" s="114" t="s">
        <v>322</v>
      </c>
      <c r="D181" s="116">
        <v>2.706528398E-2</v>
      </c>
      <c r="E181" s="116">
        <v>1.4330824565999999E-2</v>
      </c>
      <c r="F181" s="116"/>
    </row>
    <row r="182" spans="1:6" x14ac:dyDescent="0.25">
      <c r="A182" s="114">
        <v>629</v>
      </c>
      <c r="B182" s="114" t="s">
        <v>662</v>
      </c>
      <c r="C182" s="114" t="s">
        <v>322</v>
      </c>
      <c r="D182" s="116">
        <v>-2.37266979E-2</v>
      </c>
      <c r="E182" s="116">
        <v>2.0352237702099998E-2</v>
      </c>
      <c r="F182" s="116"/>
    </row>
    <row r="183" spans="1:6" x14ac:dyDescent="0.25">
      <c r="A183" s="114">
        <v>651</v>
      </c>
      <c r="B183" s="114" t="s">
        <v>663</v>
      </c>
      <c r="C183" s="114" t="s">
        <v>341</v>
      </c>
      <c r="D183" s="114">
        <v>0.13098320225000001</v>
      </c>
      <c r="E183" s="116">
        <v>0</v>
      </c>
      <c r="F183" s="116"/>
    </row>
    <row r="184" spans="1:6" x14ac:dyDescent="0.25">
      <c r="A184" s="114">
        <v>700</v>
      </c>
      <c r="B184" s="114" t="s">
        <v>665</v>
      </c>
      <c r="C184" s="114" t="s">
        <v>322</v>
      </c>
      <c r="D184" s="114">
        <v>-1.6172265851700001</v>
      </c>
      <c r="E184" s="116">
        <v>0.145815968942</v>
      </c>
      <c r="F184" s="116"/>
    </row>
    <row r="185" spans="1:6" x14ac:dyDescent="0.25">
      <c r="A185" s="114">
        <v>701</v>
      </c>
      <c r="B185" s="114" t="s">
        <v>667</v>
      </c>
      <c r="C185" s="114" t="s">
        <v>322</v>
      </c>
      <c r="D185" s="114">
        <v>-3.79081965E-3</v>
      </c>
      <c r="E185" s="114">
        <v>0.23179014482099999</v>
      </c>
    </row>
    <row r="186" spans="1:6" x14ac:dyDescent="0.25">
      <c r="A186" s="114">
        <v>702</v>
      </c>
      <c r="B186" s="114" t="s">
        <v>669</v>
      </c>
      <c r="C186" s="114" t="s">
        <v>341</v>
      </c>
      <c r="D186" s="116">
        <v>6.1732609389999998E-2</v>
      </c>
      <c r="E186" s="116">
        <v>0</v>
      </c>
      <c r="F186" s="116"/>
    </row>
    <row r="187" spans="1:6" x14ac:dyDescent="0.25">
      <c r="A187" s="114">
        <v>703</v>
      </c>
      <c r="B187" s="114" t="s">
        <v>671</v>
      </c>
      <c r="C187" s="114" t="s">
        <v>341</v>
      </c>
      <c r="D187" s="114">
        <v>-0.22493912760000001</v>
      </c>
      <c r="E187" s="114">
        <v>0</v>
      </c>
    </row>
    <row r="188" spans="1:6" x14ac:dyDescent="0.25">
      <c r="A188" s="114">
        <v>704</v>
      </c>
      <c r="B188" s="114" t="s">
        <v>673</v>
      </c>
      <c r="C188" s="114" t="s">
        <v>341</v>
      </c>
      <c r="D188" s="114">
        <v>4.7151419719999997E-2</v>
      </c>
      <c r="E188" s="114">
        <v>0</v>
      </c>
    </row>
    <row r="189" spans="1:6" x14ac:dyDescent="0.25">
      <c r="A189" s="114">
        <v>705</v>
      </c>
      <c r="B189" s="114" t="s">
        <v>675</v>
      </c>
      <c r="C189" s="114" t="s">
        <v>341</v>
      </c>
      <c r="D189" s="114">
        <v>8.1660837489999999E-2</v>
      </c>
      <c r="E189" s="116">
        <v>0</v>
      </c>
      <c r="F189" s="116"/>
    </row>
    <row r="190" spans="1:6" x14ac:dyDescent="0.25">
      <c r="A190" s="114">
        <v>706</v>
      </c>
      <c r="B190" s="114" t="s">
        <v>677</v>
      </c>
      <c r="C190" s="114" t="s">
        <v>341</v>
      </c>
      <c r="D190" s="114">
        <v>-0.28019776109</v>
      </c>
      <c r="E190" s="114">
        <v>0</v>
      </c>
    </row>
    <row r="191" spans="1:6" x14ac:dyDescent="0.25">
      <c r="A191" s="114">
        <v>707</v>
      </c>
      <c r="B191" s="114" t="s">
        <v>679</v>
      </c>
      <c r="C191" s="114" t="s">
        <v>322</v>
      </c>
      <c r="D191" s="114">
        <v>0.41884341245000001</v>
      </c>
      <c r="E191" s="114">
        <v>0.11798712336599999</v>
      </c>
    </row>
    <row r="192" spans="1:6" x14ac:dyDescent="0.25">
      <c r="A192" s="114">
        <v>708</v>
      </c>
      <c r="B192" s="114" t="s">
        <v>681</v>
      </c>
      <c r="C192" s="114" t="s">
        <v>322</v>
      </c>
      <c r="D192" s="114">
        <v>0.38733642329000001</v>
      </c>
      <c r="E192" s="116">
        <v>9.9810686258599998E-2</v>
      </c>
      <c r="F192" s="116"/>
    </row>
    <row r="193" spans="1:6" x14ac:dyDescent="0.25">
      <c r="A193" s="114">
        <v>709</v>
      </c>
      <c r="B193" s="114" t="s">
        <v>683</v>
      </c>
      <c r="C193" s="114" t="s">
        <v>322</v>
      </c>
      <c r="D193" s="114">
        <v>-0.37024939579999999</v>
      </c>
      <c r="E193" s="116">
        <v>8.3122718722100003E-2</v>
      </c>
      <c r="F193" s="116"/>
    </row>
    <row r="194" spans="1:6" x14ac:dyDescent="0.25">
      <c r="A194" s="114">
        <v>710</v>
      </c>
      <c r="B194" s="114" t="s">
        <v>685</v>
      </c>
      <c r="C194" s="114" t="s">
        <v>322</v>
      </c>
      <c r="D194" s="116">
        <v>-2.81435682E-2</v>
      </c>
      <c r="E194" s="116">
        <v>6.3814408662299996E-2</v>
      </c>
      <c r="F194" s="116"/>
    </row>
    <row r="195" spans="1:6" x14ac:dyDescent="0.25">
      <c r="A195" s="114">
        <v>711</v>
      </c>
      <c r="B195" s="114" t="s">
        <v>687</v>
      </c>
      <c r="C195" s="114" t="s">
        <v>322</v>
      </c>
      <c r="D195" s="114">
        <v>0.11288399087000001</v>
      </c>
      <c r="E195" s="116">
        <v>4.9210397848100003E-2</v>
      </c>
      <c r="F195" s="116"/>
    </row>
    <row r="196" spans="1:6" x14ac:dyDescent="0.25">
      <c r="A196" s="114">
        <v>712</v>
      </c>
      <c r="B196" s="114" t="s">
        <v>689</v>
      </c>
      <c r="C196" s="114" t="s">
        <v>322</v>
      </c>
      <c r="D196" s="114">
        <v>0.19420487187999999</v>
      </c>
      <c r="E196" s="116">
        <v>5.1151548110099997E-2</v>
      </c>
      <c r="F196" s="116"/>
    </row>
    <row r="197" spans="1:6" x14ac:dyDescent="0.25">
      <c r="A197" s="114">
        <v>713</v>
      </c>
      <c r="B197" s="114" t="s">
        <v>691</v>
      </c>
      <c r="C197" s="114" t="s">
        <v>322</v>
      </c>
      <c r="D197" s="116">
        <v>-5.0667690500000001E-2</v>
      </c>
      <c r="E197" s="116">
        <v>5.2471887390999998E-2</v>
      </c>
      <c r="F197" s="116"/>
    </row>
    <row r="198" spans="1:6" x14ac:dyDescent="0.25">
      <c r="A198" s="114">
        <v>714</v>
      </c>
      <c r="B198" s="114" t="s">
        <v>693</v>
      </c>
      <c r="C198" s="114" t="s">
        <v>341</v>
      </c>
      <c r="D198" s="114">
        <v>0</v>
      </c>
      <c r="E198" s="114">
        <v>0</v>
      </c>
    </row>
    <row r="199" spans="1:6" x14ac:dyDescent="0.25">
      <c r="A199" s="114">
        <v>716</v>
      </c>
      <c r="B199" s="114" t="s">
        <v>696</v>
      </c>
      <c r="C199" s="114" t="s">
        <v>341</v>
      </c>
      <c r="D199" s="114">
        <v>0</v>
      </c>
      <c r="E199" s="114">
        <v>0</v>
      </c>
    </row>
    <row r="200" spans="1:6" x14ac:dyDescent="0.25">
      <c r="A200" s="114">
        <v>717</v>
      </c>
      <c r="B200" s="114" t="s">
        <v>698</v>
      </c>
      <c r="C200" s="114" t="s">
        <v>341</v>
      </c>
      <c r="D200" s="114">
        <v>0</v>
      </c>
      <c r="E200" s="114">
        <v>0</v>
      </c>
    </row>
    <row r="201" spans="1:6" x14ac:dyDescent="0.25">
      <c r="A201" s="114">
        <v>718</v>
      </c>
      <c r="B201" s="114" t="s">
        <v>700</v>
      </c>
      <c r="C201" s="114" t="s">
        <v>322</v>
      </c>
      <c r="D201" s="114">
        <v>-0.2438662318</v>
      </c>
      <c r="E201" s="116">
        <v>9.8346566265000004E-2</v>
      </c>
      <c r="F201" s="116"/>
    </row>
    <row r="202" spans="1:6" x14ac:dyDescent="0.25">
      <c r="A202" s="114">
        <v>719</v>
      </c>
      <c r="B202" s="114" t="s">
        <v>702</v>
      </c>
      <c r="C202" s="114" t="s">
        <v>341</v>
      </c>
      <c r="D202" s="116">
        <v>0</v>
      </c>
      <c r="E202" s="116">
        <v>0</v>
      </c>
      <c r="F202" s="116"/>
    </row>
    <row r="203" spans="1:6" x14ac:dyDescent="0.25">
      <c r="A203" s="114">
        <v>720</v>
      </c>
      <c r="B203" s="114" t="s">
        <v>704</v>
      </c>
      <c r="C203" s="114" t="s">
        <v>322</v>
      </c>
      <c r="D203" s="114">
        <v>-0.50528967089999999</v>
      </c>
      <c r="E203" s="114">
        <v>0.114513026186</v>
      </c>
    </row>
    <row r="204" spans="1:6" x14ac:dyDescent="0.25">
      <c r="A204" s="114">
        <v>721</v>
      </c>
      <c r="B204" s="114" t="s">
        <v>706</v>
      </c>
      <c r="C204" s="114" t="s">
        <v>341</v>
      </c>
      <c r="D204" s="116">
        <v>0</v>
      </c>
      <c r="E204" s="116">
        <v>0</v>
      </c>
      <c r="F204" s="116"/>
    </row>
    <row r="205" spans="1:6" x14ac:dyDescent="0.25">
      <c r="A205" s="114">
        <v>722</v>
      </c>
      <c r="B205" s="114" t="s">
        <v>708</v>
      </c>
      <c r="C205" s="114" t="s">
        <v>341</v>
      </c>
      <c r="D205" s="114">
        <v>0</v>
      </c>
      <c r="E205" s="116">
        <v>0</v>
      </c>
      <c r="F205" s="116"/>
    </row>
    <row r="206" spans="1:6" x14ac:dyDescent="0.25">
      <c r="A206" s="114">
        <v>723</v>
      </c>
      <c r="B206" s="114" t="s">
        <v>710</v>
      </c>
      <c r="C206" s="114" t="s">
        <v>322</v>
      </c>
      <c r="D206" s="116">
        <v>-9.4417426900000004E-2</v>
      </c>
      <c r="E206" s="116">
        <v>5.8791851279299999E-2</v>
      </c>
      <c r="F206" s="116"/>
    </row>
    <row r="207" spans="1:6" x14ac:dyDescent="0.25">
      <c r="A207" s="114">
        <v>724</v>
      </c>
      <c r="B207" s="114" t="s">
        <v>712</v>
      </c>
      <c r="C207" s="114" t="s">
        <v>341</v>
      </c>
      <c r="D207" s="114">
        <v>-5</v>
      </c>
      <c r="E207" s="114">
        <v>0</v>
      </c>
    </row>
    <row r="208" spans="1:6" x14ac:dyDescent="0.25">
      <c r="A208" s="114">
        <v>725</v>
      </c>
      <c r="B208" s="114" t="s">
        <v>714</v>
      </c>
      <c r="C208" s="114" t="s">
        <v>341</v>
      </c>
      <c r="D208" s="114">
        <v>0</v>
      </c>
      <c r="E208" s="114">
        <v>0</v>
      </c>
    </row>
    <row r="209" spans="1:6" x14ac:dyDescent="0.25">
      <c r="A209" s="114">
        <v>726</v>
      </c>
      <c r="B209" s="114" t="s">
        <v>716</v>
      </c>
      <c r="C209" s="114" t="s">
        <v>341</v>
      </c>
      <c r="D209" s="114">
        <v>0</v>
      </c>
      <c r="E209" s="114">
        <v>0</v>
      </c>
    </row>
    <row r="210" spans="1:6" x14ac:dyDescent="0.25">
      <c r="A210" s="114">
        <v>727</v>
      </c>
      <c r="B210" s="114" t="s">
        <v>718</v>
      </c>
      <c r="C210" s="114" t="s">
        <v>341</v>
      </c>
      <c r="D210" s="114">
        <v>0</v>
      </c>
      <c r="E210" s="114">
        <v>0</v>
      </c>
    </row>
    <row r="211" spans="1:6" x14ac:dyDescent="0.25">
      <c r="A211" s="114">
        <v>728</v>
      </c>
      <c r="B211" s="114" t="s">
        <v>720</v>
      </c>
      <c r="C211" s="114" t="s">
        <v>322</v>
      </c>
      <c r="D211" s="116">
        <v>4.7101136490000001E-2</v>
      </c>
      <c r="E211" s="116">
        <v>1.30683101885E-2</v>
      </c>
      <c r="F211" s="116"/>
    </row>
    <row r="212" spans="1:6" x14ac:dyDescent="0.25">
      <c r="A212" s="114">
        <v>729</v>
      </c>
      <c r="B212" s="114" t="s">
        <v>721</v>
      </c>
      <c r="C212" s="114" t="s">
        <v>322</v>
      </c>
      <c r="D212" s="116">
        <v>3.3043148209999998E-2</v>
      </c>
      <c r="E212" s="116">
        <v>1.7343796398199999E-2</v>
      </c>
      <c r="F212" s="116"/>
    </row>
    <row r="213" spans="1:6" x14ac:dyDescent="0.25">
      <c r="A213" s="114">
        <v>751</v>
      </c>
      <c r="B213" s="114" t="s">
        <v>722</v>
      </c>
      <c r="C213" s="114" t="s">
        <v>322</v>
      </c>
      <c r="D213" s="114">
        <v>-6.0962981569999998E-2</v>
      </c>
      <c r="E213" s="116">
        <v>5.7583546237699998E-2</v>
      </c>
      <c r="F213" s="116"/>
    </row>
    <row r="214" spans="1:6" x14ac:dyDescent="0.25">
      <c r="A214" s="114">
        <v>802</v>
      </c>
      <c r="B214" s="114" t="s">
        <v>724</v>
      </c>
      <c r="C214" s="114" t="s">
        <v>322</v>
      </c>
      <c r="D214" s="114">
        <v>0.48216116207999998</v>
      </c>
      <c r="E214" s="114">
        <v>0.10951224639</v>
      </c>
    </row>
    <row r="215" spans="1:6" x14ac:dyDescent="0.25">
      <c r="A215" s="114">
        <v>803</v>
      </c>
      <c r="B215" s="114" t="s">
        <v>726</v>
      </c>
      <c r="C215" s="114" t="s">
        <v>322</v>
      </c>
      <c r="D215" s="116">
        <v>4.1439464709999999E-2</v>
      </c>
      <c r="E215" s="116">
        <v>0.12958894603900001</v>
      </c>
    </row>
    <row r="216" spans="1:6" x14ac:dyDescent="0.25">
      <c r="A216" s="114">
        <v>804</v>
      </c>
      <c r="B216" s="114" t="s">
        <v>728</v>
      </c>
      <c r="C216" s="114" t="s">
        <v>322</v>
      </c>
      <c r="D216" s="116">
        <v>6.9579968419999999E-2</v>
      </c>
      <c r="E216" s="116">
        <v>0.12141878031599999</v>
      </c>
    </row>
    <row r="217" spans="1:6" x14ac:dyDescent="0.25">
      <c r="A217" s="114">
        <v>805</v>
      </c>
      <c r="B217" s="114" t="s">
        <v>730</v>
      </c>
      <c r="C217" s="114" t="s">
        <v>322</v>
      </c>
      <c r="D217" s="114">
        <v>-0.43103620619999999</v>
      </c>
      <c r="E217" s="116">
        <v>0.14479311080099999</v>
      </c>
      <c r="F217" s="116"/>
    </row>
    <row r="218" spans="1:6" x14ac:dyDescent="0.25">
      <c r="A218" s="114">
        <v>806</v>
      </c>
      <c r="B218" s="114" t="s">
        <v>732</v>
      </c>
      <c r="C218" s="114" t="s">
        <v>322</v>
      </c>
      <c r="D218" s="114">
        <v>0.18339092563000001</v>
      </c>
      <c r="E218" s="116">
        <v>0.33927095854</v>
      </c>
      <c r="F218" s="116"/>
    </row>
    <row r="219" spans="1:6" x14ac:dyDescent="0.25">
      <c r="A219" s="114">
        <v>807</v>
      </c>
      <c r="B219" s="114" t="s">
        <v>734</v>
      </c>
      <c r="C219" s="114" t="s">
        <v>322</v>
      </c>
      <c r="D219" s="114">
        <v>0.66879116640000003</v>
      </c>
      <c r="E219" s="116">
        <v>0.20992085445200001</v>
      </c>
      <c r="F219" s="116"/>
    </row>
    <row r="220" spans="1:6" x14ac:dyDescent="0.25">
      <c r="A220" s="114">
        <v>808</v>
      </c>
      <c r="B220" s="114" t="s">
        <v>736</v>
      </c>
      <c r="C220" s="114" t="s">
        <v>341</v>
      </c>
      <c r="D220" s="116">
        <v>0</v>
      </c>
      <c r="E220" s="116">
        <v>0</v>
      </c>
      <c r="F220" s="116"/>
    </row>
    <row r="221" spans="1:6" x14ac:dyDescent="0.25">
      <c r="A221" s="114">
        <v>809</v>
      </c>
      <c r="B221" s="114" t="s">
        <v>738</v>
      </c>
      <c r="C221" s="114" t="s">
        <v>341</v>
      </c>
      <c r="D221" s="114">
        <v>0</v>
      </c>
      <c r="E221" s="114">
        <v>0</v>
      </c>
    </row>
    <row r="222" spans="1:6" x14ac:dyDescent="0.25">
      <c r="A222" s="114">
        <v>810</v>
      </c>
      <c r="B222" s="114" t="s">
        <v>740</v>
      </c>
      <c r="C222" s="114" t="s">
        <v>341</v>
      </c>
      <c r="D222" s="114">
        <v>0</v>
      </c>
      <c r="E222" s="114">
        <v>0</v>
      </c>
    </row>
    <row r="223" spans="1:6" x14ac:dyDescent="0.25">
      <c r="A223" s="114">
        <v>811</v>
      </c>
      <c r="B223" s="114" t="s">
        <v>742</v>
      </c>
      <c r="C223" s="114" t="s">
        <v>341</v>
      </c>
      <c r="D223" s="114">
        <v>0</v>
      </c>
      <c r="E223" s="114">
        <v>0</v>
      </c>
    </row>
    <row r="224" spans="1:6" x14ac:dyDescent="0.25">
      <c r="A224" s="114">
        <v>812</v>
      </c>
      <c r="B224" s="114" t="s">
        <v>744</v>
      </c>
      <c r="C224" s="114" t="s">
        <v>341</v>
      </c>
      <c r="D224" s="114">
        <v>0</v>
      </c>
      <c r="E224" s="114">
        <v>0</v>
      </c>
    </row>
    <row r="225" spans="1:6" x14ac:dyDescent="0.25">
      <c r="A225" s="114">
        <v>813</v>
      </c>
      <c r="B225" s="114" t="s">
        <v>746</v>
      </c>
      <c r="C225" s="114" t="s">
        <v>341</v>
      </c>
      <c r="D225" s="114">
        <v>0.2</v>
      </c>
      <c r="E225" s="114">
        <v>0</v>
      </c>
    </row>
    <row r="226" spans="1:6" x14ac:dyDescent="0.25">
      <c r="A226" s="114">
        <v>814</v>
      </c>
      <c r="B226" s="114" t="s">
        <v>748</v>
      </c>
      <c r="C226" s="114" t="s">
        <v>341</v>
      </c>
      <c r="D226" s="114">
        <v>0.2</v>
      </c>
      <c r="E226" s="114">
        <v>0</v>
      </c>
    </row>
    <row r="227" spans="1:6" x14ac:dyDescent="0.25">
      <c r="A227" s="114">
        <v>816</v>
      </c>
      <c r="B227" s="114" t="s">
        <v>751</v>
      </c>
      <c r="C227" s="114" t="s">
        <v>322</v>
      </c>
      <c r="D227" s="114">
        <v>-0.13352737449999999</v>
      </c>
      <c r="E227" s="116">
        <v>6.6064707039200005E-2</v>
      </c>
      <c r="F227" s="116"/>
    </row>
    <row r="228" spans="1:6" x14ac:dyDescent="0.25">
      <c r="A228" s="114">
        <v>817</v>
      </c>
      <c r="B228" s="114" t="s">
        <v>753</v>
      </c>
      <c r="C228" s="114" t="s">
        <v>322</v>
      </c>
      <c r="D228" s="114">
        <v>-0.19409057069999999</v>
      </c>
      <c r="E228" s="114">
        <v>0.14269006834199999</v>
      </c>
    </row>
    <row r="229" spans="1:6" x14ac:dyDescent="0.25">
      <c r="A229" s="114">
        <v>818</v>
      </c>
      <c r="B229" s="114" t="s">
        <v>755</v>
      </c>
      <c r="C229" s="114" t="s">
        <v>322</v>
      </c>
      <c r="D229" s="114">
        <v>0.3240162721</v>
      </c>
      <c r="E229" s="114">
        <v>0.137880088875</v>
      </c>
    </row>
    <row r="230" spans="1:6" x14ac:dyDescent="0.25">
      <c r="A230" s="114">
        <v>819</v>
      </c>
      <c r="B230" s="114" t="s">
        <v>757</v>
      </c>
      <c r="C230" s="114" t="s">
        <v>322</v>
      </c>
      <c r="D230" s="114">
        <v>-0.3025653606</v>
      </c>
      <c r="E230" s="116">
        <v>0.153420573733</v>
      </c>
      <c r="F230" s="116"/>
    </row>
    <row r="231" spans="1:6" x14ac:dyDescent="0.25">
      <c r="A231" s="114">
        <v>820</v>
      </c>
      <c r="B231" s="114" t="s">
        <v>759</v>
      </c>
      <c r="C231" s="114" t="s">
        <v>322</v>
      </c>
      <c r="D231" s="114">
        <v>0.46909146538000002</v>
      </c>
      <c r="E231" s="114">
        <v>0.151001127102</v>
      </c>
    </row>
    <row r="232" spans="1:6" x14ac:dyDescent="0.25">
      <c r="A232" s="114">
        <v>821</v>
      </c>
      <c r="B232" s="114" t="s">
        <v>761</v>
      </c>
      <c r="C232" s="114" t="s">
        <v>322</v>
      </c>
      <c r="D232" s="116">
        <v>9.8106343639999996E-2</v>
      </c>
      <c r="E232" s="116">
        <v>0.122962661892</v>
      </c>
    </row>
    <row r="233" spans="1:6" x14ac:dyDescent="0.25">
      <c r="A233" s="114">
        <v>822</v>
      </c>
      <c r="B233" s="114" t="s">
        <v>763</v>
      </c>
      <c r="C233" s="114" t="s">
        <v>341</v>
      </c>
      <c r="D233" s="114">
        <v>0.2</v>
      </c>
      <c r="E233" s="114">
        <v>0</v>
      </c>
    </row>
    <row r="234" spans="1:6" x14ac:dyDescent="0.25">
      <c r="A234" s="114">
        <v>823</v>
      </c>
      <c r="B234" s="114" t="s">
        <v>765</v>
      </c>
      <c r="C234" s="114" t="s">
        <v>341</v>
      </c>
      <c r="D234" s="114">
        <v>0</v>
      </c>
      <c r="E234" s="114">
        <v>0</v>
      </c>
    </row>
    <row r="235" spans="1:6" x14ac:dyDescent="0.25">
      <c r="A235" s="114">
        <v>824</v>
      </c>
      <c r="B235" s="114" t="s">
        <v>767</v>
      </c>
      <c r="C235" s="114" t="s">
        <v>322</v>
      </c>
      <c r="D235" s="114">
        <v>1.7061575260799999</v>
      </c>
      <c r="E235" s="114">
        <v>0.62464943799600003</v>
      </c>
    </row>
    <row r="236" spans="1:6" x14ac:dyDescent="0.25">
      <c r="A236" s="114">
        <v>825</v>
      </c>
      <c r="B236" s="114" t="s">
        <v>769</v>
      </c>
      <c r="C236" s="114" t="s">
        <v>341</v>
      </c>
      <c r="D236" s="116">
        <v>0</v>
      </c>
      <c r="E236" s="116">
        <v>0</v>
      </c>
      <c r="F236" s="116"/>
    </row>
    <row r="237" spans="1:6" x14ac:dyDescent="0.25">
      <c r="A237" s="114">
        <v>826</v>
      </c>
      <c r="B237" s="114" t="s">
        <v>771</v>
      </c>
      <c r="C237" s="114" t="s">
        <v>322</v>
      </c>
      <c r="D237" s="116">
        <v>7.7639468000000001E-4</v>
      </c>
      <c r="E237" s="116">
        <v>2.8502227399800003E-4</v>
      </c>
      <c r="F237" s="116"/>
    </row>
    <row r="238" spans="1:6" x14ac:dyDescent="0.25">
      <c r="A238" s="114">
        <v>827</v>
      </c>
      <c r="B238" s="114" t="s">
        <v>773</v>
      </c>
      <c r="C238" s="114" t="s">
        <v>322</v>
      </c>
      <c r="D238" s="116">
        <v>6.0680986139999997E-2</v>
      </c>
      <c r="E238" s="116">
        <v>1.5925740251099999E-2</v>
      </c>
      <c r="F238" s="116"/>
    </row>
    <row r="239" spans="1:6" x14ac:dyDescent="0.25">
      <c r="A239" s="114">
        <v>851</v>
      </c>
      <c r="B239" s="114" t="s">
        <v>775</v>
      </c>
      <c r="C239" s="114" t="s">
        <v>341</v>
      </c>
      <c r="D239" s="114">
        <v>0.1</v>
      </c>
      <c r="E239" s="116">
        <v>0</v>
      </c>
      <c r="F239" s="116"/>
    </row>
    <row r="240" spans="1:6" x14ac:dyDescent="0.25">
      <c r="A240" s="114">
        <v>902</v>
      </c>
      <c r="B240" s="114" t="s">
        <v>777</v>
      </c>
      <c r="C240" s="114" t="s">
        <v>341</v>
      </c>
      <c r="D240" s="114">
        <v>0</v>
      </c>
      <c r="E240" s="116">
        <v>0</v>
      </c>
      <c r="F240" s="116"/>
    </row>
    <row r="241" spans="1:6" x14ac:dyDescent="0.25">
      <c r="A241" s="114">
        <v>903</v>
      </c>
      <c r="B241" s="114" t="s">
        <v>779</v>
      </c>
      <c r="C241" s="114" t="s">
        <v>341</v>
      </c>
      <c r="D241" s="114">
        <v>0</v>
      </c>
      <c r="E241" s="116">
        <v>0</v>
      </c>
      <c r="F241" s="116"/>
    </row>
    <row r="242" spans="1:6" x14ac:dyDescent="0.25">
      <c r="A242" s="114">
        <v>904</v>
      </c>
      <c r="B242" s="114" t="s">
        <v>781</v>
      </c>
      <c r="C242" s="114" t="s">
        <v>341</v>
      </c>
      <c r="D242" s="114">
        <v>0</v>
      </c>
      <c r="E242" s="114">
        <v>0</v>
      </c>
    </row>
    <row r="243" spans="1:6" x14ac:dyDescent="0.25">
      <c r="A243" s="114">
        <v>905</v>
      </c>
      <c r="B243" s="114" t="s">
        <v>783</v>
      </c>
      <c r="C243" s="114" t="s">
        <v>341</v>
      </c>
      <c r="D243" s="114">
        <v>0.1</v>
      </c>
      <c r="E243" s="114">
        <v>0</v>
      </c>
    </row>
    <row r="244" spans="1:6" x14ac:dyDescent="0.25">
      <c r="A244" s="114">
        <v>906</v>
      </c>
      <c r="B244" s="114" t="s">
        <v>785</v>
      </c>
      <c r="C244" s="114" t="s">
        <v>322</v>
      </c>
      <c r="D244" s="114">
        <v>-0.74970232910000001</v>
      </c>
      <c r="E244" s="114">
        <v>0.44168442604699998</v>
      </c>
    </row>
    <row r="245" spans="1:6" x14ac:dyDescent="0.25">
      <c r="A245" s="114">
        <v>907</v>
      </c>
      <c r="B245" s="114" t="s">
        <v>787</v>
      </c>
      <c r="C245" s="114" t="s">
        <v>322</v>
      </c>
      <c r="D245" s="114">
        <v>-0.45273598900000001</v>
      </c>
      <c r="E245" s="114">
        <v>0.18264218077800001</v>
      </c>
    </row>
    <row r="246" spans="1:6" x14ac:dyDescent="0.25">
      <c r="A246" s="114">
        <v>908</v>
      </c>
      <c r="B246" s="114" t="s">
        <v>789</v>
      </c>
      <c r="C246" s="114" t="s">
        <v>341</v>
      </c>
      <c r="D246" s="114">
        <v>0</v>
      </c>
      <c r="E246" s="114">
        <v>0</v>
      </c>
    </row>
    <row r="247" spans="1:6" x14ac:dyDescent="0.25">
      <c r="A247" s="114">
        <v>909</v>
      </c>
      <c r="B247" s="114" t="s">
        <v>791</v>
      </c>
      <c r="C247" s="114" t="s">
        <v>341</v>
      </c>
      <c r="D247" s="114">
        <v>0</v>
      </c>
      <c r="E247" s="114">
        <v>0</v>
      </c>
    </row>
    <row r="248" spans="1:6" x14ac:dyDescent="0.25">
      <c r="A248" s="114">
        <v>910</v>
      </c>
      <c r="B248" s="114" t="s">
        <v>793</v>
      </c>
      <c r="C248" s="114" t="s">
        <v>341</v>
      </c>
      <c r="D248" s="114">
        <v>0</v>
      </c>
      <c r="E248" s="114">
        <v>0</v>
      </c>
    </row>
    <row r="249" spans="1:6" x14ac:dyDescent="0.25">
      <c r="A249" s="114">
        <v>911</v>
      </c>
      <c r="B249" s="114" t="s">
        <v>795</v>
      </c>
      <c r="C249" s="114" t="s">
        <v>341</v>
      </c>
      <c r="D249" s="114">
        <v>0.1</v>
      </c>
      <c r="E249" s="114">
        <v>0</v>
      </c>
    </row>
    <row r="250" spans="1:6" x14ac:dyDescent="0.25">
      <c r="A250" s="114">
        <v>912</v>
      </c>
      <c r="B250" s="114" t="s">
        <v>797</v>
      </c>
      <c r="C250" s="114" t="s">
        <v>341</v>
      </c>
      <c r="D250" s="114">
        <v>0</v>
      </c>
      <c r="E250" s="114">
        <v>0</v>
      </c>
    </row>
    <row r="251" spans="1:6" x14ac:dyDescent="0.25">
      <c r="A251" s="114">
        <v>913</v>
      </c>
      <c r="B251" s="114" t="s">
        <v>799</v>
      </c>
      <c r="C251" s="114" t="s">
        <v>341</v>
      </c>
      <c r="D251" s="114">
        <v>0</v>
      </c>
      <c r="E251" s="114">
        <v>0</v>
      </c>
    </row>
    <row r="252" spans="1:6" x14ac:dyDescent="0.25">
      <c r="A252" s="114">
        <v>914</v>
      </c>
      <c r="B252" s="114" t="s">
        <v>801</v>
      </c>
      <c r="C252" s="114" t="s">
        <v>341</v>
      </c>
      <c r="D252" s="114">
        <v>0</v>
      </c>
      <c r="E252" s="114">
        <v>0</v>
      </c>
    </row>
    <row r="253" spans="1:6" x14ac:dyDescent="0.25">
      <c r="A253" s="114">
        <v>916</v>
      </c>
      <c r="B253" s="114" t="s">
        <v>804</v>
      </c>
      <c r="C253" s="114" t="s">
        <v>341</v>
      </c>
      <c r="D253" s="114">
        <v>0</v>
      </c>
      <c r="E253" s="114">
        <v>0</v>
      </c>
    </row>
    <row r="254" spans="1:6" x14ac:dyDescent="0.25">
      <c r="A254" s="114">
        <v>917</v>
      </c>
      <c r="B254" s="114" t="s">
        <v>806</v>
      </c>
      <c r="C254" s="114" t="s">
        <v>341</v>
      </c>
      <c r="D254" s="114">
        <v>0.1</v>
      </c>
      <c r="E254" s="114">
        <v>0</v>
      </c>
    </row>
    <row r="255" spans="1:6" x14ac:dyDescent="0.25">
      <c r="A255" s="114">
        <v>918</v>
      </c>
      <c r="B255" s="114" t="s">
        <v>808</v>
      </c>
      <c r="C255" s="114" t="s">
        <v>341</v>
      </c>
      <c r="D255" s="114">
        <v>0.1</v>
      </c>
      <c r="E255" s="116">
        <v>0</v>
      </c>
      <c r="F255" s="116"/>
    </row>
    <row r="256" spans="1:6" x14ac:dyDescent="0.25">
      <c r="A256" s="114">
        <v>919</v>
      </c>
      <c r="B256" s="114" t="s">
        <v>810</v>
      </c>
      <c r="C256" s="114" t="s">
        <v>341</v>
      </c>
      <c r="D256" s="114">
        <v>0.1</v>
      </c>
      <c r="E256" s="114">
        <v>0</v>
      </c>
    </row>
    <row r="257" spans="1:6" x14ac:dyDescent="0.25">
      <c r="A257" s="114">
        <v>920</v>
      </c>
      <c r="B257" s="114" t="s">
        <v>812</v>
      </c>
      <c r="C257" s="114" t="s">
        <v>341</v>
      </c>
      <c r="D257" s="114">
        <v>0.1</v>
      </c>
      <c r="E257" s="114">
        <v>0</v>
      </c>
    </row>
    <row r="258" spans="1:6" x14ac:dyDescent="0.25">
      <c r="A258" s="114">
        <v>921</v>
      </c>
      <c r="B258" s="114" t="s">
        <v>814</v>
      </c>
      <c r="C258" s="114" t="s">
        <v>341</v>
      </c>
      <c r="D258" s="114">
        <v>0</v>
      </c>
      <c r="E258" s="114">
        <v>0</v>
      </c>
    </row>
    <row r="259" spans="1:6" x14ac:dyDescent="0.25">
      <c r="A259" s="114">
        <v>922</v>
      </c>
      <c r="B259" s="114" t="s">
        <v>816</v>
      </c>
      <c r="C259" s="114" t="s">
        <v>341</v>
      </c>
      <c r="D259" s="114">
        <v>0</v>
      </c>
      <c r="E259" s="114">
        <v>0</v>
      </c>
    </row>
    <row r="260" spans="1:6" x14ac:dyDescent="0.25">
      <c r="A260" s="114">
        <v>923</v>
      </c>
      <c r="B260" s="114" t="s">
        <v>818</v>
      </c>
      <c r="C260" s="114" t="s">
        <v>341</v>
      </c>
      <c r="D260" s="114">
        <v>0</v>
      </c>
      <c r="E260" s="114">
        <v>0</v>
      </c>
    </row>
    <row r="261" spans="1:6" x14ac:dyDescent="0.25">
      <c r="A261" s="114">
        <v>924</v>
      </c>
      <c r="B261" s="114" t="s">
        <v>820</v>
      </c>
      <c r="C261" s="114" t="s">
        <v>322</v>
      </c>
      <c r="D261" s="114">
        <v>1.0089226032800001</v>
      </c>
      <c r="E261" s="114">
        <v>0.54403988595300001</v>
      </c>
    </row>
    <row r="262" spans="1:6" x14ac:dyDescent="0.25">
      <c r="A262" s="114">
        <v>925</v>
      </c>
      <c r="B262" s="114" t="s">
        <v>822</v>
      </c>
      <c r="C262" s="114" t="s">
        <v>341</v>
      </c>
      <c r="D262" s="114">
        <v>0</v>
      </c>
      <c r="E262" s="114">
        <v>0</v>
      </c>
    </row>
    <row r="263" spans="1:6" x14ac:dyDescent="0.25">
      <c r="A263" s="114">
        <v>926</v>
      </c>
      <c r="B263" s="114" t="s">
        <v>824</v>
      </c>
      <c r="C263" s="114" t="s">
        <v>341</v>
      </c>
      <c r="D263" s="114">
        <v>0</v>
      </c>
      <c r="E263" s="114">
        <v>0</v>
      </c>
    </row>
    <row r="264" spans="1:6" x14ac:dyDescent="0.25">
      <c r="A264" s="114">
        <v>927</v>
      </c>
      <c r="B264" s="114" t="s">
        <v>826</v>
      </c>
      <c r="C264" s="114" t="s">
        <v>341</v>
      </c>
      <c r="D264" s="114">
        <v>0</v>
      </c>
      <c r="E264" s="114">
        <v>0</v>
      </c>
    </row>
    <row r="265" spans="1:6" x14ac:dyDescent="0.25">
      <c r="A265" s="114">
        <v>951</v>
      </c>
      <c r="B265" s="114" t="s">
        <v>828</v>
      </c>
      <c r="C265" s="114" t="s">
        <v>341</v>
      </c>
      <c r="D265" s="116">
        <v>0</v>
      </c>
      <c r="E265" s="116">
        <v>0</v>
      </c>
      <c r="F265" s="116"/>
    </row>
    <row r="266" spans="1:6" x14ac:dyDescent="0.25">
      <c r="A266" s="114">
        <v>1010</v>
      </c>
      <c r="B266" s="114" t="s">
        <v>830</v>
      </c>
      <c r="C266" s="114" t="s">
        <v>322</v>
      </c>
      <c r="D266" s="116">
        <v>0.46702494856999999</v>
      </c>
      <c r="E266" s="116">
        <v>4.5103614647899998E-2</v>
      </c>
      <c r="F266" s="116"/>
    </row>
    <row r="267" spans="1:6" x14ac:dyDescent="0.25">
      <c r="A267" s="114">
        <v>1011</v>
      </c>
      <c r="B267" s="114" t="s">
        <v>832</v>
      </c>
      <c r="C267" s="114" t="s">
        <v>322</v>
      </c>
      <c r="D267" s="114">
        <v>0.35627106767</v>
      </c>
      <c r="E267" s="114">
        <v>0.40051488965600002</v>
      </c>
    </row>
    <row r="268" spans="1:6" x14ac:dyDescent="0.25">
      <c r="A268" s="114">
        <v>1012</v>
      </c>
      <c r="B268" s="114" t="s">
        <v>834</v>
      </c>
      <c r="C268" s="114" t="s">
        <v>341</v>
      </c>
      <c r="D268" s="114">
        <v>0</v>
      </c>
      <c r="E268" s="114">
        <v>0</v>
      </c>
    </row>
    <row r="269" spans="1:6" x14ac:dyDescent="0.25">
      <c r="A269" s="114">
        <v>1013</v>
      </c>
      <c r="B269" s="114" t="s">
        <v>836</v>
      </c>
      <c r="C269" s="114" t="s">
        <v>322</v>
      </c>
      <c r="D269" s="114">
        <v>1.31138129947</v>
      </c>
      <c r="E269" s="114">
        <v>0.13896845951</v>
      </c>
    </row>
    <row r="270" spans="1:6" x14ac:dyDescent="0.25">
      <c r="A270" s="114">
        <v>1014</v>
      </c>
      <c r="B270" s="114" t="s">
        <v>838</v>
      </c>
      <c r="C270" s="114" t="s">
        <v>322</v>
      </c>
      <c r="D270" s="114">
        <v>-0.2271508596</v>
      </c>
      <c r="E270" s="116">
        <v>9.8519660051899993E-2</v>
      </c>
    </row>
    <row r="271" spans="1:6" x14ac:dyDescent="0.25">
      <c r="A271" s="114">
        <v>1015</v>
      </c>
      <c r="B271" s="114" t="s">
        <v>840</v>
      </c>
      <c r="C271" s="114" t="s">
        <v>322</v>
      </c>
      <c r="D271" s="116">
        <v>-0.3863353779</v>
      </c>
      <c r="E271" s="116">
        <v>9.4608928227899999E-2</v>
      </c>
    </row>
    <row r="272" spans="1:6" x14ac:dyDescent="0.25">
      <c r="A272" s="114">
        <v>1016</v>
      </c>
      <c r="B272" s="114" t="s">
        <v>842</v>
      </c>
      <c r="C272" s="114" t="s">
        <v>322</v>
      </c>
      <c r="D272" s="116">
        <v>8.8964159720000005E-2</v>
      </c>
      <c r="E272" s="114">
        <v>0.10564433513099999</v>
      </c>
    </row>
    <row r="273" spans="1:5" x14ac:dyDescent="0.25">
      <c r="A273" s="114">
        <v>1018</v>
      </c>
      <c r="B273" s="114" t="s">
        <v>845</v>
      </c>
      <c r="C273" s="114" t="s">
        <v>322</v>
      </c>
      <c r="D273" s="116">
        <v>-7.95389814E-2</v>
      </c>
      <c r="E273" s="116">
        <v>1.1182939279600001E-2</v>
      </c>
    </row>
    <row r="274" spans="1:5" x14ac:dyDescent="0.25">
      <c r="A274" s="114">
        <v>1019</v>
      </c>
      <c r="B274" s="114" t="s">
        <v>847</v>
      </c>
      <c r="C274" s="114" t="s">
        <v>322</v>
      </c>
      <c r="D274" s="116">
        <v>7.9494235799999993E-2</v>
      </c>
      <c r="E274" s="116">
        <v>8.7516520522800002E-3</v>
      </c>
    </row>
    <row r="275" spans="1:5" x14ac:dyDescent="0.25">
      <c r="A275" s="114">
        <v>1020</v>
      </c>
      <c r="B275" s="114" t="s">
        <v>849</v>
      </c>
      <c r="C275" s="114" t="s">
        <v>341</v>
      </c>
      <c r="D275" s="114">
        <v>0</v>
      </c>
      <c r="E275" s="114">
        <v>0</v>
      </c>
    </row>
    <row r="276" spans="1:5" x14ac:dyDescent="0.25">
      <c r="A276" s="114">
        <v>1021</v>
      </c>
      <c r="B276" s="114" t="s">
        <v>851</v>
      </c>
      <c r="C276" s="114" t="s">
        <v>341</v>
      </c>
      <c r="D276" s="114">
        <v>0</v>
      </c>
      <c r="E276" s="114">
        <v>0</v>
      </c>
    </row>
    <row r="277" spans="1:5" x14ac:dyDescent="0.25">
      <c r="A277" s="114">
        <v>1022</v>
      </c>
      <c r="B277" s="114" t="s">
        <v>853</v>
      </c>
      <c r="C277" s="114" t="s">
        <v>322</v>
      </c>
      <c r="D277" s="116">
        <v>3.1456067640000002E-2</v>
      </c>
      <c r="E277" s="114">
        <v>0.23335405354200001</v>
      </c>
    </row>
    <row r="278" spans="1:5" x14ac:dyDescent="0.25">
      <c r="A278" s="114">
        <v>1023</v>
      </c>
      <c r="B278" s="114" t="s">
        <v>855</v>
      </c>
      <c r="C278" s="114" t="s">
        <v>322</v>
      </c>
      <c r="D278" s="114">
        <v>1.4072425159899999</v>
      </c>
      <c r="E278" s="114">
        <v>0.17089671271000001</v>
      </c>
    </row>
    <row r="279" spans="1:5" x14ac:dyDescent="0.25">
      <c r="A279" s="114">
        <v>1024</v>
      </c>
      <c r="B279" s="114" t="s">
        <v>857</v>
      </c>
      <c r="C279" s="114" t="s">
        <v>322</v>
      </c>
      <c r="D279" s="114">
        <v>-0.26026898339999999</v>
      </c>
      <c r="E279" s="114">
        <v>0.12531855840299999</v>
      </c>
    </row>
    <row r="280" spans="1:5" x14ac:dyDescent="0.25">
      <c r="A280" s="114">
        <v>1025</v>
      </c>
      <c r="B280" s="114" t="s">
        <v>859</v>
      </c>
      <c r="C280" s="114" t="s">
        <v>322</v>
      </c>
      <c r="D280" s="114">
        <v>-0.32971865140000001</v>
      </c>
      <c r="E280" s="114">
        <v>0.126345843496</v>
      </c>
    </row>
    <row r="281" spans="1:5" x14ac:dyDescent="0.25">
      <c r="A281" s="114">
        <v>1026</v>
      </c>
      <c r="B281" s="114" t="s">
        <v>861</v>
      </c>
      <c r="C281" s="114" t="s">
        <v>322</v>
      </c>
      <c r="D281" s="116">
        <v>6.5087520300000003E-3</v>
      </c>
      <c r="E281" s="114">
        <v>0.13626557244500001</v>
      </c>
    </row>
    <row r="282" spans="1:5" x14ac:dyDescent="0.25">
      <c r="A282" s="114">
        <v>1028</v>
      </c>
      <c r="B282" s="114" t="s">
        <v>863</v>
      </c>
      <c r="C282" s="114" t="s">
        <v>322</v>
      </c>
      <c r="D282" s="116">
        <v>1.139271289E-2</v>
      </c>
      <c r="E282" s="116">
        <v>1.08502792506E-2</v>
      </c>
    </row>
    <row r="283" spans="1:5" x14ac:dyDescent="0.25">
      <c r="A283" s="114">
        <v>1029</v>
      </c>
      <c r="B283" s="114" t="s">
        <v>865</v>
      </c>
      <c r="C283" s="114" t="s">
        <v>341</v>
      </c>
      <c r="D283" s="114">
        <v>0</v>
      </c>
      <c r="E283" s="114">
        <v>0</v>
      </c>
    </row>
    <row r="284" spans="1:5" x14ac:dyDescent="0.25">
      <c r="A284" s="114">
        <v>1033</v>
      </c>
      <c r="B284" s="114" t="s">
        <v>867</v>
      </c>
      <c r="C284" s="114" t="s">
        <v>322</v>
      </c>
      <c r="D284" s="114">
        <v>2.4989891222699998</v>
      </c>
      <c r="E284" s="114">
        <v>0.13622949021299999</v>
      </c>
    </row>
    <row r="285" spans="1:5" x14ac:dyDescent="0.25">
      <c r="A285" s="114">
        <v>1034</v>
      </c>
      <c r="B285" s="114" t="s">
        <v>869</v>
      </c>
      <c r="C285" s="114" t="s">
        <v>322</v>
      </c>
      <c r="D285" s="114">
        <v>0.42155755741000001</v>
      </c>
      <c r="E285" s="116">
        <v>9.8660466168099994E-2</v>
      </c>
    </row>
    <row r="286" spans="1:5" x14ac:dyDescent="0.25">
      <c r="A286" s="114">
        <v>1035</v>
      </c>
      <c r="B286" s="114" t="s">
        <v>871</v>
      </c>
      <c r="C286" s="114" t="s">
        <v>322</v>
      </c>
      <c r="D286" s="114">
        <v>0.18824946519999999</v>
      </c>
      <c r="E286" s="116">
        <v>9.4333244137199998E-2</v>
      </c>
    </row>
    <row r="287" spans="1:5" x14ac:dyDescent="0.25">
      <c r="A287" s="114">
        <v>1036</v>
      </c>
      <c r="B287" s="114" t="s">
        <v>873</v>
      </c>
      <c r="C287" s="114" t="s">
        <v>322</v>
      </c>
      <c r="D287" s="114">
        <v>0.23932223080000001</v>
      </c>
      <c r="E287" s="114">
        <v>0.119829848475</v>
      </c>
    </row>
    <row r="288" spans="1:5" x14ac:dyDescent="0.25">
      <c r="A288" s="114">
        <v>1043</v>
      </c>
      <c r="B288" s="114" t="s">
        <v>875</v>
      </c>
      <c r="C288" s="114" t="s">
        <v>322</v>
      </c>
      <c r="D288" s="114">
        <v>-0.31733811960000002</v>
      </c>
      <c r="E288" s="114">
        <v>0.15669604986800001</v>
      </c>
    </row>
    <row r="289" spans="1:5" x14ac:dyDescent="0.25">
      <c r="A289" s="114">
        <v>1044</v>
      </c>
      <c r="B289" s="114" t="s">
        <v>877</v>
      </c>
      <c r="C289" s="114" t="s">
        <v>322</v>
      </c>
      <c r="D289" s="114">
        <v>0.85230872298000004</v>
      </c>
      <c r="E289" s="114">
        <v>0.11104616985599999</v>
      </c>
    </row>
    <row r="290" spans="1:5" x14ac:dyDescent="0.25">
      <c r="A290" s="114">
        <v>1045</v>
      </c>
      <c r="B290" s="114" t="s">
        <v>879</v>
      </c>
      <c r="C290" s="114" t="s">
        <v>322</v>
      </c>
      <c r="D290" s="116">
        <v>7.7300054799999997E-3</v>
      </c>
      <c r="E290" s="116">
        <v>8.2098181664200007E-2</v>
      </c>
    </row>
    <row r="291" spans="1:5" x14ac:dyDescent="0.25">
      <c r="A291" s="114">
        <v>1046</v>
      </c>
      <c r="B291" s="114" t="s">
        <v>881</v>
      </c>
      <c r="C291" s="114" t="s">
        <v>322</v>
      </c>
      <c r="D291" s="114">
        <v>-0.17096234809999999</v>
      </c>
      <c r="E291" s="114">
        <v>0.10586188449300001</v>
      </c>
    </row>
    <row r="292" spans="1:5" x14ac:dyDescent="0.25">
      <c r="A292" s="114">
        <v>1053</v>
      </c>
      <c r="B292" s="114" t="s">
        <v>883</v>
      </c>
      <c r="C292" s="114" t="s">
        <v>322</v>
      </c>
      <c r="D292" s="114">
        <v>-0.32416023560000001</v>
      </c>
      <c r="E292" s="114">
        <v>0.15051164112599999</v>
      </c>
    </row>
    <row r="293" spans="1:5" x14ac:dyDescent="0.25">
      <c r="A293" s="114">
        <v>1054</v>
      </c>
      <c r="B293" s="114" t="s">
        <v>885</v>
      </c>
      <c r="C293" s="114" t="s">
        <v>322</v>
      </c>
      <c r="D293" s="114">
        <v>0.19022174198</v>
      </c>
      <c r="E293" s="116">
        <v>8.3730809476700002E-2</v>
      </c>
    </row>
    <row r="294" spans="1:5" x14ac:dyDescent="0.25">
      <c r="A294" s="114">
        <v>1055</v>
      </c>
      <c r="B294" s="114" t="s">
        <v>887</v>
      </c>
      <c r="C294" s="114" t="s">
        <v>322</v>
      </c>
      <c r="D294" s="114">
        <v>0.34703104835999998</v>
      </c>
      <c r="E294" s="116">
        <v>9.8093159087699999E-2</v>
      </c>
    </row>
    <row r="295" spans="1:5" x14ac:dyDescent="0.25">
      <c r="A295" s="114">
        <v>1056</v>
      </c>
      <c r="B295" s="114" t="s">
        <v>889</v>
      </c>
      <c r="C295" s="114" t="s">
        <v>322</v>
      </c>
      <c r="D295" s="116">
        <v>-9.1791021099999995E-2</v>
      </c>
      <c r="E295" s="114">
        <v>0.101470939643</v>
      </c>
    </row>
    <row r="296" spans="1:5" x14ac:dyDescent="0.25">
      <c r="A296" s="114">
        <v>1063</v>
      </c>
      <c r="B296" s="114" t="s">
        <v>891</v>
      </c>
      <c r="C296" s="114" t="s">
        <v>322</v>
      </c>
      <c r="D296" s="116">
        <v>-4.4033147199999997E-2</v>
      </c>
      <c r="E296" s="116">
        <v>0.188643742424</v>
      </c>
    </row>
    <row r="297" spans="1:5" x14ac:dyDescent="0.25">
      <c r="A297" s="114">
        <v>1064</v>
      </c>
      <c r="B297" s="114" t="s">
        <v>893</v>
      </c>
      <c r="C297" s="114" t="s">
        <v>322</v>
      </c>
      <c r="D297" s="114">
        <v>0.13328175857999999</v>
      </c>
      <c r="E297" s="114">
        <v>0.105910010066</v>
      </c>
    </row>
    <row r="298" spans="1:5" x14ac:dyDescent="0.25">
      <c r="A298" s="114">
        <v>1065</v>
      </c>
      <c r="B298" s="114" t="s">
        <v>895</v>
      </c>
      <c r="C298" s="114" t="s">
        <v>322</v>
      </c>
      <c r="D298" s="116">
        <v>-9.96383676E-2</v>
      </c>
      <c r="E298" s="114">
        <v>0.101934680768</v>
      </c>
    </row>
    <row r="299" spans="1:5" x14ac:dyDescent="0.25">
      <c r="A299" s="114">
        <v>1066</v>
      </c>
      <c r="B299" s="114" t="s">
        <v>897</v>
      </c>
      <c r="C299" s="114" t="s">
        <v>322</v>
      </c>
      <c r="D299" s="114">
        <v>0.45879604657</v>
      </c>
      <c r="E299" s="114">
        <v>0.129250961119</v>
      </c>
    </row>
    <row r="300" spans="1:5" x14ac:dyDescent="0.25">
      <c r="A300" s="114">
        <v>1073</v>
      </c>
      <c r="B300" s="114" t="s">
        <v>899</v>
      </c>
      <c r="C300" s="114" t="s">
        <v>322</v>
      </c>
      <c r="D300" s="114">
        <v>-0.1895596024</v>
      </c>
      <c r="E300" s="114">
        <v>0.112523791805</v>
      </c>
    </row>
    <row r="301" spans="1:5" x14ac:dyDescent="0.25">
      <c r="A301" s="114">
        <v>1074</v>
      </c>
      <c r="B301" s="114" t="s">
        <v>901</v>
      </c>
      <c r="C301" s="114" t="s">
        <v>322</v>
      </c>
      <c r="D301" s="116">
        <v>-9.7610810999999992E-3</v>
      </c>
      <c r="E301" s="116">
        <v>7.6017024140500003E-2</v>
      </c>
    </row>
    <row r="302" spans="1:5" x14ac:dyDescent="0.25">
      <c r="A302" s="114">
        <v>1075</v>
      </c>
      <c r="B302" s="114" t="s">
        <v>903</v>
      </c>
      <c r="C302" s="114" t="s">
        <v>322</v>
      </c>
      <c r="D302" s="116">
        <v>7.152604974E-2</v>
      </c>
      <c r="E302" s="116">
        <v>7.1725183470099999E-2</v>
      </c>
    </row>
    <row r="303" spans="1:5" x14ac:dyDescent="0.25">
      <c r="A303" s="114">
        <v>1076</v>
      </c>
      <c r="B303" s="114" t="s">
        <v>905</v>
      </c>
      <c r="C303" s="114" t="s">
        <v>322</v>
      </c>
      <c r="D303" s="116">
        <v>0.13756738340999999</v>
      </c>
      <c r="E303" s="116">
        <v>8.4947552141299995E-2</v>
      </c>
    </row>
    <row r="304" spans="1:5" x14ac:dyDescent="0.25">
      <c r="A304" s="114">
        <v>1112</v>
      </c>
      <c r="B304" s="114" t="s">
        <v>907</v>
      </c>
      <c r="C304" s="114" t="s">
        <v>322</v>
      </c>
      <c r="D304" s="116">
        <v>-2.5994126514000002</v>
      </c>
      <c r="E304" s="116">
        <v>0.23021784672000001</v>
      </c>
    </row>
    <row r="305" spans="1:5" x14ac:dyDescent="0.25">
      <c r="A305" s="114">
        <v>1113</v>
      </c>
      <c r="B305" s="114" t="s">
        <v>909</v>
      </c>
      <c r="C305" s="114" t="s">
        <v>322</v>
      </c>
      <c r="D305" s="114">
        <v>-1.717543823</v>
      </c>
      <c r="E305" s="114">
        <v>0.13245368810499999</v>
      </c>
    </row>
    <row r="306" spans="1:5" x14ac:dyDescent="0.25">
      <c r="A306" s="114">
        <v>1114</v>
      </c>
      <c r="B306" s="114" t="s">
        <v>911</v>
      </c>
      <c r="C306" s="114" t="s">
        <v>322</v>
      </c>
      <c r="D306" s="116">
        <v>-1.265502581</v>
      </c>
      <c r="E306" s="114">
        <v>0.10571209824400001</v>
      </c>
    </row>
    <row r="307" spans="1:5" x14ac:dyDescent="0.25">
      <c r="A307" s="114">
        <v>1115</v>
      </c>
      <c r="B307" s="114" t="s">
        <v>913</v>
      </c>
      <c r="C307" s="114" t="s">
        <v>322</v>
      </c>
      <c r="D307" s="114">
        <v>-1.2119912740000001</v>
      </c>
      <c r="E307" s="116">
        <v>9.8533238079300006E-2</v>
      </c>
    </row>
    <row r="308" spans="1:5" x14ac:dyDescent="0.25">
      <c r="A308" s="114">
        <v>1116</v>
      </c>
      <c r="B308" s="114" t="s">
        <v>915</v>
      </c>
      <c r="C308" s="114" t="s">
        <v>322</v>
      </c>
      <c r="D308" s="114">
        <v>-0.79329386710000005</v>
      </c>
      <c r="E308" s="114">
        <v>0.114565829153</v>
      </c>
    </row>
    <row r="309" spans="1:5" x14ac:dyDescent="0.25">
      <c r="A309" s="114">
        <v>1117</v>
      </c>
      <c r="B309" s="114" t="s">
        <v>917</v>
      </c>
      <c r="C309" s="114" t="s">
        <v>322</v>
      </c>
      <c r="D309" s="114">
        <v>-0.52349938839999999</v>
      </c>
      <c r="E309" s="116">
        <v>8.9970529209499994E-2</v>
      </c>
    </row>
    <row r="310" spans="1:5" x14ac:dyDescent="0.25">
      <c r="A310" s="114">
        <v>1123</v>
      </c>
      <c r="B310" s="114" t="s">
        <v>919</v>
      </c>
      <c r="C310" s="114" t="s">
        <v>322</v>
      </c>
      <c r="D310" s="114">
        <v>-1.3733550833999999</v>
      </c>
      <c r="E310" s="114">
        <v>0.18104694222100001</v>
      </c>
    </row>
    <row r="311" spans="1:5" x14ac:dyDescent="0.25">
      <c r="A311" s="114">
        <v>1124</v>
      </c>
      <c r="B311" s="114" t="s">
        <v>921</v>
      </c>
      <c r="C311" s="114" t="s">
        <v>322</v>
      </c>
      <c r="D311" s="114">
        <v>-1.0650217618</v>
      </c>
      <c r="E311" s="114">
        <v>0.13567900679799999</v>
      </c>
    </row>
    <row r="312" spans="1:5" x14ac:dyDescent="0.25">
      <c r="A312" s="114">
        <v>1125</v>
      </c>
      <c r="B312" s="114" t="s">
        <v>923</v>
      </c>
      <c r="C312" s="114" t="s">
        <v>322</v>
      </c>
      <c r="D312" s="116">
        <v>-1.1892653198000001</v>
      </c>
      <c r="E312" s="116">
        <v>0.14297029866200001</v>
      </c>
    </row>
    <row r="313" spans="1:5" x14ac:dyDescent="0.25">
      <c r="A313" s="114">
        <v>1126</v>
      </c>
      <c r="B313" s="114" t="s">
        <v>925</v>
      </c>
      <c r="C313" s="114" t="s">
        <v>322</v>
      </c>
      <c r="D313" s="114">
        <v>-0.74621794669999997</v>
      </c>
      <c r="E313" s="114">
        <v>0.16438067232199999</v>
      </c>
    </row>
    <row r="314" spans="1:5" x14ac:dyDescent="0.25">
      <c r="A314" s="114">
        <v>1127</v>
      </c>
      <c r="B314" s="114" t="s">
        <v>927</v>
      </c>
      <c r="C314" s="114" t="s">
        <v>322</v>
      </c>
      <c r="D314" s="114">
        <v>-0.7296889902</v>
      </c>
      <c r="E314" s="114">
        <v>0.113282339531</v>
      </c>
    </row>
    <row r="315" spans="1:5" x14ac:dyDescent="0.25">
      <c r="A315" s="114">
        <v>1134</v>
      </c>
      <c r="B315" s="114" t="s">
        <v>929</v>
      </c>
      <c r="C315" s="114" t="s">
        <v>322</v>
      </c>
      <c r="D315" s="116">
        <v>5.4528016059999997E-2</v>
      </c>
      <c r="E315" s="114">
        <v>0.125839313466</v>
      </c>
    </row>
    <row r="316" spans="1:5" x14ac:dyDescent="0.25">
      <c r="A316" s="114">
        <v>1135</v>
      </c>
      <c r="B316" s="114" t="s">
        <v>931</v>
      </c>
      <c r="C316" s="114" t="s">
        <v>322</v>
      </c>
      <c r="D316" s="116">
        <v>-7.8362597500000006E-2</v>
      </c>
      <c r="E316" s="114">
        <v>0.12568700992599999</v>
      </c>
    </row>
    <row r="317" spans="1:5" x14ac:dyDescent="0.25">
      <c r="A317" s="114">
        <v>1136</v>
      </c>
      <c r="B317" s="114" t="s">
        <v>933</v>
      </c>
      <c r="C317" s="114" t="s">
        <v>322</v>
      </c>
      <c r="D317" s="116">
        <v>8.5857943950000001E-2</v>
      </c>
      <c r="E317" s="114">
        <v>0.17397297839199999</v>
      </c>
    </row>
    <row r="318" spans="1:5" x14ac:dyDescent="0.25">
      <c r="A318" s="114">
        <v>1137</v>
      </c>
      <c r="B318" s="114" t="s">
        <v>935</v>
      </c>
      <c r="C318" s="114" t="s">
        <v>322</v>
      </c>
      <c r="D318" s="114">
        <v>0.40109888872999999</v>
      </c>
      <c r="E318" s="114">
        <v>0.110183162482</v>
      </c>
    </row>
    <row r="319" spans="1:5" x14ac:dyDescent="0.25">
      <c r="A319" s="114">
        <v>1145</v>
      </c>
      <c r="B319" s="114" t="s">
        <v>937</v>
      </c>
      <c r="C319" s="114" t="s">
        <v>322</v>
      </c>
      <c r="D319" s="114">
        <v>-0.13139542970000001</v>
      </c>
      <c r="E319" s="114">
        <v>0.102820478667</v>
      </c>
    </row>
    <row r="320" spans="1:5" x14ac:dyDescent="0.25">
      <c r="A320" s="114">
        <v>1146</v>
      </c>
      <c r="B320" s="114" t="s">
        <v>939</v>
      </c>
      <c r="C320" s="114" t="s">
        <v>322</v>
      </c>
      <c r="D320" s="116">
        <v>-1.43628513E-2</v>
      </c>
      <c r="E320" s="114">
        <v>0.133055374531</v>
      </c>
    </row>
    <row r="321" spans="1:5" x14ac:dyDescent="0.25">
      <c r="A321" s="114">
        <v>1147</v>
      </c>
      <c r="B321" s="114" t="s">
        <v>941</v>
      </c>
      <c r="C321" s="114" t="s">
        <v>322</v>
      </c>
      <c r="D321" s="116">
        <v>5.43486792E-2</v>
      </c>
      <c r="E321" s="116">
        <v>9.59646389525E-2</v>
      </c>
    </row>
    <row r="322" spans="1:5" x14ac:dyDescent="0.25">
      <c r="A322" s="114">
        <v>1156</v>
      </c>
      <c r="B322" s="114" t="s">
        <v>943</v>
      </c>
      <c r="C322" s="114" t="s">
        <v>322</v>
      </c>
      <c r="D322" s="116">
        <v>-2.9828784699999999E-2</v>
      </c>
      <c r="E322" s="114">
        <v>0.13119525273499999</v>
      </c>
    </row>
    <row r="323" spans="1:5" x14ac:dyDescent="0.25">
      <c r="A323" s="114">
        <v>1157</v>
      </c>
      <c r="B323" s="114" t="s">
        <v>945</v>
      </c>
      <c r="C323" s="114" t="s">
        <v>322</v>
      </c>
      <c r="D323" s="114">
        <v>0.16345191671000001</v>
      </c>
      <c r="E323" s="116">
        <v>9.4694160019799994E-2</v>
      </c>
    </row>
    <row r="324" spans="1:5" x14ac:dyDescent="0.25">
      <c r="A324" s="114">
        <v>1213</v>
      </c>
      <c r="B324" s="114" t="s">
        <v>947</v>
      </c>
      <c r="C324" s="114" t="s">
        <v>322</v>
      </c>
      <c r="D324" s="114">
        <v>-0.58856263239999995</v>
      </c>
      <c r="E324" s="114">
        <v>0.15242062203500001</v>
      </c>
    </row>
    <row r="325" spans="1:5" x14ac:dyDescent="0.25">
      <c r="A325" s="114">
        <v>1214</v>
      </c>
      <c r="B325" s="114" t="s">
        <v>949</v>
      </c>
      <c r="C325" s="114" t="s">
        <v>322</v>
      </c>
      <c r="D325" s="114">
        <v>-0.24210518210000001</v>
      </c>
      <c r="E325" s="114">
        <v>0.13180395360200001</v>
      </c>
    </row>
    <row r="326" spans="1:5" x14ac:dyDescent="0.25">
      <c r="A326" s="114">
        <v>1215</v>
      </c>
      <c r="B326" s="114" t="s">
        <v>951</v>
      </c>
      <c r="C326" s="114" t="s">
        <v>322</v>
      </c>
      <c r="D326" s="116">
        <v>-0.44236569689999999</v>
      </c>
      <c r="E326" s="114">
        <v>0.12844432432399999</v>
      </c>
    </row>
    <row r="327" spans="1:5" x14ac:dyDescent="0.25">
      <c r="A327" s="114">
        <v>1216</v>
      </c>
      <c r="B327" s="114" t="s">
        <v>953</v>
      </c>
      <c r="C327" s="114" t="s">
        <v>322</v>
      </c>
      <c r="D327" s="114">
        <v>0.30457547523</v>
      </c>
      <c r="E327" s="114">
        <v>0.12537027619999999</v>
      </c>
    </row>
    <row r="328" spans="1:5" x14ac:dyDescent="0.25">
      <c r="A328" s="114">
        <v>1217</v>
      </c>
      <c r="B328" s="114" t="s">
        <v>955</v>
      </c>
      <c r="C328" s="114" t="s">
        <v>322</v>
      </c>
      <c r="D328" s="114">
        <v>-0.38276467720000001</v>
      </c>
      <c r="E328" s="114">
        <v>0.140906223281</v>
      </c>
    </row>
    <row r="329" spans="1:5" x14ac:dyDescent="0.25">
      <c r="A329" s="114">
        <v>1223</v>
      </c>
      <c r="B329" s="114" t="s">
        <v>957</v>
      </c>
      <c r="C329" s="114" t="s">
        <v>322</v>
      </c>
      <c r="D329" s="114">
        <v>-1.4817002100000001</v>
      </c>
      <c r="E329" s="114">
        <v>0.30240747331599999</v>
      </c>
    </row>
    <row r="330" spans="1:5" x14ac:dyDescent="0.25">
      <c r="A330" s="114">
        <v>1224</v>
      </c>
      <c r="B330" s="114" t="s">
        <v>959</v>
      </c>
      <c r="C330" s="114" t="s">
        <v>322</v>
      </c>
      <c r="D330" s="114">
        <v>-0.33988648640000002</v>
      </c>
      <c r="E330" s="114">
        <v>0.16831234597600001</v>
      </c>
    </row>
    <row r="331" spans="1:5" x14ac:dyDescent="0.25">
      <c r="A331" s="114">
        <v>1225</v>
      </c>
      <c r="B331" s="114" t="s">
        <v>961</v>
      </c>
      <c r="C331" s="114" t="s">
        <v>322</v>
      </c>
      <c r="D331" s="116">
        <v>-0.68291840380000002</v>
      </c>
      <c r="E331" s="114">
        <v>0.17240332730499999</v>
      </c>
    </row>
    <row r="332" spans="1:5" x14ac:dyDescent="0.25">
      <c r="A332" s="114">
        <v>1226</v>
      </c>
      <c r="B332" s="114" t="s">
        <v>963</v>
      </c>
      <c r="C332" s="114" t="s">
        <v>322</v>
      </c>
      <c r="D332" s="114">
        <v>0.99448337865000003</v>
      </c>
      <c r="E332" s="114">
        <v>0.15731495819800001</v>
      </c>
    </row>
    <row r="333" spans="1:5" x14ac:dyDescent="0.25">
      <c r="A333" s="114">
        <v>1227</v>
      </c>
      <c r="B333" s="114" t="s">
        <v>965</v>
      </c>
      <c r="C333" s="114" t="s">
        <v>322</v>
      </c>
      <c r="D333" s="114">
        <v>-0.24271310230000001</v>
      </c>
      <c r="E333" s="114">
        <v>0.16392749982300001</v>
      </c>
    </row>
    <row r="334" spans="1:5" x14ac:dyDescent="0.25">
      <c r="A334" s="114">
        <v>1234</v>
      </c>
      <c r="B334" s="114" t="s">
        <v>967</v>
      </c>
      <c r="C334" s="114" t="s">
        <v>322</v>
      </c>
      <c r="D334" s="114">
        <v>-0.20743183740000001</v>
      </c>
      <c r="E334" s="114">
        <v>0.117100423075</v>
      </c>
    </row>
    <row r="335" spans="1:5" x14ac:dyDescent="0.25">
      <c r="A335" s="114">
        <v>1235</v>
      </c>
      <c r="B335" s="114" t="s">
        <v>969</v>
      </c>
      <c r="C335" s="114" t="s">
        <v>322</v>
      </c>
      <c r="D335" s="114">
        <v>-0.36285888109999997</v>
      </c>
      <c r="E335" s="114">
        <v>0.112405437792</v>
      </c>
    </row>
    <row r="336" spans="1:5" x14ac:dyDescent="0.25">
      <c r="A336" s="114">
        <v>1236</v>
      </c>
      <c r="B336" s="114" t="s">
        <v>971</v>
      </c>
      <c r="C336" s="114" t="s">
        <v>322</v>
      </c>
      <c r="D336" s="114">
        <v>-0.2258776948</v>
      </c>
      <c r="E336" s="114">
        <v>0.12444983137100001</v>
      </c>
    </row>
    <row r="337" spans="1:5" x14ac:dyDescent="0.25">
      <c r="A337" s="114">
        <v>1237</v>
      </c>
      <c r="B337" s="114" t="s">
        <v>973</v>
      </c>
      <c r="C337" s="114" t="s">
        <v>322</v>
      </c>
      <c r="D337" s="116">
        <v>2.8313275660000001E-2</v>
      </c>
      <c r="E337" s="114">
        <v>0.119295326599</v>
      </c>
    </row>
    <row r="338" spans="1:5" x14ac:dyDescent="0.25">
      <c r="A338" s="114">
        <v>1245</v>
      </c>
      <c r="B338" s="114" t="s">
        <v>975</v>
      </c>
      <c r="C338" s="114" t="s">
        <v>322</v>
      </c>
      <c r="D338" s="114">
        <v>-0.1329433753</v>
      </c>
      <c r="E338" s="116">
        <v>9.2555597037699999E-2</v>
      </c>
    </row>
    <row r="339" spans="1:5" x14ac:dyDescent="0.25">
      <c r="A339" s="114">
        <v>1246</v>
      </c>
      <c r="B339" s="114" t="s">
        <v>977</v>
      </c>
      <c r="C339" s="114" t="s">
        <v>322</v>
      </c>
      <c r="D339" s="116">
        <v>-6.1171239600000003E-2</v>
      </c>
      <c r="E339" s="116">
        <v>9.6713467601799996E-2</v>
      </c>
    </row>
    <row r="340" spans="1:5" x14ac:dyDescent="0.25">
      <c r="A340" s="114">
        <v>1247</v>
      </c>
      <c r="B340" s="114" t="s">
        <v>979</v>
      </c>
      <c r="C340" s="114" t="s">
        <v>322</v>
      </c>
      <c r="D340" s="114">
        <v>-0.2824637109</v>
      </c>
      <c r="E340" s="114">
        <v>0.101774545186</v>
      </c>
    </row>
    <row r="341" spans="1:5" x14ac:dyDescent="0.25">
      <c r="A341" s="114">
        <v>1256</v>
      </c>
      <c r="B341" s="114" t="s">
        <v>981</v>
      </c>
      <c r="C341" s="114" t="s">
        <v>322</v>
      </c>
      <c r="D341" s="114">
        <v>-0.42730825519999999</v>
      </c>
      <c r="E341" s="116">
        <v>9.4716660515799994E-2</v>
      </c>
    </row>
    <row r="342" spans="1:5" x14ac:dyDescent="0.25">
      <c r="A342" s="114">
        <v>1257</v>
      </c>
      <c r="B342" s="114" t="s">
        <v>983</v>
      </c>
      <c r="C342" s="114" t="s">
        <v>322</v>
      </c>
      <c r="D342" s="114">
        <v>-0.39541283999999999</v>
      </c>
      <c r="E342" s="116">
        <v>9.6951635793800006E-2</v>
      </c>
    </row>
    <row r="343" spans="1:5" x14ac:dyDescent="0.25">
      <c r="A343" s="114">
        <v>1311</v>
      </c>
      <c r="B343" s="114" t="s">
        <v>985</v>
      </c>
      <c r="C343" s="114" t="s">
        <v>322</v>
      </c>
      <c r="D343" s="114">
        <v>-2.3636261104999998</v>
      </c>
      <c r="E343" s="114">
        <v>0.26159749466999999</v>
      </c>
    </row>
    <row r="344" spans="1:5" x14ac:dyDescent="0.25">
      <c r="A344" s="114">
        <v>1312</v>
      </c>
      <c r="B344" s="114" t="s">
        <v>987</v>
      </c>
      <c r="C344" s="114" t="s">
        <v>322</v>
      </c>
      <c r="D344" s="114">
        <v>-3.3984471460000001</v>
      </c>
      <c r="E344" s="114">
        <v>0.43260065385000002</v>
      </c>
    </row>
    <row r="345" spans="1:5" x14ac:dyDescent="0.25">
      <c r="A345" s="114">
        <v>1313</v>
      </c>
      <c r="B345" s="114" t="s">
        <v>989</v>
      </c>
      <c r="C345" s="114" t="s">
        <v>322</v>
      </c>
      <c r="D345" s="114">
        <v>-4.0690844656999996</v>
      </c>
      <c r="E345" s="114">
        <v>0.55996133553899996</v>
      </c>
    </row>
    <row r="346" spans="1:5" x14ac:dyDescent="0.25">
      <c r="A346" s="114">
        <v>1321</v>
      </c>
      <c r="B346" s="114" t="s">
        <v>991</v>
      </c>
      <c r="C346" s="114" t="s">
        <v>322</v>
      </c>
      <c r="D346" s="114">
        <v>-2.3291602994999998</v>
      </c>
      <c r="E346" s="114">
        <v>0.26719795233900001</v>
      </c>
    </row>
    <row r="347" spans="1:5" x14ac:dyDescent="0.25">
      <c r="A347" s="114">
        <v>1322</v>
      </c>
      <c r="B347" s="114" t="s">
        <v>993</v>
      </c>
      <c r="C347" s="114" t="s">
        <v>322</v>
      </c>
      <c r="D347" s="114">
        <v>-3.3320340260000001</v>
      </c>
      <c r="E347" s="114">
        <v>0.440526301881</v>
      </c>
    </row>
    <row r="348" spans="1:5" x14ac:dyDescent="0.25">
      <c r="A348" s="114">
        <v>1323</v>
      </c>
      <c r="B348" s="114" t="s">
        <v>995</v>
      </c>
      <c r="C348" s="114" t="s">
        <v>322</v>
      </c>
      <c r="D348" s="114">
        <v>-3.9915902374000001</v>
      </c>
      <c r="E348" s="114">
        <v>0.56006325351800001</v>
      </c>
    </row>
    <row r="349" spans="1:5" x14ac:dyDescent="0.25">
      <c r="A349" s="114">
        <v>1331</v>
      </c>
      <c r="B349" s="114" t="s">
        <v>997</v>
      </c>
      <c r="C349" s="114" t="s">
        <v>322</v>
      </c>
      <c r="D349" s="116">
        <v>-2.2118895960999998</v>
      </c>
      <c r="E349" s="114">
        <v>0.29568814713199998</v>
      </c>
    </row>
    <row r="350" spans="1:5" x14ac:dyDescent="0.25">
      <c r="A350" s="114">
        <v>1332</v>
      </c>
      <c r="B350" s="114" t="s">
        <v>999</v>
      </c>
      <c r="C350" s="114" t="s">
        <v>322</v>
      </c>
      <c r="D350" s="114">
        <v>-3.4027467696000002</v>
      </c>
      <c r="E350" s="114">
        <v>0.47619924050500001</v>
      </c>
    </row>
    <row r="351" spans="1:5" x14ac:dyDescent="0.25">
      <c r="A351" s="114">
        <v>1401</v>
      </c>
      <c r="B351" s="114" t="s">
        <v>1001</v>
      </c>
      <c r="C351" s="114" t="s">
        <v>322</v>
      </c>
      <c r="D351" s="114">
        <v>0.10537239274</v>
      </c>
      <c r="E351" s="116">
        <v>5.6203809980199998E-2</v>
      </c>
    </row>
    <row r="352" spans="1:5" x14ac:dyDescent="0.25">
      <c r="A352" s="114">
        <v>1402</v>
      </c>
      <c r="B352" s="114" t="s">
        <v>1003</v>
      </c>
      <c r="C352" s="114" t="s">
        <v>322</v>
      </c>
      <c r="D352" s="114">
        <v>-1.9733408504000001</v>
      </c>
      <c r="E352" s="114">
        <v>0.58505984208600004</v>
      </c>
    </row>
    <row r="353" spans="1:5" x14ac:dyDescent="0.25">
      <c r="A353" s="114">
        <v>1403</v>
      </c>
      <c r="B353" s="114" t="s">
        <v>1005</v>
      </c>
      <c r="C353" s="114" t="s">
        <v>322</v>
      </c>
      <c r="D353" s="116">
        <v>-9.4848733599999999E-2</v>
      </c>
      <c r="E353" s="114">
        <v>0.121263990174</v>
      </c>
    </row>
    <row r="354" spans="1:5" x14ac:dyDescent="0.25">
      <c r="A354" s="114">
        <v>1404</v>
      </c>
      <c r="B354" s="114" t="s">
        <v>1007</v>
      </c>
      <c r="C354" s="114" t="s">
        <v>322</v>
      </c>
      <c r="D354" s="114">
        <v>-0.32757978389999998</v>
      </c>
      <c r="E354" s="114">
        <v>0.23597025621500001</v>
      </c>
    </row>
    <row r="355" spans="1:5" x14ac:dyDescent="0.25">
      <c r="A355" s="114">
        <v>1405</v>
      </c>
      <c r="B355" s="114" t="s">
        <v>1009</v>
      </c>
      <c r="C355" s="114" t="s">
        <v>322</v>
      </c>
      <c r="D355" s="116">
        <v>5.1200791000000003E-4</v>
      </c>
      <c r="E355" s="116">
        <v>1.26118970231E-2</v>
      </c>
    </row>
    <row r="356" spans="1:5" x14ac:dyDescent="0.25">
      <c r="A356" s="114">
        <v>1411</v>
      </c>
      <c r="B356" s="114" t="s">
        <v>1011</v>
      </c>
      <c r="C356" s="114" t="s">
        <v>322</v>
      </c>
      <c r="D356" s="114">
        <v>0.12070867719</v>
      </c>
      <c r="E356" s="116">
        <v>5.8239649853899997E-2</v>
      </c>
    </row>
    <row r="357" spans="1:5" x14ac:dyDescent="0.25">
      <c r="A357" s="114">
        <v>1412</v>
      </c>
      <c r="B357" s="114" t="s">
        <v>1013</v>
      </c>
      <c r="C357" s="114" t="s">
        <v>322</v>
      </c>
      <c r="D357" s="114">
        <v>1.43935300972</v>
      </c>
      <c r="E357" s="114">
        <v>0.595270872565</v>
      </c>
    </row>
    <row r="358" spans="1:5" x14ac:dyDescent="0.25">
      <c r="A358" s="114">
        <v>1413</v>
      </c>
      <c r="B358" s="114" t="s">
        <v>1015</v>
      </c>
      <c r="C358" s="114" t="s">
        <v>322</v>
      </c>
      <c r="D358" s="116">
        <v>5.888936828E-2</v>
      </c>
      <c r="E358" s="114">
        <v>0.115722073385</v>
      </c>
    </row>
    <row r="359" spans="1:5" x14ac:dyDescent="0.25">
      <c r="A359" s="114">
        <v>1414</v>
      </c>
      <c r="B359" s="114" t="s">
        <v>1017</v>
      </c>
      <c r="C359" s="114" t="s">
        <v>322</v>
      </c>
      <c r="D359" s="114">
        <v>-0.41526082279999998</v>
      </c>
      <c r="E359" s="114">
        <v>0.21446093834999999</v>
      </c>
    </row>
    <row r="360" spans="1:5" x14ac:dyDescent="0.25">
      <c r="A360" s="114">
        <v>1415</v>
      </c>
      <c r="B360" s="114" t="s">
        <v>1019</v>
      </c>
      <c r="C360" s="114" t="s">
        <v>322</v>
      </c>
      <c r="D360" s="116">
        <v>0.12545998499</v>
      </c>
      <c r="E360" s="116">
        <v>1.25459984988E-2</v>
      </c>
    </row>
    <row r="361" spans="1:5" x14ac:dyDescent="0.25">
      <c r="A361" s="114">
        <v>-1</v>
      </c>
    </row>
    <row r="362" spans="1:5" x14ac:dyDescent="0.25">
      <c r="A362" s="114">
        <v>1</v>
      </c>
      <c r="B362" s="114" t="s">
        <v>1527</v>
      </c>
      <c r="C362" s="116">
        <v>952</v>
      </c>
      <c r="D362" s="116" t="s">
        <v>3985</v>
      </c>
      <c r="E362" s="116" t="s">
        <v>3986</v>
      </c>
    </row>
    <row r="363" spans="1:5" x14ac:dyDescent="0.25">
      <c r="A363" s="114">
        <v>4</v>
      </c>
      <c r="B363" s="114" t="s">
        <v>1528</v>
      </c>
      <c r="C363" s="114">
        <v>40</v>
      </c>
      <c r="D363" s="114" t="s">
        <v>1529</v>
      </c>
    </row>
    <row r="364" spans="1:5" x14ac:dyDescent="0.25">
      <c r="A364" s="114">
        <v>13</v>
      </c>
      <c r="B364" s="114" t="s">
        <v>1530</v>
      </c>
      <c r="C364" s="114" t="s">
        <v>1072</v>
      </c>
      <c r="D364" s="114" t="s">
        <v>3987</v>
      </c>
      <c r="E364" s="114" t="s">
        <v>3988</v>
      </c>
    </row>
    <row r="365" spans="1:5" x14ac:dyDescent="0.25">
      <c r="B365" s="114" t="s">
        <v>1073</v>
      </c>
      <c r="D365" s="114" t="s">
        <v>1073</v>
      </c>
      <c r="E365" s="114" t="s">
        <v>3989</v>
      </c>
    </row>
    <row r="366" spans="1:5" x14ac:dyDescent="0.25">
      <c r="B366" s="114" t="s">
        <v>1073</v>
      </c>
      <c r="D366" s="114" t="s">
        <v>1073</v>
      </c>
      <c r="E366" s="114" t="s">
        <v>3990</v>
      </c>
    </row>
    <row r="367" spans="1:5" x14ac:dyDescent="0.25">
      <c r="A367" s="114">
        <v>6</v>
      </c>
      <c r="B367" s="114" t="s">
        <v>1531</v>
      </c>
      <c r="D367" s="114" t="s">
        <v>3991</v>
      </c>
      <c r="E367" s="114" t="s">
        <v>3992</v>
      </c>
    </row>
    <row r="368" spans="1:5" x14ac:dyDescent="0.25">
      <c r="B368" s="114" t="s">
        <v>1073</v>
      </c>
      <c r="D368" s="114" t="s">
        <v>1073</v>
      </c>
      <c r="E368" s="114" t="s">
        <v>3993</v>
      </c>
    </row>
    <row r="369" spans="1:5" x14ac:dyDescent="0.25">
      <c r="B369" s="114" t="s">
        <v>1073</v>
      </c>
      <c r="D369" s="114" t="s">
        <v>1073</v>
      </c>
      <c r="E369" s="114" t="s">
        <v>3993</v>
      </c>
    </row>
    <row r="370" spans="1:5" x14ac:dyDescent="0.25">
      <c r="B370" s="114" t="s">
        <v>1073</v>
      </c>
      <c r="D370" s="114" t="s">
        <v>1073</v>
      </c>
      <c r="E370" s="114" t="s">
        <v>3994</v>
      </c>
    </row>
    <row r="371" spans="1:5" x14ac:dyDescent="0.25">
      <c r="B371" s="114" t="s">
        <v>1073</v>
      </c>
      <c r="D371" s="114" t="s">
        <v>3995</v>
      </c>
      <c r="E371" s="114" t="s">
        <v>3996</v>
      </c>
    </row>
    <row r="372" spans="1:5" x14ac:dyDescent="0.25">
      <c r="A372" s="114">
        <v>-8</v>
      </c>
      <c r="B372" s="114" t="s">
        <v>1532</v>
      </c>
      <c r="D372" s="114" t="s">
        <v>3997</v>
      </c>
      <c r="E372" s="114" t="s">
        <v>3998</v>
      </c>
    </row>
    <row r="373" spans="1:5" x14ac:dyDescent="0.25">
      <c r="A373" s="114">
        <v>-16</v>
      </c>
      <c r="B373" s="114" t="s">
        <v>1119</v>
      </c>
      <c r="D373" s="114" t="s">
        <v>1073</v>
      </c>
      <c r="E373" s="114" t="s">
        <v>3993</v>
      </c>
    </row>
    <row r="374" spans="1:5" x14ac:dyDescent="0.25">
      <c r="B374" s="114" t="s">
        <v>1073</v>
      </c>
      <c r="D374" s="114" t="s">
        <v>1073</v>
      </c>
      <c r="E374" s="114" t="s">
        <v>3993</v>
      </c>
    </row>
    <row r="375" spans="1:5" x14ac:dyDescent="0.25">
      <c r="B375" s="114" t="s">
        <v>1073</v>
      </c>
      <c r="D375" s="114" t="s">
        <v>1073</v>
      </c>
      <c r="E375" s="114" t="s">
        <v>3993</v>
      </c>
    </row>
    <row r="376" spans="1:5" x14ac:dyDescent="0.25">
      <c r="B376" s="114" t="s">
        <v>1073</v>
      </c>
      <c r="D376" s="114" t="s">
        <v>1073</v>
      </c>
      <c r="E376" s="114" t="s">
        <v>3993</v>
      </c>
    </row>
    <row r="377" spans="1:5" x14ac:dyDescent="0.25">
      <c r="B377" s="114" t="s">
        <v>1073</v>
      </c>
      <c r="D377" s="114" t="s">
        <v>1073</v>
      </c>
      <c r="E377" s="114" t="s">
        <v>3993</v>
      </c>
    </row>
    <row r="378" spans="1:5" x14ac:dyDescent="0.25">
      <c r="B378" s="114" t="s">
        <v>1073</v>
      </c>
      <c r="D378" s="114" t="s">
        <v>1073</v>
      </c>
      <c r="E378" s="114" t="s">
        <v>3993</v>
      </c>
    </row>
    <row r="379" spans="1:5" x14ac:dyDescent="0.25">
      <c r="B379" s="114" t="s">
        <v>1073</v>
      </c>
      <c r="D379" s="114" t="s">
        <v>1073</v>
      </c>
      <c r="E379" s="114" t="s">
        <v>3993</v>
      </c>
    </row>
    <row r="380" spans="1:5" x14ac:dyDescent="0.25">
      <c r="B380" s="114" t="s">
        <v>1073</v>
      </c>
      <c r="D380" s="114" t="s">
        <v>1073</v>
      </c>
      <c r="E380" s="114" t="s">
        <v>3993</v>
      </c>
    </row>
    <row r="381" spans="1:5" x14ac:dyDescent="0.25">
      <c r="B381" s="114" t="s">
        <v>1073</v>
      </c>
      <c r="D381" s="116" t="s">
        <v>1073</v>
      </c>
      <c r="E381" s="116" t="s">
        <v>3993</v>
      </c>
    </row>
    <row r="382" spans="1:5" x14ac:dyDescent="0.25">
      <c r="B382" s="114" t="s">
        <v>1073</v>
      </c>
      <c r="D382" s="114" t="s">
        <v>1073</v>
      </c>
      <c r="E382" s="114" t="s">
        <v>3993</v>
      </c>
    </row>
    <row r="383" spans="1:5" x14ac:dyDescent="0.25">
      <c r="B383" s="114" t="s">
        <v>1073</v>
      </c>
      <c r="D383" s="114" t="s">
        <v>1073</v>
      </c>
      <c r="E383" s="114" t="s">
        <v>3993</v>
      </c>
    </row>
    <row r="384" spans="1:5" x14ac:dyDescent="0.25">
      <c r="B384" s="114" t="s">
        <v>1073</v>
      </c>
      <c r="D384" s="114" t="s">
        <v>1073</v>
      </c>
      <c r="E384" s="114" t="s">
        <v>3993</v>
      </c>
    </row>
    <row r="385" spans="2:5" x14ac:dyDescent="0.25">
      <c r="B385" s="114" t="s">
        <v>1073</v>
      </c>
      <c r="D385" s="116" t="s">
        <v>1073</v>
      </c>
      <c r="E385" s="116" t="s">
        <v>3993</v>
      </c>
    </row>
    <row r="386" spans="2:5" x14ac:dyDescent="0.25">
      <c r="B386" s="114" t="s">
        <v>1073</v>
      </c>
      <c r="D386" s="114" t="s">
        <v>1073</v>
      </c>
      <c r="E386" s="114" t="s">
        <v>3993</v>
      </c>
    </row>
    <row r="387" spans="2:5" x14ac:dyDescent="0.25">
      <c r="B387" s="114" t="s">
        <v>1533</v>
      </c>
      <c r="C387" s="114" t="s">
        <v>1072</v>
      </c>
      <c r="D387" s="114" t="s">
        <v>3999</v>
      </c>
      <c r="E387" s="116" t="s">
        <v>4000</v>
      </c>
    </row>
    <row r="388" spans="2:5" x14ac:dyDescent="0.25">
      <c r="B388" s="114" t="s">
        <v>1073</v>
      </c>
      <c r="D388" s="114" t="s">
        <v>4001</v>
      </c>
      <c r="E388" s="114" t="s">
        <v>4002</v>
      </c>
    </row>
    <row r="389" spans="2:5" x14ac:dyDescent="0.25">
      <c r="B389" s="114" t="s">
        <v>1073</v>
      </c>
      <c r="D389" s="114" t="s">
        <v>4003</v>
      </c>
      <c r="E389" s="114" t="s">
        <v>4004</v>
      </c>
    </row>
    <row r="390" spans="2:5" x14ac:dyDescent="0.25">
      <c r="B390" s="114" t="s">
        <v>1534</v>
      </c>
      <c r="D390" s="114" t="s">
        <v>1073</v>
      </c>
      <c r="E390" s="114" t="s">
        <v>4005</v>
      </c>
    </row>
    <row r="391" spans="2:5" x14ac:dyDescent="0.25">
      <c r="B391" s="114" t="s">
        <v>1073</v>
      </c>
      <c r="D391" s="116" t="s">
        <v>1073</v>
      </c>
      <c r="E391" s="116" t="s">
        <v>4006</v>
      </c>
    </row>
    <row r="392" spans="2:5" x14ac:dyDescent="0.25">
      <c r="B392" s="114" t="s">
        <v>1073</v>
      </c>
      <c r="D392" s="114" t="s">
        <v>1073</v>
      </c>
      <c r="E392" s="114" t="s">
        <v>3993</v>
      </c>
    </row>
    <row r="393" spans="2:5" x14ac:dyDescent="0.25">
      <c r="B393" s="114" t="s">
        <v>1073</v>
      </c>
      <c r="D393" s="114" t="s">
        <v>1073</v>
      </c>
      <c r="E393" s="114" t="s">
        <v>3993</v>
      </c>
    </row>
    <row r="394" spans="2:5" x14ac:dyDescent="0.25">
      <c r="B394" s="114" t="s">
        <v>1073</v>
      </c>
      <c r="C394" s="116"/>
      <c r="D394" s="116" t="s">
        <v>1073</v>
      </c>
      <c r="E394" s="116" t="s">
        <v>3993</v>
      </c>
    </row>
    <row r="395" spans="2:5" x14ac:dyDescent="0.25">
      <c r="B395" s="114" t="s">
        <v>1073</v>
      </c>
      <c r="D395" s="115" t="s">
        <v>1073</v>
      </c>
      <c r="E395" s="114" t="s">
        <v>3993</v>
      </c>
    </row>
    <row r="396" spans="2:5" x14ac:dyDescent="0.25">
      <c r="B396" s="114" t="s">
        <v>1073</v>
      </c>
      <c r="D396" s="114" t="s">
        <v>1073</v>
      </c>
      <c r="E396" s="114" t="s">
        <v>4007</v>
      </c>
    </row>
    <row r="397" spans="2:5" x14ac:dyDescent="0.25">
      <c r="B397" s="114" t="s">
        <v>1535</v>
      </c>
      <c r="D397" s="114" t="s">
        <v>4008</v>
      </c>
      <c r="E397" s="114" t="s">
        <v>4009</v>
      </c>
    </row>
    <row r="398" spans="2:5" x14ac:dyDescent="0.25">
      <c r="B398" s="114" t="s">
        <v>1073</v>
      </c>
      <c r="D398" s="114" t="s">
        <v>1073</v>
      </c>
      <c r="E398" s="114" t="s">
        <v>4010</v>
      </c>
    </row>
    <row r="399" spans="2:5" x14ac:dyDescent="0.25">
      <c r="B399" s="114" t="s">
        <v>1536</v>
      </c>
      <c r="C399" s="114">
        <v>4</v>
      </c>
      <c r="D399" s="114" t="s">
        <v>4011</v>
      </c>
      <c r="E399" s="114" t="s">
        <v>4012</v>
      </c>
    </row>
    <row r="400" spans="2:5" x14ac:dyDescent="0.25">
      <c r="B400" s="114" t="s">
        <v>1073</v>
      </c>
      <c r="D400" s="114" t="s">
        <v>4013</v>
      </c>
      <c r="E400" s="114" t="s">
        <v>4014</v>
      </c>
    </row>
    <row r="401" spans="1:5" x14ac:dyDescent="0.25">
      <c r="B401" s="114" t="s">
        <v>1073</v>
      </c>
      <c r="D401" s="114" t="s">
        <v>4015</v>
      </c>
      <c r="E401" s="114" t="s">
        <v>4016</v>
      </c>
    </row>
    <row r="402" spans="1:5" x14ac:dyDescent="0.25">
      <c r="A402" s="114">
        <v>-5</v>
      </c>
      <c r="B402" s="114" t="s">
        <v>1537</v>
      </c>
      <c r="D402" s="114" t="s">
        <v>4017</v>
      </c>
      <c r="E402" s="114" t="s">
        <v>4018</v>
      </c>
    </row>
    <row r="403" spans="1:5" x14ac:dyDescent="0.25">
      <c r="A403" s="114">
        <v>1</v>
      </c>
      <c r="B403" s="114" t="s">
        <v>1538</v>
      </c>
      <c r="D403" s="114" t="s">
        <v>1073</v>
      </c>
      <c r="E403" s="114" t="s">
        <v>3993</v>
      </c>
    </row>
    <row r="404" spans="1:5" x14ac:dyDescent="0.25">
      <c r="A404" s="114">
        <v>-1</v>
      </c>
      <c r="B404" s="114" t="s">
        <v>1539</v>
      </c>
      <c r="D404" s="114" t="s">
        <v>4019</v>
      </c>
      <c r="E404" s="114" t="s">
        <v>4020</v>
      </c>
    </row>
    <row r="405" spans="1:5" x14ac:dyDescent="0.25">
      <c r="B405" s="114" t="s">
        <v>1073</v>
      </c>
      <c r="D405" s="114" t="s">
        <v>4021</v>
      </c>
      <c r="E405" s="114" t="s">
        <v>4022</v>
      </c>
    </row>
    <row r="406" spans="1:5" x14ac:dyDescent="0.25">
      <c r="B406" s="114" t="s">
        <v>1073</v>
      </c>
      <c r="D406" s="114" t="s">
        <v>1073</v>
      </c>
      <c r="E406" s="114" t="s">
        <v>4023</v>
      </c>
    </row>
    <row r="407" spans="1:5" x14ac:dyDescent="0.25">
      <c r="B407" s="114" t="s">
        <v>1073</v>
      </c>
      <c r="C407" s="114">
        <v>-4</v>
      </c>
      <c r="D407" s="114" t="s">
        <v>4024</v>
      </c>
      <c r="E407" s="114" t="s">
        <v>4025</v>
      </c>
    </row>
    <row r="408" spans="1:5" x14ac:dyDescent="0.25">
      <c r="B408" s="114" t="s">
        <v>1540</v>
      </c>
      <c r="D408" s="114" t="s">
        <v>1460</v>
      </c>
      <c r="E408" s="114" t="s">
        <v>4026</v>
      </c>
    </row>
    <row r="409" spans="1:5" x14ac:dyDescent="0.25">
      <c r="B409" s="114" t="s">
        <v>1073</v>
      </c>
      <c r="D409" s="114" t="s">
        <v>1073</v>
      </c>
      <c r="E409" s="114" t="s">
        <v>4027</v>
      </c>
    </row>
    <row r="410" spans="1:5" x14ac:dyDescent="0.25">
      <c r="B410" s="114" t="s">
        <v>1541</v>
      </c>
      <c r="C410" s="114">
        <v>-1</v>
      </c>
      <c r="D410" s="114" t="s">
        <v>4028</v>
      </c>
      <c r="E410" s="114" t="s">
        <v>4029</v>
      </c>
    </row>
    <row r="411" spans="1:5" x14ac:dyDescent="0.25">
      <c r="B411" s="114" t="s">
        <v>1134</v>
      </c>
      <c r="D411" s="114" t="s">
        <v>4030</v>
      </c>
      <c r="E411" s="114" t="s">
        <v>4031</v>
      </c>
    </row>
    <row r="412" spans="1:5" x14ac:dyDescent="0.25">
      <c r="B412" s="114" t="s">
        <v>1073</v>
      </c>
      <c r="D412" s="114" t="s">
        <v>1073</v>
      </c>
      <c r="E412" s="114" t="s">
        <v>4032</v>
      </c>
    </row>
    <row r="413" spans="1:5" x14ac:dyDescent="0.25">
      <c r="B413" s="114" t="s">
        <v>1542</v>
      </c>
      <c r="C413" s="114" t="s">
        <v>1072</v>
      </c>
      <c r="D413" s="114" t="s">
        <v>4033</v>
      </c>
      <c r="E413" s="114" t="s">
        <v>4034</v>
      </c>
    </row>
    <row r="414" spans="1:5" x14ac:dyDescent="0.25">
      <c r="B414" s="114" t="s">
        <v>1073</v>
      </c>
      <c r="D414" s="114" t="s">
        <v>1073</v>
      </c>
      <c r="E414" s="114" t="s">
        <v>3993</v>
      </c>
    </row>
    <row r="415" spans="1:5" x14ac:dyDescent="0.25">
      <c r="B415" s="114" t="s">
        <v>1073</v>
      </c>
      <c r="D415" s="114" t="s">
        <v>1073</v>
      </c>
      <c r="E415" s="114" t="s">
        <v>3993</v>
      </c>
    </row>
    <row r="416" spans="1:5" x14ac:dyDescent="0.25">
      <c r="B416" s="114" t="s">
        <v>1073</v>
      </c>
      <c r="D416" s="114" t="s">
        <v>1073</v>
      </c>
      <c r="E416" s="114" t="s">
        <v>3993</v>
      </c>
    </row>
    <row r="417" spans="2:5" x14ac:dyDescent="0.25">
      <c r="B417" s="114" t="s">
        <v>1073</v>
      </c>
      <c r="D417" s="114" t="s">
        <v>1073</v>
      </c>
      <c r="E417" s="114" t="s">
        <v>3993</v>
      </c>
    </row>
    <row r="418" spans="2:5" x14ac:dyDescent="0.25">
      <c r="B418" s="114" t="s">
        <v>1073</v>
      </c>
      <c r="D418" s="114" t="s">
        <v>1073</v>
      </c>
      <c r="E418" s="114" t="s">
        <v>3993</v>
      </c>
    </row>
    <row r="419" spans="2:5" x14ac:dyDescent="0.25">
      <c r="B419" s="114" t="s">
        <v>1073</v>
      </c>
      <c r="D419" s="114" t="s">
        <v>1073</v>
      </c>
      <c r="E419" s="114" t="s">
        <v>3993</v>
      </c>
    </row>
    <row r="420" spans="2:5" x14ac:dyDescent="0.25">
      <c r="B420" s="114" t="s">
        <v>1073</v>
      </c>
      <c r="D420" s="114" t="s">
        <v>1073</v>
      </c>
      <c r="E420" s="114" t="s">
        <v>3993</v>
      </c>
    </row>
    <row r="421" spans="2:5" x14ac:dyDescent="0.25">
      <c r="B421" s="114" t="s">
        <v>1073</v>
      </c>
      <c r="D421" s="114" t="s">
        <v>1073</v>
      </c>
      <c r="E421" s="114" t="s">
        <v>3993</v>
      </c>
    </row>
    <row r="422" spans="2:5" x14ac:dyDescent="0.25">
      <c r="B422" s="114" t="s">
        <v>1073</v>
      </c>
      <c r="D422" s="114" t="s">
        <v>1073</v>
      </c>
      <c r="E422" s="114" t="s">
        <v>3993</v>
      </c>
    </row>
    <row r="423" spans="2:5" x14ac:dyDescent="0.25">
      <c r="B423" s="114" t="s">
        <v>1073</v>
      </c>
      <c r="D423" s="114" t="s">
        <v>1073</v>
      </c>
      <c r="E423" s="114" t="s">
        <v>4035</v>
      </c>
    </row>
    <row r="424" spans="2:5" x14ac:dyDescent="0.25">
      <c r="B424" s="114" t="s">
        <v>1543</v>
      </c>
      <c r="D424" s="114" t="s">
        <v>4036</v>
      </c>
      <c r="E424" s="114" t="s">
        <v>4037</v>
      </c>
    </row>
    <row r="425" spans="2:5" x14ac:dyDescent="0.25">
      <c r="B425" s="114" t="s">
        <v>1073</v>
      </c>
      <c r="D425" s="114" t="s">
        <v>1073</v>
      </c>
      <c r="E425" s="114" t="s">
        <v>4038</v>
      </c>
    </row>
    <row r="426" spans="2:5" x14ac:dyDescent="0.25">
      <c r="B426" s="114" t="s">
        <v>1544</v>
      </c>
      <c r="C426" s="114">
        <v>-1</v>
      </c>
      <c r="D426" s="114" t="s">
        <v>4039</v>
      </c>
      <c r="E426" s="114" t="s">
        <v>4040</v>
      </c>
    </row>
    <row r="427" spans="2:5" x14ac:dyDescent="0.25">
      <c r="B427" s="114" t="s">
        <v>1073</v>
      </c>
      <c r="D427" s="114" t="s">
        <v>1073</v>
      </c>
      <c r="E427" s="114" t="s">
        <v>3993</v>
      </c>
    </row>
    <row r="428" spans="2:5" x14ac:dyDescent="0.25">
      <c r="B428" s="114" t="s">
        <v>1073</v>
      </c>
      <c r="D428" s="114" t="s">
        <v>1073</v>
      </c>
      <c r="E428" s="114" t="s">
        <v>3993</v>
      </c>
    </row>
    <row r="429" spans="2:5" x14ac:dyDescent="0.25">
      <c r="B429" s="114" t="s">
        <v>1073</v>
      </c>
      <c r="D429" s="114" t="s">
        <v>1073</v>
      </c>
      <c r="E429" s="114" t="s">
        <v>3993</v>
      </c>
    </row>
    <row r="430" spans="2:5" x14ac:dyDescent="0.25">
      <c r="B430" s="114" t="s">
        <v>1073</v>
      </c>
      <c r="D430" s="114" t="s">
        <v>1073</v>
      </c>
      <c r="E430" s="114" t="s">
        <v>3993</v>
      </c>
    </row>
    <row r="431" spans="2:5" x14ac:dyDescent="0.25">
      <c r="B431" s="114" t="s">
        <v>1073</v>
      </c>
      <c r="D431" s="114" t="s">
        <v>1073</v>
      </c>
      <c r="E431" s="114" t="s">
        <v>3993</v>
      </c>
    </row>
    <row r="432" spans="2:5" x14ac:dyDescent="0.25">
      <c r="B432" s="114" t="s">
        <v>1073</v>
      </c>
      <c r="D432" s="114" t="s">
        <v>1073</v>
      </c>
      <c r="E432" s="114" t="s">
        <v>3993</v>
      </c>
    </row>
    <row r="433" spans="1:5" x14ac:dyDescent="0.25">
      <c r="B433" s="114" t="s">
        <v>1073</v>
      </c>
      <c r="D433" s="114" t="s">
        <v>1073</v>
      </c>
      <c r="E433" s="114" t="s">
        <v>3993</v>
      </c>
    </row>
    <row r="434" spans="1:5" x14ac:dyDescent="0.25">
      <c r="B434" s="114" t="s">
        <v>1073</v>
      </c>
      <c r="D434" s="114" t="s">
        <v>1073</v>
      </c>
      <c r="E434" s="114" t="s">
        <v>3993</v>
      </c>
    </row>
    <row r="435" spans="1:5" x14ac:dyDescent="0.25">
      <c r="B435" s="114" t="s">
        <v>1073</v>
      </c>
      <c r="D435" s="114" t="s">
        <v>1073</v>
      </c>
      <c r="E435" s="114" t="s">
        <v>3993</v>
      </c>
    </row>
    <row r="436" spans="1:5" x14ac:dyDescent="0.25">
      <c r="B436" s="114" t="s">
        <v>1073</v>
      </c>
      <c r="D436" s="114" t="s">
        <v>1073</v>
      </c>
      <c r="E436" s="114" t="s">
        <v>3993</v>
      </c>
    </row>
    <row r="437" spans="1:5" x14ac:dyDescent="0.25">
      <c r="B437" s="114" t="s">
        <v>1073</v>
      </c>
      <c r="D437" s="114" t="s">
        <v>1073</v>
      </c>
      <c r="E437" s="114" t="s">
        <v>3993</v>
      </c>
    </row>
    <row r="438" spans="1:5" x14ac:dyDescent="0.25">
      <c r="B438" s="114" t="s">
        <v>1164</v>
      </c>
      <c r="D438" s="114" t="s">
        <v>4041</v>
      </c>
      <c r="E438" s="114" t="s">
        <v>4042</v>
      </c>
    </row>
    <row r="439" spans="1:5" x14ac:dyDescent="0.25">
      <c r="B439" s="114" t="s">
        <v>1073</v>
      </c>
      <c r="D439" s="114" t="s">
        <v>4043</v>
      </c>
      <c r="E439" s="114" t="s">
        <v>4044</v>
      </c>
    </row>
    <row r="440" spans="1:5" x14ac:dyDescent="0.25">
      <c r="B440" s="114" t="s">
        <v>1073</v>
      </c>
      <c r="D440" s="114" t="s">
        <v>4045</v>
      </c>
      <c r="E440" s="114" t="s">
        <v>4046</v>
      </c>
    </row>
    <row r="441" spans="1:5" x14ac:dyDescent="0.25">
      <c r="A441" s="114">
        <v>4</v>
      </c>
      <c r="B441" s="114" t="s">
        <v>1545</v>
      </c>
      <c r="D441" s="114" t="s">
        <v>4047</v>
      </c>
      <c r="E441" s="114" t="s">
        <v>4048</v>
      </c>
    </row>
    <row r="442" spans="1:5" x14ac:dyDescent="0.25">
      <c r="B442" s="114" t="s">
        <v>1073</v>
      </c>
      <c r="D442" s="114" t="s">
        <v>1073</v>
      </c>
      <c r="E442" s="114" t="s">
        <v>3993</v>
      </c>
    </row>
    <row r="443" spans="1:5" x14ac:dyDescent="0.25">
      <c r="B443" s="114" t="s">
        <v>1073</v>
      </c>
      <c r="D443" s="114" t="s">
        <v>1073</v>
      </c>
      <c r="E443" s="114" t="s">
        <v>3993</v>
      </c>
    </row>
    <row r="444" spans="1:5" x14ac:dyDescent="0.25">
      <c r="B444" s="114" t="s">
        <v>1073</v>
      </c>
      <c r="D444" s="114" t="s">
        <v>1073</v>
      </c>
      <c r="E444" s="114" t="s">
        <v>3993</v>
      </c>
    </row>
    <row r="445" spans="1:5" x14ac:dyDescent="0.25">
      <c r="B445" s="114" t="s">
        <v>1073</v>
      </c>
      <c r="D445" s="114" t="s">
        <v>1073</v>
      </c>
      <c r="E445" s="114" t="s">
        <v>3993</v>
      </c>
    </row>
    <row r="446" spans="1:5" x14ac:dyDescent="0.25">
      <c r="B446" s="114" t="s">
        <v>1073</v>
      </c>
      <c r="D446" s="114" t="s">
        <v>1073</v>
      </c>
      <c r="E446" s="114" t="s">
        <v>3993</v>
      </c>
    </row>
    <row r="447" spans="1:5" x14ac:dyDescent="0.25">
      <c r="B447" s="114" t="s">
        <v>1073</v>
      </c>
      <c r="D447" s="114" t="s">
        <v>1073</v>
      </c>
      <c r="E447" s="114" t="s">
        <v>3993</v>
      </c>
    </row>
    <row r="448" spans="1:5" x14ac:dyDescent="0.25">
      <c r="B448" s="114" t="s">
        <v>1073</v>
      </c>
      <c r="D448" s="114" t="s">
        <v>1073</v>
      </c>
      <c r="E448" s="114" t="s">
        <v>3993</v>
      </c>
    </row>
    <row r="449" spans="1:5" x14ac:dyDescent="0.25">
      <c r="B449" s="114" t="s">
        <v>1073</v>
      </c>
      <c r="D449" s="114" t="s">
        <v>1073</v>
      </c>
      <c r="E449" s="114" t="s">
        <v>3993</v>
      </c>
    </row>
    <row r="450" spans="1:5" x14ac:dyDescent="0.25">
      <c r="B450" s="114" t="s">
        <v>1073</v>
      </c>
      <c r="D450" s="114" t="s">
        <v>1073</v>
      </c>
      <c r="E450" s="114" t="s">
        <v>3993</v>
      </c>
    </row>
    <row r="451" spans="1:5" x14ac:dyDescent="0.25">
      <c r="B451" s="114" t="s">
        <v>1073</v>
      </c>
      <c r="D451" s="114" t="s">
        <v>1073</v>
      </c>
      <c r="E451" s="114" t="s">
        <v>3993</v>
      </c>
    </row>
    <row r="452" spans="1:5" x14ac:dyDescent="0.25">
      <c r="B452" s="114" t="s">
        <v>1073</v>
      </c>
      <c r="D452" s="114" t="s">
        <v>1073</v>
      </c>
      <c r="E452" s="114" t="s">
        <v>3993</v>
      </c>
    </row>
    <row r="453" spans="1:5" x14ac:dyDescent="0.25">
      <c r="B453" s="114" t="s">
        <v>1073</v>
      </c>
      <c r="D453" s="114" t="s">
        <v>1073</v>
      </c>
      <c r="E453" s="114" t="s">
        <v>3993</v>
      </c>
    </row>
    <row r="454" spans="1:5" x14ac:dyDescent="0.25">
      <c r="B454" s="114" t="s">
        <v>1073</v>
      </c>
      <c r="D454" s="114" t="s">
        <v>1073</v>
      </c>
      <c r="E454" s="114" t="s">
        <v>3993</v>
      </c>
    </row>
    <row r="455" spans="1:5" x14ac:dyDescent="0.25">
      <c r="B455" s="114" t="s">
        <v>1073</v>
      </c>
      <c r="D455" s="114" t="s">
        <v>1073</v>
      </c>
      <c r="E455" s="114" t="s">
        <v>3993</v>
      </c>
    </row>
    <row r="456" spans="1:5" x14ac:dyDescent="0.25">
      <c r="B456" s="114" t="s">
        <v>1073</v>
      </c>
      <c r="D456" s="114" t="s">
        <v>1073</v>
      </c>
      <c r="E456" s="114" t="s">
        <v>3993</v>
      </c>
    </row>
    <row r="457" spans="1:5" x14ac:dyDescent="0.25">
      <c r="B457" s="114" t="s">
        <v>1073</v>
      </c>
      <c r="D457" s="114" t="s">
        <v>1073</v>
      </c>
      <c r="E457" s="114" t="s">
        <v>3993</v>
      </c>
    </row>
    <row r="458" spans="1:5" x14ac:dyDescent="0.25">
      <c r="B458" s="114" t="s">
        <v>1073</v>
      </c>
      <c r="D458" s="114" t="s">
        <v>1073</v>
      </c>
      <c r="E458" s="114" t="s">
        <v>3993</v>
      </c>
    </row>
    <row r="459" spans="1:5" x14ac:dyDescent="0.25">
      <c r="B459" s="114" t="s">
        <v>1073</v>
      </c>
      <c r="D459" s="114" t="s">
        <v>1073</v>
      </c>
      <c r="E459" s="114" t="s">
        <v>3993</v>
      </c>
    </row>
    <row r="460" spans="1:5" x14ac:dyDescent="0.25">
      <c r="B460" s="114" t="s">
        <v>1073</v>
      </c>
      <c r="D460" s="114" t="s">
        <v>1073</v>
      </c>
      <c r="E460" s="114" t="s">
        <v>3993</v>
      </c>
    </row>
    <row r="461" spans="1:5" x14ac:dyDescent="0.25">
      <c r="B461" s="114" t="s">
        <v>1073</v>
      </c>
      <c r="D461" s="114" t="s">
        <v>1073</v>
      </c>
      <c r="E461" s="114" t="s">
        <v>3993</v>
      </c>
    </row>
    <row r="462" spans="1:5" x14ac:dyDescent="0.25">
      <c r="B462" s="114" t="s">
        <v>1073</v>
      </c>
      <c r="D462" s="114" t="s">
        <v>1073</v>
      </c>
      <c r="E462" s="114" t="s">
        <v>3993</v>
      </c>
    </row>
    <row r="463" spans="1:5" x14ac:dyDescent="0.25">
      <c r="A463" s="114" t="s">
        <v>1072</v>
      </c>
      <c r="B463" s="114" t="s">
        <v>1546</v>
      </c>
      <c r="D463" s="114" t="s">
        <v>4049</v>
      </c>
      <c r="E463" s="114" t="s">
        <v>4050</v>
      </c>
    </row>
    <row r="464" spans="1:5" x14ac:dyDescent="0.25">
      <c r="B464" s="114" t="s">
        <v>1073</v>
      </c>
      <c r="D464" s="114">
        <f>-5    -59</f>
        <v>-64</v>
      </c>
      <c r="E464" s="114" t="s">
        <v>3993</v>
      </c>
    </row>
    <row r="465" spans="1:5" x14ac:dyDescent="0.25">
      <c r="B465" s="114" t="s">
        <v>1073</v>
      </c>
      <c r="D465" s="114" t="s">
        <v>4051</v>
      </c>
      <c r="E465" s="114" t="s">
        <v>4052</v>
      </c>
    </row>
    <row r="466" spans="1:5" x14ac:dyDescent="0.25">
      <c r="A466" s="114">
        <v>7</v>
      </c>
      <c r="B466" s="114" t="s">
        <v>1547</v>
      </c>
      <c r="D466" s="114" t="s">
        <v>1073</v>
      </c>
      <c r="E466" s="114" t="s">
        <v>4053</v>
      </c>
    </row>
    <row r="467" spans="1:5" x14ac:dyDescent="0.25">
      <c r="B467" s="114" t="s">
        <v>1073</v>
      </c>
      <c r="D467" s="114" t="s">
        <v>1073</v>
      </c>
      <c r="E467" s="114" t="s">
        <v>3993</v>
      </c>
    </row>
    <row r="468" spans="1:5" x14ac:dyDescent="0.25">
      <c r="B468" s="114" t="s">
        <v>1073</v>
      </c>
      <c r="D468" s="114" t="s">
        <v>1073</v>
      </c>
      <c r="E468" s="114" t="s">
        <v>3993</v>
      </c>
    </row>
    <row r="469" spans="1:5" x14ac:dyDescent="0.25">
      <c r="B469" s="114" t="s">
        <v>1073</v>
      </c>
      <c r="D469" s="114" t="s">
        <v>1073</v>
      </c>
      <c r="E469" s="114" t="s">
        <v>3993</v>
      </c>
    </row>
    <row r="470" spans="1:5" x14ac:dyDescent="0.25">
      <c r="B470" s="114" t="s">
        <v>1073</v>
      </c>
      <c r="D470" s="114" t="s">
        <v>1073</v>
      </c>
      <c r="E470" s="114" t="s">
        <v>3993</v>
      </c>
    </row>
    <row r="471" spans="1:5" x14ac:dyDescent="0.25">
      <c r="B471" s="114" t="s">
        <v>1073</v>
      </c>
      <c r="D471" s="114" t="s">
        <v>1073</v>
      </c>
      <c r="E471" s="114" t="s">
        <v>3993</v>
      </c>
    </row>
    <row r="472" spans="1:5" x14ac:dyDescent="0.25">
      <c r="B472" s="114" t="s">
        <v>1073</v>
      </c>
      <c r="D472" s="114" t="s">
        <v>1073</v>
      </c>
      <c r="E472" s="114" t="s">
        <v>3993</v>
      </c>
    </row>
    <row r="473" spans="1:5" x14ac:dyDescent="0.25">
      <c r="B473" s="114" t="s">
        <v>1073</v>
      </c>
      <c r="D473" s="114" t="s">
        <v>1073</v>
      </c>
      <c r="E473" s="114" t="s">
        <v>3993</v>
      </c>
    </row>
    <row r="474" spans="1:5" x14ac:dyDescent="0.25">
      <c r="B474" s="114" t="s">
        <v>1073</v>
      </c>
      <c r="D474" s="114" t="s">
        <v>1073</v>
      </c>
      <c r="E474" s="114" t="s">
        <v>3993</v>
      </c>
    </row>
    <row r="475" spans="1:5" x14ac:dyDescent="0.25">
      <c r="B475" s="114" t="s">
        <v>1073</v>
      </c>
      <c r="D475" s="114" t="s">
        <v>1073</v>
      </c>
      <c r="E475" s="114" t="s">
        <v>3993</v>
      </c>
    </row>
    <row r="476" spans="1:5" x14ac:dyDescent="0.25">
      <c r="B476" s="114" t="s">
        <v>1073</v>
      </c>
      <c r="D476" s="114" t="s">
        <v>1073</v>
      </c>
      <c r="E476" s="114" t="s">
        <v>3993</v>
      </c>
    </row>
    <row r="477" spans="1:5" x14ac:dyDescent="0.25">
      <c r="B477" s="114" t="s">
        <v>1073</v>
      </c>
      <c r="D477" s="114" t="s">
        <v>1073</v>
      </c>
      <c r="E477" s="114" t="s">
        <v>3993</v>
      </c>
    </row>
    <row r="478" spans="1:5" x14ac:dyDescent="0.25">
      <c r="B478" s="114" t="s">
        <v>1073</v>
      </c>
      <c r="D478" s="114" t="s">
        <v>1073</v>
      </c>
      <c r="E478" s="114" t="s">
        <v>3993</v>
      </c>
    </row>
    <row r="479" spans="1:5" x14ac:dyDescent="0.25">
      <c r="B479" s="114" t="s">
        <v>1073</v>
      </c>
      <c r="D479" s="114" t="s">
        <v>1073</v>
      </c>
      <c r="E479" s="114" t="s">
        <v>3993</v>
      </c>
    </row>
    <row r="480" spans="1:5" x14ac:dyDescent="0.25">
      <c r="B480" s="114" t="s">
        <v>1073</v>
      </c>
      <c r="D480" s="114" t="s">
        <v>1073</v>
      </c>
      <c r="E480" s="114" t="s">
        <v>3993</v>
      </c>
    </row>
    <row r="481" spans="2:5" x14ac:dyDescent="0.25">
      <c r="B481" s="114" t="s">
        <v>1073</v>
      </c>
      <c r="D481" s="114" t="s">
        <v>1073</v>
      </c>
      <c r="E481" s="114" t="s">
        <v>3993</v>
      </c>
    </row>
    <row r="482" spans="2:5" x14ac:dyDescent="0.25">
      <c r="B482" s="114" t="s">
        <v>1073</v>
      </c>
      <c r="D482" s="114" t="s">
        <v>1073</v>
      </c>
      <c r="E482" s="114" t="s">
        <v>3993</v>
      </c>
    </row>
    <row r="483" spans="2:5" x14ac:dyDescent="0.25">
      <c r="B483" s="114" t="s">
        <v>1073</v>
      </c>
      <c r="D483" s="114" t="s">
        <v>1073</v>
      </c>
      <c r="E483" s="114" t="s">
        <v>3993</v>
      </c>
    </row>
    <row r="484" spans="2:5" x14ac:dyDescent="0.25">
      <c r="B484" s="114" t="s">
        <v>1073</v>
      </c>
      <c r="D484" s="114" t="s">
        <v>1073</v>
      </c>
      <c r="E484" s="114" t="s">
        <v>3993</v>
      </c>
    </row>
    <row r="485" spans="2:5" x14ac:dyDescent="0.25">
      <c r="B485" s="114" t="s">
        <v>1073</v>
      </c>
      <c r="D485" s="114" t="s">
        <v>1073</v>
      </c>
      <c r="E485" s="114" t="s">
        <v>3993</v>
      </c>
    </row>
    <row r="486" spans="2:5" x14ac:dyDescent="0.25">
      <c r="B486" s="114" t="s">
        <v>1073</v>
      </c>
      <c r="D486" s="114" t="s">
        <v>1073</v>
      </c>
      <c r="E486" s="114" t="s">
        <v>3993</v>
      </c>
    </row>
    <row r="487" spans="2:5" x14ac:dyDescent="0.25">
      <c r="B487" s="114" t="s">
        <v>1073</v>
      </c>
      <c r="D487" s="114" t="s">
        <v>1073</v>
      </c>
      <c r="E487" s="114" t="s">
        <v>3993</v>
      </c>
    </row>
    <row r="488" spans="2:5" x14ac:dyDescent="0.25">
      <c r="B488" s="114" t="s">
        <v>1073</v>
      </c>
      <c r="D488" s="114" t="s">
        <v>1073</v>
      </c>
      <c r="E488" s="114" t="s">
        <v>3993</v>
      </c>
    </row>
    <row r="489" spans="2:5" x14ac:dyDescent="0.25">
      <c r="B489" s="114" t="s">
        <v>1073</v>
      </c>
      <c r="D489" s="114" t="s">
        <v>1073</v>
      </c>
      <c r="E489" s="114" t="s">
        <v>3993</v>
      </c>
    </row>
    <row r="490" spans="2:5" x14ac:dyDescent="0.25">
      <c r="B490" s="114" t="s">
        <v>1073</v>
      </c>
      <c r="D490" s="114" t="s">
        <v>1073</v>
      </c>
      <c r="E490" s="114" t="s">
        <v>3993</v>
      </c>
    </row>
    <row r="491" spans="2:5" x14ac:dyDescent="0.25">
      <c r="B491" s="114" t="s">
        <v>1073</v>
      </c>
      <c r="D491" s="114" t="s">
        <v>1073</v>
      </c>
      <c r="E491" s="114" t="s">
        <v>3993</v>
      </c>
    </row>
    <row r="492" spans="2:5" x14ac:dyDescent="0.25">
      <c r="B492" s="114" t="s">
        <v>1073</v>
      </c>
      <c r="D492" s="114" t="s">
        <v>1073</v>
      </c>
      <c r="E492" s="114" t="s">
        <v>3993</v>
      </c>
    </row>
    <row r="493" spans="2:5" x14ac:dyDescent="0.25">
      <c r="B493" s="114" t="s">
        <v>1073</v>
      </c>
      <c r="D493" s="114" t="s">
        <v>1073</v>
      </c>
      <c r="E493" s="114" t="s">
        <v>3993</v>
      </c>
    </row>
    <row r="494" spans="2:5" x14ac:dyDescent="0.25">
      <c r="B494" s="114" t="s">
        <v>1073</v>
      </c>
      <c r="D494" s="114" t="s">
        <v>1073</v>
      </c>
      <c r="E494" s="114" t="s">
        <v>3993</v>
      </c>
    </row>
    <row r="495" spans="2:5" x14ac:dyDescent="0.25">
      <c r="B495" s="114" t="s">
        <v>1073</v>
      </c>
      <c r="D495" s="114" t="s">
        <v>1073</v>
      </c>
      <c r="E495" s="114" t="s">
        <v>3993</v>
      </c>
    </row>
    <row r="496" spans="2:5" x14ac:dyDescent="0.25">
      <c r="B496" s="114" t="s">
        <v>1073</v>
      </c>
      <c r="D496" s="114" t="s">
        <v>1073</v>
      </c>
      <c r="E496" s="114" t="s">
        <v>3993</v>
      </c>
    </row>
    <row r="497" spans="1:5" x14ac:dyDescent="0.25">
      <c r="B497" s="114" t="s">
        <v>1073</v>
      </c>
      <c r="D497" s="114" t="s">
        <v>1073</v>
      </c>
      <c r="E497" s="114" t="s">
        <v>3993</v>
      </c>
    </row>
    <row r="498" spans="1:5" x14ac:dyDescent="0.25">
      <c r="B498" s="114" t="s">
        <v>1073</v>
      </c>
      <c r="D498" s="114" t="s">
        <v>1073</v>
      </c>
      <c r="E498" s="114" t="s">
        <v>3993</v>
      </c>
    </row>
    <row r="499" spans="1:5" x14ac:dyDescent="0.25">
      <c r="B499" s="114" t="s">
        <v>1073</v>
      </c>
      <c r="D499" s="114" t="s">
        <v>1073</v>
      </c>
      <c r="E499" s="114" t="s">
        <v>3993</v>
      </c>
    </row>
    <row r="500" spans="1:5" x14ac:dyDescent="0.25">
      <c r="B500" s="114" t="s">
        <v>1073</v>
      </c>
      <c r="D500" s="114" t="s">
        <v>1073</v>
      </c>
      <c r="E500" s="114" t="s">
        <v>3993</v>
      </c>
    </row>
    <row r="501" spans="1:5" x14ac:dyDescent="0.25">
      <c r="B501" s="114" t="s">
        <v>1073</v>
      </c>
      <c r="D501" s="114" t="s">
        <v>1073</v>
      </c>
      <c r="E501" s="114" t="s">
        <v>4054</v>
      </c>
    </row>
    <row r="502" spans="1:5" x14ac:dyDescent="0.25">
      <c r="A502" s="114">
        <v>2</v>
      </c>
      <c r="B502" s="114" t="s">
        <v>1548</v>
      </c>
      <c r="D502" s="114" t="s">
        <v>4055</v>
      </c>
      <c r="E502" s="114" t="s">
        <v>4056</v>
      </c>
    </row>
    <row r="503" spans="1:5" x14ac:dyDescent="0.25">
      <c r="A503" s="114">
        <v>1</v>
      </c>
      <c r="B503" s="114" t="s">
        <v>1549</v>
      </c>
      <c r="D503" s="114" t="s">
        <v>1073</v>
      </c>
      <c r="E503" s="114" t="s">
        <v>3993</v>
      </c>
    </row>
    <row r="504" spans="1:5" x14ac:dyDescent="0.25">
      <c r="A504" s="114">
        <v>-2</v>
      </c>
      <c r="B504" s="114" t="s">
        <v>1550</v>
      </c>
      <c r="D504" s="114" t="s">
        <v>4057</v>
      </c>
      <c r="E504" s="114" t="s">
        <v>4058</v>
      </c>
    </row>
    <row r="505" spans="1:5" x14ac:dyDescent="0.25">
      <c r="B505" s="114" t="s">
        <v>1073</v>
      </c>
      <c r="D505" s="114" t="s">
        <v>4059</v>
      </c>
      <c r="E505" s="114" t="s">
        <v>4060</v>
      </c>
    </row>
    <row r="506" spans="1:5" x14ac:dyDescent="0.25">
      <c r="B506" s="114" t="s">
        <v>1073</v>
      </c>
      <c r="D506" s="114" t="s">
        <v>4061</v>
      </c>
      <c r="E506" s="114" t="s">
        <v>3993</v>
      </c>
    </row>
    <row r="507" spans="1:5" x14ac:dyDescent="0.25">
      <c r="B507" s="114" t="s">
        <v>1551</v>
      </c>
      <c r="C507" s="114">
        <v>4</v>
      </c>
      <c r="D507" s="114" t="s">
        <v>4062</v>
      </c>
      <c r="E507" s="114" t="s">
        <v>4063</v>
      </c>
    </row>
    <row r="508" spans="1:5" x14ac:dyDescent="0.25">
      <c r="B508" s="114" t="s">
        <v>1073</v>
      </c>
      <c r="D508" s="114" t="s">
        <v>4064</v>
      </c>
      <c r="E508" s="114" t="s">
        <v>4002</v>
      </c>
    </row>
    <row r="509" spans="1:5" x14ac:dyDescent="0.25">
      <c r="B509" s="114" t="s">
        <v>1073</v>
      </c>
      <c r="D509" s="114" t="s">
        <v>4065</v>
      </c>
      <c r="E509" s="114" t="s">
        <v>4066</v>
      </c>
    </row>
    <row r="510" spans="1:5" x14ac:dyDescent="0.25">
      <c r="B510" s="114" t="s">
        <v>1552</v>
      </c>
      <c r="D510" s="114" t="s">
        <v>3404</v>
      </c>
      <c r="E510" s="114" t="s">
        <v>4067</v>
      </c>
    </row>
    <row r="511" spans="1:5" x14ac:dyDescent="0.25">
      <c r="B511" s="114" t="s">
        <v>1553</v>
      </c>
      <c r="D511" s="114" t="s">
        <v>1073</v>
      </c>
      <c r="E511" s="114" t="s">
        <v>4068</v>
      </c>
    </row>
    <row r="512" spans="1:5" x14ac:dyDescent="0.25">
      <c r="B512" s="114" t="s">
        <v>1073</v>
      </c>
      <c r="D512" s="114" t="s">
        <v>4069</v>
      </c>
      <c r="E512" s="114" t="s">
        <v>4002</v>
      </c>
    </row>
    <row r="513" spans="1:5" x14ac:dyDescent="0.25">
      <c r="B513" s="114" t="s">
        <v>1073</v>
      </c>
      <c r="D513" s="114" t="s">
        <v>1073</v>
      </c>
      <c r="E513" s="114" t="s">
        <v>3993</v>
      </c>
    </row>
    <row r="514" spans="1:5" x14ac:dyDescent="0.25">
      <c r="B514" s="114" t="s">
        <v>1073</v>
      </c>
      <c r="D514" s="114" t="s">
        <v>1073</v>
      </c>
      <c r="E514" s="114" t="s">
        <v>3993</v>
      </c>
    </row>
    <row r="515" spans="1:5" x14ac:dyDescent="0.25">
      <c r="B515" s="114" t="s">
        <v>1073</v>
      </c>
      <c r="D515" s="114" t="s">
        <v>1073</v>
      </c>
      <c r="E515" s="114" t="s">
        <v>3993</v>
      </c>
    </row>
    <row r="516" spans="1:5" x14ac:dyDescent="0.25">
      <c r="B516" s="114" t="s">
        <v>1073</v>
      </c>
      <c r="D516" s="114" t="s">
        <v>1073</v>
      </c>
      <c r="E516" s="114" t="s">
        <v>3993</v>
      </c>
    </row>
    <row r="517" spans="1:5" x14ac:dyDescent="0.25">
      <c r="B517" s="114" t="s">
        <v>1073</v>
      </c>
      <c r="D517" s="114" t="s">
        <v>1073</v>
      </c>
      <c r="E517" s="114" t="s">
        <v>3993</v>
      </c>
    </row>
    <row r="518" spans="1:5" x14ac:dyDescent="0.25">
      <c r="A518" s="114" t="s">
        <v>1072</v>
      </c>
      <c r="B518" s="114" t="s">
        <v>1554</v>
      </c>
      <c r="D518" s="114">
        <f>-462    -19</f>
        <v>-481</v>
      </c>
      <c r="E518" s="114" t="s">
        <v>4070</v>
      </c>
    </row>
    <row r="519" spans="1:5" x14ac:dyDescent="0.25">
      <c r="B519" s="114" t="s">
        <v>1073</v>
      </c>
      <c r="C519" s="114" t="s">
        <v>1072</v>
      </c>
      <c r="D519" s="114" t="s">
        <v>4071</v>
      </c>
      <c r="E519" s="114" t="s">
        <v>3993</v>
      </c>
    </row>
    <row r="520" spans="1:5" x14ac:dyDescent="0.25">
      <c r="B520" s="114" t="s">
        <v>1073</v>
      </c>
      <c r="D520" s="114" t="s">
        <v>4072</v>
      </c>
      <c r="E520" s="114" t="s">
        <v>4073</v>
      </c>
    </row>
    <row r="521" spans="1:5" x14ac:dyDescent="0.25">
      <c r="A521" s="114">
        <v>-1</v>
      </c>
      <c r="B521" s="114" t="s">
        <v>1555</v>
      </c>
      <c r="D521" s="114" t="s">
        <v>1073</v>
      </c>
      <c r="E521" s="114" t="s">
        <v>4074</v>
      </c>
    </row>
    <row r="522" spans="1:5" x14ac:dyDescent="0.25">
      <c r="B522" s="114" t="s">
        <v>1073</v>
      </c>
      <c r="D522" s="114" t="s">
        <v>1073</v>
      </c>
      <c r="E522" s="114" t="s">
        <v>4075</v>
      </c>
    </row>
    <row r="523" spans="1:5" x14ac:dyDescent="0.25">
      <c r="B523" s="114" t="s">
        <v>1073</v>
      </c>
      <c r="D523" s="114" t="s">
        <v>4076</v>
      </c>
      <c r="E523" s="114" t="s">
        <v>4077</v>
      </c>
    </row>
    <row r="524" spans="1:5" x14ac:dyDescent="0.25">
      <c r="B524" s="114" t="s">
        <v>1073</v>
      </c>
      <c r="D524" s="114" t="s">
        <v>1073</v>
      </c>
      <c r="E524" s="114" t="s">
        <v>3993</v>
      </c>
    </row>
    <row r="525" spans="1:5" x14ac:dyDescent="0.25">
      <c r="B525" s="114" t="s">
        <v>1073</v>
      </c>
      <c r="D525" s="114" t="s">
        <v>1073</v>
      </c>
      <c r="E525" s="114" t="s">
        <v>3993</v>
      </c>
    </row>
    <row r="526" spans="1:5" x14ac:dyDescent="0.25">
      <c r="B526" s="114" t="s">
        <v>1073</v>
      </c>
      <c r="D526" s="114" t="s">
        <v>1073</v>
      </c>
      <c r="E526" s="114" t="s">
        <v>3993</v>
      </c>
    </row>
    <row r="527" spans="1:5" x14ac:dyDescent="0.25">
      <c r="B527" s="114" t="s">
        <v>1073</v>
      </c>
      <c r="D527" s="114" t="s">
        <v>1073</v>
      </c>
      <c r="E527" s="114" t="s">
        <v>3993</v>
      </c>
    </row>
    <row r="528" spans="1:5" x14ac:dyDescent="0.25">
      <c r="B528" s="114" t="s">
        <v>1073</v>
      </c>
      <c r="D528" s="114" t="s">
        <v>1073</v>
      </c>
      <c r="E528" s="114" t="s">
        <v>3993</v>
      </c>
    </row>
    <row r="529" spans="2:5" x14ac:dyDescent="0.25">
      <c r="B529" s="114" t="s">
        <v>1073</v>
      </c>
      <c r="D529" s="114" t="s">
        <v>1073</v>
      </c>
      <c r="E529" s="114" t="s">
        <v>3993</v>
      </c>
    </row>
    <row r="530" spans="2:5" x14ac:dyDescent="0.25">
      <c r="B530" s="114" t="s">
        <v>1073</v>
      </c>
      <c r="D530" s="114" t="s">
        <v>1073</v>
      </c>
      <c r="E530" s="114" t="s">
        <v>3993</v>
      </c>
    </row>
    <row r="531" spans="2:5" x14ac:dyDescent="0.25">
      <c r="B531" s="114" t="s">
        <v>1073</v>
      </c>
      <c r="D531" s="114" t="s">
        <v>1073</v>
      </c>
      <c r="E531" s="114" t="s">
        <v>3993</v>
      </c>
    </row>
    <row r="532" spans="2:5" x14ac:dyDescent="0.25">
      <c r="B532" s="114" t="s">
        <v>1073</v>
      </c>
      <c r="D532" s="114" t="s">
        <v>1073</v>
      </c>
      <c r="E532" s="114" t="s">
        <v>3993</v>
      </c>
    </row>
    <row r="533" spans="2:5" x14ac:dyDescent="0.25">
      <c r="B533" s="114" t="s">
        <v>1073</v>
      </c>
      <c r="D533" s="114" t="s">
        <v>1073</v>
      </c>
      <c r="E533" s="114" t="s">
        <v>3993</v>
      </c>
    </row>
    <row r="534" spans="2:5" x14ac:dyDescent="0.25">
      <c r="B534" s="114" t="s">
        <v>1073</v>
      </c>
      <c r="D534" s="114" t="s">
        <v>1073</v>
      </c>
      <c r="E534" s="114" t="s">
        <v>3993</v>
      </c>
    </row>
    <row r="535" spans="2:5" x14ac:dyDescent="0.25">
      <c r="B535" s="114" t="s">
        <v>1073</v>
      </c>
      <c r="D535" s="114" t="s">
        <v>1073</v>
      </c>
      <c r="E535" s="114" t="s">
        <v>3993</v>
      </c>
    </row>
    <row r="536" spans="2:5" x14ac:dyDescent="0.25">
      <c r="B536" s="114" t="s">
        <v>1073</v>
      </c>
      <c r="D536" s="114" t="s">
        <v>1073</v>
      </c>
      <c r="E536" s="114" t="s">
        <v>3993</v>
      </c>
    </row>
    <row r="537" spans="2:5" x14ac:dyDescent="0.25">
      <c r="B537" s="114" t="s">
        <v>1073</v>
      </c>
      <c r="D537" s="114" t="s">
        <v>1073</v>
      </c>
      <c r="E537" s="114" t="s">
        <v>3993</v>
      </c>
    </row>
    <row r="538" spans="2:5" x14ac:dyDescent="0.25">
      <c r="B538" s="114" t="s">
        <v>1073</v>
      </c>
      <c r="D538" s="114" t="s">
        <v>1073</v>
      </c>
      <c r="E538" s="114" t="s">
        <v>3993</v>
      </c>
    </row>
    <row r="539" spans="2:5" x14ac:dyDescent="0.25">
      <c r="B539" s="114" t="s">
        <v>1073</v>
      </c>
      <c r="D539" s="114" t="s">
        <v>1073</v>
      </c>
      <c r="E539" s="114" t="s">
        <v>3993</v>
      </c>
    </row>
    <row r="540" spans="2:5" x14ac:dyDescent="0.25">
      <c r="B540" s="114" t="s">
        <v>1073</v>
      </c>
      <c r="D540" s="114" t="s">
        <v>1073</v>
      </c>
      <c r="E540" s="114" t="s">
        <v>3993</v>
      </c>
    </row>
    <row r="541" spans="2:5" x14ac:dyDescent="0.25">
      <c r="B541" s="114" t="s">
        <v>1073</v>
      </c>
      <c r="D541" s="114" t="s">
        <v>1073</v>
      </c>
      <c r="E541" s="114" t="s">
        <v>3993</v>
      </c>
    </row>
    <row r="542" spans="2:5" x14ac:dyDescent="0.25">
      <c r="B542" s="114" t="s">
        <v>1073</v>
      </c>
      <c r="D542" s="114" t="s">
        <v>1073</v>
      </c>
      <c r="E542" s="114" t="s">
        <v>3993</v>
      </c>
    </row>
    <row r="543" spans="2:5" x14ac:dyDescent="0.25">
      <c r="B543" s="114" t="s">
        <v>1073</v>
      </c>
      <c r="D543" s="114" t="s">
        <v>1073</v>
      </c>
      <c r="E543" s="114" t="s">
        <v>3993</v>
      </c>
    </row>
    <row r="544" spans="2:5" x14ac:dyDescent="0.25">
      <c r="B544" s="114" t="s">
        <v>1073</v>
      </c>
      <c r="D544" s="114" t="s">
        <v>1073</v>
      </c>
      <c r="E544" s="114" t="s">
        <v>3993</v>
      </c>
    </row>
    <row r="545" spans="1:5" x14ac:dyDescent="0.25">
      <c r="B545" s="114" t="s">
        <v>1073</v>
      </c>
      <c r="D545" s="114" t="s">
        <v>1073</v>
      </c>
      <c r="E545" s="114" t="s">
        <v>3993</v>
      </c>
    </row>
    <row r="546" spans="1:5" x14ac:dyDescent="0.25">
      <c r="B546" s="114" t="s">
        <v>1073</v>
      </c>
      <c r="D546" s="114" t="s">
        <v>1073</v>
      </c>
      <c r="E546" s="114" t="s">
        <v>3993</v>
      </c>
    </row>
    <row r="547" spans="1:5" x14ac:dyDescent="0.25">
      <c r="A547" s="114">
        <v>-2</v>
      </c>
      <c r="B547" s="114" t="s">
        <v>1556</v>
      </c>
      <c r="C547" s="114" t="s">
        <v>1072</v>
      </c>
      <c r="D547" s="114" t="s">
        <v>4078</v>
      </c>
      <c r="E547" s="114" t="s">
        <v>4079</v>
      </c>
    </row>
    <row r="548" spans="1:5" x14ac:dyDescent="0.25">
      <c r="B548" s="114" t="s">
        <v>1073</v>
      </c>
      <c r="D548" s="114">
        <f>-571   -903</f>
        <v>-1474</v>
      </c>
      <c r="E548" s="114" t="s">
        <v>3993</v>
      </c>
    </row>
    <row r="549" spans="1:5" x14ac:dyDescent="0.25">
      <c r="B549" s="114" t="s">
        <v>1073</v>
      </c>
      <c r="D549" s="114">
        <f>-561   -248</f>
        <v>-809</v>
      </c>
      <c r="E549" s="114" t="s">
        <v>4080</v>
      </c>
    </row>
    <row r="550" spans="1:5" x14ac:dyDescent="0.25">
      <c r="A550" s="114">
        <v>-3</v>
      </c>
      <c r="B550" s="114" t="s">
        <v>1557</v>
      </c>
      <c r="D550" s="114" t="s">
        <v>1073</v>
      </c>
      <c r="E550" s="114" t="s">
        <v>4081</v>
      </c>
    </row>
    <row r="551" spans="1:5" x14ac:dyDescent="0.25">
      <c r="B551" s="114" t="s">
        <v>1073</v>
      </c>
      <c r="D551" s="114" t="s">
        <v>1073</v>
      </c>
      <c r="E551" s="114" t="s">
        <v>4082</v>
      </c>
    </row>
    <row r="552" spans="1:5" x14ac:dyDescent="0.25">
      <c r="B552" s="114" t="s">
        <v>1073</v>
      </c>
      <c r="D552" s="114" t="s">
        <v>4083</v>
      </c>
      <c r="E552" s="114" t="s">
        <v>4084</v>
      </c>
    </row>
    <row r="553" spans="1:5" x14ac:dyDescent="0.25">
      <c r="B553" s="114" t="s">
        <v>1558</v>
      </c>
      <c r="D553" s="114" t="s">
        <v>4085</v>
      </c>
      <c r="E553" s="114" t="s">
        <v>4086</v>
      </c>
    </row>
    <row r="554" spans="1:5" x14ac:dyDescent="0.25">
      <c r="B554" s="114" t="s">
        <v>1073</v>
      </c>
      <c r="D554" s="114" t="s">
        <v>4087</v>
      </c>
      <c r="E554" s="114" t="s">
        <v>4088</v>
      </c>
    </row>
    <row r="555" spans="1:5" x14ac:dyDescent="0.25">
      <c r="B555" s="114" t="s">
        <v>1073</v>
      </c>
      <c r="D555" s="114" t="s">
        <v>4089</v>
      </c>
      <c r="E555" s="114" t="s">
        <v>4090</v>
      </c>
    </row>
    <row r="556" spans="1:5" x14ac:dyDescent="0.25">
      <c r="B556" s="114" t="s">
        <v>1559</v>
      </c>
      <c r="D556" s="114" t="s">
        <v>3554</v>
      </c>
      <c r="E556" s="114" t="s">
        <v>4091</v>
      </c>
    </row>
    <row r="557" spans="1:5" x14ac:dyDescent="0.25">
      <c r="A557" s="114" t="s">
        <v>1072</v>
      </c>
      <c r="B557" s="114" t="s">
        <v>1512</v>
      </c>
      <c r="D557" s="114" t="s">
        <v>1073</v>
      </c>
      <c r="E557" s="114" t="s">
        <v>4092</v>
      </c>
    </row>
    <row r="558" spans="1:5" x14ac:dyDescent="0.25">
      <c r="B558" s="114" t="s">
        <v>1073</v>
      </c>
      <c r="D558" s="114" t="s">
        <v>4093</v>
      </c>
      <c r="E558" s="114" t="s">
        <v>4094</v>
      </c>
    </row>
    <row r="559" spans="1:5" x14ac:dyDescent="0.25">
      <c r="B559" s="114" t="s">
        <v>1073</v>
      </c>
      <c r="D559" s="114" t="s">
        <v>4095</v>
      </c>
      <c r="E559" s="114" t="s">
        <v>4096</v>
      </c>
    </row>
    <row r="560" spans="1:5" x14ac:dyDescent="0.25">
      <c r="B560" s="114" t="s">
        <v>1560</v>
      </c>
      <c r="D560" s="114" t="s">
        <v>1073</v>
      </c>
      <c r="E560" s="114" t="s">
        <v>4097</v>
      </c>
    </row>
    <row r="561" spans="2:5" x14ac:dyDescent="0.25">
      <c r="B561" s="114" t="s">
        <v>1073</v>
      </c>
      <c r="D561" s="114" t="s">
        <v>1073</v>
      </c>
      <c r="E561" s="114" t="s">
        <v>4098</v>
      </c>
    </row>
    <row r="562" spans="2:5" x14ac:dyDescent="0.25">
      <c r="B562" s="114" t="s">
        <v>1561</v>
      </c>
      <c r="D562" s="114" t="s">
        <v>4099</v>
      </c>
      <c r="E562" s="114" t="s">
        <v>4100</v>
      </c>
    </row>
    <row r="563" spans="2:5" x14ac:dyDescent="0.25">
      <c r="B563" s="114" t="s">
        <v>1073</v>
      </c>
      <c r="D563" s="114" t="s">
        <v>4101</v>
      </c>
      <c r="E563" s="114" t="s">
        <v>4102</v>
      </c>
    </row>
    <row r="564" spans="2:5" x14ac:dyDescent="0.25">
      <c r="B564" s="114" t="s">
        <v>1073</v>
      </c>
      <c r="D564" s="114" t="s">
        <v>1073</v>
      </c>
      <c r="E564" s="114" t="s">
        <v>4103</v>
      </c>
    </row>
    <row r="565" spans="2:5" x14ac:dyDescent="0.25">
      <c r="B565" s="114" t="s">
        <v>1073</v>
      </c>
      <c r="D565" s="114" t="s">
        <v>4104</v>
      </c>
      <c r="E565" s="114" t="s">
        <v>4105</v>
      </c>
    </row>
    <row r="566" spans="2:5" x14ac:dyDescent="0.25">
      <c r="B566" s="114" t="s">
        <v>1073</v>
      </c>
      <c r="D566" s="114" t="s">
        <v>1073</v>
      </c>
      <c r="E566" s="114" t="s">
        <v>3993</v>
      </c>
    </row>
    <row r="567" spans="2:5" x14ac:dyDescent="0.25">
      <c r="B567" s="114" t="s">
        <v>1073</v>
      </c>
      <c r="D567" s="114" t="s">
        <v>1073</v>
      </c>
      <c r="E567" s="114" t="s">
        <v>3993</v>
      </c>
    </row>
    <row r="568" spans="2:5" x14ac:dyDescent="0.25">
      <c r="B568" s="114" t="s">
        <v>1073</v>
      </c>
      <c r="D568" s="114" t="s">
        <v>1073</v>
      </c>
      <c r="E568" s="114" t="s">
        <v>3993</v>
      </c>
    </row>
    <row r="569" spans="2:5" x14ac:dyDescent="0.25">
      <c r="B569" s="114" t="s">
        <v>1073</v>
      </c>
      <c r="D569" s="114" t="s">
        <v>1073</v>
      </c>
      <c r="E569" s="114" t="s">
        <v>3993</v>
      </c>
    </row>
    <row r="570" spans="2:5" x14ac:dyDescent="0.25">
      <c r="B570" s="114" t="s">
        <v>1073</v>
      </c>
      <c r="D570" s="114" t="s">
        <v>1073</v>
      </c>
      <c r="E570" s="114" t="s">
        <v>3993</v>
      </c>
    </row>
    <row r="571" spans="2:5" x14ac:dyDescent="0.25">
      <c r="B571" s="114" t="s">
        <v>1073</v>
      </c>
      <c r="D571" s="114" t="s">
        <v>1073</v>
      </c>
      <c r="E571" s="114" t="s">
        <v>3993</v>
      </c>
    </row>
    <row r="572" spans="2:5" x14ac:dyDescent="0.25">
      <c r="B572" s="114" t="s">
        <v>1073</v>
      </c>
      <c r="D572" s="114" t="s">
        <v>1073</v>
      </c>
      <c r="E572" s="114" t="s">
        <v>3993</v>
      </c>
    </row>
    <row r="573" spans="2:5" x14ac:dyDescent="0.25">
      <c r="B573" s="114" t="s">
        <v>1073</v>
      </c>
      <c r="D573" s="114" t="s">
        <v>1073</v>
      </c>
      <c r="E573" s="114" t="s">
        <v>3993</v>
      </c>
    </row>
    <row r="574" spans="2:5" x14ac:dyDescent="0.25">
      <c r="B574" s="114" t="s">
        <v>1073</v>
      </c>
      <c r="D574" s="114" t="s">
        <v>1073</v>
      </c>
      <c r="E574" s="114" t="s">
        <v>3993</v>
      </c>
    </row>
    <row r="575" spans="2:5" x14ac:dyDescent="0.25">
      <c r="B575" s="114" t="s">
        <v>1073</v>
      </c>
      <c r="D575" s="114" t="s">
        <v>1073</v>
      </c>
      <c r="E575" s="114" t="s">
        <v>3993</v>
      </c>
    </row>
    <row r="576" spans="2:5" x14ac:dyDescent="0.25">
      <c r="B576" s="114" t="s">
        <v>1073</v>
      </c>
      <c r="D576" s="114" t="s">
        <v>1073</v>
      </c>
      <c r="E576" s="114" t="s">
        <v>3993</v>
      </c>
    </row>
    <row r="577" spans="1:5" x14ac:dyDescent="0.25">
      <c r="B577" s="114" t="s">
        <v>1073</v>
      </c>
      <c r="D577" s="114" t="s">
        <v>1073</v>
      </c>
      <c r="E577" s="114" t="s">
        <v>3993</v>
      </c>
    </row>
    <row r="578" spans="1:5" x14ac:dyDescent="0.25">
      <c r="B578" s="114" t="s">
        <v>1073</v>
      </c>
      <c r="D578" s="114" t="s">
        <v>1073</v>
      </c>
      <c r="E578" s="114" t="s">
        <v>4106</v>
      </c>
    </row>
    <row r="579" spans="1:5" x14ac:dyDescent="0.25">
      <c r="B579" s="114" t="s">
        <v>1562</v>
      </c>
      <c r="D579" s="114" t="s">
        <v>4107</v>
      </c>
      <c r="E579" s="114" t="s">
        <v>4108</v>
      </c>
    </row>
    <row r="580" spans="1:5" x14ac:dyDescent="0.25">
      <c r="B580" s="114" t="s">
        <v>1073</v>
      </c>
      <c r="D580" s="114" t="s">
        <v>1073</v>
      </c>
      <c r="E580" s="114" t="s">
        <v>4109</v>
      </c>
    </row>
    <row r="581" spans="1:5" x14ac:dyDescent="0.25">
      <c r="B581" s="114" t="s">
        <v>1563</v>
      </c>
      <c r="D581" s="114" t="s">
        <v>4110</v>
      </c>
      <c r="E581" s="114" t="s">
        <v>4111</v>
      </c>
    </row>
    <row r="582" spans="1:5" x14ac:dyDescent="0.25">
      <c r="B582" s="114" t="s">
        <v>1495</v>
      </c>
      <c r="D582" s="114" t="s">
        <v>4112</v>
      </c>
      <c r="E582" s="114" t="s">
        <v>4088</v>
      </c>
    </row>
    <row r="583" spans="1:5" x14ac:dyDescent="0.25">
      <c r="B583" s="114" t="s">
        <v>1564</v>
      </c>
      <c r="D583" s="114" t="s">
        <v>1073</v>
      </c>
      <c r="E583" s="114" t="s">
        <v>4113</v>
      </c>
    </row>
    <row r="584" spans="1:5" x14ac:dyDescent="0.25">
      <c r="B584" s="114" t="s">
        <v>1565</v>
      </c>
      <c r="D584" s="114" t="s">
        <v>1073</v>
      </c>
      <c r="E584" s="114" t="s">
        <v>4114</v>
      </c>
    </row>
    <row r="585" spans="1:5" x14ac:dyDescent="0.25">
      <c r="B585" s="114" t="s">
        <v>1566</v>
      </c>
      <c r="D585" s="114" t="s">
        <v>4115</v>
      </c>
      <c r="E585" s="114" t="s">
        <v>4116</v>
      </c>
    </row>
    <row r="586" spans="1:5" x14ac:dyDescent="0.25">
      <c r="B586" s="114" t="s">
        <v>1073</v>
      </c>
      <c r="D586" s="114" t="s">
        <v>4117</v>
      </c>
      <c r="E586" s="114" t="s">
        <v>4118</v>
      </c>
    </row>
    <row r="587" spans="1:5" x14ac:dyDescent="0.25">
      <c r="B587" s="114" t="s">
        <v>1073</v>
      </c>
      <c r="D587" s="114" t="s">
        <v>4119</v>
      </c>
      <c r="E587" s="114" t="s">
        <v>4120</v>
      </c>
    </row>
    <row r="588" spans="1:5" x14ac:dyDescent="0.25">
      <c r="B588" s="114" t="s">
        <v>1567</v>
      </c>
      <c r="D588" s="114" t="s">
        <v>4121</v>
      </c>
      <c r="E588" s="114" t="s">
        <v>4122</v>
      </c>
    </row>
    <row r="589" spans="1:5" x14ac:dyDescent="0.25">
      <c r="A589" s="114" t="s">
        <v>1072</v>
      </c>
      <c r="B589" s="114" t="s">
        <v>1338</v>
      </c>
      <c r="D589" s="114" t="s">
        <v>1073</v>
      </c>
      <c r="E589" s="114" t="s">
        <v>4123</v>
      </c>
    </row>
    <row r="590" spans="1:5" x14ac:dyDescent="0.25">
      <c r="B590" s="114" t="s">
        <v>1073</v>
      </c>
      <c r="D590" s="114" t="s">
        <v>4124</v>
      </c>
      <c r="E590" s="114" t="s">
        <v>4125</v>
      </c>
    </row>
    <row r="591" spans="1:5" x14ac:dyDescent="0.25">
      <c r="B591" s="114" t="s">
        <v>1073</v>
      </c>
      <c r="C591" s="114" t="s">
        <v>1072</v>
      </c>
      <c r="D591" s="114" t="s">
        <v>4126</v>
      </c>
      <c r="E591" s="114" t="s">
        <v>4127</v>
      </c>
    </row>
    <row r="592" spans="1:5" x14ac:dyDescent="0.25">
      <c r="B592" s="114" t="s">
        <v>1073</v>
      </c>
      <c r="D592" s="114" t="s">
        <v>1073</v>
      </c>
      <c r="E592" s="114" t="s">
        <v>3993</v>
      </c>
    </row>
    <row r="593" spans="1:5" x14ac:dyDescent="0.25">
      <c r="B593" s="114" t="s">
        <v>1073</v>
      </c>
      <c r="D593" s="114" t="s">
        <v>1073</v>
      </c>
      <c r="E593" s="114" t="s">
        <v>3993</v>
      </c>
    </row>
    <row r="594" spans="1:5" x14ac:dyDescent="0.25">
      <c r="B594" s="114" t="s">
        <v>1073</v>
      </c>
      <c r="D594" s="114" t="s">
        <v>1073</v>
      </c>
      <c r="E594" s="114" t="s">
        <v>3993</v>
      </c>
    </row>
    <row r="595" spans="1:5" x14ac:dyDescent="0.25">
      <c r="B595" s="114" t="s">
        <v>1073</v>
      </c>
      <c r="D595" s="114" t="s">
        <v>1073</v>
      </c>
      <c r="E595" s="114" t="s">
        <v>3993</v>
      </c>
    </row>
    <row r="596" spans="1:5" x14ac:dyDescent="0.25">
      <c r="B596" s="114" t="s">
        <v>1073</v>
      </c>
      <c r="D596" s="114" t="s">
        <v>1073</v>
      </c>
      <c r="E596" s="114" t="s">
        <v>3993</v>
      </c>
    </row>
    <row r="597" spans="1:5" x14ac:dyDescent="0.25">
      <c r="B597" s="114" t="s">
        <v>1073</v>
      </c>
      <c r="D597" s="114" t="s">
        <v>1073</v>
      </c>
      <c r="E597" s="114" t="s">
        <v>3993</v>
      </c>
    </row>
    <row r="598" spans="1:5" x14ac:dyDescent="0.25">
      <c r="B598" s="114" t="s">
        <v>1073</v>
      </c>
      <c r="D598" s="114" t="s">
        <v>1073</v>
      </c>
      <c r="E598" s="114" t="s">
        <v>4128</v>
      </c>
    </row>
    <row r="599" spans="1:5" x14ac:dyDescent="0.25">
      <c r="B599" s="114" t="s">
        <v>1073</v>
      </c>
      <c r="D599" s="114" t="s">
        <v>4129</v>
      </c>
      <c r="E599" s="114" t="s">
        <v>4130</v>
      </c>
    </row>
    <row r="600" spans="1:5" x14ac:dyDescent="0.25">
      <c r="B600" s="114" t="s">
        <v>1073</v>
      </c>
      <c r="D600" s="114" t="s">
        <v>1073</v>
      </c>
      <c r="E600" s="114" t="s">
        <v>4131</v>
      </c>
    </row>
    <row r="601" spans="1:5" x14ac:dyDescent="0.25">
      <c r="B601" s="114" t="s">
        <v>1073</v>
      </c>
      <c r="D601" s="114" t="s">
        <v>4132</v>
      </c>
      <c r="E601" s="114" t="s">
        <v>4133</v>
      </c>
    </row>
    <row r="602" spans="1:5" x14ac:dyDescent="0.25">
      <c r="B602" s="114" t="s">
        <v>1568</v>
      </c>
      <c r="D602" s="114" t="s">
        <v>1073</v>
      </c>
      <c r="E602" s="114" t="s">
        <v>4134</v>
      </c>
    </row>
    <row r="603" spans="1:5" x14ac:dyDescent="0.25">
      <c r="B603" s="114" t="s">
        <v>1232</v>
      </c>
      <c r="D603" s="114" t="s">
        <v>1073</v>
      </c>
      <c r="E603" s="114" t="s">
        <v>4135</v>
      </c>
    </row>
    <row r="604" spans="1:5" x14ac:dyDescent="0.25">
      <c r="A604" s="114">
        <v>-6</v>
      </c>
      <c r="B604" s="114" t="s">
        <v>1436</v>
      </c>
      <c r="C604" s="114">
        <v>1</v>
      </c>
      <c r="D604" s="114" t="s">
        <v>4136</v>
      </c>
      <c r="E604" s="114" t="s">
        <v>4137</v>
      </c>
    </row>
    <row r="605" spans="1:5" x14ac:dyDescent="0.25">
      <c r="B605" s="114" t="s">
        <v>1073</v>
      </c>
      <c r="C605" s="114">
        <v>1</v>
      </c>
      <c r="D605" s="114" t="s">
        <v>4138</v>
      </c>
      <c r="E605" s="114" t="s">
        <v>4139</v>
      </c>
    </row>
    <row r="606" spans="1:5" x14ac:dyDescent="0.25">
      <c r="B606" s="114" t="s">
        <v>1195</v>
      </c>
      <c r="D606" s="114" t="s">
        <v>4140</v>
      </c>
      <c r="E606" s="114" t="s">
        <v>4141</v>
      </c>
    </row>
    <row r="607" spans="1:5" x14ac:dyDescent="0.25">
      <c r="B607" s="114" t="s">
        <v>1073</v>
      </c>
      <c r="D607" s="114" t="s">
        <v>1073</v>
      </c>
      <c r="E607" s="114" t="s">
        <v>4142</v>
      </c>
    </row>
    <row r="608" spans="1:5" x14ac:dyDescent="0.25">
      <c r="B608" s="114" t="s">
        <v>1569</v>
      </c>
      <c r="D608" s="114" t="s">
        <v>4143</v>
      </c>
      <c r="E608" s="114" t="s">
        <v>4144</v>
      </c>
    </row>
    <row r="609" spans="1:5" x14ac:dyDescent="0.25">
      <c r="A609" s="114" t="s">
        <v>1072</v>
      </c>
      <c r="B609" s="114" t="s">
        <v>1079</v>
      </c>
      <c r="D609" s="114" t="s">
        <v>4145</v>
      </c>
      <c r="E609" s="114" t="s">
        <v>4044</v>
      </c>
    </row>
    <row r="610" spans="1:5" x14ac:dyDescent="0.25">
      <c r="B610" s="114" t="s">
        <v>1570</v>
      </c>
      <c r="D610" s="114" t="s">
        <v>1073</v>
      </c>
      <c r="E610" s="114" t="s">
        <v>4146</v>
      </c>
    </row>
    <row r="611" spans="1:5" x14ac:dyDescent="0.25">
      <c r="B611" s="114" t="s">
        <v>1571</v>
      </c>
      <c r="D611" s="114" t="s">
        <v>1073</v>
      </c>
      <c r="E611" s="114" t="s">
        <v>4147</v>
      </c>
    </row>
    <row r="612" spans="1:5" x14ac:dyDescent="0.25">
      <c r="B612" s="114" t="s">
        <v>1572</v>
      </c>
      <c r="D612" s="114" t="s">
        <v>4148</v>
      </c>
      <c r="E612" s="114" t="s">
        <v>4149</v>
      </c>
    </row>
    <row r="613" spans="1:5" x14ac:dyDescent="0.25">
      <c r="B613" s="114" t="s">
        <v>1513</v>
      </c>
      <c r="D613" s="114" t="s">
        <v>1558</v>
      </c>
      <c r="E613" s="114" t="s">
        <v>4150</v>
      </c>
    </row>
    <row r="614" spans="1:5" x14ac:dyDescent="0.25">
      <c r="B614" s="114" t="s">
        <v>1073</v>
      </c>
      <c r="D614" s="114" t="s">
        <v>1073</v>
      </c>
      <c r="E614" s="114" t="s">
        <v>4151</v>
      </c>
    </row>
    <row r="615" spans="1:5" x14ac:dyDescent="0.25">
      <c r="B615" s="114" t="s">
        <v>1573</v>
      </c>
      <c r="D615" s="114" t="s">
        <v>4152</v>
      </c>
      <c r="E615" s="114" t="s">
        <v>4153</v>
      </c>
    </row>
    <row r="616" spans="1:5" x14ac:dyDescent="0.25">
      <c r="B616" s="114" t="s">
        <v>1248</v>
      </c>
      <c r="D616" s="114" t="s">
        <v>4154</v>
      </c>
      <c r="E616" s="114" t="s">
        <v>4002</v>
      </c>
    </row>
    <row r="617" spans="1:5" x14ac:dyDescent="0.25">
      <c r="B617" s="114" t="s">
        <v>1255</v>
      </c>
      <c r="D617" s="114" t="s">
        <v>1073</v>
      </c>
      <c r="E617" s="114" t="s">
        <v>4155</v>
      </c>
    </row>
    <row r="618" spans="1:5" x14ac:dyDescent="0.25">
      <c r="B618" s="114" t="s">
        <v>1574</v>
      </c>
      <c r="D618" s="114" t="s">
        <v>1073</v>
      </c>
      <c r="E618" s="114" t="s">
        <v>4156</v>
      </c>
    </row>
    <row r="619" spans="1:5" x14ac:dyDescent="0.25">
      <c r="B619" s="114" t="s">
        <v>1575</v>
      </c>
      <c r="C619" s="114" t="s">
        <v>1072</v>
      </c>
      <c r="D619" s="114" t="s">
        <v>4157</v>
      </c>
      <c r="E619" s="114" t="s">
        <v>4158</v>
      </c>
    </row>
    <row r="620" spans="1:5" x14ac:dyDescent="0.25">
      <c r="B620" s="114" t="s">
        <v>1073</v>
      </c>
      <c r="D620" s="114" t="s">
        <v>4159</v>
      </c>
      <c r="E620" s="114" t="s">
        <v>4160</v>
      </c>
    </row>
    <row r="621" spans="1:5" x14ac:dyDescent="0.25">
      <c r="B621" s="114" t="s">
        <v>1073</v>
      </c>
      <c r="D621" s="114" t="s">
        <v>1073</v>
      </c>
      <c r="E621" s="114" t="s">
        <v>4161</v>
      </c>
    </row>
    <row r="622" spans="1:5" x14ac:dyDescent="0.25">
      <c r="B622" s="114" t="s">
        <v>1073</v>
      </c>
      <c r="D622" s="114" t="s">
        <v>4162</v>
      </c>
      <c r="E622" s="114" t="s">
        <v>4163</v>
      </c>
    </row>
    <row r="623" spans="1:5" x14ac:dyDescent="0.25">
      <c r="B623" s="114" t="s">
        <v>1576</v>
      </c>
      <c r="D623" s="114" t="s">
        <v>1073</v>
      </c>
      <c r="E623" s="114" t="s">
        <v>4164</v>
      </c>
    </row>
    <row r="624" spans="1:5" x14ac:dyDescent="0.25">
      <c r="B624" s="114" t="s">
        <v>1220</v>
      </c>
      <c r="D624" s="114" t="s">
        <v>1073</v>
      </c>
      <c r="E624" s="114" t="s">
        <v>4165</v>
      </c>
    </row>
    <row r="625" spans="1:5" x14ac:dyDescent="0.25">
      <c r="A625" s="114">
        <v>-6</v>
      </c>
      <c r="B625" s="114" t="s">
        <v>1577</v>
      </c>
      <c r="D625" s="114" t="s">
        <v>4166</v>
      </c>
      <c r="E625" s="114" t="s">
        <v>4167</v>
      </c>
    </row>
    <row r="626" spans="1:5" x14ac:dyDescent="0.25">
      <c r="B626" s="114" t="s">
        <v>1073</v>
      </c>
      <c r="C626" s="114">
        <v>1</v>
      </c>
      <c r="D626" s="114" t="s">
        <v>4168</v>
      </c>
      <c r="E626" s="114" t="s">
        <v>4169</v>
      </c>
    </row>
    <row r="627" spans="1:5" x14ac:dyDescent="0.25">
      <c r="A627" s="114" t="s">
        <v>1072</v>
      </c>
      <c r="B627" s="114" t="s">
        <v>1578</v>
      </c>
      <c r="D627" s="114" t="s">
        <v>4170</v>
      </c>
      <c r="E627" s="114" t="s">
        <v>4171</v>
      </c>
    </row>
    <row r="628" spans="1:5" x14ac:dyDescent="0.25">
      <c r="B628" s="114">
        <f>-42   -213</f>
        <v>-255</v>
      </c>
      <c r="D628" s="114" t="s">
        <v>1073</v>
      </c>
      <c r="E628" s="114" t="s">
        <v>3993</v>
      </c>
    </row>
    <row r="629" spans="1:5" x14ac:dyDescent="0.25">
      <c r="B629" s="114" t="s">
        <v>1579</v>
      </c>
      <c r="D629" s="114" t="s">
        <v>4172</v>
      </c>
      <c r="E629" s="114" t="s">
        <v>4173</v>
      </c>
    </row>
    <row r="630" spans="1:5" x14ac:dyDescent="0.25">
      <c r="B630" s="114" t="s">
        <v>1073</v>
      </c>
      <c r="D630" s="114" t="s">
        <v>1401</v>
      </c>
      <c r="E630" s="114" t="s">
        <v>4174</v>
      </c>
    </row>
    <row r="631" spans="1:5" x14ac:dyDescent="0.25">
      <c r="B631" s="114" t="s">
        <v>1073</v>
      </c>
      <c r="D631" s="114" t="s">
        <v>4175</v>
      </c>
      <c r="E631" s="114" t="s">
        <v>3993</v>
      </c>
    </row>
    <row r="632" spans="1:5" x14ac:dyDescent="0.25">
      <c r="B632" s="114" t="s">
        <v>1580</v>
      </c>
      <c r="C632" s="114" t="s">
        <v>1072</v>
      </c>
      <c r="D632" s="114" t="s">
        <v>4176</v>
      </c>
      <c r="E632" s="114" t="s">
        <v>4177</v>
      </c>
    </row>
    <row r="633" spans="1:5" x14ac:dyDescent="0.25">
      <c r="A633" s="114">
        <v>2</v>
      </c>
      <c r="B633" s="114" t="s">
        <v>1581</v>
      </c>
      <c r="D633" s="114" t="s">
        <v>4178</v>
      </c>
      <c r="E633" s="114" t="s">
        <v>4179</v>
      </c>
    </row>
    <row r="634" spans="1:5" x14ac:dyDescent="0.25">
      <c r="A634" s="114">
        <v>1</v>
      </c>
      <c r="B634" s="114" t="s">
        <v>1582</v>
      </c>
      <c r="D634" s="114">
        <f>-115   -315    -4</f>
        <v>-434</v>
      </c>
      <c r="E634" s="114" t="s">
        <v>4180</v>
      </c>
    </row>
    <row r="635" spans="1:5" x14ac:dyDescent="0.25">
      <c r="B635" s="114" t="s">
        <v>1073</v>
      </c>
      <c r="D635" s="114" t="s">
        <v>4181</v>
      </c>
      <c r="E635" s="114" t="s">
        <v>4088</v>
      </c>
    </row>
    <row r="636" spans="1:5" x14ac:dyDescent="0.25">
      <c r="B636" s="114" t="s">
        <v>1073</v>
      </c>
      <c r="D636" s="114" t="s">
        <v>4182</v>
      </c>
      <c r="E636" s="114" t="s">
        <v>4183</v>
      </c>
    </row>
    <row r="637" spans="1:5" x14ac:dyDescent="0.25">
      <c r="A637" s="114" t="s">
        <v>1072</v>
      </c>
      <c r="B637" s="114" t="s">
        <v>1583</v>
      </c>
      <c r="D637" s="114" t="s">
        <v>4184</v>
      </c>
      <c r="E637" s="114" t="s">
        <v>4185</v>
      </c>
    </row>
    <row r="638" spans="1:5" x14ac:dyDescent="0.25">
      <c r="A638" s="114" t="s">
        <v>1072</v>
      </c>
      <c r="B638" s="114" t="s">
        <v>1407</v>
      </c>
      <c r="D638" s="114" t="s">
        <v>1073</v>
      </c>
      <c r="E638" s="114" t="s">
        <v>4186</v>
      </c>
    </row>
    <row r="639" spans="1:5" x14ac:dyDescent="0.25">
      <c r="B639" s="114" t="s">
        <v>1073</v>
      </c>
      <c r="D639" s="114" t="s">
        <v>4187</v>
      </c>
      <c r="E639" s="114" t="s">
        <v>4188</v>
      </c>
    </row>
    <row r="640" spans="1:5" x14ac:dyDescent="0.25">
      <c r="B640" s="114" t="s">
        <v>1073</v>
      </c>
      <c r="C640" s="114">
        <v>1</v>
      </c>
      <c r="D640" s="114" t="s">
        <v>4189</v>
      </c>
      <c r="E640" s="114" t="s">
        <v>4190</v>
      </c>
    </row>
    <row r="641" spans="1:5" x14ac:dyDescent="0.25">
      <c r="A641" s="114">
        <v>-19</v>
      </c>
      <c r="B641" s="114" t="s">
        <v>1584</v>
      </c>
      <c r="C641" s="114" t="s">
        <v>1072</v>
      </c>
      <c r="D641" s="114" t="s">
        <v>4191</v>
      </c>
      <c r="E641" s="114" t="s">
        <v>4192</v>
      </c>
    </row>
    <row r="642" spans="1:5" x14ac:dyDescent="0.25">
      <c r="B642" s="114" t="s">
        <v>1585</v>
      </c>
      <c r="D642" s="114" t="s">
        <v>4193</v>
      </c>
      <c r="E642" s="114" t="s">
        <v>4194</v>
      </c>
    </row>
    <row r="643" spans="1:5" x14ac:dyDescent="0.25">
      <c r="B643" s="114" t="s">
        <v>1073</v>
      </c>
      <c r="D643" s="114" t="s">
        <v>1073</v>
      </c>
      <c r="E643" s="114" t="s">
        <v>4195</v>
      </c>
    </row>
    <row r="644" spans="1:5" x14ac:dyDescent="0.25">
      <c r="B644" s="114" t="s">
        <v>1586</v>
      </c>
      <c r="D644" s="114">
        <f>-123    -14   -65</f>
        <v>-202</v>
      </c>
      <c r="E644" s="114" t="s">
        <v>4196</v>
      </c>
    </row>
    <row r="645" spans="1:5" x14ac:dyDescent="0.25">
      <c r="A645" s="114" t="s">
        <v>1072</v>
      </c>
      <c r="B645" s="114" t="s">
        <v>1479</v>
      </c>
      <c r="D645" s="114" t="s">
        <v>4197</v>
      </c>
      <c r="E645" s="114" t="s">
        <v>4044</v>
      </c>
    </row>
    <row r="646" spans="1:5" x14ac:dyDescent="0.25">
      <c r="B646" s="114" t="s">
        <v>1118</v>
      </c>
      <c r="D646" s="114" t="s">
        <v>1073</v>
      </c>
      <c r="E646" s="114" t="s">
        <v>4198</v>
      </c>
    </row>
    <row r="647" spans="1:5" x14ac:dyDescent="0.25">
      <c r="B647" s="114" t="s">
        <v>1587</v>
      </c>
      <c r="D647" s="114" t="s">
        <v>1073</v>
      </c>
      <c r="E647" s="114" t="s">
        <v>4199</v>
      </c>
    </row>
    <row r="648" spans="1:5" x14ac:dyDescent="0.25">
      <c r="B648" s="114" t="s">
        <v>1588</v>
      </c>
      <c r="D648" s="114" t="s">
        <v>4200</v>
      </c>
      <c r="E648" s="114" t="s">
        <v>4201</v>
      </c>
    </row>
    <row r="649" spans="1:5" x14ac:dyDescent="0.25">
      <c r="B649" s="114" t="s">
        <v>1073</v>
      </c>
      <c r="D649" s="114" t="s">
        <v>1073</v>
      </c>
      <c r="E649" s="114" t="s">
        <v>3993</v>
      </c>
    </row>
    <row r="650" spans="1:5" x14ac:dyDescent="0.25">
      <c r="B650" s="114" t="s">
        <v>1073</v>
      </c>
      <c r="D650" s="114" t="s">
        <v>1073</v>
      </c>
      <c r="E650" s="114" t="s">
        <v>3993</v>
      </c>
    </row>
    <row r="651" spans="1:5" x14ac:dyDescent="0.25">
      <c r="B651" s="114" t="s">
        <v>1073</v>
      </c>
      <c r="D651" s="114" t="s">
        <v>1073</v>
      </c>
      <c r="E651" s="114" t="s">
        <v>3993</v>
      </c>
    </row>
    <row r="652" spans="1:5" x14ac:dyDescent="0.25">
      <c r="B652" s="114" t="s">
        <v>1073</v>
      </c>
      <c r="D652" s="114" t="s">
        <v>1073</v>
      </c>
      <c r="E652" s="114" t="s">
        <v>3993</v>
      </c>
    </row>
    <row r="653" spans="1:5" x14ac:dyDescent="0.25">
      <c r="B653" s="114" t="s">
        <v>1073</v>
      </c>
      <c r="D653" s="114" t="s">
        <v>1073</v>
      </c>
      <c r="E653" s="114" t="s">
        <v>3993</v>
      </c>
    </row>
    <row r="654" spans="1:5" x14ac:dyDescent="0.25">
      <c r="B654" s="114" t="s">
        <v>1073</v>
      </c>
      <c r="D654" s="114" t="s">
        <v>1073</v>
      </c>
      <c r="E654" s="114" t="s">
        <v>3993</v>
      </c>
    </row>
    <row r="655" spans="1:5" x14ac:dyDescent="0.25">
      <c r="B655" s="114" t="s">
        <v>1073</v>
      </c>
      <c r="D655" s="114" t="s">
        <v>1073</v>
      </c>
      <c r="E655" s="114" t="s">
        <v>3993</v>
      </c>
    </row>
    <row r="656" spans="1:5" x14ac:dyDescent="0.25">
      <c r="B656" s="114" t="s">
        <v>1073</v>
      </c>
      <c r="D656" s="114" t="s">
        <v>1073</v>
      </c>
      <c r="E656" s="114" t="s">
        <v>3993</v>
      </c>
    </row>
    <row r="657" spans="2:5" x14ac:dyDescent="0.25">
      <c r="B657" s="114" t="s">
        <v>1073</v>
      </c>
      <c r="D657" s="114" t="s">
        <v>1073</v>
      </c>
      <c r="E657" s="114" t="s">
        <v>3993</v>
      </c>
    </row>
    <row r="658" spans="2:5" x14ac:dyDescent="0.25">
      <c r="B658" s="114" t="s">
        <v>1073</v>
      </c>
      <c r="D658" s="114" t="s">
        <v>1073</v>
      </c>
      <c r="E658" s="114" t="s">
        <v>3993</v>
      </c>
    </row>
    <row r="659" spans="2:5" x14ac:dyDescent="0.25">
      <c r="B659" s="114" t="s">
        <v>1073</v>
      </c>
      <c r="D659" s="114" t="s">
        <v>1073</v>
      </c>
      <c r="E659" s="114" t="s">
        <v>3993</v>
      </c>
    </row>
    <row r="660" spans="2:5" x14ac:dyDescent="0.25">
      <c r="B660" s="114" t="s">
        <v>1073</v>
      </c>
      <c r="D660" s="114" t="s">
        <v>1073</v>
      </c>
      <c r="E660" s="114" t="s">
        <v>3993</v>
      </c>
    </row>
    <row r="661" spans="2:5" x14ac:dyDescent="0.25">
      <c r="B661" s="114" t="s">
        <v>1073</v>
      </c>
      <c r="D661" s="114" t="s">
        <v>1073</v>
      </c>
      <c r="E661" s="114" t="s">
        <v>3993</v>
      </c>
    </row>
    <row r="662" spans="2:5" x14ac:dyDescent="0.25">
      <c r="B662" s="114" t="s">
        <v>1073</v>
      </c>
      <c r="D662" s="114" t="s">
        <v>1073</v>
      </c>
      <c r="E662" s="114" t="s">
        <v>3993</v>
      </c>
    </row>
    <row r="663" spans="2:5" x14ac:dyDescent="0.25">
      <c r="B663" s="114" t="s">
        <v>1073</v>
      </c>
      <c r="D663" s="114" t="s">
        <v>1073</v>
      </c>
      <c r="E663" s="114" t="s">
        <v>3993</v>
      </c>
    </row>
    <row r="664" spans="2:5" x14ac:dyDescent="0.25">
      <c r="B664" s="114" t="s">
        <v>1073</v>
      </c>
      <c r="D664" s="114" t="s">
        <v>1073</v>
      </c>
      <c r="E664" s="114" t="s">
        <v>3993</v>
      </c>
    </row>
    <row r="665" spans="2:5" x14ac:dyDescent="0.25">
      <c r="B665" s="114" t="s">
        <v>1073</v>
      </c>
      <c r="D665" s="114" t="s">
        <v>1073</v>
      </c>
      <c r="E665" s="114" t="s">
        <v>3993</v>
      </c>
    </row>
    <row r="666" spans="2:5" x14ac:dyDescent="0.25">
      <c r="B666" s="114" t="s">
        <v>1073</v>
      </c>
      <c r="D666" s="114" t="s">
        <v>1073</v>
      </c>
      <c r="E666" s="114" t="s">
        <v>3993</v>
      </c>
    </row>
    <row r="667" spans="2:5" x14ac:dyDescent="0.25">
      <c r="B667" s="114" t="s">
        <v>1073</v>
      </c>
      <c r="D667" s="114" t="s">
        <v>1073</v>
      </c>
      <c r="E667" s="114" t="s">
        <v>3993</v>
      </c>
    </row>
    <row r="668" spans="2:5" x14ac:dyDescent="0.25">
      <c r="B668" s="114" t="s">
        <v>1073</v>
      </c>
      <c r="D668" s="114" t="s">
        <v>1073</v>
      </c>
      <c r="E668" s="114" t="s">
        <v>3993</v>
      </c>
    </row>
    <row r="669" spans="2:5" x14ac:dyDescent="0.25">
      <c r="B669" s="114" t="s">
        <v>1073</v>
      </c>
      <c r="D669" s="114" t="s">
        <v>1073</v>
      </c>
      <c r="E669" s="114" t="s">
        <v>3993</v>
      </c>
    </row>
    <row r="670" spans="2:5" x14ac:dyDescent="0.25">
      <c r="B670" s="114" t="s">
        <v>1073</v>
      </c>
      <c r="D670" s="114" t="s">
        <v>1073</v>
      </c>
      <c r="E670" s="114" t="s">
        <v>3993</v>
      </c>
    </row>
    <row r="671" spans="2:5" x14ac:dyDescent="0.25">
      <c r="B671" s="114" t="s">
        <v>1073</v>
      </c>
      <c r="D671" s="114" t="s">
        <v>1073</v>
      </c>
      <c r="E671" s="114" t="s">
        <v>3993</v>
      </c>
    </row>
    <row r="672" spans="2:5" x14ac:dyDescent="0.25">
      <c r="B672" s="114" t="s">
        <v>1073</v>
      </c>
      <c r="D672" s="114" t="s">
        <v>1073</v>
      </c>
      <c r="E672" s="114" t="s">
        <v>3993</v>
      </c>
    </row>
    <row r="673" spans="1:5" x14ac:dyDescent="0.25">
      <c r="B673" s="114" t="s">
        <v>1073</v>
      </c>
      <c r="D673" s="114" t="s">
        <v>1073</v>
      </c>
      <c r="E673" s="114" t="s">
        <v>3993</v>
      </c>
    </row>
    <row r="674" spans="1:5" x14ac:dyDescent="0.25">
      <c r="B674" s="114" t="s">
        <v>1073</v>
      </c>
      <c r="D674" s="114" t="s">
        <v>1073</v>
      </c>
      <c r="E674" s="114" t="s">
        <v>3993</v>
      </c>
    </row>
    <row r="675" spans="1:5" x14ac:dyDescent="0.25">
      <c r="B675" s="114" t="s">
        <v>1073</v>
      </c>
      <c r="D675" s="114" t="s">
        <v>1073</v>
      </c>
      <c r="E675" s="114" t="s">
        <v>3993</v>
      </c>
    </row>
    <row r="676" spans="1:5" x14ac:dyDescent="0.25">
      <c r="B676" s="114" t="s">
        <v>1073</v>
      </c>
      <c r="D676" s="114" t="s">
        <v>1073</v>
      </c>
      <c r="E676" s="114" t="s">
        <v>3993</v>
      </c>
    </row>
    <row r="677" spans="1:5" x14ac:dyDescent="0.25">
      <c r="B677" s="114" t="s">
        <v>1073</v>
      </c>
      <c r="D677" s="114" t="s">
        <v>1073</v>
      </c>
      <c r="E677" s="114" t="s">
        <v>3993</v>
      </c>
    </row>
    <row r="678" spans="1:5" x14ac:dyDescent="0.25">
      <c r="B678" s="114" t="s">
        <v>1073</v>
      </c>
      <c r="D678" s="114" t="s">
        <v>1073</v>
      </c>
      <c r="E678" s="114" t="s">
        <v>3993</v>
      </c>
    </row>
    <row r="679" spans="1:5" x14ac:dyDescent="0.25">
      <c r="B679" s="114" t="s">
        <v>1073</v>
      </c>
      <c r="D679" s="114" t="s">
        <v>1073</v>
      </c>
      <c r="E679" s="114" t="s">
        <v>3993</v>
      </c>
    </row>
    <row r="680" spans="1:5" x14ac:dyDescent="0.25">
      <c r="B680" s="114" t="s">
        <v>1589</v>
      </c>
      <c r="D680" s="114">
        <f>-310   -246</f>
        <v>-556</v>
      </c>
      <c r="E680" s="114" t="s">
        <v>4202</v>
      </c>
    </row>
    <row r="681" spans="1:5" x14ac:dyDescent="0.25">
      <c r="B681" s="114" t="s">
        <v>1073</v>
      </c>
      <c r="D681" s="114" t="s">
        <v>4203</v>
      </c>
      <c r="E681" s="114" t="s">
        <v>3993</v>
      </c>
    </row>
    <row r="682" spans="1:5" x14ac:dyDescent="0.25">
      <c r="B682" s="114" t="s">
        <v>1073</v>
      </c>
      <c r="D682" s="114" t="s">
        <v>4204</v>
      </c>
      <c r="E682" s="114" t="s">
        <v>4205</v>
      </c>
    </row>
    <row r="683" spans="1:5" x14ac:dyDescent="0.25">
      <c r="A683" s="114">
        <v>-1</v>
      </c>
      <c r="B683" s="114" t="s">
        <v>1590</v>
      </c>
      <c r="D683" s="114" t="s">
        <v>1073</v>
      </c>
      <c r="E683" s="114" t="s">
        <v>4206</v>
      </c>
    </row>
    <row r="684" spans="1:5" x14ac:dyDescent="0.25">
      <c r="B684" s="114" t="s">
        <v>1073</v>
      </c>
      <c r="D684" s="114" t="s">
        <v>1073</v>
      </c>
      <c r="E684" s="114" t="s">
        <v>4207</v>
      </c>
    </row>
    <row r="685" spans="1:5" x14ac:dyDescent="0.25">
      <c r="B685" s="114" t="s">
        <v>1073</v>
      </c>
      <c r="D685" s="114" t="s">
        <v>4208</v>
      </c>
      <c r="E685" s="114" t="s">
        <v>4209</v>
      </c>
    </row>
    <row r="686" spans="1:5" x14ac:dyDescent="0.25">
      <c r="B686" s="114" t="s">
        <v>1591</v>
      </c>
      <c r="C686" s="114" t="s">
        <v>1072</v>
      </c>
      <c r="D686" s="114" t="s">
        <v>4210</v>
      </c>
      <c r="E686" s="114" t="s">
        <v>4211</v>
      </c>
    </row>
    <row r="687" spans="1:5" x14ac:dyDescent="0.25">
      <c r="A687" s="114">
        <v>2</v>
      </c>
      <c r="B687" s="114" t="s">
        <v>1592</v>
      </c>
      <c r="D687" s="114" t="s">
        <v>4212</v>
      </c>
      <c r="E687" s="114" t="s">
        <v>4213</v>
      </c>
    </row>
    <row r="688" spans="1:5" x14ac:dyDescent="0.25">
      <c r="A688" s="114">
        <v>2</v>
      </c>
      <c r="B688" s="114" t="s">
        <v>1593</v>
      </c>
      <c r="C688" s="114" t="s">
        <v>1072</v>
      </c>
      <c r="D688" s="114" t="s">
        <v>4214</v>
      </c>
      <c r="E688" s="114" t="s">
        <v>4215</v>
      </c>
    </row>
    <row r="689" spans="1:5" x14ac:dyDescent="0.25">
      <c r="B689" s="114" t="s">
        <v>1073</v>
      </c>
      <c r="D689" s="114">
        <f>-911  -3045</f>
        <v>-3956</v>
      </c>
      <c r="E689" s="114" t="s">
        <v>3993</v>
      </c>
    </row>
    <row r="690" spans="1:5" x14ac:dyDescent="0.25">
      <c r="B690" s="114" t="s">
        <v>1073</v>
      </c>
      <c r="D690" s="114" t="s">
        <v>4216</v>
      </c>
      <c r="E690" s="114" t="s">
        <v>4217</v>
      </c>
    </row>
    <row r="691" spans="1:5" x14ac:dyDescent="0.25">
      <c r="A691" s="114">
        <v>3</v>
      </c>
      <c r="B691" s="114" t="s">
        <v>1594</v>
      </c>
      <c r="D691" s="114" t="s">
        <v>1073</v>
      </c>
      <c r="E691" s="114" t="s">
        <v>4218</v>
      </c>
    </row>
    <row r="692" spans="1:5" x14ac:dyDescent="0.25">
      <c r="B692" s="114" t="s">
        <v>1073</v>
      </c>
      <c r="D692" s="114" t="s">
        <v>1073</v>
      </c>
      <c r="E692" s="114" t="s">
        <v>4219</v>
      </c>
    </row>
    <row r="693" spans="1:5" x14ac:dyDescent="0.25">
      <c r="B693" s="114" t="s">
        <v>1073</v>
      </c>
      <c r="D693" s="114" t="s">
        <v>4220</v>
      </c>
      <c r="E693" s="114" t="s">
        <v>4221</v>
      </c>
    </row>
    <row r="694" spans="1:5" x14ac:dyDescent="0.25">
      <c r="B694" s="114" t="s">
        <v>1595</v>
      </c>
      <c r="C694" s="114" t="s">
        <v>1072</v>
      </c>
      <c r="D694" s="114" t="s">
        <v>4222</v>
      </c>
      <c r="E694" s="114" t="s">
        <v>4223</v>
      </c>
    </row>
    <row r="695" spans="1:5" x14ac:dyDescent="0.25">
      <c r="A695" s="114">
        <v>10</v>
      </c>
      <c r="B695" s="114" t="s">
        <v>1596</v>
      </c>
      <c r="D695" s="114" t="s">
        <v>4224</v>
      </c>
      <c r="E695" s="114" t="s">
        <v>4225</v>
      </c>
    </row>
    <row r="696" spans="1:5" x14ac:dyDescent="0.25">
      <c r="A696" s="114">
        <v>-4</v>
      </c>
      <c r="B696" s="114" t="s">
        <v>1597</v>
      </c>
      <c r="D696" s="114" t="s">
        <v>4226</v>
      </c>
      <c r="E696" s="114" t="s">
        <v>4227</v>
      </c>
    </row>
    <row r="697" spans="1:5" x14ac:dyDescent="0.25">
      <c r="B697" s="114" t="s">
        <v>1073</v>
      </c>
      <c r="D697" s="114" t="s">
        <v>4228</v>
      </c>
      <c r="E697" s="114" t="s">
        <v>4002</v>
      </c>
    </row>
    <row r="698" spans="1:5" x14ac:dyDescent="0.25">
      <c r="B698" s="114" t="s">
        <v>1073</v>
      </c>
      <c r="D698" s="114" t="s">
        <v>4229</v>
      </c>
      <c r="E698" s="114" t="s">
        <v>4230</v>
      </c>
    </row>
    <row r="699" spans="1:5" x14ac:dyDescent="0.25">
      <c r="A699" s="114" t="s">
        <v>1072</v>
      </c>
      <c r="B699" s="114" t="s">
        <v>1598</v>
      </c>
      <c r="D699" s="114" t="s">
        <v>4231</v>
      </c>
      <c r="E699" s="114" t="s">
        <v>4123</v>
      </c>
    </row>
    <row r="700" spans="1:5" x14ac:dyDescent="0.25">
      <c r="A700" s="114" t="s">
        <v>1072</v>
      </c>
      <c r="B700" s="114" t="s">
        <v>1599</v>
      </c>
      <c r="D700" s="114" t="s">
        <v>1073</v>
      </c>
      <c r="E700" s="114" t="s">
        <v>4232</v>
      </c>
    </row>
    <row r="701" spans="1:5" x14ac:dyDescent="0.25">
      <c r="B701" s="114" t="s">
        <v>1073</v>
      </c>
      <c r="D701" s="114" t="s">
        <v>4233</v>
      </c>
      <c r="E701" s="114" t="s">
        <v>4234</v>
      </c>
    </row>
    <row r="702" spans="1:5" x14ac:dyDescent="0.25">
      <c r="B702" s="114" t="s">
        <v>1073</v>
      </c>
      <c r="C702" s="114">
        <v>1</v>
      </c>
      <c r="D702" s="114" t="s">
        <v>4235</v>
      </c>
      <c r="E702" s="114" t="s">
        <v>4236</v>
      </c>
    </row>
    <row r="703" spans="1:5" x14ac:dyDescent="0.25">
      <c r="A703" s="114">
        <v>6</v>
      </c>
      <c r="B703" s="114" t="s">
        <v>1600</v>
      </c>
      <c r="C703" s="114" t="s">
        <v>1072</v>
      </c>
      <c r="D703" s="114" t="s">
        <v>4237</v>
      </c>
      <c r="E703" s="114" t="s">
        <v>4238</v>
      </c>
    </row>
    <row r="704" spans="1:5" x14ac:dyDescent="0.25">
      <c r="B704" s="114" t="s">
        <v>1601</v>
      </c>
      <c r="D704" s="114" t="s">
        <v>4239</v>
      </c>
      <c r="E704" s="114" t="s">
        <v>4240</v>
      </c>
    </row>
    <row r="705" spans="1:5" x14ac:dyDescent="0.25">
      <c r="B705" s="114" t="s">
        <v>1088</v>
      </c>
      <c r="D705" s="114" t="s">
        <v>1073</v>
      </c>
      <c r="E705" s="114" t="s">
        <v>4241</v>
      </c>
    </row>
    <row r="706" spans="1:5" x14ac:dyDescent="0.25">
      <c r="B706" s="114" t="s">
        <v>1073</v>
      </c>
      <c r="D706" s="114" t="s">
        <v>1073</v>
      </c>
      <c r="E706" s="114" t="s">
        <v>4242</v>
      </c>
    </row>
    <row r="707" spans="1:5" x14ac:dyDescent="0.25">
      <c r="A707" s="114">
        <v>3</v>
      </c>
      <c r="B707" s="114" t="s">
        <v>1602</v>
      </c>
      <c r="D707" s="114" t="s">
        <v>4243</v>
      </c>
      <c r="E707" s="114" t="s">
        <v>4244</v>
      </c>
    </row>
    <row r="708" spans="1:5" x14ac:dyDescent="0.25">
      <c r="B708" s="114" t="s">
        <v>1073</v>
      </c>
      <c r="D708" s="114" t="s">
        <v>4245</v>
      </c>
      <c r="E708" s="114" t="s">
        <v>4246</v>
      </c>
    </row>
    <row r="709" spans="1:5" x14ac:dyDescent="0.25">
      <c r="B709" s="114" t="s">
        <v>1073</v>
      </c>
      <c r="D709" s="114" t="s">
        <v>1073</v>
      </c>
      <c r="E709" s="114" t="s">
        <v>4247</v>
      </c>
    </row>
    <row r="710" spans="1:5" x14ac:dyDescent="0.25">
      <c r="B710" s="114" t="s">
        <v>1073</v>
      </c>
      <c r="D710" s="114" t="s">
        <v>4248</v>
      </c>
      <c r="E710" s="114" t="s">
        <v>4249</v>
      </c>
    </row>
    <row r="711" spans="1:5" x14ac:dyDescent="0.25">
      <c r="B711" s="114" t="s">
        <v>1603</v>
      </c>
      <c r="D711" s="114" t="s">
        <v>4250</v>
      </c>
      <c r="E711" s="114" t="s">
        <v>4251</v>
      </c>
    </row>
    <row r="712" spans="1:5" x14ac:dyDescent="0.25">
      <c r="B712" s="114" t="s">
        <v>1073</v>
      </c>
      <c r="D712" s="114" t="s">
        <v>4252</v>
      </c>
      <c r="E712" s="114" t="s">
        <v>4253</v>
      </c>
    </row>
    <row r="713" spans="1:5" x14ac:dyDescent="0.25">
      <c r="B713" s="114" t="s">
        <v>1073</v>
      </c>
      <c r="D713" s="114" t="s">
        <v>4254</v>
      </c>
      <c r="E713" s="114" t="s">
        <v>4255</v>
      </c>
    </row>
    <row r="714" spans="1:5" x14ac:dyDescent="0.25">
      <c r="B714" s="114" t="s">
        <v>1073</v>
      </c>
      <c r="D714" s="114" t="s">
        <v>1073</v>
      </c>
      <c r="E714" s="114" t="s">
        <v>4256</v>
      </c>
    </row>
    <row r="715" spans="1:5" x14ac:dyDescent="0.25">
      <c r="B715" s="114" t="s">
        <v>1073</v>
      </c>
      <c r="D715" s="114" t="s">
        <v>4257</v>
      </c>
      <c r="E715" s="114" t="s">
        <v>4258</v>
      </c>
    </row>
    <row r="716" spans="1:5" x14ac:dyDescent="0.25">
      <c r="B716" s="114" t="s">
        <v>1604</v>
      </c>
      <c r="D716" s="114" t="s">
        <v>1073</v>
      </c>
      <c r="E716" s="114" t="s">
        <v>4259</v>
      </c>
    </row>
    <row r="717" spans="1:5" x14ac:dyDescent="0.25">
      <c r="B717" s="114" t="s">
        <v>1605</v>
      </c>
      <c r="D717" s="114" t="s">
        <v>1073</v>
      </c>
      <c r="E717" s="114" t="s">
        <v>4260</v>
      </c>
    </row>
    <row r="718" spans="1:5" x14ac:dyDescent="0.25">
      <c r="A718" s="114">
        <v>76</v>
      </c>
      <c r="B718" s="114" t="s">
        <v>1410</v>
      </c>
      <c r="D718" s="114" t="s">
        <v>4261</v>
      </c>
      <c r="E718" s="114" t="s">
        <v>4262</v>
      </c>
    </row>
    <row r="719" spans="1:5" x14ac:dyDescent="0.25">
      <c r="B719" s="114" t="s">
        <v>1073</v>
      </c>
      <c r="D719" s="114" t="s">
        <v>4263</v>
      </c>
      <c r="E719" s="114" t="s">
        <v>4264</v>
      </c>
    </row>
    <row r="720" spans="1:5" x14ac:dyDescent="0.25">
      <c r="B720" s="114" t="s">
        <v>1606</v>
      </c>
      <c r="D720" s="114" t="s">
        <v>1073</v>
      </c>
      <c r="E720" s="114" t="s">
        <v>4265</v>
      </c>
    </row>
    <row r="721" spans="1:5" x14ac:dyDescent="0.25">
      <c r="A721" s="114">
        <v>-3</v>
      </c>
      <c r="B721" s="114" t="s">
        <v>1607</v>
      </c>
      <c r="D721" s="114" t="s">
        <v>4266</v>
      </c>
      <c r="E721" s="114" t="s">
        <v>4267</v>
      </c>
    </row>
    <row r="722" spans="1:5" x14ac:dyDescent="0.25">
      <c r="B722" s="114" t="s">
        <v>1073</v>
      </c>
      <c r="D722" s="114">
        <f>-63   -300</f>
        <v>-363</v>
      </c>
      <c r="E722" s="114" t="s">
        <v>3993</v>
      </c>
    </row>
    <row r="723" spans="1:5" x14ac:dyDescent="0.25">
      <c r="B723" s="114" t="s">
        <v>1073</v>
      </c>
      <c r="D723" s="114">
        <f>-838    -65</f>
        <v>-903</v>
      </c>
      <c r="E723" s="114" t="s">
        <v>4268</v>
      </c>
    </row>
    <row r="724" spans="1:5" x14ac:dyDescent="0.25">
      <c r="A724" s="114" t="s">
        <v>1072</v>
      </c>
      <c r="B724" s="114" t="s">
        <v>1608</v>
      </c>
      <c r="D724" s="114" t="s">
        <v>1073</v>
      </c>
      <c r="E724" s="114" t="s">
        <v>4269</v>
      </c>
    </row>
    <row r="725" spans="1:5" x14ac:dyDescent="0.25">
      <c r="B725" s="114" t="s">
        <v>1073</v>
      </c>
      <c r="D725" s="114" t="s">
        <v>1073</v>
      </c>
      <c r="E725" s="114" t="s">
        <v>4270</v>
      </c>
    </row>
    <row r="726" spans="1:5" x14ac:dyDescent="0.25">
      <c r="B726" s="114" t="s">
        <v>1073</v>
      </c>
      <c r="D726" s="114" t="s">
        <v>4271</v>
      </c>
      <c r="E726" s="114" t="s">
        <v>4272</v>
      </c>
    </row>
    <row r="727" spans="1:5" x14ac:dyDescent="0.25">
      <c r="B727" s="114" t="s">
        <v>1609</v>
      </c>
      <c r="D727" s="114" t="s">
        <v>4273</v>
      </c>
      <c r="E727" s="114" t="s">
        <v>4274</v>
      </c>
    </row>
    <row r="728" spans="1:5" x14ac:dyDescent="0.25">
      <c r="B728" s="114" t="s">
        <v>1610</v>
      </c>
      <c r="D728" s="114" t="s">
        <v>4275</v>
      </c>
      <c r="E728" s="114" t="s">
        <v>4276</v>
      </c>
    </row>
    <row r="729" spans="1:5" x14ac:dyDescent="0.25">
      <c r="A729" s="114" t="s">
        <v>1072</v>
      </c>
      <c r="B729" s="114" t="s">
        <v>1611</v>
      </c>
      <c r="D729" s="114" t="s">
        <v>4277</v>
      </c>
      <c r="E729" s="114" t="s">
        <v>4278</v>
      </c>
    </row>
    <row r="730" spans="1:5" x14ac:dyDescent="0.25">
      <c r="B730" s="114" t="s">
        <v>1612</v>
      </c>
      <c r="D730" s="114" t="s">
        <v>4279</v>
      </c>
      <c r="E730" s="114" t="s">
        <v>4280</v>
      </c>
    </row>
    <row r="731" spans="1:5" x14ac:dyDescent="0.25">
      <c r="B731" s="114" t="s">
        <v>1073</v>
      </c>
      <c r="D731" s="114" t="s">
        <v>1073</v>
      </c>
      <c r="E731" s="114" t="s">
        <v>4281</v>
      </c>
    </row>
    <row r="732" spans="1:5" x14ac:dyDescent="0.25">
      <c r="B732" s="114" t="s">
        <v>1613</v>
      </c>
      <c r="D732" s="114" t="s">
        <v>4282</v>
      </c>
      <c r="E732" s="114" t="s">
        <v>4283</v>
      </c>
    </row>
    <row r="733" spans="1:5" x14ac:dyDescent="0.25">
      <c r="A733" s="114" t="s">
        <v>1072</v>
      </c>
      <c r="B733" s="114" t="s">
        <v>1436</v>
      </c>
      <c r="D733" s="114" t="s">
        <v>4284</v>
      </c>
      <c r="E733" s="114" t="s">
        <v>3993</v>
      </c>
    </row>
    <row r="734" spans="1:5" x14ac:dyDescent="0.25">
      <c r="A734" s="114" t="s">
        <v>1072</v>
      </c>
      <c r="B734" s="114" t="s">
        <v>1374</v>
      </c>
      <c r="D734" s="114" t="s">
        <v>1073</v>
      </c>
      <c r="E734" s="114" t="s">
        <v>4285</v>
      </c>
    </row>
    <row r="735" spans="1:5" x14ac:dyDescent="0.25">
      <c r="B735" s="114" t="s">
        <v>1614</v>
      </c>
      <c r="D735" s="114" t="s">
        <v>1073</v>
      </c>
      <c r="E735" s="114" t="s">
        <v>4286</v>
      </c>
    </row>
    <row r="736" spans="1:5" x14ac:dyDescent="0.25">
      <c r="B736" s="114" t="s">
        <v>1615</v>
      </c>
      <c r="D736" s="114" t="s">
        <v>4287</v>
      </c>
      <c r="E736" s="114" t="s">
        <v>4288</v>
      </c>
    </row>
    <row r="737" spans="1:5" x14ac:dyDescent="0.25">
      <c r="A737" s="114">
        <v>-1</v>
      </c>
      <c r="B737" s="114" t="s">
        <v>1373</v>
      </c>
      <c r="D737" s="114" t="s">
        <v>1073</v>
      </c>
      <c r="E737" s="114" t="s">
        <v>4289</v>
      </c>
    </row>
    <row r="738" spans="1:5" x14ac:dyDescent="0.25">
      <c r="A738" s="114">
        <v>28</v>
      </c>
      <c r="B738" s="114" t="s">
        <v>1616</v>
      </c>
      <c r="D738" s="114" t="s">
        <v>4290</v>
      </c>
      <c r="E738" s="114" t="s">
        <v>4291</v>
      </c>
    </row>
    <row r="739" spans="1:5" x14ac:dyDescent="0.25">
      <c r="B739" s="114" t="s">
        <v>1073</v>
      </c>
      <c r="D739" s="114" t="s">
        <v>4292</v>
      </c>
      <c r="E739" s="114" t="s">
        <v>4002</v>
      </c>
    </row>
    <row r="740" spans="1:5" x14ac:dyDescent="0.25">
      <c r="B740" s="114" t="s">
        <v>1073</v>
      </c>
      <c r="D740" s="114" t="s">
        <v>4293</v>
      </c>
      <c r="E740" s="114" t="s">
        <v>4294</v>
      </c>
    </row>
    <row r="741" spans="1:5" x14ac:dyDescent="0.25">
      <c r="A741" s="114" t="s">
        <v>1072</v>
      </c>
      <c r="B741" s="114" t="s">
        <v>1617</v>
      </c>
      <c r="D741" s="114" t="s">
        <v>4295</v>
      </c>
      <c r="E741" s="114" t="s">
        <v>4296</v>
      </c>
    </row>
    <row r="742" spans="1:5" x14ac:dyDescent="0.25">
      <c r="A742" s="114" t="s">
        <v>1072</v>
      </c>
      <c r="B742" s="114" t="s">
        <v>1089</v>
      </c>
      <c r="D742" s="114" t="s">
        <v>1073</v>
      </c>
      <c r="E742" s="114" t="s">
        <v>4297</v>
      </c>
    </row>
    <row r="743" spans="1:5" x14ac:dyDescent="0.25">
      <c r="B743" s="114" t="s">
        <v>1073</v>
      </c>
      <c r="D743" s="114" t="s">
        <v>4298</v>
      </c>
      <c r="E743" s="114" t="s">
        <v>4299</v>
      </c>
    </row>
    <row r="744" spans="1:5" x14ac:dyDescent="0.25">
      <c r="B744" s="114" t="s">
        <v>1073</v>
      </c>
      <c r="D744" s="114" t="s">
        <v>4300</v>
      </c>
      <c r="E744" s="114" t="s">
        <v>4301</v>
      </c>
    </row>
    <row r="745" spans="1:5" x14ac:dyDescent="0.25">
      <c r="B745" s="114" t="s">
        <v>1618</v>
      </c>
      <c r="D745" s="114" t="s">
        <v>4302</v>
      </c>
      <c r="E745" s="114" t="s">
        <v>4303</v>
      </c>
    </row>
    <row r="746" spans="1:5" x14ac:dyDescent="0.25">
      <c r="B746" s="114" t="s">
        <v>1619</v>
      </c>
      <c r="D746" s="114" t="s">
        <v>4304</v>
      </c>
      <c r="E746" s="114" t="s">
        <v>4305</v>
      </c>
    </row>
    <row r="747" spans="1:5" x14ac:dyDescent="0.25">
      <c r="B747" s="114" t="s">
        <v>1073</v>
      </c>
      <c r="D747" s="114" t="s">
        <v>1073</v>
      </c>
      <c r="E747" s="114" t="s">
        <v>3993</v>
      </c>
    </row>
    <row r="748" spans="1:5" x14ac:dyDescent="0.25">
      <c r="B748" s="114" t="s">
        <v>1073</v>
      </c>
      <c r="D748" s="114" t="s">
        <v>1073</v>
      </c>
      <c r="E748" s="114" t="s">
        <v>3993</v>
      </c>
    </row>
    <row r="749" spans="1:5" x14ac:dyDescent="0.25">
      <c r="B749" s="114" t="s">
        <v>1073</v>
      </c>
      <c r="D749" s="114" t="s">
        <v>1073</v>
      </c>
      <c r="E749" s="114" t="s">
        <v>3993</v>
      </c>
    </row>
    <row r="750" spans="1:5" x14ac:dyDescent="0.25">
      <c r="B750" s="114" t="s">
        <v>1073</v>
      </c>
      <c r="D750" s="114" t="s">
        <v>1073</v>
      </c>
      <c r="E750" s="114" t="s">
        <v>3993</v>
      </c>
    </row>
    <row r="751" spans="1:5" x14ac:dyDescent="0.25">
      <c r="B751" s="114" t="s">
        <v>1073</v>
      </c>
      <c r="D751" s="114" t="s">
        <v>1073</v>
      </c>
      <c r="E751" s="114" t="s">
        <v>3993</v>
      </c>
    </row>
    <row r="752" spans="1:5" x14ac:dyDescent="0.25">
      <c r="B752" s="114" t="s">
        <v>1073</v>
      </c>
      <c r="D752" s="114" t="s">
        <v>1073</v>
      </c>
      <c r="E752" s="114" t="s">
        <v>3993</v>
      </c>
    </row>
    <row r="753" spans="1:5" x14ac:dyDescent="0.25">
      <c r="B753" s="114" t="s">
        <v>1073</v>
      </c>
      <c r="D753" s="114" t="s">
        <v>1073</v>
      </c>
      <c r="E753" s="114" t="s">
        <v>3993</v>
      </c>
    </row>
    <row r="754" spans="1:5" x14ac:dyDescent="0.25">
      <c r="B754" s="114" t="s">
        <v>1073</v>
      </c>
      <c r="D754" s="114" t="s">
        <v>1073</v>
      </c>
      <c r="E754" s="114" t="s">
        <v>3993</v>
      </c>
    </row>
    <row r="755" spans="1:5" x14ac:dyDescent="0.25">
      <c r="B755" s="114" t="s">
        <v>1073</v>
      </c>
      <c r="D755" s="114" t="s">
        <v>1073</v>
      </c>
      <c r="E755" s="114" t="s">
        <v>4306</v>
      </c>
    </row>
    <row r="756" spans="1:5" x14ac:dyDescent="0.25">
      <c r="B756" s="114" t="s">
        <v>1073</v>
      </c>
      <c r="D756" s="114" t="s">
        <v>4307</v>
      </c>
      <c r="E756" s="114" t="s">
        <v>4308</v>
      </c>
    </row>
    <row r="757" spans="1:5" x14ac:dyDescent="0.25">
      <c r="B757" s="114" t="s">
        <v>1073</v>
      </c>
      <c r="D757" s="114" t="s">
        <v>1073</v>
      </c>
      <c r="E757" s="114" t="s">
        <v>4309</v>
      </c>
    </row>
    <row r="758" spans="1:5" x14ac:dyDescent="0.25">
      <c r="B758" s="114" t="s">
        <v>1073</v>
      </c>
      <c r="D758" s="114" t="s">
        <v>4310</v>
      </c>
      <c r="E758" s="114" t="s">
        <v>4311</v>
      </c>
    </row>
    <row r="759" spans="1:5" x14ac:dyDescent="0.25">
      <c r="B759" s="114" t="s">
        <v>1496</v>
      </c>
      <c r="D759" s="114" t="s">
        <v>1073</v>
      </c>
      <c r="E759" s="114" t="s">
        <v>4312</v>
      </c>
    </row>
    <row r="760" spans="1:5" x14ac:dyDescent="0.25">
      <c r="B760" s="114" t="s">
        <v>1620</v>
      </c>
      <c r="D760" s="114" t="s">
        <v>1073</v>
      </c>
      <c r="E760" s="114" t="s">
        <v>4313</v>
      </c>
    </row>
    <row r="761" spans="1:5" x14ac:dyDescent="0.25">
      <c r="A761" s="114" t="s">
        <v>1072</v>
      </c>
      <c r="B761" s="114" t="s">
        <v>1098</v>
      </c>
      <c r="D761" s="114" t="s">
        <v>4314</v>
      </c>
      <c r="E761" s="114" t="s">
        <v>4315</v>
      </c>
    </row>
    <row r="762" spans="1:5" x14ac:dyDescent="0.25">
      <c r="B762" s="114" t="s">
        <v>1073</v>
      </c>
      <c r="C762" s="114" t="s">
        <v>1072</v>
      </c>
      <c r="D762" s="114" t="s">
        <v>4316</v>
      </c>
      <c r="E762" s="114" t="s">
        <v>4317</v>
      </c>
    </row>
    <row r="763" spans="1:5" x14ac:dyDescent="0.25">
      <c r="A763" s="114">
        <v>-1</v>
      </c>
      <c r="B763" s="114" t="s">
        <v>1621</v>
      </c>
      <c r="D763" s="114" t="s">
        <v>1073</v>
      </c>
      <c r="E763" s="114" t="s">
        <v>4318</v>
      </c>
    </row>
    <row r="764" spans="1:5" x14ac:dyDescent="0.25">
      <c r="A764" s="114">
        <v>-6</v>
      </c>
      <c r="B764" s="114" t="s">
        <v>1622</v>
      </c>
      <c r="C764" s="114">
        <v>1</v>
      </c>
      <c r="D764" s="114" t="s">
        <v>4319</v>
      </c>
      <c r="E764" s="114" t="s">
        <v>4320</v>
      </c>
    </row>
    <row r="765" spans="1:5" x14ac:dyDescent="0.25">
      <c r="B765" s="114" t="s">
        <v>1623</v>
      </c>
      <c r="D765" s="114" t="s">
        <v>4321</v>
      </c>
      <c r="E765" s="114" t="s">
        <v>4322</v>
      </c>
    </row>
    <row r="766" spans="1:5" x14ac:dyDescent="0.25">
      <c r="B766" s="114" t="s">
        <v>1073</v>
      </c>
      <c r="D766" s="114" t="s">
        <v>1073</v>
      </c>
      <c r="E766" s="114" t="s">
        <v>4323</v>
      </c>
    </row>
    <row r="767" spans="1:5" x14ac:dyDescent="0.25">
      <c r="B767" s="114" t="s">
        <v>1210</v>
      </c>
      <c r="D767" s="114" t="s">
        <v>4324</v>
      </c>
      <c r="E767" s="114" t="s">
        <v>4325</v>
      </c>
    </row>
    <row r="768" spans="1:5" x14ac:dyDescent="0.25">
      <c r="A768" s="114" t="s">
        <v>1072</v>
      </c>
      <c r="B768" s="114" t="s">
        <v>1123</v>
      </c>
      <c r="D768" s="114" t="s">
        <v>4326</v>
      </c>
      <c r="E768" s="114" t="s">
        <v>4002</v>
      </c>
    </row>
    <row r="769" spans="1:5" x14ac:dyDescent="0.25">
      <c r="B769" s="114" t="s">
        <v>1131</v>
      </c>
      <c r="D769" s="114" t="s">
        <v>1073</v>
      </c>
      <c r="E769" s="114" t="s">
        <v>4327</v>
      </c>
    </row>
    <row r="770" spans="1:5" x14ac:dyDescent="0.25">
      <c r="B770" s="114" t="s">
        <v>1624</v>
      </c>
      <c r="D770" s="114" t="s">
        <v>1073</v>
      </c>
      <c r="E770" s="114" t="s">
        <v>4328</v>
      </c>
    </row>
    <row r="771" spans="1:5" x14ac:dyDescent="0.25">
      <c r="B771" s="114" t="s">
        <v>1625</v>
      </c>
      <c r="D771" s="114" t="s">
        <v>4329</v>
      </c>
      <c r="E771" s="114" t="s">
        <v>4330</v>
      </c>
    </row>
    <row r="772" spans="1:5" x14ac:dyDescent="0.25">
      <c r="A772" s="114">
        <v>-3</v>
      </c>
      <c r="B772" s="114" t="s">
        <v>1283</v>
      </c>
      <c r="D772" s="114" t="s">
        <v>1073</v>
      </c>
      <c r="E772" s="114" t="s">
        <v>4331</v>
      </c>
    </row>
    <row r="773" spans="1:5" x14ac:dyDescent="0.25">
      <c r="A773" s="114">
        <v>16</v>
      </c>
      <c r="B773" s="114" t="s">
        <v>1626</v>
      </c>
      <c r="C773" s="114">
        <v>2</v>
      </c>
      <c r="D773" s="114" t="s">
        <v>4332</v>
      </c>
      <c r="E773" s="114" t="s">
        <v>4333</v>
      </c>
    </row>
    <row r="774" spans="1:5" x14ac:dyDescent="0.25">
      <c r="B774" s="114" t="s">
        <v>1627</v>
      </c>
      <c r="D774" s="114" t="s">
        <v>4334</v>
      </c>
      <c r="E774" s="114" t="s">
        <v>4335</v>
      </c>
    </row>
    <row r="775" spans="1:5" x14ac:dyDescent="0.25">
      <c r="B775" s="114" t="s">
        <v>1073</v>
      </c>
      <c r="D775" s="114" t="s">
        <v>1073</v>
      </c>
      <c r="E775" s="114" t="s">
        <v>4336</v>
      </c>
    </row>
    <row r="776" spans="1:5" x14ac:dyDescent="0.25">
      <c r="B776" s="114" t="s">
        <v>1628</v>
      </c>
      <c r="D776" s="114" t="s">
        <v>4337</v>
      </c>
      <c r="E776" s="114" t="s">
        <v>4338</v>
      </c>
    </row>
    <row r="777" spans="1:5" x14ac:dyDescent="0.25">
      <c r="A777" s="114" t="s">
        <v>1072</v>
      </c>
      <c r="B777" s="114" t="s">
        <v>1314</v>
      </c>
      <c r="D777" s="114" t="s">
        <v>4339</v>
      </c>
      <c r="E777" s="114" t="s">
        <v>4044</v>
      </c>
    </row>
    <row r="778" spans="1:5" x14ac:dyDescent="0.25">
      <c r="B778" s="114" t="s">
        <v>1629</v>
      </c>
      <c r="D778" s="114" t="s">
        <v>1073</v>
      </c>
      <c r="E778" s="114" t="s">
        <v>4340</v>
      </c>
    </row>
    <row r="779" spans="1:5" x14ac:dyDescent="0.25">
      <c r="B779" s="114" t="s">
        <v>1630</v>
      </c>
      <c r="D779" s="114" t="s">
        <v>1073</v>
      </c>
      <c r="E779" s="114" t="s">
        <v>4341</v>
      </c>
    </row>
    <row r="780" spans="1:5" x14ac:dyDescent="0.25">
      <c r="B780" s="114" t="s">
        <v>1631</v>
      </c>
      <c r="D780" s="114" t="s">
        <v>4342</v>
      </c>
      <c r="E780" s="114" t="s">
        <v>4343</v>
      </c>
    </row>
    <row r="781" spans="1:5" x14ac:dyDescent="0.25">
      <c r="A781" s="114" t="s">
        <v>1072</v>
      </c>
      <c r="B781" s="114" t="s">
        <v>1632</v>
      </c>
      <c r="D781" s="114" t="s">
        <v>1073</v>
      </c>
      <c r="E781" s="114" t="s">
        <v>4344</v>
      </c>
    </row>
    <row r="782" spans="1:5" x14ac:dyDescent="0.25">
      <c r="A782" s="114">
        <v>20</v>
      </c>
      <c r="B782" s="114" t="s">
        <v>1633</v>
      </c>
      <c r="C782" s="114">
        <v>2</v>
      </c>
      <c r="D782" s="114" t="s">
        <v>4345</v>
      </c>
      <c r="E782" s="114" t="s">
        <v>4346</v>
      </c>
    </row>
    <row r="783" spans="1:5" x14ac:dyDescent="0.25">
      <c r="B783" s="114" t="s">
        <v>1073</v>
      </c>
      <c r="D783" s="114" t="s">
        <v>4347</v>
      </c>
      <c r="E783" s="114" t="s">
        <v>4348</v>
      </c>
    </row>
    <row r="784" spans="1:5" x14ac:dyDescent="0.25">
      <c r="B784" s="114" t="s">
        <v>1073</v>
      </c>
      <c r="D784" s="114" t="s">
        <v>1073</v>
      </c>
      <c r="E784" s="114" t="s">
        <v>4349</v>
      </c>
    </row>
    <row r="785" spans="1:5" x14ac:dyDescent="0.25">
      <c r="B785" s="114" t="s">
        <v>1073</v>
      </c>
      <c r="D785" s="114" t="s">
        <v>4350</v>
      </c>
      <c r="E785" s="114" t="s">
        <v>4351</v>
      </c>
    </row>
    <row r="786" spans="1:5" x14ac:dyDescent="0.25">
      <c r="B786" s="114" t="s">
        <v>1634</v>
      </c>
      <c r="D786" s="114" t="s">
        <v>1073</v>
      </c>
      <c r="E786" s="114" t="s">
        <v>4352</v>
      </c>
    </row>
    <row r="787" spans="1:5" x14ac:dyDescent="0.25">
      <c r="B787" s="114" t="s">
        <v>1274</v>
      </c>
      <c r="D787" s="114" t="s">
        <v>1073</v>
      </c>
      <c r="E787" s="114" t="s">
        <v>4353</v>
      </c>
    </row>
    <row r="788" spans="1:5" x14ac:dyDescent="0.25">
      <c r="B788" s="114" t="s">
        <v>1167</v>
      </c>
      <c r="D788" s="114" t="s">
        <v>4354</v>
      </c>
      <c r="E788" s="114" t="s">
        <v>4355</v>
      </c>
    </row>
    <row r="789" spans="1:5" x14ac:dyDescent="0.25">
      <c r="B789" s="114" t="s">
        <v>1073</v>
      </c>
      <c r="D789" s="114" t="s">
        <v>4356</v>
      </c>
      <c r="E789" s="114" t="s">
        <v>4357</v>
      </c>
    </row>
    <row r="790" spans="1:5" x14ac:dyDescent="0.25">
      <c r="B790" s="114" t="s">
        <v>1635</v>
      </c>
      <c r="D790" s="114" t="s">
        <v>1073</v>
      </c>
      <c r="E790" s="114" t="s">
        <v>4358</v>
      </c>
    </row>
    <row r="791" spans="1:5" x14ac:dyDescent="0.25">
      <c r="A791" s="114">
        <v>-5</v>
      </c>
      <c r="B791" s="114" t="s">
        <v>1636</v>
      </c>
      <c r="C791" s="114">
        <v>-1</v>
      </c>
      <c r="D791" s="114" t="s">
        <v>4359</v>
      </c>
      <c r="E791" s="114" t="s">
        <v>4360</v>
      </c>
    </row>
    <row r="792" spans="1:5" x14ac:dyDescent="0.25">
      <c r="A792" s="114" t="s">
        <v>1072</v>
      </c>
      <c r="B792" s="114" t="s">
        <v>1637</v>
      </c>
      <c r="D792" s="114" t="s">
        <v>4361</v>
      </c>
      <c r="E792" s="114" t="s">
        <v>4362</v>
      </c>
    </row>
    <row r="793" spans="1:5" x14ac:dyDescent="0.25">
      <c r="B793" s="114">
        <f>-71    -67</f>
        <v>-138</v>
      </c>
      <c r="D793" s="114" t="s">
        <v>1073</v>
      </c>
      <c r="E793" s="114" t="s">
        <v>3993</v>
      </c>
    </row>
    <row r="794" spans="1:5" x14ac:dyDescent="0.25">
      <c r="B794" s="114" t="s">
        <v>1638</v>
      </c>
      <c r="D794" s="114" t="s">
        <v>4363</v>
      </c>
      <c r="E794" s="114" t="s">
        <v>4364</v>
      </c>
    </row>
    <row r="795" spans="1:5" x14ac:dyDescent="0.25">
      <c r="B795" s="114" t="s">
        <v>1073</v>
      </c>
      <c r="D795" s="114" t="s">
        <v>4365</v>
      </c>
      <c r="E795" s="114" t="s">
        <v>4366</v>
      </c>
    </row>
    <row r="796" spans="1:5" x14ac:dyDescent="0.25">
      <c r="B796" s="114" t="s">
        <v>1073</v>
      </c>
      <c r="D796" s="114" t="s">
        <v>4367</v>
      </c>
      <c r="E796" s="114" t="s">
        <v>3993</v>
      </c>
    </row>
    <row r="797" spans="1:5" x14ac:dyDescent="0.25">
      <c r="B797" s="114" t="s">
        <v>1639</v>
      </c>
      <c r="D797" s="114" t="s">
        <v>4368</v>
      </c>
      <c r="E797" s="114" t="s">
        <v>4369</v>
      </c>
    </row>
    <row r="798" spans="1:5" x14ac:dyDescent="0.25">
      <c r="A798" s="114" t="s">
        <v>1072</v>
      </c>
      <c r="B798" s="114" t="s">
        <v>1640</v>
      </c>
      <c r="D798" s="114" t="s">
        <v>4370</v>
      </c>
      <c r="E798" s="114" t="s">
        <v>4371</v>
      </c>
    </row>
    <row r="799" spans="1:5" x14ac:dyDescent="0.25">
      <c r="B799" s="114">
        <f>-19   -174</f>
        <v>-193</v>
      </c>
      <c r="D799" s="114" t="s">
        <v>4372</v>
      </c>
      <c r="E799" s="114" t="s">
        <v>4373</v>
      </c>
    </row>
    <row r="800" spans="1:5" x14ac:dyDescent="0.25">
      <c r="A800" s="114" t="s">
        <v>1072</v>
      </c>
      <c r="B800" s="114" t="s">
        <v>1641</v>
      </c>
      <c r="C800" s="114" t="s">
        <v>1072</v>
      </c>
      <c r="D800" s="114" t="s">
        <v>4374</v>
      </c>
      <c r="E800" s="114" t="s">
        <v>4375</v>
      </c>
    </row>
    <row r="801" spans="1:5" x14ac:dyDescent="0.25">
      <c r="A801" s="114">
        <v>33</v>
      </c>
      <c r="B801" s="114" t="s">
        <v>1642</v>
      </c>
      <c r="D801" s="114" t="s">
        <v>4376</v>
      </c>
      <c r="E801" s="114" t="s">
        <v>4377</v>
      </c>
    </row>
    <row r="802" spans="1:5" x14ac:dyDescent="0.25">
      <c r="B802" s="114" t="s">
        <v>1073</v>
      </c>
      <c r="D802" s="114" t="s">
        <v>4378</v>
      </c>
      <c r="E802" s="114" t="s">
        <v>4014</v>
      </c>
    </row>
    <row r="803" spans="1:5" x14ac:dyDescent="0.25">
      <c r="B803" s="114" t="s">
        <v>1073</v>
      </c>
      <c r="D803" s="114" t="s">
        <v>4379</v>
      </c>
      <c r="E803" s="114" t="s">
        <v>4380</v>
      </c>
    </row>
    <row r="804" spans="1:5" x14ac:dyDescent="0.25">
      <c r="B804" s="114" t="s">
        <v>1643</v>
      </c>
      <c r="D804" s="114" t="s">
        <v>1245</v>
      </c>
      <c r="E804" s="114" t="s">
        <v>4381</v>
      </c>
    </row>
    <row r="805" spans="1:5" x14ac:dyDescent="0.25">
      <c r="B805" s="114" t="s">
        <v>1644</v>
      </c>
      <c r="D805" s="114" t="s">
        <v>1073</v>
      </c>
      <c r="E805" s="114" t="s">
        <v>4382</v>
      </c>
    </row>
    <row r="806" spans="1:5" x14ac:dyDescent="0.25">
      <c r="B806" s="114" t="s">
        <v>1073</v>
      </c>
      <c r="D806" s="114" t="s">
        <v>4383</v>
      </c>
      <c r="E806" s="114" t="s">
        <v>4384</v>
      </c>
    </row>
    <row r="807" spans="1:5" x14ac:dyDescent="0.25">
      <c r="B807" s="114" t="s">
        <v>1073</v>
      </c>
      <c r="D807" s="114" t="s">
        <v>4385</v>
      </c>
      <c r="E807" s="114" t="s">
        <v>4386</v>
      </c>
    </row>
    <row r="808" spans="1:5" x14ac:dyDescent="0.25">
      <c r="B808" s="114">
        <f>-59    -53</f>
        <v>-112</v>
      </c>
      <c r="D808" s="114">
        <f>-55    -62    -4</f>
        <v>-121</v>
      </c>
      <c r="E808" s="114" t="s">
        <v>4387</v>
      </c>
    </row>
    <row r="809" spans="1:5" x14ac:dyDescent="0.25">
      <c r="B809" s="114" t="s">
        <v>1399</v>
      </c>
      <c r="D809" s="114">
        <f>-88   -266 -1247</f>
        <v>-1601</v>
      </c>
      <c r="E809" s="114" t="s">
        <v>4388</v>
      </c>
    </row>
    <row r="810" spans="1:5" x14ac:dyDescent="0.25">
      <c r="A810" s="114">
        <v>-3</v>
      </c>
      <c r="B810" s="114" t="s">
        <v>1645</v>
      </c>
      <c r="C810" s="114" t="s">
        <v>1072</v>
      </c>
      <c r="D810" s="114" t="s">
        <v>4389</v>
      </c>
      <c r="E810" s="114" t="s">
        <v>4390</v>
      </c>
    </row>
    <row r="811" spans="1:5" x14ac:dyDescent="0.25">
      <c r="B811" s="114" t="s">
        <v>1646</v>
      </c>
      <c r="D811" s="114" t="s">
        <v>4391</v>
      </c>
      <c r="E811" s="114" t="s">
        <v>4392</v>
      </c>
    </row>
    <row r="812" spans="1:5" x14ac:dyDescent="0.25">
      <c r="B812" s="114" t="s">
        <v>1073</v>
      </c>
      <c r="D812" s="114" t="s">
        <v>1073</v>
      </c>
      <c r="E812" s="114" t="s">
        <v>4393</v>
      </c>
    </row>
    <row r="813" spans="1:5" x14ac:dyDescent="0.25">
      <c r="B813" s="114" t="s">
        <v>1247</v>
      </c>
      <c r="C813" s="114" t="s">
        <v>1072</v>
      </c>
      <c r="D813" s="114" t="s">
        <v>4394</v>
      </c>
      <c r="E813" s="114" t="s">
        <v>4395</v>
      </c>
    </row>
    <row r="814" spans="1:5" x14ac:dyDescent="0.25">
      <c r="A814" s="114">
        <v>2</v>
      </c>
      <c r="B814" s="114" t="s">
        <v>1180</v>
      </c>
      <c r="D814" s="114" t="s">
        <v>4339</v>
      </c>
      <c r="E814" s="114" t="s">
        <v>4002</v>
      </c>
    </row>
    <row r="815" spans="1:5" x14ac:dyDescent="0.25">
      <c r="A815" s="114" t="s">
        <v>1072</v>
      </c>
      <c r="B815" s="114" t="s">
        <v>1647</v>
      </c>
      <c r="D815" s="114" t="s">
        <v>1073</v>
      </c>
      <c r="E815" s="114" t="s">
        <v>4396</v>
      </c>
    </row>
    <row r="816" spans="1:5" x14ac:dyDescent="0.25">
      <c r="B816" s="114" t="s">
        <v>1648</v>
      </c>
      <c r="D816" s="114" t="s">
        <v>1073</v>
      </c>
      <c r="E816" s="114" t="s">
        <v>4397</v>
      </c>
    </row>
    <row r="817" spans="1:5" x14ac:dyDescent="0.25">
      <c r="B817" s="114" t="s">
        <v>1649</v>
      </c>
      <c r="D817" s="114" t="s">
        <v>4398</v>
      </c>
      <c r="E817" s="114" t="s">
        <v>4399</v>
      </c>
    </row>
    <row r="818" spans="1:5" x14ac:dyDescent="0.25">
      <c r="B818" s="114" t="s">
        <v>1253</v>
      </c>
      <c r="D818" s="114" t="s">
        <v>1073</v>
      </c>
      <c r="E818" s="114" t="s">
        <v>4400</v>
      </c>
    </row>
    <row r="819" spans="1:5" x14ac:dyDescent="0.25">
      <c r="A819" s="114">
        <v>-1</v>
      </c>
      <c r="B819" s="114" t="s">
        <v>1650</v>
      </c>
      <c r="D819" s="114" t="s">
        <v>4401</v>
      </c>
      <c r="E819" s="114" t="s">
        <v>4402</v>
      </c>
    </row>
    <row r="820" spans="1:5" x14ac:dyDescent="0.25">
      <c r="A820" s="114">
        <v>-1</v>
      </c>
      <c r="B820" s="114" t="s">
        <v>1651</v>
      </c>
      <c r="D820" s="114" t="s">
        <v>4403</v>
      </c>
      <c r="E820" s="114" t="s">
        <v>4404</v>
      </c>
    </row>
    <row r="821" spans="1:5" x14ac:dyDescent="0.25">
      <c r="B821" s="114" t="s">
        <v>1073</v>
      </c>
      <c r="D821" s="114" t="s">
        <v>4405</v>
      </c>
      <c r="E821" s="114" t="s">
        <v>3993</v>
      </c>
    </row>
    <row r="822" spans="1:5" x14ac:dyDescent="0.25">
      <c r="B822" s="114" t="s">
        <v>1073</v>
      </c>
      <c r="D822" s="114" t="s">
        <v>4406</v>
      </c>
      <c r="E822" s="114" t="s">
        <v>4407</v>
      </c>
    </row>
    <row r="823" spans="1:5" x14ac:dyDescent="0.25">
      <c r="B823" s="114" t="s">
        <v>1652</v>
      </c>
      <c r="D823" s="114" t="s">
        <v>1073</v>
      </c>
      <c r="E823" s="114" t="s">
        <v>4408</v>
      </c>
    </row>
    <row r="824" spans="1:5" x14ac:dyDescent="0.25">
      <c r="B824" s="114" t="s">
        <v>1073</v>
      </c>
      <c r="D824" s="114" t="s">
        <v>1073</v>
      </c>
      <c r="E824" s="114" t="s">
        <v>4409</v>
      </c>
    </row>
    <row r="825" spans="1:5" x14ac:dyDescent="0.25">
      <c r="B825" s="114" t="s">
        <v>1073</v>
      </c>
      <c r="D825" s="114" t="s">
        <v>4410</v>
      </c>
      <c r="E825" s="114" t="s">
        <v>4411</v>
      </c>
    </row>
    <row r="826" spans="1:5" x14ac:dyDescent="0.25">
      <c r="B826" s="114" t="s">
        <v>1653</v>
      </c>
      <c r="D826" s="114" t="s">
        <v>4412</v>
      </c>
      <c r="E826" s="114" t="s">
        <v>4413</v>
      </c>
    </row>
    <row r="827" spans="1:5" x14ac:dyDescent="0.25">
      <c r="A827" s="114" t="s">
        <v>1072</v>
      </c>
      <c r="B827" s="114" t="s">
        <v>1654</v>
      </c>
      <c r="D827" s="114" t="s">
        <v>4414</v>
      </c>
      <c r="E827" s="114" t="s">
        <v>4415</v>
      </c>
    </row>
    <row r="828" spans="1:5" x14ac:dyDescent="0.25">
      <c r="B828" s="114" t="s">
        <v>1655</v>
      </c>
      <c r="D828" s="114" t="s">
        <v>4416</v>
      </c>
      <c r="E828" s="114" t="s">
        <v>4417</v>
      </c>
    </row>
    <row r="829" spans="1:5" x14ac:dyDescent="0.25">
      <c r="A829" s="114">
        <v>23</v>
      </c>
      <c r="B829" s="114" t="s">
        <v>1656</v>
      </c>
      <c r="C829" s="114">
        <v>-1</v>
      </c>
      <c r="D829" s="114" t="s">
        <v>4418</v>
      </c>
      <c r="E829" s="114" t="s">
        <v>4419</v>
      </c>
    </row>
    <row r="830" spans="1:5" x14ac:dyDescent="0.25">
      <c r="B830" s="114" t="s">
        <v>1073</v>
      </c>
      <c r="D830" s="114" t="s">
        <v>1073</v>
      </c>
      <c r="E830" s="114" t="s">
        <v>3993</v>
      </c>
    </row>
    <row r="831" spans="1:5" x14ac:dyDescent="0.25">
      <c r="B831" s="114" t="s">
        <v>1073</v>
      </c>
      <c r="D831" s="114" t="s">
        <v>1073</v>
      </c>
      <c r="E831" s="114" t="s">
        <v>3993</v>
      </c>
    </row>
    <row r="832" spans="1:5" x14ac:dyDescent="0.25">
      <c r="B832" s="114" t="s">
        <v>1073</v>
      </c>
      <c r="D832" s="114" t="s">
        <v>1073</v>
      </c>
      <c r="E832" s="114" t="s">
        <v>3993</v>
      </c>
    </row>
    <row r="833" spans="2:5" x14ac:dyDescent="0.25">
      <c r="B833" s="114" t="s">
        <v>1073</v>
      </c>
      <c r="D833" s="114" t="s">
        <v>1073</v>
      </c>
      <c r="E833" s="114" t="s">
        <v>3993</v>
      </c>
    </row>
    <row r="834" spans="2:5" x14ac:dyDescent="0.25">
      <c r="B834" s="114" t="s">
        <v>1073</v>
      </c>
      <c r="D834" s="114" t="s">
        <v>1073</v>
      </c>
      <c r="E834" s="114" t="s">
        <v>3993</v>
      </c>
    </row>
    <row r="835" spans="2:5" x14ac:dyDescent="0.25">
      <c r="B835" s="114" t="s">
        <v>1073</v>
      </c>
      <c r="D835" s="114" t="s">
        <v>1073</v>
      </c>
      <c r="E835" s="114" t="s">
        <v>3993</v>
      </c>
    </row>
    <row r="836" spans="2:5" x14ac:dyDescent="0.25">
      <c r="B836" s="114" t="s">
        <v>1073</v>
      </c>
      <c r="D836" s="114" t="s">
        <v>1073</v>
      </c>
      <c r="E836" s="114" t="s">
        <v>3993</v>
      </c>
    </row>
    <row r="837" spans="2:5" x14ac:dyDescent="0.25">
      <c r="B837" s="114" t="s">
        <v>1073</v>
      </c>
      <c r="D837" s="114" t="s">
        <v>1073</v>
      </c>
      <c r="E837" s="114" t="s">
        <v>3993</v>
      </c>
    </row>
    <row r="838" spans="2:5" x14ac:dyDescent="0.25">
      <c r="B838" s="114" t="s">
        <v>1073</v>
      </c>
      <c r="D838" s="114" t="s">
        <v>1073</v>
      </c>
      <c r="E838" s="114" t="s">
        <v>3993</v>
      </c>
    </row>
    <row r="839" spans="2:5" x14ac:dyDescent="0.25">
      <c r="B839" s="114" t="s">
        <v>1073</v>
      </c>
      <c r="D839" s="114" t="s">
        <v>1073</v>
      </c>
      <c r="E839" s="114" t="s">
        <v>3993</v>
      </c>
    </row>
    <row r="840" spans="2:5" x14ac:dyDescent="0.25">
      <c r="B840" s="114" t="s">
        <v>1073</v>
      </c>
      <c r="D840" s="114" t="s">
        <v>1073</v>
      </c>
      <c r="E840" s="114" t="s">
        <v>3993</v>
      </c>
    </row>
    <row r="841" spans="2:5" x14ac:dyDescent="0.25">
      <c r="B841" s="114" t="s">
        <v>1073</v>
      </c>
      <c r="D841" s="114" t="s">
        <v>1073</v>
      </c>
      <c r="E841" s="114" t="s">
        <v>3993</v>
      </c>
    </row>
    <row r="842" spans="2:5" x14ac:dyDescent="0.25">
      <c r="B842" s="114" t="s">
        <v>1073</v>
      </c>
      <c r="D842" s="114" t="s">
        <v>1073</v>
      </c>
      <c r="E842" s="114" t="s">
        <v>3993</v>
      </c>
    </row>
    <row r="843" spans="2:5" x14ac:dyDescent="0.25">
      <c r="B843" s="114" t="s">
        <v>1073</v>
      </c>
      <c r="D843" s="114" t="s">
        <v>1073</v>
      </c>
      <c r="E843" s="114" t="s">
        <v>3993</v>
      </c>
    </row>
    <row r="844" spans="2:5" x14ac:dyDescent="0.25">
      <c r="B844" s="114" t="s">
        <v>1073</v>
      </c>
      <c r="D844" s="114" t="s">
        <v>1073</v>
      </c>
      <c r="E844" s="114" t="s">
        <v>3993</v>
      </c>
    </row>
    <row r="845" spans="2:5" x14ac:dyDescent="0.25">
      <c r="B845" s="114" t="s">
        <v>1073</v>
      </c>
      <c r="D845" s="114" t="s">
        <v>1073</v>
      </c>
      <c r="E845" s="114" t="s">
        <v>3993</v>
      </c>
    </row>
    <row r="846" spans="2:5" x14ac:dyDescent="0.25">
      <c r="B846" s="114" t="s">
        <v>1073</v>
      </c>
      <c r="D846" s="114" t="s">
        <v>1073</v>
      </c>
      <c r="E846" s="114" t="s">
        <v>3993</v>
      </c>
    </row>
    <row r="847" spans="2:5" x14ac:dyDescent="0.25">
      <c r="B847" s="114" t="s">
        <v>1073</v>
      </c>
      <c r="D847" s="114" t="s">
        <v>1073</v>
      </c>
      <c r="E847" s="114" t="s">
        <v>3993</v>
      </c>
    </row>
    <row r="848" spans="2:5" x14ac:dyDescent="0.25">
      <c r="B848" s="114" t="s">
        <v>1073</v>
      </c>
      <c r="D848" s="114" t="s">
        <v>1073</v>
      </c>
      <c r="E848" s="114" t="s">
        <v>3993</v>
      </c>
    </row>
    <row r="849" spans="1:5" x14ac:dyDescent="0.25">
      <c r="B849" s="114" t="s">
        <v>1657</v>
      </c>
      <c r="D849" s="114" t="s">
        <v>4420</v>
      </c>
      <c r="E849" s="114" t="s">
        <v>4421</v>
      </c>
    </row>
    <row r="850" spans="1:5" x14ac:dyDescent="0.25">
      <c r="B850" s="114" t="s">
        <v>1073</v>
      </c>
      <c r="D850" s="114" t="s">
        <v>4422</v>
      </c>
      <c r="E850" s="114" t="s">
        <v>4014</v>
      </c>
    </row>
    <row r="851" spans="1:5" x14ac:dyDescent="0.25">
      <c r="B851" s="114" t="s">
        <v>1073</v>
      </c>
      <c r="D851" s="114" t="s">
        <v>4423</v>
      </c>
      <c r="E851" s="114" t="s">
        <v>4424</v>
      </c>
    </row>
    <row r="852" spans="1:5" x14ac:dyDescent="0.25">
      <c r="B852" s="114" t="s">
        <v>1658</v>
      </c>
      <c r="D852" s="114" t="s">
        <v>4425</v>
      </c>
      <c r="E852" s="114" t="s">
        <v>4426</v>
      </c>
    </row>
    <row r="853" spans="1:5" x14ac:dyDescent="0.25">
      <c r="A853" s="114">
        <v>1</v>
      </c>
      <c r="B853" s="114" t="s">
        <v>1437</v>
      </c>
      <c r="D853" s="114" t="s">
        <v>1073</v>
      </c>
      <c r="E853" s="114" t="s">
        <v>4427</v>
      </c>
    </row>
    <row r="854" spans="1:5" x14ac:dyDescent="0.25">
      <c r="B854" s="114" t="s">
        <v>1073</v>
      </c>
      <c r="D854" s="114" t="s">
        <v>4428</v>
      </c>
      <c r="E854" s="114" t="s">
        <v>4429</v>
      </c>
    </row>
    <row r="855" spans="1:5" x14ac:dyDescent="0.25">
      <c r="B855" s="114" t="s">
        <v>1073</v>
      </c>
      <c r="D855" s="114" t="s">
        <v>4430</v>
      </c>
      <c r="E855" s="114" t="s">
        <v>4431</v>
      </c>
    </row>
    <row r="856" spans="1:5" x14ac:dyDescent="0.25">
      <c r="A856" s="114">
        <v>-3</v>
      </c>
      <c r="B856" s="114" t="s">
        <v>1659</v>
      </c>
      <c r="D856" s="114">
        <f>-67   -570   -41</f>
        <v>-678</v>
      </c>
      <c r="E856" s="114" t="s">
        <v>4432</v>
      </c>
    </row>
    <row r="857" spans="1:5" x14ac:dyDescent="0.25">
      <c r="B857" s="114" t="s">
        <v>1660</v>
      </c>
      <c r="D857" s="114">
        <f>-477   -446  -144</f>
        <v>-1067</v>
      </c>
      <c r="E857" s="114" t="s">
        <v>4433</v>
      </c>
    </row>
    <row r="858" spans="1:5" x14ac:dyDescent="0.25">
      <c r="A858" s="114">
        <v>1</v>
      </c>
      <c r="B858" s="114" t="s">
        <v>1661</v>
      </c>
      <c r="D858" s="114" t="s">
        <v>4434</v>
      </c>
      <c r="E858" s="114" t="s">
        <v>4435</v>
      </c>
    </row>
    <row r="859" spans="1:5" x14ac:dyDescent="0.25">
      <c r="A859" s="114" t="s">
        <v>1072</v>
      </c>
      <c r="B859" s="114" t="s">
        <v>1662</v>
      </c>
      <c r="D859" s="114">
        <f>-730    -83</f>
        <v>-813</v>
      </c>
      <c r="E859" s="114" t="s">
        <v>4436</v>
      </c>
    </row>
    <row r="860" spans="1:5" x14ac:dyDescent="0.25">
      <c r="B860" s="114" t="s">
        <v>1073</v>
      </c>
      <c r="C860" s="114" t="s">
        <v>1072</v>
      </c>
      <c r="D860" s="114" t="s">
        <v>4437</v>
      </c>
      <c r="E860" s="114" t="s">
        <v>3993</v>
      </c>
    </row>
    <row r="861" spans="1:5" x14ac:dyDescent="0.25">
      <c r="B861" s="114" t="s">
        <v>1073</v>
      </c>
      <c r="D861" s="114" t="s">
        <v>4438</v>
      </c>
      <c r="E861" s="114" t="s">
        <v>4439</v>
      </c>
    </row>
    <row r="862" spans="1:5" x14ac:dyDescent="0.25">
      <c r="B862" s="114" t="s">
        <v>1663</v>
      </c>
      <c r="D862" s="114" t="s">
        <v>1073</v>
      </c>
      <c r="E862" s="114" t="s">
        <v>4440</v>
      </c>
    </row>
    <row r="863" spans="1:5" x14ac:dyDescent="0.25">
      <c r="B863" s="114" t="s">
        <v>1073</v>
      </c>
      <c r="D863" s="114" t="s">
        <v>1073</v>
      </c>
      <c r="E863" s="114" t="s">
        <v>4441</v>
      </c>
    </row>
    <row r="864" spans="1:5" x14ac:dyDescent="0.25">
      <c r="B864" s="114" t="s">
        <v>1073</v>
      </c>
      <c r="D864" s="114" t="s">
        <v>4442</v>
      </c>
      <c r="E864" s="114" t="s">
        <v>4443</v>
      </c>
    </row>
    <row r="865" spans="1:5" x14ac:dyDescent="0.25">
      <c r="B865" s="114" t="s">
        <v>1664</v>
      </c>
      <c r="D865" s="114" t="s">
        <v>4444</v>
      </c>
      <c r="E865" s="114" t="s">
        <v>4445</v>
      </c>
    </row>
    <row r="866" spans="1:5" x14ac:dyDescent="0.25">
      <c r="A866" s="114">
        <v>-2</v>
      </c>
      <c r="B866" s="114" t="s">
        <v>1665</v>
      </c>
      <c r="C866" s="114" t="s">
        <v>1072</v>
      </c>
      <c r="D866" s="114" t="s">
        <v>4446</v>
      </c>
      <c r="E866" s="114" t="s">
        <v>4447</v>
      </c>
    </row>
    <row r="867" spans="1:5" x14ac:dyDescent="0.25">
      <c r="A867" s="114" t="s">
        <v>1072</v>
      </c>
      <c r="B867" s="114" t="s">
        <v>1666</v>
      </c>
      <c r="D867" s="114">
        <f>-568  -6910  -315</f>
        <v>-7793</v>
      </c>
      <c r="E867" s="114" t="s">
        <v>4448</v>
      </c>
    </row>
    <row r="868" spans="1:5" x14ac:dyDescent="0.25">
      <c r="A868" s="114">
        <v>10</v>
      </c>
      <c r="B868" s="114" t="s">
        <v>1667</v>
      </c>
      <c r="D868" s="114">
        <f>-878  -1857  -246</f>
        <v>-2981</v>
      </c>
      <c r="E868" s="114" t="s">
        <v>4449</v>
      </c>
    </row>
    <row r="869" spans="1:5" x14ac:dyDescent="0.25">
      <c r="B869" s="114" t="s">
        <v>1073</v>
      </c>
      <c r="D869" s="114" t="s">
        <v>1073</v>
      </c>
      <c r="E869" s="114" t="s">
        <v>3993</v>
      </c>
    </row>
    <row r="870" spans="1:5" x14ac:dyDescent="0.25">
      <c r="B870" s="114" t="s">
        <v>1073</v>
      </c>
      <c r="D870" s="114" t="s">
        <v>1073</v>
      </c>
      <c r="E870" s="114" t="s">
        <v>3993</v>
      </c>
    </row>
    <row r="871" spans="1:5" x14ac:dyDescent="0.25">
      <c r="B871" s="114" t="s">
        <v>1073</v>
      </c>
      <c r="D871" s="114" t="s">
        <v>1073</v>
      </c>
      <c r="E871" s="114" t="s">
        <v>3993</v>
      </c>
    </row>
    <row r="872" spans="1:5" x14ac:dyDescent="0.25">
      <c r="B872" s="114" t="s">
        <v>1073</v>
      </c>
      <c r="D872" s="114" t="s">
        <v>1073</v>
      </c>
      <c r="E872" s="114" t="s">
        <v>3993</v>
      </c>
    </row>
    <row r="873" spans="1:5" x14ac:dyDescent="0.25">
      <c r="B873" s="114" t="s">
        <v>1073</v>
      </c>
      <c r="D873" s="114" t="s">
        <v>1073</v>
      </c>
      <c r="E873" s="114" t="s">
        <v>3993</v>
      </c>
    </row>
    <row r="874" spans="1:5" x14ac:dyDescent="0.25">
      <c r="B874" s="114" t="s">
        <v>1073</v>
      </c>
      <c r="D874" s="114" t="s">
        <v>1073</v>
      </c>
      <c r="E874" s="114" t="s">
        <v>3993</v>
      </c>
    </row>
    <row r="875" spans="1:5" x14ac:dyDescent="0.25">
      <c r="B875" s="114" t="s">
        <v>1073</v>
      </c>
      <c r="D875" s="114" t="s">
        <v>1073</v>
      </c>
      <c r="E875" s="114" t="s">
        <v>3993</v>
      </c>
    </row>
    <row r="876" spans="1:5" x14ac:dyDescent="0.25">
      <c r="B876" s="114" t="s">
        <v>1073</v>
      </c>
      <c r="D876" s="114" t="s">
        <v>1073</v>
      </c>
      <c r="E876" s="114" t="s">
        <v>3993</v>
      </c>
    </row>
    <row r="877" spans="1:5" x14ac:dyDescent="0.25">
      <c r="B877" s="114" t="s">
        <v>1073</v>
      </c>
      <c r="D877" s="114" t="s">
        <v>1073</v>
      </c>
      <c r="E877" s="114" t="s">
        <v>3993</v>
      </c>
    </row>
    <row r="878" spans="1:5" x14ac:dyDescent="0.25">
      <c r="B878" s="114" t="s">
        <v>1073</v>
      </c>
      <c r="D878" s="114" t="s">
        <v>1073</v>
      </c>
      <c r="E878" s="114" t="s">
        <v>3993</v>
      </c>
    </row>
    <row r="879" spans="1:5" x14ac:dyDescent="0.25">
      <c r="B879" s="114" t="s">
        <v>1504</v>
      </c>
      <c r="D879" s="114" t="s">
        <v>4450</v>
      </c>
      <c r="E879" s="114" t="s">
        <v>4451</v>
      </c>
    </row>
    <row r="880" spans="1:5" x14ac:dyDescent="0.25">
      <c r="B880" s="114" t="s">
        <v>1073</v>
      </c>
      <c r="D880" s="114" t="s">
        <v>4452</v>
      </c>
      <c r="E880" s="114" t="s">
        <v>4077</v>
      </c>
    </row>
    <row r="881" spans="1:5" x14ac:dyDescent="0.25">
      <c r="B881" s="114" t="s">
        <v>1073</v>
      </c>
      <c r="D881" s="114" t="s">
        <v>4453</v>
      </c>
      <c r="E881" s="114" t="s">
        <v>4454</v>
      </c>
    </row>
    <row r="882" spans="1:5" x14ac:dyDescent="0.25">
      <c r="B882" s="114">
        <f>-65    -13</f>
        <v>-78</v>
      </c>
      <c r="D882" s="114" t="s">
        <v>4455</v>
      </c>
      <c r="E882" s="114" t="s">
        <v>4456</v>
      </c>
    </row>
    <row r="883" spans="1:5" x14ac:dyDescent="0.25">
      <c r="B883" s="114" t="s">
        <v>1236</v>
      </c>
      <c r="D883" s="114" t="s">
        <v>1073</v>
      </c>
      <c r="E883" s="114" t="s">
        <v>4457</v>
      </c>
    </row>
    <row r="884" spans="1:5" x14ac:dyDescent="0.25">
      <c r="B884" s="114" t="s">
        <v>1073</v>
      </c>
      <c r="D884" s="114" t="s">
        <v>4458</v>
      </c>
      <c r="E884" s="114" t="s">
        <v>4459</v>
      </c>
    </row>
    <row r="885" spans="1:5" x14ac:dyDescent="0.25">
      <c r="B885" s="114" t="s">
        <v>1073</v>
      </c>
      <c r="D885" s="114" t="s">
        <v>4460</v>
      </c>
      <c r="E885" s="114" t="s">
        <v>4461</v>
      </c>
    </row>
    <row r="886" spans="1:5" x14ac:dyDescent="0.25">
      <c r="A886" s="114" t="s">
        <v>1072</v>
      </c>
      <c r="B886" s="114" t="s">
        <v>1668</v>
      </c>
      <c r="D886" s="114">
        <f>-278  -2067   -53</f>
        <v>-2398</v>
      </c>
      <c r="E886" s="114" t="s">
        <v>4462</v>
      </c>
    </row>
    <row r="887" spans="1:5" x14ac:dyDescent="0.25">
      <c r="B887" s="114" t="s">
        <v>1669</v>
      </c>
      <c r="D887" s="114">
        <f>-563   -837  -825</f>
        <v>-2225</v>
      </c>
      <c r="E887" s="114" t="s">
        <v>4463</v>
      </c>
    </row>
    <row r="888" spans="1:5" x14ac:dyDescent="0.25">
      <c r="A888" s="114">
        <v>6</v>
      </c>
      <c r="B888" s="114" t="s">
        <v>1670</v>
      </c>
      <c r="C888" s="114">
        <v>1</v>
      </c>
      <c r="D888" s="114" t="s">
        <v>4464</v>
      </c>
      <c r="E888" s="114" t="s">
        <v>4465</v>
      </c>
    </row>
    <row r="889" spans="1:5" x14ac:dyDescent="0.25">
      <c r="A889" s="114">
        <v>6</v>
      </c>
      <c r="B889" s="114" t="s">
        <v>1671</v>
      </c>
      <c r="D889" s="114" t="s">
        <v>4466</v>
      </c>
      <c r="E889" s="114" t="s">
        <v>4467</v>
      </c>
    </row>
    <row r="890" spans="1:5" x14ac:dyDescent="0.25">
      <c r="B890" s="114" t="s">
        <v>1672</v>
      </c>
      <c r="D890" s="114" t="s">
        <v>1073</v>
      </c>
      <c r="E890" s="114" t="s">
        <v>4468</v>
      </c>
    </row>
    <row r="891" spans="1:5" x14ac:dyDescent="0.25">
      <c r="B891" s="114" t="s">
        <v>1073</v>
      </c>
      <c r="D891" s="114" t="s">
        <v>1073</v>
      </c>
      <c r="E891" s="114" t="s">
        <v>4469</v>
      </c>
    </row>
    <row r="892" spans="1:5" x14ac:dyDescent="0.25">
      <c r="B892" s="114" t="s">
        <v>1673</v>
      </c>
      <c r="D892" s="114">
        <f>-373  -1498   -11</f>
        <v>-1882</v>
      </c>
      <c r="E892" s="114" t="s">
        <v>4470</v>
      </c>
    </row>
    <row r="893" spans="1:5" x14ac:dyDescent="0.25">
      <c r="B893" s="114" t="s">
        <v>1073</v>
      </c>
      <c r="D893" s="114" t="s">
        <v>4471</v>
      </c>
      <c r="E893" s="114" t="s">
        <v>4472</v>
      </c>
    </row>
    <row r="894" spans="1:5" x14ac:dyDescent="0.25">
      <c r="B894" s="114" t="s">
        <v>1073</v>
      </c>
      <c r="D894" s="114" t="s">
        <v>1073</v>
      </c>
      <c r="E894" s="114" t="s">
        <v>4473</v>
      </c>
    </row>
    <row r="895" spans="1:5" x14ac:dyDescent="0.25">
      <c r="B895" s="114" t="s">
        <v>1073</v>
      </c>
      <c r="D895" s="114" t="s">
        <v>4474</v>
      </c>
      <c r="E895" s="114" t="s">
        <v>4475</v>
      </c>
    </row>
    <row r="896" spans="1:5" x14ac:dyDescent="0.25">
      <c r="A896" s="114" t="s">
        <v>1072</v>
      </c>
      <c r="B896" s="114" t="s">
        <v>1116</v>
      </c>
      <c r="D896" s="114" t="s">
        <v>4476</v>
      </c>
      <c r="E896" s="114" t="s">
        <v>4477</v>
      </c>
    </row>
    <row r="897" spans="1:5" x14ac:dyDescent="0.25">
      <c r="B897" s="114" t="s">
        <v>1073</v>
      </c>
      <c r="D897" s="114" t="s">
        <v>4478</v>
      </c>
      <c r="E897" s="114" t="s">
        <v>4479</v>
      </c>
    </row>
    <row r="898" spans="1:5" x14ac:dyDescent="0.25">
      <c r="A898" s="114">
        <v>6</v>
      </c>
      <c r="B898" s="114" t="s">
        <v>1241</v>
      </c>
      <c r="C898" s="114">
        <v>1</v>
      </c>
      <c r="D898" s="114" t="s">
        <v>4480</v>
      </c>
      <c r="E898" s="114" t="s">
        <v>4481</v>
      </c>
    </row>
    <row r="899" spans="1:5" x14ac:dyDescent="0.25">
      <c r="B899" s="114" t="s">
        <v>1073</v>
      </c>
      <c r="D899" s="114" t="s">
        <v>4482</v>
      </c>
      <c r="E899" s="114" t="s">
        <v>4483</v>
      </c>
    </row>
    <row r="900" spans="1:5" x14ac:dyDescent="0.25">
      <c r="B900" s="114" t="s">
        <v>1073</v>
      </c>
      <c r="D900" s="114" t="s">
        <v>4484</v>
      </c>
      <c r="E900" s="114" t="s">
        <v>4485</v>
      </c>
    </row>
    <row r="901" spans="1:5" x14ac:dyDescent="0.25">
      <c r="B901" s="114" t="s">
        <v>1073</v>
      </c>
      <c r="D901" s="114" t="s">
        <v>1073</v>
      </c>
      <c r="E901" s="114" t="s">
        <v>4486</v>
      </c>
    </row>
    <row r="902" spans="1:5" x14ac:dyDescent="0.25">
      <c r="B902" s="114" t="s">
        <v>1073</v>
      </c>
      <c r="D902" s="114" t="s">
        <v>4487</v>
      </c>
      <c r="E902" s="114" t="s">
        <v>4488</v>
      </c>
    </row>
    <row r="903" spans="1:5" x14ac:dyDescent="0.25">
      <c r="B903" s="114" t="s">
        <v>1674</v>
      </c>
      <c r="D903" s="114" t="s">
        <v>1073</v>
      </c>
      <c r="E903" s="114" t="s">
        <v>4489</v>
      </c>
    </row>
    <row r="904" spans="1:5" x14ac:dyDescent="0.25">
      <c r="B904" s="114" t="s">
        <v>1384</v>
      </c>
      <c r="D904" s="114" t="s">
        <v>1073</v>
      </c>
      <c r="E904" s="114" t="s">
        <v>4490</v>
      </c>
    </row>
    <row r="905" spans="1:5" x14ac:dyDescent="0.25">
      <c r="A905" s="114" t="s">
        <v>1072</v>
      </c>
      <c r="B905" s="114" t="s">
        <v>1675</v>
      </c>
      <c r="C905" s="114" t="s">
        <v>1072</v>
      </c>
      <c r="D905" s="114" t="s">
        <v>4491</v>
      </c>
      <c r="E905" s="114" t="s">
        <v>4492</v>
      </c>
    </row>
    <row r="906" spans="1:5" x14ac:dyDescent="0.25">
      <c r="B906" s="114" t="s">
        <v>1073</v>
      </c>
      <c r="D906" s="114" t="s">
        <v>4493</v>
      </c>
      <c r="E906" s="114" t="s">
        <v>4494</v>
      </c>
    </row>
    <row r="907" spans="1:5" x14ac:dyDescent="0.25">
      <c r="A907" s="114">
        <v>-4</v>
      </c>
      <c r="B907" s="114" t="s">
        <v>1676</v>
      </c>
      <c r="D907" s="114" t="s">
        <v>1073</v>
      </c>
      <c r="E907" s="114" t="s">
        <v>4495</v>
      </c>
    </row>
    <row r="908" spans="1:5" x14ac:dyDescent="0.25">
      <c r="A908" s="114">
        <v>-11</v>
      </c>
      <c r="B908" s="114" t="s">
        <v>1677</v>
      </c>
      <c r="C908" s="114">
        <v>2</v>
      </c>
      <c r="D908" s="114" t="s">
        <v>4496</v>
      </c>
      <c r="E908" s="114" t="s">
        <v>4497</v>
      </c>
    </row>
    <row r="909" spans="1:5" x14ac:dyDescent="0.25">
      <c r="A909" s="114">
        <v>5</v>
      </c>
      <c r="B909" s="114" t="s">
        <v>1678</v>
      </c>
      <c r="D909" s="114" t="s">
        <v>4498</v>
      </c>
      <c r="E909" s="114" t="s">
        <v>4499</v>
      </c>
    </row>
    <row r="910" spans="1:5" x14ac:dyDescent="0.25">
      <c r="B910" s="114" t="s">
        <v>1679</v>
      </c>
      <c r="D910" s="114">
        <f>-191    -92</f>
        <v>-283</v>
      </c>
      <c r="E910" s="114" t="s">
        <v>4500</v>
      </c>
    </row>
    <row r="911" spans="1:5" x14ac:dyDescent="0.25">
      <c r="B911" s="114" t="s">
        <v>1073</v>
      </c>
      <c r="D911" s="114" t="s">
        <v>4501</v>
      </c>
      <c r="E911" s="114" t="s">
        <v>3993</v>
      </c>
    </row>
    <row r="912" spans="1:5" x14ac:dyDescent="0.25">
      <c r="B912" s="114" t="s">
        <v>1073</v>
      </c>
      <c r="D912" s="114">
        <f>-93    -15</f>
        <v>-108</v>
      </c>
      <c r="E912" s="114" t="s">
        <v>4502</v>
      </c>
    </row>
    <row r="913" spans="1:5" x14ac:dyDescent="0.25">
      <c r="B913" s="114" t="s">
        <v>1680</v>
      </c>
      <c r="D913" s="114" t="s">
        <v>1073</v>
      </c>
      <c r="E913" s="114" t="s">
        <v>4503</v>
      </c>
    </row>
    <row r="914" spans="1:5" x14ac:dyDescent="0.25">
      <c r="B914" s="114" t="s">
        <v>1073</v>
      </c>
      <c r="D914" s="114" t="s">
        <v>1073</v>
      </c>
      <c r="E914" s="114" t="s">
        <v>4504</v>
      </c>
    </row>
    <row r="915" spans="1:5" x14ac:dyDescent="0.25">
      <c r="B915" s="114" t="s">
        <v>1073</v>
      </c>
      <c r="D915" s="114" t="s">
        <v>4505</v>
      </c>
      <c r="E915" s="114" t="s">
        <v>4506</v>
      </c>
    </row>
    <row r="916" spans="1:5" x14ac:dyDescent="0.25">
      <c r="B916" s="114" t="s">
        <v>1681</v>
      </c>
      <c r="D916" s="114">
        <f>-133   -197</f>
        <v>-330</v>
      </c>
      <c r="E916" s="114" t="s">
        <v>4507</v>
      </c>
    </row>
    <row r="917" spans="1:5" x14ac:dyDescent="0.25">
      <c r="A917" s="114">
        <v>-1</v>
      </c>
      <c r="B917" s="114" t="s">
        <v>1682</v>
      </c>
      <c r="D917" s="114">
        <f>-768   -797  -173</f>
        <v>-1738</v>
      </c>
      <c r="E917" s="114" t="s">
        <v>4508</v>
      </c>
    </row>
    <row r="918" spans="1:5" x14ac:dyDescent="0.25">
      <c r="B918" s="114">
        <f>-87   -400</f>
        <v>-487</v>
      </c>
      <c r="D918" s="114">
        <f>-113 -15440  -882</f>
        <v>-16435</v>
      </c>
      <c r="E918" s="114" t="s">
        <v>4509</v>
      </c>
    </row>
    <row r="919" spans="1:5" x14ac:dyDescent="0.25">
      <c r="A919" s="114">
        <v>17</v>
      </c>
      <c r="B919" s="114" t="s">
        <v>1683</v>
      </c>
      <c r="D919" s="114" t="s">
        <v>4510</v>
      </c>
      <c r="E919" s="114" t="s">
        <v>4511</v>
      </c>
    </row>
    <row r="920" spans="1:5" x14ac:dyDescent="0.25">
      <c r="A920" s="114">
        <v>18</v>
      </c>
      <c r="B920" s="114" t="s">
        <v>1684</v>
      </c>
      <c r="C920" s="114">
        <v>1</v>
      </c>
      <c r="D920" s="114" t="s">
        <v>4512</v>
      </c>
      <c r="E920" s="114" t="s">
        <v>3992</v>
      </c>
    </row>
    <row r="921" spans="1:5" x14ac:dyDescent="0.25">
      <c r="B921" s="114" t="s">
        <v>1073</v>
      </c>
      <c r="D921" s="114" t="s">
        <v>1073</v>
      </c>
      <c r="E921" s="114" t="s">
        <v>3993</v>
      </c>
    </row>
    <row r="922" spans="1:5" x14ac:dyDescent="0.25">
      <c r="B922" s="114" t="s">
        <v>1073</v>
      </c>
      <c r="D922" s="114" t="s">
        <v>1073</v>
      </c>
      <c r="E922" s="114" t="s">
        <v>3993</v>
      </c>
    </row>
    <row r="923" spans="1:5" x14ac:dyDescent="0.25">
      <c r="B923" s="114" t="s">
        <v>1073</v>
      </c>
      <c r="D923" s="114" t="s">
        <v>1073</v>
      </c>
      <c r="E923" s="114" t="s">
        <v>3993</v>
      </c>
    </row>
    <row r="924" spans="1:5" x14ac:dyDescent="0.25">
      <c r="B924" s="114" t="s">
        <v>1073</v>
      </c>
      <c r="D924" s="114" t="s">
        <v>1073</v>
      </c>
      <c r="E924" s="114" t="s">
        <v>3993</v>
      </c>
    </row>
    <row r="925" spans="1:5" x14ac:dyDescent="0.25">
      <c r="B925" s="114" t="s">
        <v>1073</v>
      </c>
      <c r="D925" s="114" t="s">
        <v>1073</v>
      </c>
      <c r="E925" s="114" t="s">
        <v>3993</v>
      </c>
    </row>
    <row r="926" spans="1:5" x14ac:dyDescent="0.25">
      <c r="B926" s="114" t="s">
        <v>1073</v>
      </c>
      <c r="D926" s="114" t="s">
        <v>1073</v>
      </c>
      <c r="E926" s="114" t="s">
        <v>3993</v>
      </c>
    </row>
    <row r="927" spans="1:5" x14ac:dyDescent="0.25">
      <c r="B927" s="114" t="s">
        <v>1073</v>
      </c>
      <c r="D927" s="114" t="s">
        <v>1073</v>
      </c>
      <c r="E927" s="114" t="s">
        <v>3993</v>
      </c>
    </row>
    <row r="928" spans="1:5" x14ac:dyDescent="0.25">
      <c r="B928" s="114" t="s">
        <v>1073</v>
      </c>
      <c r="D928" s="114" t="s">
        <v>1073</v>
      </c>
      <c r="E928" s="114" t="s">
        <v>3993</v>
      </c>
    </row>
    <row r="929" spans="2:5" x14ac:dyDescent="0.25">
      <c r="B929" s="114" t="s">
        <v>1073</v>
      </c>
      <c r="D929" s="114" t="s">
        <v>1073</v>
      </c>
      <c r="E929" s="114" t="s">
        <v>3993</v>
      </c>
    </row>
    <row r="930" spans="2:5" x14ac:dyDescent="0.25">
      <c r="B930" s="114" t="s">
        <v>1073</v>
      </c>
      <c r="D930" s="114" t="s">
        <v>1073</v>
      </c>
      <c r="E930" s="114" t="s">
        <v>3993</v>
      </c>
    </row>
    <row r="931" spans="2:5" x14ac:dyDescent="0.25">
      <c r="B931" s="114" t="s">
        <v>1073</v>
      </c>
      <c r="D931" s="114" t="s">
        <v>1073</v>
      </c>
      <c r="E931" s="114" t="s">
        <v>3993</v>
      </c>
    </row>
    <row r="932" spans="2:5" x14ac:dyDescent="0.25">
      <c r="B932" s="114" t="s">
        <v>1073</v>
      </c>
      <c r="D932" s="114" t="s">
        <v>1073</v>
      </c>
      <c r="E932" s="114" t="s">
        <v>3993</v>
      </c>
    </row>
    <row r="933" spans="2:5" x14ac:dyDescent="0.25">
      <c r="B933" s="114" t="s">
        <v>1073</v>
      </c>
      <c r="D933" s="114" t="s">
        <v>1073</v>
      </c>
      <c r="E933" s="114" t="s">
        <v>3993</v>
      </c>
    </row>
    <row r="934" spans="2:5" x14ac:dyDescent="0.25">
      <c r="B934" s="114" t="s">
        <v>1073</v>
      </c>
      <c r="D934" s="114" t="s">
        <v>1073</v>
      </c>
      <c r="E934" s="114" t="s">
        <v>3993</v>
      </c>
    </row>
    <row r="935" spans="2:5" x14ac:dyDescent="0.25">
      <c r="B935" s="114" t="s">
        <v>1073</v>
      </c>
      <c r="D935" s="114" t="s">
        <v>1073</v>
      </c>
      <c r="E935" s="114" t="s">
        <v>3993</v>
      </c>
    </row>
    <row r="936" spans="2:5" x14ac:dyDescent="0.25">
      <c r="B936" s="114" t="s">
        <v>1073</v>
      </c>
      <c r="D936" s="114" t="s">
        <v>1073</v>
      </c>
      <c r="E936" s="114" t="s">
        <v>3993</v>
      </c>
    </row>
    <row r="937" spans="2:5" x14ac:dyDescent="0.25">
      <c r="B937" s="114" t="s">
        <v>1073</v>
      </c>
      <c r="D937" s="114" t="s">
        <v>1073</v>
      </c>
      <c r="E937" s="114" t="s">
        <v>3993</v>
      </c>
    </row>
    <row r="938" spans="2:5" x14ac:dyDescent="0.25">
      <c r="B938" s="114" t="s">
        <v>1073</v>
      </c>
      <c r="D938" s="114" t="s">
        <v>1073</v>
      </c>
      <c r="E938" s="114" t="s">
        <v>3993</v>
      </c>
    </row>
    <row r="939" spans="2:5" x14ac:dyDescent="0.25">
      <c r="B939" s="114" t="s">
        <v>1073</v>
      </c>
      <c r="D939" s="114" t="s">
        <v>1073</v>
      </c>
      <c r="E939" s="114" t="s">
        <v>3993</v>
      </c>
    </row>
    <row r="940" spans="2:5" x14ac:dyDescent="0.25">
      <c r="B940" s="114" t="s">
        <v>1073</v>
      </c>
      <c r="D940" s="114" t="s">
        <v>1073</v>
      </c>
      <c r="E940" s="114" t="s">
        <v>3993</v>
      </c>
    </row>
    <row r="941" spans="2:5" x14ac:dyDescent="0.25">
      <c r="B941" s="114" t="s">
        <v>1073</v>
      </c>
      <c r="D941" s="114" t="s">
        <v>1073</v>
      </c>
      <c r="E941" s="114" t="s">
        <v>3993</v>
      </c>
    </row>
    <row r="942" spans="2:5" x14ac:dyDescent="0.25">
      <c r="B942" s="114" t="s">
        <v>1073</v>
      </c>
      <c r="D942" s="114" t="s">
        <v>1073</v>
      </c>
      <c r="E942" s="114" t="s">
        <v>3993</v>
      </c>
    </row>
    <row r="943" spans="2:5" x14ac:dyDescent="0.25">
      <c r="B943" s="114" t="s">
        <v>1073</v>
      </c>
      <c r="D943" s="114" t="s">
        <v>1073</v>
      </c>
      <c r="E943" s="114" t="s">
        <v>3993</v>
      </c>
    </row>
    <row r="944" spans="2:5" x14ac:dyDescent="0.25">
      <c r="B944" s="114" t="s">
        <v>1073</v>
      </c>
      <c r="D944" s="114" t="s">
        <v>1073</v>
      </c>
      <c r="E944" s="114" t="s">
        <v>3993</v>
      </c>
    </row>
    <row r="945" spans="2:5" x14ac:dyDescent="0.25">
      <c r="B945" s="114" t="s">
        <v>1073</v>
      </c>
      <c r="D945" s="114" t="s">
        <v>1073</v>
      </c>
      <c r="E945" s="114" t="s">
        <v>3993</v>
      </c>
    </row>
    <row r="946" spans="2:5" x14ac:dyDescent="0.25">
      <c r="B946" s="114" t="s">
        <v>1073</v>
      </c>
      <c r="D946" s="114" t="s">
        <v>1073</v>
      </c>
      <c r="E946" s="114" t="s">
        <v>3993</v>
      </c>
    </row>
    <row r="947" spans="2:5" x14ac:dyDescent="0.25">
      <c r="B947" s="114" t="s">
        <v>1073</v>
      </c>
      <c r="D947" s="114" t="s">
        <v>1073</v>
      </c>
      <c r="E947" s="114" t="s">
        <v>3993</v>
      </c>
    </row>
    <row r="948" spans="2:5" x14ac:dyDescent="0.25">
      <c r="B948" s="114" t="s">
        <v>1073</v>
      </c>
      <c r="D948" s="114" t="s">
        <v>1073</v>
      </c>
      <c r="E948" s="114" t="s">
        <v>3993</v>
      </c>
    </row>
    <row r="949" spans="2:5" x14ac:dyDescent="0.25">
      <c r="B949" s="114" t="s">
        <v>1073</v>
      </c>
      <c r="D949" s="114" t="s">
        <v>1073</v>
      </c>
      <c r="E949" s="114" t="s">
        <v>3993</v>
      </c>
    </row>
    <row r="950" spans="2:5" x14ac:dyDescent="0.25">
      <c r="B950" s="114" t="s">
        <v>1073</v>
      </c>
      <c r="D950" s="114" t="s">
        <v>1073</v>
      </c>
      <c r="E950" s="114" t="s">
        <v>3993</v>
      </c>
    </row>
    <row r="951" spans="2:5" x14ac:dyDescent="0.25">
      <c r="B951" s="114" t="s">
        <v>1073</v>
      </c>
      <c r="D951" s="114" t="s">
        <v>1073</v>
      </c>
      <c r="E951" s="114" t="s">
        <v>3993</v>
      </c>
    </row>
    <row r="952" spans="2:5" x14ac:dyDescent="0.25">
      <c r="B952" s="114" t="s">
        <v>1073</v>
      </c>
      <c r="D952" s="114" t="s">
        <v>1073</v>
      </c>
      <c r="E952" s="114" t="s">
        <v>3993</v>
      </c>
    </row>
    <row r="953" spans="2:5" x14ac:dyDescent="0.25">
      <c r="B953" s="114" t="s">
        <v>1073</v>
      </c>
      <c r="D953" s="114" t="s">
        <v>1073</v>
      </c>
      <c r="E953" s="114" t="s">
        <v>3993</v>
      </c>
    </row>
    <row r="954" spans="2:5" x14ac:dyDescent="0.25">
      <c r="B954" s="114" t="s">
        <v>1073</v>
      </c>
      <c r="D954" s="114" t="s">
        <v>1073</v>
      </c>
      <c r="E954" s="114" t="s">
        <v>3993</v>
      </c>
    </row>
    <row r="955" spans="2:5" x14ac:dyDescent="0.25">
      <c r="B955" s="114" t="s">
        <v>1073</v>
      </c>
      <c r="D955" s="114" t="s">
        <v>1073</v>
      </c>
      <c r="E955" s="114" t="s">
        <v>3993</v>
      </c>
    </row>
    <row r="956" spans="2:5" x14ac:dyDescent="0.25">
      <c r="B956" s="114" t="s">
        <v>1073</v>
      </c>
      <c r="D956" s="114" t="s">
        <v>1073</v>
      </c>
      <c r="E956" s="114" t="s">
        <v>3993</v>
      </c>
    </row>
    <row r="957" spans="2:5" x14ac:dyDescent="0.25">
      <c r="B957" s="114" t="s">
        <v>1073</v>
      </c>
      <c r="D957" s="114" t="s">
        <v>1073</v>
      </c>
      <c r="E957" s="114" t="s">
        <v>3993</v>
      </c>
    </row>
    <row r="958" spans="2:5" x14ac:dyDescent="0.25">
      <c r="B958" s="114" t="s">
        <v>1073</v>
      </c>
      <c r="D958" s="114" t="s">
        <v>1073</v>
      </c>
      <c r="E958" s="114" t="s">
        <v>3993</v>
      </c>
    </row>
    <row r="959" spans="2:5" x14ac:dyDescent="0.25">
      <c r="B959" s="114" t="s">
        <v>1073</v>
      </c>
      <c r="D959" s="114" t="s">
        <v>1073</v>
      </c>
      <c r="E959" s="114" t="s">
        <v>3993</v>
      </c>
    </row>
    <row r="960" spans="2:5" x14ac:dyDescent="0.25">
      <c r="B960" s="114" t="s">
        <v>1073</v>
      </c>
      <c r="D960" s="114" t="s">
        <v>1073</v>
      </c>
      <c r="E960" s="114" t="s">
        <v>3993</v>
      </c>
    </row>
    <row r="961" spans="1:5" x14ac:dyDescent="0.25">
      <c r="B961" s="114" t="s">
        <v>1073</v>
      </c>
      <c r="D961" s="114" t="s">
        <v>1073</v>
      </c>
      <c r="E961" s="114" t="s">
        <v>3993</v>
      </c>
    </row>
    <row r="962" spans="1:5" x14ac:dyDescent="0.25">
      <c r="B962" s="114" t="s">
        <v>1073</v>
      </c>
      <c r="D962" s="114" t="s">
        <v>1073</v>
      </c>
      <c r="E962" s="114" t="s">
        <v>3993</v>
      </c>
    </row>
    <row r="963" spans="1:5" x14ac:dyDescent="0.25">
      <c r="B963" s="114" t="s">
        <v>1073</v>
      </c>
      <c r="D963" s="114" t="s">
        <v>1073</v>
      </c>
      <c r="E963" s="114" t="s">
        <v>4513</v>
      </c>
    </row>
    <row r="964" spans="1:5" x14ac:dyDescent="0.25">
      <c r="B964" s="114" t="s">
        <v>1467</v>
      </c>
      <c r="D964" s="114" t="s">
        <v>4514</v>
      </c>
      <c r="E964" s="114" t="s">
        <v>4515</v>
      </c>
    </row>
    <row r="965" spans="1:5" x14ac:dyDescent="0.25">
      <c r="B965" s="114" t="s">
        <v>1073</v>
      </c>
      <c r="D965" s="114" t="s">
        <v>1073</v>
      </c>
      <c r="E965" s="114" t="s">
        <v>4516</v>
      </c>
    </row>
    <row r="966" spans="1:5" x14ac:dyDescent="0.25">
      <c r="B966" s="114" t="s">
        <v>1685</v>
      </c>
      <c r="D966" s="114">
        <f>-325  -1185   -42</f>
        <v>-1552</v>
      </c>
      <c r="E966" s="114" t="s">
        <v>4517</v>
      </c>
    </row>
    <row r="967" spans="1:5" x14ac:dyDescent="0.25">
      <c r="A967" s="114" t="s">
        <v>1072</v>
      </c>
      <c r="B967" s="114" t="s">
        <v>1415</v>
      </c>
      <c r="D967" s="114" t="s">
        <v>4284</v>
      </c>
      <c r="E967" s="114" t="s">
        <v>4518</v>
      </c>
    </row>
    <row r="968" spans="1:5" x14ac:dyDescent="0.25">
      <c r="B968" s="114" t="s">
        <v>1686</v>
      </c>
      <c r="D968" s="114" t="s">
        <v>1073</v>
      </c>
      <c r="E968" s="114" t="s">
        <v>4519</v>
      </c>
    </row>
    <row r="969" spans="1:5" x14ac:dyDescent="0.25">
      <c r="B969" s="114" t="s">
        <v>1194</v>
      </c>
      <c r="D969" s="114" t="s">
        <v>1073</v>
      </c>
      <c r="E969" s="114" t="s">
        <v>4520</v>
      </c>
    </row>
    <row r="970" spans="1:5" x14ac:dyDescent="0.25">
      <c r="B970" s="114" t="s">
        <v>1186</v>
      </c>
      <c r="D970" s="114" t="s">
        <v>4521</v>
      </c>
      <c r="E970" s="114" t="s">
        <v>4522</v>
      </c>
    </row>
    <row r="971" spans="1:5" x14ac:dyDescent="0.25">
      <c r="A971" s="114" t="s">
        <v>1072</v>
      </c>
      <c r="B971" s="114" t="s">
        <v>1426</v>
      </c>
      <c r="D971" s="114" t="s">
        <v>1073</v>
      </c>
      <c r="E971" s="114" t="s">
        <v>4523</v>
      </c>
    </row>
    <row r="972" spans="1:5" x14ac:dyDescent="0.25">
      <c r="B972" s="114" t="s">
        <v>1687</v>
      </c>
      <c r="D972" s="114" t="s">
        <v>4524</v>
      </c>
      <c r="E972" s="114" t="s">
        <v>4525</v>
      </c>
    </row>
    <row r="973" spans="1:5" x14ac:dyDescent="0.25">
      <c r="A973" s="114">
        <v>12</v>
      </c>
      <c r="B973" s="114" t="s">
        <v>1688</v>
      </c>
      <c r="D973" s="114" t="s">
        <v>4526</v>
      </c>
      <c r="E973" s="114" t="s">
        <v>4527</v>
      </c>
    </row>
    <row r="974" spans="1:5" x14ac:dyDescent="0.25">
      <c r="A974" s="114">
        <v>3</v>
      </c>
      <c r="B974" s="114" t="s">
        <v>1689</v>
      </c>
      <c r="D974" s="114" t="s">
        <v>1073</v>
      </c>
      <c r="E974" s="114" t="s">
        <v>4528</v>
      </c>
    </row>
    <row r="975" spans="1:5" x14ac:dyDescent="0.25">
      <c r="B975" s="114" t="s">
        <v>1690</v>
      </c>
      <c r="D975" s="114" t="s">
        <v>4529</v>
      </c>
      <c r="E975" s="114" t="s">
        <v>4530</v>
      </c>
    </row>
    <row r="976" spans="1:5" x14ac:dyDescent="0.25">
      <c r="B976" s="114" t="s">
        <v>1073</v>
      </c>
      <c r="D976" s="114" t="s">
        <v>1073</v>
      </c>
      <c r="E976" s="114" t="s">
        <v>4531</v>
      </c>
    </row>
    <row r="977" spans="1:5" x14ac:dyDescent="0.25">
      <c r="B977" s="114" t="s">
        <v>1156</v>
      </c>
      <c r="C977" s="114" t="s">
        <v>1072</v>
      </c>
      <c r="D977" s="114" t="s">
        <v>4532</v>
      </c>
      <c r="E977" s="114" t="s">
        <v>4533</v>
      </c>
    </row>
    <row r="978" spans="1:5" x14ac:dyDescent="0.25">
      <c r="A978" s="114">
        <v>2</v>
      </c>
      <c r="B978" s="114" t="s">
        <v>1376</v>
      </c>
      <c r="D978" s="114" t="s">
        <v>4534</v>
      </c>
      <c r="E978" s="114" t="s">
        <v>4002</v>
      </c>
    </row>
    <row r="979" spans="1:5" x14ac:dyDescent="0.25">
      <c r="A979" s="114" t="s">
        <v>1072</v>
      </c>
      <c r="B979" s="114" t="s">
        <v>1080</v>
      </c>
      <c r="D979" s="114" t="s">
        <v>1073</v>
      </c>
      <c r="E979" s="114" t="s">
        <v>4535</v>
      </c>
    </row>
    <row r="980" spans="1:5" x14ac:dyDescent="0.25">
      <c r="B980" s="114" t="s">
        <v>1646</v>
      </c>
      <c r="D980" s="114" t="s">
        <v>1073</v>
      </c>
      <c r="E980" s="114" t="s">
        <v>4536</v>
      </c>
    </row>
    <row r="981" spans="1:5" x14ac:dyDescent="0.25">
      <c r="B981" s="114" t="s">
        <v>1691</v>
      </c>
      <c r="D981" s="114" t="s">
        <v>4537</v>
      </c>
      <c r="E981" s="114" t="s">
        <v>4538</v>
      </c>
    </row>
    <row r="982" spans="1:5" x14ac:dyDescent="0.25">
      <c r="B982" s="114" t="s">
        <v>1328</v>
      </c>
      <c r="D982" s="114" t="s">
        <v>1073</v>
      </c>
      <c r="E982" s="114" t="s">
        <v>4539</v>
      </c>
    </row>
    <row r="983" spans="1:5" x14ac:dyDescent="0.25">
      <c r="A983" s="114" t="s">
        <v>1072</v>
      </c>
      <c r="B983" s="114" t="s">
        <v>1692</v>
      </c>
      <c r="D983" s="114" t="s">
        <v>4540</v>
      </c>
      <c r="E983" s="114" t="s">
        <v>4541</v>
      </c>
    </row>
    <row r="984" spans="1:5" x14ac:dyDescent="0.25">
      <c r="A984" s="114">
        <v>-6</v>
      </c>
      <c r="B984" s="114" t="s">
        <v>1693</v>
      </c>
      <c r="D984" s="114" t="s">
        <v>4542</v>
      </c>
      <c r="E984" s="114" t="s">
        <v>4543</v>
      </c>
    </row>
    <row r="985" spans="1:5" x14ac:dyDescent="0.25">
      <c r="A985" s="114">
        <v>3</v>
      </c>
      <c r="B985" s="114" t="s">
        <v>1150</v>
      </c>
      <c r="D985" s="114" t="s">
        <v>1073</v>
      </c>
      <c r="E985" s="114" t="s">
        <v>4544</v>
      </c>
    </row>
    <row r="986" spans="1:5" x14ac:dyDescent="0.25">
      <c r="B986" s="114" t="s">
        <v>1073</v>
      </c>
      <c r="D986" s="114" t="s">
        <v>1073</v>
      </c>
      <c r="E986" s="114" t="s">
        <v>3993</v>
      </c>
    </row>
    <row r="987" spans="1:5" x14ac:dyDescent="0.25">
      <c r="B987" s="114" t="s">
        <v>1073</v>
      </c>
      <c r="D987" s="114" t="s">
        <v>1073</v>
      </c>
      <c r="E987" s="114" t="s">
        <v>3993</v>
      </c>
    </row>
    <row r="988" spans="1:5" x14ac:dyDescent="0.25">
      <c r="B988" s="114" t="s">
        <v>1073</v>
      </c>
      <c r="D988" s="114" t="s">
        <v>1073</v>
      </c>
      <c r="E988" s="114" t="s">
        <v>3993</v>
      </c>
    </row>
    <row r="989" spans="1:5" x14ac:dyDescent="0.25">
      <c r="B989" s="114" t="s">
        <v>1073</v>
      </c>
      <c r="D989" s="114" t="s">
        <v>1073</v>
      </c>
      <c r="E989" s="114" t="s">
        <v>3993</v>
      </c>
    </row>
    <row r="990" spans="1:5" x14ac:dyDescent="0.25">
      <c r="B990" s="114" t="s">
        <v>1073</v>
      </c>
      <c r="D990" s="114" t="s">
        <v>1073</v>
      </c>
      <c r="E990" s="114" t="s">
        <v>3993</v>
      </c>
    </row>
    <row r="991" spans="1:5" x14ac:dyDescent="0.25">
      <c r="B991" s="114" t="s">
        <v>1073</v>
      </c>
      <c r="D991" s="114" t="s">
        <v>1073</v>
      </c>
      <c r="E991" s="114" t="s">
        <v>3993</v>
      </c>
    </row>
    <row r="992" spans="1:5" x14ac:dyDescent="0.25">
      <c r="B992" s="114" t="s">
        <v>1073</v>
      </c>
      <c r="D992" s="114" t="s">
        <v>1073</v>
      </c>
      <c r="E992" s="114" t="s">
        <v>3993</v>
      </c>
    </row>
    <row r="993" spans="1:5" x14ac:dyDescent="0.25">
      <c r="B993" s="114" t="s">
        <v>1073</v>
      </c>
      <c r="D993" s="114" t="s">
        <v>1073</v>
      </c>
      <c r="E993" s="114" t="s">
        <v>3993</v>
      </c>
    </row>
    <row r="994" spans="1:5" x14ac:dyDescent="0.25">
      <c r="B994" s="114" t="s">
        <v>1073</v>
      </c>
      <c r="D994" s="114" t="s">
        <v>1073</v>
      </c>
      <c r="E994" s="114" t="s">
        <v>3993</v>
      </c>
    </row>
    <row r="995" spans="1:5" x14ac:dyDescent="0.25">
      <c r="B995" s="114" t="s">
        <v>1073</v>
      </c>
      <c r="D995" s="114" t="s">
        <v>1073</v>
      </c>
      <c r="E995" s="114" t="s">
        <v>3993</v>
      </c>
    </row>
    <row r="996" spans="1:5" x14ac:dyDescent="0.25">
      <c r="B996" s="114" t="s">
        <v>1073</v>
      </c>
      <c r="D996" s="114" t="s">
        <v>1073</v>
      </c>
      <c r="E996" s="114" t="s">
        <v>4545</v>
      </c>
    </row>
    <row r="997" spans="1:5" x14ac:dyDescent="0.25">
      <c r="A997" s="114">
        <v>1</v>
      </c>
      <c r="B997" s="114" t="s">
        <v>1694</v>
      </c>
      <c r="D997" s="114" t="s">
        <v>4546</v>
      </c>
      <c r="E997" s="114" t="s">
        <v>4547</v>
      </c>
    </row>
    <row r="998" spans="1:5" x14ac:dyDescent="0.25">
      <c r="B998" s="114" t="s">
        <v>1695</v>
      </c>
      <c r="D998" s="114" t="s">
        <v>1073</v>
      </c>
      <c r="E998" s="114" t="s">
        <v>3993</v>
      </c>
    </row>
    <row r="999" spans="1:5" x14ac:dyDescent="0.25">
      <c r="A999" s="114">
        <v>-3</v>
      </c>
      <c r="B999" s="114" t="s">
        <v>1696</v>
      </c>
      <c r="D999" s="114" t="s">
        <v>4548</v>
      </c>
      <c r="E999" s="114" t="s">
        <v>4549</v>
      </c>
    </row>
    <row r="1000" spans="1:5" x14ac:dyDescent="0.25">
      <c r="B1000" s="114" t="s">
        <v>1073</v>
      </c>
      <c r="D1000" s="114" t="s">
        <v>4550</v>
      </c>
      <c r="E1000" s="114" t="s">
        <v>4551</v>
      </c>
    </row>
    <row r="1001" spans="1:5" x14ac:dyDescent="0.25">
      <c r="B1001" s="114" t="s">
        <v>1073</v>
      </c>
      <c r="D1001" s="114" t="s">
        <v>4552</v>
      </c>
      <c r="E1001" s="114" t="s">
        <v>3993</v>
      </c>
    </row>
    <row r="1002" spans="1:5" x14ac:dyDescent="0.25">
      <c r="B1002" s="114" t="s">
        <v>1697</v>
      </c>
      <c r="D1002" s="114" t="s">
        <v>4553</v>
      </c>
      <c r="E1002" s="114" t="s">
        <v>4554</v>
      </c>
    </row>
    <row r="1003" spans="1:5" x14ac:dyDescent="0.25">
      <c r="A1003" s="114">
        <v>1</v>
      </c>
      <c r="B1003" s="114" t="s">
        <v>1698</v>
      </c>
      <c r="D1003" s="114" t="s">
        <v>4555</v>
      </c>
      <c r="E1003" s="114" t="s">
        <v>4556</v>
      </c>
    </row>
    <row r="1004" spans="1:5" x14ac:dyDescent="0.25">
      <c r="B1004" s="114" t="s">
        <v>1699</v>
      </c>
      <c r="D1004" s="114" t="s">
        <v>4557</v>
      </c>
      <c r="E1004" s="114" t="s">
        <v>4558</v>
      </c>
    </row>
    <row r="1005" spans="1:5" x14ac:dyDescent="0.25">
      <c r="A1005" s="114">
        <v>-2</v>
      </c>
      <c r="B1005" s="114" t="s">
        <v>1700</v>
      </c>
      <c r="D1005" s="114" t="s">
        <v>4559</v>
      </c>
      <c r="E1005" s="114" t="s">
        <v>4560</v>
      </c>
    </row>
    <row r="1006" spans="1:5" x14ac:dyDescent="0.25">
      <c r="A1006" s="114">
        <v>1</v>
      </c>
      <c r="B1006" s="114" t="s">
        <v>1701</v>
      </c>
      <c r="D1006" s="114" t="s">
        <v>4561</v>
      </c>
      <c r="E1006" s="114" t="s">
        <v>4562</v>
      </c>
    </row>
    <row r="1007" spans="1:5" x14ac:dyDescent="0.25">
      <c r="B1007" s="114" t="s">
        <v>1702</v>
      </c>
      <c r="D1007" s="114" t="s">
        <v>4563</v>
      </c>
      <c r="E1007" s="114" t="s">
        <v>4564</v>
      </c>
    </row>
    <row r="1008" spans="1:5" x14ac:dyDescent="0.25">
      <c r="B1008" s="114" t="s">
        <v>1703</v>
      </c>
      <c r="C1008" s="114">
        <v>4</v>
      </c>
      <c r="D1008" s="114" t="s">
        <v>4565</v>
      </c>
      <c r="E1008" s="114" t="s">
        <v>4566</v>
      </c>
    </row>
    <row r="1009" spans="1:5" x14ac:dyDescent="0.25">
      <c r="B1009" s="114" t="s">
        <v>1073</v>
      </c>
      <c r="D1009" s="114" t="s">
        <v>4567</v>
      </c>
      <c r="E1009" s="114" t="s">
        <v>3992</v>
      </c>
    </row>
    <row r="1010" spans="1:5" x14ac:dyDescent="0.25">
      <c r="B1010" s="114" t="s">
        <v>1073</v>
      </c>
      <c r="D1010" s="114" t="s">
        <v>4568</v>
      </c>
      <c r="E1010" s="114" t="s">
        <v>4569</v>
      </c>
    </row>
    <row r="1011" spans="1:5" x14ac:dyDescent="0.25">
      <c r="A1011" s="114" t="s">
        <v>1072</v>
      </c>
      <c r="B1011" s="114" t="s">
        <v>1704</v>
      </c>
      <c r="D1011" s="114" t="s">
        <v>1238</v>
      </c>
      <c r="E1011" s="114" t="s">
        <v>4570</v>
      </c>
    </row>
    <row r="1012" spans="1:5" x14ac:dyDescent="0.25">
      <c r="B1012" s="114" t="s">
        <v>1477</v>
      </c>
      <c r="D1012" s="114" t="s">
        <v>1073</v>
      </c>
      <c r="E1012" s="114" t="s">
        <v>4571</v>
      </c>
    </row>
    <row r="1013" spans="1:5" x14ac:dyDescent="0.25">
      <c r="B1013" s="114" t="s">
        <v>1073</v>
      </c>
      <c r="D1013" s="114" t="s">
        <v>4572</v>
      </c>
      <c r="E1013" s="114" t="s">
        <v>4573</v>
      </c>
    </row>
    <row r="1014" spans="1:5" x14ac:dyDescent="0.25">
      <c r="B1014" s="114" t="s">
        <v>1073</v>
      </c>
      <c r="D1014" s="114" t="s">
        <v>4574</v>
      </c>
      <c r="E1014" s="114" t="s">
        <v>4575</v>
      </c>
    </row>
    <row r="1015" spans="1:5" x14ac:dyDescent="0.25">
      <c r="B1015" s="114" t="s">
        <v>1705</v>
      </c>
      <c r="D1015" s="114" t="s">
        <v>4576</v>
      </c>
      <c r="E1015" s="114" t="s">
        <v>4577</v>
      </c>
    </row>
    <row r="1016" spans="1:5" x14ac:dyDescent="0.25">
      <c r="B1016" s="114" t="s">
        <v>1706</v>
      </c>
      <c r="D1016" s="114" t="s">
        <v>4578</v>
      </c>
      <c r="E1016" s="114" t="s">
        <v>4579</v>
      </c>
    </row>
    <row r="1017" spans="1:5" x14ac:dyDescent="0.25">
      <c r="A1017" s="114" t="s">
        <v>1072</v>
      </c>
      <c r="B1017" s="114" t="s">
        <v>1707</v>
      </c>
      <c r="D1017" s="114" t="s">
        <v>4580</v>
      </c>
      <c r="E1017" s="114" t="s">
        <v>4581</v>
      </c>
    </row>
    <row r="1018" spans="1:5" x14ac:dyDescent="0.25">
      <c r="B1018" s="114" t="s">
        <v>1708</v>
      </c>
      <c r="D1018" s="114" t="s">
        <v>4582</v>
      </c>
      <c r="E1018" s="114" t="s">
        <v>4583</v>
      </c>
    </row>
    <row r="1019" spans="1:5" x14ac:dyDescent="0.25">
      <c r="B1019" s="114" t="s">
        <v>1709</v>
      </c>
      <c r="D1019" s="114" t="s">
        <v>4584</v>
      </c>
      <c r="E1019" s="114" t="s">
        <v>4585</v>
      </c>
    </row>
    <row r="1020" spans="1:5" x14ac:dyDescent="0.25">
      <c r="B1020" s="114" t="s">
        <v>1134</v>
      </c>
      <c r="D1020" s="114" t="s">
        <v>4586</v>
      </c>
      <c r="E1020" s="114" t="s">
        <v>4587</v>
      </c>
    </row>
    <row r="1021" spans="1:5" x14ac:dyDescent="0.25">
      <c r="B1021" s="114" t="s">
        <v>1073</v>
      </c>
      <c r="D1021" s="114" t="s">
        <v>1073</v>
      </c>
      <c r="E1021" s="114" t="s">
        <v>4588</v>
      </c>
    </row>
    <row r="1022" spans="1:5" x14ac:dyDescent="0.25">
      <c r="B1022" s="114" t="s">
        <v>1710</v>
      </c>
      <c r="D1022" s="114" t="s">
        <v>4589</v>
      </c>
      <c r="E1022" s="114" t="s">
        <v>4590</v>
      </c>
    </row>
    <row r="1023" spans="1:5" x14ac:dyDescent="0.25">
      <c r="A1023" s="114" t="s">
        <v>1072</v>
      </c>
      <c r="B1023" s="114" t="s">
        <v>1472</v>
      </c>
      <c r="D1023" s="114" t="s">
        <v>4170</v>
      </c>
      <c r="E1023" s="114" t="s">
        <v>4002</v>
      </c>
    </row>
    <row r="1024" spans="1:5" x14ac:dyDescent="0.25">
      <c r="B1024" s="114" t="s">
        <v>1711</v>
      </c>
      <c r="D1024" s="114" t="s">
        <v>1073</v>
      </c>
      <c r="E1024" s="114" t="s">
        <v>4591</v>
      </c>
    </row>
    <row r="1025" spans="1:5" x14ac:dyDescent="0.25">
      <c r="B1025" s="114" t="s">
        <v>1270</v>
      </c>
      <c r="D1025" s="114" t="s">
        <v>1073</v>
      </c>
      <c r="E1025" s="114" t="s">
        <v>4592</v>
      </c>
    </row>
    <row r="1026" spans="1:5" x14ac:dyDescent="0.25">
      <c r="B1026" s="114" t="s">
        <v>1712</v>
      </c>
      <c r="D1026" s="114" t="s">
        <v>4593</v>
      </c>
      <c r="E1026" s="114" t="s">
        <v>4594</v>
      </c>
    </row>
    <row r="1027" spans="1:5" x14ac:dyDescent="0.25">
      <c r="B1027" s="114" t="s">
        <v>1713</v>
      </c>
      <c r="D1027" s="114" t="s">
        <v>1073</v>
      </c>
      <c r="E1027" s="114" t="s">
        <v>4595</v>
      </c>
    </row>
    <row r="1028" spans="1:5" x14ac:dyDescent="0.25">
      <c r="A1028" s="114">
        <v>-7</v>
      </c>
      <c r="B1028" s="114" t="s">
        <v>1714</v>
      </c>
      <c r="C1028" s="114" t="s">
        <v>1072</v>
      </c>
      <c r="D1028" s="114" t="s">
        <v>4596</v>
      </c>
      <c r="E1028" s="114" t="s">
        <v>4597</v>
      </c>
    </row>
    <row r="1029" spans="1:5" x14ac:dyDescent="0.25">
      <c r="B1029" s="114" t="s">
        <v>1715</v>
      </c>
      <c r="D1029" s="114" t="s">
        <v>4598</v>
      </c>
      <c r="E1029" s="114" t="s">
        <v>4599</v>
      </c>
    </row>
    <row r="1030" spans="1:5" x14ac:dyDescent="0.25">
      <c r="B1030" s="114" t="s">
        <v>1375</v>
      </c>
      <c r="D1030" s="114" t="s">
        <v>1073</v>
      </c>
      <c r="E1030" s="114" t="s">
        <v>4600</v>
      </c>
    </row>
    <row r="1031" spans="1:5" x14ac:dyDescent="0.25">
      <c r="A1031" s="114">
        <v>-6</v>
      </c>
      <c r="B1031" s="114" t="s">
        <v>1716</v>
      </c>
      <c r="D1031" s="114" t="s">
        <v>4601</v>
      </c>
      <c r="E1031" s="114" t="s">
        <v>4602</v>
      </c>
    </row>
    <row r="1032" spans="1:5" x14ac:dyDescent="0.25">
      <c r="B1032" s="114" t="s">
        <v>1073</v>
      </c>
      <c r="D1032" s="114" t="s">
        <v>4603</v>
      </c>
      <c r="E1032" s="114" t="s">
        <v>3993</v>
      </c>
    </row>
    <row r="1033" spans="1:5" x14ac:dyDescent="0.25">
      <c r="B1033" s="114" t="s">
        <v>1073</v>
      </c>
      <c r="D1033" s="114" t="s">
        <v>4604</v>
      </c>
      <c r="E1033" s="114" t="s">
        <v>4605</v>
      </c>
    </row>
    <row r="1034" spans="1:5" x14ac:dyDescent="0.25">
      <c r="A1034" s="114">
        <v>1</v>
      </c>
      <c r="B1034" s="114" t="s">
        <v>1717</v>
      </c>
      <c r="D1034" s="114" t="s">
        <v>1073</v>
      </c>
      <c r="E1034" s="114" t="s">
        <v>4606</v>
      </c>
    </row>
    <row r="1035" spans="1:5" x14ac:dyDescent="0.25">
      <c r="B1035" s="114" t="s">
        <v>1073</v>
      </c>
      <c r="D1035" s="114" t="s">
        <v>1073</v>
      </c>
      <c r="E1035" s="114" t="s">
        <v>4607</v>
      </c>
    </row>
    <row r="1036" spans="1:5" x14ac:dyDescent="0.25">
      <c r="B1036" s="114" t="s">
        <v>1073</v>
      </c>
      <c r="D1036" s="114" t="s">
        <v>4608</v>
      </c>
      <c r="E1036" s="114" t="s">
        <v>4609</v>
      </c>
    </row>
    <row r="1037" spans="1:5" x14ac:dyDescent="0.25">
      <c r="B1037" s="114" t="s">
        <v>1718</v>
      </c>
      <c r="D1037" s="114" t="s">
        <v>4610</v>
      </c>
      <c r="E1037" s="114" t="s">
        <v>4611</v>
      </c>
    </row>
    <row r="1038" spans="1:5" x14ac:dyDescent="0.25">
      <c r="A1038" s="114" t="s">
        <v>1072</v>
      </c>
      <c r="B1038" s="114" t="s">
        <v>1719</v>
      </c>
      <c r="D1038" s="114">
        <f>-166    -11   -71</f>
        <v>-248</v>
      </c>
      <c r="E1038" s="114" t="s">
        <v>4612</v>
      </c>
    </row>
    <row r="1039" spans="1:5" x14ac:dyDescent="0.25">
      <c r="A1039" s="114" t="s">
        <v>1072</v>
      </c>
      <c r="B1039" s="114" t="s">
        <v>1720</v>
      </c>
      <c r="D1039" s="114" t="s">
        <v>4613</v>
      </c>
      <c r="E1039" s="114" t="s">
        <v>4614</v>
      </c>
    </row>
    <row r="1040" spans="1:5" x14ac:dyDescent="0.25">
      <c r="A1040" s="114">
        <v>-2</v>
      </c>
      <c r="B1040" s="114" t="s">
        <v>1721</v>
      </c>
      <c r="D1040" s="114" t="s">
        <v>4615</v>
      </c>
      <c r="E1040" s="114" t="s">
        <v>4616</v>
      </c>
    </row>
    <row r="1041" spans="1:5" x14ac:dyDescent="0.25">
      <c r="A1041" s="114" t="s">
        <v>1072</v>
      </c>
      <c r="B1041" s="114" t="s">
        <v>1305</v>
      </c>
      <c r="D1041" s="114">
        <f>-638  -2550  -242</f>
        <v>-3430</v>
      </c>
      <c r="E1041" s="114" t="s">
        <v>4617</v>
      </c>
    </row>
    <row r="1042" spans="1:5" x14ac:dyDescent="0.25">
      <c r="A1042" s="114" t="s">
        <v>1072</v>
      </c>
      <c r="B1042" s="114" t="s">
        <v>1722</v>
      </c>
      <c r="D1042" s="114" t="s">
        <v>4618</v>
      </c>
      <c r="E1042" s="114" t="s">
        <v>4619</v>
      </c>
    </row>
    <row r="1043" spans="1:5" x14ac:dyDescent="0.25">
      <c r="B1043" s="114" t="s">
        <v>1073</v>
      </c>
      <c r="D1043" s="114" t="s">
        <v>4620</v>
      </c>
      <c r="E1043" s="114" t="s">
        <v>4621</v>
      </c>
    </row>
    <row r="1044" spans="1:5" x14ac:dyDescent="0.25">
      <c r="B1044" s="114" t="s">
        <v>1073</v>
      </c>
      <c r="D1044" s="114" t="s">
        <v>1073</v>
      </c>
      <c r="E1044" s="114" t="s">
        <v>4622</v>
      </c>
    </row>
    <row r="1045" spans="1:5" x14ac:dyDescent="0.25">
      <c r="B1045" s="114" t="s">
        <v>1073</v>
      </c>
      <c r="D1045" s="114" t="s">
        <v>4623</v>
      </c>
      <c r="E1045" s="114" t="s">
        <v>4624</v>
      </c>
    </row>
    <row r="1046" spans="1:5" x14ac:dyDescent="0.25">
      <c r="B1046" s="114" t="s">
        <v>1723</v>
      </c>
      <c r="D1046" s="114" t="s">
        <v>1073</v>
      </c>
      <c r="E1046" s="114" t="s">
        <v>4625</v>
      </c>
    </row>
    <row r="1047" spans="1:5" x14ac:dyDescent="0.25">
      <c r="B1047" s="114" t="s">
        <v>1130</v>
      </c>
      <c r="D1047" s="114" t="s">
        <v>1073</v>
      </c>
      <c r="E1047" s="114" t="s">
        <v>4626</v>
      </c>
    </row>
    <row r="1048" spans="1:5" x14ac:dyDescent="0.25">
      <c r="A1048" s="114" t="s">
        <v>1072</v>
      </c>
      <c r="B1048" s="114" t="s">
        <v>1510</v>
      </c>
      <c r="D1048" s="114" t="s">
        <v>4627</v>
      </c>
      <c r="E1048" s="114" t="s">
        <v>4628</v>
      </c>
    </row>
    <row r="1049" spans="1:5" x14ac:dyDescent="0.25">
      <c r="B1049" s="114" t="s">
        <v>1073</v>
      </c>
      <c r="D1049" s="114" t="s">
        <v>4629</v>
      </c>
      <c r="E1049" s="114" t="s">
        <v>4630</v>
      </c>
    </row>
    <row r="1050" spans="1:5" x14ac:dyDescent="0.25">
      <c r="B1050" s="114" t="s">
        <v>1724</v>
      </c>
      <c r="D1050" s="114" t="s">
        <v>1073</v>
      </c>
      <c r="E1050" s="114" t="s">
        <v>4631</v>
      </c>
    </row>
    <row r="1051" spans="1:5" x14ac:dyDescent="0.25">
      <c r="B1051" s="114" t="s">
        <v>1725</v>
      </c>
      <c r="C1051" s="114" t="s">
        <v>1072</v>
      </c>
      <c r="D1051" s="114" t="s">
        <v>4632</v>
      </c>
      <c r="E1051" s="114" t="s">
        <v>4633</v>
      </c>
    </row>
    <row r="1052" spans="1:5" x14ac:dyDescent="0.25">
      <c r="B1052" s="114" t="s">
        <v>1726</v>
      </c>
      <c r="C1052" s="114" t="s">
        <v>1072</v>
      </c>
      <c r="D1052" s="114" t="s">
        <v>4634</v>
      </c>
      <c r="E1052" s="114" t="s">
        <v>4635</v>
      </c>
    </row>
    <row r="1053" spans="1:5" x14ac:dyDescent="0.25">
      <c r="B1053" s="114" t="s">
        <v>1727</v>
      </c>
      <c r="D1053" s="114" t="s">
        <v>1073</v>
      </c>
      <c r="E1053" s="114" t="s">
        <v>4636</v>
      </c>
    </row>
    <row r="1054" spans="1:5" x14ac:dyDescent="0.25">
      <c r="A1054" s="114">
        <v>-10</v>
      </c>
      <c r="B1054" s="114" t="s">
        <v>1728</v>
      </c>
      <c r="C1054" s="114">
        <v>3</v>
      </c>
      <c r="D1054" s="114" t="s">
        <v>4637</v>
      </c>
      <c r="E1054" s="114" t="s">
        <v>4638</v>
      </c>
    </row>
    <row r="1055" spans="1:5" x14ac:dyDescent="0.25">
      <c r="B1055" s="114" t="s">
        <v>1729</v>
      </c>
      <c r="D1055" s="114" t="s">
        <v>1073</v>
      </c>
      <c r="E1055" s="114" t="s">
        <v>4639</v>
      </c>
    </row>
    <row r="1056" spans="1:5" x14ac:dyDescent="0.25">
      <c r="B1056" s="114" t="s">
        <v>1073</v>
      </c>
      <c r="D1056" s="114" t="s">
        <v>1073</v>
      </c>
      <c r="E1056" s="114" t="s">
        <v>4640</v>
      </c>
    </row>
    <row r="1057" spans="1:5" x14ac:dyDescent="0.25">
      <c r="A1057" s="114" t="s">
        <v>1072</v>
      </c>
      <c r="B1057" s="114" t="s">
        <v>1730</v>
      </c>
      <c r="D1057" s="114">
        <f>-897  -1561    -9</f>
        <v>-2467</v>
      </c>
      <c r="E1057" s="114" t="s">
        <v>4641</v>
      </c>
    </row>
    <row r="1058" spans="1:5" x14ac:dyDescent="0.25">
      <c r="B1058" s="114" t="s">
        <v>1073</v>
      </c>
      <c r="D1058" s="114" t="s">
        <v>2586</v>
      </c>
      <c r="E1058" s="114" t="s">
        <v>4642</v>
      </c>
    </row>
    <row r="1059" spans="1:5" x14ac:dyDescent="0.25">
      <c r="B1059" s="114" t="s">
        <v>1073</v>
      </c>
      <c r="D1059" s="114" t="s">
        <v>1073</v>
      </c>
      <c r="E1059" s="114" t="s">
        <v>4643</v>
      </c>
    </row>
    <row r="1060" spans="1:5" x14ac:dyDescent="0.25">
      <c r="B1060" s="114" t="s">
        <v>1073</v>
      </c>
      <c r="D1060" s="114" t="s">
        <v>4644</v>
      </c>
      <c r="E1060" s="114" t="s">
        <v>4645</v>
      </c>
    </row>
    <row r="1061" spans="1:5" x14ac:dyDescent="0.25">
      <c r="B1061" s="114" t="s">
        <v>1214</v>
      </c>
      <c r="D1061" s="114" t="s">
        <v>4646</v>
      </c>
      <c r="E1061" s="114" t="s">
        <v>4647</v>
      </c>
    </row>
    <row r="1062" spans="1:5" x14ac:dyDescent="0.25">
      <c r="B1062" s="114" t="s">
        <v>1073</v>
      </c>
      <c r="D1062" s="114" t="s">
        <v>4648</v>
      </c>
      <c r="E1062" s="114" t="s">
        <v>4649</v>
      </c>
    </row>
    <row r="1063" spans="1:5" x14ac:dyDescent="0.25">
      <c r="B1063" s="114" t="s">
        <v>1395</v>
      </c>
      <c r="D1063" s="114" t="s">
        <v>4650</v>
      </c>
      <c r="E1063" s="114" t="s">
        <v>4651</v>
      </c>
    </row>
    <row r="1064" spans="1:5" x14ac:dyDescent="0.25">
      <c r="B1064" s="114" t="s">
        <v>1073</v>
      </c>
      <c r="D1064" s="114" t="s">
        <v>4652</v>
      </c>
      <c r="E1064" s="114" t="s">
        <v>4653</v>
      </c>
    </row>
    <row r="1065" spans="1:5" x14ac:dyDescent="0.25">
      <c r="B1065" s="114" t="s">
        <v>1073</v>
      </c>
      <c r="D1065" s="114" t="s">
        <v>4654</v>
      </c>
      <c r="E1065" s="114" t="s">
        <v>4655</v>
      </c>
    </row>
    <row r="1066" spans="1:5" x14ac:dyDescent="0.25">
      <c r="A1066" s="114">
        <v>28</v>
      </c>
      <c r="B1066" s="114" t="s">
        <v>1731</v>
      </c>
      <c r="D1066" s="114" t="s">
        <v>4656</v>
      </c>
      <c r="E1066" s="114" t="s">
        <v>4657</v>
      </c>
    </row>
    <row r="1067" spans="1:5" x14ac:dyDescent="0.25">
      <c r="B1067" s="114" t="s">
        <v>1073</v>
      </c>
      <c r="D1067" s="114" t="s">
        <v>4658</v>
      </c>
      <c r="E1067" s="114" t="s">
        <v>4077</v>
      </c>
    </row>
    <row r="1068" spans="1:5" x14ac:dyDescent="0.25">
      <c r="B1068" s="114" t="s">
        <v>1073</v>
      </c>
      <c r="D1068" s="114" t="s">
        <v>4659</v>
      </c>
      <c r="E1068" s="114" t="s">
        <v>4660</v>
      </c>
    </row>
    <row r="1069" spans="1:5" x14ac:dyDescent="0.25">
      <c r="A1069" s="114">
        <v>5</v>
      </c>
      <c r="B1069" s="114" t="s">
        <v>1732</v>
      </c>
      <c r="D1069" s="114" t="s">
        <v>4661</v>
      </c>
      <c r="E1069" s="114" t="s">
        <v>4662</v>
      </c>
    </row>
    <row r="1070" spans="1:5" x14ac:dyDescent="0.25">
      <c r="B1070" s="114" t="s">
        <v>1086</v>
      </c>
      <c r="D1070" s="114" t="s">
        <v>1073</v>
      </c>
      <c r="E1070" s="114" t="s">
        <v>4663</v>
      </c>
    </row>
    <row r="1071" spans="1:5" x14ac:dyDescent="0.25">
      <c r="B1071" s="114" t="s">
        <v>1073</v>
      </c>
      <c r="D1071" s="114" t="s">
        <v>4664</v>
      </c>
      <c r="E1071" s="114" t="s">
        <v>4665</v>
      </c>
    </row>
    <row r="1072" spans="1:5" x14ac:dyDescent="0.25">
      <c r="B1072" s="114" t="s">
        <v>1073</v>
      </c>
      <c r="D1072" s="114" t="s">
        <v>4666</v>
      </c>
      <c r="E1072" s="114" t="s">
        <v>4667</v>
      </c>
    </row>
    <row r="1073" spans="1:5" x14ac:dyDescent="0.25">
      <c r="A1073" s="114" t="s">
        <v>1072</v>
      </c>
      <c r="B1073" s="114" t="s">
        <v>1733</v>
      </c>
      <c r="D1073" s="114">
        <f>-127   -335   -52</f>
        <v>-514</v>
      </c>
      <c r="E1073" s="114" t="s">
        <v>4668</v>
      </c>
    </row>
    <row r="1074" spans="1:5" x14ac:dyDescent="0.25">
      <c r="B1074" s="114" t="s">
        <v>1294</v>
      </c>
      <c r="D1074" s="114" t="s">
        <v>4669</v>
      </c>
      <c r="E1074" s="114" t="s">
        <v>4670</v>
      </c>
    </row>
    <row r="1075" spans="1:5" x14ac:dyDescent="0.25">
      <c r="A1075" s="114">
        <v>6</v>
      </c>
      <c r="B1075" s="114" t="s">
        <v>1734</v>
      </c>
      <c r="D1075" s="114" t="s">
        <v>4671</v>
      </c>
      <c r="E1075" s="114" t="s">
        <v>4672</v>
      </c>
    </row>
    <row r="1076" spans="1:5" x14ac:dyDescent="0.25">
      <c r="B1076" s="114" t="s">
        <v>1735</v>
      </c>
      <c r="D1076" s="114" t="s">
        <v>4673</v>
      </c>
      <c r="E1076" s="114" t="s">
        <v>4674</v>
      </c>
    </row>
    <row r="1077" spans="1:5" x14ac:dyDescent="0.25">
      <c r="B1077" s="114" t="s">
        <v>1193</v>
      </c>
      <c r="D1077" s="114" t="s">
        <v>4675</v>
      </c>
      <c r="E1077" s="114" t="s">
        <v>4676</v>
      </c>
    </row>
    <row r="1078" spans="1:5" x14ac:dyDescent="0.25">
      <c r="A1078" s="114">
        <v>-2</v>
      </c>
      <c r="B1078" s="114" t="s">
        <v>1736</v>
      </c>
      <c r="D1078" s="114" t="s">
        <v>4677</v>
      </c>
      <c r="E1078" s="114" t="s">
        <v>4678</v>
      </c>
    </row>
    <row r="1079" spans="1:5" x14ac:dyDescent="0.25">
      <c r="B1079" s="114" t="s">
        <v>1073</v>
      </c>
      <c r="D1079" s="114" t="s">
        <v>4679</v>
      </c>
      <c r="E1079" s="114" t="s">
        <v>3993</v>
      </c>
    </row>
    <row r="1080" spans="1:5" x14ac:dyDescent="0.25">
      <c r="B1080" s="114" t="s">
        <v>1073</v>
      </c>
      <c r="D1080" s="114" t="s">
        <v>4680</v>
      </c>
      <c r="E1080" s="114" t="s">
        <v>4681</v>
      </c>
    </row>
    <row r="1081" spans="1:5" x14ac:dyDescent="0.25">
      <c r="A1081" s="114">
        <v>7</v>
      </c>
      <c r="B1081" s="114" t="s">
        <v>1737</v>
      </c>
      <c r="D1081" s="114" t="s">
        <v>1073</v>
      </c>
      <c r="E1081" s="114" t="s">
        <v>4682</v>
      </c>
    </row>
    <row r="1082" spans="1:5" x14ac:dyDescent="0.25">
      <c r="B1082" s="114" t="s">
        <v>1073</v>
      </c>
      <c r="D1082" s="114" t="s">
        <v>1073</v>
      </c>
      <c r="E1082" s="114" t="s">
        <v>4683</v>
      </c>
    </row>
    <row r="1083" spans="1:5" x14ac:dyDescent="0.25">
      <c r="B1083" s="114" t="s">
        <v>1073</v>
      </c>
      <c r="D1083" s="114" t="s">
        <v>4684</v>
      </c>
      <c r="E1083" s="114" t="s">
        <v>4685</v>
      </c>
    </row>
    <row r="1084" spans="1:5" x14ac:dyDescent="0.25">
      <c r="B1084" s="114" t="s">
        <v>1738</v>
      </c>
      <c r="D1084" s="114" t="s">
        <v>4686</v>
      </c>
      <c r="E1084" s="114" t="s">
        <v>4687</v>
      </c>
    </row>
    <row r="1085" spans="1:5" x14ac:dyDescent="0.25">
      <c r="A1085" s="114">
        <v>-2</v>
      </c>
      <c r="B1085" s="114" t="s">
        <v>1739</v>
      </c>
      <c r="C1085" s="114" t="s">
        <v>1072</v>
      </c>
      <c r="D1085" s="114" t="s">
        <v>4688</v>
      </c>
      <c r="E1085" s="114" t="s">
        <v>4689</v>
      </c>
    </row>
    <row r="1086" spans="1:5" x14ac:dyDescent="0.25">
      <c r="A1086" s="114">
        <v>-2</v>
      </c>
      <c r="B1086" s="114" t="s">
        <v>1740</v>
      </c>
      <c r="C1086" s="114" t="s">
        <v>1072</v>
      </c>
      <c r="D1086" s="114" t="s">
        <v>4690</v>
      </c>
      <c r="E1086" s="114" t="s">
        <v>4691</v>
      </c>
    </row>
    <row r="1087" spans="1:5" x14ac:dyDescent="0.25">
      <c r="A1087" s="114">
        <v>18</v>
      </c>
      <c r="B1087" s="114" t="s">
        <v>1741</v>
      </c>
      <c r="D1087" s="114" t="s">
        <v>4692</v>
      </c>
      <c r="E1087" s="114" t="s">
        <v>4693</v>
      </c>
    </row>
    <row r="1088" spans="1:5" x14ac:dyDescent="0.25">
      <c r="B1088" s="114" t="s">
        <v>1192</v>
      </c>
      <c r="D1088" s="114">
        <f>-57  -3002  -174</f>
        <v>-3233</v>
      </c>
      <c r="E1088" s="114" t="s">
        <v>4694</v>
      </c>
    </row>
    <row r="1089" spans="1:5" x14ac:dyDescent="0.25">
      <c r="A1089" s="114" t="s">
        <v>1072</v>
      </c>
      <c r="B1089" s="114" t="s">
        <v>1742</v>
      </c>
      <c r="D1089" s="114" t="s">
        <v>4695</v>
      </c>
      <c r="E1089" s="114" t="s">
        <v>4696</v>
      </c>
    </row>
    <row r="1090" spans="1:5" x14ac:dyDescent="0.25">
      <c r="B1090" s="114" t="s">
        <v>1073</v>
      </c>
      <c r="D1090" s="114" t="s">
        <v>1073</v>
      </c>
      <c r="E1090" s="114" t="s">
        <v>3993</v>
      </c>
    </row>
    <row r="1091" spans="1:5" x14ac:dyDescent="0.25">
      <c r="B1091" s="114" t="s">
        <v>1073</v>
      </c>
      <c r="D1091" s="114" t="s">
        <v>1073</v>
      </c>
      <c r="E1091" s="114" t="s">
        <v>3993</v>
      </c>
    </row>
    <row r="1092" spans="1:5" x14ac:dyDescent="0.25">
      <c r="B1092" s="114" t="s">
        <v>1073</v>
      </c>
      <c r="D1092" s="114" t="s">
        <v>1073</v>
      </c>
      <c r="E1092" s="114" t="s">
        <v>3993</v>
      </c>
    </row>
    <row r="1093" spans="1:5" x14ac:dyDescent="0.25">
      <c r="B1093" s="114" t="s">
        <v>1073</v>
      </c>
      <c r="D1093" s="114" t="s">
        <v>1073</v>
      </c>
      <c r="E1093" s="114" t="s">
        <v>3993</v>
      </c>
    </row>
    <row r="1094" spans="1:5" x14ac:dyDescent="0.25">
      <c r="B1094" s="114" t="s">
        <v>1073</v>
      </c>
      <c r="D1094" s="114" t="s">
        <v>1073</v>
      </c>
      <c r="E1094" s="114" t="s">
        <v>3993</v>
      </c>
    </row>
    <row r="1095" spans="1:5" x14ac:dyDescent="0.25">
      <c r="B1095" s="114" t="s">
        <v>1073</v>
      </c>
      <c r="D1095" s="114" t="s">
        <v>1073</v>
      </c>
      <c r="E1095" s="114" t="s">
        <v>3993</v>
      </c>
    </row>
    <row r="1096" spans="1:5" x14ac:dyDescent="0.25">
      <c r="B1096" s="114" t="s">
        <v>1073</v>
      </c>
      <c r="D1096" s="114" t="s">
        <v>1073</v>
      </c>
      <c r="E1096" s="114" t="s">
        <v>3993</v>
      </c>
    </row>
    <row r="1097" spans="1:5" x14ac:dyDescent="0.25">
      <c r="B1097" s="114" t="s">
        <v>1073</v>
      </c>
      <c r="D1097" s="114" t="s">
        <v>1073</v>
      </c>
      <c r="E1097" s="114" t="s">
        <v>3993</v>
      </c>
    </row>
    <row r="1098" spans="1:5" x14ac:dyDescent="0.25">
      <c r="B1098" s="114" t="s">
        <v>1073</v>
      </c>
      <c r="D1098" s="114" t="s">
        <v>1073</v>
      </c>
      <c r="E1098" s="114" t="s">
        <v>3993</v>
      </c>
    </row>
    <row r="1099" spans="1:5" x14ac:dyDescent="0.25">
      <c r="B1099" s="114" t="s">
        <v>1073</v>
      </c>
      <c r="D1099" s="114" t="s">
        <v>1073</v>
      </c>
      <c r="E1099" s="114" t="s">
        <v>3993</v>
      </c>
    </row>
    <row r="1100" spans="1:5" x14ac:dyDescent="0.25">
      <c r="B1100" s="114" t="s">
        <v>1073</v>
      </c>
      <c r="D1100" s="114" t="s">
        <v>1073</v>
      </c>
      <c r="E1100" s="114" t="s">
        <v>3993</v>
      </c>
    </row>
    <row r="1101" spans="1:5" x14ac:dyDescent="0.25">
      <c r="B1101" s="114" t="s">
        <v>1073</v>
      </c>
      <c r="D1101" s="114" t="s">
        <v>1073</v>
      </c>
      <c r="E1101" s="114" t="s">
        <v>3993</v>
      </c>
    </row>
    <row r="1102" spans="1:5" x14ac:dyDescent="0.25">
      <c r="B1102" s="114" t="s">
        <v>1743</v>
      </c>
      <c r="D1102" s="114" t="s">
        <v>4697</v>
      </c>
      <c r="E1102" s="114" t="s">
        <v>4698</v>
      </c>
    </row>
    <row r="1103" spans="1:5" x14ac:dyDescent="0.25">
      <c r="B1103" s="114" t="s">
        <v>1073</v>
      </c>
      <c r="D1103" s="114" t="s">
        <v>4699</v>
      </c>
      <c r="E1103" s="114" t="s">
        <v>4044</v>
      </c>
    </row>
    <row r="1104" spans="1:5" x14ac:dyDescent="0.25">
      <c r="B1104" s="114" t="s">
        <v>1073</v>
      </c>
      <c r="D1104" s="114" t="s">
        <v>4700</v>
      </c>
      <c r="E1104" s="114" t="s">
        <v>4701</v>
      </c>
    </row>
    <row r="1105" spans="1:5" x14ac:dyDescent="0.25">
      <c r="B1105" s="114">
        <f>-6    -93</f>
        <v>-99</v>
      </c>
      <c r="D1105" s="114" t="s">
        <v>4702</v>
      </c>
      <c r="E1105" s="114" t="s">
        <v>4703</v>
      </c>
    </row>
    <row r="1106" spans="1:5" x14ac:dyDescent="0.25">
      <c r="B1106" s="114" t="s">
        <v>1245</v>
      </c>
      <c r="D1106" s="114" t="s">
        <v>1073</v>
      </c>
      <c r="E1106" s="114" t="s">
        <v>4704</v>
      </c>
    </row>
    <row r="1107" spans="1:5" x14ac:dyDescent="0.25">
      <c r="B1107" s="114" t="s">
        <v>1073</v>
      </c>
      <c r="D1107" s="114" t="s">
        <v>4705</v>
      </c>
      <c r="E1107" s="114" t="s">
        <v>4706</v>
      </c>
    </row>
    <row r="1108" spans="1:5" x14ac:dyDescent="0.25">
      <c r="B1108" s="114" t="s">
        <v>1073</v>
      </c>
      <c r="D1108" s="114" t="s">
        <v>4707</v>
      </c>
      <c r="E1108" s="114" t="s">
        <v>4708</v>
      </c>
    </row>
    <row r="1109" spans="1:5" x14ac:dyDescent="0.25">
      <c r="B1109" s="114" t="s">
        <v>1744</v>
      </c>
      <c r="D1109" s="114" t="s">
        <v>4709</v>
      </c>
      <c r="E1109" s="114" t="s">
        <v>4710</v>
      </c>
    </row>
    <row r="1110" spans="1:5" x14ac:dyDescent="0.25">
      <c r="B1110" s="114" t="s">
        <v>1745</v>
      </c>
      <c r="D1110" s="114" t="s">
        <v>4711</v>
      </c>
      <c r="E1110" s="114" t="s">
        <v>4712</v>
      </c>
    </row>
    <row r="1111" spans="1:5" x14ac:dyDescent="0.25">
      <c r="B1111" s="114" t="s">
        <v>1746</v>
      </c>
      <c r="D1111" s="114" t="s">
        <v>4713</v>
      </c>
      <c r="E1111" s="114" t="s">
        <v>4714</v>
      </c>
    </row>
    <row r="1112" spans="1:5" x14ac:dyDescent="0.25">
      <c r="B1112" s="114" t="s">
        <v>1747</v>
      </c>
      <c r="D1112" s="114" t="s">
        <v>4715</v>
      </c>
      <c r="E1112" s="114" t="s">
        <v>4716</v>
      </c>
    </row>
    <row r="1113" spans="1:5" x14ac:dyDescent="0.25">
      <c r="B1113" s="114" t="s">
        <v>1748</v>
      </c>
      <c r="D1113" s="114" t="s">
        <v>4717</v>
      </c>
      <c r="E1113" s="114" t="s">
        <v>4718</v>
      </c>
    </row>
    <row r="1114" spans="1:5" x14ac:dyDescent="0.25">
      <c r="A1114" s="114">
        <v>-1</v>
      </c>
      <c r="B1114" s="114" t="s">
        <v>1749</v>
      </c>
      <c r="D1114" s="114" t="s">
        <v>1073</v>
      </c>
      <c r="E1114" s="114" t="s">
        <v>3993</v>
      </c>
    </row>
    <row r="1115" spans="1:5" x14ac:dyDescent="0.25">
      <c r="B1115" s="114" t="s">
        <v>1073</v>
      </c>
      <c r="D1115" s="114" t="s">
        <v>1073</v>
      </c>
      <c r="E1115" s="114" t="s">
        <v>3993</v>
      </c>
    </row>
    <row r="1116" spans="1:5" x14ac:dyDescent="0.25">
      <c r="B1116" s="114" t="s">
        <v>1073</v>
      </c>
      <c r="D1116" s="114" t="s">
        <v>1073</v>
      </c>
      <c r="E1116" s="114" t="s">
        <v>3993</v>
      </c>
    </row>
    <row r="1117" spans="1:5" x14ac:dyDescent="0.25">
      <c r="B1117" s="114" t="s">
        <v>1073</v>
      </c>
      <c r="D1117" s="114" t="s">
        <v>1073</v>
      </c>
      <c r="E1117" s="114" t="s">
        <v>3993</v>
      </c>
    </row>
    <row r="1118" spans="1:5" x14ac:dyDescent="0.25">
      <c r="B1118" s="114" t="s">
        <v>1073</v>
      </c>
      <c r="D1118" s="114" t="s">
        <v>1073</v>
      </c>
      <c r="E1118" s="114" t="s">
        <v>3993</v>
      </c>
    </row>
    <row r="1119" spans="1:5" x14ac:dyDescent="0.25">
      <c r="B1119" s="114" t="s">
        <v>1073</v>
      </c>
      <c r="D1119" s="114" t="s">
        <v>1073</v>
      </c>
      <c r="E1119" s="114" t="s">
        <v>3993</v>
      </c>
    </row>
    <row r="1120" spans="1:5" x14ac:dyDescent="0.25">
      <c r="B1120" s="114" t="s">
        <v>1073</v>
      </c>
      <c r="D1120" s="114" t="s">
        <v>1073</v>
      </c>
      <c r="E1120" s="114" t="s">
        <v>3993</v>
      </c>
    </row>
    <row r="1121" spans="2:5" x14ac:dyDescent="0.25">
      <c r="B1121" s="114" t="s">
        <v>1073</v>
      </c>
      <c r="D1121" s="114" t="s">
        <v>1073</v>
      </c>
      <c r="E1121" s="114" t="s">
        <v>3993</v>
      </c>
    </row>
    <row r="1122" spans="2:5" x14ac:dyDescent="0.25">
      <c r="B1122" s="114" t="s">
        <v>1073</v>
      </c>
      <c r="D1122" s="114" t="s">
        <v>1073</v>
      </c>
      <c r="E1122" s="114" t="s">
        <v>3993</v>
      </c>
    </row>
    <row r="1123" spans="2:5" x14ac:dyDescent="0.25">
      <c r="B1123" s="114" t="s">
        <v>1073</v>
      </c>
      <c r="D1123" s="114" t="s">
        <v>1073</v>
      </c>
      <c r="E1123" s="114" t="s">
        <v>3993</v>
      </c>
    </row>
    <row r="1124" spans="2:5" x14ac:dyDescent="0.25">
      <c r="B1124" s="114" t="s">
        <v>1073</v>
      </c>
      <c r="D1124" s="114" t="s">
        <v>1073</v>
      </c>
      <c r="E1124" s="114" t="s">
        <v>3993</v>
      </c>
    </row>
    <row r="1125" spans="2:5" x14ac:dyDescent="0.25">
      <c r="B1125" s="114" t="s">
        <v>1073</v>
      </c>
      <c r="D1125" s="114" t="s">
        <v>1073</v>
      </c>
      <c r="E1125" s="114" t="s">
        <v>3993</v>
      </c>
    </row>
    <row r="1126" spans="2:5" x14ac:dyDescent="0.25">
      <c r="B1126" s="114" t="s">
        <v>1073</v>
      </c>
      <c r="D1126" s="114" t="s">
        <v>1073</v>
      </c>
      <c r="E1126" s="114" t="s">
        <v>3993</v>
      </c>
    </row>
    <row r="1127" spans="2:5" x14ac:dyDescent="0.25">
      <c r="B1127" s="114" t="s">
        <v>1073</v>
      </c>
      <c r="D1127" s="114" t="s">
        <v>1073</v>
      </c>
      <c r="E1127" s="114" t="s">
        <v>3993</v>
      </c>
    </row>
    <row r="1128" spans="2:5" x14ac:dyDescent="0.25">
      <c r="B1128" s="114" t="s">
        <v>1073</v>
      </c>
      <c r="D1128" s="114" t="s">
        <v>1073</v>
      </c>
      <c r="E1128" s="114" t="s">
        <v>3993</v>
      </c>
    </row>
    <row r="1129" spans="2:5" x14ac:dyDescent="0.25">
      <c r="B1129" s="114" t="s">
        <v>1073</v>
      </c>
      <c r="D1129" s="114" t="s">
        <v>1073</v>
      </c>
      <c r="E1129" s="114" t="s">
        <v>3993</v>
      </c>
    </row>
    <row r="1130" spans="2:5" x14ac:dyDescent="0.25">
      <c r="B1130" s="114" t="s">
        <v>1073</v>
      </c>
      <c r="D1130" s="114" t="s">
        <v>1073</v>
      </c>
      <c r="E1130" s="114" t="s">
        <v>3993</v>
      </c>
    </row>
    <row r="1131" spans="2:5" x14ac:dyDescent="0.25">
      <c r="B1131" s="114" t="s">
        <v>1073</v>
      </c>
      <c r="D1131" s="114" t="s">
        <v>1073</v>
      </c>
      <c r="E1131" s="114" t="s">
        <v>3993</v>
      </c>
    </row>
    <row r="1132" spans="2:5" x14ac:dyDescent="0.25">
      <c r="B1132" s="114" t="s">
        <v>1073</v>
      </c>
      <c r="D1132" s="114" t="s">
        <v>1073</v>
      </c>
      <c r="E1132" s="114" t="s">
        <v>3993</v>
      </c>
    </row>
    <row r="1133" spans="2:5" x14ac:dyDescent="0.25">
      <c r="B1133" s="114" t="s">
        <v>1073</v>
      </c>
      <c r="D1133" s="114" t="s">
        <v>1073</v>
      </c>
      <c r="E1133" s="114" t="s">
        <v>3993</v>
      </c>
    </row>
    <row r="1134" spans="2:5" x14ac:dyDescent="0.25">
      <c r="B1134" s="114" t="s">
        <v>1073</v>
      </c>
      <c r="D1134" s="114" t="s">
        <v>1073</v>
      </c>
      <c r="E1134" s="114" t="s">
        <v>3993</v>
      </c>
    </row>
    <row r="1135" spans="2:5" x14ac:dyDescent="0.25">
      <c r="B1135" s="114" t="s">
        <v>1073</v>
      </c>
      <c r="D1135" s="114" t="s">
        <v>1073</v>
      </c>
      <c r="E1135" s="114" t="s">
        <v>3993</v>
      </c>
    </row>
    <row r="1136" spans="2:5" x14ac:dyDescent="0.25">
      <c r="B1136" s="114" t="s">
        <v>1073</v>
      </c>
      <c r="D1136" s="114" t="s">
        <v>1073</v>
      </c>
      <c r="E1136" s="114" t="s">
        <v>3993</v>
      </c>
    </row>
    <row r="1137" spans="1:5" x14ac:dyDescent="0.25">
      <c r="B1137" s="114" t="s">
        <v>1073</v>
      </c>
      <c r="D1137" s="114" t="s">
        <v>1073</v>
      </c>
      <c r="E1137" s="114" t="s">
        <v>3993</v>
      </c>
    </row>
    <row r="1138" spans="1:5" x14ac:dyDescent="0.25">
      <c r="B1138" s="114" t="s">
        <v>1073</v>
      </c>
      <c r="D1138" s="114" t="s">
        <v>1073</v>
      </c>
      <c r="E1138" s="114" t="s">
        <v>3993</v>
      </c>
    </row>
    <row r="1139" spans="1:5" x14ac:dyDescent="0.25">
      <c r="A1139" s="114">
        <v>-3</v>
      </c>
      <c r="B1139" s="114" t="s">
        <v>1750</v>
      </c>
      <c r="D1139" s="114" t="s">
        <v>4719</v>
      </c>
      <c r="E1139" s="114" t="s">
        <v>4720</v>
      </c>
    </row>
    <row r="1140" spans="1:5" x14ac:dyDescent="0.25">
      <c r="B1140" s="114" t="s">
        <v>1073</v>
      </c>
      <c r="D1140" s="114" t="s">
        <v>4721</v>
      </c>
      <c r="E1140" s="114" t="s">
        <v>3993</v>
      </c>
    </row>
    <row r="1141" spans="1:5" x14ac:dyDescent="0.25">
      <c r="B1141" s="114" t="s">
        <v>1073</v>
      </c>
      <c r="D1141" s="114">
        <f>-129   -222</f>
        <v>-351</v>
      </c>
      <c r="E1141" s="114" t="s">
        <v>4722</v>
      </c>
    </row>
    <row r="1142" spans="1:5" x14ac:dyDescent="0.25">
      <c r="A1142" s="114">
        <v>-1</v>
      </c>
      <c r="B1142" s="114" t="s">
        <v>1751</v>
      </c>
      <c r="D1142" s="114" t="s">
        <v>1073</v>
      </c>
      <c r="E1142" s="114" t="s">
        <v>4723</v>
      </c>
    </row>
    <row r="1143" spans="1:5" x14ac:dyDescent="0.25">
      <c r="B1143" s="114" t="s">
        <v>1073</v>
      </c>
      <c r="D1143" s="114" t="s">
        <v>1073</v>
      </c>
      <c r="E1143" s="114" t="s">
        <v>4724</v>
      </c>
    </row>
    <row r="1144" spans="1:5" x14ac:dyDescent="0.25">
      <c r="B1144" s="114" t="s">
        <v>1073</v>
      </c>
      <c r="D1144" s="114" t="s">
        <v>4725</v>
      </c>
      <c r="E1144" s="114" t="s">
        <v>4726</v>
      </c>
    </row>
    <row r="1145" spans="1:5" x14ac:dyDescent="0.25">
      <c r="B1145" s="114" t="s">
        <v>1752</v>
      </c>
      <c r="C1145" s="114" t="s">
        <v>1072</v>
      </c>
      <c r="D1145" s="114" t="s">
        <v>4727</v>
      </c>
      <c r="E1145" s="114" t="s">
        <v>4728</v>
      </c>
    </row>
    <row r="1146" spans="1:5" x14ac:dyDescent="0.25">
      <c r="B1146" s="114" t="s">
        <v>1753</v>
      </c>
      <c r="D1146" s="114" t="s">
        <v>4729</v>
      </c>
      <c r="E1146" s="114" t="s">
        <v>4730</v>
      </c>
    </row>
    <row r="1147" spans="1:5" x14ac:dyDescent="0.25">
      <c r="A1147" s="114">
        <v>-3</v>
      </c>
      <c r="B1147" s="114" t="s">
        <v>1754</v>
      </c>
      <c r="D1147" s="114" t="s">
        <v>4731</v>
      </c>
      <c r="E1147" s="114" t="s">
        <v>4732</v>
      </c>
    </row>
    <row r="1148" spans="1:5" x14ac:dyDescent="0.25">
      <c r="A1148" s="114" t="s">
        <v>1072</v>
      </c>
      <c r="B1148" s="114" t="s">
        <v>1755</v>
      </c>
      <c r="C1148" s="114" t="s">
        <v>1072</v>
      </c>
      <c r="D1148" s="114" t="s">
        <v>4733</v>
      </c>
      <c r="E1148" s="114" t="s">
        <v>4734</v>
      </c>
    </row>
    <row r="1149" spans="1:5" x14ac:dyDescent="0.25">
      <c r="B1149" s="114" t="s">
        <v>1391</v>
      </c>
      <c r="D1149" s="114" t="s">
        <v>4735</v>
      </c>
      <c r="E1149" s="114" t="s">
        <v>4736</v>
      </c>
    </row>
    <row r="1150" spans="1:5" x14ac:dyDescent="0.25">
      <c r="A1150" s="114">
        <v>-1</v>
      </c>
      <c r="B1150" s="114" t="s">
        <v>1756</v>
      </c>
      <c r="D1150" s="114" t="s">
        <v>4737</v>
      </c>
      <c r="E1150" s="114" t="s">
        <v>4738</v>
      </c>
    </row>
    <row r="1151" spans="1:5" x14ac:dyDescent="0.25">
      <c r="A1151" s="114">
        <v>-3</v>
      </c>
      <c r="B1151" s="114" t="s">
        <v>1251</v>
      </c>
      <c r="C1151" s="114">
        <v>1</v>
      </c>
      <c r="D1151" s="114" t="s">
        <v>4739</v>
      </c>
      <c r="E1151" s="114" t="s">
        <v>4740</v>
      </c>
    </row>
    <row r="1152" spans="1:5" x14ac:dyDescent="0.25">
      <c r="B1152" s="114" t="s">
        <v>1757</v>
      </c>
      <c r="D1152" s="114" t="s">
        <v>4741</v>
      </c>
      <c r="E1152" s="114" t="s">
        <v>4742</v>
      </c>
    </row>
    <row r="1153" spans="1:5" x14ac:dyDescent="0.25">
      <c r="B1153" s="114" t="s">
        <v>1073</v>
      </c>
      <c r="D1153" s="114" t="s">
        <v>1073</v>
      </c>
      <c r="E1153" s="114" t="s">
        <v>4743</v>
      </c>
    </row>
    <row r="1154" spans="1:5" x14ac:dyDescent="0.25">
      <c r="B1154" s="114" t="s">
        <v>1758</v>
      </c>
      <c r="D1154" s="114">
        <f>-956   -232   -21</f>
        <v>-1209</v>
      </c>
      <c r="E1154" s="114" t="s">
        <v>4744</v>
      </c>
    </row>
    <row r="1155" spans="1:5" x14ac:dyDescent="0.25">
      <c r="A1155" s="114" t="s">
        <v>1072</v>
      </c>
      <c r="B1155" s="114" t="s">
        <v>1287</v>
      </c>
      <c r="D1155" s="114" t="s">
        <v>4055</v>
      </c>
      <c r="E1155" s="114" t="s">
        <v>4118</v>
      </c>
    </row>
    <row r="1156" spans="1:5" x14ac:dyDescent="0.25">
      <c r="A1156" s="114" t="s">
        <v>1072</v>
      </c>
      <c r="B1156" s="114" t="s">
        <v>1120</v>
      </c>
      <c r="D1156" s="114" t="s">
        <v>1073</v>
      </c>
      <c r="E1156" s="114" t="s">
        <v>4745</v>
      </c>
    </row>
    <row r="1157" spans="1:5" x14ac:dyDescent="0.25">
      <c r="B1157" s="114" t="s">
        <v>1759</v>
      </c>
      <c r="D1157" s="114" t="s">
        <v>1073</v>
      </c>
      <c r="E1157" s="114" t="s">
        <v>4746</v>
      </c>
    </row>
    <row r="1158" spans="1:5" x14ac:dyDescent="0.25">
      <c r="B1158" s="114" t="s">
        <v>1760</v>
      </c>
      <c r="D1158" s="114" t="s">
        <v>4747</v>
      </c>
      <c r="E1158" s="114" t="s">
        <v>4748</v>
      </c>
    </row>
    <row r="1159" spans="1:5" x14ac:dyDescent="0.25">
      <c r="A1159" s="114" t="s">
        <v>1072</v>
      </c>
      <c r="B1159" s="114" t="s">
        <v>1252</v>
      </c>
      <c r="D1159" s="114" t="s">
        <v>1073</v>
      </c>
      <c r="E1159" s="114" t="s">
        <v>4749</v>
      </c>
    </row>
    <row r="1160" spans="1:5" x14ac:dyDescent="0.25">
      <c r="A1160" s="114">
        <v>-1</v>
      </c>
      <c r="B1160" s="114" t="s">
        <v>1761</v>
      </c>
      <c r="C1160" s="114" t="s">
        <v>1072</v>
      </c>
      <c r="D1160" s="114" t="s">
        <v>4750</v>
      </c>
      <c r="E1160" s="114" t="s">
        <v>4751</v>
      </c>
    </row>
    <row r="1161" spans="1:5" x14ac:dyDescent="0.25">
      <c r="B1161" s="114" t="s">
        <v>1762</v>
      </c>
      <c r="D1161" s="114" t="s">
        <v>4752</v>
      </c>
      <c r="E1161" s="114" t="s">
        <v>4753</v>
      </c>
    </row>
    <row r="1162" spans="1:5" x14ac:dyDescent="0.25">
      <c r="B1162" s="114" t="s">
        <v>1301</v>
      </c>
      <c r="D1162" s="114" t="s">
        <v>1073</v>
      </c>
      <c r="E1162" s="114" t="s">
        <v>4754</v>
      </c>
    </row>
    <row r="1163" spans="1:5" x14ac:dyDescent="0.25">
      <c r="A1163" s="114">
        <v>6</v>
      </c>
      <c r="B1163" s="114" t="s">
        <v>1763</v>
      </c>
      <c r="D1163" s="114" t="s">
        <v>4755</v>
      </c>
      <c r="E1163" s="114" t="s">
        <v>4756</v>
      </c>
    </row>
    <row r="1164" spans="1:5" x14ac:dyDescent="0.25">
      <c r="A1164" s="114">
        <v>-11</v>
      </c>
      <c r="B1164" s="114" t="s">
        <v>1197</v>
      </c>
      <c r="D1164" s="114" t="s">
        <v>1073</v>
      </c>
      <c r="E1164" s="114" t="s">
        <v>3993</v>
      </c>
    </row>
    <row r="1165" spans="1:5" x14ac:dyDescent="0.25">
      <c r="B1165" s="114" t="s">
        <v>1073</v>
      </c>
      <c r="D1165" s="114" t="s">
        <v>1073</v>
      </c>
      <c r="E1165" s="114" t="s">
        <v>3993</v>
      </c>
    </row>
    <row r="1166" spans="1:5" x14ac:dyDescent="0.25">
      <c r="B1166" s="114" t="s">
        <v>1073</v>
      </c>
      <c r="D1166" s="114" t="s">
        <v>1073</v>
      </c>
      <c r="E1166" s="114" t="s">
        <v>3993</v>
      </c>
    </row>
    <row r="1167" spans="1:5" x14ac:dyDescent="0.25">
      <c r="B1167" s="114" t="s">
        <v>1073</v>
      </c>
      <c r="D1167" s="114" t="s">
        <v>1073</v>
      </c>
      <c r="E1167" s="114" t="s">
        <v>3993</v>
      </c>
    </row>
    <row r="1168" spans="1:5" x14ac:dyDescent="0.25">
      <c r="B1168" s="114" t="s">
        <v>1073</v>
      </c>
      <c r="D1168" s="114" t="s">
        <v>1073</v>
      </c>
      <c r="E1168" s="114" t="s">
        <v>3993</v>
      </c>
    </row>
    <row r="1169" spans="1:5" x14ac:dyDescent="0.25">
      <c r="B1169" s="114" t="s">
        <v>1073</v>
      </c>
      <c r="D1169" s="114" t="s">
        <v>1073</v>
      </c>
      <c r="E1169" s="114" t="s">
        <v>3993</v>
      </c>
    </row>
    <row r="1170" spans="1:5" x14ac:dyDescent="0.25">
      <c r="B1170" s="114" t="s">
        <v>1073</v>
      </c>
      <c r="D1170" s="114" t="s">
        <v>1073</v>
      </c>
      <c r="E1170" s="114" t="s">
        <v>3993</v>
      </c>
    </row>
    <row r="1171" spans="1:5" x14ac:dyDescent="0.25">
      <c r="B1171" s="114" t="s">
        <v>1073</v>
      </c>
      <c r="D1171" s="114" t="s">
        <v>1073</v>
      </c>
      <c r="E1171" s="114" t="s">
        <v>3993</v>
      </c>
    </row>
    <row r="1172" spans="1:5" x14ac:dyDescent="0.25">
      <c r="B1172" s="114" t="s">
        <v>1073</v>
      </c>
      <c r="D1172" s="114" t="s">
        <v>1073</v>
      </c>
      <c r="E1172" s="114" t="s">
        <v>3993</v>
      </c>
    </row>
    <row r="1173" spans="1:5" x14ac:dyDescent="0.25">
      <c r="B1173" s="114" t="s">
        <v>1073</v>
      </c>
      <c r="D1173" s="114" t="s">
        <v>1073</v>
      </c>
      <c r="E1173" s="114" t="s">
        <v>3993</v>
      </c>
    </row>
    <row r="1174" spans="1:5" x14ac:dyDescent="0.25">
      <c r="B1174" s="114" t="s">
        <v>1073</v>
      </c>
      <c r="D1174" s="114" t="s">
        <v>1073</v>
      </c>
      <c r="E1174" s="114" t="s">
        <v>3993</v>
      </c>
    </row>
    <row r="1175" spans="1:5" x14ac:dyDescent="0.25">
      <c r="B1175" s="114" t="s">
        <v>1073</v>
      </c>
      <c r="D1175" s="114" t="s">
        <v>1073</v>
      </c>
      <c r="E1175" s="114" t="s">
        <v>3993</v>
      </c>
    </row>
    <row r="1176" spans="1:5" x14ac:dyDescent="0.25">
      <c r="B1176" s="114" t="s">
        <v>1073</v>
      </c>
      <c r="D1176" s="114" t="s">
        <v>1073</v>
      </c>
      <c r="E1176" s="114" t="s">
        <v>4757</v>
      </c>
    </row>
    <row r="1177" spans="1:5" x14ac:dyDescent="0.25">
      <c r="A1177" s="114" t="s">
        <v>1072</v>
      </c>
      <c r="B1177" s="114" t="s">
        <v>1764</v>
      </c>
      <c r="D1177" s="114" t="s">
        <v>4758</v>
      </c>
      <c r="E1177" s="114" t="s">
        <v>4759</v>
      </c>
    </row>
    <row r="1178" spans="1:5" x14ac:dyDescent="0.25">
      <c r="A1178" s="114" t="s">
        <v>1072</v>
      </c>
      <c r="B1178" s="114" t="s">
        <v>1765</v>
      </c>
      <c r="D1178" s="114" t="s">
        <v>1073</v>
      </c>
      <c r="E1178" s="114" t="s">
        <v>3993</v>
      </c>
    </row>
    <row r="1179" spans="1:5" x14ac:dyDescent="0.25">
      <c r="A1179" s="114" t="s">
        <v>1072</v>
      </c>
      <c r="B1179" s="114" t="s">
        <v>1766</v>
      </c>
      <c r="D1179" s="114" t="s">
        <v>4546</v>
      </c>
      <c r="E1179" s="114" t="s">
        <v>4760</v>
      </c>
    </row>
    <row r="1180" spans="1:5" x14ac:dyDescent="0.25">
      <c r="B1180" s="114" t="s">
        <v>1073</v>
      </c>
      <c r="D1180" s="114" t="s">
        <v>4761</v>
      </c>
      <c r="E1180" s="114" t="s">
        <v>4762</v>
      </c>
    </row>
    <row r="1181" spans="1:5" x14ac:dyDescent="0.25">
      <c r="B1181" s="114" t="s">
        <v>1073</v>
      </c>
      <c r="D1181" s="114" t="s">
        <v>2155</v>
      </c>
      <c r="E1181" s="114" t="s">
        <v>3993</v>
      </c>
    </row>
    <row r="1182" spans="1:5" x14ac:dyDescent="0.25">
      <c r="B1182" s="114" t="s">
        <v>1630</v>
      </c>
      <c r="D1182" s="114" t="s">
        <v>4763</v>
      </c>
      <c r="E1182" s="114" t="s">
        <v>4764</v>
      </c>
    </row>
    <row r="1183" spans="1:5" x14ac:dyDescent="0.25">
      <c r="A1183" s="114" t="s">
        <v>1072</v>
      </c>
      <c r="B1183" s="114" t="s">
        <v>1767</v>
      </c>
      <c r="D1183" s="114" t="s">
        <v>4765</v>
      </c>
      <c r="E1183" s="114" t="s">
        <v>4766</v>
      </c>
    </row>
    <row r="1184" spans="1:5" x14ac:dyDescent="0.25">
      <c r="B1184" s="114" t="s">
        <v>1768</v>
      </c>
      <c r="D1184" s="114" t="s">
        <v>4767</v>
      </c>
      <c r="E1184" s="114" t="s">
        <v>4768</v>
      </c>
    </row>
    <row r="1185" spans="1:5" x14ac:dyDescent="0.25">
      <c r="B1185" s="114" t="s">
        <v>1769</v>
      </c>
      <c r="D1185" s="114" t="s">
        <v>4769</v>
      </c>
      <c r="E1185" s="114" t="s">
        <v>4770</v>
      </c>
    </row>
    <row r="1186" spans="1:5" x14ac:dyDescent="0.25">
      <c r="B1186" s="114">
        <f>-91    -26</f>
        <v>-117</v>
      </c>
      <c r="D1186" s="114" t="s">
        <v>4771</v>
      </c>
      <c r="E1186" s="114" t="s">
        <v>4772</v>
      </c>
    </row>
    <row r="1187" spans="1:5" x14ac:dyDescent="0.25">
      <c r="A1187" s="114">
        <v>1</v>
      </c>
      <c r="B1187" s="114" t="s">
        <v>1770</v>
      </c>
      <c r="D1187" s="114" t="s">
        <v>4773</v>
      </c>
      <c r="E1187" s="114" t="s">
        <v>4774</v>
      </c>
    </row>
    <row r="1188" spans="1:5" x14ac:dyDescent="0.25">
      <c r="B1188" s="114" t="s">
        <v>1771</v>
      </c>
      <c r="C1188" s="114" t="s">
        <v>1072</v>
      </c>
      <c r="D1188" s="114" t="s">
        <v>4775</v>
      </c>
      <c r="E1188" s="114" t="s">
        <v>4776</v>
      </c>
    </row>
    <row r="1189" spans="1:5" x14ac:dyDescent="0.25">
      <c r="B1189" s="114" t="s">
        <v>1772</v>
      </c>
      <c r="D1189" s="114" t="s">
        <v>4777</v>
      </c>
      <c r="E1189" s="114" t="s">
        <v>4518</v>
      </c>
    </row>
    <row r="1190" spans="1:5" x14ac:dyDescent="0.25">
      <c r="B1190" s="114" t="s">
        <v>1073</v>
      </c>
      <c r="D1190" s="114" t="s">
        <v>1073</v>
      </c>
      <c r="E1190" s="114" t="s">
        <v>3993</v>
      </c>
    </row>
    <row r="1191" spans="1:5" x14ac:dyDescent="0.25">
      <c r="B1191" s="114" t="s">
        <v>1073</v>
      </c>
      <c r="D1191" s="114" t="s">
        <v>1073</v>
      </c>
      <c r="E1191" s="114" t="s">
        <v>3993</v>
      </c>
    </row>
    <row r="1192" spans="1:5" x14ac:dyDescent="0.25">
      <c r="B1192" s="114" t="s">
        <v>1073</v>
      </c>
      <c r="D1192" s="114" t="s">
        <v>1073</v>
      </c>
      <c r="E1192" s="114" t="s">
        <v>3993</v>
      </c>
    </row>
    <row r="1193" spans="1:5" x14ac:dyDescent="0.25">
      <c r="B1193" s="114" t="s">
        <v>1073</v>
      </c>
      <c r="D1193" s="114" t="s">
        <v>1073</v>
      </c>
      <c r="E1193" s="114" t="s">
        <v>3993</v>
      </c>
    </row>
    <row r="1194" spans="1:5" x14ac:dyDescent="0.25">
      <c r="B1194" s="114" t="s">
        <v>1073</v>
      </c>
      <c r="D1194" s="114" t="s">
        <v>1073</v>
      </c>
      <c r="E1194" s="114" t="s">
        <v>3993</v>
      </c>
    </row>
    <row r="1195" spans="1:5" x14ac:dyDescent="0.25">
      <c r="B1195" s="114" t="s">
        <v>1073</v>
      </c>
      <c r="D1195" s="114" t="s">
        <v>1073</v>
      </c>
      <c r="E1195" s="114" t="s">
        <v>3993</v>
      </c>
    </row>
    <row r="1196" spans="1:5" x14ac:dyDescent="0.25">
      <c r="B1196" s="114" t="s">
        <v>1073</v>
      </c>
      <c r="D1196" s="114" t="s">
        <v>1073</v>
      </c>
      <c r="E1196" s="114" t="s">
        <v>3993</v>
      </c>
    </row>
    <row r="1197" spans="1:5" x14ac:dyDescent="0.25">
      <c r="B1197" s="114" t="s">
        <v>1073</v>
      </c>
      <c r="D1197" s="114" t="s">
        <v>1073</v>
      </c>
      <c r="E1197" s="114" t="s">
        <v>3993</v>
      </c>
    </row>
    <row r="1198" spans="1:5" x14ac:dyDescent="0.25">
      <c r="B1198" s="114" t="s">
        <v>1073</v>
      </c>
      <c r="D1198" s="114" t="s">
        <v>1073</v>
      </c>
      <c r="E1198" s="114" t="s">
        <v>3993</v>
      </c>
    </row>
    <row r="1199" spans="1:5" x14ac:dyDescent="0.25">
      <c r="B1199" s="114" t="s">
        <v>1073</v>
      </c>
      <c r="D1199" s="114" t="s">
        <v>1073</v>
      </c>
      <c r="E1199" s="114" t="s">
        <v>3993</v>
      </c>
    </row>
    <row r="1200" spans="1:5" x14ac:dyDescent="0.25">
      <c r="B1200" s="114" t="s">
        <v>1073</v>
      </c>
      <c r="D1200" s="114" t="s">
        <v>1073</v>
      </c>
      <c r="E1200" s="114" t="s">
        <v>3993</v>
      </c>
    </row>
    <row r="1201" spans="2:5" x14ac:dyDescent="0.25">
      <c r="B1201" s="114" t="s">
        <v>1073</v>
      </c>
      <c r="D1201" s="114" t="s">
        <v>1073</v>
      </c>
      <c r="E1201" s="114" t="s">
        <v>3993</v>
      </c>
    </row>
    <row r="1202" spans="2:5" x14ac:dyDescent="0.25">
      <c r="B1202" s="114" t="s">
        <v>1073</v>
      </c>
      <c r="D1202" s="114" t="s">
        <v>1073</v>
      </c>
      <c r="E1202" s="114" t="s">
        <v>3993</v>
      </c>
    </row>
    <row r="1203" spans="2:5" x14ac:dyDescent="0.25">
      <c r="B1203" s="114" t="s">
        <v>1073</v>
      </c>
      <c r="D1203" s="114" t="s">
        <v>1073</v>
      </c>
      <c r="E1203" s="114" t="s">
        <v>3993</v>
      </c>
    </row>
    <row r="1204" spans="2:5" x14ac:dyDescent="0.25">
      <c r="B1204" s="114" t="s">
        <v>1073</v>
      </c>
      <c r="D1204" s="114" t="s">
        <v>1073</v>
      </c>
      <c r="E1204" s="114" t="s">
        <v>3993</v>
      </c>
    </row>
    <row r="1205" spans="2:5" x14ac:dyDescent="0.25">
      <c r="B1205" s="114" t="s">
        <v>1073</v>
      </c>
      <c r="D1205" s="114" t="s">
        <v>1073</v>
      </c>
      <c r="E1205" s="114" t="s">
        <v>3993</v>
      </c>
    </row>
    <row r="1206" spans="2:5" x14ac:dyDescent="0.25">
      <c r="B1206" s="114" t="s">
        <v>1073</v>
      </c>
      <c r="D1206" s="114" t="s">
        <v>1073</v>
      </c>
      <c r="E1206" s="114" t="s">
        <v>3993</v>
      </c>
    </row>
    <row r="1207" spans="2:5" x14ac:dyDescent="0.25">
      <c r="B1207" s="114" t="s">
        <v>1073</v>
      </c>
      <c r="D1207" s="114" t="s">
        <v>1073</v>
      </c>
      <c r="E1207" s="114" t="s">
        <v>3993</v>
      </c>
    </row>
    <row r="1208" spans="2:5" x14ac:dyDescent="0.25">
      <c r="B1208" s="114" t="s">
        <v>1073</v>
      </c>
      <c r="D1208" s="114" t="s">
        <v>1073</v>
      </c>
      <c r="E1208" s="114" t="s">
        <v>3993</v>
      </c>
    </row>
    <row r="1209" spans="2:5" x14ac:dyDescent="0.25">
      <c r="B1209" s="114" t="s">
        <v>1073</v>
      </c>
      <c r="D1209" s="114" t="s">
        <v>1073</v>
      </c>
      <c r="E1209" s="114" t="s">
        <v>3993</v>
      </c>
    </row>
    <row r="1210" spans="2:5" x14ac:dyDescent="0.25">
      <c r="B1210" s="114" t="s">
        <v>1073</v>
      </c>
      <c r="D1210" s="114" t="s">
        <v>1073</v>
      </c>
      <c r="E1210" s="114" t="s">
        <v>3993</v>
      </c>
    </row>
    <row r="1211" spans="2:5" x14ac:dyDescent="0.25">
      <c r="B1211" s="114" t="s">
        <v>1073</v>
      </c>
      <c r="D1211" s="114" t="s">
        <v>1073</v>
      </c>
      <c r="E1211" s="114" t="s">
        <v>3993</v>
      </c>
    </row>
    <row r="1212" spans="2:5" x14ac:dyDescent="0.25">
      <c r="B1212" s="114" t="s">
        <v>1073</v>
      </c>
      <c r="D1212" s="114" t="s">
        <v>1073</v>
      </c>
      <c r="E1212" s="114" t="s">
        <v>3993</v>
      </c>
    </row>
    <row r="1213" spans="2:5" x14ac:dyDescent="0.25">
      <c r="B1213" s="114" t="s">
        <v>1073</v>
      </c>
      <c r="D1213" s="114" t="s">
        <v>1073</v>
      </c>
      <c r="E1213" s="114" t="s">
        <v>3993</v>
      </c>
    </row>
    <row r="1214" spans="2:5" x14ac:dyDescent="0.25">
      <c r="B1214" s="114" t="s">
        <v>1073</v>
      </c>
      <c r="D1214" s="114" t="s">
        <v>1073</v>
      </c>
      <c r="E1214" s="114" t="s">
        <v>3993</v>
      </c>
    </row>
    <row r="1215" spans="2:5" x14ac:dyDescent="0.25">
      <c r="B1215" s="114" t="s">
        <v>1073</v>
      </c>
      <c r="D1215" s="114" t="s">
        <v>1073</v>
      </c>
      <c r="E1215" s="114" t="s">
        <v>4778</v>
      </c>
    </row>
    <row r="1216" spans="2:5" x14ac:dyDescent="0.25">
      <c r="B1216" s="114" t="s">
        <v>1773</v>
      </c>
      <c r="D1216" s="114" t="s">
        <v>4779</v>
      </c>
      <c r="E1216" s="114" t="s">
        <v>4780</v>
      </c>
    </row>
    <row r="1217" spans="1:5" x14ac:dyDescent="0.25">
      <c r="B1217" s="114" t="s">
        <v>1073</v>
      </c>
      <c r="D1217" s="114" t="s">
        <v>1073</v>
      </c>
      <c r="E1217" s="114" t="s">
        <v>4781</v>
      </c>
    </row>
    <row r="1218" spans="1:5" x14ac:dyDescent="0.25">
      <c r="B1218" s="114" t="s">
        <v>1774</v>
      </c>
      <c r="D1218" s="114" t="s">
        <v>4782</v>
      </c>
      <c r="E1218" s="114" t="s">
        <v>4783</v>
      </c>
    </row>
    <row r="1219" spans="1:5" x14ac:dyDescent="0.25">
      <c r="B1219" s="114" t="s">
        <v>1208</v>
      </c>
      <c r="D1219" s="114" t="s">
        <v>4784</v>
      </c>
      <c r="E1219" s="114" t="s">
        <v>4014</v>
      </c>
    </row>
    <row r="1220" spans="1:5" x14ac:dyDescent="0.25">
      <c r="B1220" s="114" t="s">
        <v>1775</v>
      </c>
      <c r="D1220" s="114" t="s">
        <v>1073</v>
      </c>
      <c r="E1220" s="114" t="s">
        <v>4785</v>
      </c>
    </row>
    <row r="1221" spans="1:5" x14ac:dyDescent="0.25">
      <c r="B1221" s="114" t="s">
        <v>1776</v>
      </c>
      <c r="D1221" s="114" t="s">
        <v>1073</v>
      </c>
      <c r="E1221" s="114" t="s">
        <v>4786</v>
      </c>
    </row>
    <row r="1222" spans="1:5" x14ac:dyDescent="0.25">
      <c r="B1222" s="114" t="s">
        <v>1777</v>
      </c>
      <c r="D1222" s="114" t="s">
        <v>4787</v>
      </c>
      <c r="E1222" s="114" t="s">
        <v>4788</v>
      </c>
    </row>
    <row r="1223" spans="1:5" x14ac:dyDescent="0.25">
      <c r="B1223" s="114" t="s">
        <v>1778</v>
      </c>
      <c r="D1223" s="114" t="s">
        <v>1073</v>
      </c>
      <c r="E1223" s="114" t="s">
        <v>4789</v>
      </c>
    </row>
    <row r="1224" spans="1:5" x14ac:dyDescent="0.25">
      <c r="A1224" s="114" t="s">
        <v>1072</v>
      </c>
      <c r="B1224" s="114" t="s">
        <v>1779</v>
      </c>
      <c r="D1224" s="114" t="s">
        <v>4790</v>
      </c>
      <c r="E1224" s="114" t="s">
        <v>4791</v>
      </c>
    </row>
    <row r="1225" spans="1:5" x14ac:dyDescent="0.25">
      <c r="B1225" s="114" t="s">
        <v>1780</v>
      </c>
      <c r="D1225" s="114" t="s">
        <v>4792</v>
      </c>
      <c r="E1225" s="114" t="s">
        <v>4793</v>
      </c>
    </row>
    <row r="1226" spans="1:5" x14ac:dyDescent="0.25">
      <c r="A1226" s="114" t="s">
        <v>1072</v>
      </c>
      <c r="B1226" s="114" t="s">
        <v>1417</v>
      </c>
      <c r="D1226" s="114" t="s">
        <v>1073</v>
      </c>
      <c r="E1226" s="114" t="s">
        <v>4794</v>
      </c>
    </row>
    <row r="1227" spans="1:5" x14ac:dyDescent="0.25">
      <c r="A1227" s="114">
        <v>4</v>
      </c>
      <c r="B1227" s="114" t="s">
        <v>1781</v>
      </c>
      <c r="D1227" s="114" t="s">
        <v>4795</v>
      </c>
      <c r="E1227" s="114" t="s">
        <v>4796</v>
      </c>
    </row>
    <row r="1228" spans="1:5" x14ac:dyDescent="0.25">
      <c r="A1228" s="114">
        <v>-1</v>
      </c>
      <c r="B1228" s="114" t="s">
        <v>1782</v>
      </c>
      <c r="D1228" s="114" t="s">
        <v>4797</v>
      </c>
      <c r="E1228" s="114" t="s">
        <v>3993</v>
      </c>
    </row>
    <row r="1229" spans="1:5" x14ac:dyDescent="0.25">
      <c r="B1229" s="114" t="s">
        <v>1073</v>
      </c>
      <c r="D1229" s="114" t="s">
        <v>1073</v>
      </c>
      <c r="E1229" s="114" t="s">
        <v>3993</v>
      </c>
    </row>
    <row r="1230" spans="1:5" x14ac:dyDescent="0.25">
      <c r="B1230" s="114" t="s">
        <v>1073</v>
      </c>
      <c r="D1230" s="114" t="s">
        <v>1073</v>
      </c>
      <c r="E1230" s="114" t="s">
        <v>3993</v>
      </c>
    </row>
    <row r="1231" spans="1:5" x14ac:dyDescent="0.25">
      <c r="B1231" s="114" t="s">
        <v>1073</v>
      </c>
      <c r="D1231" s="114" t="s">
        <v>1073</v>
      </c>
      <c r="E1231" s="114" t="s">
        <v>3993</v>
      </c>
    </row>
    <row r="1232" spans="1:5" x14ac:dyDescent="0.25">
      <c r="B1232" s="114" t="s">
        <v>1073</v>
      </c>
      <c r="D1232" s="114" t="s">
        <v>1073</v>
      </c>
      <c r="E1232" s="114" t="s">
        <v>3993</v>
      </c>
    </row>
    <row r="1233" spans="1:5" x14ac:dyDescent="0.25">
      <c r="B1233" s="114" t="s">
        <v>1073</v>
      </c>
      <c r="D1233" s="114" t="s">
        <v>1073</v>
      </c>
      <c r="E1233" s="114" t="s">
        <v>3993</v>
      </c>
    </row>
    <row r="1234" spans="1:5" x14ac:dyDescent="0.25">
      <c r="B1234" s="114" t="s">
        <v>1073</v>
      </c>
      <c r="D1234" s="114" t="s">
        <v>1073</v>
      </c>
      <c r="E1234" s="114" t="s">
        <v>3993</v>
      </c>
    </row>
    <row r="1235" spans="1:5" x14ac:dyDescent="0.25">
      <c r="B1235" s="114" t="s">
        <v>1073</v>
      </c>
      <c r="D1235" s="114" t="s">
        <v>1073</v>
      </c>
      <c r="E1235" s="114" t="s">
        <v>3993</v>
      </c>
    </row>
    <row r="1236" spans="1:5" x14ac:dyDescent="0.25">
      <c r="B1236" s="114" t="s">
        <v>1073</v>
      </c>
      <c r="D1236" s="114" t="s">
        <v>1073</v>
      </c>
      <c r="E1236" s="114" t="s">
        <v>3993</v>
      </c>
    </row>
    <row r="1237" spans="1:5" x14ac:dyDescent="0.25">
      <c r="B1237" s="114" t="s">
        <v>1073</v>
      </c>
      <c r="D1237" s="114" t="s">
        <v>1073</v>
      </c>
      <c r="E1237" s="114" t="s">
        <v>3993</v>
      </c>
    </row>
    <row r="1238" spans="1:5" x14ac:dyDescent="0.25">
      <c r="B1238" s="114" t="s">
        <v>1073</v>
      </c>
      <c r="D1238" s="114" t="s">
        <v>1073</v>
      </c>
      <c r="E1238" s="114" t="s">
        <v>3993</v>
      </c>
    </row>
    <row r="1239" spans="1:5" x14ac:dyDescent="0.25">
      <c r="B1239" s="114" t="s">
        <v>1073</v>
      </c>
      <c r="D1239" s="114" t="s">
        <v>1073</v>
      </c>
      <c r="E1239" s="114" t="s">
        <v>3993</v>
      </c>
    </row>
    <row r="1240" spans="1:5" x14ac:dyDescent="0.25">
      <c r="B1240" s="114" t="s">
        <v>1073</v>
      </c>
      <c r="D1240" s="114" t="s">
        <v>1073</v>
      </c>
      <c r="E1240" s="114" t="s">
        <v>3993</v>
      </c>
    </row>
    <row r="1241" spans="1:5" x14ac:dyDescent="0.25">
      <c r="B1241" s="114" t="s">
        <v>1073</v>
      </c>
      <c r="D1241" s="114" t="s">
        <v>1073</v>
      </c>
      <c r="E1241" s="114" t="s">
        <v>4798</v>
      </c>
    </row>
    <row r="1242" spans="1:5" x14ac:dyDescent="0.25">
      <c r="A1242" s="114" t="s">
        <v>1072</v>
      </c>
      <c r="B1242" s="114" t="s">
        <v>1783</v>
      </c>
      <c r="D1242" s="114" t="s">
        <v>4799</v>
      </c>
      <c r="E1242" s="114" t="s">
        <v>4800</v>
      </c>
    </row>
    <row r="1243" spans="1:5" x14ac:dyDescent="0.25">
      <c r="B1243" s="114" t="s">
        <v>1784</v>
      </c>
      <c r="D1243" s="114" t="s">
        <v>1073</v>
      </c>
      <c r="E1243" s="114" t="s">
        <v>3993</v>
      </c>
    </row>
    <row r="1244" spans="1:5" x14ac:dyDescent="0.25">
      <c r="B1244" s="114" t="s">
        <v>1785</v>
      </c>
      <c r="D1244" s="114" t="s">
        <v>4801</v>
      </c>
      <c r="E1244" s="114" t="s">
        <v>4802</v>
      </c>
    </row>
    <row r="1245" spans="1:5" x14ac:dyDescent="0.25">
      <c r="B1245" s="114" t="s">
        <v>1073</v>
      </c>
      <c r="D1245" s="114" t="s">
        <v>4803</v>
      </c>
      <c r="E1245" s="114" t="s">
        <v>4804</v>
      </c>
    </row>
    <row r="1246" spans="1:5" x14ac:dyDescent="0.25">
      <c r="B1246" s="114" t="s">
        <v>1073</v>
      </c>
      <c r="D1246" s="114" t="s">
        <v>4805</v>
      </c>
      <c r="E1246" s="114" t="s">
        <v>3993</v>
      </c>
    </row>
    <row r="1247" spans="1:5" x14ac:dyDescent="0.25">
      <c r="B1247" s="114" t="s">
        <v>1786</v>
      </c>
      <c r="D1247" s="114" t="s">
        <v>4806</v>
      </c>
      <c r="E1247" s="114" t="s">
        <v>4807</v>
      </c>
    </row>
    <row r="1248" spans="1:5" x14ac:dyDescent="0.25">
      <c r="A1248" s="114" t="s">
        <v>1072</v>
      </c>
      <c r="B1248" s="114" t="s">
        <v>1787</v>
      </c>
      <c r="D1248" s="114" t="s">
        <v>4808</v>
      </c>
      <c r="E1248" s="114" t="s">
        <v>4809</v>
      </c>
    </row>
    <row r="1249" spans="1:5" x14ac:dyDescent="0.25">
      <c r="A1249" s="114" t="s">
        <v>1072</v>
      </c>
      <c r="B1249" s="114" t="s">
        <v>1788</v>
      </c>
      <c r="C1249" s="114" t="s">
        <v>1072</v>
      </c>
      <c r="D1249" s="114" t="s">
        <v>4810</v>
      </c>
      <c r="E1249" s="114" t="s">
        <v>4811</v>
      </c>
    </row>
    <row r="1250" spans="1:5" x14ac:dyDescent="0.25">
      <c r="B1250" s="114" t="s">
        <v>1789</v>
      </c>
      <c r="D1250" s="114" t="s">
        <v>4812</v>
      </c>
      <c r="E1250" s="114" t="s">
        <v>4813</v>
      </c>
    </row>
    <row r="1251" spans="1:5" x14ac:dyDescent="0.25">
      <c r="A1251" s="114" t="s">
        <v>1072</v>
      </c>
      <c r="B1251" s="114" t="s">
        <v>1790</v>
      </c>
      <c r="D1251" s="114" t="s">
        <v>4814</v>
      </c>
      <c r="E1251" s="114" t="s">
        <v>4815</v>
      </c>
    </row>
    <row r="1252" spans="1:5" x14ac:dyDescent="0.25">
      <c r="A1252" s="114" t="s">
        <v>1072</v>
      </c>
      <c r="B1252" s="114" t="s">
        <v>1791</v>
      </c>
      <c r="C1252" s="114" t="s">
        <v>1072</v>
      </c>
      <c r="D1252" s="114" t="s">
        <v>4816</v>
      </c>
      <c r="E1252" s="114" t="s">
        <v>4817</v>
      </c>
    </row>
    <row r="1253" spans="1:5" x14ac:dyDescent="0.25">
      <c r="B1253" s="114" t="s">
        <v>1792</v>
      </c>
      <c r="C1253" s="114" t="s">
        <v>1072</v>
      </c>
      <c r="D1253" s="114" t="s">
        <v>4818</v>
      </c>
      <c r="E1253" s="114" t="s">
        <v>4819</v>
      </c>
    </row>
    <row r="1254" spans="1:5" x14ac:dyDescent="0.25">
      <c r="B1254" s="114" t="s">
        <v>1203</v>
      </c>
      <c r="D1254" s="114" t="s">
        <v>4820</v>
      </c>
      <c r="E1254" s="114" t="s">
        <v>4821</v>
      </c>
    </row>
    <row r="1255" spans="1:5" x14ac:dyDescent="0.25">
      <c r="B1255" s="114" t="s">
        <v>1793</v>
      </c>
      <c r="D1255" s="114" t="s">
        <v>4822</v>
      </c>
      <c r="E1255" s="114" t="s">
        <v>4823</v>
      </c>
    </row>
    <row r="1256" spans="1:5" x14ac:dyDescent="0.25">
      <c r="B1256" s="114" t="s">
        <v>1073</v>
      </c>
      <c r="D1256" s="114" t="s">
        <v>4824</v>
      </c>
      <c r="E1256" s="114" t="s">
        <v>4088</v>
      </c>
    </row>
    <row r="1257" spans="1:5" x14ac:dyDescent="0.25">
      <c r="B1257" s="114" t="s">
        <v>1073</v>
      </c>
      <c r="D1257" s="114" t="s">
        <v>4825</v>
      </c>
      <c r="E1257" s="114" t="s">
        <v>4826</v>
      </c>
    </row>
    <row r="1258" spans="1:5" x14ac:dyDescent="0.25">
      <c r="A1258" s="114" t="s">
        <v>1072</v>
      </c>
      <c r="B1258" s="114" t="s">
        <v>1794</v>
      </c>
      <c r="D1258" s="114" t="s">
        <v>4827</v>
      </c>
      <c r="E1258" s="114" t="s">
        <v>4828</v>
      </c>
    </row>
    <row r="1259" spans="1:5" x14ac:dyDescent="0.25">
      <c r="B1259" s="114" t="s">
        <v>1795</v>
      </c>
      <c r="D1259" s="114" t="s">
        <v>1073</v>
      </c>
      <c r="E1259" s="114" t="s">
        <v>4829</v>
      </c>
    </row>
    <row r="1260" spans="1:5" x14ac:dyDescent="0.25">
      <c r="B1260" s="114" t="s">
        <v>1073</v>
      </c>
      <c r="D1260" s="114" t="s">
        <v>4784</v>
      </c>
      <c r="E1260" s="114" t="s">
        <v>4830</v>
      </c>
    </row>
    <row r="1261" spans="1:5" x14ac:dyDescent="0.25">
      <c r="B1261" s="114" t="s">
        <v>1073</v>
      </c>
      <c r="D1261" s="114" t="s">
        <v>4831</v>
      </c>
      <c r="E1261" s="114" t="s">
        <v>4832</v>
      </c>
    </row>
    <row r="1262" spans="1:5" x14ac:dyDescent="0.25">
      <c r="B1262" s="114" t="s">
        <v>1796</v>
      </c>
      <c r="D1262" s="114" t="s">
        <v>4833</v>
      </c>
      <c r="E1262" s="114" t="s">
        <v>4834</v>
      </c>
    </row>
    <row r="1263" spans="1:5" x14ac:dyDescent="0.25">
      <c r="B1263" s="114" t="s">
        <v>1797</v>
      </c>
      <c r="D1263" s="114" t="s">
        <v>4835</v>
      </c>
      <c r="E1263" s="114" t="s">
        <v>4836</v>
      </c>
    </row>
    <row r="1264" spans="1:5" x14ac:dyDescent="0.25">
      <c r="A1264" s="114">
        <v>-1</v>
      </c>
      <c r="B1264" s="114" t="s">
        <v>1798</v>
      </c>
      <c r="D1264" s="114">
        <f>-272   -138   -17</f>
        <v>-427</v>
      </c>
      <c r="E1264" s="114" t="s">
        <v>4837</v>
      </c>
    </row>
    <row r="1265" spans="1:5" x14ac:dyDescent="0.25">
      <c r="A1265" s="114" t="s">
        <v>1072</v>
      </c>
      <c r="B1265" s="114" t="s">
        <v>1799</v>
      </c>
      <c r="D1265" s="114" t="s">
        <v>4838</v>
      </c>
      <c r="E1265" s="114" t="s">
        <v>4839</v>
      </c>
    </row>
    <row r="1266" spans="1:5" x14ac:dyDescent="0.25">
      <c r="B1266" s="114" t="s">
        <v>1800</v>
      </c>
      <c r="D1266" s="114" t="s">
        <v>4840</v>
      </c>
      <c r="E1266" s="114" t="s">
        <v>4841</v>
      </c>
    </row>
    <row r="1267" spans="1:5" x14ac:dyDescent="0.25">
      <c r="A1267" s="114">
        <v>4</v>
      </c>
      <c r="B1267" s="114" t="s">
        <v>1801</v>
      </c>
      <c r="D1267" s="114" t="s">
        <v>1418</v>
      </c>
      <c r="E1267" s="114" t="s">
        <v>4842</v>
      </c>
    </row>
    <row r="1268" spans="1:5" x14ac:dyDescent="0.25">
      <c r="B1268" s="114" t="s">
        <v>1073</v>
      </c>
      <c r="C1268" s="114" t="s">
        <v>1072</v>
      </c>
      <c r="D1268" s="114" t="s">
        <v>4843</v>
      </c>
      <c r="E1268" s="114" t="s">
        <v>4844</v>
      </c>
    </row>
    <row r="1269" spans="1:5" x14ac:dyDescent="0.25">
      <c r="B1269" s="114" t="s">
        <v>1802</v>
      </c>
      <c r="D1269" s="114" t="s">
        <v>1446</v>
      </c>
      <c r="E1269" s="114" t="s">
        <v>4845</v>
      </c>
    </row>
    <row r="1270" spans="1:5" x14ac:dyDescent="0.25">
      <c r="B1270" s="114" t="s">
        <v>1073</v>
      </c>
      <c r="D1270" s="114" t="s">
        <v>1073</v>
      </c>
      <c r="E1270" s="114" t="s">
        <v>4846</v>
      </c>
    </row>
    <row r="1271" spans="1:5" x14ac:dyDescent="0.25">
      <c r="B1271" s="114" t="s">
        <v>1803</v>
      </c>
      <c r="D1271" s="114" t="s">
        <v>4847</v>
      </c>
      <c r="E1271" s="114" t="s">
        <v>4848</v>
      </c>
    </row>
    <row r="1272" spans="1:5" x14ac:dyDescent="0.25">
      <c r="A1272" s="114" t="s">
        <v>1072</v>
      </c>
      <c r="B1272" s="114" t="s">
        <v>1238</v>
      </c>
      <c r="D1272" s="114" t="s">
        <v>4598</v>
      </c>
      <c r="E1272" s="114" t="s">
        <v>3993</v>
      </c>
    </row>
    <row r="1273" spans="1:5" x14ac:dyDescent="0.25">
      <c r="B1273" s="114" t="s">
        <v>1356</v>
      </c>
      <c r="D1273" s="114" t="s">
        <v>1073</v>
      </c>
      <c r="E1273" s="114" t="s">
        <v>4849</v>
      </c>
    </row>
    <row r="1274" spans="1:5" x14ac:dyDescent="0.25">
      <c r="B1274" s="114" t="s">
        <v>1804</v>
      </c>
      <c r="D1274" s="114" t="s">
        <v>1073</v>
      </c>
      <c r="E1274" s="114" t="s">
        <v>4850</v>
      </c>
    </row>
    <row r="1275" spans="1:5" x14ac:dyDescent="0.25">
      <c r="B1275" s="114" t="s">
        <v>1805</v>
      </c>
      <c r="D1275" s="114" t="s">
        <v>4851</v>
      </c>
      <c r="E1275" s="114" t="s">
        <v>4852</v>
      </c>
    </row>
    <row r="1276" spans="1:5" x14ac:dyDescent="0.25">
      <c r="A1276" s="114">
        <v>-3</v>
      </c>
      <c r="B1276" s="114" t="s">
        <v>1133</v>
      </c>
      <c r="D1276" s="114" t="s">
        <v>1073</v>
      </c>
      <c r="E1276" s="114" t="s">
        <v>4853</v>
      </c>
    </row>
    <row r="1277" spans="1:5" x14ac:dyDescent="0.25">
      <c r="B1277" s="114" t="s">
        <v>1806</v>
      </c>
      <c r="D1277" s="114" t="s">
        <v>4854</v>
      </c>
      <c r="E1277" s="114" t="s">
        <v>4855</v>
      </c>
    </row>
    <row r="1278" spans="1:5" x14ac:dyDescent="0.25">
      <c r="B1278" s="114" t="s">
        <v>1807</v>
      </c>
      <c r="D1278" s="114" t="s">
        <v>4856</v>
      </c>
      <c r="E1278" s="114" t="s">
        <v>4857</v>
      </c>
    </row>
    <row r="1279" spans="1:5" x14ac:dyDescent="0.25">
      <c r="A1279" s="114">
        <v>-13</v>
      </c>
      <c r="B1279" s="114" t="s">
        <v>1808</v>
      </c>
      <c r="D1279" s="114" t="s">
        <v>1073</v>
      </c>
      <c r="E1279" s="114" t="s">
        <v>4858</v>
      </c>
    </row>
    <row r="1280" spans="1:5" x14ac:dyDescent="0.25">
      <c r="A1280" s="114">
        <v>-3</v>
      </c>
      <c r="B1280" s="114" t="s">
        <v>1809</v>
      </c>
      <c r="C1280" s="114">
        <v>-1</v>
      </c>
      <c r="D1280" s="114" t="s">
        <v>4859</v>
      </c>
      <c r="E1280" s="114" t="s">
        <v>4860</v>
      </c>
    </row>
    <row r="1281" spans="1:5" x14ac:dyDescent="0.25">
      <c r="A1281" s="114">
        <v>-3</v>
      </c>
      <c r="B1281" s="114" t="s">
        <v>1810</v>
      </c>
      <c r="D1281" s="114" t="s">
        <v>4861</v>
      </c>
      <c r="E1281" s="114" t="s">
        <v>4862</v>
      </c>
    </row>
    <row r="1282" spans="1:5" x14ac:dyDescent="0.25">
      <c r="B1282" s="114" t="s">
        <v>1073</v>
      </c>
      <c r="D1282" s="114" t="s">
        <v>1073</v>
      </c>
      <c r="E1282" s="114" t="s">
        <v>3993</v>
      </c>
    </row>
    <row r="1283" spans="1:5" x14ac:dyDescent="0.25">
      <c r="B1283" s="114" t="s">
        <v>1073</v>
      </c>
      <c r="D1283" s="114" t="s">
        <v>1073</v>
      </c>
      <c r="E1283" s="114" t="s">
        <v>3993</v>
      </c>
    </row>
    <row r="1284" spans="1:5" x14ac:dyDescent="0.25">
      <c r="B1284" s="114" t="s">
        <v>1073</v>
      </c>
      <c r="D1284" s="114" t="s">
        <v>1073</v>
      </c>
      <c r="E1284" s="114" t="s">
        <v>3993</v>
      </c>
    </row>
    <row r="1285" spans="1:5" x14ac:dyDescent="0.25">
      <c r="B1285" s="114" t="s">
        <v>1073</v>
      </c>
      <c r="D1285" s="114" t="s">
        <v>1073</v>
      </c>
      <c r="E1285" s="114" t="s">
        <v>3993</v>
      </c>
    </row>
    <row r="1286" spans="1:5" x14ac:dyDescent="0.25">
      <c r="B1286" s="114" t="s">
        <v>1073</v>
      </c>
      <c r="D1286" s="114" t="s">
        <v>1073</v>
      </c>
      <c r="E1286" s="114" t="s">
        <v>3993</v>
      </c>
    </row>
    <row r="1287" spans="1:5" x14ac:dyDescent="0.25">
      <c r="B1287" s="114" t="s">
        <v>1073</v>
      </c>
      <c r="D1287" s="114" t="s">
        <v>1073</v>
      </c>
      <c r="E1287" s="114" t="s">
        <v>3993</v>
      </c>
    </row>
    <row r="1288" spans="1:5" x14ac:dyDescent="0.25">
      <c r="B1288" s="114" t="s">
        <v>1073</v>
      </c>
      <c r="D1288" s="114" t="s">
        <v>1073</v>
      </c>
      <c r="E1288" s="114" t="s">
        <v>3993</v>
      </c>
    </row>
    <row r="1289" spans="1:5" x14ac:dyDescent="0.25">
      <c r="B1289" s="114" t="s">
        <v>1073</v>
      </c>
      <c r="D1289" s="114" t="s">
        <v>1073</v>
      </c>
      <c r="E1289" s="114" t="s">
        <v>3993</v>
      </c>
    </row>
    <row r="1290" spans="1:5" x14ac:dyDescent="0.25">
      <c r="B1290" s="114" t="s">
        <v>1073</v>
      </c>
      <c r="D1290" s="114" t="s">
        <v>1073</v>
      </c>
      <c r="E1290" s="114" t="s">
        <v>3993</v>
      </c>
    </row>
    <row r="1291" spans="1:5" x14ac:dyDescent="0.25">
      <c r="B1291" s="114" t="s">
        <v>1073</v>
      </c>
      <c r="D1291" s="114" t="s">
        <v>1073</v>
      </c>
      <c r="E1291" s="114" t="s">
        <v>3993</v>
      </c>
    </row>
    <row r="1292" spans="1:5" x14ac:dyDescent="0.25">
      <c r="B1292" s="114" t="s">
        <v>1073</v>
      </c>
      <c r="D1292" s="114" t="s">
        <v>1073</v>
      </c>
      <c r="E1292" s="114" t="s">
        <v>3993</v>
      </c>
    </row>
    <row r="1293" spans="1:5" x14ac:dyDescent="0.25">
      <c r="B1293" s="114" t="s">
        <v>1073</v>
      </c>
      <c r="D1293" s="114" t="s">
        <v>1073</v>
      </c>
      <c r="E1293" s="114" t="s">
        <v>3993</v>
      </c>
    </row>
    <row r="1294" spans="1:5" x14ac:dyDescent="0.25">
      <c r="B1294" s="114" t="s">
        <v>1073</v>
      </c>
      <c r="D1294" s="114" t="s">
        <v>1073</v>
      </c>
      <c r="E1294" s="114" t="s">
        <v>3993</v>
      </c>
    </row>
    <row r="1295" spans="1:5" x14ac:dyDescent="0.25">
      <c r="B1295" s="114" t="s">
        <v>1073</v>
      </c>
      <c r="D1295" s="114" t="s">
        <v>1073</v>
      </c>
      <c r="E1295" s="114" t="s">
        <v>3993</v>
      </c>
    </row>
    <row r="1296" spans="1:5" x14ac:dyDescent="0.25">
      <c r="B1296" s="114" t="s">
        <v>1073</v>
      </c>
      <c r="D1296" s="114" t="s">
        <v>1073</v>
      </c>
      <c r="E1296" s="114" t="s">
        <v>3993</v>
      </c>
    </row>
    <row r="1297" spans="2:5" x14ac:dyDescent="0.25">
      <c r="B1297" s="114" t="s">
        <v>1073</v>
      </c>
      <c r="D1297" s="114" t="s">
        <v>1073</v>
      </c>
      <c r="E1297" s="114" t="s">
        <v>3993</v>
      </c>
    </row>
    <row r="1298" spans="2:5" x14ac:dyDescent="0.25">
      <c r="B1298" s="114" t="s">
        <v>1073</v>
      </c>
      <c r="D1298" s="114" t="s">
        <v>1073</v>
      </c>
      <c r="E1298" s="114" t="s">
        <v>3993</v>
      </c>
    </row>
    <row r="1299" spans="2:5" x14ac:dyDescent="0.25">
      <c r="B1299" s="114" t="s">
        <v>1073</v>
      </c>
      <c r="D1299" s="114" t="s">
        <v>1073</v>
      </c>
      <c r="E1299" s="114" t="s">
        <v>3993</v>
      </c>
    </row>
    <row r="1300" spans="2:5" x14ac:dyDescent="0.25">
      <c r="B1300" s="114" t="s">
        <v>1073</v>
      </c>
      <c r="D1300" s="114" t="s">
        <v>1073</v>
      </c>
      <c r="E1300" s="114" t="s">
        <v>3993</v>
      </c>
    </row>
    <row r="1301" spans="2:5" x14ac:dyDescent="0.25">
      <c r="B1301" s="114" t="s">
        <v>1073</v>
      </c>
      <c r="D1301" s="114" t="s">
        <v>1073</v>
      </c>
      <c r="E1301" s="114" t="s">
        <v>3993</v>
      </c>
    </row>
    <row r="1302" spans="2:5" x14ac:dyDescent="0.25">
      <c r="B1302" s="114" t="s">
        <v>1073</v>
      </c>
      <c r="D1302" s="114" t="s">
        <v>1073</v>
      </c>
      <c r="E1302" s="114" t="s">
        <v>3993</v>
      </c>
    </row>
    <row r="1303" spans="2:5" x14ac:dyDescent="0.25">
      <c r="B1303" s="114" t="s">
        <v>1073</v>
      </c>
      <c r="D1303" s="114" t="s">
        <v>1073</v>
      </c>
      <c r="E1303" s="114" t="s">
        <v>3993</v>
      </c>
    </row>
    <row r="1304" spans="2:5" x14ac:dyDescent="0.25">
      <c r="B1304" s="114" t="s">
        <v>1073</v>
      </c>
      <c r="D1304" s="114" t="s">
        <v>1073</v>
      </c>
      <c r="E1304" s="114" t="s">
        <v>3993</v>
      </c>
    </row>
    <row r="1305" spans="2:5" x14ac:dyDescent="0.25">
      <c r="B1305" s="114" t="s">
        <v>1073</v>
      </c>
      <c r="D1305" s="114" t="s">
        <v>1073</v>
      </c>
      <c r="E1305" s="114" t="s">
        <v>3993</v>
      </c>
    </row>
    <row r="1306" spans="2:5" x14ac:dyDescent="0.25">
      <c r="B1306" s="114" t="s">
        <v>1073</v>
      </c>
      <c r="D1306" s="114" t="s">
        <v>1073</v>
      </c>
      <c r="E1306" s="114" t="s">
        <v>3993</v>
      </c>
    </row>
    <row r="1307" spans="2:5" x14ac:dyDescent="0.25">
      <c r="B1307" s="114" t="s">
        <v>1073</v>
      </c>
      <c r="D1307" s="114" t="s">
        <v>1073</v>
      </c>
      <c r="E1307" s="114" t="s">
        <v>3993</v>
      </c>
    </row>
    <row r="1308" spans="2:5" x14ac:dyDescent="0.25">
      <c r="B1308" s="114" t="s">
        <v>1073</v>
      </c>
      <c r="D1308" s="114" t="s">
        <v>1073</v>
      </c>
      <c r="E1308" s="114" t="s">
        <v>3993</v>
      </c>
    </row>
    <row r="1309" spans="2:5" x14ac:dyDescent="0.25">
      <c r="B1309" s="114" t="s">
        <v>1073</v>
      </c>
      <c r="D1309" s="114" t="s">
        <v>1073</v>
      </c>
      <c r="E1309" s="114" t="s">
        <v>3993</v>
      </c>
    </row>
    <row r="1310" spans="2:5" x14ac:dyDescent="0.25">
      <c r="B1310" s="114" t="s">
        <v>1073</v>
      </c>
      <c r="D1310" s="114" t="s">
        <v>1073</v>
      </c>
      <c r="E1310" s="114" t="s">
        <v>3993</v>
      </c>
    </row>
    <row r="1311" spans="2:5" x14ac:dyDescent="0.25">
      <c r="B1311" s="114" t="s">
        <v>1073</v>
      </c>
      <c r="D1311" s="114" t="s">
        <v>1073</v>
      </c>
      <c r="E1311" s="114" t="s">
        <v>3993</v>
      </c>
    </row>
    <row r="1312" spans="2:5" x14ac:dyDescent="0.25">
      <c r="B1312" s="114" t="s">
        <v>1073</v>
      </c>
      <c r="D1312" s="114" t="s">
        <v>1073</v>
      </c>
      <c r="E1312" s="114" t="s">
        <v>3993</v>
      </c>
    </row>
    <row r="1313" spans="2:5" x14ac:dyDescent="0.25">
      <c r="B1313" s="114" t="s">
        <v>1073</v>
      </c>
      <c r="D1313" s="114" t="s">
        <v>1073</v>
      </c>
      <c r="E1313" s="114" t="s">
        <v>3993</v>
      </c>
    </row>
    <row r="1314" spans="2:5" x14ac:dyDescent="0.25">
      <c r="B1314" s="114" t="s">
        <v>1073</v>
      </c>
      <c r="D1314" s="114" t="s">
        <v>1073</v>
      </c>
      <c r="E1314" s="114" t="s">
        <v>3993</v>
      </c>
    </row>
    <row r="1315" spans="2:5" x14ac:dyDescent="0.25">
      <c r="B1315" s="114" t="s">
        <v>1073</v>
      </c>
      <c r="D1315" s="114" t="s">
        <v>1073</v>
      </c>
      <c r="E1315" s="114" t="s">
        <v>3993</v>
      </c>
    </row>
    <row r="1316" spans="2:5" x14ac:dyDescent="0.25">
      <c r="B1316" s="114" t="s">
        <v>1073</v>
      </c>
      <c r="D1316" s="114" t="s">
        <v>1073</v>
      </c>
      <c r="E1316" s="114" t="s">
        <v>3993</v>
      </c>
    </row>
    <row r="1317" spans="2:5" x14ac:dyDescent="0.25">
      <c r="B1317" s="114" t="s">
        <v>1073</v>
      </c>
      <c r="D1317" s="114" t="s">
        <v>1073</v>
      </c>
      <c r="E1317" s="114" t="s">
        <v>3993</v>
      </c>
    </row>
    <row r="1318" spans="2:5" x14ac:dyDescent="0.25">
      <c r="B1318" s="114" t="s">
        <v>1073</v>
      </c>
      <c r="D1318" s="114" t="s">
        <v>1073</v>
      </c>
      <c r="E1318" s="114" t="s">
        <v>3993</v>
      </c>
    </row>
    <row r="1319" spans="2:5" x14ac:dyDescent="0.25">
      <c r="B1319" s="114" t="s">
        <v>1073</v>
      </c>
      <c r="D1319" s="114" t="s">
        <v>1073</v>
      </c>
      <c r="E1319" s="114" t="s">
        <v>3993</v>
      </c>
    </row>
    <row r="1320" spans="2:5" x14ac:dyDescent="0.25">
      <c r="B1320" s="114" t="s">
        <v>1073</v>
      </c>
      <c r="D1320" s="114" t="s">
        <v>1073</v>
      </c>
      <c r="E1320" s="114" t="s">
        <v>3993</v>
      </c>
    </row>
    <row r="1321" spans="2:5" x14ac:dyDescent="0.25">
      <c r="B1321" s="114" t="s">
        <v>1073</v>
      </c>
      <c r="D1321" s="114" t="s">
        <v>1073</v>
      </c>
      <c r="E1321" s="114" t="s">
        <v>3993</v>
      </c>
    </row>
    <row r="1322" spans="2:5" x14ac:dyDescent="0.25">
      <c r="B1322" s="114" t="s">
        <v>1073</v>
      </c>
      <c r="D1322" s="114" t="s">
        <v>1073</v>
      </c>
      <c r="E1322" s="114" t="s">
        <v>3993</v>
      </c>
    </row>
    <row r="1323" spans="2:5" x14ac:dyDescent="0.25">
      <c r="B1323" s="114" t="s">
        <v>1073</v>
      </c>
      <c r="D1323" s="114" t="s">
        <v>1073</v>
      </c>
      <c r="E1323" s="114" t="s">
        <v>3993</v>
      </c>
    </row>
    <row r="1324" spans="2:5" x14ac:dyDescent="0.25">
      <c r="B1324" s="114" t="s">
        <v>1073</v>
      </c>
      <c r="D1324" s="114" t="s">
        <v>1073</v>
      </c>
      <c r="E1324" s="114" t="s">
        <v>3993</v>
      </c>
    </row>
    <row r="1325" spans="2:5" x14ac:dyDescent="0.25">
      <c r="B1325" s="114" t="s">
        <v>1073</v>
      </c>
      <c r="D1325" s="114" t="s">
        <v>1073</v>
      </c>
      <c r="E1325" s="114" t="s">
        <v>3993</v>
      </c>
    </row>
    <row r="1326" spans="2:5" x14ac:dyDescent="0.25">
      <c r="B1326" s="114" t="s">
        <v>1073</v>
      </c>
      <c r="D1326" s="114" t="s">
        <v>1073</v>
      </c>
      <c r="E1326" s="114" t="s">
        <v>3993</v>
      </c>
    </row>
    <row r="1327" spans="2:5" x14ac:dyDescent="0.25">
      <c r="B1327" s="114" t="s">
        <v>1073</v>
      </c>
      <c r="D1327" s="114" t="s">
        <v>1073</v>
      </c>
      <c r="E1327" s="114" t="s">
        <v>3993</v>
      </c>
    </row>
    <row r="1328" spans="2:5" x14ac:dyDescent="0.25">
      <c r="B1328" s="114" t="s">
        <v>1073</v>
      </c>
      <c r="D1328" s="114" t="s">
        <v>1073</v>
      </c>
      <c r="E1328" s="114" t="s">
        <v>3993</v>
      </c>
    </row>
    <row r="1329" spans="1:5" x14ac:dyDescent="0.25">
      <c r="B1329" s="114" t="s">
        <v>1073</v>
      </c>
      <c r="D1329" s="114" t="s">
        <v>1073</v>
      </c>
      <c r="E1329" s="114" t="s">
        <v>3993</v>
      </c>
    </row>
    <row r="1330" spans="1:5" x14ac:dyDescent="0.25">
      <c r="B1330" s="114" t="s">
        <v>1073</v>
      </c>
      <c r="D1330" s="114" t="s">
        <v>1073</v>
      </c>
      <c r="E1330" s="114" t="s">
        <v>3993</v>
      </c>
    </row>
    <row r="1331" spans="1:5" x14ac:dyDescent="0.25">
      <c r="B1331" s="114" t="s">
        <v>1073</v>
      </c>
      <c r="D1331" s="114" t="s">
        <v>1073</v>
      </c>
      <c r="E1331" s="114" t="s">
        <v>3993</v>
      </c>
    </row>
    <row r="1332" spans="1:5" x14ac:dyDescent="0.25">
      <c r="B1332" s="114" t="s">
        <v>1073</v>
      </c>
      <c r="D1332" s="114" t="s">
        <v>1073</v>
      </c>
      <c r="E1332" s="114" t="s">
        <v>3993</v>
      </c>
    </row>
    <row r="1333" spans="1:5" x14ac:dyDescent="0.25">
      <c r="B1333" s="114" t="s">
        <v>1073</v>
      </c>
      <c r="D1333" s="114" t="s">
        <v>1073</v>
      </c>
      <c r="E1333" s="114" t="s">
        <v>3993</v>
      </c>
    </row>
    <row r="1334" spans="1:5" x14ac:dyDescent="0.25">
      <c r="B1334" s="114" t="s">
        <v>1073</v>
      </c>
      <c r="D1334" s="114" t="s">
        <v>1073</v>
      </c>
      <c r="E1334" s="114" t="s">
        <v>3993</v>
      </c>
    </row>
    <row r="1335" spans="1:5" x14ac:dyDescent="0.25">
      <c r="B1335" s="114" t="s">
        <v>1073</v>
      </c>
      <c r="D1335" s="114" t="s">
        <v>1073</v>
      </c>
      <c r="E1335" s="114" t="s">
        <v>3993</v>
      </c>
    </row>
    <row r="1336" spans="1:5" x14ac:dyDescent="0.25">
      <c r="B1336" s="114" t="s">
        <v>1073</v>
      </c>
      <c r="D1336" s="114" t="s">
        <v>1073</v>
      </c>
      <c r="E1336" s="114" t="s">
        <v>3993</v>
      </c>
    </row>
    <row r="1337" spans="1:5" x14ac:dyDescent="0.25">
      <c r="A1337" s="114">
        <v>1</v>
      </c>
      <c r="B1337" s="114" t="s">
        <v>1811</v>
      </c>
      <c r="D1337" s="114" t="s">
        <v>4863</v>
      </c>
      <c r="E1337" s="114" t="s">
        <v>4864</v>
      </c>
    </row>
    <row r="1338" spans="1:5" x14ac:dyDescent="0.25">
      <c r="B1338" s="114" t="s">
        <v>1073</v>
      </c>
      <c r="D1338" s="114" t="s">
        <v>4865</v>
      </c>
      <c r="E1338" s="114" t="s">
        <v>3993</v>
      </c>
    </row>
    <row r="1339" spans="1:5" x14ac:dyDescent="0.25">
      <c r="B1339" s="114" t="s">
        <v>1073</v>
      </c>
      <c r="D1339" s="114" t="s">
        <v>4866</v>
      </c>
      <c r="E1339" s="114" t="s">
        <v>4867</v>
      </c>
    </row>
    <row r="1340" spans="1:5" x14ac:dyDescent="0.25">
      <c r="A1340" s="114" t="s">
        <v>1072</v>
      </c>
      <c r="B1340" s="114" t="s">
        <v>1812</v>
      </c>
      <c r="D1340" s="114" t="s">
        <v>1073</v>
      </c>
      <c r="E1340" s="114" t="s">
        <v>4868</v>
      </c>
    </row>
    <row r="1341" spans="1:5" x14ac:dyDescent="0.25">
      <c r="B1341" s="114" t="s">
        <v>1073</v>
      </c>
      <c r="D1341" s="114" t="s">
        <v>1073</v>
      </c>
      <c r="E1341" s="114" t="s">
        <v>4869</v>
      </c>
    </row>
    <row r="1342" spans="1:5" x14ac:dyDescent="0.25">
      <c r="B1342" s="114" t="s">
        <v>1073</v>
      </c>
      <c r="D1342" s="114" t="s">
        <v>4870</v>
      </c>
      <c r="E1342" s="114" t="s">
        <v>4871</v>
      </c>
    </row>
    <row r="1343" spans="1:5" x14ac:dyDescent="0.25">
      <c r="B1343" s="114" t="s">
        <v>1369</v>
      </c>
      <c r="D1343" s="114" t="s">
        <v>4872</v>
      </c>
      <c r="E1343" s="114" t="s">
        <v>4873</v>
      </c>
    </row>
    <row r="1344" spans="1:5" x14ac:dyDescent="0.25">
      <c r="A1344" s="114" t="s">
        <v>1072</v>
      </c>
      <c r="B1344" s="114" t="s">
        <v>1813</v>
      </c>
      <c r="D1344" s="114" t="s">
        <v>4874</v>
      </c>
      <c r="E1344" s="114" t="s">
        <v>4875</v>
      </c>
    </row>
    <row r="1345" spans="1:5" x14ac:dyDescent="0.25">
      <c r="A1345" s="114">
        <v>-1</v>
      </c>
      <c r="B1345" s="114" t="s">
        <v>1814</v>
      </c>
      <c r="D1345" s="114" t="s">
        <v>4876</v>
      </c>
      <c r="E1345" s="114" t="s">
        <v>4877</v>
      </c>
    </row>
    <row r="1346" spans="1:5" x14ac:dyDescent="0.25">
      <c r="A1346" s="114" t="s">
        <v>1072</v>
      </c>
      <c r="B1346" s="114" t="s">
        <v>1815</v>
      </c>
      <c r="D1346" s="114" t="s">
        <v>4878</v>
      </c>
      <c r="E1346" s="114" t="s">
        <v>4879</v>
      </c>
    </row>
    <row r="1347" spans="1:5" x14ac:dyDescent="0.25">
      <c r="A1347" s="114" t="s">
        <v>1072</v>
      </c>
      <c r="B1347" s="114" t="s">
        <v>1493</v>
      </c>
      <c r="D1347" s="114" t="s">
        <v>4880</v>
      </c>
      <c r="E1347" s="114" t="s">
        <v>4881</v>
      </c>
    </row>
    <row r="1348" spans="1:5" x14ac:dyDescent="0.25">
      <c r="A1348" s="114">
        <v>-7</v>
      </c>
      <c r="B1348" s="114" t="s">
        <v>1816</v>
      </c>
      <c r="D1348" s="114" t="s">
        <v>4882</v>
      </c>
      <c r="E1348" s="114" t="s">
        <v>4883</v>
      </c>
    </row>
    <row r="1349" spans="1:5" x14ac:dyDescent="0.25">
      <c r="A1349" s="114">
        <v>11</v>
      </c>
      <c r="B1349" s="114" t="s">
        <v>1332</v>
      </c>
      <c r="D1349" s="114" t="s">
        <v>4884</v>
      </c>
      <c r="E1349" s="114" t="s">
        <v>4885</v>
      </c>
    </row>
    <row r="1350" spans="1:5" x14ac:dyDescent="0.25">
      <c r="B1350" s="114" t="s">
        <v>1817</v>
      </c>
      <c r="D1350" s="114" t="s">
        <v>4886</v>
      </c>
      <c r="E1350" s="114" t="s">
        <v>4887</v>
      </c>
    </row>
    <row r="1351" spans="1:5" x14ac:dyDescent="0.25">
      <c r="A1351" s="114">
        <v>2</v>
      </c>
      <c r="B1351" s="114" t="s">
        <v>1818</v>
      </c>
      <c r="C1351" s="114" t="s">
        <v>1072</v>
      </c>
      <c r="D1351" s="114" t="s">
        <v>4888</v>
      </c>
      <c r="E1351" s="114" t="s">
        <v>4889</v>
      </c>
    </row>
    <row r="1352" spans="1:5" x14ac:dyDescent="0.25">
      <c r="B1352" s="114" t="s">
        <v>1073</v>
      </c>
      <c r="D1352" s="114">
        <f>-394  -1101</f>
        <v>-1495</v>
      </c>
      <c r="E1352" s="114" t="s">
        <v>3993</v>
      </c>
    </row>
    <row r="1353" spans="1:5" x14ac:dyDescent="0.25">
      <c r="B1353" s="114" t="s">
        <v>1073</v>
      </c>
      <c r="D1353" s="114" t="s">
        <v>4890</v>
      </c>
      <c r="E1353" s="114" t="s">
        <v>4891</v>
      </c>
    </row>
    <row r="1354" spans="1:5" x14ac:dyDescent="0.25">
      <c r="A1354" s="114">
        <v>-2</v>
      </c>
      <c r="B1354" s="114" t="s">
        <v>1819</v>
      </c>
      <c r="D1354" s="114" t="s">
        <v>1073</v>
      </c>
      <c r="E1354" s="114" t="s">
        <v>4892</v>
      </c>
    </row>
    <row r="1355" spans="1:5" x14ac:dyDescent="0.25">
      <c r="B1355" s="114" t="s">
        <v>1073</v>
      </c>
      <c r="D1355" s="114" t="s">
        <v>1073</v>
      </c>
      <c r="E1355" s="114" t="s">
        <v>4893</v>
      </c>
    </row>
    <row r="1356" spans="1:5" x14ac:dyDescent="0.25">
      <c r="B1356" s="114" t="s">
        <v>1073</v>
      </c>
      <c r="D1356" s="114" t="s">
        <v>4894</v>
      </c>
      <c r="E1356" s="114" t="s">
        <v>4895</v>
      </c>
    </row>
    <row r="1357" spans="1:5" x14ac:dyDescent="0.25">
      <c r="B1357" s="114" t="s">
        <v>1820</v>
      </c>
      <c r="C1357" s="114" t="s">
        <v>1072</v>
      </c>
      <c r="D1357" s="114" t="s">
        <v>4896</v>
      </c>
      <c r="E1357" s="114" t="s">
        <v>4897</v>
      </c>
    </row>
    <row r="1358" spans="1:5" x14ac:dyDescent="0.25">
      <c r="B1358" s="114" t="s">
        <v>1821</v>
      </c>
      <c r="D1358" s="114" t="s">
        <v>4898</v>
      </c>
      <c r="E1358" s="114" t="s">
        <v>4899</v>
      </c>
    </row>
    <row r="1359" spans="1:5" x14ac:dyDescent="0.25">
      <c r="A1359" s="114">
        <v>1</v>
      </c>
      <c r="B1359" s="114" t="s">
        <v>1822</v>
      </c>
      <c r="D1359" s="114" t="s">
        <v>4900</v>
      </c>
      <c r="E1359" s="114" t="s">
        <v>4901</v>
      </c>
    </row>
    <row r="1360" spans="1:5" x14ac:dyDescent="0.25">
      <c r="A1360" s="114">
        <v>-1</v>
      </c>
      <c r="B1360" s="114" t="s">
        <v>1823</v>
      </c>
      <c r="D1360" s="114">
        <f>-534    -14    -9</f>
        <v>-557</v>
      </c>
      <c r="E1360" s="114" t="s">
        <v>4902</v>
      </c>
    </row>
    <row r="1361" spans="1:5" x14ac:dyDescent="0.25">
      <c r="B1361" s="114" t="s">
        <v>1277</v>
      </c>
      <c r="D1361" s="114" t="s">
        <v>4903</v>
      </c>
      <c r="E1361" s="114" t="s">
        <v>4904</v>
      </c>
    </row>
    <row r="1362" spans="1:5" x14ac:dyDescent="0.25">
      <c r="B1362" s="114" t="s">
        <v>1824</v>
      </c>
      <c r="D1362" s="114" t="s">
        <v>4905</v>
      </c>
      <c r="E1362" s="114" t="s">
        <v>4906</v>
      </c>
    </row>
    <row r="1363" spans="1:5" x14ac:dyDescent="0.25">
      <c r="A1363" s="114">
        <v>7</v>
      </c>
      <c r="B1363" s="114" t="s">
        <v>1825</v>
      </c>
      <c r="D1363" s="114" t="s">
        <v>4907</v>
      </c>
      <c r="E1363" s="114" t="s">
        <v>4908</v>
      </c>
    </row>
    <row r="1364" spans="1:5" x14ac:dyDescent="0.25">
      <c r="B1364" s="114" t="s">
        <v>1826</v>
      </c>
      <c r="D1364" s="114" t="s">
        <v>4909</v>
      </c>
      <c r="E1364" s="114" t="s">
        <v>4910</v>
      </c>
    </row>
    <row r="1365" spans="1:5" x14ac:dyDescent="0.25">
      <c r="A1365" s="114">
        <v>-3</v>
      </c>
      <c r="B1365" s="114" t="s">
        <v>1302</v>
      </c>
      <c r="D1365" s="114" t="s">
        <v>1073</v>
      </c>
      <c r="E1365" s="114" t="s">
        <v>3993</v>
      </c>
    </row>
    <row r="1366" spans="1:5" x14ac:dyDescent="0.25">
      <c r="B1366" s="114" t="s">
        <v>1073</v>
      </c>
      <c r="D1366" s="114" t="s">
        <v>1073</v>
      </c>
      <c r="E1366" s="114" t="s">
        <v>3993</v>
      </c>
    </row>
    <row r="1367" spans="1:5" x14ac:dyDescent="0.25">
      <c r="B1367" s="114" t="s">
        <v>1073</v>
      </c>
      <c r="D1367" s="114" t="s">
        <v>1073</v>
      </c>
      <c r="E1367" s="114" t="s">
        <v>3993</v>
      </c>
    </row>
    <row r="1368" spans="1:5" x14ac:dyDescent="0.25">
      <c r="B1368" s="114" t="s">
        <v>1073</v>
      </c>
      <c r="D1368" s="114" t="s">
        <v>1073</v>
      </c>
      <c r="E1368" s="114" t="s">
        <v>3993</v>
      </c>
    </row>
    <row r="1369" spans="1:5" x14ac:dyDescent="0.25">
      <c r="B1369" s="114" t="s">
        <v>1073</v>
      </c>
      <c r="D1369" s="114" t="s">
        <v>1073</v>
      </c>
      <c r="E1369" s="114" t="s">
        <v>3993</v>
      </c>
    </row>
    <row r="1370" spans="1:5" x14ac:dyDescent="0.25">
      <c r="B1370" s="114" t="s">
        <v>1073</v>
      </c>
      <c r="D1370" s="114" t="s">
        <v>1073</v>
      </c>
      <c r="E1370" s="114" t="s">
        <v>3993</v>
      </c>
    </row>
    <row r="1371" spans="1:5" x14ac:dyDescent="0.25">
      <c r="B1371" s="114" t="s">
        <v>1073</v>
      </c>
      <c r="D1371" s="114" t="s">
        <v>1073</v>
      </c>
      <c r="E1371" s="114" t="s">
        <v>3993</v>
      </c>
    </row>
    <row r="1372" spans="1:5" x14ac:dyDescent="0.25">
      <c r="B1372" s="114" t="s">
        <v>1073</v>
      </c>
      <c r="D1372" s="114" t="s">
        <v>1073</v>
      </c>
      <c r="E1372" s="114" t="s">
        <v>3993</v>
      </c>
    </row>
    <row r="1373" spans="1:5" x14ac:dyDescent="0.25">
      <c r="B1373" s="114" t="s">
        <v>1073</v>
      </c>
      <c r="D1373" s="114" t="s">
        <v>1073</v>
      </c>
      <c r="E1373" s="114" t="s">
        <v>3993</v>
      </c>
    </row>
    <row r="1374" spans="1:5" x14ac:dyDescent="0.25">
      <c r="B1374" s="114" t="s">
        <v>1073</v>
      </c>
      <c r="D1374" s="114" t="s">
        <v>1073</v>
      </c>
      <c r="E1374" s="114" t="s">
        <v>3993</v>
      </c>
    </row>
    <row r="1375" spans="1:5" x14ac:dyDescent="0.25">
      <c r="B1375" s="114" t="s">
        <v>1073</v>
      </c>
      <c r="D1375" s="114" t="s">
        <v>1073</v>
      </c>
      <c r="E1375" s="114" t="s">
        <v>3993</v>
      </c>
    </row>
    <row r="1376" spans="1:5" x14ac:dyDescent="0.25">
      <c r="B1376" s="114" t="s">
        <v>1073</v>
      </c>
      <c r="D1376" s="114" t="s">
        <v>1073</v>
      </c>
      <c r="E1376" s="114" t="s">
        <v>3993</v>
      </c>
    </row>
    <row r="1377" spans="1:5" x14ac:dyDescent="0.25">
      <c r="B1377" s="114" t="s">
        <v>1073</v>
      </c>
      <c r="D1377" s="114" t="s">
        <v>1073</v>
      </c>
      <c r="E1377" s="114" t="s">
        <v>3993</v>
      </c>
    </row>
    <row r="1378" spans="1:5" x14ac:dyDescent="0.25">
      <c r="B1378" s="114" t="s">
        <v>1073</v>
      </c>
      <c r="D1378" s="114" t="s">
        <v>1073</v>
      </c>
      <c r="E1378" s="114" t="s">
        <v>3993</v>
      </c>
    </row>
    <row r="1379" spans="1:5" x14ac:dyDescent="0.25">
      <c r="B1379" s="114" t="s">
        <v>1073</v>
      </c>
      <c r="D1379" s="114" t="s">
        <v>4911</v>
      </c>
      <c r="E1379" s="114" t="s">
        <v>4912</v>
      </c>
    </row>
    <row r="1380" spans="1:5" x14ac:dyDescent="0.25">
      <c r="B1380" s="114" t="s">
        <v>1827</v>
      </c>
      <c r="D1380" s="114" t="s">
        <v>1073</v>
      </c>
      <c r="E1380" s="114" t="s">
        <v>4913</v>
      </c>
    </row>
    <row r="1381" spans="1:5" x14ac:dyDescent="0.25">
      <c r="B1381" s="114" t="s">
        <v>1073</v>
      </c>
      <c r="D1381" s="114" t="s">
        <v>1073</v>
      </c>
      <c r="E1381" s="114" t="s">
        <v>4914</v>
      </c>
    </row>
    <row r="1382" spans="1:5" x14ac:dyDescent="0.25">
      <c r="A1382" s="114">
        <v>2</v>
      </c>
      <c r="B1382" s="114" t="s">
        <v>1828</v>
      </c>
      <c r="D1382" s="114" t="s">
        <v>4915</v>
      </c>
      <c r="E1382" s="114" t="s">
        <v>4916</v>
      </c>
    </row>
    <row r="1383" spans="1:5" x14ac:dyDescent="0.25">
      <c r="B1383" s="114" t="s">
        <v>1073</v>
      </c>
      <c r="D1383" s="114" t="s">
        <v>1264</v>
      </c>
      <c r="E1383" s="114" t="s">
        <v>4917</v>
      </c>
    </row>
    <row r="1384" spans="1:5" x14ac:dyDescent="0.25">
      <c r="B1384" s="114" t="s">
        <v>1073</v>
      </c>
      <c r="D1384" s="114" t="s">
        <v>1073</v>
      </c>
      <c r="E1384" s="114" t="s">
        <v>4918</v>
      </c>
    </row>
    <row r="1385" spans="1:5" x14ac:dyDescent="0.25">
      <c r="B1385" s="114" t="s">
        <v>1073</v>
      </c>
      <c r="D1385" s="114" t="s">
        <v>4919</v>
      </c>
      <c r="E1385" s="114" t="s">
        <v>4920</v>
      </c>
    </row>
    <row r="1386" spans="1:5" x14ac:dyDescent="0.25">
      <c r="A1386" s="114" t="s">
        <v>1072</v>
      </c>
      <c r="B1386" s="114" t="s">
        <v>1108</v>
      </c>
      <c r="D1386" s="114" t="s">
        <v>4921</v>
      </c>
      <c r="E1386" s="114" t="s">
        <v>4922</v>
      </c>
    </row>
    <row r="1387" spans="1:5" x14ac:dyDescent="0.25">
      <c r="B1387" s="114" t="s">
        <v>1073</v>
      </c>
      <c r="D1387" s="114" t="s">
        <v>4923</v>
      </c>
      <c r="E1387" s="114" t="s">
        <v>4924</v>
      </c>
    </row>
    <row r="1388" spans="1:5" x14ac:dyDescent="0.25">
      <c r="A1388" s="114">
        <v>1</v>
      </c>
      <c r="B1388" s="114" t="s">
        <v>1440</v>
      </c>
      <c r="D1388" s="114" t="s">
        <v>4925</v>
      </c>
      <c r="E1388" s="114" t="s">
        <v>4926</v>
      </c>
    </row>
    <row r="1389" spans="1:5" x14ac:dyDescent="0.25">
      <c r="B1389" s="114" t="s">
        <v>1073</v>
      </c>
      <c r="D1389" s="114" t="s">
        <v>4927</v>
      </c>
      <c r="E1389" s="114" t="s">
        <v>4928</v>
      </c>
    </row>
    <row r="1390" spans="1:5" x14ac:dyDescent="0.25">
      <c r="B1390" s="114" t="s">
        <v>1073</v>
      </c>
      <c r="D1390" s="114" t="s">
        <v>4929</v>
      </c>
      <c r="E1390" s="114" t="s">
        <v>4930</v>
      </c>
    </row>
    <row r="1391" spans="1:5" x14ac:dyDescent="0.25">
      <c r="A1391" s="114">
        <v>1</v>
      </c>
      <c r="B1391" s="114" t="s">
        <v>1829</v>
      </c>
      <c r="D1391" s="114" t="s">
        <v>4931</v>
      </c>
      <c r="E1391" s="114" t="s">
        <v>4932</v>
      </c>
    </row>
    <row r="1392" spans="1:5" x14ac:dyDescent="0.25">
      <c r="B1392" s="114" t="s">
        <v>1830</v>
      </c>
      <c r="D1392" s="114" t="s">
        <v>4933</v>
      </c>
      <c r="E1392" s="114" t="s">
        <v>4934</v>
      </c>
    </row>
    <row r="1393" spans="1:5" x14ac:dyDescent="0.25">
      <c r="B1393" s="114" t="s">
        <v>1073</v>
      </c>
      <c r="D1393" s="114" t="s">
        <v>4935</v>
      </c>
      <c r="E1393" s="114" t="s">
        <v>4936</v>
      </c>
    </row>
    <row r="1394" spans="1:5" x14ac:dyDescent="0.25">
      <c r="B1394" s="114" t="s">
        <v>1073</v>
      </c>
      <c r="D1394" s="114" t="s">
        <v>4937</v>
      </c>
      <c r="E1394" s="114" t="s">
        <v>4938</v>
      </c>
    </row>
    <row r="1395" spans="1:5" x14ac:dyDescent="0.25">
      <c r="B1395" s="114" t="s">
        <v>1073</v>
      </c>
      <c r="D1395" s="114" t="s">
        <v>1073</v>
      </c>
      <c r="E1395" s="114" t="s">
        <v>4939</v>
      </c>
    </row>
    <row r="1396" spans="1:5" x14ac:dyDescent="0.25">
      <c r="B1396" s="114" t="s">
        <v>1073</v>
      </c>
      <c r="D1396" s="114" t="s">
        <v>4940</v>
      </c>
      <c r="E1396" s="114" t="s">
        <v>4941</v>
      </c>
    </row>
    <row r="1397" spans="1:5" x14ac:dyDescent="0.25">
      <c r="B1397" s="114" t="s">
        <v>1831</v>
      </c>
      <c r="D1397" s="114" t="s">
        <v>1073</v>
      </c>
      <c r="E1397" s="114" t="s">
        <v>4942</v>
      </c>
    </row>
    <row r="1398" spans="1:5" x14ac:dyDescent="0.25">
      <c r="B1398" s="114" t="s">
        <v>1832</v>
      </c>
      <c r="D1398" s="114" t="s">
        <v>1073</v>
      </c>
      <c r="E1398" s="114" t="s">
        <v>4943</v>
      </c>
    </row>
    <row r="1399" spans="1:5" x14ac:dyDescent="0.25">
      <c r="A1399" s="114">
        <v>76</v>
      </c>
      <c r="B1399" s="114" t="s">
        <v>1833</v>
      </c>
      <c r="D1399" s="114" t="s">
        <v>4944</v>
      </c>
      <c r="E1399" s="114" t="s">
        <v>4945</v>
      </c>
    </row>
    <row r="1400" spans="1:5" x14ac:dyDescent="0.25">
      <c r="B1400" s="114" t="s">
        <v>1073</v>
      </c>
      <c r="D1400" s="114" t="s">
        <v>4946</v>
      </c>
      <c r="E1400" s="114" t="s">
        <v>4947</v>
      </c>
    </row>
    <row r="1401" spans="1:5" x14ac:dyDescent="0.25">
      <c r="B1401" s="114" t="s">
        <v>1834</v>
      </c>
      <c r="D1401" s="114" t="s">
        <v>1073</v>
      </c>
      <c r="E1401" s="114" t="s">
        <v>4948</v>
      </c>
    </row>
    <row r="1402" spans="1:5" x14ac:dyDescent="0.25">
      <c r="A1402" s="114">
        <v>82</v>
      </c>
      <c r="B1402" s="114" t="s">
        <v>1835</v>
      </c>
      <c r="D1402" s="114">
        <f>-86    -49</f>
        <v>-135</v>
      </c>
      <c r="E1402" s="114" t="s">
        <v>4949</v>
      </c>
    </row>
    <row r="1403" spans="1:5" x14ac:dyDescent="0.25">
      <c r="A1403" s="114" t="s">
        <v>1072</v>
      </c>
      <c r="B1403" s="114" t="s">
        <v>1836</v>
      </c>
      <c r="D1403" s="114" t="s">
        <v>4950</v>
      </c>
      <c r="E1403" s="114" t="s">
        <v>4951</v>
      </c>
    </row>
    <row r="1404" spans="1:5" x14ac:dyDescent="0.25">
      <c r="B1404" s="114" t="s">
        <v>1837</v>
      </c>
      <c r="D1404" s="114" t="s">
        <v>1073</v>
      </c>
      <c r="E1404" s="114" t="s">
        <v>4952</v>
      </c>
    </row>
    <row r="1405" spans="1:5" x14ac:dyDescent="0.25">
      <c r="A1405" s="114">
        <v>85</v>
      </c>
      <c r="B1405" s="114" t="s">
        <v>1838</v>
      </c>
      <c r="D1405" s="114">
        <f>-82    -84    -9</f>
        <v>-175</v>
      </c>
      <c r="E1405" s="114" t="s">
        <v>4953</v>
      </c>
    </row>
    <row r="1406" spans="1:5" x14ac:dyDescent="0.25">
      <c r="B1406" s="114" t="s">
        <v>1839</v>
      </c>
      <c r="D1406" s="114" t="s">
        <v>4954</v>
      </c>
      <c r="E1406" s="114" t="s">
        <v>4955</v>
      </c>
    </row>
    <row r="1407" spans="1:5" x14ac:dyDescent="0.25">
      <c r="A1407" s="114" t="s">
        <v>1072</v>
      </c>
      <c r="B1407" s="114" t="s">
        <v>1840</v>
      </c>
      <c r="D1407" s="114" t="s">
        <v>1073</v>
      </c>
      <c r="E1407" s="114" t="s">
        <v>4956</v>
      </c>
    </row>
    <row r="1408" spans="1:5" x14ac:dyDescent="0.25">
      <c r="B1408" s="114">
        <f>-16   -456</f>
        <v>-472</v>
      </c>
      <c r="C1408" s="114" t="s">
        <v>1072</v>
      </c>
      <c r="D1408" s="114" t="s">
        <v>4957</v>
      </c>
      <c r="E1408" s="114" t="s">
        <v>4958</v>
      </c>
    </row>
    <row r="1409" spans="1:5" x14ac:dyDescent="0.25">
      <c r="B1409" s="114" t="s">
        <v>1073</v>
      </c>
      <c r="D1409" s="114" t="s">
        <v>4959</v>
      </c>
      <c r="E1409" s="114" t="s">
        <v>3993</v>
      </c>
    </row>
    <row r="1410" spans="1:5" x14ac:dyDescent="0.25">
      <c r="B1410" s="114" t="s">
        <v>1073</v>
      </c>
      <c r="D1410" s="114">
        <f>-820   -280</f>
        <v>-1100</v>
      </c>
      <c r="E1410" s="114" t="s">
        <v>4960</v>
      </c>
    </row>
    <row r="1411" spans="1:5" x14ac:dyDescent="0.25">
      <c r="B1411" s="114" t="s">
        <v>1841</v>
      </c>
      <c r="D1411" s="114" t="s">
        <v>1073</v>
      </c>
      <c r="E1411" s="114" t="s">
        <v>4961</v>
      </c>
    </row>
    <row r="1412" spans="1:5" x14ac:dyDescent="0.25">
      <c r="B1412" s="114" t="s">
        <v>1073</v>
      </c>
      <c r="D1412" s="114" t="s">
        <v>1073</v>
      </c>
      <c r="E1412" s="114" t="s">
        <v>4962</v>
      </c>
    </row>
    <row r="1413" spans="1:5" x14ac:dyDescent="0.25">
      <c r="B1413" s="114" t="s">
        <v>1073</v>
      </c>
      <c r="D1413" s="114" t="s">
        <v>4963</v>
      </c>
      <c r="E1413" s="114" t="s">
        <v>4964</v>
      </c>
    </row>
    <row r="1414" spans="1:5" x14ac:dyDescent="0.25">
      <c r="B1414" s="114" t="s">
        <v>1648</v>
      </c>
      <c r="D1414" s="114" t="s">
        <v>4965</v>
      </c>
      <c r="E1414" s="114" t="s">
        <v>4966</v>
      </c>
    </row>
    <row r="1415" spans="1:5" x14ac:dyDescent="0.25">
      <c r="B1415" s="114" t="s">
        <v>1842</v>
      </c>
      <c r="D1415" s="114" t="s">
        <v>4967</v>
      </c>
      <c r="E1415" s="114" t="s">
        <v>4968</v>
      </c>
    </row>
    <row r="1416" spans="1:5" x14ac:dyDescent="0.25">
      <c r="A1416" s="114" t="s">
        <v>1072</v>
      </c>
      <c r="B1416" s="114" t="s">
        <v>1843</v>
      </c>
      <c r="D1416" s="114" t="s">
        <v>4969</v>
      </c>
      <c r="E1416" s="114" t="s">
        <v>4970</v>
      </c>
    </row>
    <row r="1417" spans="1:5" x14ac:dyDescent="0.25">
      <c r="A1417" s="114" t="s">
        <v>1072</v>
      </c>
      <c r="B1417" s="114" t="s">
        <v>1844</v>
      </c>
      <c r="D1417" s="114" t="s">
        <v>4971</v>
      </c>
      <c r="E1417" s="114" t="s">
        <v>4972</v>
      </c>
    </row>
    <row r="1418" spans="1:5" x14ac:dyDescent="0.25">
      <c r="B1418" s="114" t="s">
        <v>1296</v>
      </c>
      <c r="D1418" s="114" t="s">
        <v>4973</v>
      </c>
      <c r="E1418" s="114" t="s">
        <v>4974</v>
      </c>
    </row>
    <row r="1419" spans="1:5" x14ac:dyDescent="0.25">
      <c r="B1419" s="114">
        <f>-1   -160</f>
        <v>-161</v>
      </c>
      <c r="D1419" s="114" t="s">
        <v>4975</v>
      </c>
      <c r="E1419" s="114" t="s">
        <v>4976</v>
      </c>
    </row>
    <row r="1420" spans="1:5" x14ac:dyDescent="0.25">
      <c r="B1420" s="114" t="s">
        <v>1415</v>
      </c>
      <c r="D1420" s="114" t="s">
        <v>1340</v>
      </c>
      <c r="E1420" s="114" t="s">
        <v>4977</v>
      </c>
    </row>
    <row r="1421" spans="1:5" x14ac:dyDescent="0.25">
      <c r="B1421" s="114" t="s">
        <v>1394</v>
      </c>
      <c r="D1421" s="114" t="s">
        <v>4978</v>
      </c>
      <c r="E1421" s="114" t="s">
        <v>4979</v>
      </c>
    </row>
    <row r="1422" spans="1:5" x14ac:dyDescent="0.25">
      <c r="A1422" s="114" t="s">
        <v>1072</v>
      </c>
      <c r="B1422" s="114" t="s">
        <v>1845</v>
      </c>
      <c r="D1422" s="114" t="s">
        <v>4980</v>
      </c>
      <c r="E1422" s="114" t="s">
        <v>4088</v>
      </c>
    </row>
    <row r="1423" spans="1:5" x14ac:dyDescent="0.25">
      <c r="B1423" s="114" t="s">
        <v>1073</v>
      </c>
      <c r="D1423" s="114" t="s">
        <v>1073</v>
      </c>
      <c r="E1423" s="114" t="s">
        <v>3993</v>
      </c>
    </row>
    <row r="1424" spans="1:5" x14ac:dyDescent="0.25">
      <c r="B1424" s="114" t="s">
        <v>1073</v>
      </c>
      <c r="D1424" s="114" t="s">
        <v>1073</v>
      </c>
      <c r="E1424" s="114" t="s">
        <v>3993</v>
      </c>
    </row>
    <row r="1425" spans="2:5" x14ac:dyDescent="0.25">
      <c r="B1425" s="114" t="s">
        <v>1073</v>
      </c>
      <c r="D1425" s="114" t="s">
        <v>1073</v>
      </c>
      <c r="E1425" s="114" t="s">
        <v>3993</v>
      </c>
    </row>
    <row r="1426" spans="2:5" x14ac:dyDescent="0.25">
      <c r="B1426" s="114" t="s">
        <v>1073</v>
      </c>
      <c r="D1426" s="114" t="s">
        <v>1073</v>
      </c>
      <c r="E1426" s="114" t="s">
        <v>3993</v>
      </c>
    </row>
    <row r="1427" spans="2:5" x14ac:dyDescent="0.25">
      <c r="B1427" s="114" t="s">
        <v>1073</v>
      </c>
      <c r="D1427" s="114" t="s">
        <v>1073</v>
      </c>
      <c r="E1427" s="114" t="s">
        <v>3993</v>
      </c>
    </row>
    <row r="1428" spans="2:5" x14ac:dyDescent="0.25">
      <c r="B1428" s="114" t="s">
        <v>1073</v>
      </c>
      <c r="D1428" s="114" t="s">
        <v>1073</v>
      </c>
      <c r="E1428" s="114" t="s">
        <v>3993</v>
      </c>
    </row>
    <row r="1429" spans="2:5" x14ac:dyDescent="0.25">
      <c r="B1429" s="114" t="s">
        <v>1073</v>
      </c>
      <c r="D1429" s="114" t="s">
        <v>1073</v>
      </c>
      <c r="E1429" s="114" t="s">
        <v>3993</v>
      </c>
    </row>
    <row r="1430" spans="2:5" x14ac:dyDescent="0.25">
      <c r="B1430" s="114" t="s">
        <v>1073</v>
      </c>
      <c r="D1430" s="114" t="s">
        <v>1073</v>
      </c>
      <c r="E1430" s="114" t="s">
        <v>3993</v>
      </c>
    </row>
    <row r="1431" spans="2:5" x14ac:dyDescent="0.25">
      <c r="B1431" s="114" t="s">
        <v>1073</v>
      </c>
      <c r="D1431" s="114" t="s">
        <v>1073</v>
      </c>
      <c r="E1431" s="114" t="s">
        <v>3993</v>
      </c>
    </row>
    <row r="1432" spans="2:5" x14ac:dyDescent="0.25">
      <c r="B1432" s="114" t="s">
        <v>1073</v>
      </c>
      <c r="D1432" s="114" t="s">
        <v>1073</v>
      </c>
      <c r="E1432" s="114" t="s">
        <v>3993</v>
      </c>
    </row>
    <row r="1433" spans="2:5" x14ac:dyDescent="0.25">
      <c r="B1433" s="114" t="s">
        <v>1073</v>
      </c>
      <c r="D1433" s="114" t="s">
        <v>1073</v>
      </c>
      <c r="E1433" s="114" t="s">
        <v>3993</v>
      </c>
    </row>
    <row r="1434" spans="2:5" x14ac:dyDescent="0.25">
      <c r="B1434" s="114" t="s">
        <v>1073</v>
      </c>
      <c r="D1434" s="114" t="s">
        <v>1073</v>
      </c>
      <c r="E1434" s="114" t="s">
        <v>3993</v>
      </c>
    </row>
    <row r="1435" spans="2:5" x14ac:dyDescent="0.25">
      <c r="B1435" s="114" t="s">
        <v>1073</v>
      </c>
      <c r="D1435" s="114" t="s">
        <v>1073</v>
      </c>
      <c r="E1435" s="114" t="s">
        <v>3993</v>
      </c>
    </row>
    <row r="1436" spans="2:5" x14ac:dyDescent="0.25">
      <c r="B1436" s="114" t="s">
        <v>1073</v>
      </c>
      <c r="D1436" s="114" t="s">
        <v>1073</v>
      </c>
      <c r="E1436" s="114" t="s">
        <v>3993</v>
      </c>
    </row>
    <row r="1437" spans="2:5" x14ac:dyDescent="0.25">
      <c r="B1437" s="114" t="s">
        <v>1073</v>
      </c>
      <c r="D1437" s="114" t="s">
        <v>1073</v>
      </c>
      <c r="E1437" s="114" t="s">
        <v>3993</v>
      </c>
    </row>
    <row r="1438" spans="2:5" x14ac:dyDescent="0.25">
      <c r="B1438" s="114" t="s">
        <v>1073</v>
      </c>
      <c r="D1438" s="114" t="s">
        <v>1073</v>
      </c>
      <c r="E1438" s="114" t="s">
        <v>3993</v>
      </c>
    </row>
    <row r="1439" spans="2:5" x14ac:dyDescent="0.25">
      <c r="B1439" s="114" t="s">
        <v>1073</v>
      </c>
      <c r="D1439" s="114" t="s">
        <v>1073</v>
      </c>
      <c r="E1439" s="114" t="s">
        <v>3993</v>
      </c>
    </row>
    <row r="1440" spans="2:5" x14ac:dyDescent="0.25">
      <c r="B1440" s="114" t="s">
        <v>1073</v>
      </c>
      <c r="D1440" s="114" t="s">
        <v>1073</v>
      </c>
      <c r="E1440" s="114" t="s">
        <v>3993</v>
      </c>
    </row>
    <row r="1441" spans="2:5" x14ac:dyDescent="0.25">
      <c r="B1441" s="114" t="s">
        <v>1073</v>
      </c>
      <c r="D1441" s="114" t="s">
        <v>1073</v>
      </c>
      <c r="E1441" s="114" t="s">
        <v>3993</v>
      </c>
    </row>
    <row r="1442" spans="2:5" x14ac:dyDescent="0.25">
      <c r="B1442" s="114" t="s">
        <v>1073</v>
      </c>
      <c r="D1442" s="114" t="s">
        <v>1073</v>
      </c>
      <c r="E1442" s="114" t="s">
        <v>3993</v>
      </c>
    </row>
    <row r="1443" spans="2:5" x14ac:dyDescent="0.25">
      <c r="B1443" s="114" t="s">
        <v>1073</v>
      </c>
      <c r="D1443" s="114" t="s">
        <v>1073</v>
      </c>
      <c r="E1443" s="114" t="s">
        <v>3993</v>
      </c>
    </row>
    <row r="1444" spans="2:5" x14ac:dyDescent="0.25">
      <c r="B1444" s="114" t="s">
        <v>1073</v>
      </c>
      <c r="D1444" s="114" t="s">
        <v>1073</v>
      </c>
      <c r="E1444" s="114" t="s">
        <v>3993</v>
      </c>
    </row>
    <row r="1445" spans="2:5" x14ac:dyDescent="0.25">
      <c r="B1445" s="114" t="s">
        <v>1073</v>
      </c>
      <c r="D1445" s="114" t="s">
        <v>1073</v>
      </c>
      <c r="E1445" s="114" t="s">
        <v>3993</v>
      </c>
    </row>
    <row r="1446" spans="2:5" x14ac:dyDescent="0.25">
      <c r="B1446" s="114" t="s">
        <v>1073</v>
      </c>
      <c r="D1446" s="114" t="s">
        <v>1073</v>
      </c>
      <c r="E1446" s="114" t="s">
        <v>3993</v>
      </c>
    </row>
    <row r="1447" spans="2:5" x14ac:dyDescent="0.25">
      <c r="B1447" s="114" t="s">
        <v>1073</v>
      </c>
      <c r="D1447" s="114" t="s">
        <v>1073</v>
      </c>
      <c r="E1447" s="114" t="s">
        <v>3993</v>
      </c>
    </row>
    <row r="1448" spans="2:5" x14ac:dyDescent="0.25">
      <c r="B1448" s="114" t="s">
        <v>1073</v>
      </c>
      <c r="D1448" s="114" t="s">
        <v>1073</v>
      </c>
      <c r="E1448" s="114" t="s">
        <v>3993</v>
      </c>
    </row>
    <row r="1449" spans="2:5" x14ac:dyDescent="0.25">
      <c r="B1449" s="114" t="s">
        <v>1073</v>
      </c>
      <c r="D1449" s="114" t="s">
        <v>1073</v>
      </c>
      <c r="E1449" s="114" t="s">
        <v>3993</v>
      </c>
    </row>
    <row r="1450" spans="2:5" x14ac:dyDescent="0.25">
      <c r="B1450" s="114" t="s">
        <v>1073</v>
      </c>
      <c r="D1450" s="114" t="s">
        <v>1073</v>
      </c>
      <c r="E1450" s="114" t="s">
        <v>3993</v>
      </c>
    </row>
    <row r="1451" spans="2:5" x14ac:dyDescent="0.25">
      <c r="B1451" s="114" t="s">
        <v>1073</v>
      </c>
      <c r="D1451" s="114" t="s">
        <v>1073</v>
      </c>
      <c r="E1451" s="114" t="s">
        <v>3993</v>
      </c>
    </row>
    <row r="1452" spans="2:5" x14ac:dyDescent="0.25">
      <c r="B1452" s="114" t="s">
        <v>1073</v>
      </c>
      <c r="D1452" s="114" t="s">
        <v>1073</v>
      </c>
      <c r="E1452" s="114" t="s">
        <v>3993</v>
      </c>
    </row>
    <row r="1453" spans="2:5" x14ac:dyDescent="0.25">
      <c r="B1453" s="114" t="s">
        <v>1073</v>
      </c>
      <c r="D1453" s="114" t="s">
        <v>1073</v>
      </c>
      <c r="E1453" s="114" t="s">
        <v>3993</v>
      </c>
    </row>
    <row r="1454" spans="2:5" x14ac:dyDescent="0.25">
      <c r="B1454" s="114" t="s">
        <v>1073</v>
      </c>
      <c r="D1454" s="114" t="s">
        <v>1073</v>
      </c>
      <c r="E1454" s="114" t="s">
        <v>3993</v>
      </c>
    </row>
    <row r="1455" spans="2:5" x14ac:dyDescent="0.25">
      <c r="B1455" s="114" t="s">
        <v>1073</v>
      </c>
      <c r="D1455" s="114" t="s">
        <v>1073</v>
      </c>
      <c r="E1455" s="114" t="s">
        <v>3993</v>
      </c>
    </row>
    <row r="1456" spans="2:5" x14ac:dyDescent="0.25">
      <c r="B1456" s="114" t="s">
        <v>1073</v>
      </c>
      <c r="D1456" s="114" t="s">
        <v>1073</v>
      </c>
      <c r="E1456" s="114" t="s">
        <v>3993</v>
      </c>
    </row>
    <row r="1457" spans="2:5" x14ac:dyDescent="0.25">
      <c r="B1457" s="114" t="s">
        <v>1073</v>
      </c>
      <c r="D1457" s="114" t="s">
        <v>1073</v>
      </c>
      <c r="E1457" s="114" t="s">
        <v>3993</v>
      </c>
    </row>
    <row r="1458" spans="2:5" x14ac:dyDescent="0.25">
      <c r="B1458" s="114" t="s">
        <v>1073</v>
      </c>
      <c r="D1458" s="114" t="s">
        <v>1073</v>
      </c>
      <c r="E1458" s="114" t="s">
        <v>3993</v>
      </c>
    </row>
    <row r="1459" spans="2:5" x14ac:dyDescent="0.25">
      <c r="B1459" s="114" t="s">
        <v>1073</v>
      </c>
      <c r="D1459" s="114" t="s">
        <v>1073</v>
      </c>
      <c r="E1459" s="114" t="s">
        <v>3993</v>
      </c>
    </row>
    <row r="1460" spans="2:5" x14ac:dyDescent="0.25">
      <c r="B1460" s="114" t="s">
        <v>1073</v>
      </c>
      <c r="D1460" s="114" t="s">
        <v>1073</v>
      </c>
      <c r="E1460" s="114" t="s">
        <v>3993</v>
      </c>
    </row>
    <row r="1461" spans="2:5" x14ac:dyDescent="0.25">
      <c r="B1461" s="114" t="s">
        <v>1073</v>
      </c>
      <c r="D1461" s="114" t="s">
        <v>1073</v>
      </c>
      <c r="E1461" s="114" t="s">
        <v>3993</v>
      </c>
    </row>
    <row r="1462" spans="2:5" x14ac:dyDescent="0.25">
      <c r="B1462" s="114" t="s">
        <v>1073</v>
      </c>
      <c r="D1462" s="114" t="s">
        <v>1073</v>
      </c>
      <c r="E1462" s="114" t="s">
        <v>3993</v>
      </c>
    </row>
    <row r="1463" spans="2:5" x14ac:dyDescent="0.25">
      <c r="B1463" s="114" t="s">
        <v>1073</v>
      </c>
      <c r="D1463" s="114" t="s">
        <v>1073</v>
      </c>
      <c r="E1463" s="114" t="s">
        <v>3993</v>
      </c>
    </row>
    <row r="1464" spans="2:5" x14ac:dyDescent="0.25">
      <c r="B1464" s="114" t="s">
        <v>1073</v>
      </c>
      <c r="D1464" s="114" t="s">
        <v>1073</v>
      </c>
      <c r="E1464" s="114" t="s">
        <v>3993</v>
      </c>
    </row>
    <row r="1465" spans="2:5" x14ac:dyDescent="0.25">
      <c r="B1465" s="114" t="s">
        <v>1073</v>
      </c>
      <c r="D1465" s="114" t="s">
        <v>1073</v>
      </c>
      <c r="E1465" s="114" t="s">
        <v>3993</v>
      </c>
    </row>
    <row r="1466" spans="2:5" x14ac:dyDescent="0.25">
      <c r="B1466" s="114" t="s">
        <v>1073</v>
      </c>
      <c r="D1466" s="114" t="s">
        <v>1073</v>
      </c>
      <c r="E1466" s="114" t="s">
        <v>4981</v>
      </c>
    </row>
    <row r="1467" spans="2:5" x14ac:dyDescent="0.25">
      <c r="B1467" s="114" t="s">
        <v>1073</v>
      </c>
      <c r="D1467" s="114" t="s">
        <v>4982</v>
      </c>
      <c r="E1467" s="114" t="s">
        <v>4983</v>
      </c>
    </row>
    <row r="1468" spans="2:5" x14ac:dyDescent="0.25">
      <c r="B1468" s="114" t="s">
        <v>1073</v>
      </c>
      <c r="D1468" s="114" t="s">
        <v>1073</v>
      </c>
      <c r="E1468" s="114" t="s">
        <v>4984</v>
      </c>
    </row>
    <row r="1469" spans="2:5" x14ac:dyDescent="0.25">
      <c r="B1469" s="114" t="s">
        <v>1073</v>
      </c>
      <c r="D1469" s="114" t="s">
        <v>4985</v>
      </c>
      <c r="E1469" s="114" t="s">
        <v>4986</v>
      </c>
    </row>
    <row r="1470" spans="2:5" x14ac:dyDescent="0.25">
      <c r="B1470" s="114" t="s">
        <v>1846</v>
      </c>
      <c r="D1470" s="114" t="s">
        <v>1073</v>
      </c>
      <c r="E1470" s="114" t="s">
        <v>4987</v>
      </c>
    </row>
    <row r="1471" spans="2:5" x14ac:dyDescent="0.25">
      <c r="B1471" s="114" t="s">
        <v>1847</v>
      </c>
      <c r="D1471" s="114" t="s">
        <v>1073</v>
      </c>
      <c r="E1471" s="114" t="s">
        <v>4988</v>
      </c>
    </row>
    <row r="1472" spans="2:5" x14ac:dyDescent="0.25">
      <c r="B1472" s="114" t="s">
        <v>1082</v>
      </c>
      <c r="D1472" s="114" t="s">
        <v>4989</v>
      </c>
      <c r="E1472" s="114" t="s">
        <v>4990</v>
      </c>
    </row>
    <row r="1473" spans="1:5" x14ac:dyDescent="0.25">
      <c r="B1473" s="114" t="s">
        <v>1073</v>
      </c>
      <c r="C1473" s="114" t="s">
        <v>1072</v>
      </c>
      <c r="D1473" s="114" t="s">
        <v>4991</v>
      </c>
      <c r="E1473" s="114" t="s">
        <v>4992</v>
      </c>
    </row>
    <row r="1474" spans="1:5" x14ac:dyDescent="0.25">
      <c r="A1474" s="114" t="s">
        <v>1072</v>
      </c>
      <c r="B1474" s="114" t="s">
        <v>1848</v>
      </c>
      <c r="D1474" s="114" t="s">
        <v>1073</v>
      </c>
      <c r="E1474" s="114" t="s">
        <v>4993</v>
      </c>
    </row>
    <row r="1475" spans="1:5" x14ac:dyDescent="0.25">
      <c r="A1475" s="114" t="s">
        <v>1072</v>
      </c>
      <c r="B1475" s="114" t="s">
        <v>1849</v>
      </c>
      <c r="D1475" s="114" t="s">
        <v>4994</v>
      </c>
      <c r="E1475" s="114" t="s">
        <v>4995</v>
      </c>
    </row>
    <row r="1476" spans="1:5" x14ac:dyDescent="0.25">
      <c r="B1476" s="114" t="s">
        <v>1850</v>
      </c>
      <c r="D1476" s="114" t="s">
        <v>4996</v>
      </c>
      <c r="E1476" s="114" t="s">
        <v>4997</v>
      </c>
    </row>
    <row r="1477" spans="1:5" x14ac:dyDescent="0.25">
      <c r="A1477" s="114" t="s">
        <v>1072</v>
      </c>
      <c r="B1477" s="114" t="s">
        <v>1851</v>
      </c>
      <c r="D1477" s="114" t="s">
        <v>1073</v>
      </c>
      <c r="E1477" s="114" t="s">
        <v>4998</v>
      </c>
    </row>
    <row r="1478" spans="1:5" x14ac:dyDescent="0.25">
      <c r="B1478" s="114" t="s">
        <v>1852</v>
      </c>
      <c r="D1478" s="114">
        <f>-77    -56   -25</f>
        <v>-158</v>
      </c>
      <c r="E1478" s="114" t="s">
        <v>4999</v>
      </c>
    </row>
    <row r="1479" spans="1:5" x14ac:dyDescent="0.25">
      <c r="B1479" s="114" t="s">
        <v>1853</v>
      </c>
      <c r="D1479" s="114" t="s">
        <v>5000</v>
      </c>
      <c r="E1479" s="114" t="s">
        <v>5001</v>
      </c>
    </row>
    <row r="1480" spans="1:5" x14ac:dyDescent="0.25">
      <c r="B1480" s="114" t="s">
        <v>1854</v>
      </c>
      <c r="D1480" s="114" t="s">
        <v>1073</v>
      </c>
      <c r="E1480" s="114" t="s">
        <v>5002</v>
      </c>
    </row>
    <row r="1481" spans="1:5" x14ac:dyDescent="0.25">
      <c r="A1481" s="114">
        <v>-1</v>
      </c>
      <c r="B1481" s="114" t="s">
        <v>1855</v>
      </c>
      <c r="D1481" s="114" t="s">
        <v>1073</v>
      </c>
      <c r="E1481" s="114" t="s">
        <v>5003</v>
      </c>
    </row>
    <row r="1482" spans="1:5" x14ac:dyDescent="0.25">
      <c r="B1482" s="114" t="s">
        <v>1856</v>
      </c>
      <c r="D1482" s="114" t="s">
        <v>5004</v>
      </c>
      <c r="E1482" s="114" t="s">
        <v>5005</v>
      </c>
    </row>
    <row r="1483" spans="1:5" x14ac:dyDescent="0.25">
      <c r="B1483" s="114" t="s">
        <v>1073</v>
      </c>
      <c r="D1483" s="114" t="s">
        <v>1073</v>
      </c>
      <c r="E1483" s="114" t="s">
        <v>5006</v>
      </c>
    </row>
    <row r="1484" spans="1:5" x14ac:dyDescent="0.25">
      <c r="B1484" s="114" t="s">
        <v>1304</v>
      </c>
      <c r="D1484" s="114" t="s">
        <v>5007</v>
      </c>
      <c r="E1484" s="114" t="s">
        <v>5008</v>
      </c>
    </row>
    <row r="1485" spans="1:5" x14ac:dyDescent="0.25">
      <c r="A1485" s="114" t="s">
        <v>1072</v>
      </c>
      <c r="B1485" s="114" t="s">
        <v>1318</v>
      </c>
      <c r="D1485" s="114" t="s">
        <v>5009</v>
      </c>
      <c r="E1485" s="114" t="s">
        <v>3993</v>
      </c>
    </row>
    <row r="1486" spans="1:5" x14ac:dyDescent="0.25">
      <c r="A1486" s="114" t="s">
        <v>1072</v>
      </c>
      <c r="B1486" s="114" t="s">
        <v>1259</v>
      </c>
      <c r="D1486" s="114" t="s">
        <v>1073</v>
      </c>
      <c r="E1486" s="114" t="s">
        <v>5010</v>
      </c>
    </row>
    <row r="1487" spans="1:5" x14ac:dyDescent="0.25">
      <c r="B1487" s="114" t="s">
        <v>1857</v>
      </c>
      <c r="D1487" s="114" t="s">
        <v>1073</v>
      </c>
      <c r="E1487" s="114" t="s">
        <v>5011</v>
      </c>
    </row>
    <row r="1488" spans="1:5" x14ac:dyDescent="0.25">
      <c r="B1488" s="114" t="s">
        <v>1858</v>
      </c>
      <c r="D1488" s="114" t="s">
        <v>5012</v>
      </c>
      <c r="E1488" s="114" t="s">
        <v>5013</v>
      </c>
    </row>
    <row r="1489" spans="1:5" x14ac:dyDescent="0.25">
      <c r="A1489" s="114">
        <v>-3</v>
      </c>
      <c r="B1489" s="114" t="s">
        <v>1386</v>
      </c>
      <c r="D1489" s="114" t="s">
        <v>1073</v>
      </c>
      <c r="E1489" s="114" t="s">
        <v>5014</v>
      </c>
    </row>
    <row r="1490" spans="1:5" x14ac:dyDescent="0.25">
      <c r="B1490" s="114" t="s">
        <v>1859</v>
      </c>
      <c r="D1490" s="114" t="s">
        <v>5015</v>
      </c>
      <c r="E1490" s="114" t="s">
        <v>5016</v>
      </c>
    </row>
    <row r="1491" spans="1:5" x14ac:dyDescent="0.25">
      <c r="B1491" s="114" t="s">
        <v>1860</v>
      </c>
      <c r="D1491" s="114" t="s">
        <v>5017</v>
      </c>
      <c r="E1491" s="114" t="s">
        <v>5018</v>
      </c>
    </row>
    <row r="1492" spans="1:5" x14ac:dyDescent="0.25">
      <c r="B1492" s="114" t="s">
        <v>1861</v>
      </c>
      <c r="D1492" s="114" t="s">
        <v>1073</v>
      </c>
      <c r="E1492" s="114" t="s">
        <v>5019</v>
      </c>
    </row>
    <row r="1493" spans="1:5" x14ac:dyDescent="0.25">
      <c r="B1493" s="114">
        <f>-42    -28</f>
        <v>-70</v>
      </c>
      <c r="D1493" s="114" t="s">
        <v>5020</v>
      </c>
      <c r="E1493" s="114" t="s">
        <v>5021</v>
      </c>
    </row>
    <row r="1494" spans="1:5" x14ac:dyDescent="0.25">
      <c r="A1494" s="114" t="s">
        <v>1072</v>
      </c>
      <c r="B1494" s="114" t="s">
        <v>1862</v>
      </c>
      <c r="D1494" s="114" t="s">
        <v>5022</v>
      </c>
      <c r="E1494" s="114" t="s">
        <v>5023</v>
      </c>
    </row>
    <row r="1495" spans="1:5" x14ac:dyDescent="0.25">
      <c r="B1495" s="114" t="s">
        <v>1863</v>
      </c>
      <c r="D1495" s="114" t="s">
        <v>1073</v>
      </c>
      <c r="E1495" s="114" t="s">
        <v>5024</v>
      </c>
    </row>
    <row r="1496" spans="1:5" x14ac:dyDescent="0.25">
      <c r="A1496" s="114">
        <v>2</v>
      </c>
      <c r="B1496" s="114" t="s">
        <v>1385</v>
      </c>
      <c r="D1496" s="114" t="s">
        <v>5025</v>
      </c>
      <c r="E1496" s="114" t="s">
        <v>5026</v>
      </c>
    </row>
    <row r="1497" spans="1:5" x14ac:dyDescent="0.25">
      <c r="B1497" s="114" t="s">
        <v>1864</v>
      </c>
      <c r="D1497" s="114" t="s">
        <v>5027</v>
      </c>
      <c r="E1497" s="114" t="s">
        <v>5028</v>
      </c>
    </row>
    <row r="1498" spans="1:5" x14ac:dyDescent="0.25">
      <c r="B1498" s="114" t="s">
        <v>1073</v>
      </c>
      <c r="D1498" s="114" t="s">
        <v>1073</v>
      </c>
      <c r="E1498" s="114" t="s">
        <v>5029</v>
      </c>
    </row>
    <row r="1499" spans="1:5" x14ac:dyDescent="0.25">
      <c r="B1499" s="114" t="s">
        <v>1865</v>
      </c>
      <c r="D1499" s="114" t="s">
        <v>5030</v>
      </c>
      <c r="E1499" s="114" t="s">
        <v>5031</v>
      </c>
    </row>
    <row r="1500" spans="1:5" x14ac:dyDescent="0.25">
      <c r="B1500" s="114" t="s">
        <v>1263</v>
      </c>
      <c r="D1500" s="114" t="s">
        <v>5032</v>
      </c>
      <c r="E1500" s="114" t="s">
        <v>4044</v>
      </c>
    </row>
    <row r="1501" spans="1:5" x14ac:dyDescent="0.25">
      <c r="B1501" s="114" t="s">
        <v>1102</v>
      </c>
      <c r="D1501" s="114" t="s">
        <v>1073</v>
      </c>
      <c r="E1501" s="114" t="s">
        <v>5033</v>
      </c>
    </row>
    <row r="1502" spans="1:5" x14ac:dyDescent="0.25">
      <c r="B1502" s="114" t="s">
        <v>1357</v>
      </c>
      <c r="D1502" s="114" t="s">
        <v>1073</v>
      </c>
      <c r="E1502" s="114" t="s">
        <v>5034</v>
      </c>
    </row>
    <row r="1503" spans="1:5" x14ac:dyDescent="0.25">
      <c r="B1503" s="114" t="s">
        <v>1866</v>
      </c>
      <c r="D1503" s="114" t="s">
        <v>5035</v>
      </c>
      <c r="E1503" s="114" t="s">
        <v>5036</v>
      </c>
    </row>
    <row r="1504" spans="1:5" x14ac:dyDescent="0.25">
      <c r="B1504" s="114" t="s">
        <v>1463</v>
      </c>
      <c r="D1504" s="114" t="s">
        <v>1073</v>
      </c>
      <c r="E1504" s="114" t="s">
        <v>5037</v>
      </c>
    </row>
    <row r="1505" spans="1:5" x14ac:dyDescent="0.25">
      <c r="A1505" s="114" t="s">
        <v>1072</v>
      </c>
      <c r="B1505" s="114" t="s">
        <v>1867</v>
      </c>
      <c r="D1505" s="114" t="s">
        <v>5038</v>
      </c>
      <c r="E1505" s="114" t="s">
        <v>5039</v>
      </c>
    </row>
    <row r="1506" spans="1:5" x14ac:dyDescent="0.25">
      <c r="B1506" s="114" t="s">
        <v>1868</v>
      </c>
      <c r="D1506" s="114" t="s">
        <v>4170</v>
      </c>
      <c r="E1506" s="114" t="s">
        <v>5040</v>
      </c>
    </row>
    <row r="1507" spans="1:5" x14ac:dyDescent="0.25">
      <c r="B1507" s="114" t="s">
        <v>1359</v>
      </c>
      <c r="D1507" s="114" t="s">
        <v>1073</v>
      </c>
      <c r="E1507" s="114" t="s">
        <v>5041</v>
      </c>
    </row>
    <row r="1508" spans="1:5" x14ac:dyDescent="0.25">
      <c r="B1508" s="114" t="s">
        <v>1869</v>
      </c>
      <c r="D1508" s="114" t="s">
        <v>5042</v>
      </c>
      <c r="E1508" s="114" t="s">
        <v>5043</v>
      </c>
    </row>
    <row r="1509" spans="1:5" x14ac:dyDescent="0.25">
      <c r="B1509" s="114" t="s">
        <v>1870</v>
      </c>
      <c r="D1509" s="114" t="s">
        <v>1864</v>
      </c>
      <c r="E1509" s="114" t="s">
        <v>5044</v>
      </c>
    </row>
    <row r="1510" spans="1:5" x14ac:dyDescent="0.25">
      <c r="B1510" s="114" t="s">
        <v>1871</v>
      </c>
      <c r="D1510" s="114" t="s">
        <v>1073</v>
      </c>
      <c r="E1510" s="114" t="s">
        <v>5045</v>
      </c>
    </row>
    <row r="1511" spans="1:5" x14ac:dyDescent="0.25">
      <c r="A1511" s="114">
        <v>3</v>
      </c>
      <c r="B1511" s="114" t="s">
        <v>1872</v>
      </c>
      <c r="D1511" s="114" t="s">
        <v>5046</v>
      </c>
      <c r="E1511" s="114" t="s">
        <v>5047</v>
      </c>
    </row>
    <row r="1512" spans="1:5" x14ac:dyDescent="0.25">
      <c r="B1512" s="114" t="s">
        <v>1073</v>
      </c>
      <c r="D1512" s="114" t="s">
        <v>5048</v>
      </c>
      <c r="E1512" s="114" t="s">
        <v>5049</v>
      </c>
    </row>
    <row r="1513" spans="1:5" x14ac:dyDescent="0.25">
      <c r="B1513" s="114" t="s">
        <v>1073</v>
      </c>
      <c r="D1513" s="114" t="s">
        <v>1073</v>
      </c>
      <c r="E1513" s="114" t="s">
        <v>5050</v>
      </c>
    </row>
    <row r="1514" spans="1:5" x14ac:dyDescent="0.25">
      <c r="B1514" s="114" t="s">
        <v>1073</v>
      </c>
      <c r="D1514" s="114" t="s">
        <v>5051</v>
      </c>
      <c r="E1514" s="114" t="s">
        <v>5052</v>
      </c>
    </row>
    <row r="1515" spans="1:5" x14ac:dyDescent="0.25">
      <c r="B1515" s="114" t="s">
        <v>1873</v>
      </c>
      <c r="D1515" s="114" t="s">
        <v>1073</v>
      </c>
      <c r="E1515" s="114" t="s">
        <v>5053</v>
      </c>
    </row>
    <row r="1516" spans="1:5" x14ac:dyDescent="0.25">
      <c r="B1516" s="114" t="s">
        <v>1271</v>
      </c>
      <c r="D1516" s="114" t="s">
        <v>1073</v>
      </c>
      <c r="E1516" s="114" t="s">
        <v>5054</v>
      </c>
    </row>
    <row r="1517" spans="1:5" x14ac:dyDescent="0.25">
      <c r="A1517" s="114">
        <v>1</v>
      </c>
      <c r="B1517" s="114" t="s">
        <v>1874</v>
      </c>
      <c r="D1517" s="114" t="s">
        <v>1214</v>
      </c>
      <c r="E1517" s="114" t="s">
        <v>5055</v>
      </c>
    </row>
    <row r="1518" spans="1:5" x14ac:dyDescent="0.25">
      <c r="B1518" s="114" t="s">
        <v>1073</v>
      </c>
      <c r="D1518" s="114" t="s">
        <v>5056</v>
      </c>
      <c r="E1518" s="114" t="s">
        <v>5057</v>
      </c>
    </row>
    <row r="1519" spans="1:5" x14ac:dyDescent="0.25">
      <c r="B1519" s="114" t="s">
        <v>1875</v>
      </c>
      <c r="D1519" s="114" t="s">
        <v>1073</v>
      </c>
      <c r="E1519" s="114" t="s">
        <v>5058</v>
      </c>
    </row>
    <row r="1520" spans="1:5" x14ac:dyDescent="0.25">
      <c r="A1520" s="114">
        <v>1</v>
      </c>
      <c r="B1520" s="114" t="s">
        <v>1876</v>
      </c>
      <c r="D1520" s="114" t="s">
        <v>5059</v>
      </c>
      <c r="E1520" s="114" t="s">
        <v>5060</v>
      </c>
    </row>
    <row r="1521" spans="1:5" x14ac:dyDescent="0.25">
      <c r="A1521" s="114" t="s">
        <v>1072</v>
      </c>
      <c r="B1521" s="114" t="s">
        <v>1877</v>
      </c>
      <c r="D1521" s="114" t="s">
        <v>2066</v>
      </c>
      <c r="E1521" s="114" t="s">
        <v>5061</v>
      </c>
    </row>
    <row r="1522" spans="1:5" x14ac:dyDescent="0.25">
      <c r="B1522" s="114" t="s">
        <v>1878</v>
      </c>
      <c r="D1522" s="114" t="s">
        <v>1073</v>
      </c>
      <c r="E1522" s="114" t="s">
        <v>5062</v>
      </c>
    </row>
    <row r="1523" spans="1:5" x14ac:dyDescent="0.25">
      <c r="A1523" s="114">
        <v>1</v>
      </c>
      <c r="B1523" s="114" t="s">
        <v>1879</v>
      </c>
      <c r="D1523" s="114" t="s">
        <v>5063</v>
      </c>
      <c r="E1523" s="114" t="s">
        <v>5064</v>
      </c>
    </row>
    <row r="1524" spans="1:5" x14ac:dyDescent="0.25">
      <c r="B1524" s="114" t="s">
        <v>1880</v>
      </c>
      <c r="D1524" s="114" t="s">
        <v>5065</v>
      </c>
      <c r="E1524" s="114" t="s">
        <v>5066</v>
      </c>
    </row>
    <row r="1525" spans="1:5" x14ac:dyDescent="0.25">
      <c r="B1525" s="114" t="s">
        <v>1881</v>
      </c>
      <c r="D1525" s="114" t="s">
        <v>1073</v>
      </c>
      <c r="E1525" s="114" t="s">
        <v>5067</v>
      </c>
    </row>
    <row r="1526" spans="1:5" x14ac:dyDescent="0.25">
      <c r="A1526" s="114">
        <v>-3</v>
      </c>
      <c r="B1526" s="114" t="s">
        <v>1882</v>
      </c>
      <c r="D1526" s="114" t="s">
        <v>1073</v>
      </c>
      <c r="E1526" s="114" t="s">
        <v>5068</v>
      </c>
    </row>
    <row r="1527" spans="1:5" x14ac:dyDescent="0.25">
      <c r="B1527" s="114" t="s">
        <v>1883</v>
      </c>
      <c r="D1527" s="114" t="s">
        <v>5069</v>
      </c>
      <c r="E1527" s="114" t="s">
        <v>5070</v>
      </c>
    </row>
    <row r="1528" spans="1:5" x14ac:dyDescent="0.25">
      <c r="B1528" s="114" t="s">
        <v>1884</v>
      </c>
      <c r="D1528" s="114" t="s">
        <v>1073</v>
      </c>
      <c r="E1528" s="114" t="s">
        <v>3993</v>
      </c>
    </row>
    <row r="1529" spans="1:5" x14ac:dyDescent="0.25">
      <c r="A1529" s="114" t="s">
        <v>1072</v>
      </c>
      <c r="B1529" s="114" t="s">
        <v>1885</v>
      </c>
      <c r="D1529" s="114" t="s">
        <v>5071</v>
      </c>
      <c r="E1529" s="114" t="s">
        <v>5072</v>
      </c>
    </row>
    <row r="1530" spans="1:5" x14ac:dyDescent="0.25">
      <c r="B1530" s="114" t="s">
        <v>1073</v>
      </c>
      <c r="D1530" s="114" t="s">
        <v>5073</v>
      </c>
      <c r="E1530" s="114" t="s">
        <v>5074</v>
      </c>
    </row>
    <row r="1531" spans="1:5" x14ac:dyDescent="0.25">
      <c r="B1531" s="114" t="s">
        <v>1073</v>
      </c>
      <c r="D1531" s="114" t="s">
        <v>5075</v>
      </c>
      <c r="E1531" s="114" t="s">
        <v>3993</v>
      </c>
    </row>
    <row r="1532" spans="1:5" x14ac:dyDescent="0.25">
      <c r="B1532" s="114" t="s">
        <v>1127</v>
      </c>
      <c r="D1532" s="114" t="s">
        <v>5076</v>
      </c>
      <c r="E1532" s="114" t="s">
        <v>5077</v>
      </c>
    </row>
    <row r="1533" spans="1:5" x14ac:dyDescent="0.25">
      <c r="A1533" s="114" t="s">
        <v>1072</v>
      </c>
      <c r="B1533" s="114" t="s">
        <v>1886</v>
      </c>
      <c r="D1533" s="114" t="s">
        <v>4784</v>
      </c>
      <c r="E1533" s="114" t="s">
        <v>5078</v>
      </c>
    </row>
    <row r="1534" spans="1:5" x14ac:dyDescent="0.25">
      <c r="B1534" s="114" t="s">
        <v>1887</v>
      </c>
      <c r="D1534" s="114">
        <f>-86    -29</f>
        <v>-115</v>
      </c>
      <c r="E1534" s="114" t="s">
        <v>5079</v>
      </c>
    </row>
    <row r="1535" spans="1:5" x14ac:dyDescent="0.25">
      <c r="A1535" s="114" t="s">
        <v>1072</v>
      </c>
      <c r="B1535" s="114" t="s">
        <v>1888</v>
      </c>
      <c r="D1535" s="114" t="s">
        <v>5080</v>
      </c>
      <c r="E1535" s="114" t="s">
        <v>5081</v>
      </c>
    </row>
    <row r="1536" spans="1:5" x14ac:dyDescent="0.25">
      <c r="A1536" s="114">
        <v>-1</v>
      </c>
      <c r="B1536" s="114" t="s">
        <v>1889</v>
      </c>
      <c r="D1536" s="114" t="s">
        <v>5082</v>
      </c>
      <c r="E1536" s="114" t="s">
        <v>5083</v>
      </c>
    </row>
    <row r="1537" spans="1:5" x14ac:dyDescent="0.25">
      <c r="A1537" s="114" t="s">
        <v>1072</v>
      </c>
      <c r="B1537" s="114" t="s">
        <v>1890</v>
      </c>
      <c r="D1537" s="114" t="s">
        <v>5084</v>
      </c>
      <c r="E1537" s="114" t="s">
        <v>5085</v>
      </c>
    </row>
    <row r="1538" spans="1:5" x14ac:dyDescent="0.25">
      <c r="B1538" s="114" t="s">
        <v>1130</v>
      </c>
      <c r="D1538" s="114" t="s">
        <v>5086</v>
      </c>
      <c r="E1538" s="114" t="s">
        <v>5087</v>
      </c>
    </row>
    <row r="1539" spans="1:5" x14ac:dyDescent="0.25">
      <c r="B1539" s="114" t="s">
        <v>1207</v>
      </c>
      <c r="D1539" s="114" t="s">
        <v>5088</v>
      </c>
      <c r="E1539" s="114" t="s">
        <v>5089</v>
      </c>
    </row>
    <row r="1540" spans="1:5" x14ac:dyDescent="0.25">
      <c r="B1540" s="114" t="s">
        <v>1891</v>
      </c>
      <c r="D1540" s="114" t="s">
        <v>5090</v>
      </c>
      <c r="E1540" s="114" t="s">
        <v>5091</v>
      </c>
    </row>
    <row r="1541" spans="1:5" x14ac:dyDescent="0.25">
      <c r="B1541" s="114" t="s">
        <v>1892</v>
      </c>
      <c r="C1541" s="114" t="s">
        <v>1072</v>
      </c>
      <c r="D1541" s="114" t="s">
        <v>5092</v>
      </c>
      <c r="E1541" s="114" t="s">
        <v>5093</v>
      </c>
    </row>
    <row r="1542" spans="1:5" x14ac:dyDescent="0.25">
      <c r="A1542" s="114">
        <v>14</v>
      </c>
      <c r="B1542" s="114" t="s">
        <v>1308</v>
      </c>
      <c r="D1542" s="114" t="s">
        <v>1073</v>
      </c>
      <c r="E1542" s="114" t="s">
        <v>3993</v>
      </c>
    </row>
    <row r="1543" spans="1:5" x14ac:dyDescent="0.25">
      <c r="B1543" s="114" t="s">
        <v>1073</v>
      </c>
      <c r="D1543" s="114" t="s">
        <v>1073</v>
      </c>
      <c r="E1543" s="114" t="s">
        <v>3993</v>
      </c>
    </row>
    <row r="1544" spans="1:5" x14ac:dyDescent="0.25">
      <c r="B1544" s="114" t="s">
        <v>1073</v>
      </c>
      <c r="D1544" s="114" t="s">
        <v>1073</v>
      </c>
      <c r="E1544" s="114" t="s">
        <v>3993</v>
      </c>
    </row>
    <row r="1545" spans="1:5" x14ac:dyDescent="0.25">
      <c r="B1545" s="114" t="s">
        <v>1073</v>
      </c>
      <c r="D1545" s="114" t="s">
        <v>1073</v>
      </c>
      <c r="E1545" s="114" t="s">
        <v>3993</v>
      </c>
    </row>
    <row r="1546" spans="1:5" x14ac:dyDescent="0.25">
      <c r="B1546" s="114" t="s">
        <v>1073</v>
      </c>
      <c r="D1546" s="114" t="s">
        <v>1073</v>
      </c>
      <c r="E1546" s="114" t="s">
        <v>3993</v>
      </c>
    </row>
    <row r="1547" spans="1:5" x14ac:dyDescent="0.25">
      <c r="B1547" s="114" t="s">
        <v>1073</v>
      </c>
      <c r="D1547" s="114" t="s">
        <v>1073</v>
      </c>
      <c r="E1547" s="114" t="s">
        <v>3993</v>
      </c>
    </row>
    <row r="1548" spans="1:5" x14ac:dyDescent="0.25">
      <c r="B1548" s="114" t="s">
        <v>1073</v>
      </c>
      <c r="D1548" s="114" t="s">
        <v>1073</v>
      </c>
      <c r="E1548" s="114" t="s">
        <v>3993</v>
      </c>
    </row>
    <row r="1549" spans="1:5" x14ac:dyDescent="0.25">
      <c r="B1549" s="114" t="s">
        <v>1073</v>
      </c>
      <c r="D1549" s="114" t="s">
        <v>1073</v>
      </c>
      <c r="E1549" s="114" t="s">
        <v>3993</v>
      </c>
    </row>
    <row r="1550" spans="1:5" x14ac:dyDescent="0.25">
      <c r="B1550" s="114" t="s">
        <v>1073</v>
      </c>
      <c r="D1550" s="114" t="s">
        <v>1073</v>
      </c>
      <c r="E1550" s="114" t="s">
        <v>3993</v>
      </c>
    </row>
    <row r="1551" spans="1:5" x14ac:dyDescent="0.25">
      <c r="B1551" s="114" t="s">
        <v>1073</v>
      </c>
      <c r="D1551" s="114" t="s">
        <v>1073</v>
      </c>
      <c r="E1551" s="114" t="s">
        <v>3993</v>
      </c>
    </row>
    <row r="1552" spans="1:5" x14ac:dyDescent="0.25">
      <c r="B1552" s="114" t="s">
        <v>1073</v>
      </c>
      <c r="D1552" s="114" t="s">
        <v>1073</v>
      </c>
      <c r="E1552" s="114" t="s">
        <v>3993</v>
      </c>
    </row>
    <row r="1553" spans="1:5" x14ac:dyDescent="0.25">
      <c r="B1553" s="114" t="s">
        <v>1073</v>
      </c>
      <c r="D1553" s="114" t="s">
        <v>1073</v>
      </c>
      <c r="E1553" s="114" t="s">
        <v>3993</v>
      </c>
    </row>
    <row r="1554" spans="1:5" x14ac:dyDescent="0.25">
      <c r="B1554" s="114" t="s">
        <v>1073</v>
      </c>
      <c r="D1554" s="114" t="s">
        <v>1073</v>
      </c>
      <c r="E1554" s="114" t="s">
        <v>3993</v>
      </c>
    </row>
    <row r="1555" spans="1:5" x14ac:dyDescent="0.25">
      <c r="B1555" s="114" t="s">
        <v>1073</v>
      </c>
      <c r="D1555" s="114" t="s">
        <v>1073</v>
      </c>
      <c r="E1555" s="114" t="s">
        <v>3993</v>
      </c>
    </row>
    <row r="1556" spans="1:5" x14ac:dyDescent="0.25">
      <c r="B1556" s="114" t="s">
        <v>1073</v>
      </c>
      <c r="D1556" s="114" t="s">
        <v>1073</v>
      </c>
      <c r="E1556" s="114" t="s">
        <v>3993</v>
      </c>
    </row>
    <row r="1557" spans="1:5" x14ac:dyDescent="0.25">
      <c r="B1557" s="114" t="s">
        <v>1073</v>
      </c>
      <c r="D1557" s="114" t="s">
        <v>1073</v>
      </c>
      <c r="E1557" s="114" t="s">
        <v>5094</v>
      </c>
    </row>
    <row r="1558" spans="1:5" x14ac:dyDescent="0.25">
      <c r="B1558" s="114" t="s">
        <v>1893</v>
      </c>
      <c r="D1558" s="114" t="s">
        <v>5095</v>
      </c>
      <c r="E1558" s="114" t="s">
        <v>5096</v>
      </c>
    </row>
    <row r="1559" spans="1:5" x14ac:dyDescent="0.25">
      <c r="B1559" s="114" t="s">
        <v>1073</v>
      </c>
      <c r="D1559" s="114" t="s">
        <v>1073</v>
      </c>
      <c r="E1559" s="114" t="s">
        <v>5097</v>
      </c>
    </row>
    <row r="1560" spans="1:5" x14ac:dyDescent="0.25">
      <c r="B1560" s="114" t="s">
        <v>1520</v>
      </c>
      <c r="C1560" s="114" t="s">
        <v>1072</v>
      </c>
      <c r="D1560" s="114" t="s">
        <v>5098</v>
      </c>
      <c r="E1560" s="114" t="s">
        <v>5099</v>
      </c>
    </row>
    <row r="1561" spans="1:5" x14ac:dyDescent="0.25">
      <c r="A1561" s="114">
        <v>-2</v>
      </c>
      <c r="B1561" s="114" t="s">
        <v>1894</v>
      </c>
      <c r="D1561" s="114" t="s">
        <v>4765</v>
      </c>
      <c r="E1561" s="114" t="s">
        <v>4044</v>
      </c>
    </row>
    <row r="1562" spans="1:5" x14ac:dyDescent="0.25">
      <c r="A1562" s="114" t="s">
        <v>1072</v>
      </c>
      <c r="B1562" s="114" t="s">
        <v>1498</v>
      </c>
      <c r="D1562" s="114" t="s">
        <v>1073</v>
      </c>
      <c r="E1562" s="114" t="s">
        <v>5100</v>
      </c>
    </row>
    <row r="1563" spans="1:5" x14ac:dyDescent="0.25">
      <c r="B1563" s="114" t="s">
        <v>1449</v>
      </c>
      <c r="D1563" s="114" t="s">
        <v>1073</v>
      </c>
      <c r="E1563" s="114" t="s">
        <v>5101</v>
      </c>
    </row>
    <row r="1564" spans="1:5" x14ac:dyDescent="0.25">
      <c r="B1564" s="114" t="s">
        <v>1895</v>
      </c>
      <c r="D1564" s="114" t="s">
        <v>5102</v>
      </c>
      <c r="E1564" s="114" t="s">
        <v>5103</v>
      </c>
    </row>
    <row r="1565" spans="1:5" x14ac:dyDescent="0.25">
      <c r="B1565" s="114" t="s">
        <v>1396</v>
      </c>
      <c r="D1565" s="114" t="s">
        <v>1073</v>
      </c>
      <c r="E1565" s="114" t="s">
        <v>5104</v>
      </c>
    </row>
    <row r="1566" spans="1:5" x14ac:dyDescent="0.25">
      <c r="B1566" s="114" t="s">
        <v>1896</v>
      </c>
      <c r="D1566" s="114" t="s">
        <v>5105</v>
      </c>
      <c r="E1566" s="114" t="s">
        <v>5106</v>
      </c>
    </row>
    <row r="1567" spans="1:5" x14ac:dyDescent="0.25">
      <c r="A1567" s="114">
        <v>16</v>
      </c>
      <c r="B1567" s="114" t="s">
        <v>1897</v>
      </c>
      <c r="D1567" s="114" t="s">
        <v>4339</v>
      </c>
      <c r="E1567" s="114" t="s">
        <v>5107</v>
      </c>
    </row>
    <row r="1568" spans="1:5" x14ac:dyDescent="0.25">
      <c r="B1568" s="114" t="s">
        <v>1107</v>
      </c>
      <c r="D1568" s="114" t="s">
        <v>1073</v>
      </c>
      <c r="E1568" s="114" t="s">
        <v>5108</v>
      </c>
    </row>
    <row r="1569" spans="1:5" x14ac:dyDescent="0.25">
      <c r="B1569" s="114" t="s">
        <v>1898</v>
      </c>
      <c r="D1569" s="114">
        <f>-58    -56    -5</f>
        <v>-119</v>
      </c>
      <c r="E1569" s="114" t="s">
        <v>5109</v>
      </c>
    </row>
    <row r="1570" spans="1:5" x14ac:dyDescent="0.25">
      <c r="A1570" s="114">
        <v>21</v>
      </c>
      <c r="B1570" s="114" t="s">
        <v>1899</v>
      </c>
      <c r="D1570" s="114" t="s">
        <v>5110</v>
      </c>
      <c r="E1570" s="114" t="s">
        <v>5111</v>
      </c>
    </row>
    <row r="1571" spans="1:5" x14ac:dyDescent="0.25">
      <c r="B1571" s="114" t="s">
        <v>1125</v>
      </c>
      <c r="D1571" s="114" t="s">
        <v>1073</v>
      </c>
      <c r="E1571" s="114" t="s">
        <v>5112</v>
      </c>
    </row>
    <row r="1572" spans="1:5" x14ac:dyDescent="0.25">
      <c r="A1572" s="114" t="s">
        <v>1072</v>
      </c>
      <c r="B1572" s="114" t="s">
        <v>1900</v>
      </c>
      <c r="D1572" s="114" t="s">
        <v>5113</v>
      </c>
      <c r="E1572" s="114" t="s">
        <v>5114</v>
      </c>
    </row>
    <row r="1573" spans="1:5" x14ac:dyDescent="0.25">
      <c r="B1573" s="114" t="s">
        <v>1073</v>
      </c>
      <c r="D1573" s="114" t="s">
        <v>1073</v>
      </c>
      <c r="E1573" s="114" t="s">
        <v>3993</v>
      </c>
    </row>
    <row r="1574" spans="1:5" x14ac:dyDescent="0.25">
      <c r="B1574" s="114" t="s">
        <v>1073</v>
      </c>
      <c r="D1574" s="114" t="s">
        <v>1073</v>
      </c>
      <c r="E1574" s="114" t="s">
        <v>3993</v>
      </c>
    </row>
    <row r="1575" spans="1:5" x14ac:dyDescent="0.25">
      <c r="B1575" s="114" t="s">
        <v>1073</v>
      </c>
      <c r="D1575" s="114" t="s">
        <v>1073</v>
      </c>
      <c r="E1575" s="114" t="s">
        <v>3993</v>
      </c>
    </row>
    <row r="1576" spans="1:5" x14ac:dyDescent="0.25">
      <c r="B1576" s="114" t="s">
        <v>1073</v>
      </c>
      <c r="D1576" s="114" t="s">
        <v>1073</v>
      </c>
      <c r="E1576" s="114" t="s">
        <v>3993</v>
      </c>
    </row>
    <row r="1577" spans="1:5" x14ac:dyDescent="0.25">
      <c r="B1577" s="114" t="s">
        <v>1073</v>
      </c>
      <c r="D1577" s="114" t="s">
        <v>1073</v>
      </c>
      <c r="E1577" s="114" t="s">
        <v>3993</v>
      </c>
    </row>
    <row r="1578" spans="1:5" x14ac:dyDescent="0.25">
      <c r="B1578" s="114" t="s">
        <v>1073</v>
      </c>
      <c r="D1578" s="114" t="s">
        <v>1073</v>
      </c>
      <c r="E1578" s="114" t="s">
        <v>3993</v>
      </c>
    </row>
    <row r="1579" spans="1:5" x14ac:dyDescent="0.25">
      <c r="B1579" s="114" t="s">
        <v>1073</v>
      </c>
      <c r="D1579" s="114" t="s">
        <v>1073</v>
      </c>
      <c r="E1579" s="114" t="s">
        <v>3993</v>
      </c>
    </row>
    <row r="1580" spans="1:5" x14ac:dyDescent="0.25">
      <c r="B1580" s="114" t="s">
        <v>1073</v>
      </c>
      <c r="D1580" s="114" t="s">
        <v>1073</v>
      </c>
      <c r="E1580" s="114" t="s">
        <v>3993</v>
      </c>
    </row>
    <row r="1581" spans="1:5" x14ac:dyDescent="0.25">
      <c r="B1581" s="114" t="s">
        <v>1073</v>
      </c>
      <c r="D1581" s="114" t="s">
        <v>1073</v>
      </c>
      <c r="E1581" s="114" t="s">
        <v>3993</v>
      </c>
    </row>
    <row r="1582" spans="1:5" x14ac:dyDescent="0.25">
      <c r="B1582" s="114" t="s">
        <v>1073</v>
      </c>
      <c r="D1582" s="114" t="s">
        <v>1073</v>
      </c>
      <c r="E1582" s="114" t="s">
        <v>3993</v>
      </c>
    </row>
    <row r="1583" spans="1:5" x14ac:dyDescent="0.25">
      <c r="B1583" s="114" t="s">
        <v>1073</v>
      </c>
      <c r="D1583" s="114" t="s">
        <v>1073</v>
      </c>
      <c r="E1583" s="114" t="s">
        <v>3993</v>
      </c>
    </row>
    <row r="1584" spans="1:5" x14ac:dyDescent="0.25">
      <c r="B1584" s="114" t="s">
        <v>1073</v>
      </c>
      <c r="D1584" s="114" t="s">
        <v>1073</v>
      </c>
      <c r="E1584" s="114" t="s">
        <v>3993</v>
      </c>
    </row>
    <row r="1585" spans="2:5" x14ac:dyDescent="0.25">
      <c r="B1585" s="114" t="s">
        <v>1073</v>
      </c>
      <c r="D1585" s="114" t="s">
        <v>1073</v>
      </c>
      <c r="E1585" s="114" t="s">
        <v>3993</v>
      </c>
    </row>
    <row r="1586" spans="2:5" x14ac:dyDescent="0.25">
      <c r="B1586" s="114" t="s">
        <v>1073</v>
      </c>
      <c r="D1586" s="114" t="s">
        <v>1073</v>
      </c>
      <c r="E1586" s="114" t="s">
        <v>3993</v>
      </c>
    </row>
    <row r="1587" spans="2:5" x14ac:dyDescent="0.25">
      <c r="B1587" s="114" t="s">
        <v>1073</v>
      </c>
      <c r="D1587" s="114" t="s">
        <v>1073</v>
      </c>
      <c r="E1587" s="114" t="s">
        <v>3993</v>
      </c>
    </row>
    <row r="1588" spans="2:5" x14ac:dyDescent="0.25">
      <c r="B1588" s="114" t="s">
        <v>1073</v>
      </c>
      <c r="D1588" s="114" t="s">
        <v>1073</v>
      </c>
      <c r="E1588" s="114" t="s">
        <v>3993</v>
      </c>
    </row>
    <row r="1589" spans="2:5" x14ac:dyDescent="0.25">
      <c r="B1589" s="114" t="s">
        <v>1073</v>
      </c>
      <c r="D1589" s="114" t="s">
        <v>1073</v>
      </c>
      <c r="E1589" s="114" t="s">
        <v>3993</v>
      </c>
    </row>
    <row r="1590" spans="2:5" x14ac:dyDescent="0.25">
      <c r="B1590" s="114" t="s">
        <v>1073</v>
      </c>
      <c r="D1590" s="114" t="s">
        <v>1073</v>
      </c>
      <c r="E1590" s="114" t="s">
        <v>3993</v>
      </c>
    </row>
    <row r="1591" spans="2:5" x14ac:dyDescent="0.25">
      <c r="B1591" s="114" t="s">
        <v>1073</v>
      </c>
      <c r="D1591" s="114" t="s">
        <v>1073</v>
      </c>
      <c r="E1591" s="114" t="s">
        <v>3993</v>
      </c>
    </row>
    <row r="1592" spans="2:5" x14ac:dyDescent="0.25">
      <c r="B1592" s="114" t="s">
        <v>1073</v>
      </c>
      <c r="D1592" s="114" t="s">
        <v>1073</v>
      </c>
      <c r="E1592" s="114" t="s">
        <v>3993</v>
      </c>
    </row>
    <row r="1593" spans="2:5" x14ac:dyDescent="0.25">
      <c r="B1593" s="114" t="s">
        <v>1073</v>
      </c>
      <c r="D1593" s="114" t="s">
        <v>1073</v>
      </c>
      <c r="E1593" s="114" t="s">
        <v>3993</v>
      </c>
    </row>
    <row r="1594" spans="2:5" x14ac:dyDescent="0.25">
      <c r="B1594" s="114" t="s">
        <v>1073</v>
      </c>
      <c r="D1594" s="114" t="s">
        <v>1073</v>
      </c>
      <c r="E1594" s="114" t="s">
        <v>3993</v>
      </c>
    </row>
    <row r="1595" spans="2:5" x14ac:dyDescent="0.25">
      <c r="B1595" s="114" t="s">
        <v>1073</v>
      </c>
      <c r="D1595" s="114" t="s">
        <v>1073</v>
      </c>
      <c r="E1595" s="114" t="s">
        <v>3993</v>
      </c>
    </row>
    <row r="1596" spans="2:5" x14ac:dyDescent="0.25">
      <c r="B1596" s="114" t="s">
        <v>1073</v>
      </c>
      <c r="D1596" s="114" t="s">
        <v>1073</v>
      </c>
      <c r="E1596" s="114" t="s">
        <v>3993</v>
      </c>
    </row>
    <row r="1597" spans="2:5" x14ac:dyDescent="0.25">
      <c r="B1597" s="114" t="s">
        <v>1073</v>
      </c>
      <c r="D1597" s="114" t="s">
        <v>1073</v>
      </c>
      <c r="E1597" s="114" t="s">
        <v>3993</v>
      </c>
    </row>
    <row r="1598" spans="2:5" x14ac:dyDescent="0.25">
      <c r="B1598" s="114" t="s">
        <v>1073</v>
      </c>
      <c r="D1598" s="114" t="s">
        <v>1073</v>
      </c>
      <c r="E1598" s="114" t="s">
        <v>3993</v>
      </c>
    </row>
    <row r="1599" spans="2:5" x14ac:dyDescent="0.25">
      <c r="B1599" s="114" t="s">
        <v>1073</v>
      </c>
      <c r="D1599" s="114" t="s">
        <v>1073</v>
      </c>
      <c r="E1599" s="114" t="s">
        <v>3993</v>
      </c>
    </row>
    <row r="1600" spans="2:5" x14ac:dyDescent="0.25">
      <c r="B1600" s="114" t="s">
        <v>1073</v>
      </c>
      <c r="D1600" s="114" t="s">
        <v>1073</v>
      </c>
      <c r="E1600" s="114" t="s">
        <v>3993</v>
      </c>
    </row>
    <row r="1601" spans="1:5" x14ac:dyDescent="0.25">
      <c r="B1601" s="114" t="s">
        <v>1073</v>
      </c>
      <c r="D1601" s="114" t="s">
        <v>1073</v>
      </c>
      <c r="E1601" s="114" t="s">
        <v>3993</v>
      </c>
    </row>
    <row r="1602" spans="1:5" x14ac:dyDescent="0.25">
      <c r="B1602" s="114" t="s">
        <v>1073</v>
      </c>
      <c r="D1602" s="114" t="s">
        <v>1073</v>
      </c>
      <c r="E1602" s="114" t="s">
        <v>3993</v>
      </c>
    </row>
    <row r="1603" spans="1:5" x14ac:dyDescent="0.25">
      <c r="B1603" s="114" t="s">
        <v>1073</v>
      </c>
      <c r="D1603" s="114" t="s">
        <v>1073</v>
      </c>
      <c r="E1603" s="114" t="s">
        <v>3993</v>
      </c>
    </row>
    <row r="1604" spans="1:5" x14ac:dyDescent="0.25">
      <c r="B1604" s="114" t="s">
        <v>1073</v>
      </c>
      <c r="D1604" s="114" t="s">
        <v>5115</v>
      </c>
      <c r="E1604" s="114" t="s">
        <v>5116</v>
      </c>
    </row>
    <row r="1605" spans="1:5" x14ac:dyDescent="0.25">
      <c r="B1605" s="114" t="s">
        <v>1170</v>
      </c>
      <c r="D1605" s="114" t="s">
        <v>1073</v>
      </c>
      <c r="E1605" s="114" t="s">
        <v>5117</v>
      </c>
    </row>
    <row r="1606" spans="1:5" x14ac:dyDescent="0.25">
      <c r="B1606" s="114" t="s">
        <v>1073</v>
      </c>
      <c r="D1606" s="114" t="s">
        <v>1073</v>
      </c>
      <c r="E1606" s="114" t="s">
        <v>5118</v>
      </c>
    </row>
    <row r="1607" spans="1:5" x14ac:dyDescent="0.25">
      <c r="B1607" s="114" t="s">
        <v>1901</v>
      </c>
      <c r="D1607" s="114">
        <f>-227   -482    -6</f>
        <v>-715</v>
      </c>
      <c r="E1607" s="114" t="s">
        <v>5119</v>
      </c>
    </row>
    <row r="1608" spans="1:5" x14ac:dyDescent="0.25">
      <c r="B1608" s="114" t="s">
        <v>1073</v>
      </c>
      <c r="D1608" s="114" t="s">
        <v>1160</v>
      </c>
      <c r="E1608" s="114" t="s">
        <v>5120</v>
      </c>
    </row>
    <row r="1609" spans="1:5" x14ac:dyDescent="0.25">
      <c r="B1609" s="114" t="s">
        <v>1073</v>
      </c>
      <c r="D1609" s="114" t="s">
        <v>1073</v>
      </c>
      <c r="E1609" s="114" t="s">
        <v>5121</v>
      </c>
    </row>
    <row r="1610" spans="1:5" x14ac:dyDescent="0.25">
      <c r="B1610" s="114" t="s">
        <v>1073</v>
      </c>
      <c r="D1610" s="114" t="s">
        <v>4534</v>
      </c>
      <c r="E1610" s="114" t="s">
        <v>5122</v>
      </c>
    </row>
    <row r="1611" spans="1:5" x14ac:dyDescent="0.25">
      <c r="B1611" s="114" t="s">
        <v>1237</v>
      </c>
      <c r="D1611" s="114" t="s">
        <v>5123</v>
      </c>
      <c r="E1611" s="114" t="s">
        <v>5124</v>
      </c>
    </row>
    <row r="1612" spans="1:5" x14ac:dyDescent="0.25">
      <c r="B1612" s="114" t="s">
        <v>1073</v>
      </c>
      <c r="D1612" s="114" t="s">
        <v>5125</v>
      </c>
      <c r="E1612" s="114" t="s">
        <v>5126</v>
      </c>
    </row>
    <row r="1613" spans="1:5" x14ac:dyDescent="0.25">
      <c r="A1613" s="114" t="s">
        <v>1072</v>
      </c>
      <c r="B1613" s="114" t="s">
        <v>1495</v>
      </c>
      <c r="D1613" s="114">
        <f>-250   -562   -93</f>
        <v>-905</v>
      </c>
      <c r="E1613" s="114" t="s">
        <v>5127</v>
      </c>
    </row>
    <row r="1614" spans="1:5" x14ac:dyDescent="0.25">
      <c r="B1614" s="114" t="s">
        <v>1073</v>
      </c>
      <c r="D1614" s="114" t="s">
        <v>5128</v>
      </c>
      <c r="E1614" s="114" t="s">
        <v>5129</v>
      </c>
    </row>
    <row r="1615" spans="1:5" x14ac:dyDescent="0.25">
      <c r="B1615" s="114" t="s">
        <v>1073</v>
      </c>
      <c r="D1615" s="114" t="s">
        <v>5130</v>
      </c>
      <c r="E1615" s="114" t="s">
        <v>5131</v>
      </c>
    </row>
    <row r="1616" spans="1:5" x14ac:dyDescent="0.25">
      <c r="B1616" s="114">
        <f>-91    -79</f>
        <v>-170</v>
      </c>
      <c r="D1616" s="114">
        <f>-145   -465</f>
        <v>-610</v>
      </c>
      <c r="E1616" s="114" t="s">
        <v>5132</v>
      </c>
    </row>
    <row r="1617" spans="2:5" x14ac:dyDescent="0.25">
      <c r="B1617" s="114" t="s">
        <v>1902</v>
      </c>
      <c r="D1617" s="114" t="s">
        <v>5133</v>
      </c>
      <c r="E1617" s="114" t="s">
        <v>5134</v>
      </c>
    </row>
    <row r="1618" spans="2:5" x14ac:dyDescent="0.25">
      <c r="B1618" s="114" t="s">
        <v>1073</v>
      </c>
      <c r="D1618" s="114" t="s">
        <v>5135</v>
      </c>
      <c r="E1618" s="114" t="s">
        <v>5136</v>
      </c>
    </row>
    <row r="1619" spans="2:5" x14ac:dyDescent="0.25">
      <c r="B1619" s="114" t="s">
        <v>1073</v>
      </c>
      <c r="D1619" s="114" t="s">
        <v>5137</v>
      </c>
      <c r="E1619" s="114" t="s">
        <v>5138</v>
      </c>
    </row>
    <row r="1620" spans="2:5" x14ac:dyDescent="0.25">
      <c r="B1620" s="114" t="s">
        <v>1073</v>
      </c>
      <c r="D1620" s="114" t="s">
        <v>1073</v>
      </c>
      <c r="E1620" s="114" t="s">
        <v>3993</v>
      </c>
    </row>
    <row r="1621" spans="2:5" x14ac:dyDescent="0.25">
      <c r="B1621" s="114" t="s">
        <v>1073</v>
      </c>
      <c r="D1621" s="114" t="s">
        <v>1073</v>
      </c>
      <c r="E1621" s="114" t="s">
        <v>3993</v>
      </c>
    </row>
    <row r="1622" spans="2:5" x14ac:dyDescent="0.25">
      <c r="B1622" s="114" t="s">
        <v>1073</v>
      </c>
      <c r="D1622" s="114" t="s">
        <v>1073</v>
      </c>
      <c r="E1622" s="114" t="s">
        <v>3993</v>
      </c>
    </row>
    <row r="1623" spans="2:5" x14ac:dyDescent="0.25">
      <c r="B1623" s="114" t="s">
        <v>1073</v>
      </c>
      <c r="D1623" s="114" t="s">
        <v>1073</v>
      </c>
      <c r="E1623" s="114" t="s">
        <v>3993</v>
      </c>
    </row>
    <row r="1624" spans="2:5" x14ac:dyDescent="0.25">
      <c r="B1624" s="114" t="s">
        <v>1073</v>
      </c>
      <c r="D1624" s="114" t="s">
        <v>1073</v>
      </c>
      <c r="E1624" s="114" t="s">
        <v>3993</v>
      </c>
    </row>
    <row r="1625" spans="2:5" x14ac:dyDescent="0.25">
      <c r="B1625" s="114" t="s">
        <v>1073</v>
      </c>
      <c r="D1625" s="114" t="s">
        <v>1073</v>
      </c>
      <c r="E1625" s="114" t="s">
        <v>3993</v>
      </c>
    </row>
    <row r="1626" spans="2:5" x14ac:dyDescent="0.25">
      <c r="B1626" s="114" t="s">
        <v>1073</v>
      </c>
      <c r="D1626" s="114" t="s">
        <v>1073</v>
      </c>
      <c r="E1626" s="114" t="s">
        <v>3993</v>
      </c>
    </row>
    <row r="1627" spans="2:5" x14ac:dyDescent="0.25">
      <c r="B1627" s="114" t="s">
        <v>1073</v>
      </c>
      <c r="D1627" s="114" t="s">
        <v>1073</v>
      </c>
      <c r="E1627" s="114" t="s">
        <v>3993</v>
      </c>
    </row>
    <row r="1628" spans="2:5" x14ac:dyDescent="0.25">
      <c r="B1628" s="114" t="s">
        <v>1073</v>
      </c>
      <c r="D1628" s="114" t="s">
        <v>1073</v>
      </c>
      <c r="E1628" s="114" t="s">
        <v>3993</v>
      </c>
    </row>
    <row r="1629" spans="2:5" x14ac:dyDescent="0.25">
      <c r="B1629" s="114" t="s">
        <v>1073</v>
      </c>
      <c r="D1629" s="114" t="s">
        <v>1073</v>
      </c>
      <c r="E1629" s="114" t="s">
        <v>3993</v>
      </c>
    </row>
    <row r="1630" spans="2:5" x14ac:dyDescent="0.25">
      <c r="B1630" s="114" t="s">
        <v>1073</v>
      </c>
      <c r="D1630" s="114" t="s">
        <v>1073</v>
      </c>
      <c r="E1630" s="114" t="s">
        <v>3993</v>
      </c>
    </row>
    <row r="1631" spans="2:5" x14ac:dyDescent="0.25">
      <c r="B1631" s="114" t="s">
        <v>1073</v>
      </c>
      <c r="D1631" s="114" t="s">
        <v>1073</v>
      </c>
      <c r="E1631" s="114" t="s">
        <v>3993</v>
      </c>
    </row>
    <row r="1632" spans="2:5" x14ac:dyDescent="0.25">
      <c r="B1632" s="114" t="s">
        <v>1073</v>
      </c>
      <c r="D1632" s="114" t="s">
        <v>1073</v>
      </c>
      <c r="E1632" s="114" t="s">
        <v>3993</v>
      </c>
    </row>
    <row r="1633" spans="1:5" x14ac:dyDescent="0.25">
      <c r="B1633" s="114" t="s">
        <v>1073</v>
      </c>
      <c r="D1633" s="114" t="s">
        <v>1073</v>
      </c>
      <c r="E1633" s="114" t="s">
        <v>3993</v>
      </c>
    </row>
    <row r="1634" spans="1:5" x14ac:dyDescent="0.25">
      <c r="B1634" s="114" t="s">
        <v>1073</v>
      </c>
      <c r="D1634" s="114" t="s">
        <v>1073</v>
      </c>
      <c r="E1634" s="114" t="s">
        <v>3993</v>
      </c>
    </row>
    <row r="1635" spans="1:5" x14ac:dyDescent="0.25">
      <c r="B1635" s="114" t="s">
        <v>1073</v>
      </c>
      <c r="D1635" s="114" t="s">
        <v>1073</v>
      </c>
      <c r="E1635" s="114" t="s">
        <v>3993</v>
      </c>
    </row>
    <row r="1636" spans="1:5" x14ac:dyDescent="0.25">
      <c r="A1636" s="114" t="s">
        <v>1072</v>
      </c>
      <c r="B1636" s="114" t="s">
        <v>1903</v>
      </c>
      <c r="D1636" s="114" t="s">
        <v>5139</v>
      </c>
      <c r="E1636" s="114" t="s">
        <v>5140</v>
      </c>
    </row>
    <row r="1637" spans="1:5" x14ac:dyDescent="0.25">
      <c r="B1637" s="114" t="s">
        <v>1073</v>
      </c>
      <c r="D1637" s="114" t="s">
        <v>5141</v>
      </c>
      <c r="E1637" s="114" t="s">
        <v>3993</v>
      </c>
    </row>
    <row r="1638" spans="1:5" x14ac:dyDescent="0.25">
      <c r="B1638" s="114" t="s">
        <v>1073</v>
      </c>
      <c r="D1638" s="114" t="s">
        <v>5142</v>
      </c>
      <c r="E1638" s="114" t="s">
        <v>5143</v>
      </c>
    </row>
    <row r="1639" spans="1:5" x14ac:dyDescent="0.25">
      <c r="B1639" s="114" t="s">
        <v>1904</v>
      </c>
      <c r="D1639" s="114" t="s">
        <v>1073</v>
      </c>
      <c r="E1639" s="114" t="s">
        <v>5144</v>
      </c>
    </row>
    <row r="1640" spans="1:5" x14ac:dyDescent="0.25">
      <c r="B1640" s="114" t="s">
        <v>1073</v>
      </c>
      <c r="D1640" s="114" t="s">
        <v>1073</v>
      </c>
      <c r="E1640" s="114" t="s">
        <v>5145</v>
      </c>
    </row>
    <row r="1641" spans="1:5" x14ac:dyDescent="0.25">
      <c r="B1641" s="114" t="s">
        <v>1073</v>
      </c>
      <c r="D1641" s="114" t="s">
        <v>5146</v>
      </c>
      <c r="E1641" s="114" t="s">
        <v>5147</v>
      </c>
    </row>
    <row r="1642" spans="1:5" x14ac:dyDescent="0.25">
      <c r="B1642" s="114" t="s">
        <v>1466</v>
      </c>
      <c r="D1642" s="114">
        <f>-497   -139</f>
        <v>-636</v>
      </c>
      <c r="E1642" s="114" t="s">
        <v>5148</v>
      </c>
    </row>
    <row r="1643" spans="1:5" x14ac:dyDescent="0.25">
      <c r="A1643" s="114">
        <v>-2</v>
      </c>
      <c r="B1643" s="114" t="s">
        <v>1905</v>
      </c>
      <c r="C1643" s="114" t="s">
        <v>1072</v>
      </c>
      <c r="D1643" s="114" t="s">
        <v>5149</v>
      </c>
      <c r="E1643" s="114" t="s">
        <v>5150</v>
      </c>
    </row>
    <row r="1644" spans="1:5" x14ac:dyDescent="0.25">
      <c r="B1644" s="114" t="s">
        <v>1906</v>
      </c>
      <c r="D1644" s="114" t="s">
        <v>5151</v>
      </c>
      <c r="E1644" s="114" t="s">
        <v>5152</v>
      </c>
    </row>
    <row r="1645" spans="1:5" x14ac:dyDescent="0.25">
      <c r="B1645" s="114" t="s">
        <v>1907</v>
      </c>
      <c r="D1645" s="114" t="s">
        <v>5153</v>
      </c>
      <c r="E1645" s="114" t="s">
        <v>5154</v>
      </c>
    </row>
    <row r="1646" spans="1:5" x14ac:dyDescent="0.25">
      <c r="A1646" s="114">
        <v>-1</v>
      </c>
      <c r="B1646" s="114" t="s">
        <v>1908</v>
      </c>
      <c r="D1646" s="114">
        <f>-279   -114   -12</f>
        <v>-405</v>
      </c>
      <c r="E1646" s="114" t="s">
        <v>5155</v>
      </c>
    </row>
    <row r="1647" spans="1:5" x14ac:dyDescent="0.25">
      <c r="A1647" s="114" t="s">
        <v>1072</v>
      </c>
      <c r="B1647" s="114" t="s">
        <v>1909</v>
      </c>
      <c r="D1647" s="114" t="s">
        <v>5156</v>
      </c>
      <c r="E1647" s="114" t="s">
        <v>5157</v>
      </c>
    </row>
    <row r="1648" spans="1:5" x14ac:dyDescent="0.25">
      <c r="B1648" s="114" t="s">
        <v>1910</v>
      </c>
      <c r="D1648" s="114" t="s">
        <v>1245</v>
      </c>
      <c r="E1648" s="114" t="s">
        <v>5158</v>
      </c>
    </row>
    <row r="1649" spans="1:5" x14ac:dyDescent="0.25">
      <c r="B1649" s="114" t="s">
        <v>1911</v>
      </c>
      <c r="D1649" s="114" t="s">
        <v>5159</v>
      </c>
      <c r="E1649" s="114" t="s">
        <v>5160</v>
      </c>
    </row>
    <row r="1650" spans="1:5" x14ac:dyDescent="0.25">
      <c r="B1650" s="114">
        <f>-44   -170</f>
        <v>-214</v>
      </c>
      <c r="D1650" s="114" t="s">
        <v>5161</v>
      </c>
      <c r="E1650" s="114" t="s">
        <v>5162</v>
      </c>
    </row>
    <row r="1651" spans="1:5" x14ac:dyDescent="0.25">
      <c r="A1651" s="114">
        <v>6</v>
      </c>
      <c r="B1651" s="114" t="s">
        <v>1912</v>
      </c>
      <c r="D1651" s="114">
        <f>-251   -450</f>
        <v>-701</v>
      </c>
      <c r="E1651" s="114" t="s">
        <v>5163</v>
      </c>
    </row>
    <row r="1652" spans="1:5" x14ac:dyDescent="0.25">
      <c r="B1652" s="114" t="s">
        <v>1073</v>
      </c>
      <c r="D1652" s="114" t="s">
        <v>1073</v>
      </c>
      <c r="E1652" s="114" t="s">
        <v>3993</v>
      </c>
    </row>
    <row r="1653" spans="1:5" x14ac:dyDescent="0.25">
      <c r="B1653" s="114" t="s">
        <v>1073</v>
      </c>
      <c r="D1653" s="114" t="s">
        <v>1073</v>
      </c>
      <c r="E1653" s="114" t="s">
        <v>3993</v>
      </c>
    </row>
    <row r="1654" spans="1:5" x14ac:dyDescent="0.25">
      <c r="B1654" s="114" t="s">
        <v>1073</v>
      </c>
      <c r="D1654" s="114" t="s">
        <v>1073</v>
      </c>
      <c r="E1654" s="114" t="s">
        <v>3993</v>
      </c>
    </row>
    <row r="1655" spans="1:5" x14ac:dyDescent="0.25">
      <c r="B1655" s="114" t="s">
        <v>1073</v>
      </c>
      <c r="D1655" s="114" t="s">
        <v>1073</v>
      </c>
      <c r="E1655" s="114" t="s">
        <v>3993</v>
      </c>
    </row>
    <row r="1656" spans="1:5" x14ac:dyDescent="0.25">
      <c r="B1656" s="114" t="s">
        <v>1073</v>
      </c>
      <c r="D1656" s="114" t="s">
        <v>1073</v>
      </c>
      <c r="E1656" s="114" t="s">
        <v>3993</v>
      </c>
    </row>
    <row r="1657" spans="1:5" x14ac:dyDescent="0.25">
      <c r="B1657" s="114" t="s">
        <v>1073</v>
      </c>
      <c r="D1657" s="114" t="s">
        <v>1073</v>
      </c>
      <c r="E1657" s="114" t="s">
        <v>3993</v>
      </c>
    </row>
    <row r="1658" spans="1:5" x14ac:dyDescent="0.25">
      <c r="B1658" s="114" t="s">
        <v>1073</v>
      </c>
      <c r="D1658" s="114" t="s">
        <v>1073</v>
      </c>
      <c r="E1658" s="114" t="s">
        <v>3993</v>
      </c>
    </row>
    <row r="1659" spans="1:5" x14ac:dyDescent="0.25">
      <c r="B1659" s="114" t="s">
        <v>1073</v>
      </c>
      <c r="D1659" s="114" t="s">
        <v>1073</v>
      </c>
      <c r="E1659" s="114" t="s">
        <v>3993</v>
      </c>
    </row>
    <row r="1660" spans="1:5" x14ac:dyDescent="0.25">
      <c r="B1660" s="114" t="s">
        <v>1073</v>
      </c>
      <c r="D1660" s="114" t="s">
        <v>1073</v>
      </c>
      <c r="E1660" s="114" t="s">
        <v>3993</v>
      </c>
    </row>
    <row r="1661" spans="1:5" x14ac:dyDescent="0.25">
      <c r="B1661" s="114" t="s">
        <v>1073</v>
      </c>
      <c r="D1661" s="114" t="s">
        <v>1073</v>
      </c>
      <c r="E1661" s="114" t="s">
        <v>3993</v>
      </c>
    </row>
    <row r="1662" spans="1:5" x14ac:dyDescent="0.25">
      <c r="B1662" s="114" t="s">
        <v>1073</v>
      </c>
      <c r="D1662" s="114" t="s">
        <v>1073</v>
      </c>
      <c r="E1662" s="114" t="s">
        <v>3993</v>
      </c>
    </row>
    <row r="1663" spans="1:5" x14ac:dyDescent="0.25">
      <c r="B1663" s="114" t="s">
        <v>1073</v>
      </c>
      <c r="D1663" s="114" t="s">
        <v>1073</v>
      </c>
      <c r="E1663" s="114" t="s">
        <v>3993</v>
      </c>
    </row>
    <row r="1664" spans="1:5" x14ac:dyDescent="0.25">
      <c r="B1664" s="114" t="s">
        <v>1073</v>
      </c>
      <c r="D1664" s="114" t="s">
        <v>1073</v>
      </c>
      <c r="E1664" s="114" t="s">
        <v>3993</v>
      </c>
    </row>
    <row r="1665" spans="2:5" x14ac:dyDescent="0.25">
      <c r="B1665" s="114" t="s">
        <v>1073</v>
      </c>
      <c r="D1665" s="114" t="s">
        <v>1073</v>
      </c>
      <c r="E1665" s="114" t="s">
        <v>3993</v>
      </c>
    </row>
    <row r="1666" spans="2:5" x14ac:dyDescent="0.25">
      <c r="B1666" s="114" t="s">
        <v>1073</v>
      </c>
      <c r="D1666" s="114" t="s">
        <v>1073</v>
      </c>
      <c r="E1666" s="114" t="s">
        <v>3993</v>
      </c>
    </row>
    <row r="1667" spans="2:5" x14ac:dyDescent="0.25">
      <c r="B1667" s="114" t="s">
        <v>1073</v>
      </c>
      <c r="D1667" s="114" t="s">
        <v>1073</v>
      </c>
      <c r="E1667" s="114" t="s">
        <v>3993</v>
      </c>
    </row>
    <row r="1668" spans="2:5" x14ac:dyDescent="0.25">
      <c r="B1668" s="114" t="s">
        <v>1913</v>
      </c>
      <c r="D1668" s="114" t="s">
        <v>5164</v>
      </c>
      <c r="E1668" s="114" t="s">
        <v>5165</v>
      </c>
    </row>
    <row r="1669" spans="2:5" x14ac:dyDescent="0.25">
      <c r="B1669" s="114" t="s">
        <v>1073</v>
      </c>
      <c r="D1669" s="114" t="s">
        <v>5166</v>
      </c>
      <c r="E1669" s="114" t="s">
        <v>4518</v>
      </c>
    </row>
    <row r="1670" spans="2:5" x14ac:dyDescent="0.25">
      <c r="B1670" s="114" t="s">
        <v>1073</v>
      </c>
      <c r="D1670" s="114" t="s">
        <v>5167</v>
      </c>
      <c r="E1670" s="114" t="s">
        <v>5168</v>
      </c>
    </row>
    <row r="1671" spans="2:5" x14ac:dyDescent="0.25">
      <c r="B1671" s="114" t="s">
        <v>1914</v>
      </c>
      <c r="D1671" s="114" t="s">
        <v>1456</v>
      </c>
      <c r="E1671" s="114" t="s">
        <v>5169</v>
      </c>
    </row>
    <row r="1672" spans="2:5" x14ac:dyDescent="0.25">
      <c r="B1672" s="114" t="s">
        <v>1713</v>
      </c>
      <c r="D1672" s="114" t="s">
        <v>1073</v>
      </c>
      <c r="E1672" s="114" t="s">
        <v>5170</v>
      </c>
    </row>
    <row r="1673" spans="2:5" x14ac:dyDescent="0.25">
      <c r="B1673" s="114" t="s">
        <v>1073</v>
      </c>
      <c r="D1673" s="114" t="s">
        <v>5171</v>
      </c>
      <c r="E1673" s="114" t="s">
        <v>5172</v>
      </c>
    </row>
    <row r="1674" spans="2:5" x14ac:dyDescent="0.25">
      <c r="B1674" s="114" t="s">
        <v>1073</v>
      </c>
      <c r="D1674" s="114">
        <f>-448   -320   -10</f>
        <v>-778</v>
      </c>
      <c r="E1674" s="114" t="s">
        <v>5173</v>
      </c>
    </row>
    <row r="1675" spans="2:5" x14ac:dyDescent="0.25">
      <c r="B1675" s="114" t="s">
        <v>1915</v>
      </c>
      <c r="D1675" s="114" t="s">
        <v>5174</v>
      </c>
      <c r="E1675" s="114" t="s">
        <v>5175</v>
      </c>
    </row>
    <row r="1676" spans="2:5" x14ac:dyDescent="0.25">
      <c r="B1676" s="114" t="s">
        <v>1916</v>
      </c>
      <c r="D1676" s="114" t="s">
        <v>5176</v>
      </c>
      <c r="E1676" s="114" t="s">
        <v>5177</v>
      </c>
    </row>
    <row r="1677" spans="2:5" x14ac:dyDescent="0.25">
      <c r="B1677" s="114" t="s">
        <v>1917</v>
      </c>
      <c r="D1677" s="114" t="s">
        <v>5178</v>
      </c>
      <c r="E1677" s="114" t="s">
        <v>5179</v>
      </c>
    </row>
    <row r="1678" spans="2:5" x14ac:dyDescent="0.25">
      <c r="B1678" s="114" t="s">
        <v>1918</v>
      </c>
      <c r="D1678" s="114" t="s">
        <v>5180</v>
      </c>
      <c r="E1678" s="114" t="s">
        <v>5181</v>
      </c>
    </row>
    <row r="1679" spans="2:5" x14ac:dyDescent="0.25">
      <c r="B1679" s="114" t="s">
        <v>1218</v>
      </c>
      <c r="D1679" s="114" t="s">
        <v>5182</v>
      </c>
      <c r="E1679" s="114" t="s">
        <v>5183</v>
      </c>
    </row>
    <row r="1680" spans="2:5" x14ac:dyDescent="0.25">
      <c r="B1680" s="114" t="s">
        <v>1919</v>
      </c>
      <c r="D1680" s="114" t="s">
        <v>5184</v>
      </c>
      <c r="E1680" s="114" t="s">
        <v>5185</v>
      </c>
    </row>
    <row r="1681" spans="1:5" x14ac:dyDescent="0.25">
      <c r="B1681" s="114" t="s">
        <v>1073</v>
      </c>
      <c r="D1681" s="114" t="s">
        <v>5186</v>
      </c>
      <c r="E1681" s="114" t="s">
        <v>5187</v>
      </c>
    </row>
    <row r="1682" spans="1:5" x14ac:dyDescent="0.25">
      <c r="B1682" s="114" t="s">
        <v>1723</v>
      </c>
      <c r="D1682" s="114" t="s">
        <v>5188</v>
      </c>
      <c r="E1682" s="114" t="s">
        <v>5189</v>
      </c>
    </row>
    <row r="1683" spans="1:5" x14ac:dyDescent="0.25">
      <c r="A1683" s="114">
        <v>2</v>
      </c>
      <c r="B1683" s="114" t="s">
        <v>1920</v>
      </c>
      <c r="D1683" s="114" t="s">
        <v>5190</v>
      </c>
      <c r="E1683" s="114" t="s">
        <v>5191</v>
      </c>
    </row>
    <row r="1684" spans="1:5" x14ac:dyDescent="0.25">
      <c r="B1684" s="114" t="s">
        <v>1921</v>
      </c>
      <c r="D1684" s="114" t="s">
        <v>1073</v>
      </c>
      <c r="E1684" s="114" t="s">
        <v>3993</v>
      </c>
    </row>
    <row r="1685" spans="1:5" x14ac:dyDescent="0.25">
      <c r="B1685" s="114" t="s">
        <v>1073</v>
      </c>
      <c r="D1685" s="114" t="s">
        <v>1073</v>
      </c>
      <c r="E1685" s="114" t="s">
        <v>3993</v>
      </c>
    </row>
    <row r="1686" spans="1:5" x14ac:dyDescent="0.25">
      <c r="B1686" s="114" t="s">
        <v>1073</v>
      </c>
      <c r="D1686" s="114" t="s">
        <v>1073</v>
      </c>
      <c r="E1686" s="114" t="s">
        <v>3993</v>
      </c>
    </row>
    <row r="1687" spans="1:5" x14ac:dyDescent="0.25">
      <c r="B1687" s="114" t="s">
        <v>1073</v>
      </c>
      <c r="D1687" s="114" t="s">
        <v>1073</v>
      </c>
      <c r="E1687" s="114" t="s">
        <v>3993</v>
      </c>
    </row>
    <row r="1688" spans="1:5" x14ac:dyDescent="0.25">
      <c r="B1688" s="114" t="s">
        <v>1073</v>
      </c>
      <c r="D1688" s="114" t="s">
        <v>1073</v>
      </c>
      <c r="E1688" s="114" t="s">
        <v>3993</v>
      </c>
    </row>
    <row r="1689" spans="1:5" x14ac:dyDescent="0.25">
      <c r="B1689" s="114" t="s">
        <v>1073</v>
      </c>
      <c r="D1689" s="114" t="s">
        <v>1073</v>
      </c>
      <c r="E1689" s="114" t="s">
        <v>3993</v>
      </c>
    </row>
    <row r="1690" spans="1:5" x14ac:dyDescent="0.25">
      <c r="B1690" s="114" t="s">
        <v>1073</v>
      </c>
      <c r="D1690" s="114" t="s">
        <v>1073</v>
      </c>
      <c r="E1690" s="114" t="s">
        <v>3993</v>
      </c>
    </row>
    <row r="1691" spans="1:5" x14ac:dyDescent="0.25">
      <c r="B1691" s="114" t="s">
        <v>1073</v>
      </c>
      <c r="D1691" s="114" t="s">
        <v>1073</v>
      </c>
      <c r="E1691" s="114" t="s">
        <v>3993</v>
      </c>
    </row>
    <row r="1692" spans="1:5" x14ac:dyDescent="0.25">
      <c r="B1692" s="114" t="s">
        <v>1073</v>
      </c>
      <c r="D1692" s="114" t="s">
        <v>1073</v>
      </c>
      <c r="E1692" s="114" t="s">
        <v>3993</v>
      </c>
    </row>
    <row r="1693" spans="1:5" x14ac:dyDescent="0.25">
      <c r="B1693" s="114" t="s">
        <v>1073</v>
      </c>
      <c r="D1693" s="114" t="s">
        <v>1073</v>
      </c>
      <c r="E1693" s="114" t="s">
        <v>3993</v>
      </c>
    </row>
    <row r="1694" spans="1:5" x14ac:dyDescent="0.25">
      <c r="B1694" s="114" t="s">
        <v>1073</v>
      </c>
      <c r="D1694" s="114" t="s">
        <v>1073</v>
      </c>
      <c r="E1694" s="114" t="s">
        <v>3993</v>
      </c>
    </row>
    <row r="1695" spans="1:5" x14ac:dyDescent="0.25">
      <c r="B1695" s="114" t="s">
        <v>1073</v>
      </c>
      <c r="D1695" s="114" t="s">
        <v>1073</v>
      </c>
      <c r="E1695" s="114" t="s">
        <v>3993</v>
      </c>
    </row>
    <row r="1696" spans="1:5" x14ac:dyDescent="0.25">
      <c r="B1696" s="114" t="s">
        <v>1073</v>
      </c>
      <c r="D1696" s="114" t="s">
        <v>1073</v>
      </c>
      <c r="E1696" s="114" t="s">
        <v>3993</v>
      </c>
    </row>
    <row r="1697" spans="2:5" x14ac:dyDescent="0.25">
      <c r="B1697" s="114" t="s">
        <v>1073</v>
      </c>
      <c r="D1697" s="114" t="s">
        <v>1073</v>
      </c>
      <c r="E1697" s="114" t="s">
        <v>3993</v>
      </c>
    </row>
    <row r="1698" spans="2:5" x14ac:dyDescent="0.25">
      <c r="B1698" s="114" t="s">
        <v>1073</v>
      </c>
      <c r="D1698" s="114" t="s">
        <v>1073</v>
      </c>
      <c r="E1698" s="114" t="s">
        <v>3993</v>
      </c>
    </row>
    <row r="1699" spans="2:5" x14ac:dyDescent="0.25">
      <c r="B1699" s="114" t="s">
        <v>1073</v>
      </c>
      <c r="D1699" s="114" t="s">
        <v>1073</v>
      </c>
      <c r="E1699" s="114" t="s">
        <v>3993</v>
      </c>
    </row>
    <row r="1700" spans="2:5" x14ac:dyDescent="0.25">
      <c r="B1700" s="114" t="s">
        <v>1073</v>
      </c>
      <c r="D1700" s="114" t="s">
        <v>1073</v>
      </c>
      <c r="E1700" s="114" t="s">
        <v>3993</v>
      </c>
    </row>
    <row r="1701" spans="2:5" x14ac:dyDescent="0.25">
      <c r="B1701" s="114" t="s">
        <v>1073</v>
      </c>
      <c r="D1701" s="114" t="s">
        <v>1073</v>
      </c>
      <c r="E1701" s="114" t="s">
        <v>3993</v>
      </c>
    </row>
    <row r="1702" spans="2:5" x14ac:dyDescent="0.25">
      <c r="B1702" s="114" t="s">
        <v>1073</v>
      </c>
      <c r="D1702" s="114" t="s">
        <v>1073</v>
      </c>
      <c r="E1702" s="114" t="s">
        <v>3993</v>
      </c>
    </row>
    <row r="1703" spans="2:5" x14ac:dyDescent="0.25">
      <c r="B1703" s="114" t="s">
        <v>1073</v>
      </c>
      <c r="D1703" s="114" t="s">
        <v>1073</v>
      </c>
      <c r="E1703" s="114" t="s">
        <v>3993</v>
      </c>
    </row>
    <row r="1704" spans="2:5" x14ac:dyDescent="0.25">
      <c r="B1704" s="114" t="s">
        <v>1073</v>
      </c>
      <c r="D1704" s="114" t="s">
        <v>1073</v>
      </c>
      <c r="E1704" s="114" t="s">
        <v>3993</v>
      </c>
    </row>
    <row r="1705" spans="2:5" x14ac:dyDescent="0.25">
      <c r="B1705" s="114" t="s">
        <v>1073</v>
      </c>
      <c r="D1705" s="114" t="s">
        <v>1073</v>
      </c>
      <c r="E1705" s="114" t="s">
        <v>3993</v>
      </c>
    </row>
    <row r="1706" spans="2:5" x14ac:dyDescent="0.25">
      <c r="B1706" s="114" t="s">
        <v>1073</v>
      </c>
      <c r="D1706" s="114" t="s">
        <v>1073</v>
      </c>
      <c r="E1706" s="114" t="s">
        <v>3993</v>
      </c>
    </row>
    <row r="1707" spans="2:5" x14ac:dyDescent="0.25">
      <c r="B1707" s="114" t="s">
        <v>1073</v>
      </c>
      <c r="D1707" s="114" t="s">
        <v>1073</v>
      </c>
      <c r="E1707" s="114" t="s">
        <v>3993</v>
      </c>
    </row>
    <row r="1708" spans="2:5" x14ac:dyDescent="0.25">
      <c r="B1708" s="114" t="s">
        <v>1073</v>
      </c>
      <c r="D1708" s="114" t="s">
        <v>1073</v>
      </c>
      <c r="E1708" s="114" t="s">
        <v>3993</v>
      </c>
    </row>
    <row r="1709" spans="2:5" x14ac:dyDescent="0.25">
      <c r="B1709" s="114" t="s">
        <v>1073</v>
      </c>
      <c r="D1709" s="114" t="s">
        <v>1073</v>
      </c>
      <c r="E1709" s="114" t="s">
        <v>3993</v>
      </c>
    </row>
    <row r="1710" spans="2:5" x14ac:dyDescent="0.25">
      <c r="B1710" s="114" t="s">
        <v>1073</v>
      </c>
      <c r="D1710" s="114" t="s">
        <v>1073</v>
      </c>
      <c r="E1710" s="114" t="s">
        <v>3993</v>
      </c>
    </row>
    <row r="1711" spans="2:5" x14ac:dyDescent="0.25">
      <c r="B1711" s="114" t="s">
        <v>1073</v>
      </c>
      <c r="D1711" s="114" t="s">
        <v>1073</v>
      </c>
      <c r="E1711" s="114" t="s">
        <v>3993</v>
      </c>
    </row>
    <row r="1712" spans="2:5" x14ac:dyDescent="0.25">
      <c r="B1712" s="114" t="s">
        <v>1073</v>
      </c>
      <c r="D1712" s="114" t="s">
        <v>1073</v>
      </c>
      <c r="E1712" s="114" t="s">
        <v>3993</v>
      </c>
    </row>
    <row r="1713" spans="2:5" x14ac:dyDescent="0.25">
      <c r="B1713" s="114" t="s">
        <v>1073</v>
      </c>
      <c r="D1713" s="114" t="s">
        <v>1073</v>
      </c>
      <c r="E1713" s="114" t="s">
        <v>3993</v>
      </c>
    </row>
    <row r="1714" spans="2:5" x14ac:dyDescent="0.25">
      <c r="B1714" s="114" t="s">
        <v>1073</v>
      </c>
      <c r="D1714" s="114" t="s">
        <v>1073</v>
      </c>
      <c r="E1714" s="114" t="s">
        <v>3993</v>
      </c>
    </row>
    <row r="1715" spans="2:5" x14ac:dyDescent="0.25">
      <c r="B1715" s="114" t="s">
        <v>1073</v>
      </c>
      <c r="D1715" s="114" t="s">
        <v>1073</v>
      </c>
      <c r="E1715" s="114" t="s">
        <v>3993</v>
      </c>
    </row>
    <row r="1716" spans="2:5" x14ac:dyDescent="0.25">
      <c r="B1716" s="114" t="s">
        <v>1073</v>
      </c>
      <c r="D1716" s="114" t="s">
        <v>1073</v>
      </c>
      <c r="E1716" s="114" t="s">
        <v>3993</v>
      </c>
    </row>
    <row r="1717" spans="2:5" x14ac:dyDescent="0.25">
      <c r="B1717" s="114" t="s">
        <v>1073</v>
      </c>
      <c r="D1717" s="114" t="s">
        <v>1073</v>
      </c>
      <c r="E1717" s="114" t="s">
        <v>3993</v>
      </c>
    </row>
    <row r="1718" spans="2:5" x14ac:dyDescent="0.25">
      <c r="B1718" s="114" t="s">
        <v>1073</v>
      </c>
      <c r="D1718" s="114" t="s">
        <v>1073</v>
      </c>
      <c r="E1718" s="114" t="s">
        <v>3993</v>
      </c>
    </row>
    <row r="1719" spans="2:5" x14ac:dyDescent="0.25">
      <c r="B1719" s="114" t="s">
        <v>1073</v>
      </c>
      <c r="D1719" s="114" t="s">
        <v>1073</v>
      </c>
      <c r="E1719" s="114" t="s">
        <v>3993</v>
      </c>
    </row>
    <row r="1720" spans="2:5" x14ac:dyDescent="0.25">
      <c r="B1720" s="114" t="s">
        <v>1073</v>
      </c>
      <c r="D1720" s="114" t="s">
        <v>1073</v>
      </c>
      <c r="E1720" s="114" t="s">
        <v>3993</v>
      </c>
    </row>
    <row r="1721" spans="2:5" x14ac:dyDescent="0.25">
      <c r="B1721" s="114" t="s">
        <v>1073</v>
      </c>
      <c r="D1721" s="114" t="s">
        <v>1073</v>
      </c>
      <c r="E1721" s="114" t="s">
        <v>3993</v>
      </c>
    </row>
    <row r="1722" spans="2:5" x14ac:dyDescent="0.25">
      <c r="B1722" s="114" t="s">
        <v>1073</v>
      </c>
      <c r="D1722" s="114" t="s">
        <v>1073</v>
      </c>
      <c r="E1722" s="114" t="s">
        <v>3993</v>
      </c>
    </row>
    <row r="1723" spans="2:5" x14ac:dyDescent="0.25">
      <c r="B1723" s="114" t="s">
        <v>1073</v>
      </c>
      <c r="D1723" s="114" t="s">
        <v>1073</v>
      </c>
      <c r="E1723" s="114" t="s">
        <v>3993</v>
      </c>
    </row>
    <row r="1724" spans="2:5" x14ac:dyDescent="0.25">
      <c r="B1724" s="114" t="s">
        <v>1073</v>
      </c>
      <c r="D1724" s="114" t="s">
        <v>1073</v>
      </c>
      <c r="E1724" s="114" t="s">
        <v>3993</v>
      </c>
    </row>
    <row r="1725" spans="2:5" x14ac:dyDescent="0.25">
      <c r="B1725" s="114" t="s">
        <v>1073</v>
      </c>
      <c r="D1725" s="114" t="s">
        <v>1073</v>
      </c>
      <c r="E1725" s="114" t="s">
        <v>3993</v>
      </c>
    </row>
    <row r="1726" spans="2:5" x14ac:dyDescent="0.25">
      <c r="B1726" s="114" t="s">
        <v>1073</v>
      </c>
      <c r="D1726" s="114" t="s">
        <v>1073</v>
      </c>
      <c r="E1726" s="114" t="s">
        <v>3993</v>
      </c>
    </row>
    <row r="1727" spans="2:5" x14ac:dyDescent="0.25">
      <c r="B1727" s="114" t="s">
        <v>1073</v>
      </c>
      <c r="D1727" s="114" t="s">
        <v>1073</v>
      </c>
      <c r="E1727" s="114" t="s">
        <v>3993</v>
      </c>
    </row>
    <row r="1728" spans="2:5" x14ac:dyDescent="0.25">
      <c r="B1728" s="114" t="s">
        <v>1073</v>
      </c>
      <c r="D1728" s="114" t="s">
        <v>1073</v>
      </c>
      <c r="E1728" s="114" t="s">
        <v>3993</v>
      </c>
    </row>
    <row r="1729" spans="2:5" x14ac:dyDescent="0.25">
      <c r="B1729" s="114" t="s">
        <v>1073</v>
      </c>
      <c r="D1729" s="114" t="s">
        <v>1073</v>
      </c>
      <c r="E1729" s="114" t="s">
        <v>3993</v>
      </c>
    </row>
    <row r="1730" spans="2:5" x14ac:dyDescent="0.25">
      <c r="B1730" s="114" t="s">
        <v>1073</v>
      </c>
      <c r="D1730" s="114" t="s">
        <v>1073</v>
      </c>
      <c r="E1730" s="114" t="s">
        <v>3993</v>
      </c>
    </row>
    <row r="1731" spans="2:5" x14ac:dyDescent="0.25">
      <c r="B1731" s="114" t="s">
        <v>1073</v>
      </c>
      <c r="D1731" s="114" t="s">
        <v>1073</v>
      </c>
      <c r="E1731" s="114" t="s">
        <v>3993</v>
      </c>
    </row>
    <row r="1732" spans="2:5" x14ac:dyDescent="0.25">
      <c r="B1732" s="114" t="s">
        <v>1073</v>
      </c>
      <c r="D1732" s="114" t="s">
        <v>1073</v>
      </c>
      <c r="E1732" s="114" t="s">
        <v>3993</v>
      </c>
    </row>
    <row r="1733" spans="2:5" x14ac:dyDescent="0.25">
      <c r="B1733" s="114" t="s">
        <v>1073</v>
      </c>
      <c r="D1733" s="114" t="s">
        <v>1073</v>
      </c>
      <c r="E1733" s="114" t="s">
        <v>3993</v>
      </c>
    </row>
    <row r="1734" spans="2:5" x14ac:dyDescent="0.25">
      <c r="B1734" s="114" t="s">
        <v>1073</v>
      </c>
      <c r="D1734" s="114" t="s">
        <v>1073</v>
      </c>
      <c r="E1734" s="114" t="s">
        <v>3993</v>
      </c>
    </row>
    <row r="1735" spans="2:5" x14ac:dyDescent="0.25">
      <c r="B1735" s="114" t="s">
        <v>1073</v>
      </c>
      <c r="D1735" s="114" t="s">
        <v>1073</v>
      </c>
      <c r="E1735" s="114" t="s">
        <v>3993</v>
      </c>
    </row>
    <row r="1736" spans="2:5" x14ac:dyDescent="0.25">
      <c r="B1736" s="114" t="s">
        <v>1073</v>
      </c>
      <c r="D1736" s="114" t="s">
        <v>1073</v>
      </c>
      <c r="E1736" s="114" t="s">
        <v>3993</v>
      </c>
    </row>
    <row r="1737" spans="2:5" x14ac:dyDescent="0.25">
      <c r="B1737" s="114" t="s">
        <v>1073</v>
      </c>
      <c r="D1737" s="114" t="s">
        <v>1073</v>
      </c>
      <c r="E1737" s="114" t="s">
        <v>3993</v>
      </c>
    </row>
    <row r="1738" spans="2:5" x14ac:dyDescent="0.25">
      <c r="B1738" s="114" t="s">
        <v>1073</v>
      </c>
      <c r="D1738" s="114" t="s">
        <v>1073</v>
      </c>
      <c r="E1738" s="114" t="s">
        <v>3993</v>
      </c>
    </row>
    <row r="1739" spans="2:5" x14ac:dyDescent="0.25">
      <c r="B1739" s="114" t="s">
        <v>1073</v>
      </c>
      <c r="D1739" s="114" t="s">
        <v>1073</v>
      </c>
      <c r="E1739" s="114" t="s">
        <v>3993</v>
      </c>
    </row>
    <row r="1740" spans="2:5" x14ac:dyDescent="0.25">
      <c r="B1740" s="114" t="s">
        <v>1073</v>
      </c>
      <c r="D1740" s="114" t="s">
        <v>1073</v>
      </c>
      <c r="E1740" s="114" t="s">
        <v>3993</v>
      </c>
    </row>
    <row r="1741" spans="2:5" x14ac:dyDescent="0.25">
      <c r="B1741" s="114" t="s">
        <v>1073</v>
      </c>
      <c r="D1741" s="114" t="s">
        <v>1073</v>
      </c>
      <c r="E1741" s="114" t="s">
        <v>3993</v>
      </c>
    </row>
    <row r="1742" spans="2:5" x14ac:dyDescent="0.25">
      <c r="B1742" s="114" t="s">
        <v>1073</v>
      </c>
      <c r="D1742" s="114" t="s">
        <v>1073</v>
      </c>
      <c r="E1742" s="114" t="s">
        <v>3993</v>
      </c>
    </row>
    <row r="1743" spans="2:5" x14ac:dyDescent="0.25">
      <c r="B1743" s="114" t="s">
        <v>1073</v>
      </c>
      <c r="D1743" s="114" t="s">
        <v>1073</v>
      </c>
      <c r="E1743" s="114" t="s">
        <v>3993</v>
      </c>
    </row>
    <row r="1744" spans="2:5" x14ac:dyDescent="0.25">
      <c r="B1744" s="114" t="s">
        <v>1073</v>
      </c>
      <c r="D1744" s="114" t="s">
        <v>1073</v>
      </c>
      <c r="E1744" s="114" t="s">
        <v>3993</v>
      </c>
    </row>
    <row r="1745" spans="2:5" x14ac:dyDescent="0.25">
      <c r="B1745" s="114" t="s">
        <v>1073</v>
      </c>
      <c r="D1745" s="114" t="s">
        <v>1073</v>
      </c>
      <c r="E1745" s="114" t="s">
        <v>3993</v>
      </c>
    </row>
    <row r="1746" spans="2:5" x14ac:dyDescent="0.25">
      <c r="B1746" s="114" t="s">
        <v>1073</v>
      </c>
      <c r="D1746" s="114" t="s">
        <v>1073</v>
      </c>
      <c r="E1746" s="114" t="s">
        <v>3993</v>
      </c>
    </row>
    <row r="1747" spans="2:5" x14ac:dyDescent="0.25">
      <c r="B1747" s="114" t="s">
        <v>1073</v>
      </c>
      <c r="D1747" s="114" t="s">
        <v>1073</v>
      </c>
      <c r="E1747" s="114" t="s">
        <v>3993</v>
      </c>
    </row>
    <row r="1748" spans="2:5" x14ac:dyDescent="0.25">
      <c r="B1748" s="114" t="s">
        <v>1073</v>
      </c>
      <c r="D1748" s="114" t="s">
        <v>1073</v>
      </c>
      <c r="E1748" s="114" t="s">
        <v>3993</v>
      </c>
    </row>
    <row r="1749" spans="2:5" x14ac:dyDescent="0.25">
      <c r="B1749" s="114" t="s">
        <v>1073</v>
      </c>
      <c r="D1749" s="114" t="s">
        <v>1073</v>
      </c>
      <c r="E1749" s="114" t="s">
        <v>3993</v>
      </c>
    </row>
    <row r="1750" spans="2:5" x14ac:dyDescent="0.25">
      <c r="B1750" s="114" t="s">
        <v>1073</v>
      </c>
      <c r="D1750" s="114" t="s">
        <v>1073</v>
      </c>
      <c r="E1750" s="114" t="s">
        <v>3993</v>
      </c>
    </row>
    <row r="1751" spans="2:5" x14ac:dyDescent="0.25">
      <c r="B1751" s="114" t="s">
        <v>1073</v>
      </c>
      <c r="D1751" s="114" t="s">
        <v>1073</v>
      </c>
      <c r="E1751" s="114" t="s">
        <v>3993</v>
      </c>
    </row>
    <row r="1752" spans="2:5" x14ac:dyDescent="0.25">
      <c r="B1752" s="114" t="s">
        <v>1073</v>
      </c>
      <c r="D1752" s="114" t="s">
        <v>1073</v>
      </c>
      <c r="E1752" s="114" t="s">
        <v>3993</v>
      </c>
    </row>
    <row r="1753" spans="2:5" x14ac:dyDescent="0.25">
      <c r="B1753" s="114" t="s">
        <v>1073</v>
      </c>
      <c r="D1753" s="114" t="s">
        <v>1073</v>
      </c>
      <c r="E1753" s="114" t="s">
        <v>3993</v>
      </c>
    </row>
    <row r="1754" spans="2:5" x14ac:dyDescent="0.25">
      <c r="B1754" s="114" t="s">
        <v>1073</v>
      </c>
      <c r="D1754" s="114" t="s">
        <v>1073</v>
      </c>
      <c r="E1754" s="114" t="s">
        <v>3993</v>
      </c>
    </row>
    <row r="1755" spans="2:5" x14ac:dyDescent="0.25">
      <c r="B1755" s="114" t="s">
        <v>1073</v>
      </c>
      <c r="D1755" s="114" t="s">
        <v>1073</v>
      </c>
      <c r="E1755" s="114" t="s">
        <v>3993</v>
      </c>
    </row>
    <row r="1756" spans="2:5" x14ac:dyDescent="0.25">
      <c r="B1756" s="114" t="s">
        <v>1073</v>
      </c>
      <c r="D1756" s="114" t="s">
        <v>1073</v>
      </c>
      <c r="E1756" s="114" t="s">
        <v>3993</v>
      </c>
    </row>
    <row r="1757" spans="2:5" x14ac:dyDescent="0.25">
      <c r="B1757" s="114" t="s">
        <v>1073</v>
      </c>
      <c r="D1757" s="114" t="s">
        <v>1073</v>
      </c>
      <c r="E1757" s="114" t="s">
        <v>3993</v>
      </c>
    </row>
    <row r="1758" spans="2:5" x14ac:dyDescent="0.25">
      <c r="B1758" s="114" t="s">
        <v>1073</v>
      </c>
      <c r="D1758" s="114" t="s">
        <v>1073</v>
      </c>
      <c r="E1758" s="114" t="s">
        <v>3993</v>
      </c>
    </row>
    <row r="1759" spans="2:5" x14ac:dyDescent="0.25">
      <c r="B1759" s="114" t="s">
        <v>1073</v>
      </c>
      <c r="D1759" s="114" t="s">
        <v>1073</v>
      </c>
      <c r="E1759" s="114" t="s">
        <v>3993</v>
      </c>
    </row>
    <row r="1760" spans="2:5" x14ac:dyDescent="0.25">
      <c r="B1760" s="114" t="s">
        <v>1073</v>
      </c>
      <c r="D1760" s="114" t="s">
        <v>1073</v>
      </c>
      <c r="E1760" s="114" t="s">
        <v>3993</v>
      </c>
    </row>
    <row r="1761" spans="2:5" x14ac:dyDescent="0.25">
      <c r="B1761" s="114" t="s">
        <v>1073</v>
      </c>
      <c r="D1761" s="114" t="s">
        <v>1073</v>
      </c>
      <c r="E1761" s="114" t="s">
        <v>3993</v>
      </c>
    </row>
    <row r="1762" spans="2:5" x14ac:dyDescent="0.25">
      <c r="B1762" s="114" t="s">
        <v>1073</v>
      </c>
      <c r="D1762" s="114" t="s">
        <v>1073</v>
      </c>
      <c r="E1762" s="114" t="s">
        <v>3993</v>
      </c>
    </row>
    <row r="1763" spans="2:5" x14ac:dyDescent="0.25">
      <c r="B1763" s="114" t="s">
        <v>1073</v>
      </c>
      <c r="D1763" s="114" t="s">
        <v>1073</v>
      </c>
      <c r="E1763" s="114" t="s">
        <v>3993</v>
      </c>
    </row>
    <row r="1764" spans="2:5" x14ac:dyDescent="0.25">
      <c r="B1764" s="114" t="s">
        <v>1073</v>
      </c>
      <c r="D1764" s="114" t="s">
        <v>1073</v>
      </c>
      <c r="E1764" s="114" t="s">
        <v>3993</v>
      </c>
    </row>
    <row r="1765" spans="2:5" x14ac:dyDescent="0.25">
      <c r="B1765" s="114" t="s">
        <v>1073</v>
      </c>
      <c r="D1765" s="114" t="s">
        <v>1073</v>
      </c>
      <c r="E1765" s="114" t="s">
        <v>3993</v>
      </c>
    </row>
    <row r="1766" spans="2:5" x14ac:dyDescent="0.25">
      <c r="B1766" s="114" t="s">
        <v>1073</v>
      </c>
      <c r="D1766" s="114" t="s">
        <v>1073</v>
      </c>
      <c r="E1766" s="114" t="s">
        <v>3993</v>
      </c>
    </row>
    <row r="1767" spans="2:5" x14ac:dyDescent="0.25">
      <c r="B1767" s="114" t="s">
        <v>1073</v>
      </c>
      <c r="D1767" s="114" t="s">
        <v>1073</v>
      </c>
      <c r="E1767" s="114" t="s">
        <v>3993</v>
      </c>
    </row>
    <row r="1768" spans="2:5" x14ac:dyDescent="0.25">
      <c r="B1768" s="114" t="s">
        <v>1073</v>
      </c>
      <c r="D1768" s="114" t="s">
        <v>1073</v>
      </c>
      <c r="E1768" s="114" t="s">
        <v>3993</v>
      </c>
    </row>
    <row r="1769" spans="2:5" x14ac:dyDescent="0.25">
      <c r="B1769" s="114" t="s">
        <v>1073</v>
      </c>
      <c r="D1769" s="114" t="s">
        <v>1073</v>
      </c>
      <c r="E1769" s="114" t="s">
        <v>3993</v>
      </c>
    </row>
    <row r="1770" spans="2:5" x14ac:dyDescent="0.25">
      <c r="B1770" s="114" t="s">
        <v>1073</v>
      </c>
      <c r="D1770" s="114" t="s">
        <v>1073</v>
      </c>
      <c r="E1770" s="114" t="s">
        <v>3993</v>
      </c>
    </row>
    <row r="1771" spans="2:5" x14ac:dyDescent="0.25">
      <c r="B1771" s="114" t="s">
        <v>1073</v>
      </c>
      <c r="D1771" s="114" t="s">
        <v>1073</v>
      </c>
      <c r="E1771" s="114" t="s">
        <v>3993</v>
      </c>
    </row>
    <row r="1772" spans="2:5" x14ac:dyDescent="0.25">
      <c r="B1772" s="114" t="s">
        <v>1073</v>
      </c>
      <c r="D1772" s="114" t="s">
        <v>1073</v>
      </c>
      <c r="E1772" s="114" t="s">
        <v>3993</v>
      </c>
    </row>
    <row r="1773" spans="2:5" x14ac:dyDescent="0.25">
      <c r="B1773" s="114" t="s">
        <v>1073</v>
      </c>
      <c r="D1773" s="114" t="s">
        <v>1073</v>
      </c>
      <c r="E1773" s="114" t="s">
        <v>3993</v>
      </c>
    </row>
    <row r="1774" spans="2:5" x14ac:dyDescent="0.25">
      <c r="B1774" s="114" t="s">
        <v>1073</v>
      </c>
      <c r="D1774" s="114" t="s">
        <v>1073</v>
      </c>
      <c r="E1774" s="114" t="s">
        <v>3993</v>
      </c>
    </row>
    <row r="1775" spans="2:5" x14ac:dyDescent="0.25">
      <c r="B1775" s="114" t="s">
        <v>1073</v>
      </c>
      <c r="D1775" s="114" t="s">
        <v>1073</v>
      </c>
      <c r="E1775" s="114" t="s">
        <v>3993</v>
      </c>
    </row>
    <row r="1776" spans="2:5" x14ac:dyDescent="0.25">
      <c r="B1776" s="114" t="s">
        <v>1073</v>
      </c>
      <c r="D1776" s="114" t="s">
        <v>1073</v>
      </c>
      <c r="E1776" s="114" t="s">
        <v>3993</v>
      </c>
    </row>
    <row r="1777" spans="2:5" x14ac:dyDescent="0.25">
      <c r="B1777" s="114" t="s">
        <v>1073</v>
      </c>
      <c r="D1777" s="114" t="s">
        <v>1073</v>
      </c>
      <c r="E1777" s="114" t="s">
        <v>3993</v>
      </c>
    </row>
    <row r="1778" spans="2:5" x14ac:dyDescent="0.25">
      <c r="B1778" s="114" t="s">
        <v>1073</v>
      </c>
      <c r="D1778" s="114" t="s">
        <v>1073</v>
      </c>
      <c r="E1778" s="114" t="s">
        <v>3993</v>
      </c>
    </row>
    <row r="1779" spans="2:5" x14ac:dyDescent="0.25">
      <c r="B1779" s="114" t="s">
        <v>1073</v>
      </c>
      <c r="D1779" s="114" t="s">
        <v>1073</v>
      </c>
      <c r="E1779" s="114" t="s">
        <v>3993</v>
      </c>
    </row>
    <row r="1780" spans="2:5" x14ac:dyDescent="0.25">
      <c r="B1780" s="114" t="s">
        <v>1073</v>
      </c>
      <c r="D1780" s="114" t="s">
        <v>1073</v>
      </c>
      <c r="E1780" s="114" t="s">
        <v>3993</v>
      </c>
    </row>
    <row r="1781" spans="2:5" x14ac:dyDescent="0.25">
      <c r="B1781" s="114" t="s">
        <v>1073</v>
      </c>
      <c r="D1781" s="114" t="s">
        <v>1073</v>
      </c>
      <c r="E1781" s="114" t="s">
        <v>3993</v>
      </c>
    </row>
    <row r="1782" spans="2:5" x14ac:dyDescent="0.25">
      <c r="B1782" s="114" t="s">
        <v>1073</v>
      </c>
      <c r="D1782" s="114" t="s">
        <v>1073</v>
      </c>
      <c r="E1782" s="114" t="s">
        <v>3993</v>
      </c>
    </row>
    <row r="1783" spans="2:5" x14ac:dyDescent="0.25">
      <c r="B1783" s="114" t="s">
        <v>1073</v>
      </c>
      <c r="D1783" s="114" t="s">
        <v>1073</v>
      </c>
      <c r="E1783" s="114" t="s">
        <v>3993</v>
      </c>
    </row>
    <row r="1784" spans="2:5" x14ac:dyDescent="0.25">
      <c r="B1784" s="114" t="s">
        <v>1073</v>
      </c>
      <c r="D1784" s="114" t="s">
        <v>1073</v>
      </c>
      <c r="E1784" s="114" t="s">
        <v>3993</v>
      </c>
    </row>
    <row r="1785" spans="2:5" x14ac:dyDescent="0.25">
      <c r="B1785" s="114" t="s">
        <v>1073</v>
      </c>
      <c r="D1785" s="114" t="s">
        <v>1073</v>
      </c>
      <c r="E1785" s="114" t="s">
        <v>3993</v>
      </c>
    </row>
    <row r="1786" spans="2:5" x14ac:dyDescent="0.25">
      <c r="B1786" s="114" t="s">
        <v>1073</v>
      </c>
      <c r="D1786" s="114" t="s">
        <v>1073</v>
      </c>
      <c r="E1786" s="114" t="s">
        <v>3993</v>
      </c>
    </row>
    <row r="1787" spans="2:5" x14ac:dyDescent="0.25">
      <c r="B1787" s="114" t="s">
        <v>1073</v>
      </c>
      <c r="D1787" s="114" t="s">
        <v>1073</v>
      </c>
      <c r="E1787" s="114" t="s">
        <v>3993</v>
      </c>
    </row>
    <row r="1788" spans="2:5" x14ac:dyDescent="0.25">
      <c r="B1788" s="114" t="s">
        <v>1073</v>
      </c>
      <c r="D1788" s="114" t="s">
        <v>1073</v>
      </c>
      <c r="E1788" s="114" t="s">
        <v>3993</v>
      </c>
    </row>
    <row r="1789" spans="2:5" x14ac:dyDescent="0.25">
      <c r="B1789" s="114" t="s">
        <v>1073</v>
      </c>
      <c r="D1789" s="114" t="s">
        <v>1073</v>
      </c>
      <c r="E1789" s="114" t="s">
        <v>3993</v>
      </c>
    </row>
    <row r="1790" spans="2:5" x14ac:dyDescent="0.25">
      <c r="B1790" s="114" t="s">
        <v>1073</v>
      </c>
      <c r="D1790" s="114" t="s">
        <v>1073</v>
      </c>
      <c r="E1790" s="114" t="s">
        <v>3993</v>
      </c>
    </row>
    <row r="1791" spans="2:5" x14ac:dyDescent="0.25">
      <c r="B1791" s="114" t="s">
        <v>1073</v>
      </c>
      <c r="D1791" s="114" t="s">
        <v>1073</v>
      </c>
      <c r="E1791" s="114" t="s">
        <v>3993</v>
      </c>
    </row>
    <row r="1792" spans="2:5" x14ac:dyDescent="0.25">
      <c r="B1792" s="114" t="s">
        <v>1073</v>
      </c>
      <c r="D1792" s="114" t="s">
        <v>1073</v>
      </c>
      <c r="E1792" s="114" t="s">
        <v>3993</v>
      </c>
    </row>
    <row r="1793" spans="1:5" x14ac:dyDescent="0.25">
      <c r="B1793" s="114" t="s">
        <v>1073</v>
      </c>
      <c r="D1793" s="114" t="s">
        <v>1073</v>
      </c>
      <c r="E1793" s="114" t="s">
        <v>3993</v>
      </c>
    </row>
    <row r="1794" spans="1:5" x14ac:dyDescent="0.25">
      <c r="B1794" s="114" t="s">
        <v>1073</v>
      </c>
      <c r="D1794" s="114" t="s">
        <v>1073</v>
      </c>
      <c r="E1794" s="114" t="s">
        <v>3993</v>
      </c>
    </row>
    <row r="1795" spans="1:5" x14ac:dyDescent="0.25">
      <c r="B1795" s="114" t="s">
        <v>1073</v>
      </c>
      <c r="D1795" s="114" t="s">
        <v>1073</v>
      </c>
      <c r="E1795" s="114" t="s">
        <v>3993</v>
      </c>
    </row>
    <row r="1796" spans="1:5" x14ac:dyDescent="0.25">
      <c r="B1796" s="114" t="s">
        <v>1073</v>
      </c>
      <c r="D1796" s="114" t="s">
        <v>1073</v>
      </c>
      <c r="E1796" s="114" t="s">
        <v>3993</v>
      </c>
    </row>
    <row r="1797" spans="1:5" x14ac:dyDescent="0.25">
      <c r="B1797" s="114" t="s">
        <v>1073</v>
      </c>
      <c r="D1797" s="114" t="s">
        <v>1073</v>
      </c>
      <c r="E1797" s="114" t="s">
        <v>3993</v>
      </c>
    </row>
    <row r="1798" spans="1:5" x14ac:dyDescent="0.25">
      <c r="B1798" s="114" t="s">
        <v>1073</v>
      </c>
      <c r="D1798" s="114" t="s">
        <v>1073</v>
      </c>
      <c r="E1798" s="114" t="s">
        <v>3993</v>
      </c>
    </row>
    <row r="1799" spans="1:5" x14ac:dyDescent="0.25">
      <c r="B1799" s="114" t="s">
        <v>1073</v>
      </c>
      <c r="D1799" s="114" t="s">
        <v>1073</v>
      </c>
      <c r="E1799" s="114" t="s">
        <v>3993</v>
      </c>
    </row>
    <row r="1800" spans="1:5" x14ac:dyDescent="0.25">
      <c r="B1800" s="114" t="s">
        <v>1073</v>
      </c>
      <c r="D1800" s="114" t="s">
        <v>1073</v>
      </c>
      <c r="E1800" s="114" t="s">
        <v>5192</v>
      </c>
    </row>
    <row r="1801" spans="1:5" x14ac:dyDescent="0.25">
      <c r="B1801" s="114" t="s">
        <v>1913</v>
      </c>
      <c r="D1801" s="114" t="s">
        <v>5193</v>
      </c>
      <c r="E1801" s="114" t="s">
        <v>5194</v>
      </c>
    </row>
    <row r="1802" spans="1:5" x14ac:dyDescent="0.25">
      <c r="B1802" s="114" t="s">
        <v>1073</v>
      </c>
      <c r="D1802" s="114" t="s">
        <v>1073</v>
      </c>
      <c r="E1802" s="114" t="s">
        <v>5195</v>
      </c>
    </row>
    <row r="1803" spans="1:5" x14ac:dyDescent="0.25">
      <c r="B1803" s="114" t="s">
        <v>1922</v>
      </c>
      <c r="C1803" s="114" t="s">
        <v>1072</v>
      </c>
      <c r="D1803" s="114" t="s">
        <v>5196</v>
      </c>
      <c r="E1803" s="114" t="s">
        <v>5197</v>
      </c>
    </row>
    <row r="1804" spans="1:5" x14ac:dyDescent="0.25">
      <c r="A1804" s="114" t="s">
        <v>1072</v>
      </c>
      <c r="B1804" s="114" t="s">
        <v>1923</v>
      </c>
      <c r="D1804" s="114" t="s">
        <v>5198</v>
      </c>
      <c r="E1804" s="114" t="s">
        <v>5199</v>
      </c>
    </row>
    <row r="1805" spans="1:5" x14ac:dyDescent="0.25">
      <c r="A1805" s="114" t="s">
        <v>1072</v>
      </c>
      <c r="B1805" s="114" t="s">
        <v>1924</v>
      </c>
      <c r="D1805" s="114" t="s">
        <v>1073</v>
      </c>
      <c r="E1805" s="114" t="s">
        <v>5200</v>
      </c>
    </row>
    <row r="1806" spans="1:5" x14ac:dyDescent="0.25">
      <c r="B1806" s="114" t="s">
        <v>1925</v>
      </c>
      <c r="D1806" s="114" t="s">
        <v>1073</v>
      </c>
      <c r="E1806" s="114" t="s">
        <v>5201</v>
      </c>
    </row>
    <row r="1807" spans="1:5" x14ac:dyDescent="0.25">
      <c r="B1807" s="114" t="s">
        <v>1408</v>
      </c>
      <c r="D1807" s="114" t="s">
        <v>5202</v>
      </c>
      <c r="E1807" s="114" t="s">
        <v>5203</v>
      </c>
    </row>
    <row r="1808" spans="1:5" x14ac:dyDescent="0.25">
      <c r="B1808" s="114" t="s">
        <v>1209</v>
      </c>
      <c r="D1808" s="114" t="s">
        <v>1073</v>
      </c>
      <c r="E1808" s="114" t="s">
        <v>5204</v>
      </c>
    </row>
    <row r="1809" spans="1:5" x14ac:dyDescent="0.25">
      <c r="B1809" s="114" t="s">
        <v>1926</v>
      </c>
      <c r="D1809" s="114" t="s">
        <v>5205</v>
      </c>
      <c r="E1809" s="114" t="s">
        <v>5206</v>
      </c>
    </row>
    <row r="1810" spans="1:5" x14ac:dyDescent="0.25">
      <c r="A1810" s="114">
        <v>-1</v>
      </c>
      <c r="B1810" s="114" t="s">
        <v>1927</v>
      </c>
      <c r="D1810" s="114" t="s">
        <v>5207</v>
      </c>
      <c r="E1810" s="114" t="s">
        <v>5208</v>
      </c>
    </row>
    <row r="1811" spans="1:5" x14ac:dyDescent="0.25">
      <c r="B1811" s="114" t="s">
        <v>1570</v>
      </c>
      <c r="D1811" s="114" t="s">
        <v>1073</v>
      </c>
      <c r="E1811" s="114" t="s">
        <v>5209</v>
      </c>
    </row>
    <row r="1812" spans="1:5" x14ac:dyDescent="0.25">
      <c r="A1812" s="114" t="s">
        <v>1072</v>
      </c>
      <c r="B1812" s="114" t="s">
        <v>1928</v>
      </c>
      <c r="D1812" s="114" t="s">
        <v>5210</v>
      </c>
      <c r="E1812" s="114" t="s">
        <v>5211</v>
      </c>
    </row>
    <row r="1813" spans="1:5" x14ac:dyDescent="0.25">
      <c r="A1813" s="114" t="s">
        <v>1072</v>
      </c>
      <c r="B1813" s="114" t="s">
        <v>1929</v>
      </c>
      <c r="D1813" s="114" t="s">
        <v>4552</v>
      </c>
      <c r="E1813" s="114" t="s">
        <v>5212</v>
      </c>
    </row>
    <row r="1814" spans="1:5" x14ac:dyDescent="0.25">
      <c r="A1814" s="114" t="s">
        <v>1072</v>
      </c>
      <c r="B1814" s="114" t="s">
        <v>1509</v>
      </c>
      <c r="D1814" s="114" t="s">
        <v>1073</v>
      </c>
      <c r="E1814" s="114" t="s">
        <v>5213</v>
      </c>
    </row>
    <row r="1815" spans="1:5" x14ac:dyDescent="0.25">
      <c r="A1815" s="114">
        <v>-2</v>
      </c>
      <c r="B1815" s="114" t="s">
        <v>1389</v>
      </c>
      <c r="D1815" s="114" t="s">
        <v>4752</v>
      </c>
      <c r="E1815" s="114" t="s">
        <v>5214</v>
      </c>
    </row>
    <row r="1816" spans="1:5" x14ac:dyDescent="0.25">
      <c r="A1816" s="114">
        <v>13</v>
      </c>
      <c r="B1816" s="114" t="s">
        <v>1930</v>
      </c>
      <c r="D1816" s="114" t="s">
        <v>5215</v>
      </c>
      <c r="E1816" s="114" t="s">
        <v>5216</v>
      </c>
    </row>
    <row r="1817" spans="1:5" x14ac:dyDescent="0.25">
      <c r="B1817" s="114" t="s">
        <v>1073</v>
      </c>
      <c r="D1817" s="114" t="s">
        <v>1073</v>
      </c>
      <c r="E1817" s="114" t="s">
        <v>5217</v>
      </c>
    </row>
    <row r="1818" spans="1:5" x14ac:dyDescent="0.25">
      <c r="B1818" s="114" t="s">
        <v>1931</v>
      </c>
      <c r="D1818" s="114" t="s">
        <v>5218</v>
      </c>
      <c r="E1818" s="114" t="s">
        <v>5219</v>
      </c>
    </row>
    <row r="1819" spans="1:5" x14ac:dyDescent="0.25">
      <c r="B1819" s="114" t="s">
        <v>1073</v>
      </c>
      <c r="D1819" s="114" t="s">
        <v>1073</v>
      </c>
      <c r="E1819" s="114" t="s">
        <v>5220</v>
      </c>
    </row>
    <row r="1820" spans="1:5" x14ac:dyDescent="0.25">
      <c r="B1820" s="114" t="s">
        <v>1932</v>
      </c>
      <c r="C1820" s="114" t="s">
        <v>1072</v>
      </c>
      <c r="D1820" s="114" t="s">
        <v>5221</v>
      </c>
      <c r="E1820" s="114" t="s">
        <v>5222</v>
      </c>
    </row>
    <row r="1821" spans="1:5" x14ac:dyDescent="0.25">
      <c r="A1821" s="114">
        <v>1</v>
      </c>
      <c r="B1821" s="114" t="s">
        <v>1933</v>
      </c>
      <c r="D1821" s="114" t="s">
        <v>5223</v>
      </c>
      <c r="E1821" s="114" t="s">
        <v>3993</v>
      </c>
    </row>
    <row r="1822" spans="1:5" x14ac:dyDescent="0.25">
      <c r="A1822" s="114" t="s">
        <v>1072</v>
      </c>
      <c r="B1822" s="114" t="s">
        <v>1289</v>
      </c>
      <c r="D1822" s="114" t="s">
        <v>1073</v>
      </c>
      <c r="E1822" s="114" t="s">
        <v>5224</v>
      </c>
    </row>
    <row r="1823" spans="1:5" x14ac:dyDescent="0.25">
      <c r="B1823" s="114" t="s">
        <v>1934</v>
      </c>
      <c r="D1823" s="114" t="s">
        <v>1073</v>
      </c>
      <c r="E1823" s="114" t="s">
        <v>5225</v>
      </c>
    </row>
    <row r="1824" spans="1:5" x14ac:dyDescent="0.25">
      <c r="B1824" s="114" t="s">
        <v>1935</v>
      </c>
      <c r="D1824" s="114" t="s">
        <v>5226</v>
      </c>
      <c r="E1824" s="114" t="s">
        <v>5227</v>
      </c>
    </row>
    <row r="1825" spans="1:5" x14ac:dyDescent="0.25">
      <c r="B1825" s="114" t="s">
        <v>1411</v>
      </c>
      <c r="D1825" s="114" t="s">
        <v>1073</v>
      </c>
      <c r="E1825" s="114" t="s">
        <v>5228</v>
      </c>
    </row>
    <row r="1826" spans="1:5" x14ac:dyDescent="0.25">
      <c r="A1826" s="114" t="s">
        <v>1072</v>
      </c>
      <c r="B1826" s="114" t="s">
        <v>1936</v>
      </c>
      <c r="D1826" s="114" t="s">
        <v>5229</v>
      </c>
      <c r="E1826" s="114" t="s">
        <v>5230</v>
      </c>
    </row>
    <row r="1827" spans="1:5" x14ac:dyDescent="0.25">
      <c r="A1827" s="114">
        <v>-3</v>
      </c>
      <c r="B1827" s="114" t="s">
        <v>1937</v>
      </c>
      <c r="D1827" s="114" t="s">
        <v>5231</v>
      </c>
      <c r="E1827" s="114" t="s">
        <v>5232</v>
      </c>
    </row>
    <row r="1828" spans="1:5" x14ac:dyDescent="0.25">
      <c r="B1828" s="114" t="s">
        <v>1261</v>
      </c>
      <c r="D1828" s="114" t="s">
        <v>1073</v>
      </c>
      <c r="E1828" s="114" t="s">
        <v>5233</v>
      </c>
    </row>
    <row r="1829" spans="1:5" x14ac:dyDescent="0.25">
      <c r="A1829" s="114" t="s">
        <v>1072</v>
      </c>
      <c r="B1829" s="114" t="s">
        <v>1938</v>
      </c>
      <c r="C1829" s="114" t="s">
        <v>1072</v>
      </c>
      <c r="D1829" s="114" t="s">
        <v>5234</v>
      </c>
      <c r="E1829" s="114" t="s">
        <v>5235</v>
      </c>
    </row>
    <row r="1830" spans="1:5" x14ac:dyDescent="0.25">
      <c r="A1830" s="114">
        <v>-4</v>
      </c>
      <c r="B1830" s="114" t="s">
        <v>1939</v>
      </c>
      <c r="D1830" s="114" t="s">
        <v>5236</v>
      </c>
      <c r="E1830" s="114" t="s">
        <v>5237</v>
      </c>
    </row>
    <row r="1831" spans="1:5" x14ac:dyDescent="0.25">
      <c r="A1831" s="114" t="s">
        <v>1072</v>
      </c>
      <c r="B1831" s="114" t="s">
        <v>1110</v>
      </c>
      <c r="D1831" s="114" t="s">
        <v>1073</v>
      </c>
      <c r="E1831" s="114" t="s">
        <v>5238</v>
      </c>
    </row>
    <row r="1832" spans="1:5" x14ac:dyDescent="0.25">
      <c r="B1832" s="114" t="s">
        <v>1311</v>
      </c>
      <c r="D1832" s="114" t="s">
        <v>5239</v>
      </c>
      <c r="E1832" s="114" t="s">
        <v>5240</v>
      </c>
    </row>
    <row r="1833" spans="1:5" x14ac:dyDescent="0.25">
      <c r="A1833" s="114">
        <v>-1</v>
      </c>
      <c r="B1833" s="114" t="s">
        <v>1306</v>
      </c>
      <c r="D1833" s="114" t="s">
        <v>5241</v>
      </c>
      <c r="E1833" s="114" t="s">
        <v>5242</v>
      </c>
    </row>
    <row r="1834" spans="1:5" x14ac:dyDescent="0.25">
      <c r="B1834" s="114" t="s">
        <v>1073</v>
      </c>
      <c r="D1834" s="114" t="s">
        <v>1073</v>
      </c>
      <c r="E1834" s="114" t="s">
        <v>5243</v>
      </c>
    </row>
    <row r="1835" spans="1:5" x14ac:dyDescent="0.25">
      <c r="B1835" s="114" t="s">
        <v>1073</v>
      </c>
      <c r="D1835" s="114" t="s">
        <v>1073</v>
      </c>
      <c r="E1835" s="114" t="s">
        <v>3993</v>
      </c>
    </row>
    <row r="1836" spans="1:5" x14ac:dyDescent="0.25">
      <c r="B1836" s="114" t="s">
        <v>1073</v>
      </c>
      <c r="D1836" s="114" t="s">
        <v>1073</v>
      </c>
      <c r="E1836" s="114" t="s">
        <v>3993</v>
      </c>
    </row>
    <row r="1837" spans="1:5" x14ac:dyDescent="0.25">
      <c r="B1837" s="114" t="s">
        <v>1073</v>
      </c>
      <c r="D1837" s="114" t="s">
        <v>1073</v>
      </c>
      <c r="E1837" s="114" t="s">
        <v>3993</v>
      </c>
    </row>
    <row r="1838" spans="1:5" x14ac:dyDescent="0.25">
      <c r="B1838" s="114" t="s">
        <v>1073</v>
      </c>
      <c r="D1838" s="114" t="s">
        <v>1073</v>
      </c>
      <c r="E1838" s="114" t="s">
        <v>3993</v>
      </c>
    </row>
    <row r="1839" spans="1:5" x14ac:dyDescent="0.25">
      <c r="B1839" s="114" t="s">
        <v>1073</v>
      </c>
      <c r="D1839" s="114" t="s">
        <v>1073</v>
      </c>
      <c r="E1839" s="114" t="s">
        <v>3993</v>
      </c>
    </row>
    <row r="1840" spans="1:5" x14ac:dyDescent="0.25">
      <c r="B1840" s="114" t="s">
        <v>1073</v>
      </c>
      <c r="D1840" s="114" t="s">
        <v>1073</v>
      </c>
      <c r="E1840" s="114" t="s">
        <v>3993</v>
      </c>
    </row>
    <row r="1841" spans="1:5" x14ac:dyDescent="0.25">
      <c r="B1841" s="114" t="s">
        <v>1073</v>
      </c>
      <c r="D1841" s="114" t="s">
        <v>1073</v>
      </c>
      <c r="E1841" s="114" t="s">
        <v>3993</v>
      </c>
    </row>
    <row r="1842" spans="1:5" x14ac:dyDescent="0.25">
      <c r="B1842" s="114" t="s">
        <v>1073</v>
      </c>
      <c r="D1842" s="114" t="s">
        <v>1073</v>
      </c>
      <c r="E1842" s="114" t="s">
        <v>3993</v>
      </c>
    </row>
    <row r="1843" spans="1:5" x14ac:dyDescent="0.25">
      <c r="B1843" s="114" t="s">
        <v>1073</v>
      </c>
      <c r="D1843" s="114" t="s">
        <v>1073</v>
      </c>
      <c r="E1843" s="114" t="s">
        <v>3993</v>
      </c>
    </row>
    <row r="1844" spans="1:5" x14ac:dyDescent="0.25">
      <c r="B1844" s="114" t="s">
        <v>1073</v>
      </c>
      <c r="D1844" s="114" t="s">
        <v>1073</v>
      </c>
      <c r="E1844" s="114" t="s">
        <v>3993</v>
      </c>
    </row>
    <row r="1845" spans="1:5" x14ac:dyDescent="0.25">
      <c r="B1845" s="114" t="s">
        <v>1073</v>
      </c>
      <c r="D1845" s="114" t="s">
        <v>1073</v>
      </c>
      <c r="E1845" s="114" t="s">
        <v>3993</v>
      </c>
    </row>
    <row r="1846" spans="1:5" x14ac:dyDescent="0.25">
      <c r="B1846" s="114" t="s">
        <v>1073</v>
      </c>
      <c r="D1846" s="114" t="s">
        <v>1073</v>
      </c>
      <c r="E1846" s="114" t="s">
        <v>3993</v>
      </c>
    </row>
    <row r="1847" spans="1:5" x14ac:dyDescent="0.25">
      <c r="B1847" s="114" t="s">
        <v>1073</v>
      </c>
      <c r="D1847" s="114" t="s">
        <v>1073</v>
      </c>
      <c r="E1847" s="114" t="s">
        <v>3993</v>
      </c>
    </row>
    <row r="1848" spans="1:5" x14ac:dyDescent="0.25">
      <c r="B1848" s="114" t="s">
        <v>1073</v>
      </c>
      <c r="D1848" s="114" t="s">
        <v>1073</v>
      </c>
      <c r="E1848" s="114" t="s">
        <v>3993</v>
      </c>
    </row>
    <row r="1849" spans="1:5" x14ac:dyDescent="0.25">
      <c r="B1849" s="114" t="s">
        <v>1073</v>
      </c>
      <c r="D1849" s="114" t="s">
        <v>1073</v>
      </c>
      <c r="E1849" s="114" t="s">
        <v>3993</v>
      </c>
    </row>
    <row r="1850" spans="1:5" x14ac:dyDescent="0.25">
      <c r="B1850" s="114" t="s">
        <v>1073</v>
      </c>
      <c r="D1850" s="114" t="s">
        <v>1073</v>
      </c>
      <c r="E1850" s="114" t="s">
        <v>3993</v>
      </c>
    </row>
    <row r="1851" spans="1:5" x14ac:dyDescent="0.25">
      <c r="B1851" s="114" t="s">
        <v>1073</v>
      </c>
      <c r="D1851" s="114" t="s">
        <v>1073</v>
      </c>
      <c r="E1851" s="114" t="s">
        <v>5244</v>
      </c>
    </row>
    <row r="1852" spans="1:5" x14ac:dyDescent="0.25">
      <c r="A1852" s="114">
        <v>2</v>
      </c>
      <c r="B1852" s="114" t="s">
        <v>1940</v>
      </c>
      <c r="D1852" s="114" t="s">
        <v>5245</v>
      </c>
      <c r="E1852" s="114" t="s">
        <v>5246</v>
      </c>
    </row>
    <row r="1853" spans="1:5" x14ac:dyDescent="0.25">
      <c r="B1853" s="114" t="s">
        <v>1941</v>
      </c>
      <c r="D1853" s="114" t="s">
        <v>1073</v>
      </c>
      <c r="E1853" s="114" t="s">
        <v>3993</v>
      </c>
    </row>
    <row r="1854" spans="1:5" x14ac:dyDescent="0.25">
      <c r="A1854" s="114">
        <v>-2</v>
      </c>
      <c r="B1854" s="114" t="s">
        <v>1942</v>
      </c>
      <c r="D1854" s="114" t="s">
        <v>5247</v>
      </c>
      <c r="E1854" s="114" t="s">
        <v>5248</v>
      </c>
    </row>
    <row r="1855" spans="1:5" x14ac:dyDescent="0.25">
      <c r="B1855" s="114" t="s">
        <v>1073</v>
      </c>
      <c r="D1855" s="114" t="s">
        <v>5249</v>
      </c>
      <c r="E1855" s="114" t="s">
        <v>5250</v>
      </c>
    </row>
    <row r="1856" spans="1:5" x14ac:dyDescent="0.25">
      <c r="B1856" s="114" t="s">
        <v>1073</v>
      </c>
      <c r="D1856" s="114" t="s">
        <v>5251</v>
      </c>
      <c r="E1856" s="114" t="s">
        <v>3993</v>
      </c>
    </row>
    <row r="1857" spans="1:5" x14ac:dyDescent="0.25">
      <c r="B1857" s="114" t="s">
        <v>1943</v>
      </c>
      <c r="C1857" s="114" t="s">
        <v>1072</v>
      </c>
      <c r="D1857" s="114" t="s">
        <v>5252</v>
      </c>
      <c r="E1857" s="114" t="s">
        <v>5253</v>
      </c>
    </row>
    <row r="1858" spans="1:5" x14ac:dyDescent="0.25">
      <c r="A1858" s="114" t="s">
        <v>1072</v>
      </c>
      <c r="B1858" s="114" t="s">
        <v>1944</v>
      </c>
      <c r="D1858" s="114" t="s">
        <v>5254</v>
      </c>
      <c r="E1858" s="114" t="s">
        <v>5255</v>
      </c>
    </row>
    <row r="1859" spans="1:5" x14ac:dyDescent="0.25">
      <c r="B1859" s="114" t="s">
        <v>1945</v>
      </c>
      <c r="D1859" s="114" t="s">
        <v>5256</v>
      </c>
      <c r="E1859" s="114" t="s">
        <v>5257</v>
      </c>
    </row>
    <row r="1860" spans="1:5" x14ac:dyDescent="0.25">
      <c r="A1860" s="114">
        <v>-2</v>
      </c>
      <c r="B1860" s="114" t="s">
        <v>1946</v>
      </c>
      <c r="C1860" s="114" t="s">
        <v>1072</v>
      </c>
      <c r="D1860" s="114" t="s">
        <v>5258</v>
      </c>
      <c r="E1860" s="114" t="s">
        <v>5259</v>
      </c>
    </row>
    <row r="1861" spans="1:5" x14ac:dyDescent="0.25">
      <c r="A1861" s="114" t="s">
        <v>1072</v>
      </c>
      <c r="B1861" s="114" t="s">
        <v>1947</v>
      </c>
      <c r="D1861" s="114" t="s">
        <v>5260</v>
      </c>
      <c r="E1861" s="114" t="s">
        <v>5261</v>
      </c>
    </row>
    <row r="1862" spans="1:5" x14ac:dyDescent="0.25">
      <c r="B1862" s="114" t="s">
        <v>1948</v>
      </c>
      <c r="D1862" s="114" t="s">
        <v>5262</v>
      </c>
      <c r="E1862" s="114" t="s">
        <v>5263</v>
      </c>
    </row>
    <row r="1863" spans="1:5" x14ac:dyDescent="0.25">
      <c r="B1863" s="114" t="s">
        <v>1949</v>
      </c>
      <c r="C1863" s="114" t="s">
        <v>1072</v>
      </c>
      <c r="D1863" s="114" t="s">
        <v>5264</v>
      </c>
      <c r="E1863" s="114" t="s">
        <v>5265</v>
      </c>
    </row>
    <row r="1864" spans="1:5" x14ac:dyDescent="0.25">
      <c r="A1864" s="114" t="s">
        <v>1072</v>
      </c>
      <c r="B1864" s="114" t="s">
        <v>1950</v>
      </c>
      <c r="D1864" s="114" t="s">
        <v>5266</v>
      </c>
      <c r="E1864" s="114" t="s">
        <v>5267</v>
      </c>
    </row>
    <row r="1865" spans="1:5" x14ac:dyDescent="0.25">
      <c r="B1865" s="114" t="s">
        <v>1620</v>
      </c>
      <c r="D1865" s="114" t="s">
        <v>5268</v>
      </c>
      <c r="E1865" s="114" t="s">
        <v>5269</v>
      </c>
    </row>
    <row r="1866" spans="1:5" x14ac:dyDescent="0.25">
      <c r="B1866" s="114" t="s">
        <v>1951</v>
      </c>
      <c r="C1866" s="114" t="s">
        <v>1072</v>
      </c>
      <c r="D1866" s="114" t="s">
        <v>5270</v>
      </c>
      <c r="E1866" s="114" t="s">
        <v>5271</v>
      </c>
    </row>
    <row r="1867" spans="1:5" x14ac:dyDescent="0.25">
      <c r="B1867" s="114" t="s">
        <v>1952</v>
      </c>
      <c r="D1867" s="114" t="s">
        <v>5272</v>
      </c>
      <c r="E1867" s="114" t="s">
        <v>5273</v>
      </c>
    </row>
    <row r="1868" spans="1:5" x14ac:dyDescent="0.25">
      <c r="B1868" s="114" t="s">
        <v>1495</v>
      </c>
      <c r="D1868" s="114" t="s">
        <v>1073</v>
      </c>
      <c r="E1868" s="114" t="s">
        <v>5274</v>
      </c>
    </row>
    <row r="1869" spans="1:5" x14ac:dyDescent="0.25">
      <c r="B1869" s="114" t="s">
        <v>1953</v>
      </c>
      <c r="C1869" s="114">
        <v>5</v>
      </c>
      <c r="D1869" s="114" t="s">
        <v>5275</v>
      </c>
      <c r="E1869" s="114" t="s">
        <v>5276</v>
      </c>
    </row>
    <row r="1870" spans="1:5" x14ac:dyDescent="0.25">
      <c r="B1870" s="114" t="s">
        <v>1073</v>
      </c>
      <c r="D1870" s="114" t="s">
        <v>5277</v>
      </c>
      <c r="E1870" s="114" t="s">
        <v>4014</v>
      </c>
    </row>
    <row r="1871" spans="1:5" x14ac:dyDescent="0.25">
      <c r="B1871" s="114" t="s">
        <v>1073</v>
      </c>
      <c r="D1871" s="114" t="s">
        <v>5278</v>
      </c>
      <c r="E1871" s="114" t="s">
        <v>5279</v>
      </c>
    </row>
    <row r="1872" spans="1:5" x14ac:dyDescent="0.25">
      <c r="B1872" s="114">
        <f>-69    -80</f>
        <v>-149</v>
      </c>
      <c r="D1872" s="114" t="s">
        <v>5280</v>
      </c>
      <c r="E1872" s="114" t="s">
        <v>5281</v>
      </c>
    </row>
    <row r="1873" spans="1:5" x14ac:dyDescent="0.25">
      <c r="B1873" s="114" t="s">
        <v>1954</v>
      </c>
      <c r="D1873" s="114" t="s">
        <v>1073</v>
      </c>
      <c r="E1873" s="114" t="s">
        <v>5282</v>
      </c>
    </row>
    <row r="1874" spans="1:5" x14ac:dyDescent="0.25">
      <c r="B1874" s="114" t="s">
        <v>1073</v>
      </c>
      <c r="D1874" s="114" t="s">
        <v>5283</v>
      </c>
      <c r="E1874" s="114" t="s">
        <v>5284</v>
      </c>
    </row>
    <row r="1875" spans="1:5" x14ac:dyDescent="0.25">
      <c r="B1875" s="114" t="s">
        <v>1073</v>
      </c>
      <c r="D1875" s="114" t="s">
        <v>5285</v>
      </c>
      <c r="E1875" s="114" t="s">
        <v>5286</v>
      </c>
    </row>
    <row r="1876" spans="1:5" x14ac:dyDescent="0.25">
      <c r="B1876" s="114" t="s">
        <v>1955</v>
      </c>
      <c r="D1876" s="114" t="s">
        <v>5287</v>
      </c>
      <c r="E1876" s="114" t="s">
        <v>5288</v>
      </c>
    </row>
    <row r="1877" spans="1:5" x14ac:dyDescent="0.25">
      <c r="B1877" s="114" t="s">
        <v>1221</v>
      </c>
      <c r="D1877" s="114" t="s">
        <v>5289</v>
      </c>
      <c r="E1877" s="114" t="s">
        <v>5290</v>
      </c>
    </row>
    <row r="1878" spans="1:5" x14ac:dyDescent="0.25">
      <c r="A1878" s="114" t="s">
        <v>1072</v>
      </c>
      <c r="B1878" s="114" t="s">
        <v>1956</v>
      </c>
      <c r="D1878" s="114" t="s">
        <v>5291</v>
      </c>
      <c r="E1878" s="114" t="s">
        <v>5292</v>
      </c>
    </row>
    <row r="1879" spans="1:5" x14ac:dyDescent="0.25">
      <c r="B1879" s="114" t="s">
        <v>1957</v>
      </c>
      <c r="D1879" s="114" t="s">
        <v>5293</v>
      </c>
      <c r="E1879" s="114" t="s">
        <v>5294</v>
      </c>
    </row>
    <row r="1880" spans="1:5" x14ac:dyDescent="0.25">
      <c r="B1880" s="114" t="s">
        <v>1660</v>
      </c>
      <c r="D1880" s="114" t="s">
        <v>5295</v>
      </c>
      <c r="E1880" s="114" t="s">
        <v>5296</v>
      </c>
    </row>
    <row r="1881" spans="1:5" x14ac:dyDescent="0.25">
      <c r="B1881" s="114">
        <f>-91   -306</f>
        <v>-397</v>
      </c>
      <c r="D1881" s="114" t="s">
        <v>1404</v>
      </c>
      <c r="E1881" s="114" t="s">
        <v>5297</v>
      </c>
    </row>
    <row r="1882" spans="1:5" x14ac:dyDescent="0.25">
      <c r="B1882" s="114" t="s">
        <v>1073</v>
      </c>
      <c r="D1882" s="114" t="s">
        <v>5298</v>
      </c>
      <c r="E1882" s="114" t="s">
        <v>5299</v>
      </c>
    </row>
    <row r="1883" spans="1:5" x14ac:dyDescent="0.25">
      <c r="B1883" s="114" t="s">
        <v>1958</v>
      </c>
      <c r="D1883" s="114" t="s">
        <v>5300</v>
      </c>
      <c r="E1883" s="114" t="s">
        <v>5301</v>
      </c>
    </row>
    <row r="1884" spans="1:5" x14ac:dyDescent="0.25">
      <c r="B1884" s="114" t="s">
        <v>1959</v>
      </c>
      <c r="D1884" s="114" t="s">
        <v>5302</v>
      </c>
      <c r="E1884" s="114" t="s">
        <v>5303</v>
      </c>
    </row>
    <row r="1885" spans="1:5" x14ac:dyDescent="0.25">
      <c r="B1885" s="114" t="s">
        <v>1960</v>
      </c>
      <c r="D1885" s="114" t="s">
        <v>5304</v>
      </c>
      <c r="E1885" s="114" t="s">
        <v>3993</v>
      </c>
    </row>
    <row r="1886" spans="1:5" x14ac:dyDescent="0.25">
      <c r="B1886" s="114" t="s">
        <v>1961</v>
      </c>
      <c r="D1886" s="114" t="s">
        <v>5305</v>
      </c>
      <c r="E1886" s="114" t="s">
        <v>3993</v>
      </c>
    </row>
    <row r="1887" spans="1:5" x14ac:dyDescent="0.25">
      <c r="B1887" s="114" t="s">
        <v>1073</v>
      </c>
      <c r="D1887" s="114" t="s">
        <v>1073</v>
      </c>
      <c r="E1887" s="114" t="s">
        <v>3993</v>
      </c>
    </row>
    <row r="1888" spans="1:5" x14ac:dyDescent="0.25">
      <c r="B1888" s="114" t="s">
        <v>1073</v>
      </c>
      <c r="D1888" s="114" t="s">
        <v>1073</v>
      </c>
      <c r="E1888" s="114" t="s">
        <v>3993</v>
      </c>
    </row>
    <row r="1889" spans="2:5" x14ac:dyDescent="0.25">
      <c r="B1889" s="114" t="s">
        <v>1073</v>
      </c>
      <c r="D1889" s="114" t="s">
        <v>1073</v>
      </c>
      <c r="E1889" s="114" t="s">
        <v>3993</v>
      </c>
    </row>
    <row r="1890" spans="2:5" x14ac:dyDescent="0.25">
      <c r="B1890" s="114" t="s">
        <v>1073</v>
      </c>
      <c r="D1890" s="114" t="s">
        <v>1073</v>
      </c>
      <c r="E1890" s="114" t="s">
        <v>3993</v>
      </c>
    </row>
    <row r="1891" spans="2:5" x14ac:dyDescent="0.25">
      <c r="B1891" s="114" t="s">
        <v>1073</v>
      </c>
      <c r="D1891" s="114" t="s">
        <v>1073</v>
      </c>
      <c r="E1891" s="114" t="s">
        <v>3993</v>
      </c>
    </row>
    <row r="1892" spans="2:5" x14ac:dyDescent="0.25">
      <c r="B1892" s="114" t="s">
        <v>1073</v>
      </c>
      <c r="D1892" s="114" t="s">
        <v>1073</v>
      </c>
      <c r="E1892" s="114" t="s">
        <v>3993</v>
      </c>
    </row>
    <row r="1893" spans="2:5" x14ac:dyDescent="0.25">
      <c r="B1893" s="114" t="s">
        <v>1073</v>
      </c>
      <c r="D1893" s="114" t="s">
        <v>1073</v>
      </c>
      <c r="E1893" s="114" t="s">
        <v>3993</v>
      </c>
    </row>
    <row r="1894" spans="2:5" x14ac:dyDescent="0.25">
      <c r="B1894" s="114" t="s">
        <v>1073</v>
      </c>
      <c r="D1894" s="114" t="s">
        <v>1073</v>
      </c>
      <c r="E1894" s="114" t="s">
        <v>3993</v>
      </c>
    </row>
    <row r="1895" spans="2:5" x14ac:dyDescent="0.25">
      <c r="B1895" s="114" t="s">
        <v>1073</v>
      </c>
      <c r="D1895" s="114" t="s">
        <v>1073</v>
      </c>
      <c r="E1895" s="114" t="s">
        <v>3993</v>
      </c>
    </row>
    <row r="1896" spans="2:5" x14ac:dyDescent="0.25">
      <c r="B1896" s="114" t="s">
        <v>1073</v>
      </c>
      <c r="D1896" s="114" t="s">
        <v>1073</v>
      </c>
      <c r="E1896" s="114" t="s">
        <v>3993</v>
      </c>
    </row>
    <row r="1897" spans="2:5" x14ac:dyDescent="0.25">
      <c r="B1897" s="114" t="s">
        <v>1073</v>
      </c>
      <c r="D1897" s="114" t="s">
        <v>1073</v>
      </c>
      <c r="E1897" s="114" t="s">
        <v>3993</v>
      </c>
    </row>
    <row r="1898" spans="2:5" x14ac:dyDescent="0.25">
      <c r="B1898" s="114" t="s">
        <v>1073</v>
      </c>
      <c r="D1898" s="114" t="s">
        <v>1073</v>
      </c>
      <c r="E1898" s="114" t="s">
        <v>3993</v>
      </c>
    </row>
    <row r="1899" spans="2:5" x14ac:dyDescent="0.25">
      <c r="B1899" s="114" t="s">
        <v>1073</v>
      </c>
      <c r="D1899" s="114" t="s">
        <v>1073</v>
      </c>
      <c r="E1899" s="114" t="s">
        <v>3993</v>
      </c>
    </row>
    <row r="1900" spans="2:5" x14ac:dyDescent="0.25">
      <c r="B1900" s="114" t="s">
        <v>1073</v>
      </c>
      <c r="D1900" s="114" t="s">
        <v>1073</v>
      </c>
      <c r="E1900" s="114" t="s">
        <v>3993</v>
      </c>
    </row>
    <row r="1901" spans="2:5" x14ac:dyDescent="0.25">
      <c r="B1901" s="114" t="s">
        <v>1073</v>
      </c>
      <c r="D1901" s="114" t="s">
        <v>1073</v>
      </c>
      <c r="E1901" s="114" t="s">
        <v>3993</v>
      </c>
    </row>
    <row r="1902" spans="2:5" x14ac:dyDescent="0.25">
      <c r="B1902" s="114" t="s">
        <v>1073</v>
      </c>
      <c r="D1902" s="114" t="s">
        <v>1073</v>
      </c>
      <c r="E1902" s="114" t="s">
        <v>3993</v>
      </c>
    </row>
    <row r="1903" spans="2:5" x14ac:dyDescent="0.25">
      <c r="B1903" s="114" t="s">
        <v>1073</v>
      </c>
      <c r="D1903" s="114" t="s">
        <v>1073</v>
      </c>
      <c r="E1903" s="114" t="s">
        <v>3993</v>
      </c>
    </row>
    <row r="1904" spans="2:5" x14ac:dyDescent="0.25">
      <c r="B1904" s="114" t="s">
        <v>1073</v>
      </c>
      <c r="D1904" s="114" t="s">
        <v>1073</v>
      </c>
      <c r="E1904" s="114" t="s">
        <v>3993</v>
      </c>
    </row>
    <row r="1905" spans="2:5" x14ac:dyDescent="0.25">
      <c r="B1905" s="114" t="s">
        <v>1073</v>
      </c>
      <c r="D1905" s="114" t="s">
        <v>1073</v>
      </c>
      <c r="E1905" s="114" t="s">
        <v>3993</v>
      </c>
    </row>
    <row r="1906" spans="2:5" x14ac:dyDescent="0.25">
      <c r="B1906" s="114" t="s">
        <v>1073</v>
      </c>
      <c r="D1906" s="114" t="s">
        <v>1073</v>
      </c>
      <c r="E1906" s="114" t="s">
        <v>3993</v>
      </c>
    </row>
    <row r="1907" spans="2:5" x14ac:dyDescent="0.25">
      <c r="B1907" s="114" t="s">
        <v>1073</v>
      </c>
      <c r="D1907" s="114" t="s">
        <v>1073</v>
      </c>
      <c r="E1907" s="114" t="s">
        <v>3993</v>
      </c>
    </row>
    <row r="1908" spans="2:5" x14ac:dyDescent="0.25">
      <c r="B1908" s="114" t="s">
        <v>1073</v>
      </c>
      <c r="D1908" s="114" t="s">
        <v>1073</v>
      </c>
      <c r="E1908" s="114" t="s">
        <v>3993</v>
      </c>
    </row>
    <row r="1909" spans="2:5" x14ac:dyDescent="0.25">
      <c r="B1909" s="114" t="s">
        <v>1073</v>
      </c>
      <c r="D1909" s="114" t="s">
        <v>1073</v>
      </c>
      <c r="E1909" s="114" t="s">
        <v>3993</v>
      </c>
    </row>
    <row r="1910" spans="2:5" x14ac:dyDescent="0.25">
      <c r="B1910" s="114" t="s">
        <v>1073</v>
      </c>
      <c r="D1910" s="114" t="s">
        <v>1073</v>
      </c>
      <c r="E1910" s="114" t="s">
        <v>3993</v>
      </c>
    </row>
    <row r="1911" spans="2:5" x14ac:dyDescent="0.25">
      <c r="B1911" s="114" t="s">
        <v>1073</v>
      </c>
      <c r="D1911" s="114" t="s">
        <v>1073</v>
      </c>
      <c r="E1911" s="114" t="s">
        <v>3993</v>
      </c>
    </row>
    <row r="1912" spans="2:5" x14ac:dyDescent="0.25">
      <c r="B1912" s="114" t="s">
        <v>1073</v>
      </c>
      <c r="D1912" s="114" t="s">
        <v>1073</v>
      </c>
      <c r="E1912" s="114" t="s">
        <v>3993</v>
      </c>
    </row>
    <row r="1913" spans="2:5" x14ac:dyDescent="0.25">
      <c r="B1913" s="114" t="s">
        <v>1073</v>
      </c>
      <c r="D1913" s="114" t="s">
        <v>1073</v>
      </c>
      <c r="E1913" s="114" t="s">
        <v>3993</v>
      </c>
    </row>
    <row r="1914" spans="2:5" x14ac:dyDescent="0.25">
      <c r="B1914" s="114" t="s">
        <v>1073</v>
      </c>
      <c r="D1914" s="114" t="s">
        <v>1073</v>
      </c>
      <c r="E1914" s="114" t="s">
        <v>3993</v>
      </c>
    </row>
    <row r="1915" spans="2:5" x14ac:dyDescent="0.25">
      <c r="B1915" s="114" t="s">
        <v>1073</v>
      </c>
      <c r="D1915" s="114" t="s">
        <v>1073</v>
      </c>
      <c r="E1915" s="114" t="s">
        <v>3993</v>
      </c>
    </row>
    <row r="1916" spans="2:5" x14ac:dyDescent="0.25">
      <c r="B1916" s="114" t="s">
        <v>1073</v>
      </c>
      <c r="D1916" s="114" t="s">
        <v>1073</v>
      </c>
      <c r="E1916" s="114" t="s">
        <v>3993</v>
      </c>
    </row>
    <row r="1917" spans="2:5" x14ac:dyDescent="0.25">
      <c r="B1917" s="114" t="s">
        <v>1073</v>
      </c>
      <c r="D1917" s="114" t="s">
        <v>1073</v>
      </c>
      <c r="E1917" s="114" t="s">
        <v>3993</v>
      </c>
    </row>
    <row r="1918" spans="2:5" x14ac:dyDescent="0.25">
      <c r="B1918" s="114" t="s">
        <v>1073</v>
      </c>
      <c r="D1918" s="114" t="s">
        <v>1073</v>
      </c>
      <c r="E1918" s="114" t="s">
        <v>3993</v>
      </c>
    </row>
    <row r="1919" spans="2:5" x14ac:dyDescent="0.25">
      <c r="B1919" s="114" t="s">
        <v>1073</v>
      </c>
      <c r="D1919" s="114" t="s">
        <v>1073</v>
      </c>
      <c r="E1919" s="114" t="s">
        <v>3993</v>
      </c>
    </row>
    <row r="1920" spans="2:5" x14ac:dyDescent="0.25">
      <c r="B1920" s="114" t="s">
        <v>1073</v>
      </c>
      <c r="D1920" s="114" t="s">
        <v>1073</v>
      </c>
      <c r="E1920" s="114" t="s">
        <v>3993</v>
      </c>
    </row>
    <row r="1921" spans="2:5" x14ac:dyDescent="0.25">
      <c r="B1921" s="114" t="s">
        <v>1073</v>
      </c>
      <c r="D1921" s="114" t="s">
        <v>1073</v>
      </c>
      <c r="E1921" s="114" t="s">
        <v>3993</v>
      </c>
    </row>
    <row r="1922" spans="2:5" x14ac:dyDescent="0.25">
      <c r="B1922" s="114" t="s">
        <v>1073</v>
      </c>
      <c r="D1922" s="114" t="s">
        <v>1073</v>
      </c>
      <c r="E1922" s="114" t="s">
        <v>3993</v>
      </c>
    </row>
    <row r="1923" spans="2:5" x14ac:dyDescent="0.25">
      <c r="B1923" s="114" t="s">
        <v>1073</v>
      </c>
      <c r="D1923" s="114" t="s">
        <v>1073</v>
      </c>
      <c r="E1923" s="114" t="s">
        <v>3993</v>
      </c>
    </row>
    <row r="1924" spans="2:5" x14ac:dyDescent="0.25">
      <c r="B1924" s="114" t="s">
        <v>1073</v>
      </c>
      <c r="D1924" s="114" t="s">
        <v>1073</v>
      </c>
      <c r="E1924" s="114" t="s">
        <v>3993</v>
      </c>
    </row>
    <row r="1925" spans="2:5" x14ac:dyDescent="0.25">
      <c r="B1925" s="114" t="s">
        <v>1073</v>
      </c>
      <c r="D1925" s="114" t="s">
        <v>1073</v>
      </c>
      <c r="E1925" s="114" t="s">
        <v>3993</v>
      </c>
    </row>
    <row r="1926" spans="2:5" x14ac:dyDescent="0.25">
      <c r="B1926" s="114" t="s">
        <v>1073</v>
      </c>
      <c r="D1926" s="114" t="s">
        <v>1073</v>
      </c>
      <c r="E1926" s="114" t="s">
        <v>3993</v>
      </c>
    </row>
    <row r="1927" spans="2:5" x14ac:dyDescent="0.25">
      <c r="B1927" s="114" t="s">
        <v>1073</v>
      </c>
      <c r="D1927" s="114" t="s">
        <v>1073</v>
      </c>
      <c r="E1927" s="114" t="s">
        <v>3993</v>
      </c>
    </row>
    <row r="1928" spans="2:5" x14ac:dyDescent="0.25">
      <c r="B1928" s="114" t="s">
        <v>1073</v>
      </c>
      <c r="D1928" s="114" t="s">
        <v>1073</v>
      </c>
      <c r="E1928" s="114" t="s">
        <v>3993</v>
      </c>
    </row>
    <row r="1929" spans="2:5" x14ac:dyDescent="0.25">
      <c r="B1929" s="114" t="s">
        <v>1073</v>
      </c>
      <c r="D1929" s="114" t="s">
        <v>1073</v>
      </c>
      <c r="E1929" s="114" t="s">
        <v>3993</v>
      </c>
    </row>
    <row r="1930" spans="2:5" x14ac:dyDescent="0.25">
      <c r="B1930" s="114" t="s">
        <v>1073</v>
      </c>
      <c r="D1930" s="114" t="s">
        <v>1073</v>
      </c>
      <c r="E1930" s="114" t="s">
        <v>3993</v>
      </c>
    </row>
    <row r="1931" spans="2:5" x14ac:dyDescent="0.25">
      <c r="B1931" s="114" t="s">
        <v>1073</v>
      </c>
      <c r="D1931" s="114" t="s">
        <v>1073</v>
      </c>
      <c r="E1931" s="114" t="s">
        <v>3993</v>
      </c>
    </row>
    <row r="1932" spans="2:5" x14ac:dyDescent="0.25">
      <c r="B1932" s="114" t="s">
        <v>1073</v>
      </c>
      <c r="D1932" s="114" t="s">
        <v>1073</v>
      </c>
      <c r="E1932" s="114" t="s">
        <v>3993</v>
      </c>
    </row>
    <row r="1933" spans="2:5" x14ac:dyDescent="0.25">
      <c r="B1933" s="114" t="s">
        <v>1073</v>
      </c>
      <c r="D1933" s="114" t="s">
        <v>1073</v>
      </c>
      <c r="E1933" s="114" t="s">
        <v>3993</v>
      </c>
    </row>
    <row r="1934" spans="2:5" x14ac:dyDescent="0.25">
      <c r="B1934" s="114" t="s">
        <v>1073</v>
      </c>
      <c r="D1934" s="114" t="s">
        <v>1073</v>
      </c>
      <c r="E1934" s="114" t="s">
        <v>3993</v>
      </c>
    </row>
    <row r="1935" spans="2:5" x14ac:dyDescent="0.25">
      <c r="B1935" s="114" t="s">
        <v>1073</v>
      </c>
      <c r="D1935" s="114" t="s">
        <v>1073</v>
      </c>
      <c r="E1935" s="114" t="s">
        <v>3993</v>
      </c>
    </row>
    <row r="1936" spans="2:5" x14ac:dyDescent="0.25">
      <c r="B1936" s="114" t="s">
        <v>1073</v>
      </c>
      <c r="D1936" s="114" t="s">
        <v>1073</v>
      </c>
      <c r="E1936" s="114" t="s">
        <v>3993</v>
      </c>
    </row>
    <row r="1937" spans="2:5" x14ac:dyDescent="0.25">
      <c r="B1937" s="114" t="s">
        <v>1073</v>
      </c>
      <c r="D1937" s="114" t="s">
        <v>1073</v>
      </c>
      <c r="E1937" s="114" t="s">
        <v>3993</v>
      </c>
    </row>
    <row r="1938" spans="2:5" x14ac:dyDescent="0.25">
      <c r="B1938" s="114" t="s">
        <v>1073</v>
      </c>
      <c r="D1938" s="114" t="s">
        <v>1073</v>
      </c>
      <c r="E1938" s="114" t="s">
        <v>3993</v>
      </c>
    </row>
    <row r="1939" spans="2:5" x14ac:dyDescent="0.25">
      <c r="B1939" s="114" t="s">
        <v>1073</v>
      </c>
      <c r="D1939" s="114" t="s">
        <v>1073</v>
      </c>
      <c r="E1939" s="114" t="s">
        <v>3993</v>
      </c>
    </row>
    <row r="1940" spans="2:5" x14ac:dyDescent="0.25">
      <c r="B1940" s="114" t="s">
        <v>1073</v>
      </c>
      <c r="D1940" s="114" t="s">
        <v>1073</v>
      </c>
      <c r="E1940" s="114" t="s">
        <v>3993</v>
      </c>
    </row>
    <row r="1941" spans="2:5" x14ac:dyDescent="0.25">
      <c r="B1941" s="114" t="s">
        <v>1073</v>
      </c>
      <c r="D1941" s="114" t="s">
        <v>1073</v>
      </c>
      <c r="E1941" s="114" t="s">
        <v>3993</v>
      </c>
    </row>
    <row r="1942" spans="2:5" x14ac:dyDescent="0.25">
      <c r="B1942" s="114" t="s">
        <v>1073</v>
      </c>
      <c r="D1942" s="114" t="s">
        <v>1073</v>
      </c>
      <c r="E1942" s="114" t="s">
        <v>3993</v>
      </c>
    </row>
    <row r="1943" spans="2:5" x14ac:dyDescent="0.25">
      <c r="B1943" s="114" t="s">
        <v>1073</v>
      </c>
      <c r="D1943" s="114" t="s">
        <v>1073</v>
      </c>
      <c r="E1943" s="114" t="s">
        <v>3993</v>
      </c>
    </row>
    <row r="1944" spans="2:5" x14ac:dyDescent="0.25">
      <c r="B1944" s="114" t="s">
        <v>1073</v>
      </c>
      <c r="D1944" s="114" t="s">
        <v>1073</v>
      </c>
      <c r="E1944" s="114" t="s">
        <v>3993</v>
      </c>
    </row>
    <row r="1945" spans="2:5" x14ac:dyDescent="0.25">
      <c r="B1945" s="114" t="s">
        <v>1073</v>
      </c>
      <c r="D1945" s="114" t="s">
        <v>1073</v>
      </c>
      <c r="E1945" s="114" t="s">
        <v>3993</v>
      </c>
    </row>
    <row r="1946" spans="2:5" x14ac:dyDescent="0.25">
      <c r="B1946" s="114" t="s">
        <v>1073</v>
      </c>
      <c r="D1946" s="114" t="s">
        <v>1073</v>
      </c>
      <c r="E1946" s="114" t="s">
        <v>3993</v>
      </c>
    </row>
    <row r="1947" spans="2:5" x14ac:dyDescent="0.25">
      <c r="B1947" s="114" t="s">
        <v>1073</v>
      </c>
      <c r="D1947" s="114" t="s">
        <v>1073</v>
      </c>
      <c r="E1947" s="114" t="s">
        <v>3993</v>
      </c>
    </row>
    <row r="1948" spans="2:5" x14ac:dyDescent="0.25">
      <c r="B1948" s="114" t="s">
        <v>1073</v>
      </c>
      <c r="D1948" s="114" t="s">
        <v>1073</v>
      </c>
      <c r="E1948" s="114" t="s">
        <v>3993</v>
      </c>
    </row>
    <row r="1949" spans="2:5" x14ac:dyDescent="0.25">
      <c r="B1949" s="114" t="s">
        <v>1073</v>
      </c>
      <c r="D1949" s="114" t="s">
        <v>1073</v>
      </c>
      <c r="E1949" s="114" t="s">
        <v>3993</v>
      </c>
    </row>
    <row r="1950" spans="2:5" x14ac:dyDescent="0.25">
      <c r="B1950" s="114" t="s">
        <v>1073</v>
      </c>
      <c r="D1950" s="114" t="s">
        <v>1073</v>
      </c>
      <c r="E1950" s="114" t="s">
        <v>3993</v>
      </c>
    </row>
    <row r="1951" spans="2:5" x14ac:dyDescent="0.25">
      <c r="B1951" s="114" t="s">
        <v>1073</v>
      </c>
      <c r="D1951" s="114" t="s">
        <v>1073</v>
      </c>
      <c r="E1951" s="114" t="s">
        <v>3993</v>
      </c>
    </row>
    <row r="1952" spans="2:5" x14ac:dyDescent="0.25">
      <c r="B1952" s="114" t="s">
        <v>1073</v>
      </c>
      <c r="D1952" s="114" t="s">
        <v>1073</v>
      </c>
      <c r="E1952" s="114" t="s">
        <v>3993</v>
      </c>
    </row>
    <row r="1953" spans="2:5" x14ac:dyDescent="0.25">
      <c r="B1953" s="114" t="s">
        <v>1073</v>
      </c>
      <c r="D1953" s="114" t="s">
        <v>1073</v>
      </c>
      <c r="E1953" s="114" t="s">
        <v>3993</v>
      </c>
    </row>
    <row r="1954" spans="2:5" x14ac:dyDescent="0.25">
      <c r="B1954" s="114" t="s">
        <v>1073</v>
      </c>
      <c r="D1954" s="114" t="s">
        <v>1073</v>
      </c>
      <c r="E1954" s="114" t="s">
        <v>3993</v>
      </c>
    </row>
    <row r="1955" spans="2:5" x14ac:dyDescent="0.25">
      <c r="B1955" s="114" t="s">
        <v>1073</v>
      </c>
      <c r="D1955" s="114" t="s">
        <v>1073</v>
      </c>
      <c r="E1955" s="114" t="s">
        <v>3993</v>
      </c>
    </row>
    <row r="1956" spans="2:5" x14ac:dyDescent="0.25">
      <c r="B1956" s="114" t="s">
        <v>1073</v>
      </c>
      <c r="D1956" s="114" t="s">
        <v>1073</v>
      </c>
      <c r="E1956" s="114" t="s">
        <v>3993</v>
      </c>
    </row>
    <row r="1957" spans="2:5" x14ac:dyDescent="0.25">
      <c r="B1957" s="114" t="s">
        <v>1073</v>
      </c>
      <c r="D1957" s="114" t="s">
        <v>1073</v>
      </c>
      <c r="E1957" s="114" t="s">
        <v>3993</v>
      </c>
    </row>
    <row r="1958" spans="2:5" x14ac:dyDescent="0.25">
      <c r="B1958" s="114" t="s">
        <v>1073</v>
      </c>
      <c r="D1958" s="114" t="s">
        <v>1073</v>
      </c>
      <c r="E1958" s="114" t="s">
        <v>3993</v>
      </c>
    </row>
    <row r="1959" spans="2:5" x14ac:dyDescent="0.25">
      <c r="B1959" s="114" t="s">
        <v>1073</v>
      </c>
      <c r="D1959" s="114" t="s">
        <v>1073</v>
      </c>
      <c r="E1959" s="114" t="s">
        <v>3993</v>
      </c>
    </row>
    <row r="1960" spans="2:5" x14ac:dyDescent="0.25">
      <c r="B1960" s="114" t="s">
        <v>1073</v>
      </c>
      <c r="D1960" s="114" t="s">
        <v>1073</v>
      </c>
      <c r="E1960" s="114" t="s">
        <v>3993</v>
      </c>
    </row>
    <row r="1961" spans="2:5" x14ac:dyDescent="0.25">
      <c r="B1961" s="114" t="s">
        <v>1073</v>
      </c>
      <c r="D1961" s="114" t="s">
        <v>1073</v>
      </c>
      <c r="E1961" s="114" t="s">
        <v>3993</v>
      </c>
    </row>
    <row r="1962" spans="2:5" x14ac:dyDescent="0.25">
      <c r="B1962" s="114" t="s">
        <v>1073</v>
      </c>
      <c r="D1962" s="114" t="s">
        <v>1073</v>
      </c>
      <c r="E1962" s="114" t="s">
        <v>3993</v>
      </c>
    </row>
    <row r="1963" spans="2:5" x14ac:dyDescent="0.25">
      <c r="B1963" s="114" t="s">
        <v>1073</v>
      </c>
      <c r="D1963" s="114" t="s">
        <v>1073</v>
      </c>
      <c r="E1963" s="114" t="s">
        <v>3993</v>
      </c>
    </row>
    <row r="1964" spans="2:5" x14ac:dyDescent="0.25">
      <c r="B1964" s="114" t="s">
        <v>1073</v>
      </c>
      <c r="D1964" s="114" t="s">
        <v>1073</v>
      </c>
      <c r="E1964" s="114" t="s">
        <v>3993</v>
      </c>
    </row>
    <row r="1965" spans="2:5" x14ac:dyDescent="0.25">
      <c r="B1965" s="114" t="s">
        <v>1073</v>
      </c>
      <c r="D1965" s="114" t="s">
        <v>1073</v>
      </c>
      <c r="E1965" s="114" t="s">
        <v>3993</v>
      </c>
    </row>
    <row r="1966" spans="2:5" x14ac:dyDescent="0.25">
      <c r="B1966" s="114" t="s">
        <v>1073</v>
      </c>
      <c r="D1966" s="114" t="s">
        <v>1073</v>
      </c>
      <c r="E1966" s="114" t="s">
        <v>3993</v>
      </c>
    </row>
    <row r="1967" spans="2:5" x14ac:dyDescent="0.25">
      <c r="B1967" s="114" t="s">
        <v>1073</v>
      </c>
      <c r="D1967" s="114" t="s">
        <v>1073</v>
      </c>
      <c r="E1967" s="114" t="s">
        <v>3993</v>
      </c>
    </row>
    <row r="1968" spans="2:5" x14ac:dyDescent="0.25">
      <c r="B1968" s="114" t="s">
        <v>1073</v>
      </c>
      <c r="D1968" s="114" t="s">
        <v>1073</v>
      </c>
      <c r="E1968" s="114" t="s">
        <v>3993</v>
      </c>
    </row>
    <row r="1969" spans="1:5" x14ac:dyDescent="0.25">
      <c r="B1969" s="114" t="s">
        <v>1073</v>
      </c>
      <c r="D1969" s="114" t="s">
        <v>1073</v>
      </c>
      <c r="E1969" s="114" t="s">
        <v>3993</v>
      </c>
    </row>
    <row r="1970" spans="1:5" x14ac:dyDescent="0.25">
      <c r="B1970" s="114" t="s">
        <v>1073</v>
      </c>
      <c r="D1970" s="114" t="s">
        <v>1073</v>
      </c>
      <c r="E1970" s="114" t="s">
        <v>3993</v>
      </c>
    </row>
    <row r="1971" spans="1:5" x14ac:dyDescent="0.25">
      <c r="B1971" s="114" t="s">
        <v>1073</v>
      </c>
      <c r="D1971" s="114" t="s">
        <v>1073</v>
      </c>
      <c r="E1971" s="114" t="s">
        <v>3993</v>
      </c>
    </row>
    <row r="1972" spans="1:5" x14ac:dyDescent="0.25">
      <c r="B1972" s="114" t="s">
        <v>1073</v>
      </c>
      <c r="D1972" s="114" t="s">
        <v>1073</v>
      </c>
      <c r="E1972" s="114" t="s">
        <v>3993</v>
      </c>
    </row>
    <row r="1973" spans="1:5" x14ac:dyDescent="0.25">
      <c r="B1973" s="114" t="s">
        <v>1073</v>
      </c>
      <c r="D1973" s="114" t="s">
        <v>1073</v>
      </c>
      <c r="E1973" s="114" t="s">
        <v>3993</v>
      </c>
    </row>
    <row r="1974" spans="1:5" x14ac:dyDescent="0.25">
      <c r="B1974" s="114" t="s">
        <v>1073</v>
      </c>
      <c r="D1974" s="114" t="s">
        <v>1073</v>
      </c>
      <c r="E1974" s="114" t="s">
        <v>3993</v>
      </c>
    </row>
    <row r="1975" spans="1:5" x14ac:dyDescent="0.25">
      <c r="B1975" s="114" t="s">
        <v>1962</v>
      </c>
      <c r="C1975" s="114" t="s">
        <v>1072</v>
      </c>
      <c r="D1975" s="114" t="s">
        <v>5306</v>
      </c>
      <c r="E1975" s="114" t="s">
        <v>5307</v>
      </c>
    </row>
    <row r="1976" spans="1:5" x14ac:dyDescent="0.25">
      <c r="B1976" s="114" t="s">
        <v>1073</v>
      </c>
      <c r="D1976" s="114" t="s">
        <v>5308</v>
      </c>
      <c r="E1976" s="114" t="s">
        <v>3993</v>
      </c>
    </row>
    <row r="1977" spans="1:5" x14ac:dyDescent="0.25">
      <c r="B1977" s="114" t="s">
        <v>1073</v>
      </c>
      <c r="D1977" s="114" t="s">
        <v>5309</v>
      </c>
      <c r="E1977" s="114" t="s">
        <v>5310</v>
      </c>
    </row>
    <row r="1978" spans="1:5" x14ac:dyDescent="0.25">
      <c r="A1978" s="114">
        <v>9</v>
      </c>
      <c r="B1978" s="114" t="s">
        <v>1963</v>
      </c>
      <c r="D1978" s="114" t="s">
        <v>1073</v>
      </c>
      <c r="E1978" s="114" t="s">
        <v>5311</v>
      </c>
    </row>
    <row r="1979" spans="1:5" x14ac:dyDescent="0.25">
      <c r="B1979" s="114" t="s">
        <v>1073</v>
      </c>
      <c r="D1979" s="114" t="s">
        <v>1073</v>
      </c>
      <c r="E1979" s="114" t="s">
        <v>5312</v>
      </c>
    </row>
    <row r="1980" spans="1:5" x14ac:dyDescent="0.25">
      <c r="B1980" s="114" t="s">
        <v>1073</v>
      </c>
      <c r="D1980" s="114" t="s">
        <v>5313</v>
      </c>
      <c r="E1980" s="114" t="s">
        <v>5314</v>
      </c>
    </row>
    <row r="1981" spans="1:5" x14ac:dyDescent="0.25">
      <c r="B1981" s="114" t="s">
        <v>1964</v>
      </c>
      <c r="D1981" s="114" t="s">
        <v>5315</v>
      </c>
      <c r="E1981" s="114" t="s">
        <v>5316</v>
      </c>
    </row>
    <row r="1982" spans="1:5" x14ac:dyDescent="0.25">
      <c r="A1982" s="114">
        <v>-3</v>
      </c>
      <c r="B1982" s="114" t="s">
        <v>1965</v>
      </c>
      <c r="C1982" s="114" t="s">
        <v>1072</v>
      </c>
      <c r="D1982" s="114" t="s">
        <v>5317</v>
      </c>
      <c r="E1982" s="114" t="s">
        <v>5318</v>
      </c>
    </row>
    <row r="1983" spans="1:5" x14ac:dyDescent="0.25">
      <c r="A1983" s="114">
        <v>-2</v>
      </c>
      <c r="B1983" s="114" t="s">
        <v>1966</v>
      </c>
      <c r="C1983" s="114" t="s">
        <v>1072</v>
      </c>
      <c r="D1983" s="114" t="s">
        <v>5319</v>
      </c>
      <c r="E1983" s="114" t="s">
        <v>5320</v>
      </c>
    </row>
    <row r="1984" spans="1:5" x14ac:dyDescent="0.25">
      <c r="A1984" s="114">
        <v>27</v>
      </c>
      <c r="B1984" s="114" t="s">
        <v>1967</v>
      </c>
      <c r="D1984" s="114" t="s">
        <v>5321</v>
      </c>
      <c r="E1984" s="114" t="s">
        <v>5322</v>
      </c>
    </row>
    <row r="1985" spans="1:5" x14ac:dyDescent="0.25">
      <c r="B1985" s="114" t="s">
        <v>1309</v>
      </c>
      <c r="D1985" s="114" t="s">
        <v>5323</v>
      </c>
      <c r="E1985" s="114" t="s">
        <v>5324</v>
      </c>
    </row>
    <row r="1986" spans="1:5" x14ac:dyDescent="0.25">
      <c r="B1986" s="114" t="s">
        <v>1968</v>
      </c>
      <c r="D1986" s="114" t="s">
        <v>5325</v>
      </c>
      <c r="E1986" s="114" t="s">
        <v>5326</v>
      </c>
    </row>
    <row r="1987" spans="1:5" x14ac:dyDescent="0.25">
      <c r="A1987" s="114">
        <v>25</v>
      </c>
      <c r="B1987" s="114" t="s">
        <v>1969</v>
      </c>
      <c r="D1987" s="114" t="s">
        <v>5327</v>
      </c>
      <c r="E1987" s="114" t="s">
        <v>5328</v>
      </c>
    </row>
    <row r="1988" spans="1:5" x14ac:dyDescent="0.25">
      <c r="B1988" s="114" t="s">
        <v>1387</v>
      </c>
      <c r="D1988" s="114" t="s">
        <v>5329</v>
      </c>
      <c r="E1988" s="114" t="s">
        <v>5330</v>
      </c>
    </row>
    <row r="1989" spans="1:5" x14ac:dyDescent="0.25">
      <c r="A1989" s="114" t="s">
        <v>1072</v>
      </c>
      <c r="B1989" s="114" t="s">
        <v>1970</v>
      </c>
      <c r="D1989" s="114" t="s">
        <v>5331</v>
      </c>
      <c r="E1989" s="114" t="s">
        <v>5332</v>
      </c>
    </row>
    <row r="1990" spans="1:5" x14ac:dyDescent="0.25">
      <c r="A1990" s="114">
        <v>25</v>
      </c>
      <c r="B1990" s="114" t="s">
        <v>1971</v>
      </c>
      <c r="D1990" s="114" t="s">
        <v>5333</v>
      </c>
      <c r="E1990" s="114" t="s">
        <v>5334</v>
      </c>
    </row>
    <row r="1991" spans="1:5" x14ac:dyDescent="0.25">
      <c r="B1991" s="114" t="s">
        <v>1251</v>
      </c>
      <c r="D1991" s="114" t="s">
        <v>5335</v>
      </c>
      <c r="E1991" s="114" t="s">
        <v>3993</v>
      </c>
    </row>
    <row r="1992" spans="1:5" x14ac:dyDescent="0.25">
      <c r="A1992" s="114" t="s">
        <v>1072</v>
      </c>
      <c r="B1992" s="114" t="s">
        <v>1972</v>
      </c>
      <c r="D1992" s="114" t="s">
        <v>5336</v>
      </c>
      <c r="E1992" s="114" t="s">
        <v>4088</v>
      </c>
    </row>
    <row r="1993" spans="1:5" x14ac:dyDescent="0.25">
      <c r="A1993" s="114">
        <v>-1</v>
      </c>
      <c r="B1993" s="114" t="s">
        <v>1973</v>
      </c>
      <c r="C1993" s="114" t="s">
        <v>1072</v>
      </c>
      <c r="D1993" s="114" t="s">
        <v>5337</v>
      </c>
      <c r="E1993" s="114" t="s">
        <v>5338</v>
      </c>
    </row>
    <row r="1994" spans="1:5" x14ac:dyDescent="0.25">
      <c r="B1994" s="114" t="s">
        <v>1073</v>
      </c>
      <c r="D1994" s="114">
        <f>-184    -72</f>
        <v>-256</v>
      </c>
      <c r="E1994" s="114" t="s">
        <v>3993</v>
      </c>
    </row>
    <row r="1995" spans="1:5" x14ac:dyDescent="0.25">
      <c r="B1995" s="114" t="s">
        <v>1073</v>
      </c>
      <c r="D1995" s="114" t="s">
        <v>5339</v>
      </c>
      <c r="E1995" s="114" t="s">
        <v>5340</v>
      </c>
    </row>
    <row r="1996" spans="1:5" x14ac:dyDescent="0.25">
      <c r="A1996" s="114" t="s">
        <v>1072</v>
      </c>
      <c r="B1996" s="114" t="s">
        <v>1974</v>
      </c>
      <c r="D1996" s="114" t="s">
        <v>1073</v>
      </c>
      <c r="E1996" s="114" t="s">
        <v>5341</v>
      </c>
    </row>
    <row r="1997" spans="1:5" x14ac:dyDescent="0.25">
      <c r="B1997" s="114" t="s">
        <v>1073</v>
      </c>
      <c r="D1997" s="114" t="s">
        <v>1073</v>
      </c>
      <c r="E1997" s="114" t="s">
        <v>5342</v>
      </c>
    </row>
    <row r="1998" spans="1:5" x14ac:dyDescent="0.25">
      <c r="B1998" s="114" t="s">
        <v>1073</v>
      </c>
      <c r="D1998" s="114" t="s">
        <v>5343</v>
      </c>
      <c r="E1998" s="114" t="s">
        <v>5344</v>
      </c>
    </row>
    <row r="1999" spans="1:5" x14ac:dyDescent="0.25">
      <c r="B1999" s="114" t="s">
        <v>1975</v>
      </c>
      <c r="D1999" s="114">
        <f>-296   -145</f>
        <v>-441</v>
      </c>
      <c r="E1999" s="114" t="s">
        <v>5345</v>
      </c>
    </row>
    <row r="2000" spans="1:5" x14ac:dyDescent="0.25">
      <c r="B2000" s="114" t="s">
        <v>1976</v>
      </c>
      <c r="D2000" s="114" t="s">
        <v>5346</v>
      </c>
      <c r="E2000" s="114" t="s">
        <v>5347</v>
      </c>
    </row>
    <row r="2001" spans="1:5" x14ac:dyDescent="0.25">
      <c r="B2001" s="114" t="s">
        <v>1977</v>
      </c>
      <c r="D2001" s="114" t="s">
        <v>5348</v>
      </c>
      <c r="E2001" s="114" t="s">
        <v>5349</v>
      </c>
    </row>
    <row r="2002" spans="1:5" x14ac:dyDescent="0.25">
      <c r="A2002" s="114">
        <v>-2</v>
      </c>
      <c r="B2002" s="114" t="s">
        <v>1978</v>
      </c>
      <c r="D2002" s="114" t="s">
        <v>5350</v>
      </c>
      <c r="E2002" s="114" t="s">
        <v>5351</v>
      </c>
    </row>
    <row r="2003" spans="1:5" x14ac:dyDescent="0.25">
      <c r="A2003" s="114" t="s">
        <v>1072</v>
      </c>
      <c r="B2003" s="114" t="s">
        <v>1979</v>
      </c>
      <c r="D2003" s="114">
        <f>-542  -1257   -42</f>
        <v>-1841</v>
      </c>
      <c r="E2003" s="114" t="s">
        <v>5352</v>
      </c>
    </row>
    <row r="2004" spans="1:5" x14ac:dyDescent="0.25">
      <c r="B2004" s="114" t="s">
        <v>1980</v>
      </c>
      <c r="D2004" s="114" t="s">
        <v>5353</v>
      </c>
      <c r="E2004" s="114" t="s">
        <v>5354</v>
      </c>
    </row>
    <row r="2005" spans="1:5" x14ac:dyDescent="0.25">
      <c r="B2005" s="114" t="s">
        <v>1288</v>
      </c>
      <c r="D2005" s="114" t="s">
        <v>1644</v>
      </c>
      <c r="E2005" s="114" t="s">
        <v>5355</v>
      </c>
    </row>
    <row r="2006" spans="1:5" x14ac:dyDescent="0.25">
      <c r="B2006" s="114" t="s">
        <v>1674</v>
      </c>
      <c r="D2006" s="114" t="s">
        <v>5356</v>
      </c>
      <c r="E2006" s="114" t="s">
        <v>5357</v>
      </c>
    </row>
    <row r="2007" spans="1:5" x14ac:dyDescent="0.25">
      <c r="B2007" s="114" t="s">
        <v>1981</v>
      </c>
      <c r="D2007" s="114" t="s">
        <v>5358</v>
      </c>
      <c r="E2007" s="114" t="s">
        <v>5359</v>
      </c>
    </row>
    <row r="2008" spans="1:5" x14ac:dyDescent="0.25">
      <c r="A2008" s="114" t="s">
        <v>1072</v>
      </c>
      <c r="B2008" s="114" t="s">
        <v>1982</v>
      </c>
      <c r="D2008" s="114">
        <f>-299    -57</f>
        <v>-356</v>
      </c>
      <c r="E2008" s="114" t="s">
        <v>5360</v>
      </c>
    </row>
    <row r="2009" spans="1:5" x14ac:dyDescent="0.25">
      <c r="A2009" s="114" t="s">
        <v>1072</v>
      </c>
      <c r="B2009" s="114" t="s">
        <v>1983</v>
      </c>
      <c r="D2009" s="114" t="s">
        <v>5361</v>
      </c>
      <c r="E2009" s="114" t="s">
        <v>3993</v>
      </c>
    </row>
    <row r="2010" spans="1:5" x14ac:dyDescent="0.25">
      <c r="B2010" s="114" t="s">
        <v>1984</v>
      </c>
      <c r="D2010" s="114" t="s">
        <v>5362</v>
      </c>
      <c r="E2010" s="114" t="s">
        <v>4014</v>
      </c>
    </row>
    <row r="2011" spans="1:5" x14ac:dyDescent="0.25">
      <c r="A2011" s="114">
        <v>16</v>
      </c>
      <c r="B2011" s="114" t="s">
        <v>1985</v>
      </c>
      <c r="D2011" s="114" t="s">
        <v>5363</v>
      </c>
      <c r="E2011" s="114" t="s">
        <v>5364</v>
      </c>
    </row>
    <row r="2012" spans="1:5" x14ac:dyDescent="0.25">
      <c r="B2012" s="114" t="s">
        <v>1073</v>
      </c>
      <c r="D2012" s="114" t="s">
        <v>5365</v>
      </c>
      <c r="E2012" s="114" t="s">
        <v>4077</v>
      </c>
    </row>
    <row r="2013" spans="1:5" x14ac:dyDescent="0.25">
      <c r="B2013" s="114" t="s">
        <v>1073</v>
      </c>
      <c r="D2013" s="114" t="s">
        <v>5366</v>
      </c>
      <c r="E2013" s="114" t="s">
        <v>5367</v>
      </c>
    </row>
    <row r="2014" spans="1:5" x14ac:dyDescent="0.25">
      <c r="B2014" s="114" t="s">
        <v>1986</v>
      </c>
      <c r="D2014" s="114" t="s">
        <v>5368</v>
      </c>
      <c r="E2014" s="114" t="s">
        <v>5369</v>
      </c>
    </row>
    <row r="2015" spans="1:5" x14ac:dyDescent="0.25">
      <c r="B2015" s="114" t="s">
        <v>1433</v>
      </c>
      <c r="D2015" s="114" t="s">
        <v>1073</v>
      </c>
      <c r="E2015" s="114" t="s">
        <v>5370</v>
      </c>
    </row>
    <row r="2016" spans="1:5" x14ac:dyDescent="0.25">
      <c r="B2016" s="114" t="s">
        <v>1073</v>
      </c>
      <c r="D2016" s="114" t="s">
        <v>5371</v>
      </c>
      <c r="E2016" s="114" t="s">
        <v>5372</v>
      </c>
    </row>
    <row r="2017" spans="1:5" x14ac:dyDescent="0.25">
      <c r="B2017" s="114" t="s">
        <v>1073</v>
      </c>
      <c r="D2017" s="114">
        <f>-704  -1520   -11</f>
        <v>-2235</v>
      </c>
      <c r="E2017" s="114" t="s">
        <v>5373</v>
      </c>
    </row>
    <row r="2018" spans="1:5" x14ac:dyDescent="0.25">
      <c r="A2018" s="114" t="s">
        <v>1072</v>
      </c>
      <c r="B2018" s="114" t="s">
        <v>1987</v>
      </c>
      <c r="D2018" s="114" t="s">
        <v>5374</v>
      </c>
      <c r="E2018" s="114" t="s">
        <v>5375</v>
      </c>
    </row>
    <row r="2019" spans="1:5" x14ac:dyDescent="0.25">
      <c r="B2019" s="114" t="s">
        <v>1412</v>
      </c>
      <c r="D2019" s="114" t="s">
        <v>5376</v>
      </c>
      <c r="E2019" s="114" t="s">
        <v>5377</v>
      </c>
    </row>
    <row r="2020" spans="1:5" x14ac:dyDescent="0.25">
      <c r="A2020" s="114">
        <v>1</v>
      </c>
      <c r="B2020" s="114" t="s">
        <v>1988</v>
      </c>
      <c r="D2020" s="114" t="s">
        <v>5378</v>
      </c>
      <c r="E2020" s="114" t="s">
        <v>5379</v>
      </c>
    </row>
    <row r="2021" spans="1:5" x14ac:dyDescent="0.25">
      <c r="A2021" s="114" t="s">
        <v>1072</v>
      </c>
      <c r="B2021" s="114" t="s">
        <v>1989</v>
      </c>
      <c r="D2021" s="114" t="s">
        <v>1474</v>
      </c>
      <c r="E2021" s="114" t="s">
        <v>5380</v>
      </c>
    </row>
    <row r="2022" spans="1:5" x14ac:dyDescent="0.25">
      <c r="B2022" s="114" t="s">
        <v>1990</v>
      </c>
      <c r="D2022" s="114" t="s">
        <v>5381</v>
      </c>
      <c r="E2022" s="114" t="s">
        <v>5382</v>
      </c>
    </row>
    <row r="2023" spans="1:5" x14ac:dyDescent="0.25">
      <c r="B2023" s="114" t="s">
        <v>1991</v>
      </c>
      <c r="D2023" s="114" t="s">
        <v>5383</v>
      </c>
      <c r="E2023" s="114" t="s">
        <v>5384</v>
      </c>
    </row>
    <row r="2024" spans="1:5" x14ac:dyDescent="0.25">
      <c r="B2024" s="114" t="s">
        <v>1073</v>
      </c>
      <c r="D2024" s="114" t="s">
        <v>5385</v>
      </c>
      <c r="E2024" s="114" t="s">
        <v>5386</v>
      </c>
    </row>
    <row r="2025" spans="1:5" x14ac:dyDescent="0.25">
      <c r="B2025" s="114" t="s">
        <v>1992</v>
      </c>
      <c r="D2025" s="114" t="s">
        <v>5387</v>
      </c>
      <c r="E2025" s="114" t="s">
        <v>5388</v>
      </c>
    </row>
    <row r="2026" spans="1:5" x14ac:dyDescent="0.25">
      <c r="B2026" s="114" t="s">
        <v>1993</v>
      </c>
      <c r="D2026" s="114">
        <f>-208  -3868   -58</f>
        <v>-4134</v>
      </c>
      <c r="E2026" s="114" t="s">
        <v>5389</v>
      </c>
    </row>
    <row r="2027" spans="1:5" x14ac:dyDescent="0.25">
      <c r="B2027" s="114" t="s">
        <v>1292</v>
      </c>
      <c r="D2027" s="114" t="s">
        <v>3270</v>
      </c>
      <c r="E2027" s="114" t="s">
        <v>3993</v>
      </c>
    </row>
    <row r="2028" spans="1:5" x14ac:dyDescent="0.25">
      <c r="B2028" s="114" t="s">
        <v>1994</v>
      </c>
      <c r="D2028" s="114" t="s">
        <v>5390</v>
      </c>
      <c r="E2028" s="114" t="s">
        <v>5391</v>
      </c>
    </row>
    <row r="2029" spans="1:5" x14ac:dyDescent="0.25">
      <c r="B2029" s="114" t="s">
        <v>1995</v>
      </c>
      <c r="C2029" s="114" t="s">
        <v>1072</v>
      </c>
      <c r="D2029" s="114" t="s">
        <v>5392</v>
      </c>
      <c r="E2029" s="114" t="s">
        <v>5393</v>
      </c>
    </row>
    <row r="2030" spans="1:5" x14ac:dyDescent="0.25">
      <c r="B2030" s="114" t="s">
        <v>1357</v>
      </c>
      <c r="D2030" s="114" t="s">
        <v>1073</v>
      </c>
      <c r="E2030" s="114" t="s">
        <v>5394</v>
      </c>
    </row>
    <row r="2031" spans="1:5" x14ac:dyDescent="0.25">
      <c r="B2031" s="114" t="s">
        <v>1073</v>
      </c>
      <c r="D2031" s="114" t="s">
        <v>1073</v>
      </c>
      <c r="E2031" s="114" t="s">
        <v>5395</v>
      </c>
    </row>
    <row r="2032" spans="1:5" x14ac:dyDescent="0.25">
      <c r="B2032" s="114" t="s">
        <v>1996</v>
      </c>
      <c r="D2032" s="114" t="s">
        <v>5396</v>
      </c>
      <c r="E2032" s="114" t="s">
        <v>5397</v>
      </c>
    </row>
    <row r="2033" spans="1:5" x14ac:dyDescent="0.25">
      <c r="B2033" s="114" t="s">
        <v>1073</v>
      </c>
      <c r="D2033" s="114" t="s">
        <v>1230</v>
      </c>
      <c r="E2033" s="114" t="s">
        <v>5398</v>
      </c>
    </row>
    <row r="2034" spans="1:5" x14ac:dyDescent="0.25">
      <c r="B2034" s="114" t="s">
        <v>1073</v>
      </c>
      <c r="D2034" s="114" t="s">
        <v>1073</v>
      </c>
      <c r="E2034" s="114" t="s">
        <v>5399</v>
      </c>
    </row>
    <row r="2035" spans="1:5" x14ac:dyDescent="0.25">
      <c r="B2035" s="114" t="s">
        <v>1073</v>
      </c>
      <c r="D2035" s="114" t="s">
        <v>5400</v>
      </c>
      <c r="E2035" s="114" t="s">
        <v>5401</v>
      </c>
    </row>
    <row r="2036" spans="1:5" x14ac:dyDescent="0.25">
      <c r="B2036" s="114" t="s">
        <v>1167</v>
      </c>
      <c r="D2036" s="114">
        <f>-133    -89    -8</f>
        <v>-230</v>
      </c>
      <c r="E2036" s="114" t="s">
        <v>5402</v>
      </c>
    </row>
    <row r="2037" spans="1:5" x14ac:dyDescent="0.25">
      <c r="B2037" s="114" t="s">
        <v>1073</v>
      </c>
      <c r="D2037" s="114" t="s">
        <v>5403</v>
      </c>
      <c r="E2037" s="114" t="s">
        <v>5404</v>
      </c>
    </row>
    <row r="2038" spans="1:5" x14ac:dyDescent="0.25">
      <c r="A2038" s="114">
        <v>1</v>
      </c>
      <c r="B2038" s="114" t="s">
        <v>1997</v>
      </c>
      <c r="D2038" s="114" t="s">
        <v>5405</v>
      </c>
      <c r="E2038" s="114" t="s">
        <v>5406</v>
      </c>
    </row>
    <row r="2039" spans="1:5" x14ac:dyDescent="0.25">
      <c r="B2039" s="114" t="s">
        <v>1073</v>
      </c>
      <c r="D2039" s="114">
        <f>-164    -71</f>
        <v>-235</v>
      </c>
      <c r="E2039" s="114" t="s">
        <v>5407</v>
      </c>
    </row>
    <row r="2040" spans="1:5" x14ac:dyDescent="0.25">
      <c r="B2040" s="114" t="s">
        <v>1073</v>
      </c>
      <c r="D2040" s="114" t="s">
        <v>5408</v>
      </c>
      <c r="E2040" s="114" t="s">
        <v>5409</v>
      </c>
    </row>
    <row r="2041" spans="1:5" x14ac:dyDescent="0.25">
      <c r="A2041" s="114" t="s">
        <v>1072</v>
      </c>
      <c r="B2041" s="114" t="s">
        <v>1998</v>
      </c>
      <c r="D2041" s="114" t="s">
        <v>5410</v>
      </c>
      <c r="E2041" s="114" t="s">
        <v>5411</v>
      </c>
    </row>
    <row r="2042" spans="1:5" x14ac:dyDescent="0.25">
      <c r="B2042" s="114" t="s">
        <v>1282</v>
      </c>
      <c r="D2042" s="114" t="s">
        <v>4784</v>
      </c>
      <c r="E2042" s="114" t="s">
        <v>5412</v>
      </c>
    </row>
    <row r="2043" spans="1:5" x14ac:dyDescent="0.25">
      <c r="B2043" s="114" t="s">
        <v>1073</v>
      </c>
      <c r="D2043" s="114" t="s">
        <v>5413</v>
      </c>
      <c r="E2043" s="114" t="s">
        <v>5414</v>
      </c>
    </row>
    <row r="2044" spans="1:5" x14ac:dyDescent="0.25">
      <c r="B2044" s="114" t="s">
        <v>1073</v>
      </c>
      <c r="D2044" s="114" t="s">
        <v>5415</v>
      </c>
      <c r="E2044" s="114" t="s">
        <v>5416</v>
      </c>
    </row>
    <row r="2045" spans="1:5" x14ac:dyDescent="0.25">
      <c r="B2045" s="114" t="s">
        <v>1999</v>
      </c>
      <c r="D2045" s="114" t="s">
        <v>2149</v>
      </c>
      <c r="E2045" s="114" t="s">
        <v>5417</v>
      </c>
    </row>
    <row r="2046" spans="1:5" x14ac:dyDescent="0.25">
      <c r="B2046" s="114" t="s">
        <v>1073</v>
      </c>
      <c r="D2046" s="114" t="s">
        <v>5418</v>
      </c>
      <c r="E2046" s="114" t="s">
        <v>5419</v>
      </c>
    </row>
    <row r="2047" spans="1:5" x14ac:dyDescent="0.25">
      <c r="B2047" s="114" t="s">
        <v>1073</v>
      </c>
      <c r="D2047" s="114" t="s">
        <v>5420</v>
      </c>
      <c r="E2047" s="114" t="s">
        <v>5421</v>
      </c>
    </row>
    <row r="2048" spans="1:5" x14ac:dyDescent="0.25">
      <c r="B2048" s="114" t="s">
        <v>1073</v>
      </c>
      <c r="D2048" s="114" t="s">
        <v>5422</v>
      </c>
      <c r="E2048" s="114" t="s">
        <v>5423</v>
      </c>
    </row>
    <row r="2049" spans="1:5" x14ac:dyDescent="0.25">
      <c r="B2049" s="114" t="s">
        <v>1073</v>
      </c>
      <c r="D2049" s="114" t="s">
        <v>1073</v>
      </c>
      <c r="E2049" s="114" t="s">
        <v>5424</v>
      </c>
    </row>
    <row r="2050" spans="1:5" x14ac:dyDescent="0.25">
      <c r="B2050" s="114" t="s">
        <v>1073</v>
      </c>
      <c r="D2050" s="114">
        <f>-246   -325   -62</f>
        <v>-633</v>
      </c>
      <c r="E2050" s="114" t="s">
        <v>5425</v>
      </c>
    </row>
    <row r="2051" spans="1:5" x14ac:dyDescent="0.25">
      <c r="B2051" s="114" t="s">
        <v>1272</v>
      </c>
      <c r="D2051" s="114" t="s">
        <v>1073</v>
      </c>
      <c r="E2051" s="114" t="s">
        <v>5426</v>
      </c>
    </row>
    <row r="2052" spans="1:5" x14ac:dyDescent="0.25">
      <c r="B2052" s="114" t="s">
        <v>1500</v>
      </c>
      <c r="D2052" s="114" t="s">
        <v>1073</v>
      </c>
      <c r="E2052" s="114" t="s">
        <v>5427</v>
      </c>
    </row>
    <row r="2053" spans="1:5" x14ac:dyDescent="0.25">
      <c r="A2053" s="114">
        <v>1</v>
      </c>
      <c r="B2053" s="114" t="s">
        <v>2000</v>
      </c>
      <c r="D2053" s="114" t="s">
        <v>5428</v>
      </c>
      <c r="E2053" s="114" t="s">
        <v>5429</v>
      </c>
    </row>
    <row r="2054" spans="1:5" x14ac:dyDescent="0.25">
      <c r="B2054" s="114" t="s">
        <v>1073</v>
      </c>
      <c r="D2054" s="114" t="s">
        <v>5430</v>
      </c>
      <c r="E2054" s="114" t="s">
        <v>5431</v>
      </c>
    </row>
    <row r="2055" spans="1:5" x14ac:dyDescent="0.25">
      <c r="B2055" s="114" t="s">
        <v>2001</v>
      </c>
      <c r="D2055" s="114" t="s">
        <v>1073</v>
      </c>
      <c r="E2055" s="114" t="s">
        <v>5432</v>
      </c>
    </row>
    <row r="2056" spans="1:5" x14ac:dyDescent="0.25">
      <c r="A2056" s="114">
        <v>1</v>
      </c>
      <c r="B2056" s="114" t="s">
        <v>2002</v>
      </c>
      <c r="D2056" s="114" t="s">
        <v>5433</v>
      </c>
      <c r="E2056" s="114" t="s">
        <v>5434</v>
      </c>
    </row>
    <row r="2057" spans="1:5" x14ac:dyDescent="0.25">
      <c r="A2057" s="114">
        <v>-6</v>
      </c>
      <c r="B2057" s="114" t="s">
        <v>2003</v>
      </c>
      <c r="C2057" s="114" t="s">
        <v>1072</v>
      </c>
      <c r="D2057" s="114" t="s">
        <v>5435</v>
      </c>
      <c r="E2057" s="114" t="s">
        <v>5436</v>
      </c>
    </row>
    <row r="2058" spans="1:5" x14ac:dyDescent="0.25">
      <c r="A2058" s="114" t="s">
        <v>1072</v>
      </c>
      <c r="B2058" s="114" t="s">
        <v>2004</v>
      </c>
      <c r="D2058" s="114" t="s">
        <v>1073</v>
      </c>
      <c r="E2058" s="114" t="s">
        <v>5437</v>
      </c>
    </row>
    <row r="2059" spans="1:5" x14ac:dyDescent="0.25">
      <c r="A2059" s="114">
        <v>1</v>
      </c>
      <c r="B2059" s="114" t="s">
        <v>2005</v>
      </c>
      <c r="D2059" s="114" t="s">
        <v>5438</v>
      </c>
      <c r="E2059" s="114" t="s">
        <v>5439</v>
      </c>
    </row>
    <row r="2060" spans="1:5" x14ac:dyDescent="0.25">
      <c r="B2060" s="114" t="s">
        <v>2006</v>
      </c>
      <c r="D2060" s="114" t="s">
        <v>5440</v>
      </c>
      <c r="E2060" s="114" t="s">
        <v>5441</v>
      </c>
    </row>
    <row r="2061" spans="1:5" x14ac:dyDescent="0.25">
      <c r="B2061" s="114" t="s">
        <v>2007</v>
      </c>
      <c r="D2061" s="114" t="s">
        <v>1073</v>
      </c>
      <c r="E2061" s="114" t="s">
        <v>5442</v>
      </c>
    </row>
    <row r="2062" spans="1:5" x14ac:dyDescent="0.25">
      <c r="A2062" s="114">
        <v>1</v>
      </c>
      <c r="B2062" s="114" t="s">
        <v>2008</v>
      </c>
      <c r="D2062" s="114" t="s">
        <v>1073</v>
      </c>
      <c r="E2062" s="114" t="s">
        <v>5443</v>
      </c>
    </row>
    <row r="2063" spans="1:5" x14ac:dyDescent="0.25">
      <c r="B2063" s="114" t="s">
        <v>2009</v>
      </c>
      <c r="D2063" s="114" t="s">
        <v>4154</v>
      </c>
      <c r="E2063" s="114" t="s">
        <v>5444</v>
      </c>
    </row>
    <row r="2064" spans="1:5" x14ac:dyDescent="0.25">
      <c r="B2064" s="114" t="s">
        <v>1073</v>
      </c>
      <c r="D2064" s="114" t="s">
        <v>1073</v>
      </c>
      <c r="E2064" s="114" t="s">
        <v>5445</v>
      </c>
    </row>
    <row r="2065" spans="1:5" x14ac:dyDescent="0.25">
      <c r="A2065" s="114">
        <v>-6</v>
      </c>
      <c r="B2065" s="114" t="s">
        <v>1181</v>
      </c>
      <c r="D2065" s="114" t="s">
        <v>1073</v>
      </c>
      <c r="E2065" s="114" t="s">
        <v>5446</v>
      </c>
    </row>
    <row r="2066" spans="1:5" x14ac:dyDescent="0.25">
      <c r="A2066" s="114" t="s">
        <v>1072</v>
      </c>
      <c r="B2066" s="114" t="s">
        <v>2010</v>
      </c>
      <c r="D2066" s="114" t="s">
        <v>5447</v>
      </c>
      <c r="E2066" s="114" t="s">
        <v>5448</v>
      </c>
    </row>
    <row r="2067" spans="1:5" x14ac:dyDescent="0.25">
      <c r="B2067" s="114" t="s">
        <v>1073</v>
      </c>
      <c r="D2067" s="114">
        <f>-7   -205</f>
        <v>-212</v>
      </c>
      <c r="E2067" s="114" t="s">
        <v>3993</v>
      </c>
    </row>
    <row r="2068" spans="1:5" x14ac:dyDescent="0.25">
      <c r="B2068" s="114" t="s">
        <v>1073</v>
      </c>
      <c r="D2068" s="114" t="s">
        <v>5449</v>
      </c>
      <c r="E2068" s="114" t="s">
        <v>5450</v>
      </c>
    </row>
    <row r="2069" spans="1:5" x14ac:dyDescent="0.25">
      <c r="A2069" s="114">
        <v>-1</v>
      </c>
      <c r="B2069" s="114" t="s">
        <v>2011</v>
      </c>
      <c r="D2069" s="114" t="s">
        <v>1073</v>
      </c>
      <c r="E2069" s="114" t="s">
        <v>5451</v>
      </c>
    </row>
    <row r="2070" spans="1:5" x14ac:dyDescent="0.25">
      <c r="B2070" s="114" t="s">
        <v>1073</v>
      </c>
      <c r="D2070" s="114" t="s">
        <v>1073</v>
      </c>
      <c r="E2070" s="114" t="s">
        <v>5452</v>
      </c>
    </row>
    <row r="2071" spans="1:5" x14ac:dyDescent="0.25">
      <c r="B2071" s="114" t="s">
        <v>1073</v>
      </c>
      <c r="D2071" s="114" t="s">
        <v>5453</v>
      </c>
      <c r="E2071" s="114" t="s">
        <v>5454</v>
      </c>
    </row>
    <row r="2072" spans="1:5" x14ac:dyDescent="0.25">
      <c r="B2072" s="114" t="s">
        <v>2012</v>
      </c>
      <c r="C2072" s="114" t="s">
        <v>1072</v>
      </c>
      <c r="D2072" s="114" t="s">
        <v>5455</v>
      </c>
      <c r="E2072" s="114" t="s">
        <v>5456</v>
      </c>
    </row>
    <row r="2073" spans="1:5" x14ac:dyDescent="0.25">
      <c r="B2073" s="114" t="s">
        <v>2013</v>
      </c>
      <c r="D2073" s="114" t="s">
        <v>5457</v>
      </c>
      <c r="E2073" s="114" t="s">
        <v>5458</v>
      </c>
    </row>
    <row r="2074" spans="1:5" x14ac:dyDescent="0.25">
      <c r="A2074" s="114">
        <v>-2</v>
      </c>
      <c r="B2074" s="114" t="s">
        <v>2014</v>
      </c>
      <c r="D2074" s="114" t="s">
        <v>5459</v>
      </c>
      <c r="E2074" s="114" t="s">
        <v>5460</v>
      </c>
    </row>
    <row r="2075" spans="1:5" x14ac:dyDescent="0.25">
      <c r="A2075" s="114">
        <v>-1</v>
      </c>
      <c r="B2075" s="114" t="s">
        <v>2015</v>
      </c>
      <c r="D2075" s="114" t="s">
        <v>5461</v>
      </c>
      <c r="E2075" s="114" t="s">
        <v>5462</v>
      </c>
    </row>
    <row r="2076" spans="1:5" x14ac:dyDescent="0.25">
      <c r="A2076" s="114" t="s">
        <v>1072</v>
      </c>
      <c r="B2076" s="114" t="s">
        <v>1409</v>
      </c>
      <c r="D2076" s="114" t="s">
        <v>5463</v>
      </c>
      <c r="E2076" s="114" t="s">
        <v>5464</v>
      </c>
    </row>
    <row r="2077" spans="1:5" x14ac:dyDescent="0.25">
      <c r="A2077" s="114" t="s">
        <v>1072</v>
      </c>
      <c r="B2077" s="114" t="s">
        <v>2016</v>
      </c>
      <c r="D2077" s="114" t="s">
        <v>5465</v>
      </c>
      <c r="E2077" s="114" t="s">
        <v>5466</v>
      </c>
    </row>
    <row r="2078" spans="1:5" x14ac:dyDescent="0.25">
      <c r="A2078" s="114">
        <v>-1</v>
      </c>
      <c r="B2078" s="114" t="s">
        <v>2017</v>
      </c>
      <c r="D2078" s="114" t="s">
        <v>5467</v>
      </c>
      <c r="E2078" s="114" t="s">
        <v>5468</v>
      </c>
    </row>
    <row r="2079" spans="1:5" x14ac:dyDescent="0.25">
      <c r="B2079" s="114" t="s">
        <v>2018</v>
      </c>
      <c r="D2079" s="114" t="s">
        <v>5469</v>
      </c>
      <c r="E2079" s="114" t="s">
        <v>5470</v>
      </c>
    </row>
    <row r="2080" spans="1:5" x14ac:dyDescent="0.25">
      <c r="A2080" s="114" t="s">
        <v>1072</v>
      </c>
      <c r="B2080" s="114" t="s">
        <v>2019</v>
      </c>
      <c r="D2080" s="114" t="s">
        <v>5471</v>
      </c>
      <c r="E2080" s="114" t="s">
        <v>5472</v>
      </c>
    </row>
    <row r="2081" spans="1:5" x14ac:dyDescent="0.25">
      <c r="A2081" s="114" t="s">
        <v>1072</v>
      </c>
      <c r="B2081" s="114" t="s">
        <v>2020</v>
      </c>
      <c r="D2081" s="114" t="s">
        <v>5473</v>
      </c>
      <c r="E2081" s="114" t="s">
        <v>5474</v>
      </c>
    </row>
    <row r="2082" spans="1:5" x14ac:dyDescent="0.25">
      <c r="B2082" s="114" t="s">
        <v>2021</v>
      </c>
      <c r="D2082" s="114" t="s">
        <v>5475</v>
      </c>
      <c r="E2082" s="114" t="s">
        <v>3993</v>
      </c>
    </row>
    <row r="2083" spans="1:5" x14ac:dyDescent="0.25">
      <c r="A2083" s="114" t="s">
        <v>1072</v>
      </c>
      <c r="B2083" s="114" t="s">
        <v>2022</v>
      </c>
      <c r="D2083" s="114" t="s">
        <v>5476</v>
      </c>
      <c r="E2083" s="114" t="s">
        <v>4118</v>
      </c>
    </row>
    <row r="2084" spans="1:5" x14ac:dyDescent="0.25">
      <c r="A2084" s="114">
        <v>-12</v>
      </c>
      <c r="B2084" s="114" t="s">
        <v>2023</v>
      </c>
      <c r="D2084" s="114" t="s">
        <v>5477</v>
      </c>
      <c r="E2084" s="114" t="s">
        <v>5478</v>
      </c>
    </row>
    <row r="2085" spans="1:5" x14ac:dyDescent="0.25">
      <c r="B2085" s="114" t="s">
        <v>2024</v>
      </c>
      <c r="D2085" s="114" t="s">
        <v>5479</v>
      </c>
      <c r="E2085" s="114" t="s">
        <v>5480</v>
      </c>
    </row>
    <row r="2086" spans="1:5" x14ac:dyDescent="0.25">
      <c r="B2086" s="114" t="s">
        <v>1073</v>
      </c>
      <c r="D2086" s="114" t="s">
        <v>1073</v>
      </c>
      <c r="E2086" s="114" t="s">
        <v>5481</v>
      </c>
    </row>
    <row r="2087" spans="1:5" x14ac:dyDescent="0.25">
      <c r="B2087" s="114" t="s">
        <v>2025</v>
      </c>
      <c r="D2087" s="114" t="s">
        <v>5482</v>
      </c>
      <c r="E2087" s="114" t="s">
        <v>5483</v>
      </c>
    </row>
    <row r="2088" spans="1:5" x14ac:dyDescent="0.25">
      <c r="B2088" s="114" t="s">
        <v>1453</v>
      </c>
      <c r="D2088" s="114" t="s">
        <v>5484</v>
      </c>
      <c r="E2088" s="114" t="s">
        <v>4044</v>
      </c>
    </row>
    <row r="2089" spans="1:5" x14ac:dyDescent="0.25">
      <c r="B2089" s="114" t="s">
        <v>1476</v>
      </c>
      <c r="D2089" s="114" t="s">
        <v>1073</v>
      </c>
      <c r="E2089" s="114" t="s">
        <v>5485</v>
      </c>
    </row>
    <row r="2090" spans="1:5" x14ac:dyDescent="0.25">
      <c r="B2090" s="114" t="s">
        <v>2026</v>
      </c>
      <c r="D2090" s="114" t="s">
        <v>1073</v>
      </c>
      <c r="E2090" s="114" t="s">
        <v>5486</v>
      </c>
    </row>
    <row r="2091" spans="1:5" x14ac:dyDescent="0.25">
      <c r="B2091" s="114" t="s">
        <v>2027</v>
      </c>
      <c r="D2091" s="114" t="s">
        <v>5487</v>
      </c>
      <c r="E2091" s="114" t="s">
        <v>5488</v>
      </c>
    </row>
    <row r="2092" spans="1:5" x14ac:dyDescent="0.25">
      <c r="B2092" s="114" t="s">
        <v>1477</v>
      </c>
      <c r="D2092" s="114" t="s">
        <v>1073</v>
      </c>
      <c r="E2092" s="114" t="s">
        <v>5489</v>
      </c>
    </row>
    <row r="2093" spans="1:5" x14ac:dyDescent="0.25">
      <c r="A2093" s="114" t="s">
        <v>1072</v>
      </c>
      <c r="B2093" s="114" t="s">
        <v>2028</v>
      </c>
      <c r="D2093" s="114" t="s">
        <v>5490</v>
      </c>
      <c r="E2093" s="114" t="s">
        <v>5491</v>
      </c>
    </row>
    <row r="2094" spans="1:5" x14ac:dyDescent="0.25">
      <c r="A2094" s="114">
        <v>-1</v>
      </c>
      <c r="B2094" s="114" t="s">
        <v>2029</v>
      </c>
      <c r="D2094" s="114" t="s">
        <v>5492</v>
      </c>
      <c r="E2094" s="114" t="s">
        <v>5493</v>
      </c>
    </row>
    <row r="2095" spans="1:5" x14ac:dyDescent="0.25">
      <c r="A2095" s="114" t="s">
        <v>1072</v>
      </c>
      <c r="B2095" s="114" t="s">
        <v>1076</v>
      </c>
      <c r="D2095" s="114" t="s">
        <v>1073</v>
      </c>
      <c r="E2095" s="114" t="s">
        <v>5494</v>
      </c>
    </row>
    <row r="2096" spans="1:5" x14ac:dyDescent="0.25">
      <c r="A2096" s="114" t="s">
        <v>1072</v>
      </c>
      <c r="B2096" s="114" t="s">
        <v>2030</v>
      </c>
      <c r="D2096" s="114" t="s">
        <v>5495</v>
      </c>
      <c r="E2096" s="114" t="s">
        <v>5496</v>
      </c>
    </row>
    <row r="2097" spans="1:5" x14ac:dyDescent="0.25">
      <c r="A2097" s="114">
        <v>-1</v>
      </c>
      <c r="B2097" s="114" t="s">
        <v>2031</v>
      </c>
      <c r="D2097" s="114" t="s">
        <v>5497</v>
      </c>
      <c r="E2097" s="114" t="s">
        <v>5498</v>
      </c>
    </row>
    <row r="2098" spans="1:5" x14ac:dyDescent="0.25">
      <c r="A2098" s="114" t="s">
        <v>1072</v>
      </c>
      <c r="B2098" s="114" t="s">
        <v>1108</v>
      </c>
      <c r="D2098" s="114" t="s">
        <v>1073</v>
      </c>
      <c r="E2098" s="114" t="s">
        <v>5499</v>
      </c>
    </row>
    <row r="2099" spans="1:5" x14ac:dyDescent="0.25">
      <c r="B2099" s="114" t="s">
        <v>1120</v>
      </c>
      <c r="D2099" s="114" t="s">
        <v>5500</v>
      </c>
      <c r="E2099" s="114" t="s">
        <v>5501</v>
      </c>
    </row>
    <row r="2100" spans="1:5" x14ac:dyDescent="0.25">
      <c r="A2100" s="114">
        <v>-1</v>
      </c>
      <c r="B2100" s="114" t="s">
        <v>1241</v>
      </c>
      <c r="D2100" s="114" t="s">
        <v>5502</v>
      </c>
      <c r="E2100" s="114" t="s">
        <v>5503</v>
      </c>
    </row>
    <row r="2101" spans="1:5" x14ac:dyDescent="0.25">
      <c r="B2101" s="114" t="s">
        <v>1073</v>
      </c>
      <c r="D2101" s="114" t="s">
        <v>1073</v>
      </c>
      <c r="E2101" s="114" t="s">
        <v>5504</v>
      </c>
    </row>
    <row r="2102" spans="1:5" x14ac:dyDescent="0.25">
      <c r="B2102" s="114" t="s">
        <v>1073</v>
      </c>
      <c r="D2102" s="114" t="s">
        <v>1073</v>
      </c>
      <c r="E2102" s="114" t="s">
        <v>5505</v>
      </c>
    </row>
    <row r="2103" spans="1:5" x14ac:dyDescent="0.25">
      <c r="A2103" s="114">
        <v>-19</v>
      </c>
      <c r="B2103" s="114" t="s">
        <v>2032</v>
      </c>
      <c r="D2103" s="114" t="s">
        <v>1073</v>
      </c>
      <c r="E2103" s="114" t="s">
        <v>3993</v>
      </c>
    </row>
    <row r="2104" spans="1:5" x14ac:dyDescent="0.25">
      <c r="B2104" s="114" t="s">
        <v>1073</v>
      </c>
      <c r="D2104" s="114" t="s">
        <v>1073</v>
      </c>
      <c r="E2104" s="114" t="s">
        <v>3993</v>
      </c>
    </row>
    <row r="2105" spans="1:5" x14ac:dyDescent="0.25">
      <c r="B2105" s="114" t="s">
        <v>1073</v>
      </c>
      <c r="D2105" s="114" t="s">
        <v>1073</v>
      </c>
      <c r="E2105" s="114" t="s">
        <v>3993</v>
      </c>
    </row>
    <row r="2106" spans="1:5" x14ac:dyDescent="0.25">
      <c r="B2106" s="114" t="s">
        <v>1073</v>
      </c>
      <c r="D2106" s="114" t="s">
        <v>1073</v>
      </c>
      <c r="E2106" s="114" t="s">
        <v>3993</v>
      </c>
    </row>
    <row r="2107" spans="1:5" x14ac:dyDescent="0.25">
      <c r="B2107" s="114" t="s">
        <v>1073</v>
      </c>
      <c r="D2107" s="114" t="s">
        <v>1073</v>
      </c>
      <c r="E2107" s="114" t="s">
        <v>3993</v>
      </c>
    </row>
    <row r="2108" spans="1:5" x14ac:dyDescent="0.25">
      <c r="B2108" s="114" t="s">
        <v>1073</v>
      </c>
      <c r="D2108" s="114" t="s">
        <v>1073</v>
      </c>
      <c r="E2108" s="114" t="s">
        <v>3993</v>
      </c>
    </row>
    <row r="2109" spans="1:5" x14ac:dyDescent="0.25">
      <c r="B2109" s="114" t="s">
        <v>1073</v>
      </c>
      <c r="D2109" s="114" t="s">
        <v>1073</v>
      </c>
      <c r="E2109" s="114" t="s">
        <v>3993</v>
      </c>
    </row>
    <row r="2110" spans="1:5" x14ac:dyDescent="0.25">
      <c r="B2110" s="114" t="s">
        <v>1073</v>
      </c>
      <c r="D2110" s="114" t="s">
        <v>1073</v>
      </c>
      <c r="E2110" s="114" t="s">
        <v>3993</v>
      </c>
    </row>
    <row r="2111" spans="1:5" x14ac:dyDescent="0.25">
      <c r="B2111" s="114" t="s">
        <v>1073</v>
      </c>
      <c r="D2111" s="114" t="s">
        <v>1073</v>
      </c>
      <c r="E2111" s="114" t="s">
        <v>3993</v>
      </c>
    </row>
    <row r="2112" spans="1:5" x14ac:dyDescent="0.25">
      <c r="B2112" s="114" t="s">
        <v>1073</v>
      </c>
      <c r="D2112" s="114" t="s">
        <v>1073</v>
      </c>
      <c r="E2112" s="114" t="s">
        <v>3993</v>
      </c>
    </row>
    <row r="2113" spans="2:5" x14ac:dyDescent="0.25">
      <c r="B2113" s="114" t="s">
        <v>1073</v>
      </c>
      <c r="D2113" s="114" t="s">
        <v>1073</v>
      </c>
      <c r="E2113" s="114" t="s">
        <v>3993</v>
      </c>
    </row>
    <row r="2114" spans="2:5" x14ac:dyDescent="0.25">
      <c r="B2114" s="114" t="s">
        <v>1073</v>
      </c>
      <c r="D2114" s="114" t="s">
        <v>1073</v>
      </c>
      <c r="E2114" s="114" t="s">
        <v>3993</v>
      </c>
    </row>
    <row r="2115" spans="2:5" x14ac:dyDescent="0.25">
      <c r="B2115" s="114" t="s">
        <v>1073</v>
      </c>
      <c r="D2115" s="114" t="s">
        <v>1073</v>
      </c>
      <c r="E2115" s="114" t="s">
        <v>3993</v>
      </c>
    </row>
    <row r="2116" spans="2:5" x14ac:dyDescent="0.25">
      <c r="B2116" s="114" t="s">
        <v>1073</v>
      </c>
      <c r="D2116" s="114" t="s">
        <v>1073</v>
      </c>
      <c r="E2116" s="114" t="s">
        <v>3993</v>
      </c>
    </row>
    <row r="2117" spans="2:5" x14ac:dyDescent="0.25">
      <c r="B2117" s="114" t="s">
        <v>1073</v>
      </c>
      <c r="D2117" s="114" t="s">
        <v>1073</v>
      </c>
      <c r="E2117" s="114" t="s">
        <v>3993</v>
      </c>
    </row>
    <row r="2118" spans="2:5" x14ac:dyDescent="0.25">
      <c r="B2118" s="114" t="s">
        <v>1073</v>
      </c>
      <c r="D2118" s="114" t="s">
        <v>1073</v>
      </c>
      <c r="E2118" s="114" t="s">
        <v>3993</v>
      </c>
    </row>
    <row r="2119" spans="2:5" x14ac:dyDescent="0.25">
      <c r="B2119" s="114" t="s">
        <v>1073</v>
      </c>
      <c r="D2119" s="114" t="s">
        <v>1073</v>
      </c>
      <c r="E2119" s="114" t="s">
        <v>3993</v>
      </c>
    </row>
    <row r="2120" spans="2:5" x14ac:dyDescent="0.25">
      <c r="B2120" s="114" t="s">
        <v>1073</v>
      </c>
      <c r="D2120" s="114" t="s">
        <v>1073</v>
      </c>
      <c r="E2120" s="114" t="s">
        <v>3993</v>
      </c>
    </row>
    <row r="2121" spans="2:5" x14ac:dyDescent="0.25">
      <c r="B2121" s="114" t="s">
        <v>1073</v>
      </c>
      <c r="D2121" s="114" t="s">
        <v>1073</v>
      </c>
      <c r="E2121" s="114" t="s">
        <v>3993</v>
      </c>
    </row>
    <row r="2122" spans="2:5" x14ac:dyDescent="0.25">
      <c r="B2122" s="114" t="s">
        <v>1073</v>
      </c>
      <c r="D2122" s="114" t="s">
        <v>1073</v>
      </c>
      <c r="E2122" s="114" t="s">
        <v>3993</v>
      </c>
    </row>
    <row r="2123" spans="2:5" x14ac:dyDescent="0.25">
      <c r="B2123" s="114" t="s">
        <v>1073</v>
      </c>
      <c r="D2123" s="114" t="s">
        <v>1073</v>
      </c>
      <c r="E2123" s="114" t="s">
        <v>3993</v>
      </c>
    </row>
    <row r="2124" spans="2:5" x14ac:dyDescent="0.25">
      <c r="B2124" s="114" t="s">
        <v>1073</v>
      </c>
      <c r="D2124" s="114" t="s">
        <v>1073</v>
      </c>
      <c r="E2124" s="114" t="s">
        <v>3993</v>
      </c>
    </row>
    <row r="2125" spans="2:5" x14ac:dyDescent="0.25">
      <c r="B2125" s="114" t="s">
        <v>1073</v>
      </c>
      <c r="D2125" s="114" t="s">
        <v>1073</v>
      </c>
      <c r="E2125" s="114" t="s">
        <v>3993</v>
      </c>
    </row>
    <row r="2126" spans="2:5" x14ac:dyDescent="0.25">
      <c r="B2126" s="114" t="s">
        <v>1073</v>
      </c>
      <c r="D2126" s="114" t="s">
        <v>1073</v>
      </c>
      <c r="E2126" s="114" t="s">
        <v>3993</v>
      </c>
    </row>
    <row r="2127" spans="2:5" x14ac:dyDescent="0.25">
      <c r="B2127" s="114" t="s">
        <v>1073</v>
      </c>
      <c r="D2127" s="114" t="s">
        <v>1073</v>
      </c>
      <c r="E2127" s="114" t="s">
        <v>3993</v>
      </c>
    </row>
    <row r="2128" spans="2:5" x14ac:dyDescent="0.25">
      <c r="B2128" s="114" t="s">
        <v>1073</v>
      </c>
      <c r="D2128" s="114" t="s">
        <v>1073</v>
      </c>
      <c r="E2128" s="114" t="s">
        <v>3993</v>
      </c>
    </row>
    <row r="2129" spans="2:5" x14ac:dyDescent="0.25">
      <c r="B2129" s="114" t="s">
        <v>1073</v>
      </c>
      <c r="D2129" s="114" t="s">
        <v>1073</v>
      </c>
      <c r="E2129" s="114" t="s">
        <v>3993</v>
      </c>
    </row>
    <row r="2130" spans="2:5" x14ac:dyDescent="0.25">
      <c r="B2130" s="114" t="s">
        <v>1073</v>
      </c>
      <c r="D2130" s="114" t="s">
        <v>1073</v>
      </c>
      <c r="E2130" s="114" t="s">
        <v>3993</v>
      </c>
    </row>
    <row r="2131" spans="2:5" x14ac:dyDescent="0.25">
      <c r="B2131" s="114" t="s">
        <v>1073</v>
      </c>
      <c r="D2131" s="114" t="s">
        <v>1073</v>
      </c>
      <c r="E2131" s="114" t="s">
        <v>3993</v>
      </c>
    </row>
    <row r="2132" spans="2:5" x14ac:dyDescent="0.25">
      <c r="B2132" s="114" t="s">
        <v>1073</v>
      </c>
      <c r="D2132" s="114" t="s">
        <v>1073</v>
      </c>
      <c r="E2132" s="114" t="s">
        <v>3993</v>
      </c>
    </row>
    <row r="2133" spans="2:5" x14ac:dyDescent="0.25">
      <c r="B2133" s="114" t="s">
        <v>1073</v>
      </c>
      <c r="D2133" s="114" t="s">
        <v>1073</v>
      </c>
      <c r="E2133" s="114" t="s">
        <v>3993</v>
      </c>
    </row>
    <row r="2134" spans="2:5" x14ac:dyDescent="0.25">
      <c r="B2134" s="114" t="s">
        <v>1073</v>
      </c>
      <c r="D2134" s="114" t="s">
        <v>1073</v>
      </c>
      <c r="E2134" s="114" t="s">
        <v>3993</v>
      </c>
    </row>
    <row r="2135" spans="2:5" x14ac:dyDescent="0.25">
      <c r="B2135" s="114" t="s">
        <v>1073</v>
      </c>
      <c r="D2135" s="114" t="s">
        <v>1073</v>
      </c>
      <c r="E2135" s="114" t="s">
        <v>3993</v>
      </c>
    </row>
    <row r="2136" spans="2:5" x14ac:dyDescent="0.25">
      <c r="B2136" s="114" t="s">
        <v>1073</v>
      </c>
      <c r="D2136" s="114" t="s">
        <v>1073</v>
      </c>
      <c r="E2136" s="114" t="s">
        <v>3993</v>
      </c>
    </row>
    <row r="2137" spans="2:5" x14ac:dyDescent="0.25">
      <c r="B2137" s="114" t="s">
        <v>1073</v>
      </c>
      <c r="D2137" s="114" t="s">
        <v>1073</v>
      </c>
      <c r="E2137" s="114" t="s">
        <v>3993</v>
      </c>
    </row>
    <row r="2138" spans="2:5" x14ac:dyDescent="0.25">
      <c r="B2138" s="114" t="s">
        <v>1073</v>
      </c>
      <c r="D2138" s="114" t="s">
        <v>1073</v>
      </c>
      <c r="E2138" s="114" t="s">
        <v>3993</v>
      </c>
    </row>
    <row r="2139" spans="2:5" x14ac:dyDescent="0.25">
      <c r="B2139" s="114" t="s">
        <v>1073</v>
      </c>
      <c r="D2139" s="114" t="s">
        <v>1073</v>
      </c>
      <c r="E2139" s="114" t="s">
        <v>3993</v>
      </c>
    </row>
    <row r="2140" spans="2:5" x14ac:dyDescent="0.25">
      <c r="B2140" s="114" t="s">
        <v>1073</v>
      </c>
      <c r="D2140" s="114" t="s">
        <v>1073</v>
      </c>
      <c r="E2140" s="114" t="s">
        <v>3993</v>
      </c>
    </row>
    <row r="2141" spans="2:5" x14ac:dyDescent="0.25">
      <c r="B2141" s="114" t="s">
        <v>1073</v>
      </c>
      <c r="D2141" s="114" t="s">
        <v>1073</v>
      </c>
      <c r="E2141" s="114" t="s">
        <v>3993</v>
      </c>
    </row>
    <row r="2142" spans="2:5" x14ac:dyDescent="0.25">
      <c r="B2142" s="114" t="s">
        <v>1073</v>
      </c>
      <c r="D2142" s="114" t="s">
        <v>1073</v>
      </c>
      <c r="E2142" s="114" t="s">
        <v>3993</v>
      </c>
    </row>
    <row r="2143" spans="2:5" x14ac:dyDescent="0.25">
      <c r="B2143" s="114" t="s">
        <v>1073</v>
      </c>
      <c r="D2143" s="114" t="s">
        <v>1073</v>
      </c>
      <c r="E2143" s="114" t="s">
        <v>3993</v>
      </c>
    </row>
    <row r="2144" spans="2:5" x14ac:dyDescent="0.25">
      <c r="B2144" s="114" t="s">
        <v>1073</v>
      </c>
      <c r="D2144" s="114" t="s">
        <v>1073</v>
      </c>
      <c r="E2144" s="114" t="s">
        <v>3993</v>
      </c>
    </row>
    <row r="2145" spans="2:5" x14ac:dyDescent="0.25">
      <c r="B2145" s="114" t="s">
        <v>1073</v>
      </c>
      <c r="D2145" s="114" t="s">
        <v>1073</v>
      </c>
      <c r="E2145" s="114" t="s">
        <v>3993</v>
      </c>
    </row>
    <row r="2146" spans="2:5" x14ac:dyDescent="0.25">
      <c r="B2146" s="114" t="s">
        <v>1073</v>
      </c>
      <c r="D2146" s="114" t="s">
        <v>1073</v>
      </c>
      <c r="E2146" s="114" t="s">
        <v>3993</v>
      </c>
    </row>
    <row r="2147" spans="2:5" x14ac:dyDescent="0.25">
      <c r="B2147" s="114" t="s">
        <v>1073</v>
      </c>
      <c r="D2147" s="114" t="s">
        <v>1073</v>
      </c>
      <c r="E2147" s="114" t="s">
        <v>3993</v>
      </c>
    </row>
    <row r="2148" spans="2:5" x14ac:dyDescent="0.25">
      <c r="B2148" s="114" t="s">
        <v>1073</v>
      </c>
      <c r="D2148" s="114" t="s">
        <v>1073</v>
      </c>
      <c r="E2148" s="114" t="s">
        <v>3993</v>
      </c>
    </row>
    <row r="2149" spans="2:5" x14ac:dyDescent="0.25">
      <c r="B2149" s="114" t="s">
        <v>1073</v>
      </c>
      <c r="D2149" s="114" t="s">
        <v>1073</v>
      </c>
      <c r="E2149" s="114" t="s">
        <v>3993</v>
      </c>
    </row>
    <row r="2150" spans="2:5" x14ac:dyDescent="0.25">
      <c r="B2150" s="114" t="s">
        <v>1073</v>
      </c>
      <c r="D2150" s="114" t="s">
        <v>1073</v>
      </c>
      <c r="E2150" s="114" t="s">
        <v>3993</v>
      </c>
    </row>
    <row r="2151" spans="2:5" x14ac:dyDescent="0.25">
      <c r="B2151" s="114" t="s">
        <v>1073</v>
      </c>
      <c r="D2151" s="114" t="s">
        <v>1073</v>
      </c>
      <c r="E2151" s="114" t="s">
        <v>3993</v>
      </c>
    </row>
    <row r="2152" spans="2:5" x14ac:dyDescent="0.25">
      <c r="B2152" s="114" t="s">
        <v>1073</v>
      </c>
      <c r="D2152" s="114" t="s">
        <v>1073</v>
      </c>
      <c r="E2152" s="114" t="s">
        <v>3993</v>
      </c>
    </row>
    <row r="2153" spans="2:5" x14ac:dyDescent="0.25">
      <c r="B2153" s="114" t="s">
        <v>1073</v>
      </c>
      <c r="D2153" s="114" t="s">
        <v>1073</v>
      </c>
      <c r="E2153" s="114" t="s">
        <v>3993</v>
      </c>
    </row>
    <row r="2154" spans="2:5" x14ac:dyDescent="0.25">
      <c r="B2154" s="114" t="s">
        <v>1073</v>
      </c>
      <c r="D2154" s="114" t="s">
        <v>1073</v>
      </c>
      <c r="E2154" s="114" t="s">
        <v>3993</v>
      </c>
    </row>
    <row r="2155" spans="2:5" x14ac:dyDescent="0.25">
      <c r="B2155" s="114" t="s">
        <v>1073</v>
      </c>
      <c r="D2155" s="114" t="s">
        <v>1073</v>
      </c>
      <c r="E2155" s="114" t="s">
        <v>3993</v>
      </c>
    </row>
    <row r="2156" spans="2:5" x14ac:dyDescent="0.25">
      <c r="B2156" s="114" t="s">
        <v>1073</v>
      </c>
      <c r="D2156" s="114" t="s">
        <v>1073</v>
      </c>
      <c r="E2156" s="114" t="s">
        <v>3993</v>
      </c>
    </row>
    <row r="2157" spans="2:5" x14ac:dyDescent="0.25">
      <c r="B2157" s="114" t="s">
        <v>1073</v>
      </c>
      <c r="D2157" s="114" t="s">
        <v>1073</v>
      </c>
      <c r="E2157" s="114" t="s">
        <v>3993</v>
      </c>
    </row>
    <row r="2158" spans="2:5" x14ac:dyDescent="0.25">
      <c r="B2158" s="114" t="s">
        <v>1073</v>
      </c>
      <c r="D2158" s="114" t="s">
        <v>1073</v>
      </c>
      <c r="E2158" s="114" t="s">
        <v>3993</v>
      </c>
    </row>
    <row r="2159" spans="2:5" x14ac:dyDescent="0.25">
      <c r="B2159" s="114" t="s">
        <v>1073</v>
      </c>
      <c r="D2159" s="114" t="s">
        <v>1073</v>
      </c>
      <c r="E2159" s="114" t="s">
        <v>5506</v>
      </c>
    </row>
    <row r="2160" spans="2:5" x14ac:dyDescent="0.25">
      <c r="B2160" s="114" t="s">
        <v>1394</v>
      </c>
      <c r="D2160" s="114" t="s">
        <v>5507</v>
      </c>
      <c r="E2160" s="114" t="s">
        <v>5508</v>
      </c>
    </row>
    <row r="2161" spans="1:5" x14ac:dyDescent="0.25">
      <c r="B2161" s="114" t="s">
        <v>1073</v>
      </c>
      <c r="D2161" s="114" t="s">
        <v>1073</v>
      </c>
      <c r="E2161" s="114" t="s">
        <v>5509</v>
      </c>
    </row>
    <row r="2162" spans="1:5" x14ac:dyDescent="0.25">
      <c r="B2162" s="114" t="s">
        <v>1444</v>
      </c>
      <c r="D2162" s="114" t="s">
        <v>5510</v>
      </c>
      <c r="E2162" s="114" t="s">
        <v>5511</v>
      </c>
    </row>
    <row r="2163" spans="1:5" x14ac:dyDescent="0.25">
      <c r="B2163" s="114" t="s">
        <v>1245</v>
      </c>
      <c r="D2163" s="114" t="s">
        <v>5512</v>
      </c>
      <c r="E2163" s="114" t="s">
        <v>4088</v>
      </c>
    </row>
    <row r="2164" spans="1:5" x14ac:dyDescent="0.25">
      <c r="B2164" s="114" t="s">
        <v>1477</v>
      </c>
      <c r="D2164" s="114" t="s">
        <v>1073</v>
      </c>
      <c r="E2164" s="114" t="s">
        <v>5513</v>
      </c>
    </row>
    <row r="2165" spans="1:5" x14ac:dyDescent="0.25">
      <c r="B2165" s="114" t="s">
        <v>2033</v>
      </c>
      <c r="D2165" s="114" t="s">
        <v>1073</v>
      </c>
      <c r="E2165" s="114" t="s">
        <v>5514</v>
      </c>
    </row>
    <row r="2166" spans="1:5" x14ac:dyDescent="0.25">
      <c r="B2166" s="114" t="s">
        <v>2034</v>
      </c>
      <c r="D2166" s="114" t="s">
        <v>5515</v>
      </c>
      <c r="E2166" s="114" t="s">
        <v>5516</v>
      </c>
    </row>
    <row r="2167" spans="1:5" x14ac:dyDescent="0.25">
      <c r="A2167" s="114" t="s">
        <v>1072</v>
      </c>
      <c r="B2167" s="114" t="s">
        <v>2035</v>
      </c>
      <c r="D2167" s="114" t="s">
        <v>1073</v>
      </c>
      <c r="E2167" s="114" t="s">
        <v>5517</v>
      </c>
    </row>
    <row r="2168" spans="1:5" x14ac:dyDescent="0.25">
      <c r="A2168" s="114" t="s">
        <v>1072</v>
      </c>
      <c r="B2168" s="114" t="s">
        <v>2036</v>
      </c>
      <c r="D2168" s="114" t="s">
        <v>5518</v>
      </c>
      <c r="E2168" s="114" t="s">
        <v>5519</v>
      </c>
    </row>
    <row r="2169" spans="1:5" x14ac:dyDescent="0.25">
      <c r="A2169" s="114" t="s">
        <v>1072</v>
      </c>
      <c r="B2169" s="114" t="s">
        <v>2037</v>
      </c>
      <c r="D2169" s="114" t="s">
        <v>5520</v>
      </c>
      <c r="E2169" s="114" t="s">
        <v>5521</v>
      </c>
    </row>
    <row r="2170" spans="1:5" x14ac:dyDescent="0.25">
      <c r="A2170" s="114" t="s">
        <v>1072</v>
      </c>
      <c r="B2170" s="114" t="s">
        <v>1244</v>
      </c>
      <c r="D2170" s="114" t="s">
        <v>1073</v>
      </c>
      <c r="E2170" s="114" t="s">
        <v>5522</v>
      </c>
    </row>
    <row r="2171" spans="1:5" x14ac:dyDescent="0.25">
      <c r="B2171" s="114" t="s">
        <v>2038</v>
      </c>
      <c r="D2171" s="114" t="s">
        <v>5523</v>
      </c>
      <c r="E2171" s="114" t="s">
        <v>5524</v>
      </c>
    </row>
    <row r="2172" spans="1:5" x14ac:dyDescent="0.25">
      <c r="A2172" s="114" t="s">
        <v>1072</v>
      </c>
      <c r="B2172" s="114" t="s">
        <v>2039</v>
      </c>
      <c r="D2172" s="114" t="s">
        <v>1310</v>
      </c>
      <c r="E2172" s="114" t="s">
        <v>5525</v>
      </c>
    </row>
    <row r="2173" spans="1:5" x14ac:dyDescent="0.25">
      <c r="A2173" s="114" t="s">
        <v>1072</v>
      </c>
      <c r="B2173" s="114" t="s">
        <v>1517</v>
      </c>
      <c r="D2173" s="114" t="s">
        <v>1073</v>
      </c>
      <c r="E2173" s="114" t="s">
        <v>5526</v>
      </c>
    </row>
    <row r="2174" spans="1:5" x14ac:dyDescent="0.25">
      <c r="B2174" s="114" t="s">
        <v>1489</v>
      </c>
      <c r="D2174" s="114" t="s">
        <v>5527</v>
      </c>
      <c r="E2174" s="114" t="s">
        <v>5528</v>
      </c>
    </row>
    <row r="2175" spans="1:5" x14ac:dyDescent="0.25">
      <c r="A2175" s="114" t="s">
        <v>1072</v>
      </c>
      <c r="B2175" s="114" t="s">
        <v>2040</v>
      </c>
      <c r="D2175" s="114" t="s">
        <v>5529</v>
      </c>
      <c r="E2175" s="114" t="s">
        <v>5530</v>
      </c>
    </row>
    <row r="2176" spans="1:5" x14ac:dyDescent="0.25">
      <c r="B2176" s="114" t="s">
        <v>1073</v>
      </c>
      <c r="D2176" s="114" t="s">
        <v>1073</v>
      </c>
      <c r="E2176" s="114" t="s">
        <v>5531</v>
      </c>
    </row>
    <row r="2177" spans="1:5" x14ac:dyDescent="0.25">
      <c r="B2177" s="114" t="s">
        <v>1073</v>
      </c>
      <c r="D2177" s="114" t="s">
        <v>1073</v>
      </c>
      <c r="E2177" s="114" t="s">
        <v>5532</v>
      </c>
    </row>
    <row r="2178" spans="1:5" x14ac:dyDescent="0.25">
      <c r="A2178" s="114">
        <v>-8</v>
      </c>
      <c r="B2178" s="114" t="s">
        <v>2041</v>
      </c>
      <c r="D2178" s="114" t="s">
        <v>1073</v>
      </c>
      <c r="E2178" s="114" t="s">
        <v>3993</v>
      </c>
    </row>
    <row r="2179" spans="1:5" x14ac:dyDescent="0.25">
      <c r="B2179" s="114" t="s">
        <v>1073</v>
      </c>
      <c r="D2179" s="114" t="s">
        <v>1073</v>
      </c>
      <c r="E2179" s="114" t="s">
        <v>3993</v>
      </c>
    </row>
    <row r="2180" spans="1:5" x14ac:dyDescent="0.25">
      <c r="B2180" s="114" t="s">
        <v>1073</v>
      </c>
      <c r="D2180" s="114" t="s">
        <v>1073</v>
      </c>
      <c r="E2180" s="114" t="s">
        <v>3993</v>
      </c>
    </row>
    <row r="2181" spans="1:5" x14ac:dyDescent="0.25">
      <c r="B2181" s="114" t="s">
        <v>1073</v>
      </c>
      <c r="D2181" s="114" t="s">
        <v>1073</v>
      </c>
      <c r="E2181" s="114" t="s">
        <v>3993</v>
      </c>
    </row>
    <row r="2182" spans="1:5" x14ac:dyDescent="0.25">
      <c r="B2182" s="114" t="s">
        <v>1073</v>
      </c>
      <c r="D2182" s="114" t="s">
        <v>1073</v>
      </c>
      <c r="E2182" s="114" t="s">
        <v>3993</v>
      </c>
    </row>
    <row r="2183" spans="1:5" x14ac:dyDescent="0.25">
      <c r="B2183" s="114" t="s">
        <v>1073</v>
      </c>
      <c r="D2183" s="114" t="s">
        <v>1073</v>
      </c>
      <c r="E2183" s="114" t="s">
        <v>3993</v>
      </c>
    </row>
    <row r="2184" spans="1:5" x14ac:dyDescent="0.25">
      <c r="B2184" s="114" t="s">
        <v>1073</v>
      </c>
      <c r="D2184" s="114" t="s">
        <v>1073</v>
      </c>
      <c r="E2184" s="114" t="s">
        <v>3993</v>
      </c>
    </row>
    <row r="2185" spans="1:5" x14ac:dyDescent="0.25">
      <c r="B2185" s="114" t="s">
        <v>1073</v>
      </c>
      <c r="D2185" s="114" t="s">
        <v>1073</v>
      </c>
      <c r="E2185" s="114" t="s">
        <v>3993</v>
      </c>
    </row>
    <row r="2186" spans="1:5" x14ac:dyDescent="0.25">
      <c r="B2186" s="114" t="s">
        <v>1073</v>
      </c>
      <c r="D2186" s="114" t="s">
        <v>1073</v>
      </c>
      <c r="E2186" s="114" t="s">
        <v>3993</v>
      </c>
    </row>
    <row r="2187" spans="1:5" x14ac:dyDescent="0.25">
      <c r="B2187" s="114" t="s">
        <v>1073</v>
      </c>
      <c r="D2187" s="114" t="s">
        <v>1073</v>
      </c>
      <c r="E2187" s="114" t="s">
        <v>3993</v>
      </c>
    </row>
    <row r="2188" spans="1:5" x14ac:dyDescent="0.25">
      <c r="B2188" s="114" t="s">
        <v>1073</v>
      </c>
      <c r="D2188" s="114" t="s">
        <v>1073</v>
      </c>
      <c r="E2188" s="114" t="s">
        <v>3993</v>
      </c>
    </row>
    <row r="2189" spans="1:5" x14ac:dyDescent="0.25">
      <c r="B2189" s="114" t="s">
        <v>1073</v>
      </c>
      <c r="D2189" s="114" t="s">
        <v>1073</v>
      </c>
      <c r="E2189" s="114" t="s">
        <v>3993</v>
      </c>
    </row>
    <row r="2190" spans="1:5" x14ac:dyDescent="0.25">
      <c r="B2190" s="114" t="s">
        <v>1073</v>
      </c>
      <c r="D2190" s="114" t="s">
        <v>1073</v>
      </c>
      <c r="E2190" s="114" t="s">
        <v>3993</v>
      </c>
    </row>
    <row r="2191" spans="1:5" x14ac:dyDescent="0.25">
      <c r="B2191" s="114" t="s">
        <v>1073</v>
      </c>
      <c r="D2191" s="114" t="s">
        <v>1073</v>
      </c>
      <c r="E2191" s="114" t="s">
        <v>3993</v>
      </c>
    </row>
    <row r="2192" spans="1:5" x14ac:dyDescent="0.25">
      <c r="B2192" s="114" t="s">
        <v>1073</v>
      </c>
      <c r="D2192" s="114" t="s">
        <v>1073</v>
      </c>
      <c r="E2192" s="114" t="s">
        <v>3993</v>
      </c>
    </row>
    <row r="2193" spans="1:5" x14ac:dyDescent="0.25">
      <c r="B2193" s="114" t="s">
        <v>1073</v>
      </c>
      <c r="D2193" s="114" t="s">
        <v>1073</v>
      </c>
      <c r="E2193" s="114" t="s">
        <v>3993</v>
      </c>
    </row>
    <row r="2194" spans="1:5" x14ac:dyDescent="0.25">
      <c r="B2194" s="114" t="s">
        <v>1073</v>
      </c>
      <c r="D2194" s="114" t="s">
        <v>1073</v>
      </c>
      <c r="E2194" s="114" t="s">
        <v>3993</v>
      </c>
    </row>
    <row r="2195" spans="1:5" x14ac:dyDescent="0.25">
      <c r="B2195" s="114" t="s">
        <v>1073</v>
      </c>
      <c r="D2195" s="114" t="s">
        <v>1073</v>
      </c>
      <c r="E2195" s="114" t="s">
        <v>3993</v>
      </c>
    </row>
    <row r="2196" spans="1:5" x14ac:dyDescent="0.25">
      <c r="B2196" s="114" t="s">
        <v>1073</v>
      </c>
      <c r="D2196" s="114" t="s">
        <v>1073</v>
      </c>
      <c r="E2196" s="114" t="s">
        <v>3993</v>
      </c>
    </row>
    <row r="2197" spans="1:5" x14ac:dyDescent="0.25">
      <c r="B2197" s="114" t="s">
        <v>1073</v>
      </c>
      <c r="D2197" s="114" t="s">
        <v>1073</v>
      </c>
      <c r="E2197" s="114" t="s">
        <v>5533</v>
      </c>
    </row>
    <row r="2198" spans="1:5" x14ac:dyDescent="0.25">
      <c r="B2198" s="114" t="s">
        <v>1073</v>
      </c>
      <c r="D2198" s="114" t="s">
        <v>5534</v>
      </c>
      <c r="E2198" s="114" t="s">
        <v>5535</v>
      </c>
    </row>
    <row r="2199" spans="1:5" x14ac:dyDescent="0.25">
      <c r="B2199" s="114" t="s">
        <v>1073</v>
      </c>
      <c r="D2199" s="114" t="s">
        <v>1073</v>
      </c>
      <c r="E2199" s="114" t="s">
        <v>5536</v>
      </c>
    </row>
    <row r="2200" spans="1:5" x14ac:dyDescent="0.25">
      <c r="B2200" s="114" t="s">
        <v>1073</v>
      </c>
      <c r="D2200" s="114" t="s">
        <v>5537</v>
      </c>
      <c r="E2200" s="114" t="s">
        <v>5538</v>
      </c>
    </row>
    <row r="2201" spans="1:5" x14ac:dyDescent="0.25">
      <c r="B2201" s="114" t="s">
        <v>2042</v>
      </c>
      <c r="D2201" s="114" t="s">
        <v>1073</v>
      </c>
      <c r="E2201" s="114" t="s">
        <v>5539</v>
      </c>
    </row>
    <row r="2202" spans="1:5" x14ac:dyDescent="0.25">
      <c r="B2202" s="114" t="s">
        <v>1709</v>
      </c>
      <c r="D2202" s="114" t="s">
        <v>1073</v>
      </c>
      <c r="E2202" s="114" t="s">
        <v>5540</v>
      </c>
    </row>
    <row r="2203" spans="1:5" x14ac:dyDescent="0.25">
      <c r="A2203" s="114">
        <v>2</v>
      </c>
      <c r="B2203" s="114" t="s">
        <v>1434</v>
      </c>
      <c r="D2203" s="114" t="s">
        <v>5541</v>
      </c>
      <c r="E2203" s="114" t="s">
        <v>5542</v>
      </c>
    </row>
    <row r="2204" spans="1:5" x14ac:dyDescent="0.25">
      <c r="B2204" s="114" t="s">
        <v>1073</v>
      </c>
      <c r="D2204" s="114">
        <f>-383   -119</f>
        <v>-502</v>
      </c>
      <c r="E2204" s="114" t="s">
        <v>5543</v>
      </c>
    </row>
    <row r="2205" spans="1:5" x14ac:dyDescent="0.25">
      <c r="B2205" s="114" t="s">
        <v>2043</v>
      </c>
      <c r="D2205" s="114" t="s">
        <v>1073</v>
      </c>
      <c r="E2205" s="114" t="s">
        <v>5544</v>
      </c>
    </row>
    <row r="2206" spans="1:5" x14ac:dyDescent="0.25">
      <c r="A2206" s="114">
        <v>2</v>
      </c>
      <c r="B2206" s="114" t="s">
        <v>2044</v>
      </c>
      <c r="D2206" s="114">
        <f>-152   -155</f>
        <v>-307</v>
      </c>
      <c r="E2206" s="114" t="s">
        <v>5545</v>
      </c>
    </row>
    <row r="2207" spans="1:5" x14ac:dyDescent="0.25">
      <c r="B2207" s="114" t="s">
        <v>2045</v>
      </c>
      <c r="D2207" s="114" t="s">
        <v>5546</v>
      </c>
      <c r="E2207" s="114" t="s">
        <v>5547</v>
      </c>
    </row>
    <row r="2208" spans="1:5" x14ac:dyDescent="0.25">
      <c r="B2208" s="114">
        <f>-16   -240</f>
        <v>-256</v>
      </c>
      <c r="D2208" s="114" t="s">
        <v>1073</v>
      </c>
      <c r="E2208" s="114" t="s">
        <v>5548</v>
      </c>
    </row>
    <row r="2209" spans="1:5" x14ac:dyDescent="0.25">
      <c r="A2209" s="114">
        <v>2</v>
      </c>
      <c r="B2209" s="114" t="s">
        <v>2046</v>
      </c>
      <c r="D2209" s="114" t="s">
        <v>5549</v>
      </c>
      <c r="E2209" s="114" t="s">
        <v>5550</v>
      </c>
    </row>
    <row r="2210" spans="1:5" x14ac:dyDescent="0.25">
      <c r="B2210" s="114" t="s">
        <v>1451</v>
      </c>
      <c r="C2210" s="114" t="s">
        <v>1072</v>
      </c>
      <c r="D2210" s="114" t="s">
        <v>5551</v>
      </c>
      <c r="E2210" s="114" t="s">
        <v>5552</v>
      </c>
    </row>
    <row r="2211" spans="1:5" x14ac:dyDescent="0.25">
      <c r="A2211" s="114" t="s">
        <v>1072</v>
      </c>
      <c r="B2211" s="114" t="s">
        <v>2047</v>
      </c>
      <c r="D2211" s="114" t="s">
        <v>1073</v>
      </c>
      <c r="E2211" s="114" t="s">
        <v>5553</v>
      </c>
    </row>
    <row r="2212" spans="1:5" x14ac:dyDescent="0.25">
      <c r="A2212" s="114">
        <v>2</v>
      </c>
      <c r="B2212" s="114" t="s">
        <v>2048</v>
      </c>
      <c r="D2212" s="114" t="s">
        <v>1073</v>
      </c>
      <c r="E2212" s="114" t="s">
        <v>5554</v>
      </c>
    </row>
    <row r="2213" spans="1:5" x14ac:dyDescent="0.25">
      <c r="B2213" s="114" t="s">
        <v>2049</v>
      </c>
      <c r="D2213" s="114" t="s">
        <v>5555</v>
      </c>
      <c r="E2213" s="114" t="s">
        <v>5556</v>
      </c>
    </row>
    <row r="2214" spans="1:5" x14ac:dyDescent="0.25">
      <c r="B2214" s="114" t="s">
        <v>1073</v>
      </c>
      <c r="D2214" s="114" t="s">
        <v>1073</v>
      </c>
      <c r="E2214" s="114" t="s">
        <v>5557</v>
      </c>
    </row>
    <row r="2215" spans="1:5" x14ac:dyDescent="0.25">
      <c r="A2215" s="114">
        <v>1</v>
      </c>
      <c r="B2215" s="114" t="s">
        <v>2050</v>
      </c>
      <c r="D2215" s="114" t="s">
        <v>1073</v>
      </c>
      <c r="E2215" s="114" t="s">
        <v>5558</v>
      </c>
    </row>
    <row r="2216" spans="1:5" x14ac:dyDescent="0.25">
      <c r="A2216" s="114">
        <v>-2</v>
      </c>
      <c r="B2216" s="114" t="s">
        <v>2051</v>
      </c>
      <c r="D2216" s="114" t="s">
        <v>5559</v>
      </c>
      <c r="E2216" s="114" t="s">
        <v>5560</v>
      </c>
    </row>
    <row r="2217" spans="1:5" x14ac:dyDescent="0.25">
      <c r="B2217" s="114" t="s">
        <v>1073</v>
      </c>
      <c r="D2217" s="114" t="s">
        <v>1073</v>
      </c>
      <c r="E2217" s="114" t="s">
        <v>3993</v>
      </c>
    </row>
    <row r="2218" spans="1:5" x14ac:dyDescent="0.25">
      <c r="B2218" s="114" t="s">
        <v>1073</v>
      </c>
      <c r="D2218" s="114" t="s">
        <v>1073</v>
      </c>
      <c r="E2218" s="114" t="s">
        <v>3993</v>
      </c>
    </row>
    <row r="2219" spans="1:5" x14ac:dyDescent="0.25">
      <c r="B2219" s="114" t="s">
        <v>1073</v>
      </c>
      <c r="D2219" s="114" t="s">
        <v>1073</v>
      </c>
      <c r="E2219" s="114" t="s">
        <v>3993</v>
      </c>
    </row>
    <row r="2220" spans="1:5" x14ac:dyDescent="0.25">
      <c r="B2220" s="114" t="s">
        <v>1073</v>
      </c>
      <c r="D2220" s="114" t="s">
        <v>1073</v>
      </c>
      <c r="E2220" s="114" t="s">
        <v>3993</v>
      </c>
    </row>
    <row r="2221" spans="1:5" x14ac:dyDescent="0.25">
      <c r="B2221" s="114" t="s">
        <v>1073</v>
      </c>
      <c r="D2221" s="114" t="s">
        <v>1073</v>
      </c>
      <c r="E2221" s="114" t="s">
        <v>3993</v>
      </c>
    </row>
    <row r="2222" spans="1:5" x14ac:dyDescent="0.25">
      <c r="B2222" s="114" t="s">
        <v>1073</v>
      </c>
      <c r="D2222" s="114" t="s">
        <v>1073</v>
      </c>
      <c r="E2222" s="114" t="s">
        <v>3993</v>
      </c>
    </row>
    <row r="2223" spans="1:5" x14ac:dyDescent="0.25">
      <c r="B2223" s="114" t="s">
        <v>1073</v>
      </c>
      <c r="D2223" s="114" t="s">
        <v>1073</v>
      </c>
      <c r="E2223" s="114" t="s">
        <v>3993</v>
      </c>
    </row>
    <row r="2224" spans="1:5" x14ac:dyDescent="0.25">
      <c r="B2224" s="114" t="s">
        <v>1073</v>
      </c>
      <c r="D2224" s="114" t="s">
        <v>1073</v>
      </c>
      <c r="E2224" s="114" t="s">
        <v>3993</v>
      </c>
    </row>
    <row r="2225" spans="2:5" x14ac:dyDescent="0.25">
      <c r="B2225" s="114" t="s">
        <v>1073</v>
      </c>
      <c r="D2225" s="114" t="s">
        <v>1073</v>
      </c>
      <c r="E2225" s="114" t="s">
        <v>3993</v>
      </c>
    </row>
    <row r="2226" spans="2:5" x14ac:dyDescent="0.25">
      <c r="B2226" s="114" t="s">
        <v>1073</v>
      </c>
      <c r="D2226" s="114" t="s">
        <v>1073</v>
      </c>
      <c r="E2226" s="114" t="s">
        <v>3993</v>
      </c>
    </row>
    <row r="2227" spans="2:5" x14ac:dyDescent="0.25">
      <c r="B2227" s="114" t="s">
        <v>1073</v>
      </c>
      <c r="D2227" s="114" t="s">
        <v>1073</v>
      </c>
      <c r="E2227" s="114" t="s">
        <v>3993</v>
      </c>
    </row>
    <row r="2228" spans="2:5" x14ac:dyDescent="0.25">
      <c r="B2228" s="114" t="s">
        <v>1073</v>
      </c>
      <c r="D2228" s="114" t="s">
        <v>1073</v>
      </c>
      <c r="E2228" s="114" t="s">
        <v>3993</v>
      </c>
    </row>
    <row r="2229" spans="2:5" x14ac:dyDescent="0.25">
      <c r="B2229" s="114" t="s">
        <v>1073</v>
      </c>
      <c r="D2229" s="114" t="s">
        <v>1073</v>
      </c>
      <c r="E2229" s="114" t="s">
        <v>3993</v>
      </c>
    </row>
    <row r="2230" spans="2:5" x14ac:dyDescent="0.25">
      <c r="B2230" s="114" t="s">
        <v>1073</v>
      </c>
      <c r="D2230" s="114" t="s">
        <v>1073</v>
      </c>
      <c r="E2230" s="114" t="s">
        <v>3993</v>
      </c>
    </row>
    <row r="2231" spans="2:5" x14ac:dyDescent="0.25">
      <c r="B2231" s="114" t="s">
        <v>1073</v>
      </c>
      <c r="D2231" s="114" t="s">
        <v>1073</v>
      </c>
      <c r="E2231" s="114" t="s">
        <v>3993</v>
      </c>
    </row>
    <row r="2232" spans="2:5" x14ac:dyDescent="0.25">
      <c r="B2232" s="114" t="s">
        <v>1073</v>
      </c>
      <c r="D2232" s="114" t="s">
        <v>1073</v>
      </c>
      <c r="E2232" s="114" t="s">
        <v>3993</v>
      </c>
    </row>
    <row r="2233" spans="2:5" x14ac:dyDescent="0.25">
      <c r="B2233" s="114" t="s">
        <v>1073</v>
      </c>
      <c r="D2233" s="114" t="s">
        <v>1073</v>
      </c>
      <c r="E2233" s="114" t="s">
        <v>3993</v>
      </c>
    </row>
    <row r="2234" spans="2:5" x14ac:dyDescent="0.25">
      <c r="B2234" s="114" t="s">
        <v>1073</v>
      </c>
      <c r="D2234" s="114" t="s">
        <v>1073</v>
      </c>
      <c r="E2234" s="114" t="s">
        <v>3993</v>
      </c>
    </row>
    <row r="2235" spans="2:5" x14ac:dyDescent="0.25">
      <c r="B2235" s="114" t="s">
        <v>1073</v>
      </c>
      <c r="D2235" s="114" t="s">
        <v>1073</v>
      </c>
      <c r="E2235" s="114" t="s">
        <v>3993</v>
      </c>
    </row>
    <row r="2236" spans="2:5" x14ac:dyDescent="0.25">
      <c r="B2236" s="114" t="s">
        <v>1073</v>
      </c>
      <c r="D2236" s="114" t="s">
        <v>1073</v>
      </c>
      <c r="E2236" s="114" t="s">
        <v>3993</v>
      </c>
    </row>
    <row r="2237" spans="2:5" x14ac:dyDescent="0.25">
      <c r="B2237" s="114" t="s">
        <v>1073</v>
      </c>
      <c r="D2237" s="114" t="s">
        <v>1073</v>
      </c>
      <c r="E2237" s="114" t="s">
        <v>3993</v>
      </c>
    </row>
    <row r="2238" spans="2:5" x14ac:dyDescent="0.25">
      <c r="B2238" s="114" t="s">
        <v>1073</v>
      </c>
      <c r="D2238" s="114" t="s">
        <v>1073</v>
      </c>
      <c r="E2238" s="114" t="s">
        <v>3993</v>
      </c>
    </row>
    <row r="2239" spans="2:5" x14ac:dyDescent="0.25">
      <c r="B2239" s="114" t="s">
        <v>1073</v>
      </c>
      <c r="D2239" s="114" t="s">
        <v>1073</v>
      </c>
      <c r="E2239" s="114" t="s">
        <v>3993</v>
      </c>
    </row>
    <row r="2240" spans="2:5" x14ac:dyDescent="0.25">
      <c r="B2240" s="114" t="s">
        <v>1073</v>
      </c>
      <c r="D2240" s="114" t="s">
        <v>1073</v>
      </c>
      <c r="E2240" s="114" t="s">
        <v>3993</v>
      </c>
    </row>
    <row r="2241" spans="2:5" x14ac:dyDescent="0.25">
      <c r="B2241" s="114" t="s">
        <v>1073</v>
      </c>
      <c r="D2241" s="114" t="s">
        <v>1073</v>
      </c>
      <c r="E2241" s="114" t="s">
        <v>3993</v>
      </c>
    </row>
    <row r="2242" spans="2:5" x14ac:dyDescent="0.25">
      <c r="B2242" s="114" t="s">
        <v>1073</v>
      </c>
      <c r="D2242" s="114" t="s">
        <v>1073</v>
      </c>
      <c r="E2242" s="114" t="s">
        <v>3993</v>
      </c>
    </row>
    <row r="2243" spans="2:5" x14ac:dyDescent="0.25">
      <c r="B2243" s="114" t="s">
        <v>1073</v>
      </c>
      <c r="D2243" s="114" t="s">
        <v>1073</v>
      </c>
      <c r="E2243" s="114" t="s">
        <v>3993</v>
      </c>
    </row>
    <row r="2244" spans="2:5" x14ac:dyDescent="0.25">
      <c r="B2244" s="114" t="s">
        <v>1073</v>
      </c>
      <c r="D2244" s="114" t="s">
        <v>1073</v>
      </c>
      <c r="E2244" s="114" t="s">
        <v>3993</v>
      </c>
    </row>
    <row r="2245" spans="2:5" x14ac:dyDescent="0.25">
      <c r="B2245" s="114" t="s">
        <v>1073</v>
      </c>
      <c r="D2245" s="114" t="s">
        <v>1073</v>
      </c>
      <c r="E2245" s="114" t="s">
        <v>3993</v>
      </c>
    </row>
    <row r="2246" spans="2:5" x14ac:dyDescent="0.25">
      <c r="B2246" s="114" t="s">
        <v>1073</v>
      </c>
      <c r="D2246" s="114" t="s">
        <v>1073</v>
      </c>
      <c r="E2246" s="114" t="s">
        <v>3993</v>
      </c>
    </row>
    <row r="2247" spans="2:5" x14ac:dyDescent="0.25">
      <c r="B2247" s="114" t="s">
        <v>1073</v>
      </c>
      <c r="D2247" s="114" t="s">
        <v>1073</v>
      </c>
      <c r="E2247" s="114" t="s">
        <v>3993</v>
      </c>
    </row>
    <row r="2248" spans="2:5" x14ac:dyDescent="0.25">
      <c r="B2248" s="114" t="s">
        <v>1073</v>
      </c>
      <c r="D2248" s="114" t="s">
        <v>1073</v>
      </c>
      <c r="E2248" s="114" t="s">
        <v>3993</v>
      </c>
    </row>
    <row r="2249" spans="2:5" x14ac:dyDescent="0.25">
      <c r="B2249" s="114" t="s">
        <v>1073</v>
      </c>
      <c r="D2249" s="114" t="s">
        <v>1073</v>
      </c>
      <c r="E2249" s="114" t="s">
        <v>3993</v>
      </c>
    </row>
    <row r="2250" spans="2:5" x14ac:dyDescent="0.25">
      <c r="B2250" s="114" t="s">
        <v>1073</v>
      </c>
      <c r="D2250" s="114" t="s">
        <v>1073</v>
      </c>
      <c r="E2250" s="114" t="s">
        <v>3993</v>
      </c>
    </row>
    <row r="2251" spans="2:5" x14ac:dyDescent="0.25">
      <c r="B2251" s="114" t="s">
        <v>1073</v>
      </c>
      <c r="D2251" s="114" t="s">
        <v>1073</v>
      </c>
      <c r="E2251" s="114" t="s">
        <v>3993</v>
      </c>
    </row>
    <row r="2252" spans="2:5" x14ac:dyDescent="0.25">
      <c r="B2252" s="114" t="s">
        <v>1073</v>
      </c>
      <c r="D2252" s="114" t="s">
        <v>1073</v>
      </c>
      <c r="E2252" s="114" t="s">
        <v>3993</v>
      </c>
    </row>
    <row r="2253" spans="2:5" x14ac:dyDescent="0.25">
      <c r="B2253" s="114" t="s">
        <v>1073</v>
      </c>
      <c r="D2253" s="114" t="s">
        <v>1073</v>
      </c>
      <c r="E2253" s="114" t="s">
        <v>3993</v>
      </c>
    </row>
    <row r="2254" spans="2:5" x14ac:dyDescent="0.25">
      <c r="B2254" s="114" t="s">
        <v>1073</v>
      </c>
      <c r="D2254" s="114" t="s">
        <v>1073</v>
      </c>
      <c r="E2254" s="114" t="s">
        <v>3993</v>
      </c>
    </row>
    <row r="2255" spans="2:5" x14ac:dyDescent="0.25">
      <c r="B2255" s="114" t="s">
        <v>1073</v>
      </c>
      <c r="D2255" s="114" t="s">
        <v>1073</v>
      </c>
      <c r="E2255" s="114" t="s">
        <v>5561</v>
      </c>
    </row>
    <row r="2256" spans="2:5" x14ac:dyDescent="0.25">
      <c r="B2256" s="114" t="s">
        <v>1497</v>
      </c>
      <c r="D2256" s="114" t="s">
        <v>1219</v>
      </c>
      <c r="E2256" s="114" t="s">
        <v>5562</v>
      </c>
    </row>
    <row r="2257" spans="1:5" x14ac:dyDescent="0.25">
      <c r="B2257" s="114" t="s">
        <v>1073</v>
      </c>
      <c r="D2257" s="114" t="s">
        <v>1073</v>
      </c>
      <c r="E2257" s="114" t="s">
        <v>5563</v>
      </c>
    </row>
    <row r="2258" spans="1:5" x14ac:dyDescent="0.25">
      <c r="B2258" s="114" t="s">
        <v>2052</v>
      </c>
      <c r="D2258" s="114" t="s">
        <v>5564</v>
      </c>
      <c r="E2258" s="114" t="s">
        <v>5565</v>
      </c>
    </row>
    <row r="2259" spans="1:5" x14ac:dyDescent="0.25">
      <c r="A2259" s="114" t="s">
        <v>1072</v>
      </c>
      <c r="B2259" s="114" t="s">
        <v>1199</v>
      </c>
      <c r="D2259" s="114" t="s">
        <v>5566</v>
      </c>
      <c r="E2259" s="114" t="s">
        <v>4077</v>
      </c>
    </row>
    <row r="2260" spans="1:5" x14ac:dyDescent="0.25">
      <c r="B2260" s="114" t="s">
        <v>1377</v>
      </c>
      <c r="D2260" s="114" t="s">
        <v>1073</v>
      </c>
      <c r="E2260" s="114" t="s">
        <v>5567</v>
      </c>
    </row>
    <row r="2261" spans="1:5" x14ac:dyDescent="0.25">
      <c r="B2261" s="114" t="s">
        <v>2053</v>
      </c>
      <c r="D2261" s="114" t="s">
        <v>1073</v>
      </c>
      <c r="E2261" s="114" t="s">
        <v>5568</v>
      </c>
    </row>
    <row r="2262" spans="1:5" x14ac:dyDescent="0.25">
      <c r="B2262" s="114" t="s">
        <v>1418</v>
      </c>
      <c r="D2262" s="114" t="s">
        <v>5569</v>
      </c>
      <c r="E2262" s="114" t="s">
        <v>5570</v>
      </c>
    </row>
    <row r="2263" spans="1:5" x14ac:dyDescent="0.25">
      <c r="A2263" s="114">
        <v>-1</v>
      </c>
      <c r="B2263" s="114" t="s">
        <v>1428</v>
      </c>
      <c r="D2263" s="114" t="s">
        <v>1073</v>
      </c>
      <c r="E2263" s="114" t="s">
        <v>5571</v>
      </c>
    </row>
    <row r="2264" spans="1:5" x14ac:dyDescent="0.25">
      <c r="B2264" s="114" t="s">
        <v>2054</v>
      </c>
      <c r="D2264" s="114" t="s">
        <v>5572</v>
      </c>
      <c r="E2264" s="114" t="s">
        <v>5573</v>
      </c>
    </row>
    <row r="2265" spans="1:5" x14ac:dyDescent="0.25">
      <c r="A2265" s="114" t="s">
        <v>1072</v>
      </c>
      <c r="B2265" s="114" t="s">
        <v>2055</v>
      </c>
      <c r="D2265" s="114" t="s">
        <v>5009</v>
      </c>
      <c r="E2265" s="114" t="s">
        <v>5574</v>
      </c>
    </row>
    <row r="2266" spans="1:5" x14ac:dyDescent="0.25">
      <c r="A2266" s="114">
        <v>-4</v>
      </c>
      <c r="B2266" s="114" t="s">
        <v>1297</v>
      </c>
      <c r="D2266" s="114" t="s">
        <v>1073</v>
      </c>
      <c r="E2266" s="114" t="s">
        <v>5575</v>
      </c>
    </row>
    <row r="2267" spans="1:5" x14ac:dyDescent="0.25">
      <c r="B2267" s="114" t="s">
        <v>2056</v>
      </c>
      <c r="D2267" s="114" t="s">
        <v>5576</v>
      </c>
      <c r="E2267" s="114" t="s">
        <v>5577</v>
      </c>
    </row>
    <row r="2268" spans="1:5" x14ac:dyDescent="0.25">
      <c r="B2268" s="114">
        <f>-70   -348</f>
        <v>-418</v>
      </c>
      <c r="D2268" s="114" t="s">
        <v>5578</v>
      </c>
      <c r="E2268" s="114" t="s">
        <v>5579</v>
      </c>
    </row>
    <row r="2269" spans="1:5" x14ac:dyDescent="0.25">
      <c r="A2269" s="114">
        <v>-6</v>
      </c>
      <c r="B2269" s="114" t="s">
        <v>2057</v>
      </c>
      <c r="D2269" s="114" t="s">
        <v>1073</v>
      </c>
      <c r="E2269" s="114" t="s">
        <v>5580</v>
      </c>
    </row>
    <row r="2270" spans="1:5" x14ac:dyDescent="0.25">
      <c r="B2270" s="114" t="s">
        <v>1229</v>
      </c>
      <c r="D2270" s="114" t="s">
        <v>5581</v>
      </c>
      <c r="E2270" s="114" t="s">
        <v>5582</v>
      </c>
    </row>
    <row r="2271" spans="1:5" x14ac:dyDescent="0.25">
      <c r="A2271" s="114" t="s">
        <v>1072</v>
      </c>
      <c r="B2271" s="114" t="s">
        <v>2058</v>
      </c>
      <c r="D2271" s="114" t="s">
        <v>2288</v>
      </c>
      <c r="E2271" s="114" t="s">
        <v>5583</v>
      </c>
    </row>
    <row r="2272" spans="1:5" x14ac:dyDescent="0.25">
      <c r="B2272" s="114" t="s">
        <v>1073</v>
      </c>
      <c r="D2272" s="114" t="s">
        <v>1073</v>
      </c>
      <c r="E2272" s="114" t="s">
        <v>5584</v>
      </c>
    </row>
    <row r="2273" spans="1:5" x14ac:dyDescent="0.25">
      <c r="B2273" s="114" t="s">
        <v>1073</v>
      </c>
      <c r="D2273" s="114" t="s">
        <v>1073</v>
      </c>
      <c r="E2273" s="114" t="s">
        <v>5585</v>
      </c>
    </row>
    <row r="2274" spans="1:5" x14ac:dyDescent="0.25">
      <c r="A2274" s="114">
        <v>-11</v>
      </c>
      <c r="B2274" s="114" t="s">
        <v>2059</v>
      </c>
      <c r="D2274" s="114" t="s">
        <v>1073</v>
      </c>
      <c r="E2274" s="114" t="s">
        <v>5586</v>
      </c>
    </row>
    <row r="2275" spans="1:5" x14ac:dyDescent="0.25">
      <c r="B2275" s="114" t="s">
        <v>1073</v>
      </c>
      <c r="D2275" s="114" t="s">
        <v>1073</v>
      </c>
      <c r="E2275" s="114" t="s">
        <v>3993</v>
      </c>
    </row>
    <row r="2276" spans="1:5" x14ac:dyDescent="0.25">
      <c r="B2276" s="114" t="s">
        <v>1073</v>
      </c>
      <c r="D2276" s="114" t="s">
        <v>1073</v>
      </c>
      <c r="E2276" s="114" t="s">
        <v>3993</v>
      </c>
    </row>
    <row r="2277" spans="1:5" x14ac:dyDescent="0.25">
      <c r="B2277" s="114" t="s">
        <v>1073</v>
      </c>
      <c r="D2277" s="114" t="s">
        <v>1073</v>
      </c>
      <c r="E2277" s="114" t="s">
        <v>3993</v>
      </c>
    </row>
    <row r="2278" spans="1:5" x14ac:dyDescent="0.25">
      <c r="B2278" s="114" t="s">
        <v>1073</v>
      </c>
      <c r="D2278" s="114" t="s">
        <v>1073</v>
      </c>
      <c r="E2278" s="114" t="s">
        <v>3993</v>
      </c>
    </row>
    <row r="2279" spans="1:5" x14ac:dyDescent="0.25">
      <c r="B2279" s="114" t="s">
        <v>1073</v>
      </c>
      <c r="D2279" s="114" t="s">
        <v>1073</v>
      </c>
      <c r="E2279" s="114" t="s">
        <v>3993</v>
      </c>
    </row>
    <row r="2280" spans="1:5" x14ac:dyDescent="0.25">
      <c r="B2280" s="114" t="s">
        <v>1073</v>
      </c>
      <c r="D2280" s="114" t="s">
        <v>1073</v>
      </c>
      <c r="E2280" s="114" t="s">
        <v>3993</v>
      </c>
    </row>
    <row r="2281" spans="1:5" x14ac:dyDescent="0.25">
      <c r="B2281" s="114" t="s">
        <v>1073</v>
      </c>
      <c r="D2281" s="114" t="s">
        <v>1073</v>
      </c>
      <c r="E2281" s="114" t="s">
        <v>3993</v>
      </c>
    </row>
    <row r="2282" spans="1:5" x14ac:dyDescent="0.25">
      <c r="B2282" s="114" t="s">
        <v>1073</v>
      </c>
      <c r="D2282" s="114" t="s">
        <v>1073</v>
      </c>
      <c r="E2282" s="114" t="s">
        <v>3993</v>
      </c>
    </row>
    <row r="2283" spans="1:5" x14ac:dyDescent="0.25">
      <c r="B2283" s="114" t="s">
        <v>1073</v>
      </c>
      <c r="D2283" s="114" t="s">
        <v>1073</v>
      </c>
      <c r="E2283" s="114" t="s">
        <v>3993</v>
      </c>
    </row>
    <row r="2284" spans="1:5" x14ac:dyDescent="0.25">
      <c r="B2284" s="114" t="s">
        <v>1073</v>
      </c>
      <c r="D2284" s="114" t="s">
        <v>1073</v>
      </c>
      <c r="E2284" s="114" t="s">
        <v>3993</v>
      </c>
    </row>
    <row r="2285" spans="1:5" x14ac:dyDescent="0.25">
      <c r="B2285" s="114" t="s">
        <v>1073</v>
      </c>
      <c r="D2285" s="114" t="s">
        <v>1073</v>
      </c>
      <c r="E2285" s="114" t="s">
        <v>3993</v>
      </c>
    </row>
    <row r="2286" spans="1:5" x14ac:dyDescent="0.25">
      <c r="B2286" s="114" t="s">
        <v>1073</v>
      </c>
      <c r="D2286" s="114" t="s">
        <v>1073</v>
      </c>
      <c r="E2286" s="114" t="s">
        <v>3993</v>
      </c>
    </row>
    <row r="2287" spans="1:5" x14ac:dyDescent="0.25">
      <c r="B2287" s="114" t="s">
        <v>1073</v>
      </c>
      <c r="D2287" s="114" t="s">
        <v>1073</v>
      </c>
      <c r="E2287" s="114" t="s">
        <v>3993</v>
      </c>
    </row>
    <row r="2288" spans="1:5" x14ac:dyDescent="0.25">
      <c r="B2288" s="114" t="s">
        <v>1073</v>
      </c>
      <c r="D2288" s="114" t="s">
        <v>1073</v>
      </c>
      <c r="E2288" s="114" t="s">
        <v>3993</v>
      </c>
    </row>
    <row r="2289" spans="2:5" x14ac:dyDescent="0.25">
      <c r="B2289" s="114" t="s">
        <v>1073</v>
      </c>
      <c r="D2289" s="114" t="s">
        <v>1073</v>
      </c>
      <c r="E2289" s="114" t="s">
        <v>3993</v>
      </c>
    </row>
    <row r="2290" spans="2:5" x14ac:dyDescent="0.25">
      <c r="B2290" s="114" t="s">
        <v>1073</v>
      </c>
      <c r="D2290" s="114" t="s">
        <v>1073</v>
      </c>
      <c r="E2290" s="114" t="s">
        <v>3993</v>
      </c>
    </row>
    <row r="2291" spans="2:5" x14ac:dyDescent="0.25">
      <c r="B2291" s="114" t="s">
        <v>1073</v>
      </c>
      <c r="D2291" s="114" t="s">
        <v>1073</v>
      </c>
      <c r="E2291" s="114" t="s">
        <v>3993</v>
      </c>
    </row>
    <row r="2292" spans="2:5" x14ac:dyDescent="0.25">
      <c r="B2292" s="114" t="s">
        <v>1073</v>
      </c>
      <c r="D2292" s="114" t="s">
        <v>1073</v>
      </c>
      <c r="E2292" s="114" t="s">
        <v>3993</v>
      </c>
    </row>
    <row r="2293" spans="2:5" x14ac:dyDescent="0.25">
      <c r="B2293" s="114" t="s">
        <v>1073</v>
      </c>
      <c r="D2293" s="114" t="s">
        <v>1073</v>
      </c>
      <c r="E2293" s="114" t="s">
        <v>3993</v>
      </c>
    </row>
    <row r="2294" spans="2:5" x14ac:dyDescent="0.25">
      <c r="B2294" s="114" t="s">
        <v>1073</v>
      </c>
      <c r="D2294" s="114" t="s">
        <v>1073</v>
      </c>
      <c r="E2294" s="114" t="s">
        <v>3993</v>
      </c>
    </row>
    <row r="2295" spans="2:5" x14ac:dyDescent="0.25">
      <c r="B2295" s="114" t="s">
        <v>1073</v>
      </c>
      <c r="D2295" s="114" t="s">
        <v>1073</v>
      </c>
      <c r="E2295" s="114" t="s">
        <v>3993</v>
      </c>
    </row>
    <row r="2296" spans="2:5" x14ac:dyDescent="0.25">
      <c r="B2296" s="114" t="s">
        <v>1073</v>
      </c>
      <c r="D2296" s="114" t="s">
        <v>1073</v>
      </c>
      <c r="E2296" s="114" t="s">
        <v>3993</v>
      </c>
    </row>
    <row r="2297" spans="2:5" x14ac:dyDescent="0.25">
      <c r="B2297" s="114" t="s">
        <v>1073</v>
      </c>
      <c r="D2297" s="114" t="s">
        <v>1073</v>
      </c>
      <c r="E2297" s="114" t="s">
        <v>3993</v>
      </c>
    </row>
    <row r="2298" spans="2:5" x14ac:dyDescent="0.25">
      <c r="B2298" s="114" t="s">
        <v>1073</v>
      </c>
      <c r="D2298" s="114" t="s">
        <v>1073</v>
      </c>
      <c r="E2298" s="114" t="s">
        <v>3993</v>
      </c>
    </row>
    <row r="2299" spans="2:5" x14ac:dyDescent="0.25">
      <c r="B2299" s="114" t="s">
        <v>1073</v>
      </c>
      <c r="D2299" s="114" t="s">
        <v>1073</v>
      </c>
      <c r="E2299" s="114" t="s">
        <v>3993</v>
      </c>
    </row>
    <row r="2300" spans="2:5" x14ac:dyDescent="0.25">
      <c r="B2300" s="114" t="s">
        <v>1073</v>
      </c>
      <c r="D2300" s="114" t="s">
        <v>1073</v>
      </c>
      <c r="E2300" s="114" t="s">
        <v>3993</v>
      </c>
    </row>
    <row r="2301" spans="2:5" x14ac:dyDescent="0.25">
      <c r="B2301" s="114" t="s">
        <v>1073</v>
      </c>
      <c r="D2301" s="114" t="s">
        <v>1073</v>
      </c>
      <c r="E2301" s="114" t="s">
        <v>3993</v>
      </c>
    </row>
    <row r="2302" spans="2:5" x14ac:dyDescent="0.25">
      <c r="B2302" s="114" t="s">
        <v>1073</v>
      </c>
      <c r="D2302" s="114" t="s">
        <v>1073</v>
      </c>
      <c r="E2302" s="114" t="s">
        <v>3993</v>
      </c>
    </row>
    <row r="2303" spans="2:5" x14ac:dyDescent="0.25">
      <c r="B2303" s="114" t="s">
        <v>1073</v>
      </c>
      <c r="D2303" s="114" t="s">
        <v>1073</v>
      </c>
      <c r="E2303" s="114" t="s">
        <v>3993</v>
      </c>
    </row>
    <row r="2304" spans="2:5" x14ac:dyDescent="0.25">
      <c r="B2304" s="114" t="s">
        <v>1073</v>
      </c>
      <c r="D2304" s="114" t="s">
        <v>1073</v>
      </c>
      <c r="E2304" s="114" t="s">
        <v>3993</v>
      </c>
    </row>
    <row r="2305" spans="2:5" x14ac:dyDescent="0.25">
      <c r="B2305" s="114" t="s">
        <v>1073</v>
      </c>
      <c r="D2305" s="114" t="s">
        <v>1073</v>
      </c>
      <c r="E2305" s="114" t="s">
        <v>3993</v>
      </c>
    </row>
    <row r="2306" spans="2:5" x14ac:dyDescent="0.25">
      <c r="B2306" s="114" t="s">
        <v>1073</v>
      </c>
      <c r="D2306" s="114" t="s">
        <v>1073</v>
      </c>
      <c r="E2306" s="114" t="s">
        <v>3993</v>
      </c>
    </row>
    <row r="2307" spans="2:5" x14ac:dyDescent="0.25">
      <c r="B2307" s="114" t="s">
        <v>1073</v>
      </c>
      <c r="D2307" s="114" t="s">
        <v>1073</v>
      </c>
      <c r="E2307" s="114" t="s">
        <v>3993</v>
      </c>
    </row>
    <row r="2308" spans="2:5" x14ac:dyDescent="0.25">
      <c r="B2308" s="114" t="s">
        <v>1073</v>
      </c>
      <c r="D2308" s="114" t="s">
        <v>1073</v>
      </c>
      <c r="E2308" s="114" t="s">
        <v>3993</v>
      </c>
    </row>
    <row r="2309" spans="2:5" x14ac:dyDescent="0.25">
      <c r="B2309" s="114" t="s">
        <v>1073</v>
      </c>
      <c r="D2309" s="114" t="s">
        <v>1073</v>
      </c>
      <c r="E2309" s="114" t="s">
        <v>3993</v>
      </c>
    </row>
    <row r="2310" spans="2:5" x14ac:dyDescent="0.25">
      <c r="B2310" s="114" t="s">
        <v>1073</v>
      </c>
      <c r="D2310" s="114" t="s">
        <v>1073</v>
      </c>
      <c r="E2310" s="114" t="s">
        <v>3993</v>
      </c>
    </row>
    <row r="2311" spans="2:5" x14ac:dyDescent="0.25">
      <c r="B2311" s="114" t="s">
        <v>1073</v>
      </c>
      <c r="D2311" s="114" t="s">
        <v>1073</v>
      </c>
      <c r="E2311" s="114" t="s">
        <v>3993</v>
      </c>
    </row>
    <row r="2312" spans="2:5" x14ac:dyDescent="0.25">
      <c r="B2312" s="114" t="s">
        <v>1073</v>
      </c>
      <c r="D2312" s="114" t="s">
        <v>1073</v>
      </c>
      <c r="E2312" s="114" t="s">
        <v>3993</v>
      </c>
    </row>
    <row r="2313" spans="2:5" x14ac:dyDescent="0.25">
      <c r="B2313" s="114" t="s">
        <v>1073</v>
      </c>
      <c r="D2313" s="114" t="s">
        <v>1073</v>
      </c>
      <c r="E2313" s="114" t="s">
        <v>3993</v>
      </c>
    </row>
    <row r="2314" spans="2:5" x14ac:dyDescent="0.25">
      <c r="B2314" s="114" t="s">
        <v>1073</v>
      </c>
      <c r="D2314" s="114" t="s">
        <v>1073</v>
      </c>
      <c r="E2314" s="114" t="s">
        <v>3993</v>
      </c>
    </row>
    <row r="2315" spans="2:5" x14ac:dyDescent="0.25">
      <c r="B2315" s="114" t="s">
        <v>1073</v>
      </c>
      <c r="D2315" s="114" t="s">
        <v>1073</v>
      </c>
      <c r="E2315" s="114" t="s">
        <v>3993</v>
      </c>
    </row>
    <row r="2316" spans="2:5" x14ac:dyDescent="0.25">
      <c r="B2316" s="114" t="s">
        <v>1073</v>
      </c>
      <c r="D2316" s="114" t="s">
        <v>1073</v>
      </c>
      <c r="E2316" s="114" t="s">
        <v>3993</v>
      </c>
    </row>
    <row r="2317" spans="2:5" x14ac:dyDescent="0.25">
      <c r="B2317" s="114" t="s">
        <v>1073</v>
      </c>
      <c r="D2317" s="114" t="s">
        <v>1073</v>
      </c>
      <c r="E2317" s="114" t="s">
        <v>3993</v>
      </c>
    </row>
    <row r="2318" spans="2:5" x14ac:dyDescent="0.25">
      <c r="B2318" s="114" t="s">
        <v>1073</v>
      </c>
      <c r="D2318" s="114" t="s">
        <v>1073</v>
      </c>
      <c r="E2318" s="114" t="s">
        <v>3993</v>
      </c>
    </row>
    <row r="2319" spans="2:5" x14ac:dyDescent="0.25">
      <c r="B2319" s="114" t="s">
        <v>1073</v>
      </c>
      <c r="D2319" s="114" t="s">
        <v>1073</v>
      </c>
      <c r="E2319" s="114" t="s">
        <v>3993</v>
      </c>
    </row>
    <row r="2320" spans="2:5" x14ac:dyDescent="0.25">
      <c r="B2320" s="114" t="s">
        <v>1073</v>
      </c>
      <c r="D2320" s="114" t="s">
        <v>1073</v>
      </c>
      <c r="E2320" s="114" t="s">
        <v>3993</v>
      </c>
    </row>
    <row r="2321" spans="2:5" x14ac:dyDescent="0.25">
      <c r="B2321" s="114" t="s">
        <v>1073</v>
      </c>
      <c r="D2321" s="114" t="s">
        <v>1073</v>
      </c>
      <c r="E2321" s="114" t="s">
        <v>3993</v>
      </c>
    </row>
    <row r="2322" spans="2:5" x14ac:dyDescent="0.25">
      <c r="B2322" s="114" t="s">
        <v>1073</v>
      </c>
      <c r="D2322" s="114" t="s">
        <v>1073</v>
      </c>
      <c r="E2322" s="114" t="s">
        <v>3993</v>
      </c>
    </row>
    <row r="2323" spans="2:5" x14ac:dyDescent="0.25">
      <c r="B2323" s="114" t="s">
        <v>1073</v>
      </c>
      <c r="D2323" s="114" t="s">
        <v>1073</v>
      </c>
      <c r="E2323" s="114" t="s">
        <v>3993</v>
      </c>
    </row>
    <row r="2324" spans="2:5" x14ac:dyDescent="0.25">
      <c r="B2324" s="114" t="s">
        <v>1073</v>
      </c>
      <c r="D2324" s="114" t="s">
        <v>1073</v>
      </c>
      <c r="E2324" s="114" t="s">
        <v>3993</v>
      </c>
    </row>
    <row r="2325" spans="2:5" x14ac:dyDescent="0.25">
      <c r="B2325" s="114" t="s">
        <v>1073</v>
      </c>
      <c r="D2325" s="114" t="s">
        <v>1073</v>
      </c>
      <c r="E2325" s="114" t="s">
        <v>3993</v>
      </c>
    </row>
    <row r="2326" spans="2:5" x14ac:dyDescent="0.25">
      <c r="B2326" s="114" t="s">
        <v>1073</v>
      </c>
      <c r="D2326" s="114" t="s">
        <v>1073</v>
      </c>
      <c r="E2326" s="114" t="s">
        <v>3993</v>
      </c>
    </row>
    <row r="2327" spans="2:5" x14ac:dyDescent="0.25">
      <c r="B2327" s="114" t="s">
        <v>1073</v>
      </c>
      <c r="D2327" s="114" t="s">
        <v>1073</v>
      </c>
      <c r="E2327" s="114" t="s">
        <v>3993</v>
      </c>
    </row>
    <row r="2328" spans="2:5" x14ac:dyDescent="0.25">
      <c r="B2328" s="114" t="s">
        <v>1073</v>
      </c>
      <c r="D2328" s="114" t="s">
        <v>1073</v>
      </c>
      <c r="E2328" s="114" t="s">
        <v>3993</v>
      </c>
    </row>
    <row r="2329" spans="2:5" x14ac:dyDescent="0.25">
      <c r="B2329" s="114" t="s">
        <v>1073</v>
      </c>
      <c r="D2329" s="114" t="s">
        <v>1073</v>
      </c>
      <c r="E2329" s="114" t="s">
        <v>3993</v>
      </c>
    </row>
    <row r="2330" spans="2:5" x14ac:dyDescent="0.25">
      <c r="B2330" s="114" t="s">
        <v>1073</v>
      </c>
      <c r="D2330" s="114" t="s">
        <v>1073</v>
      </c>
      <c r="E2330" s="114" t="s">
        <v>3993</v>
      </c>
    </row>
    <row r="2331" spans="2:5" x14ac:dyDescent="0.25">
      <c r="B2331" s="114" t="s">
        <v>1073</v>
      </c>
      <c r="D2331" s="114" t="s">
        <v>1073</v>
      </c>
      <c r="E2331" s="114" t="s">
        <v>3993</v>
      </c>
    </row>
    <row r="2332" spans="2:5" x14ac:dyDescent="0.25">
      <c r="B2332" s="114" t="s">
        <v>1073</v>
      </c>
      <c r="D2332" s="114" t="s">
        <v>1073</v>
      </c>
      <c r="E2332" s="114" t="s">
        <v>3993</v>
      </c>
    </row>
    <row r="2333" spans="2:5" x14ac:dyDescent="0.25">
      <c r="B2333" s="114" t="s">
        <v>1073</v>
      </c>
      <c r="D2333" s="114" t="s">
        <v>1073</v>
      </c>
      <c r="E2333" s="114" t="s">
        <v>3993</v>
      </c>
    </row>
    <row r="2334" spans="2:5" x14ac:dyDescent="0.25">
      <c r="B2334" s="114" t="s">
        <v>1073</v>
      </c>
      <c r="D2334" s="114" t="s">
        <v>1073</v>
      </c>
      <c r="E2334" s="114" t="s">
        <v>3993</v>
      </c>
    </row>
    <row r="2335" spans="2:5" x14ac:dyDescent="0.25">
      <c r="B2335" s="114" t="s">
        <v>1073</v>
      </c>
      <c r="D2335" s="114" t="s">
        <v>1073</v>
      </c>
      <c r="E2335" s="114" t="s">
        <v>3993</v>
      </c>
    </row>
    <row r="2336" spans="2:5" x14ac:dyDescent="0.25">
      <c r="B2336" s="114" t="s">
        <v>1073</v>
      </c>
      <c r="D2336" s="114" t="s">
        <v>1073</v>
      </c>
      <c r="E2336" s="114" t="s">
        <v>3993</v>
      </c>
    </row>
    <row r="2337" spans="2:5" x14ac:dyDescent="0.25">
      <c r="B2337" s="114" t="s">
        <v>1073</v>
      </c>
      <c r="D2337" s="114" t="s">
        <v>1073</v>
      </c>
      <c r="E2337" s="114" t="s">
        <v>3993</v>
      </c>
    </row>
    <row r="2338" spans="2:5" x14ac:dyDescent="0.25">
      <c r="B2338" s="114" t="s">
        <v>1073</v>
      </c>
      <c r="D2338" s="114" t="s">
        <v>1073</v>
      </c>
      <c r="E2338" s="114" t="s">
        <v>3993</v>
      </c>
    </row>
    <row r="2339" spans="2:5" x14ac:dyDescent="0.25">
      <c r="B2339" s="114" t="s">
        <v>1073</v>
      </c>
      <c r="D2339" s="114" t="s">
        <v>1073</v>
      </c>
      <c r="E2339" s="114" t="s">
        <v>3993</v>
      </c>
    </row>
    <row r="2340" spans="2:5" x14ac:dyDescent="0.25">
      <c r="B2340" s="114" t="s">
        <v>1073</v>
      </c>
      <c r="D2340" s="114" t="s">
        <v>1073</v>
      </c>
      <c r="E2340" s="114" t="s">
        <v>3993</v>
      </c>
    </row>
    <row r="2341" spans="2:5" x14ac:dyDescent="0.25">
      <c r="B2341" s="114" t="s">
        <v>1073</v>
      </c>
      <c r="D2341" s="114" t="s">
        <v>1073</v>
      </c>
      <c r="E2341" s="114" t="s">
        <v>3993</v>
      </c>
    </row>
    <row r="2342" spans="2:5" x14ac:dyDescent="0.25">
      <c r="B2342" s="114" t="s">
        <v>1073</v>
      </c>
      <c r="D2342" s="114" t="s">
        <v>1073</v>
      </c>
      <c r="E2342" s="114" t="s">
        <v>3993</v>
      </c>
    </row>
    <row r="2343" spans="2:5" x14ac:dyDescent="0.25">
      <c r="B2343" s="114" t="s">
        <v>1073</v>
      </c>
      <c r="D2343" s="114" t="s">
        <v>1073</v>
      </c>
      <c r="E2343" s="114" t="s">
        <v>3993</v>
      </c>
    </row>
    <row r="2344" spans="2:5" x14ac:dyDescent="0.25">
      <c r="B2344" s="114" t="s">
        <v>1073</v>
      </c>
      <c r="D2344" s="114" t="s">
        <v>1073</v>
      </c>
      <c r="E2344" s="114" t="s">
        <v>3993</v>
      </c>
    </row>
    <row r="2345" spans="2:5" x14ac:dyDescent="0.25">
      <c r="B2345" s="114" t="s">
        <v>1073</v>
      </c>
      <c r="D2345" s="114" t="s">
        <v>1073</v>
      </c>
      <c r="E2345" s="114" t="s">
        <v>3993</v>
      </c>
    </row>
    <row r="2346" spans="2:5" x14ac:dyDescent="0.25">
      <c r="B2346" s="114" t="s">
        <v>1073</v>
      </c>
      <c r="D2346" s="114" t="s">
        <v>1073</v>
      </c>
      <c r="E2346" s="114" t="s">
        <v>3993</v>
      </c>
    </row>
    <row r="2347" spans="2:5" x14ac:dyDescent="0.25">
      <c r="B2347" s="114" t="s">
        <v>1073</v>
      </c>
      <c r="D2347" s="114" t="s">
        <v>1073</v>
      </c>
      <c r="E2347" s="114" t="s">
        <v>3993</v>
      </c>
    </row>
    <row r="2348" spans="2:5" x14ac:dyDescent="0.25">
      <c r="B2348" s="114" t="s">
        <v>1073</v>
      </c>
      <c r="D2348" s="114" t="s">
        <v>1073</v>
      </c>
      <c r="E2348" s="114" t="s">
        <v>3993</v>
      </c>
    </row>
    <row r="2349" spans="2:5" x14ac:dyDescent="0.25">
      <c r="B2349" s="114" t="s">
        <v>1073</v>
      </c>
      <c r="D2349" s="114" t="s">
        <v>1073</v>
      </c>
      <c r="E2349" s="114" t="s">
        <v>3993</v>
      </c>
    </row>
    <row r="2350" spans="2:5" x14ac:dyDescent="0.25">
      <c r="B2350" s="114" t="s">
        <v>1073</v>
      </c>
      <c r="D2350" s="114" t="s">
        <v>1073</v>
      </c>
      <c r="E2350" s="114" t="s">
        <v>3993</v>
      </c>
    </row>
    <row r="2351" spans="2:5" x14ac:dyDescent="0.25">
      <c r="B2351" s="114" t="s">
        <v>1073</v>
      </c>
      <c r="D2351" s="114" t="s">
        <v>1073</v>
      </c>
      <c r="E2351" s="114" t="s">
        <v>3993</v>
      </c>
    </row>
    <row r="2352" spans="2:5" x14ac:dyDescent="0.25">
      <c r="B2352" s="114" t="s">
        <v>1073</v>
      </c>
      <c r="D2352" s="114" t="s">
        <v>1073</v>
      </c>
      <c r="E2352" s="114" t="s">
        <v>3993</v>
      </c>
    </row>
    <row r="2353" spans="1:5" x14ac:dyDescent="0.25">
      <c r="B2353" s="114" t="s">
        <v>1073</v>
      </c>
      <c r="D2353" s="114" t="s">
        <v>1073</v>
      </c>
      <c r="E2353" s="114" t="s">
        <v>3993</v>
      </c>
    </row>
    <row r="2354" spans="1:5" x14ac:dyDescent="0.25">
      <c r="B2354" s="114" t="s">
        <v>2060</v>
      </c>
      <c r="D2354" s="114" t="s">
        <v>5587</v>
      </c>
      <c r="E2354" s="114" t="s">
        <v>5588</v>
      </c>
    </row>
    <row r="2355" spans="1:5" x14ac:dyDescent="0.25">
      <c r="B2355" s="114" t="s">
        <v>1073</v>
      </c>
      <c r="D2355" s="114">
        <f>-63   -129</f>
        <v>-192</v>
      </c>
      <c r="E2355" s="114" t="s">
        <v>3993</v>
      </c>
    </row>
    <row r="2356" spans="1:5" x14ac:dyDescent="0.25">
      <c r="B2356" s="114" t="s">
        <v>1073</v>
      </c>
      <c r="D2356" s="114" t="s">
        <v>5589</v>
      </c>
      <c r="E2356" s="114" t="s">
        <v>5590</v>
      </c>
    </row>
    <row r="2357" spans="1:5" x14ac:dyDescent="0.25">
      <c r="A2357" s="114" t="s">
        <v>1072</v>
      </c>
      <c r="B2357" s="114" t="s">
        <v>2061</v>
      </c>
      <c r="D2357" s="114" t="s">
        <v>1073</v>
      </c>
      <c r="E2357" s="114" t="s">
        <v>5591</v>
      </c>
    </row>
    <row r="2358" spans="1:5" x14ac:dyDescent="0.25">
      <c r="B2358" s="114" t="s">
        <v>1073</v>
      </c>
      <c r="D2358" s="114" t="s">
        <v>1073</v>
      </c>
      <c r="E2358" s="114" t="s">
        <v>5592</v>
      </c>
    </row>
    <row r="2359" spans="1:5" x14ac:dyDescent="0.25">
      <c r="B2359" s="114" t="s">
        <v>1073</v>
      </c>
      <c r="D2359" s="114" t="s">
        <v>5593</v>
      </c>
      <c r="E2359" s="114" t="s">
        <v>5594</v>
      </c>
    </row>
    <row r="2360" spans="1:5" x14ac:dyDescent="0.25">
      <c r="B2360" s="114" t="s">
        <v>1268</v>
      </c>
      <c r="D2360" s="114" t="s">
        <v>5595</v>
      </c>
      <c r="E2360" s="114" t="s">
        <v>5596</v>
      </c>
    </row>
    <row r="2361" spans="1:5" x14ac:dyDescent="0.25">
      <c r="A2361" s="114" t="s">
        <v>1072</v>
      </c>
      <c r="B2361" s="114" t="s">
        <v>2062</v>
      </c>
      <c r="D2361" s="114" t="s">
        <v>5597</v>
      </c>
      <c r="E2361" s="114" t="s">
        <v>5598</v>
      </c>
    </row>
    <row r="2362" spans="1:5" x14ac:dyDescent="0.25">
      <c r="A2362" s="114">
        <v>-2</v>
      </c>
      <c r="B2362" s="114" t="s">
        <v>2063</v>
      </c>
      <c r="D2362" s="114" t="s">
        <v>5599</v>
      </c>
      <c r="E2362" s="114" t="s">
        <v>5600</v>
      </c>
    </row>
    <row r="2363" spans="1:5" x14ac:dyDescent="0.25">
      <c r="B2363" s="114" t="s">
        <v>2064</v>
      </c>
      <c r="D2363" s="114" t="s">
        <v>5601</v>
      </c>
      <c r="E2363" s="114" t="s">
        <v>5602</v>
      </c>
    </row>
    <row r="2364" spans="1:5" x14ac:dyDescent="0.25">
      <c r="A2364" s="114" t="s">
        <v>1072</v>
      </c>
      <c r="B2364" s="114" t="s">
        <v>1199</v>
      </c>
      <c r="D2364" s="114">
        <f>-257   -451</f>
        <v>-708</v>
      </c>
      <c r="E2364" s="114" t="s">
        <v>5603</v>
      </c>
    </row>
    <row r="2365" spans="1:5" x14ac:dyDescent="0.25">
      <c r="A2365" s="114">
        <v>-2</v>
      </c>
      <c r="B2365" s="114" t="s">
        <v>2065</v>
      </c>
      <c r="D2365" s="114" t="s">
        <v>5604</v>
      </c>
      <c r="E2365" s="114" t="s">
        <v>5605</v>
      </c>
    </row>
    <row r="2366" spans="1:5" x14ac:dyDescent="0.25">
      <c r="B2366" s="114" t="s">
        <v>2066</v>
      </c>
      <c r="D2366" s="114" t="s">
        <v>5606</v>
      </c>
      <c r="E2366" s="114" t="s">
        <v>5607</v>
      </c>
    </row>
    <row r="2367" spans="1:5" x14ac:dyDescent="0.25">
      <c r="B2367" s="114" t="s">
        <v>2067</v>
      </c>
      <c r="D2367" s="114" t="s">
        <v>5608</v>
      </c>
      <c r="E2367" s="114" t="s">
        <v>5609</v>
      </c>
    </row>
    <row r="2368" spans="1:5" x14ac:dyDescent="0.25">
      <c r="A2368" s="114">
        <v>-4</v>
      </c>
      <c r="B2368" s="114" t="s">
        <v>2068</v>
      </c>
      <c r="D2368" s="114" t="s">
        <v>5610</v>
      </c>
      <c r="E2368" s="114" t="s">
        <v>5611</v>
      </c>
    </row>
    <row r="2369" spans="1:5" x14ac:dyDescent="0.25">
      <c r="B2369" s="114" t="s">
        <v>2069</v>
      </c>
      <c r="D2369" s="114" t="s">
        <v>5612</v>
      </c>
      <c r="E2369" s="114" t="s">
        <v>5613</v>
      </c>
    </row>
    <row r="2370" spans="1:5" x14ac:dyDescent="0.25">
      <c r="A2370" s="114" t="s">
        <v>1072</v>
      </c>
      <c r="B2370" s="114" t="s">
        <v>1227</v>
      </c>
      <c r="D2370" s="114" t="s">
        <v>5614</v>
      </c>
      <c r="E2370" s="114" t="s">
        <v>3993</v>
      </c>
    </row>
    <row r="2371" spans="1:5" x14ac:dyDescent="0.25">
      <c r="A2371" s="114">
        <v>-5</v>
      </c>
      <c r="B2371" s="114" t="s">
        <v>2070</v>
      </c>
      <c r="D2371" s="114" t="s">
        <v>5615</v>
      </c>
      <c r="E2371" s="114" t="s">
        <v>3992</v>
      </c>
    </row>
    <row r="2372" spans="1:5" x14ac:dyDescent="0.25">
      <c r="A2372" s="114">
        <v>7</v>
      </c>
      <c r="B2372" s="114" t="s">
        <v>2071</v>
      </c>
      <c r="C2372" s="114" t="s">
        <v>1072</v>
      </c>
      <c r="D2372" s="114" t="s">
        <v>5616</v>
      </c>
      <c r="E2372" s="114" t="s">
        <v>5617</v>
      </c>
    </row>
    <row r="2373" spans="1:5" x14ac:dyDescent="0.25">
      <c r="A2373" s="114">
        <v>2</v>
      </c>
      <c r="B2373" s="114" t="s">
        <v>1389</v>
      </c>
      <c r="D2373" s="114" t="s">
        <v>5618</v>
      </c>
      <c r="E2373" s="114" t="s">
        <v>5619</v>
      </c>
    </row>
    <row r="2374" spans="1:5" x14ac:dyDescent="0.25">
      <c r="A2374" s="114">
        <v>1</v>
      </c>
      <c r="B2374" s="114" t="s">
        <v>2072</v>
      </c>
      <c r="C2374" s="114" t="s">
        <v>1072</v>
      </c>
      <c r="D2374" s="114" t="s">
        <v>5620</v>
      </c>
      <c r="E2374" s="114" t="s">
        <v>5621</v>
      </c>
    </row>
    <row r="2375" spans="1:5" x14ac:dyDescent="0.25">
      <c r="B2375" s="114" t="s">
        <v>1073</v>
      </c>
      <c r="D2375" s="114">
        <f>-394  -1257</f>
        <v>-1651</v>
      </c>
      <c r="E2375" s="114" t="s">
        <v>3993</v>
      </c>
    </row>
    <row r="2376" spans="1:5" x14ac:dyDescent="0.25">
      <c r="B2376" s="114" t="s">
        <v>1073</v>
      </c>
      <c r="D2376" s="114" t="s">
        <v>5622</v>
      </c>
      <c r="E2376" s="114" t="s">
        <v>5623</v>
      </c>
    </row>
    <row r="2377" spans="1:5" x14ac:dyDescent="0.25">
      <c r="A2377" s="114">
        <v>-2</v>
      </c>
      <c r="B2377" s="114" t="s">
        <v>2073</v>
      </c>
      <c r="D2377" s="114" t="s">
        <v>1073</v>
      </c>
      <c r="E2377" s="114" t="s">
        <v>5624</v>
      </c>
    </row>
    <row r="2378" spans="1:5" x14ac:dyDescent="0.25">
      <c r="B2378" s="114" t="s">
        <v>1073</v>
      </c>
      <c r="D2378" s="114" t="s">
        <v>1073</v>
      </c>
      <c r="E2378" s="114" t="s">
        <v>5625</v>
      </c>
    </row>
    <row r="2379" spans="1:5" x14ac:dyDescent="0.25">
      <c r="B2379" s="114" t="s">
        <v>1073</v>
      </c>
      <c r="D2379" s="114" t="s">
        <v>5626</v>
      </c>
      <c r="E2379" s="114" t="s">
        <v>5627</v>
      </c>
    </row>
    <row r="2380" spans="1:5" x14ac:dyDescent="0.25">
      <c r="B2380" s="114" t="s">
        <v>2074</v>
      </c>
      <c r="D2380" s="114">
        <f>-928   -316</f>
        <v>-1244</v>
      </c>
      <c r="E2380" s="114" t="s">
        <v>5628</v>
      </c>
    </row>
    <row r="2381" spans="1:5" x14ac:dyDescent="0.25">
      <c r="B2381" s="114" t="s">
        <v>2075</v>
      </c>
      <c r="D2381" s="114" t="s">
        <v>5629</v>
      </c>
      <c r="E2381" s="114" t="s">
        <v>5630</v>
      </c>
    </row>
    <row r="2382" spans="1:5" x14ac:dyDescent="0.25">
      <c r="A2382" s="114">
        <v>1</v>
      </c>
      <c r="B2382" s="114" t="s">
        <v>2076</v>
      </c>
      <c r="D2382" s="114" t="s">
        <v>5631</v>
      </c>
      <c r="E2382" s="114" t="s">
        <v>5632</v>
      </c>
    </row>
    <row r="2383" spans="1:5" x14ac:dyDescent="0.25">
      <c r="A2383" s="114">
        <v>-1</v>
      </c>
      <c r="B2383" s="114" t="s">
        <v>2077</v>
      </c>
      <c r="D2383" s="114" t="s">
        <v>5633</v>
      </c>
      <c r="E2383" s="114" t="s">
        <v>5634</v>
      </c>
    </row>
    <row r="2384" spans="1:5" x14ac:dyDescent="0.25">
      <c r="A2384" s="114" t="s">
        <v>1072</v>
      </c>
      <c r="B2384" s="114" t="s">
        <v>1116</v>
      </c>
      <c r="D2384" s="114">
        <f>-185    -28    -1</f>
        <v>-214</v>
      </c>
      <c r="E2384" s="114" t="s">
        <v>5635</v>
      </c>
    </row>
    <row r="2385" spans="1:5" x14ac:dyDescent="0.25">
      <c r="B2385" s="114" t="s">
        <v>2078</v>
      </c>
      <c r="D2385" s="114" t="s">
        <v>5636</v>
      </c>
      <c r="E2385" s="114" t="s">
        <v>5637</v>
      </c>
    </row>
    <row r="2386" spans="1:5" x14ac:dyDescent="0.25">
      <c r="A2386" s="114">
        <v>1</v>
      </c>
      <c r="B2386" s="114" t="s">
        <v>1432</v>
      </c>
      <c r="D2386" s="114" t="s">
        <v>5638</v>
      </c>
      <c r="E2386" s="114" t="s">
        <v>5639</v>
      </c>
    </row>
    <row r="2387" spans="1:5" x14ac:dyDescent="0.25">
      <c r="B2387" s="114" t="s">
        <v>1406</v>
      </c>
      <c r="D2387" s="114" t="s">
        <v>5640</v>
      </c>
      <c r="E2387" s="114" t="s">
        <v>5641</v>
      </c>
    </row>
    <row r="2388" spans="1:5" x14ac:dyDescent="0.25">
      <c r="B2388" s="114" t="s">
        <v>2079</v>
      </c>
      <c r="D2388" s="114" t="s">
        <v>5642</v>
      </c>
      <c r="E2388" s="114" t="s">
        <v>5643</v>
      </c>
    </row>
    <row r="2389" spans="1:5" x14ac:dyDescent="0.25">
      <c r="A2389" s="114" t="s">
        <v>1072</v>
      </c>
      <c r="B2389" s="114" t="s">
        <v>2080</v>
      </c>
      <c r="D2389" s="114">
        <f>-523   -180</f>
        <v>-703</v>
      </c>
      <c r="E2389" s="114" t="s">
        <v>5644</v>
      </c>
    </row>
    <row r="2390" spans="1:5" x14ac:dyDescent="0.25">
      <c r="A2390" s="114" t="s">
        <v>1072</v>
      </c>
      <c r="B2390" s="114" t="s">
        <v>1340</v>
      </c>
      <c r="D2390" s="114" t="s">
        <v>5645</v>
      </c>
      <c r="E2390" s="114" t="s">
        <v>3993</v>
      </c>
    </row>
    <row r="2391" spans="1:5" x14ac:dyDescent="0.25">
      <c r="B2391" s="114" t="s">
        <v>2081</v>
      </c>
      <c r="D2391" s="114" t="s">
        <v>5646</v>
      </c>
      <c r="E2391" s="114" t="s">
        <v>4002</v>
      </c>
    </row>
    <row r="2392" spans="1:5" x14ac:dyDescent="0.25">
      <c r="A2392" s="114">
        <v>12</v>
      </c>
      <c r="B2392" s="114" t="s">
        <v>2082</v>
      </c>
      <c r="D2392" s="114" t="s">
        <v>5647</v>
      </c>
      <c r="E2392" s="114" t="s">
        <v>5648</v>
      </c>
    </row>
    <row r="2393" spans="1:5" x14ac:dyDescent="0.25">
      <c r="A2393" s="114">
        <v>3</v>
      </c>
      <c r="B2393" s="114" t="s">
        <v>1093</v>
      </c>
      <c r="D2393" s="114" t="s">
        <v>5649</v>
      </c>
      <c r="E2393" s="114" t="s">
        <v>5650</v>
      </c>
    </row>
    <row r="2394" spans="1:5" x14ac:dyDescent="0.25">
      <c r="A2394" s="114">
        <v>-5</v>
      </c>
      <c r="B2394" s="114" t="s">
        <v>2083</v>
      </c>
      <c r="D2394" s="114">
        <f>-249  -6304  -185</f>
        <v>-6738</v>
      </c>
      <c r="E2394" s="114" t="s">
        <v>5651</v>
      </c>
    </row>
    <row r="2395" spans="1:5" x14ac:dyDescent="0.25">
      <c r="B2395" s="114" t="s">
        <v>1073</v>
      </c>
      <c r="D2395" s="114" t="s">
        <v>5652</v>
      </c>
      <c r="E2395" s="114" t="s">
        <v>3992</v>
      </c>
    </row>
    <row r="2396" spans="1:5" x14ac:dyDescent="0.25">
      <c r="B2396" s="114" t="s">
        <v>1073</v>
      </c>
      <c r="D2396" s="114" t="s">
        <v>5653</v>
      </c>
      <c r="E2396" s="114" t="s">
        <v>5654</v>
      </c>
    </row>
    <row r="2397" spans="1:5" x14ac:dyDescent="0.25">
      <c r="A2397" s="114" t="s">
        <v>1072</v>
      </c>
      <c r="B2397" s="114" t="s">
        <v>2084</v>
      </c>
      <c r="D2397" s="114" t="s">
        <v>1417</v>
      </c>
      <c r="E2397" s="114" t="s">
        <v>5655</v>
      </c>
    </row>
    <row r="2398" spans="1:5" x14ac:dyDescent="0.25">
      <c r="B2398" s="114" t="s">
        <v>1494</v>
      </c>
      <c r="D2398" s="114" t="s">
        <v>1073</v>
      </c>
      <c r="E2398" s="114" t="s">
        <v>5656</v>
      </c>
    </row>
    <row r="2399" spans="1:5" x14ac:dyDescent="0.25">
      <c r="B2399" s="114" t="s">
        <v>1073</v>
      </c>
      <c r="D2399" s="114" t="s">
        <v>5657</v>
      </c>
      <c r="E2399" s="114" t="s">
        <v>5658</v>
      </c>
    </row>
    <row r="2400" spans="1:5" x14ac:dyDescent="0.25">
      <c r="B2400" s="114" t="s">
        <v>1073</v>
      </c>
      <c r="D2400" s="114" t="s">
        <v>5659</v>
      </c>
      <c r="E2400" s="114" t="s">
        <v>5660</v>
      </c>
    </row>
    <row r="2401" spans="1:5" x14ac:dyDescent="0.25">
      <c r="B2401" s="114" t="s">
        <v>2085</v>
      </c>
      <c r="D2401" s="114" t="s">
        <v>5661</v>
      </c>
      <c r="E2401" s="114" t="s">
        <v>5662</v>
      </c>
    </row>
    <row r="2402" spans="1:5" x14ac:dyDescent="0.25">
      <c r="B2402" s="114" t="s">
        <v>2086</v>
      </c>
      <c r="D2402" s="114" t="s">
        <v>5663</v>
      </c>
      <c r="E2402" s="114" t="s">
        <v>5664</v>
      </c>
    </row>
    <row r="2403" spans="1:5" x14ac:dyDescent="0.25">
      <c r="A2403" s="114">
        <v>-1</v>
      </c>
      <c r="B2403" s="114" t="s">
        <v>2087</v>
      </c>
      <c r="D2403" s="114" t="s">
        <v>5665</v>
      </c>
      <c r="E2403" s="114" t="s">
        <v>5666</v>
      </c>
    </row>
    <row r="2404" spans="1:5" x14ac:dyDescent="0.25">
      <c r="B2404" s="114" t="s">
        <v>1487</v>
      </c>
      <c r="D2404" s="114" t="s">
        <v>5667</v>
      </c>
      <c r="E2404" s="114" t="s">
        <v>5668</v>
      </c>
    </row>
    <row r="2405" spans="1:5" x14ac:dyDescent="0.25">
      <c r="B2405" s="114" t="s">
        <v>2088</v>
      </c>
      <c r="D2405" s="114" t="s">
        <v>5669</v>
      </c>
      <c r="E2405" s="114" t="s">
        <v>5670</v>
      </c>
    </row>
    <row r="2406" spans="1:5" x14ac:dyDescent="0.25">
      <c r="A2406" s="114" t="s">
        <v>1072</v>
      </c>
      <c r="B2406" s="114" t="s">
        <v>2089</v>
      </c>
      <c r="D2406" s="114" t="s">
        <v>5671</v>
      </c>
      <c r="E2406" s="114" t="s">
        <v>5672</v>
      </c>
    </row>
    <row r="2407" spans="1:5" x14ac:dyDescent="0.25">
      <c r="B2407" s="114" t="s">
        <v>1073</v>
      </c>
      <c r="D2407" s="114" t="s">
        <v>5673</v>
      </c>
      <c r="E2407" s="114" t="s">
        <v>5674</v>
      </c>
    </row>
    <row r="2408" spans="1:5" x14ac:dyDescent="0.25">
      <c r="B2408" s="114" t="s">
        <v>2090</v>
      </c>
      <c r="D2408" s="114" t="s">
        <v>5675</v>
      </c>
      <c r="E2408" s="114" t="s">
        <v>5676</v>
      </c>
    </row>
    <row r="2409" spans="1:5" x14ac:dyDescent="0.25">
      <c r="A2409" s="114">
        <v>-1</v>
      </c>
      <c r="B2409" s="114" t="s">
        <v>2091</v>
      </c>
      <c r="D2409" s="114" t="s">
        <v>5677</v>
      </c>
      <c r="E2409" s="114" t="s">
        <v>5678</v>
      </c>
    </row>
    <row r="2410" spans="1:5" x14ac:dyDescent="0.25">
      <c r="B2410" s="114" t="s">
        <v>2092</v>
      </c>
      <c r="D2410" s="114" t="s">
        <v>5679</v>
      </c>
      <c r="E2410" s="114" t="s">
        <v>3993</v>
      </c>
    </row>
    <row r="2411" spans="1:5" x14ac:dyDescent="0.25">
      <c r="B2411" s="114" t="s">
        <v>2093</v>
      </c>
      <c r="D2411" s="114" t="s">
        <v>5680</v>
      </c>
      <c r="E2411" s="114" t="s">
        <v>5681</v>
      </c>
    </row>
    <row r="2412" spans="1:5" x14ac:dyDescent="0.25">
      <c r="B2412" s="114" t="s">
        <v>2094</v>
      </c>
      <c r="C2412" s="114">
        <v>1</v>
      </c>
      <c r="D2412" s="114" t="s">
        <v>5682</v>
      </c>
      <c r="E2412" s="114" t="s">
        <v>5683</v>
      </c>
    </row>
    <row r="2413" spans="1:5" x14ac:dyDescent="0.25">
      <c r="B2413" s="114" t="s">
        <v>2095</v>
      </c>
      <c r="D2413" s="114" t="s">
        <v>5684</v>
      </c>
      <c r="E2413" s="114" t="s">
        <v>5685</v>
      </c>
    </row>
    <row r="2414" spans="1:5" x14ac:dyDescent="0.25">
      <c r="B2414" s="114" t="s">
        <v>2096</v>
      </c>
      <c r="D2414" s="114" t="s">
        <v>5686</v>
      </c>
      <c r="E2414" s="114" t="s">
        <v>5687</v>
      </c>
    </row>
    <row r="2415" spans="1:5" x14ac:dyDescent="0.25">
      <c r="B2415" s="114" t="s">
        <v>2097</v>
      </c>
      <c r="D2415" s="114" t="s">
        <v>1073</v>
      </c>
      <c r="E2415" s="114" t="s">
        <v>5688</v>
      </c>
    </row>
    <row r="2416" spans="1:5" x14ac:dyDescent="0.25">
      <c r="B2416" s="114" t="s">
        <v>1073</v>
      </c>
      <c r="D2416" s="114" t="s">
        <v>1073</v>
      </c>
      <c r="E2416" s="114" t="s">
        <v>5689</v>
      </c>
    </row>
    <row r="2417" spans="1:5" x14ac:dyDescent="0.25">
      <c r="A2417" s="114">
        <v>-1</v>
      </c>
      <c r="B2417" s="114" t="s">
        <v>2098</v>
      </c>
      <c r="D2417" s="114" t="s">
        <v>5690</v>
      </c>
      <c r="E2417" s="114" t="s">
        <v>5691</v>
      </c>
    </row>
    <row r="2418" spans="1:5" x14ac:dyDescent="0.25">
      <c r="B2418" s="114" t="s">
        <v>1073</v>
      </c>
      <c r="D2418" s="114" t="s">
        <v>1237</v>
      </c>
      <c r="E2418" s="114" t="s">
        <v>5692</v>
      </c>
    </row>
    <row r="2419" spans="1:5" x14ac:dyDescent="0.25">
      <c r="B2419" s="114" t="s">
        <v>1073</v>
      </c>
      <c r="D2419" s="114" t="s">
        <v>1073</v>
      </c>
      <c r="E2419" s="114" t="s">
        <v>5693</v>
      </c>
    </row>
    <row r="2420" spans="1:5" x14ac:dyDescent="0.25">
      <c r="B2420" s="114" t="s">
        <v>1073</v>
      </c>
      <c r="D2420" s="114" t="s">
        <v>5694</v>
      </c>
      <c r="E2420" s="114" t="s">
        <v>5695</v>
      </c>
    </row>
    <row r="2421" spans="1:5" x14ac:dyDescent="0.25">
      <c r="A2421" s="114">
        <v>-2</v>
      </c>
      <c r="B2421" s="114" t="s">
        <v>1107</v>
      </c>
      <c r="D2421" s="114" t="s">
        <v>5696</v>
      </c>
      <c r="E2421" s="114" t="s">
        <v>5697</v>
      </c>
    </row>
    <row r="2422" spans="1:5" x14ac:dyDescent="0.25">
      <c r="B2422" s="114" t="s">
        <v>1073</v>
      </c>
      <c r="D2422" s="114" t="s">
        <v>5698</v>
      </c>
      <c r="E2422" s="114" t="s">
        <v>5699</v>
      </c>
    </row>
    <row r="2423" spans="1:5" x14ac:dyDescent="0.25">
      <c r="A2423" s="114">
        <v>-4</v>
      </c>
      <c r="B2423" s="114" t="s">
        <v>1324</v>
      </c>
      <c r="C2423" s="114" t="s">
        <v>1072</v>
      </c>
      <c r="D2423" s="114" t="s">
        <v>5700</v>
      </c>
      <c r="E2423" s="114" t="s">
        <v>5701</v>
      </c>
    </row>
    <row r="2424" spans="1:5" x14ac:dyDescent="0.25">
      <c r="B2424" s="114" t="s">
        <v>1073</v>
      </c>
      <c r="D2424" s="114" t="s">
        <v>5702</v>
      </c>
      <c r="E2424" s="114" t="s">
        <v>5703</v>
      </c>
    </row>
    <row r="2425" spans="1:5" x14ac:dyDescent="0.25">
      <c r="B2425" s="114" t="s">
        <v>1073</v>
      </c>
      <c r="D2425" s="114" t="s">
        <v>5704</v>
      </c>
      <c r="E2425" s="114" t="s">
        <v>5705</v>
      </c>
    </row>
    <row r="2426" spans="1:5" x14ac:dyDescent="0.25">
      <c r="A2426" s="114">
        <v>-5</v>
      </c>
      <c r="B2426" s="114" t="s">
        <v>2099</v>
      </c>
      <c r="C2426" s="114" t="s">
        <v>1072</v>
      </c>
      <c r="D2426" s="114" t="s">
        <v>5706</v>
      </c>
      <c r="E2426" s="114" t="s">
        <v>5707</v>
      </c>
    </row>
    <row r="2427" spans="1:5" x14ac:dyDescent="0.25">
      <c r="B2427" s="114" t="s">
        <v>2100</v>
      </c>
      <c r="D2427" s="114" t="s">
        <v>5708</v>
      </c>
      <c r="E2427" s="114" t="s">
        <v>5709</v>
      </c>
    </row>
    <row r="2428" spans="1:5" x14ac:dyDescent="0.25">
      <c r="B2428" s="114" t="s">
        <v>1073</v>
      </c>
      <c r="D2428" s="114" t="s">
        <v>5710</v>
      </c>
      <c r="E2428" s="114" t="s">
        <v>5711</v>
      </c>
    </row>
    <row r="2429" spans="1:5" x14ac:dyDescent="0.25">
      <c r="B2429" s="114" t="s">
        <v>1073</v>
      </c>
      <c r="D2429" s="114" t="s">
        <v>5712</v>
      </c>
      <c r="E2429" s="114" t="s">
        <v>5713</v>
      </c>
    </row>
    <row r="2430" spans="1:5" x14ac:dyDescent="0.25">
      <c r="B2430" s="114" t="s">
        <v>2101</v>
      </c>
      <c r="D2430" s="114" t="s">
        <v>5714</v>
      </c>
      <c r="E2430" s="114" t="s">
        <v>5715</v>
      </c>
    </row>
    <row r="2431" spans="1:5" x14ac:dyDescent="0.25">
      <c r="B2431" s="114" t="s">
        <v>1073</v>
      </c>
      <c r="D2431" s="114" t="s">
        <v>5716</v>
      </c>
      <c r="E2431" s="114" t="s">
        <v>5717</v>
      </c>
    </row>
    <row r="2432" spans="1:5" x14ac:dyDescent="0.25">
      <c r="B2432" s="114" t="s">
        <v>1073</v>
      </c>
      <c r="D2432" s="114" t="s">
        <v>5718</v>
      </c>
      <c r="E2432" s="114" t="s">
        <v>5719</v>
      </c>
    </row>
    <row r="2433" spans="1:5" x14ac:dyDescent="0.25">
      <c r="B2433" s="114" t="s">
        <v>1073</v>
      </c>
      <c r="D2433" s="114" t="s">
        <v>5720</v>
      </c>
      <c r="E2433" s="114" t="s">
        <v>5721</v>
      </c>
    </row>
    <row r="2434" spans="1:5" x14ac:dyDescent="0.25">
      <c r="B2434" s="114" t="s">
        <v>1073</v>
      </c>
      <c r="D2434" s="114" t="s">
        <v>5722</v>
      </c>
      <c r="E2434" s="114" t="s">
        <v>5723</v>
      </c>
    </row>
    <row r="2435" spans="1:5" x14ac:dyDescent="0.25">
      <c r="B2435" s="114" t="s">
        <v>1073</v>
      </c>
      <c r="D2435" s="114" t="s">
        <v>5724</v>
      </c>
      <c r="E2435" s="114" t="s">
        <v>5725</v>
      </c>
    </row>
    <row r="2436" spans="1:5" x14ac:dyDescent="0.25">
      <c r="B2436" s="114" t="s">
        <v>1073</v>
      </c>
      <c r="D2436" s="114" t="s">
        <v>1073</v>
      </c>
      <c r="E2436" s="114" t="s">
        <v>5726</v>
      </c>
    </row>
    <row r="2437" spans="1:5" x14ac:dyDescent="0.25">
      <c r="B2437" s="114" t="s">
        <v>1073</v>
      </c>
      <c r="D2437" s="114" t="s">
        <v>5727</v>
      </c>
      <c r="E2437" s="114" t="s">
        <v>5728</v>
      </c>
    </row>
    <row r="2438" spans="1:5" x14ac:dyDescent="0.25">
      <c r="B2438" s="114" t="s">
        <v>2102</v>
      </c>
      <c r="D2438" s="114" t="s">
        <v>1073</v>
      </c>
      <c r="E2438" s="114" t="s">
        <v>5729</v>
      </c>
    </row>
    <row r="2439" spans="1:5" x14ac:dyDescent="0.25">
      <c r="B2439" s="114" t="s">
        <v>1891</v>
      </c>
      <c r="D2439" s="114" t="s">
        <v>1073</v>
      </c>
      <c r="E2439" s="114" t="s">
        <v>5730</v>
      </c>
    </row>
    <row r="2440" spans="1:5" x14ac:dyDescent="0.25">
      <c r="A2440" s="114" t="s">
        <v>1072</v>
      </c>
      <c r="B2440" s="114" t="s">
        <v>1368</v>
      </c>
      <c r="C2440" s="114">
        <v>-1</v>
      </c>
      <c r="D2440" s="114" t="s">
        <v>5731</v>
      </c>
      <c r="E2440" s="114" t="s">
        <v>5732</v>
      </c>
    </row>
    <row r="2441" spans="1:5" x14ac:dyDescent="0.25">
      <c r="B2441" s="114" t="s">
        <v>1073</v>
      </c>
      <c r="D2441" s="114" t="s">
        <v>5733</v>
      </c>
      <c r="E2441" s="114" t="s">
        <v>5734</v>
      </c>
    </row>
    <row r="2442" spans="1:5" x14ac:dyDescent="0.25">
      <c r="B2442" s="114">
        <f>-45   -799</f>
        <v>-844</v>
      </c>
      <c r="D2442" s="114" t="s">
        <v>1073</v>
      </c>
      <c r="E2442" s="114" t="s">
        <v>5735</v>
      </c>
    </row>
    <row r="2443" spans="1:5" x14ac:dyDescent="0.25">
      <c r="A2443" s="114">
        <v>3</v>
      </c>
      <c r="B2443" s="114" t="s">
        <v>2103</v>
      </c>
      <c r="C2443" s="114">
        <v>-2</v>
      </c>
      <c r="D2443" s="114" t="s">
        <v>5736</v>
      </c>
      <c r="E2443" s="114" t="s">
        <v>5737</v>
      </c>
    </row>
    <row r="2444" spans="1:5" x14ac:dyDescent="0.25">
      <c r="B2444" s="114" t="s">
        <v>2104</v>
      </c>
      <c r="C2444" s="114" t="s">
        <v>1072</v>
      </c>
      <c r="D2444" s="114" t="s">
        <v>5738</v>
      </c>
      <c r="E2444" s="114" t="s">
        <v>5739</v>
      </c>
    </row>
    <row r="2445" spans="1:5" x14ac:dyDescent="0.25">
      <c r="A2445" s="114" t="s">
        <v>1072</v>
      </c>
      <c r="B2445" s="114" t="s">
        <v>2105</v>
      </c>
      <c r="D2445" s="114" t="s">
        <v>1073</v>
      </c>
      <c r="E2445" s="114" t="s">
        <v>5740</v>
      </c>
    </row>
    <row r="2446" spans="1:5" x14ac:dyDescent="0.25">
      <c r="A2446" s="114">
        <v>3</v>
      </c>
      <c r="B2446" s="114" t="s">
        <v>2106</v>
      </c>
      <c r="C2446" s="114">
        <v>-2</v>
      </c>
      <c r="D2446" s="114" t="s">
        <v>5741</v>
      </c>
      <c r="E2446" s="114" t="s">
        <v>5742</v>
      </c>
    </row>
    <row r="2447" spans="1:5" x14ac:dyDescent="0.25">
      <c r="B2447" s="114" t="s">
        <v>2107</v>
      </c>
      <c r="D2447" s="114" t="s">
        <v>5743</v>
      </c>
      <c r="E2447" s="114" t="s">
        <v>5744</v>
      </c>
    </row>
    <row r="2448" spans="1:5" x14ac:dyDescent="0.25">
      <c r="B2448" s="114" t="s">
        <v>2108</v>
      </c>
      <c r="D2448" s="114" t="s">
        <v>1073</v>
      </c>
      <c r="E2448" s="114" t="s">
        <v>5745</v>
      </c>
    </row>
    <row r="2449" spans="1:5" x14ac:dyDescent="0.25">
      <c r="B2449" s="114" t="s">
        <v>2109</v>
      </c>
      <c r="D2449" s="114" t="s">
        <v>1073</v>
      </c>
      <c r="E2449" s="114" t="s">
        <v>5746</v>
      </c>
    </row>
    <row r="2450" spans="1:5" x14ac:dyDescent="0.25">
      <c r="B2450" s="114" t="s">
        <v>2110</v>
      </c>
      <c r="D2450" s="114" t="s">
        <v>5747</v>
      </c>
      <c r="E2450" s="114" t="s">
        <v>5748</v>
      </c>
    </row>
    <row r="2451" spans="1:5" x14ac:dyDescent="0.25">
      <c r="B2451" s="114" t="s">
        <v>1073</v>
      </c>
      <c r="D2451" s="114" t="s">
        <v>1073</v>
      </c>
      <c r="E2451" s="114" t="s">
        <v>5749</v>
      </c>
    </row>
    <row r="2452" spans="1:5" x14ac:dyDescent="0.25">
      <c r="A2452" s="114">
        <v>-1</v>
      </c>
      <c r="B2452" s="114" t="s">
        <v>2111</v>
      </c>
      <c r="D2452" s="114" t="s">
        <v>1073</v>
      </c>
      <c r="E2452" s="114" t="s">
        <v>5750</v>
      </c>
    </row>
    <row r="2453" spans="1:5" x14ac:dyDescent="0.25">
      <c r="A2453" s="114">
        <v>-3</v>
      </c>
      <c r="B2453" s="114" t="s">
        <v>2112</v>
      </c>
      <c r="D2453" s="114" t="s">
        <v>3686</v>
      </c>
      <c r="E2453" s="114" t="s">
        <v>5751</v>
      </c>
    </row>
    <row r="2454" spans="1:5" x14ac:dyDescent="0.25">
      <c r="B2454" s="114" t="s">
        <v>2113</v>
      </c>
      <c r="D2454" s="114" t="s">
        <v>1073</v>
      </c>
      <c r="E2454" s="114" t="s">
        <v>5752</v>
      </c>
    </row>
    <row r="2455" spans="1:5" x14ac:dyDescent="0.25">
      <c r="A2455" s="114">
        <v>-1</v>
      </c>
      <c r="B2455" s="114" t="s">
        <v>2114</v>
      </c>
      <c r="C2455" s="114" t="s">
        <v>1072</v>
      </c>
      <c r="D2455" s="114" t="s">
        <v>5753</v>
      </c>
      <c r="E2455" s="114" t="s">
        <v>5754</v>
      </c>
    </row>
    <row r="2456" spans="1:5" x14ac:dyDescent="0.25">
      <c r="B2456" s="114" t="s">
        <v>1073</v>
      </c>
      <c r="D2456" s="114" t="s">
        <v>5755</v>
      </c>
      <c r="E2456" s="114" t="s">
        <v>3993</v>
      </c>
    </row>
    <row r="2457" spans="1:5" x14ac:dyDescent="0.25">
      <c r="B2457" s="114" t="s">
        <v>1073</v>
      </c>
      <c r="D2457" s="114" t="s">
        <v>5756</v>
      </c>
      <c r="E2457" s="114" t="s">
        <v>5757</v>
      </c>
    </row>
    <row r="2458" spans="1:5" x14ac:dyDescent="0.25">
      <c r="B2458" s="114" t="s">
        <v>2115</v>
      </c>
      <c r="D2458" s="114" t="s">
        <v>1073</v>
      </c>
      <c r="E2458" s="114" t="s">
        <v>5758</v>
      </c>
    </row>
    <row r="2459" spans="1:5" x14ac:dyDescent="0.25">
      <c r="B2459" s="114" t="s">
        <v>1073</v>
      </c>
      <c r="D2459" s="114" t="s">
        <v>1073</v>
      </c>
      <c r="E2459" s="114" t="s">
        <v>5759</v>
      </c>
    </row>
    <row r="2460" spans="1:5" x14ac:dyDescent="0.25">
      <c r="B2460" s="114" t="s">
        <v>1073</v>
      </c>
      <c r="D2460" s="114" t="s">
        <v>5760</v>
      </c>
      <c r="E2460" s="114" t="s">
        <v>5761</v>
      </c>
    </row>
    <row r="2461" spans="1:5" x14ac:dyDescent="0.25">
      <c r="B2461" s="114" t="s">
        <v>2116</v>
      </c>
      <c r="C2461" s="114" t="s">
        <v>1072</v>
      </c>
      <c r="D2461" s="114" t="s">
        <v>5762</v>
      </c>
      <c r="E2461" s="114" t="s">
        <v>5763</v>
      </c>
    </row>
    <row r="2462" spans="1:5" x14ac:dyDescent="0.25">
      <c r="A2462" s="114">
        <v>1</v>
      </c>
      <c r="B2462" s="114" t="s">
        <v>2117</v>
      </c>
      <c r="C2462" s="114" t="s">
        <v>1072</v>
      </c>
      <c r="D2462" s="114" t="s">
        <v>5764</v>
      </c>
      <c r="E2462" s="114" t="s">
        <v>5765</v>
      </c>
    </row>
    <row r="2463" spans="1:5" x14ac:dyDescent="0.25">
      <c r="B2463" s="114" t="s">
        <v>2118</v>
      </c>
      <c r="C2463" s="114">
        <v>1</v>
      </c>
      <c r="D2463" s="114" t="s">
        <v>5766</v>
      </c>
      <c r="E2463" s="114" t="s">
        <v>5767</v>
      </c>
    </row>
    <row r="2464" spans="1:5" x14ac:dyDescent="0.25">
      <c r="A2464" s="114">
        <v>-3</v>
      </c>
      <c r="B2464" s="114" t="s">
        <v>2119</v>
      </c>
      <c r="D2464" s="114" t="s">
        <v>5768</v>
      </c>
      <c r="E2464" s="114" t="s">
        <v>5769</v>
      </c>
    </row>
    <row r="2465" spans="1:5" x14ac:dyDescent="0.25">
      <c r="A2465" s="114">
        <v>2</v>
      </c>
      <c r="B2465" s="114" t="s">
        <v>2120</v>
      </c>
      <c r="D2465" s="114">
        <f>-93   -893   -48</f>
        <v>-1034</v>
      </c>
      <c r="E2465" s="114" t="s">
        <v>5770</v>
      </c>
    </row>
    <row r="2466" spans="1:5" x14ac:dyDescent="0.25">
      <c r="A2466" s="114">
        <v>1</v>
      </c>
      <c r="B2466" s="114" t="s">
        <v>2121</v>
      </c>
      <c r="D2466" s="114" t="s">
        <v>5771</v>
      </c>
      <c r="E2466" s="114" t="s">
        <v>5772</v>
      </c>
    </row>
    <row r="2467" spans="1:5" x14ac:dyDescent="0.25">
      <c r="A2467" s="114">
        <v>-3</v>
      </c>
      <c r="B2467" s="114" t="s">
        <v>2122</v>
      </c>
      <c r="D2467" s="114" t="s">
        <v>5773</v>
      </c>
      <c r="E2467" s="114" t="s">
        <v>5774</v>
      </c>
    </row>
    <row r="2468" spans="1:5" x14ac:dyDescent="0.25">
      <c r="B2468" s="114" t="s">
        <v>2123</v>
      </c>
      <c r="D2468" s="114" t="s">
        <v>5775</v>
      </c>
      <c r="E2468" s="114" t="s">
        <v>5776</v>
      </c>
    </row>
    <row r="2469" spans="1:5" x14ac:dyDescent="0.25">
      <c r="B2469" s="114" t="s">
        <v>2124</v>
      </c>
      <c r="D2469" s="114" t="s">
        <v>5777</v>
      </c>
      <c r="E2469" s="114" t="s">
        <v>5778</v>
      </c>
    </row>
    <row r="2470" spans="1:5" x14ac:dyDescent="0.25">
      <c r="B2470" s="114" t="s">
        <v>2125</v>
      </c>
      <c r="C2470" s="114" t="s">
        <v>1072</v>
      </c>
      <c r="D2470" s="114" t="s">
        <v>5779</v>
      </c>
      <c r="E2470" s="114" t="s">
        <v>5780</v>
      </c>
    </row>
    <row r="2471" spans="1:5" x14ac:dyDescent="0.25">
      <c r="B2471" s="114" t="s">
        <v>2126</v>
      </c>
      <c r="D2471" s="114" t="s">
        <v>5781</v>
      </c>
      <c r="E2471" s="114" t="s">
        <v>3993</v>
      </c>
    </row>
    <row r="2472" spans="1:5" x14ac:dyDescent="0.25">
      <c r="A2472" s="114">
        <v>1</v>
      </c>
      <c r="B2472" s="114" t="s">
        <v>2127</v>
      </c>
      <c r="D2472" s="114" t="s">
        <v>5782</v>
      </c>
      <c r="E2472" s="114" t="s">
        <v>4118</v>
      </c>
    </row>
    <row r="2473" spans="1:5" x14ac:dyDescent="0.25">
      <c r="A2473" s="114">
        <v>4</v>
      </c>
      <c r="B2473" s="114" t="s">
        <v>2128</v>
      </c>
      <c r="C2473" s="114" t="s">
        <v>1072</v>
      </c>
      <c r="D2473" s="114" t="s">
        <v>5783</v>
      </c>
      <c r="E2473" s="114" t="s">
        <v>5784</v>
      </c>
    </row>
    <row r="2474" spans="1:5" x14ac:dyDescent="0.25">
      <c r="B2474" s="114" t="s">
        <v>1308</v>
      </c>
      <c r="C2474" s="114" t="s">
        <v>1072</v>
      </c>
      <c r="D2474" s="114" t="s">
        <v>5785</v>
      </c>
      <c r="E2474" s="114" t="s">
        <v>5786</v>
      </c>
    </row>
    <row r="2475" spans="1:5" x14ac:dyDescent="0.25">
      <c r="A2475" s="114">
        <v>-2</v>
      </c>
      <c r="B2475" s="114" t="s">
        <v>2129</v>
      </c>
      <c r="C2475" s="114">
        <v>2</v>
      </c>
      <c r="D2475" s="114" t="s">
        <v>5787</v>
      </c>
      <c r="E2475" s="114" t="s">
        <v>5788</v>
      </c>
    </row>
    <row r="2476" spans="1:5" x14ac:dyDescent="0.25">
      <c r="B2476" s="114" t="s">
        <v>2130</v>
      </c>
      <c r="D2476" s="114" t="s">
        <v>5789</v>
      </c>
      <c r="E2476" s="114" t="s">
        <v>5790</v>
      </c>
    </row>
    <row r="2477" spans="1:5" x14ac:dyDescent="0.25">
      <c r="B2477" s="114" t="s">
        <v>1073</v>
      </c>
      <c r="D2477" s="114" t="s">
        <v>1073</v>
      </c>
      <c r="E2477" s="114" t="s">
        <v>5791</v>
      </c>
    </row>
    <row r="2478" spans="1:5" x14ac:dyDescent="0.25">
      <c r="B2478" s="114" t="s">
        <v>2131</v>
      </c>
      <c r="D2478" s="114" t="s">
        <v>5792</v>
      </c>
      <c r="E2478" s="114" t="s">
        <v>5793</v>
      </c>
    </row>
    <row r="2479" spans="1:5" x14ac:dyDescent="0.25">
      <c r="A2479" s="114" t="s">
        <v>1072</v>
      </c>
      <c r="B2479" s="114" t="s">
        <v>1364</v>
      </c>
      <c r="D2479" s="114" t="s">
        <v>4145</v>
      </c>
      <c r="E2479" s="114" t="s">
        <v>3992</v>
      </c>
    </row>
    <row r="2480" spans="1:5" x14ac:dyDescent="0.25">
      <c r="A2480" s="114" t="s">
        <v>1072</v>
      </c>
      <c r="B2480" s="114" t="s">
        <v>2132</v>
      </c>
      <c r="D2480" s="114" t="s">
        <v>1073</v>
      </c>
      <c r="E2480" s="114" t="s">
        <v>5794</v>
      </c>
    </row>
    <row r="2481" spans="1:5" x14ac:dyDescent="0.25">
      <c r="B2481" s="114" t="s">
        <v>2133</v>
      </c>
      <c r="D2481" s="114" t="s">
        <v>1073</v>
      </c>
      <c r="E2481" s="114" t="s">
        <v>5795</v>
      </c>
    </row>
    <row r="2482" spans="1:5" x14ac:dyDescent="0.25">
      <c r="B2482" s="114" t="s">
        <v>2134</v>
      </c>
      <c r="D2482" s="114" t="s">
        <v>5796</v>
      </c>
      <c r="E2482" s="114" t="s">
        <v>5797</v>
      </c>
    </row>
    <row r="2483" spans="1:5" x14ac:dyDescent="0.25">
      <c r="A2483" s="114">
        <v>1</v>
      </c>
      <c r="B2483" s="114" t="s">
        <v>1360</v>
      </c>
      <c r="D2483" s="114" t="s">
        <v>1073</v>
      </c>
      <c r="E2483" s="114" t="s">
        <v>5798</v>
      </c>
    </row>
    <row r="2484" spans="1:5" x14ac:dyDescent="0.25">
      <c r="B2484" s="114" t="s">
        <v>2135</v>
      </c>
      <c r="D2484" s="114" t="s">
        <v>5799</v>
      </c>
      <c r="E2484" s="114" t="s">
        <v>5800</v>
      </c>
    </row>
    <row r="2485" spans="1:5" x14ac:dyDescent="0.25">
      <c r="B2485" s="114" t="s">
        <v>2136</v>
      </c>
      <c r="D2485" s="114" t="s">
        <v>4104</v>
      </c>
      <c r="E2485" s="114" t="s">
        <v>5801</v>
      </c>
    </row>
    <row r="2486" spans="1:5" x14ac:dyDescent="0.25">
      <c r="B2486" s="114" t="s">
        <v>1173</v>
      </c>
      <c r="D2486" s="114" t="s">
        <v>1073</v>
      </c>
      <c r="E2486" s="114" t="s">
        <v>5802</v>
      </c>
    </row>
    <row r="2487" spans="1:5" x14ac:dyDescent="0.25">
      <c r="A2487" s="114">
        <v>-4</v>
      </c>
      <c r="B2487" s="114" t="s">
        <v>2137</v>
      </c>
      <c r="C2487" s="114" t="s">
        <v>1072</v>
      </c>
      <c r="D2487" s="114" t="s">
        <v>5803</v>
      </c>
      <c r="E2487" s="114" t="s">
        <v>5804</v>
      </c>
    </row>
    <row r="2488" spans="1:5" x14ac:dyDescent="0.25">
      <c r="A2488" s="114">
        <v>-1</v>
      </c>
      <c r="B2488" s="114" t="s">
        <v>2138</v>
      </c>
      <c r="D2488" s="114" t="s">
        <v>5805</v>
      </c>
      <c r="E2488" s="114" t="s">
        <v>5806</v>
      </c>
    </row>
    <row r="2489" spans="1:5" x14ac:dyDescent="0.25">
      <c r="A2489" s="114" t="s">
        <v>1072</v>
      </c>
      <c r="B2489" s="114" t="s">
        <v>2139</v>
      </c>
      <c r="D2489" s="114" t="s">
        <v>1073</v>
      </c>
      <c r="E2489" s="114" t="s">
        <v>5807</v>
      </c>
    </row>
    <row r="2490" spans="1:5" x14ac:dyDescent="0.25">
      <c r="B2490" s="114" t="s">
        <v>1262</v>
      </c>
      <c r="D2490" s="114" t="s">
        <v>5808</v>
      </c>
      <c r="E2490" s="114" t="s">
        <v>5809</v>
      </c>
    </row>
    <row r="2491" spans="1:5" x14ac:dyDescent="0.25">
      <c r="B2491" s="114" t="s">
        <v>1092</v>
      </c>
      <c r="D2491" s="114" t="s">
        <v>5810</v>
      </c>
      <c r="E2491" s="114" t="s">
        <v>5811</v>
      </c>
    </row>
    <row r="2492" spans="1:5" x14ac:dyDescent="0.25">
      <c r="B2492" s="114" t="s">
        <v>1073</v>
      </c>
      <c r="D2492" s="114" t="s">
        <v>1073</v>
      </c>
      <c r="E2492" s="114" t="s">
        <v>5812</v>
      </c>
    </row>
    <row r="2493" spans="1:5" x14ac:dyDescent="0.25">
      <c r="B2493" s="114" t="s">
        <v>1073</v>
      </c>
      <c r="D2493" s="114" t="s">
        <v>1073</v>
      </c>
      <c r="E2493" s="114" t="s">
        <v>5813</v>
      </c>
    </row>
    <row r="2494" spans="1:5" x14ac:dyDescent="0.25">
      <c r="A2494" s="114">
        <v>-1</v>
      </c>
      <c r="B2494" s="114" t="s">
        <v>2140</v>
      </c>
      <c r="D2494" s="114" t="s">
        <v>1073</v>
      </c>
      <c r="E2494" s="114" t="s">
        <v>5814</v>
      </c>
    </row>
    <row r="2495" spans="1:5" x14ac:dyDescent="0.25">
      <c r="A2495" s="114" t="s">
        <v>1072</v>
      </c>
      <c r="B2495" s="114" t="s">
        <v>1323</v>
      </c>
      <c r="D2495" s="114" t="s">
        <v>1073</v>
      </c>
      <c r="E2495" s="114" t="s">
        <v>5815</v>
      </c>
    </row>
    <row r="2496" spans="1:5" x14ac:dyDescent="0.25">
      <c r="A2496" s="114">
        <v>33</v>
      </c>
      <c r="B2496" s="114" t="s">
        <v>2141</v>
      </c>
      <c r="D2496" s="114">
        <f>-117  -2631  -151</f>
        <v>-2899</v>
      </c>
      <c r="E2496" s="114" t="s">
        <v>5816</v>
      </c>
    </row>
    <row r="2497" spans="1:5" x14ac:dyDescent="0.25">
      <c r="B2497" s="114" t="s">
        <v>1073</v>
      </c>
      <c r="D2497" s="114" t="s">
        <v>5817</v>
      </c>
      <c r="E2497" s="114" t="s">
        <v>4518</v>
      </c>
    </row>
    <row r="2498" spans="1:5" x14ac:dyDescent="0.25">
      <c r="B2498" s="114" t="s">
        <v>1073</v>
      </c>
      <c r="D2498" s="114" t="s">
        <v>5818</v>
      </c>
      <c r="E2498" s="114" t="s">
        <v>5819</v>
      </c>
    </row>
    <row r="2499" spans="1:5" x14ac:dyDescent="0.25">
      <c r="A2499" s="114">
        <v>-14</v>
      </c>
      <c r="B2499" s="114" t="s">
        <v>2142</v>
      </c>
      <c r="D2499" s="114" t="s">
        <v>5820</v>
      </c>
      <c r="E2499" s="114" t="s">
        <v>5821</v>
      </c>
    </row>
    <row r="2500" spans="1:5" x14ac:dyDescent="0.25">
      <c r="B2500" s="114" t="s">
        <v>2143</v>
      </c>
      <c r="D2500" s="114" t="s">
        <v>1073</v>
      </c>
      <c r="E2500" s="114" t="s">
        <v>5822</v>
      </c>
    </row>
    <row r="2501" spans="1:5" x14ac:dyDescent="0.25">
      <c r="B2501" s="114" t="s">
        <v>1073</v>
      </c>
      <c r="D2501" s="114" t="s">
        <v>5823</v>
      </c>
      <c r="E2501" s="114" t="s">
        <v>5824</v>
      </c>
    </row>
    <row r="2502" spans="1:5" x14ac:dyDescent="0.25">
      <c r="B2502" s="114" t="s">
        <v>1073</v>
      </c>
      <c r="D2502" s="114" t="s">
        <v>5825</v>
      </c>
      <c r="E2502" s="114" t="s">
        <v>5826</v>
      </c>
    </row>
    <row r="2503" spans="1:5" x14ac:dyDescent="0.25">
      <c r="B2503" s="114" t="s">
        <v>2144</v>
      </c>
      <c r="D2503" s="114" t="s">
        <v>5827</v>
      </c>
      <c r="E2503" s="114" t="s">
        <v>5828</v>
      </c>
    </row>
    <row r="2504" spans="1:5" x14ac:dyDescent="0.25">
      <c r="B2504" s="114" t="s">
        <v>1286</v>
      </c>
      <c r="D2504" s="114" t="s">
        <v>5829</v>
      </c>
      <c r="E2504" s="114" t="s">
        <v>5830</v>
      </c>
    </row>
    <row r="2505" spans="1:5" x14ac:dyDescent="0.25">
      <c r="A2505" s="114">
        <v>-31</v>
      </c>
      <c r="B2505" s="114" t="s">
        <v>2145</v>
      </c>
      <c r="D2505" s="114" t="s">
        <v>5831</v>
      </c>
      <c r="E2505" s="114" t="s">
        <v>5832</v>
      </c>
    </row>
    <row r="2506" spans="1:5" x14ac:dyDescent="0.25">
      <c r="A2506" s="114" t="s">
        <v>1072</v>
      </c>
      <c r="B2506" s="114" t="s">
        <v>2146</v>
      </c>
      <c r="D2506" s="114" t="s">
        <v>5833</v>
      </c>
      <c r="E2506" s="114" t="s">
        <v>5834</v>
      </c>
    </row>
    <row r="2507" spans="1:5" x14ac:dyDescent="0.25">
      <c r="B2507" s="114" t="s">
        <v>2147</v>
      </c>
      <c r="D2507" s="114" t="s">
        <v>5835</v>
      </c>
      <c r="E2507" s="114" t="s">
        <v>5836</v>
      </c>
    </row>
    <row r="2508" spans="1:5" x14ac:dyDescent="0.25">
      <c r="A2508" s="114">
        <v>-18</v>
      </c>
      <c r="B2508" s="114" t="s">
        <v>2148</v>
      </c>
      <c r="D2508" s="114" t="s">
        <v>1295</v>
      </c>
      <c r="E2508" s="114" t="s">
        <v>5837</v>
      </c>
    </row>
    <row r="2509" spans="1:5" x14ac:dyDescent="0.25">
      <c r="B2509" s="114" t="s">
        <v>1073</v>
      </c>
      <c r="D2509" s="114" t="s">
        <v>5838</v>
      </c>
      <c r="E2509" s="114" t="s">
        <v>5839</v>
      </c>
    </row>
    <row r="2510" spans="1:5" x14ac:dyDescent="0.25">
      <c r="B2510" s="114" t="s">
        <v>2149</v>
      </c>
      <c r="D2510" s="114" t="s">
        <v>5840</v>
      </c>
      <c r="E2510" s="114" t="s">
        <v>5841</v>
      </c>
    </row>
    <row r="2511" spans="1:5" x14ac:dyDescent="0.25">
      <c r="A2511" s="114">
        <v>-17</v>
      </c>
      <c r="B2511" s="114" t="s">
        <v>2150</v>
      </c>
      <c r="D2511" s="114" t="s">
        <v>5842</v>
      </c>
      <c r="E2511" s="114" t="s">
        <v>5843</v>
      </c>
    </row>
    <row r="2512" spans="1:5" x14ac:dyDescent="0.25">
      <c r="B2512" s="114" t="s">
        <v>2151</v>
      </c>
      <c r="D2512" s="114" t="s">
        <v>1218</v>
      </c>
      <c r="E2512" s="114" t="s">
        <v>3993</v>
      </c>
    </row>
    <row r="2513" spans="1:5" x14ac:dyDescent="0.25">
      <c r="B2513" s="114" t="s">
        <v>2152</v>
      </c>
      <c r="D2513" s="114" t="s">
        <v>5844</v>
      </c>
      <c r="E2513" s="114" t="s">
        <v>5845</v>
      </c>
    </row>
    <row r="2514" spans="1:5" x14ac:dyDescent="0.25">
      <c r="B2514" s="114" t="s">
        <v>2153</v>
      </c>
      <c r="D2514" s="114" t="s">
        <v>5846</v>
      </c>
      <c r="E2514" s="114" t="s">
        <v>5847</v>
      </c>
    </row>
    <row r="2515" spans="1:5" x14ac:dyDescent="0.25">
      <c r="B2515" s="114" t="s">
        <v>2154</v>
      </c>
      <c r="D2515" s="114" t="s">
        <v>5848</v>
      </c>
      <c r="E2515" s="114" t="s">
        <v>5849</v>
      </c>
    </row>
    <row r="2516" spans="1:5" x14ac:dyDescent="0.25">
      <c r="B2516" s="114" t="s">
        <v>2155</v>
      </c>
      <c r="D2516" s="114" t="s">
        <v>5850</v>
      </c>
      <c r="E2516" s="114" t="s">
        <v>5851</v>
      </c>
    </row>
    <row r="2517" spans="1:5" x14ac:dyDescent="0.25">
      <c r="A2517" s="114">
        <v>-3</v>
      </c>
      <c r="B2517" s="114" t="s">
        <v>2156</v>
      </c>
      <c r="D2517" s="114" t="s">
        <v>4170</v>
      </c>
      <c r="E2517" s="114" t="s">
        <v>5852</v>
      </c>
    </row>
    <row r="2518" spans="1:5" x14ac:dyDescent="0.25">
      <c r="B2518" s="114" t="s">
        <v>2157</v>
      </c>
      <c r="D2518" s="114" t="s">
        <v>1073</v>
      </c>
      <c r="E2518" s="114" t="s">
        <v>3993</v>
      </c>
    </row>
    <row r="2519" spans="1:5" x14ac:dyDescent="0.25">
      <c r="B2519" s="114" t="s">
        <v>2158</v>
      </c>
      <c r="D2519" s="114" t="s">
        <v>5853</v>
      </c>
      <c r="E2519" s="114" t="s">
        <v>5854</v>
      </c>
    </row>
    <row r="2520" spans="1:5" x14ac:dyDescent="0.25">
      <c r="B2520" s="114" t="s">
        <v>1073</v>
      </c>
      <c r="D2520" s="114" t="s">
        <v>5855</v>
      </c>
      <c r="E2520" s="114" t="s">
        <v>5856</v>
      </c>
    </row>
    <row r="2521" spans="1:5" x14ac:dyDescent="0.25">
      <c r="B2521" s="114" t="s">
        <v>1073</v>
      </c>
      <c r="D2521" s="114" t="s">
        <v>5857</v>
      </c>
      <c r="E2521" s="114" t="s">
        <v>3993</v>
      </c>
    </row>
    <row r="2522" spans="1:5" x14ac:dyDescent="0.25">
      <c r="B2522" s="114" t="s">
        <v>2159</v>
      </c>
      <c r="C2522" s="114" t="s">
        <v>1072</v>
      </c>
      <c r="D2522" s="114" t="s">
        <v>5858</v>
      </c>
      <c r="E2522" s="114" t="s">
        <v>5859</v>
      </c>
    </row>
    <row r="2523" spans="1:5" x14ac:dyDescent="0.25">
      <c r="A2523" s="114" t="s">
        <v>1072</v>
      </c>
      <c r="B2523" s="114" t="s">
        <v>2160</v>
      </c>
      <c r="D2523" s="114" t="s">
        <v>5860</v>
      </c>
      <c r="E2523" s="114" t="s">
        <v>5861</v>
      </c>
    </row>
    <row r="2524" spans="1:5" x14ac:dyDescent="0.25">
      <c r="A2524" s="114">
        <v>1</v>
      </c>
      <c r="B2524" s="114" t="s">
        <v>2161</v>
      </c>
      <c r="D2524" s="114" t="s">
        <v>5862</v>
      </c>
      <c r="E2524" s="114" t="s">
        <v>5863</v>
      </c>
    </row>
    <row r="2525" spans="1:5" x14ac:dyDescent="0.25">
      <c r="A2525" s="114">
        <v>7</v>
      </c>
      <c r="B2525" s="114" t="s">
        <v>2162</v>
      </c>
      <c r="D2525" s="114" t="s">
        <v>5864</v>
      </c>
      <c r="E2525" s="114" t="s">
        <v>5865</v>
      </c>
    </row>
    <row r="2526" spans="1:5" x14ac:dyDescent="0.25">
      <c r="B2526" s="114" t="s">
        <v>2163</v>
      </c>
      <c r="D2526" s="114" t="s">
        <v>5866</v>
      </c>
      <c r="E2526" s="114" t="s">
        <v>5867</v>
      </c>
    </row>
    <row r="2527" spans="1:5" x14ac:dyDescent="0.25">
      <c r="A2527" s="114" t="s">
        <v>1072</v>
      </c>
      <c r="B2527" s="114" t="s">
        <v>2164</v>
      </c>
      <c r="D2527" s="114">
        <f>-348   -334</f>
        <v>-682</v>
      </c>
      <c r="E2527" s="114" t="s">
        <v>5868</v>
      </c>
    </row>
    <row r="2528" spans="1:5" x14ac:dyDescent="0.25">
      <c r="B2528" s="114" t="s">
        <v>2165</v>
      </c>
      <c r="D2528" s="114">
        <f>-324  -2323  -330</f>
        <v>-2977</v>
      </c>
      <c r="E2528" s="114" t="s">
        <v>5869</v>
      </c>
    </row>
    <row r="2529" spans="1:5" x14ac:dyDescent="0.25">
      <c r="B2529" s="114" t="s">
        <v>1353</v>
      </c>
      <c r="D2529" s="114" t="s">
        <v>5870</v>
      </c>
      <c r="E2529" s="114" t="s">
        <v>5871</v>
      </c>
    </row>
    <row r="2530" spans="1:5" x14ac:dyDescent="0.25">
      <c r="B2530" s="114" t="s">
        <v>2166</v>
      </c>
      <c r="D2530" s="114" t="s">
        <v>5872</v>
      </c>
      <c r="E2530" s="114" t="s">
        <v>5873</v>
      </c>
    </row>
    <row r="2531" spans="1:5" x14ac:dyDescent="0.25">
      <c r="B2531" s="114" t="s">
        <v>2167</v>
      </c>
      <c r="C2531" s="114" t="s">
        <v>1072</v>
      </c>
      <c r="D2531" s="114" t="s">
        <v>5874</v>
      </c>
      <c r="E2531" s="114" t="s">
        <v>5875</v>
      </c>
    </row>
    <row r="2532" spans="1:5" x14ac:dyDescent="0.25">
      <c r="A2532" s="114" t="s">
        <v>1072</v>
      </c>
      <c r="B2532" s="114" t="s">
        <v>2168</v>
      </c>
      <c r="D2532" s="114" t="s">
        <v>5876</v>
      </c>
      <c r="E2532" s="114" t="s">
        <v>5877</v>
      </c>
    </row>
    <row r="2533" spans="1:5" x14ac:dyDescent="0.25">
      <c r="A2533" s="114" t="s">
        <v>1072</v>
      </c>
      <c r="B2533" s="114" t="s">
        <v>2169</v>
      </c>
      <c r="D2533" s="114" t="s">
        <v>1073</v>
      </c>
      <c r="E2533" s="114" t="s">
        <v>5878</v>
      </c>
    </row>
    <row r="2534" spans="1:5" x14ac:dyDescent="0.25">
      <c r="B2534" s="114" t="s">
        <v>2170</v>
      </c>
      <c r="C2534" s="114" t="s">
        <v>1072</v>
      </c>
      <c r="D2534" s="114" t="s">
        <v>5879</v>
      </c>
      <c r="E2534" s="114" t="s">
        <v>5880</v>
      </c>
    </row>
    <row r="2535" spans="1:5" x14ac:dyDescent="0.25">
      <c r="B2535" s="114" t="s">
        <v>2171</v>
      </c>
      <c r="D2535" s="114" t="s">
        <v>5881</v>
      </c>
      <c r="E2535" s="114" t="s">
        <v>5882</v>
      </c>
    </row>
    <row r="2536" spans="1:5" x14ac:dyDescent="0.25">
      <c r="A2536" s="114">
        <v>-1</v>
      </c>
      <c r="B2536" s="114" t="s">
        <v>1141</v>
      </c>
      <c r="D2536" s="114" t="s">
        <v>5883</v>
      </c>
      <c r="E2536" s="114" t="s">
        <v>5884</v>
      </c>
    </row>
    <row r="2537" spans="1:5" x14ac:dyDescent="0.25">
      <c r="A2537" s="114">
        <v>6</v>
      </c>
      <c r="B2537" s="114" t="s">
        <v>2172</v>
      </c>
      <c r="C2537" s="114">
        <v>1</v>
      </c>
      <c r="D2537" s="114" t="s">
        <v>5885</v>
      </c>
      <c r="E2537" s="114" t="s">
        <v>5886</v>
      </c>
    </row>
    <row r="2538" spans="1:5" x14ac:dyDescent="0.25">
      <c r="B2538" s="114" t="s">
        <v>1073</v>
      </c>
      <c r="D2538" s="114" t="s">
        <v>1073</v>
      </c>
      <c r="E2538" s="114" t="s">
        <v>3993</v>
      </c>
    </row>
    <row r="2539" spans="1:5" x14ac:dyDescent="0.25">
      <c r="B2539" s="114" t="s">
        <v>1073</v>
      </c>
      <c r="D2539" s="114" t="s">
        <v>1073</v>
      </c>
      <c r="E2539" s="114" t="s">
        <v>3993</v>
      </c>
    </row>
    <row r="2540" spans="1:5" x14ac:dyDescent="0.25">
      <c r="B2540" s="114" t="s">
        <v>1073</v>
      </c>
      <c r="D2540" s="114" t="s">
        <v>1073</v>
      </c>
      <c r="E2540" s="114" t="s">
        <v>3993</v>
      </c>
    </row>
    <row r="2541" spans="1:5" x14ac:dyDescent="0.25">
      <c r="B2541" s="114" t="s">
        <v>1073</v>
      </c>
      <c r="D2541" s="114" t="s">
        <v>1073</v>
      </c>
      <c r="E2541" s="114" t="s">
        <v>3993</v>
      </c>
    </row>
    <row r="2542" spans="1:5" x14ac:dyDescent="0.25">
      <c r="B2542" s="114" t="s">
        <v>1073</v>
      </c>
      <c r="D2542" s="114" t="s">
        <v>1073</v>
      </c>
      <c r="E2542" s="114" t="s">
        <v>3993</v>
      </c>
    </row>
    <row r="2543" spans="1:5" x14ac:dyDescent="0.25">
      <c r="B2543" s="114" t="s">
        <v>1073</v>
      </c>
      <c r="D2543" s="114" t="s">
        <v>1073</v>
      </c>
      <c r="E2543" s="114" t="s">
        <v>3993</v>
      </c>
    </row>
    <row r="2544" spans="1:5" x14ac:dyDescent="0.25">
      <c r="B2544" s="114" t="s">
        <v>1073</v>
      </c>
      <c r="D2544" s="114" t="s">
        <v>1073</v>
      </c>
      <c r="E2544" s="114" t="s">
        <v>3993</v>
      </c>
    </row>
    <row r="2545" spans="2:5" x14ac:dyDescent="0.25">
      <c r="B2545" s="114" t="s">
        <v>1073</v>
      </c>
      <c r="D2545" s="114" t="s">
        <v>1073</v>
      </c>
      <c r="E2545" s="114" t="s">
        <v>3993</v>
      </c>
    </row>
    <row r="2546" spans="2:5" x14ac:dyDescent="0.25">
      <c r="B2546" s="114" t="s">
        <v>1073</v>
      </c>
      <c r="D2546" s="114" t="s">
        <v>1073</v>
      </c>
      <c r="E2546" s="114" t="s">
        <v>3993</v>
      </c>
    </row>
    <row r="2547" spans="2:5" x14ac:dyDescent="0.25">
      <c r="B2547" s="114" t="s">
        <v>1073</v>
      </c>
      <c r="D2547" s="114" t="s">
        <v>1073</v>
      </c>
      <c r="E2547" s="114" t="s">
        <v>3993</v>
      </c>
    </row>
    <row r="2548" spans="2:5" x14ac:dyDescent="0.25">
      <c r="B2548" s="114" t="s">
        <v>1073</v>
      </c>
      <c r="D2548" s="114" t="s">
        <v>1073</v>
      </c>
      <c r="E2548" s="114" t="s">
        <v>3993</v>
      </c>
    </row>
    <row r="2549" spans="2:5" x14ac:dyDescent="0.25">
      <c r="B2549" s="114" t="s">
        <v>1073</v>
      </c>
      <c r="D2549" s="114" t="s">
        <v>1073</v>
      </c>
      <c r="E2549" s="114" t="s">
        <v>3993</v>
      </c>
    </row>
    <row r="2550" spans="2:5" x14ac:dyDescent="0.25">
      <c r="B2550" s="114" t="s">
        <v>1073</v>
      </c>
      <c r="D2550" s="114" t="s">
        <v>1073</v>
      </c>
      <c r="E2550" s="114" t="s">
        <v>3993</v>
      </c>
    </row>
    <row r="2551" spans="2:5" x14ac:dyDescent="0.25">
      <c r="B2551" s="114" t="s">
        <v>1073</v>
      </c>
      <c r="D2551" s="114" t="s">
        <v>1073</v>
      </c>
      <c r="E2551" s="114" t="s">
        <v>3993</v>
      </c>
    </row>
    <row r="2552" spans="2:5" x14ac:dyDescent="0.25">
      <c r="B2552" s="114" t="s">
        <v>1073</v>
      </c>
      <c r="D2552" s="114" t="s">
        <v>1073</v>
      </c>
      <c r="E2552" s="114" t="s">
        <v>3993</v>
      </c>
    </row>
    <row r="2553" spans="2:5" x14ac:dyDescent="0.25">
      <c r="B2553" s="114" t="s">
        <v>1073</v>
      </c>
      <c r="D2553" s="114" t="s">
        <v>1073</v>
      </c>
      <c r="E2553" s="114" t="s">
        <v>3993</v>
      </c>
    </row>
    <row r="2554" spans="2:5" x14ac:dyDescent="0.25">
      <c r="B2554" s="114" t="s">
        <v>1073</v>
      </c>
      <c r="D2554" s="114" t="s">
        <v>1073</v>
      </c>
      <c r="E2554" s="114" t="s">
        <v>3993</v>
      </c>
    </row>
    <row r="2555" spans="2:5" x14ac:dyDescent="0.25">
      <c r="B2555" s="114" t="s">
        <v>1073</v>
      </c>
      <c r="D2555" s="114" t="s">
        <v>1073</v>
      </c>
      <c r="E2555" s="114" t="s">
        <v>3993</v>
      </c>
    </row>
    <row r="2556" spans="2:5" x14ac:dyDescent="0.25">
      <c r="B2556" s="114" t="s">
        <v>1073</v>
      </c>
      <c r="D2556" s="114" t="s">
        <v>1073</v>
      </c>
      <c r="E2556" s="114" t="s">
        <v>3993</v>
      </c>
    </row>
    <row r="2557" spans="2:5" x14ac:dyDescent="0.25">
      <c r="B2557" s="114" t="s">
        <v>1073</v>
      </c>
      <c r="D2557" s="114" t="s">
        <v>1073</v>
      </c>
      <c r="E2557" s="114" t="s">
        <v>3993</v>
      </c>
    </row>
    <row r="2558" spans="2:5" x14ac:dyDescent="0.25">
      <c r="B2558" s="114" t="s">
        <v>1073</v>
      </c>
      <c r="D2558" s="114" t="s">
        <v>1073</v>
      </c>
      <c r="E2558" s="114" t="s">
        <v>3993</v>
      </c>
    </row>
    <row r="2559" spans="2:5" x14ac:dyDescent="0.25">
      <c r="B2559" s="114" t="s">
        <v>1073</v>
      </c>
      <c r="D2559" s="114" t="s">
        <v>1073</v>
      </c>
      <c r="E2559" s="114" t="s">
        <v>3993</v>
      </c>
    </row>
    <row r="2560" spans="2:5" x14ac:dyDescent="0.25">
      <c r="B2560" s="114" t="s">
        <v>1073</v>
      </c>
      <c r="D2560" s="114" t="s">
        <v>1073</v>
      </c>
      <c r="E2560" s="114" t="s">
        <v>3993</v>
      </c>
    </row>
    <row r="2561" spans="2:5" x14ac:dyDescent="0.25">
      <c r="B2561" s="114" t="s">
        <v>1073</v>
      </c>
      <c r="D2561" s="114" t="s">
        <v>1073</v>
      </c>
      <c r="E2561" s="114" t="s">
        <v>3993</v>
      </c>
    </row>
    <row r="2562" spans="2:5" x14ac:dyDescent="0.25">
      <c r="B2562" s="114" t="s">
        <v>1073</v>
      </c>
      <c r="D2562" s="114" t="s">
        <v>1073</v>
      </c>
      <c r="E2562" s="114" t="s">
        <v>3993</v>
      </c>
    </row>
    <row r="2563" spans="2:5" x14ac:dyDescent="0.25">
      <c r="B2563" s="114" t="s">
        <v>1073</v>
      </c>
      <c r="D2563" s="114" t="s">
        <v>1073</v>
      </c>
      <c r="E2563" s="114" t="s">
        <v>3993</v>
      </c>
    </row>
    <row r="2564" spans="2:5" x14ac:dyDescent="0.25">
      <c r="B2564" s="114" t="s">
        <v>1073</v>
      </c>
      <c r="D2564" s="114" t="s">
        <v>1073</v>
      </c>
      <c r="E2564" s="114" t="s">
        <v>3993</v>
      </c>
    </row>
    <row r="2565" spans="2:5" x14ac:dyDescent="0.25">
      <c r="B2565" s="114" t="s">
        <v>1073</v>
      </c>
      <c r="D2565" s="114" t="s">
        <v>1073</v>
      </c>
      <c r="E2565" s="114" t="s">
        <v>3993</v>
      </c>
    </row>
    <row r="2566" spans="2:5" x14ac:dyDescent="0.25">
      <c r="B2566" s="114" t="s">
        <v>1073</v>
      </c>
      <c r="D2566" s="114" t="s">
        <v>1073</v>
      </c>
      <c r="E2566" s="114" t="s">
        <v>3993</v>
      </c>
    </row>
    <row r="2567" spans="2:5" x14ac:dyDescent="0.25">
      <c r="B2567" s="114" t="s">
        <v>1073</v>
      </c>
      <c r="D2567" s="114" t="s">
        <v>1073</v>
      </c>
      <c r="E2567" s="114" t="s">
        <v>3993</v>
      </c>
    </row>
    <row r="2568" spans="2:5" x14ac:dyDescent="0.25">
      <c r="B2568" s="114" t="s">
        <v>1073</v>
      </c>
      <c r="D2568" s="114" t="s">
        <v>1073</v>
      </c>
      <c r="E2568" s="114" t="s">
        <v>3993</v>
      </c>
    </row>
    <row r="2569" spans="2:5" x14ac:dyDescent="0.25">
      <c r="B2569" s="114" t="s">
        <v>1073</v>
      </c>
      <c r="D2569" s="114" t="s">
        <v>1073</v>
      </c>
      <c r="E2569" s="114" t="s">
        <v>3993</v>
      </c>
    </row>
    <row r="2570" spans="2:5" x14ac:dyDescent="0.25">
      <c r="B2570" s="114" t="s">
        <v>1073</v>
      </c>
      <c r="D2570" s="114" t="s">
        <v>1073</v>
      </c>
      <c r="E2570" s="114" t="s">
        <v>3993</v>
      </c>
    </row>
    <row r="2571" spans="2:5" x14ac:dyDescent="0.25">
      <c r="B2571" s="114" t="s">
        <v>1073</v>
      </c>
      <c r="D2571" s="114" t="s">
        <v>1073</v>
      </c>
      <c r="E2571" s="114" t="s">
        <v>3993</v>
      </c>
    </row>
    <row r="2572" spans="2:5" x14ac:dyDescent="0.25">
      <c r="B2572" s="114" t="s">
        <v>1073</v>
      </c>
      <c r="D2572" s="114" t="s">
        <v>1073</v>
      </c>
      <c r="E2572" s="114" t="s">
        <v>3993</v>
      </c>
    </row>
    <row r="2573" spans="2:5" x14ac:dyDescent="0.25">
      <c r="B2573" s="114" t="s">
        <v>1073</v>
      </c>
      <c r="D2573" s="114" t="s">
        <v>1073</v>
      </c>
      <c r="E2573" s="114" t="s">
        <v>3993</v>
      </c>
    </row>
    <row r="2574" spans="2:5" x14ac:dyDescent="0.25">
      <c r="B2574" s="114" t="s">
        <v>1073</v>
      </c>
      <c r="D2574" s="114" t="s">
        <v>1073</v>
      </c>
      <c r="E2574" s="114" t="s">
        <v>3993</v>
      </c>
    </row>
    <row r="2575" spans="2:5" x14ac:dyDescent="0.25">
      <c r="B2575" s="114" t="s">
        <v>1073</v>
      </c>
      <c r="D2575" s="114" t="s">
        <v>1073</v>
      </c>
      <c r="E2575" s="114" t="s">
        <v>3993</v>
      </c>
    </row>
    <row r="2576" spans="2:5" x14ac:dyDescent="0.25">
      <c r="B2576" s="114" t="s">
        <v>1073</v>
      </c>
      <c r="D2576" s="114" t="s">
        <v>1073</v>
      </c>
      <c r="E2576" s="114" t="s">
        <v>3993</v>
      </c>
    </row>
    <row r="2577" spans="2:5" x14ac:dyDescent="0.25">
      <c r="B2577" s="114" t="s">
        <v>1073</v>
      </c>
      <c r="D2577" s="114" t="s">
        <v>1073</v>
      </c>
      <c r="E2577" s="114" t="s">
        <v>3993</v>
      </c>
    </row>
    <row r="2578" spans="2:5" x14ac:dyDescent="0.25">
      <c r="B2578" s="114" t="s">
        <v>1073</v>
      </c>
      <c r="D2578" s="114" t="s">
        <v>1073</v>
      </c>
      <c r="E2578" s="114" t="s">
        <v>3993</v>
      </c>
    </row>
    <row r="2579" spans="2:5" x14ac:dyDescent="0.25">
      <c r="B2579" s="114" t="s">
        <v>1073</v>
      </c>
      <c r="D2579" s="114" t="s">
        <v>1073</v>
      </c>
      <c r="E2579" s="114" t="s">
        <v>3993</v>
      </c>
    </row>
    <row r="2580" spans="2:5" x14ac:dyDescent="0.25">
      <c r="B2580" s="114" t="s">
        <v>1073</v>
      </c>
      <c r="D2580" s="114" t="s">
        <v>1073</v>
      </c>
      <c r="E2580" s="114" t="s">
        <v>3993</v>
      </c>
    </row>
    <row r="2581" spans="2:5" x14ac:dyDescent="0.25">
      <c r="B2581" s="114" t="s">
        <v>1073</v>
      </c>
      <c r="D2581" s="114" t="s">
        <v>1073</v>
      </c>
      <c r="E2581" s="114" t="s">
        <v>3993</v>
      </c>
    </row>
    <row r="2582" spans="2:5" x14ac:dyDescent="0.25">
      <c r="B2582" s="114" t="s">
        <v>1073</v>
      </c>
      <c r="D2582" s="114" t="s">
        <v>1073</v>
      </c>
      <c r="E2582" s="114" t="s">
        <v>3993</v>
      </c>
    </row>
    <row r="2583" spans="2:5" x14ac:dyDescent="0.25">
      <c r="B2583" s="114" t="s">
        <v>1073</v>
      </c>
      <c r="D2583" s="114" t="s">
        <v>1073</v>
      </c>
      <c r="E2583" s="114" t="s">
        <v>3993</v>
      </c>
    </row>
    <row r="2584" spans="2:5" x14ac:dyDescent="0.25">
      <c r="B2584" s="114" t="s">
        <v>1073</v>
      </c>
      <c r="D2584" s="114" t="s">
        <v>1073</v>
      </c>
      <c r="E2584" s="114" t="s">
        <v>3993</v>
      </c>
    </row>
    <row r="2585" spans="2:5" x14ac:dyDescent="0.25">
      <c r="B2585" s="114" t="s">
        <v>1073</v>
      </c>
      <c r="D2585" s="114" t="s">
        <v>1073</v>
      </c>
      <c r="E2585" s="114" t="s">
        <v>3993</v>
      </c>
    </row>
    <row r="2586" spans="2:5" x14ac:dyDescent="0.25">
      <c r="B2586" s="114" t="s">
        <v>1073</v>
      </c>
      <c r="D2586" s="114" t="s">
        <v>1073</v>
      </c>
      <c r="E2586" s="114" t="s">
        <v>3993</v>
      </c>
    </row>
    <row r="2587" spans="2:5" x14ac:dyDescent="0.25">
      <c r="B2587" s="114" t="s">
        <v>1073</v>
      </c>
      <c r="D2587" s="114" t="s">
        <v>1073</v>
      </c>
      <c r="E2587" s="114" t="s">
        <v>3993</v>
      </c>
    </row>
    <row r="2588" spans="2:5" x14ac:dyDescent="0.25">
      <c r="B2588" s="114" t="s">
        <v>1073</v>
      </c>
      <c r="D2588" s="114" t="s">
        <v>1073</v>
      </c>
      <c r="E2588" s="114" t="s">
        <v>3993</v>
      </c>
    </row>
    <row r="2589" spans="2:5" x14ac:dyDescent="0.25">
      <c r="B2589" s="114" t="s">
        <v>1073</v>
      </c>
      <c r="D2589" s="114" t="s">
        <v>1073</v>
      </c>
      <c r="E2589" s="114" t="s">
        <v>3993</v>
      </c>
    </row>
    <row r="2590" spans="2:5" x14ac:dyDescent="0.25">
      <c r="B2590" s="114" t="s">
        <v>1073</v>
      </c>
      <c r="D2590" s="114" t="s">
        <v>1073</v>
      </c>
      <c r="E2590" s="114" t="s">
        <v>3993</v>
      </c>
    </row>
    <row r="2591" spans="2:5" x14ac:dyDescent="0.25">
      <c r="B2591" s="114" t="s">
        <v>1073</v>
      </c>
      <c r="D2591" s="114" t="s">
        <v>1073</v>
      </c>
      <c r="E2591" s="114" t="s">
        <v>3993</v>
      </c>
    </row>
    <row r="2592" spans="2:5" x14ac:dyDescent="0.25">
      <c r="B2592" s="114" t="s">
        <v>1073</v>
      </c>
      <c r="D2592" s="114" t="s">
        <v>1073</v>
      </c>
      <c r="E2592" s="114" t="s">
        <v>3993</v>
      </c>
    </row>
    <row r="2593" spans="2:5" x14ac:dyDescent="0.25">
      <c r="B2593" s="114" t="s">
        <v>1073</v>
      </c>
      <c r="D2593" s="114" t="s">
        <v>1073</v>
      </c>
      <c r="E2593" s="114" t="s">
        <v>3993</v>
      </c>
    </row>
    <row r="2594" spans="2:5" x14ac:dyDescent="0.25">
      <c r="B2594" s="114" t="s">
        <v>1073</v>
      </c>
      <c r="D2594" s="114" t="s">
        <v>1073</v>
      </c>
      <c r="E2594" s="114" t="s">
        <v>3993</v>
      </c>
    </row>
    <row r="2595" spans="2:5" x14ac:dyDescent="0.25">
      <c r="B2595" s="114" t="s">
        <v>1073</v>
      </c>
      <c r="D2595" s="114" t="s">
        <v>1073</v>
      </c>
      <c r="E2595" s="114" t="s">
        <v>3993</v>
      </c>
    </row>
    <row r="2596" spans="2:5" x14ac:dyDescent="0.25">
      <c r="B2596" s="114" t="s">
        <v>1073</v>
      </c>
      <c r="D2596" s="114" t="s">
        <v>1073</v>
      </c>
      <c r="E2596" s="114" t="s">
        <v>3993</v>
      </c>
    </row>
    <row r="2597" spans="2:5" x14ac:dyDescent="0.25">
      <c r="B2597" s="114" t="s">
        <v>1073</v>
      </c>
      <c r="D2597" s="114" t="s">
        <v>1073</v>
      </c>
      <c r="E2597" s="114" t="s">
        <v>3993</v>
      </c>
    </row>
    <row r="2598" spans="2:5" x14ac:dyDescent="0.25">
      <c r="B2598" s="114" t="s">
        <v>1073</v>
      </c>
      <c r="D2598" s="114" t="s">
        <v>1073</v>
      </c>
      <c r="E2598" s="114" t="s">
        <v>3993</v>
      </c>
    </row>
    <row r="2599" spans="2:5" x14ac:dyDescent="0.25">
      <c r="B2599" s="114" t="s">
        <v>1073</v>
      </c>
      <c r="D2599" s="114" t="s">
        <v>1073</v>
      </c>
      <c r="E2599" s="114" t="s">
        <v>3993</v>
      </c>
    </row>
    <row r="2600" spans="2:5" x14ac:dyDescent="0.25">
      <c r="B2600" s="114" t="s">
        <v>1073</v>
      </c>
      <c r="D2600" s="114" t="s">
        <v>1073</v>
      </c>
      <c r="E2600" s="114" t="s">
        <v>3993</v>
      </c>
    </row>
    <row r="2601" spans="2:5" x14ac:dyDescent="0.25">
      <c r="B2601" s="114" t="s">
        <v>1073</v>
      </c>
      <c r="D2601" s="114" t="s">
        <v>1073</v>
      </c>
      <c r="E2601" s="114" t="s">
        <v>3993</v>
      </c>
    </row>
    <row r="2602" spans="2:5" x14ac:dyDescent="0.25">
      <c r="B2602" s="114" t="s">
        <v>1073</v>
      </c>
      <c r="D2602" s="114" t="s">
        <v>1073</v>
      </c>
      <c r="E2602" s="114" t="s">
        <v>3993</v>
      </c>
    </row>
    <row r="2603" spans="2:5" x14ac:dyDescent="0.25">
      <c r="B2603" s="114" t="s">
        <v>1073</v>
      </c>
      <c r="D2603" s="114" t="s">
        <v>1073</v>
      </c>
      <c r="E2603" s="114" t="s">
        <v>3993</v>
      </c>
    </row>
    <row r="2604" spans="2:5" x14ac:dyDescent="0.25">
      <c r="B2604" s="114" t="s">
        <v>1073</v>
      </c>
      <c r="D2604" s="114" t="s">
        <v>1073</v>
      </c>
      <c r="E2604" s="114" t="s">
        <v>3993</v>
      </c>
    </row>
    <row r="2605" spans="2:5" x14ac:dyDescent="0.25">
      <c r="B2605" s="114" t="s">
        <v>1073</v>
      </c>
      <c r="D2605" s="114" t="s">
        <v>1073</v>
      </c>
      <c r="E2605" s="114" t="s">
        <v>3993</v>
      </c>
    </row>
    <row r="2606" spans="2:5" x14ac:dyDescent="0.25">
      <c r="B2606" s="114" t="s">
        <v>1073</v>
      </c>
      <c r="D2606" s="114" t="s">
        <v>1073</v>
      </c>
      <c r="E2606" s="114" t="s">
        <v>3993</v>
      </c>
    </row>
    <row r="2607" spans="2:5" x14ac:dyDescent="0.25">
      <c r="B2607" s="114" t="s">
        <v>1073</v>
      </c>
      <c r="D2607" s="114" t="s">
        <v>1073</v>
      </c>
      <c r="E2607" s="114" t="s">
        <v>3993</v>
      </c>
    </row>
    <row r="2608" spans="2:5" x14ac:dyDescent="0.25">
      <c r="B2608" s="114" t="s">
        <v>1073</v>
      </c>
      <c r="D2608" s="114" t="s">
        <v>1073</v>
      </c>
      <c r="E2608" s="114" t="s">
        <v>3993</v>
      </c>
    </row>
    <row r="2609" spans="2:5" x14ac:dyDescent="0.25">
      <c r="B2609" s="114" t="s">
        <v>1073</v>
      </c>
      <c r="D2609" s="114" t="s">
        <v>1073</v>
      </c>
      <c r="E2609" s="114" t="s">
        <v>3993</v>
      </c>
    </row>
    <row r="2610" spans="2:5" x14ac:dyDescent="0.25">
      <c r="B2610" s="114" t="s">
        <v>1073</v>
      </c>
      <c r="D2610" s="114" t="s">
        <v>1073</v>
      </c>
      <c r="E2610" s="114" t="s">
        <v>3993</v>
      </c>
    </row>
    <row r="2611" spans="2:5" x14ac:dyDescent="0.25">
      <c r="B2611" s="114" t="s">
        <v>1073</v>
      </c>
      <c r="D2611" s="114" t="s">
        <v>1073</v>
      </c>
      <c r="E2611" s="114" t="s">
        <v>3993</v>
      </c>
    </row>
    <row r="2612" spans="2:5" x14ac:dyDescent="0.25">
      <c r="B2612" s="114" t="s">
        <v>1073</v>
      </c>
      <c r="D2612" s="114" t="s">
        <v>1073</v>
      </c>
      <c r="E2612" s="114" t="s">
        <v>3993</v>
      </c>
    </row>
    <row r="2613" spans="2:5" x14ac:dyDescent="0.25">
      <c r="B2613" s="114" t="s">
        <v>1073</v>
      </c>
      <c r="D2613" s="114" t="s">
        <v>1073</v>
      </c>
      <c r="E2613" s="114" t="s">
        <v>3993</v>
      </c>
    </row>
    <row r="2614" spans="2:5" x14ac:dyDescent="0.25">
      <c r="B2614" s="114" t="s">
        <v>1073</v>
      </c>
      <c r="D2614" s="114" t="s">
        <v>1073</v>
      </c>
      <c r="E2614" s="114" t="s">
        <v>3993</v>
      </c>
    </row>
    <row r="2615" spans="2:5" x14ac:dyDescent="0.25">
      <c r="B2615" s="114" t="s">
        <v>1073</v>
      </c>
      <c r="D2615" s="114" t="s">
        <v>1073</v>
      </c>
      <c r="E2615" s="114" t="s">
        <v>3993</v>
      </c>
    </row>
    <row r="2616" spans="2:5" x14ac:dyDescent="0.25">
      <c r="B2616" s="114" t="s">
        <v>1073</v>
      </c>
      <c r="D2616" s="114" t="s">
        <v>1073</v>
      </c>
      <c r="E2616" s="114" t="s">
        <v>3993</v>
      </c>
    </row>
    <row r="2617" spans="2:5" x14ac:dyDescent="0.25">
      <c r="B2617" s="114" t="s">
        <v>1073</v>
      </c>
      <c r="D2617" s="114" t="s">
        <v>1073</v>
      </c>
      <c r="E2617" s="114" t="s">
        <v>3993</v>
      </c>
    </row>
    <row r="2618" spans="2:5" x14ac:dyDescent="0.25">
      <c r="B2618" s="114" t="s">
        <v>1073</v>
      </c>
      <c r="D2618" s="114" t="s">
        <v>1073</v>
      </c>
      <c r="E2618" s="114" t="s">
        <v>3993</v>
      </c>
    </row>
    <row r="2619" spans="2:5" x14ac:dyDescent="0.25">
      <c r="B2619" s="114" t="s">
        <v>1073</v>
      </c>
      <c r="D2619" s="114" t="s">
        <v>1073</v>
      </c>
      <c r="E2619" s="114" t="s">
        <v>3993</v>
      </c>
    </row>
    <row r="2620" spans="2:5" x14ac:dyDescent="0.25">
      <c r="B2620" s="114" t="s">
        <v>1073</v>
      </c>
      <c r="D2620" s="114" t="s">
        <v>1073</v>
      </c>
      <c r="E2620" s="114" t="s">
        <v>3993</v>
      </c>
    </row>
    <row r="2621" spans="2:5" x14ac:dyDescent="0.25">
      <c r="B2621" s="114" t="s">
        <v>1073</v>
      </c>
      <c r="D2621" s="114" t="s">
        <v>1073</v>
      </c>
      <c r="E2621" s="114" t="s">
        <v>3993</v>
      </c>
    </row>
    <row r="2622" spans="2:5" x14ac:dyDescent="0.25">
      <c r="B2622" s="114" t="s">
        <v>1073</v>
      </c>
      <c r="D2622" s="114" t="s">
        <v>1073</v>
      </c>
      <c r="E2622" s="114" t="s">
        <v>3993</v>
      </c>
    </row>
    <row r="2623" spans="2:5" x14ac:dyDescent="0.25">
      <c r="B2623" s="114" t="s">
        <v>1073</v>
      </c>
      <c r="D2623" s="114" t="s">
        <v>1073</v>
      </c>
      <c r="E2623" s="114" t="s">
        <v>3993</v>
      </c>
    </row>
    <row r="2624" spans="2:5" x14ac:dyDescent="0.25">
      <c r="B2624" s="114" t="s">
        <v>1073</v>
      </c>
      <c r="D2624" s="114" t="s">
        <v>1073</v>
      </c>
      <c r="E2624" s="114" t="s">
        <v>3993</v>
      </c>
    </row>
    <row r="2625" spans="2:5" x14ac:dyDescent="0.25">
      <c r="B2625" s="114" t="s">
        <v>1073</v>
      </c>
      <c r="D2625" s="114" t="s">
        <v>1073</v>
      </c>
      <c r="E2625" s="114" t="s">
        <v>3993</v>
      </c>
    </row>
    <row r="2626" spans="2:5" x14ac:dyDescent="0.25">
      <c r="B2626" s="114" t="s">
        <v>1073</v>
      </c>
      <c r="D2626" s="114" t="s">
        <v>1073</v>
      </c>
      <c r="E2626" s="114" t="s">
        <v>3993</v>
      </c>
    </row>
    <row r="2627" spans="2:5" x14ac:dyDescent="0.25">
      <c r="B2627" s="114" t="s">
        <v>1073</v>
      </c>
      <c r="D2627" s="114" t="s">
        <v>1073</v>
      </c>
      <c r="E2627" s="114" t="s">
        <v>3993</v>
      </c>
    </row>
    <row r="2628" spans="2:5" x14ac:dyDescent="0.25">
      <c r="B2628" s="114" t="s">
        <v>1073</v>
      </c>
      <c r="D2628" s="114" t="s">
        <v>1073</v>
      </c>
      <c r="E2628" s="114" t="s">
        <v>3993</v>
      </c>
    </row>
    <row r="2629" spans="2:5" x14ac:dyDescent="0.25">
      <c r="B2629" s="114" t="s">
        <v>1073</v>
      </c>
      <c r="D2629" s="114" t="s">
        <v>1073</v>
      </c>
      <c r="E2629" s="114" t="s">
        <v>3993</v>
      </c>
    </row>
    <row r="2630" spans="2:5" x14ac:dyDescent="0.25">
      <c r="B2630" s="114" t="s">
        <v>1073</v>
      </c>
      <c r="D2630" s="114" t="s">
        <v>1073</v>
      </c>
      <c r="E2630" s="114" t="s">
        <v>3993</v>
      </c>
    </row>
    <row r="2631" spans="2:5" x14ac:dyDescent="0.25">
      <c r="B2631" s="114" t="s">
        <v>1073</v>
      </c>
      <c r="D2631" s="114" t="s">
        <v>1073</v>
      </c>
      <c r="E2631" s="114" t="s">
        <v>3993</v>
      </c>
    </row>
    <row r="2632" spans="2:5" x14ac:dyDescent="0.25">
      <c r="B2632" s="114" t="s">
        <v>1073</v>
      </c>
      <c r="D2632" s="114" t="s">
        <v>1073</v>
      </c>
      <c r="E2632" s="114" t="s">
        <v>3993</v>
      </c>
    </row>
    <row r="2633" spans="2:5" x14ac:dyDescent="0.25">
      <c r="B2633" s="114" t="s">
        <v>1073</v>
      </c>
      <c r="D2633" s="114" t="s">
        <v>1073</v>
      </c>
      <c r="E2633" s="114" t="s">
        <v>3993</v>
      </c>
    </row>
    <row r="2634" spans="2:5" x14ac:dyDescent="0.25">
      <c r="B2634" s="114" t="s">
        <v>1073</v>
      </c>
      <c r="D2634" s="114" t="s">
        <v>1073</v>
      </c>
      <c r="E2634" s="114" t="s">
        <v>3993</v>
      </c>
    </row>
    <row r="2635" spans="2:5" x14ac:dyDescent="0.25">
      <c r="B2635" s="114" t="s">
        <v>1073</v>
      </c>
      <c r="D2635" s="114" t="s">
        <v>1073</v>
      </c>
      <c r="E2635" s="114" t="s">
        <v>3993</v>
      </c>
    </row>
    <row r="2636" spans="2:5" x14ac:dyDescent="0.25">
      <c r="B2636" s="114" t="s">
        <v>1073</v>
      </c>
      <c r="D2636" s="114" t="s">
        <v>1073</v>
      </c>
      <c r="E2636" s="114" t="s">
        <v>3993</v>
      </c>
    </row>
    <row r="2637" spans="2:5" x14ac:dyDescent="0.25">
      <c r="B2637" s="114" t="s">
        <v>1073</v>
      </c>
      <c r="D2637" s="114" t="s">
        <v>1073</v>
      </c>
      <c r="E2637" s="114" t="s">
        <v>3993</v>
      </c>
    </row>
    <row r="2638" spans="2:5" x14ac:dyDescent="0.25">
      <c r="B2638" s="114" t="s">
        <v>1073</v>
      </c>
      <c r="D2638" s="114" t="s">
        <v>1073</v>
      </c>
      <c r="E2638" s="114" t="s">
        <v>3993</v>
      </c>
    </row>
    <row r="2639" spans="2:5" x14ac:dyDescent="0.25">
      <c r="B2639" s="114" t="s">
        <v>1073</v>
      </c>
      <c r="D2639" s="114" t="s">
        <v>1073</v>
      </c>
      <c r="E2639" s="114" t="s">
        <v>3993</v>
      </c>
    </row>
    <row r="2640" spans="2:5" x14ac:dyDescent="0.25">
      <c r="B2640" s="114" t="s">
        <v>1073</v>
      </c>
      <c r="D2640" s="114" t="s">
        <v>1073</v>
      </c>
      <c r="E2640" s="114" t="s">
        <v>3993</v>
      </c>
    </row>
    <row r="2641" spans="2:5" x14ac:dyDescent="0.25">
      <c r="B2641" s="114" t="s">
        <v>1073</v>
      </c>
      <c r="D2641" s="114" t="s">
        <v>1073</v>
      </c>
      <c r="E2641" s="114" t="s">
        <v>3993</v>
      </c>
    </row>
    <row r="2642" spans="2:5" x14ac:dyDescent="0.25">
      <c r="B2642" s="114" t="s">
        <v>1073</v>
      </c>
      <c r="D2642" s="114" t="s">
        <v>1073</v>
      </c>
      <c r="E2642" s="114" t="s">
        <v>3993</v>
      </c>
    </row>
    <row r="2643" spans="2:5" x14ac:dyDescent="0.25">
      <c r="B2643" s="114" t="s">
        <v>1073</v>
      </c>
      <c r="D2643" s="114" t="s">
        <v>1073</v>
      </c>
      <c r="E2643" s="114" t="s">
        <v>3993</v>
      </c>
    </row>
    <row r="2644" spans="2:5" x14ac:dyDescent="0.25">
      <c r="B2644" s="114" t="s">
        <v>1073</v>
      </c>
      <c r="D2644" s="114" t="s">
        <v>1073</v>
      </c>
      <c r="E2644" s="114" t="s">
        <v>3993</v>
      </c>
    </row>
    <row r="2645" spans="2:5" x14ac:dyDescent="0.25">
      <c r="B2645" s="114" t="s">
        <v>1073</v>
      </c>
      <c r="D2645" s="114" t="s">
        <v>1073</v>
      </c>
      <c r="E2645" s="114" t="s">
        <v>3993</v>
      </c>
    </row>
    <row r="2646" spans="2:5" x14ac:dyDescent="0.25">
      <c r="B2646" s="114" t="s">
        <v>1073</v>
      </c>
      <c r="D2646" s="114" t="s">
        <v>1073</v>
      </c>
      <c r="E2646" s="114" t="s">
        <v>3993</v>
      </c>
    </row>
    <row r="2647" spans="2:5" x14ac:dyDescent="0.25">
      <c r="B2647" s="114" t="s">
        <v>1073</v>
      </c>
      <c r="D2647" s="114" t="s">
        <v>1073</v>
      </c>
      <c r="E2647" s="114" t="s">
        <v>3993</v>
      </c>
    </row>
    <row r="2648" spans="2:5" x14ac:dyDescent="0.25">
      <c r="B2648" s="114" t="s">
        <v>1073</v>
      </c>
      <c r="D2648" s="114" t="s">
        <v>1073</v>
      </c>
      <c r="E2648" s="114" t="s">
        <v>3993</v>
      </c>
    </row>
    <row r="2649" spans="2:5" x14ac:dyDescent="0.25">
      <c r="B2649" s="114" t="s">
        <v>1073</v>
      </c>
      <c r="D2649" s="114" t="s">
        <v>1073</v>
      </c>
      <c r="E2649" s="114" t="s">
        <v>3993</v>
      </c>
    </row>
    <row r="2650" spans="2:5" x14ac:dyDescent="0.25">
      <c r="B2650" s="114" t="s">
        <v>1073</v>
      </c>
      <c r="D2650" s="114" t="s">
        <v>1073</v>
      </c>
      <c r="E2650" s="114" t="s">
        <v>3993</v>
      </c>
    </row>
    <row r="2651" spans="2:5" x14ac:dyDescent="0.25">
      <c r="B2651" s="114" t="s">
        <v>1073</v>
      </c>
      <c r="D2651" s="114" t="s">
        <v>1073</v>
      </c>
      <c r="E2651" s="114" t="s">
        <v>3993</v>
      </c>
    </row>
    <row r="2652" spans="2:5" x14ac:dyDescent="0.25">
      <c r="B2652" s="114" t="s">
        <v>1073</v>
      </c>
      <c r="D2652" s="114" t="s">
        <v>1073</v>
      </c>
      <c r="E2652" s="114" t="s">
        <v>3993</v>
      </c>
    </row>
    <row r="2653" spans="2:5" x14ac:dyDescent="0.25">
      <c r="B2653" s="114" t="s">
        <v>1073</v>
      </c>
      <c r="D2653" s="114" t="s">
        <v>1073</v>
      </c>
      <c r="E2653" s="114" t="s">
        <v>3993</v>
      </c>
    </row>
    <row r="2654" spans="2:5" x14ac:dyDescent="0.25">
      <c r="B2654" s="114" t="s">
        <v>1073</v>
      </c>
      <c r="D2654" s="114" t="s">
        <v>1073</v>
      </c>
      <c r="E2654" s="114" t="s">
        <v>3993</v>
      </c>
    </row>
    <row r="2655" spans="2:5" x14ac:dyDescent="0.25">
      <c r="B2655" s="114" t="s">
        <v>1073</v>
      </c>
      <c r="D2655" s="114" t="s">
        <v>1073</v>
      </c>
      <c r="E2655" s="114" t="s">
        <v>3993</v>
      </c>
    </row>
    <row r="2656" spans="2:5" x14ac:dyDescent="0.25">
      <c r="B2656" s="114" t="s">
        <v>1073</v>
      </c>
      <c r="D2656" s="114" t="s">
        <v>1073</v>
      </c>
      <c r="E2656" s="114" t="s">
        <v>3993</v>
      </c>
    </row>
    <row r="2657" spans="2:5" x14ac:dyDescent="0.25">
      <c r="B2657" s="114" t="s">
        <v>1073</v>
      </c>
      <c r="D2657" s="114" t="s">
        <v>1073</v>
      </c>
      <c r="E2657" s="114" t="s">
        <v>3993</v>
      </c>
    </row>
    <row r="2658" spans="2:5" x14ac:dyDescent="0.25">
      <c r="B2658" s="114" t="s">
        <v>1073</v>
      </c>
      <c r="D2658" s="114" t="s">
        <v>1073</v>
      </c>
      <c r="E2658" s="114" t="s">
        <v>3993</v>
      </c>
    </row>
    <row r="2659" spans="2:5" x14ac:dyDescent="0.25">
      <c r="B2659" s="114" t="s">
        <v>1073</v>
      </c>
      <c r="D2659" s="114" t="s">
        <v>1073</v>
      </c>
      <c r="E2659" s="114" t="s">
        <v>3993</v>
      </c>
    </row>
    <row r="2660" spans="2:5" x14ac:dyDescent="0.25">
      <c r="B2660" s="114" t="s">
        <v>1073</v>
      </c>
      <c r="D2660" s="114" t="s">
        <v>1073</v>
      </c>
      <c r="E2660" s="114" t="s">
        <v>3993</v>
      </c>
    </row>
    <row r="2661" spans="2:5" x14ac:dyDescent="0.25">
      <c r="B2661" s="114" t="s">
        <v>1073</v>
      </c>
      <c r="D2661" s="114" t="s">
        <v>1073</v>
      </c>
      <c r="E2661" s="114" t="s">
        <v>3993</v>
      </c>
    </row>
    <row r="2662" spans="2:5" x14ac:dyDescent="0.25">
      <c r="B2662" s="114" t="s">
        <v>1073</v>
      </c>
      <c r="D2662" s="114" t="s">
        <v>1073</v>
      </c>
      <c r="E2662" s="114" t="s">
        <v>3993</v>
      </c>
    </row>
    <row r="2663" spans="2:5" x14ac:dyDescent="0.25">
      <c r="B2663" s="114" t="s">
        <v>1073</v>
      </c>
      <c r="D2663" s="114" t="s">
        <v>1073</v>
      </c>
      <c r="E2663" s="114" t="s">
        <v>3993</v>
      </c>
    </row>
    <row r="2664" spans="2:5" x14ac:dyDescent="0.25">
      <c r="B2664" s="114" t="s">
        <v>1073</v>
      </c>
      <c r="D2664" s="114" t="s">
        <v>1073</v>
      </c>
      <c r="E2664" s="114" t="s">
        <v>3993</v>
      </c>
    </row>
    <row r="2665" spans="2:5" x14ac:dyDescent="0.25">
      <c r="B2665" s="114" t="s">
        <v>1073</v>
      </c>
      <c r="D2665" s="114" t="s">
        <v>1073</v>
      </c>
      <c r="E2665" s="114" t="s">
        <v>3993</v>
      </c>
    </row>
    <row r="2666" spans="2:5" x14ac:dyDescent="0.25">
      <c r="B2666" s="114" t="s">
        <v>1073</v>
      </c>
      <c r="D2666" s="114" t="s">
        <v>1073</v>
      </c>
      <c r="E2666" s="114" t="s">
        <v>3993</v>
      </c>
    </row>
    <row r="2667" spans="2:5" x14ac:dyDescent="0.25">
      <c r="B2667" s="114" t="s">
        <v>1073</v>
      </c>
      <c r="D2667" s="114" t="s">
        <v>1073</v>
      </c>
      <c r="E2667" s="114" t="s">
        <v>3993</v>
      </c>
    </row>
    <row r="2668" spans="2:5" x14ac:dyDescent="0.25">
      <c r="B2668" s="114" t="s">
        <v>1073</v>
      </c>
      <c r="D2668" s="114" t="s">
        <v>1073</v>
      </c>
      <c r="E2668" s="114" t="s">
        <v>3993</v>
      </c>
    </row>
    <row r="2669" spans="2:5" x14ac:dyDescent="0.25">
      <c r="B2669" s="114" t="s">
        <v>1073</v>
      </c>
      <c r="D2669" s="114" t="s">
        <v>1073</v>
      </c>
      <c r="E2669" s="114" t="s">
        <v>3993</v>
      </c>
    </row>
    <row r="2670" spans="2:5" x14ac:dyDescent="0.25">
      <c r="B2670" s="114" t="s">
        <v>1073</v>
      </c>
      <c r="D2670" s="114" t="s">
        <v>1073</v>
      </c>
      <c r="E2670" s="114" t="s">
        <v>3993</v>
      </c>
    </row>
    <row r="2671" spans="2:5" x14ac:dyDescent="0.25">
      <c r="B2671" s="114" t="s">
        <v>1073</v>
      </c>
      <c r="D2671" s="114" t="s">
        <v>1073</v>
      </c>
      <c r="E2671" s="114" t="s">
        <v>3993</v>
      </c>
    </row>
    <row r="2672" spans="2:5" x14ac:dyDescent="0.25">
      <c r="B2672" s="114" t="s">
        <v>1073</v>
      </c>
      <c r="D2672" s="114" t="s">
        <v>1073</v>
      </c>
      <c r="E2672" s="114" t="s">
        <v>3993</v>
      </c>
    </row>
    <row r="2673" spans="2:5" x14ac:dyDescent="0.25">
      <c r="B2673" s="114" t="s">
        <v>1073</v>
      </c>
      <c r="D2673" s="114" t="s">
        <v>1073</v>
      </c>
      <c r="E2673" s="114" t="s">
        <v>3993</v>
      </c>
    </row>
    <row r="2674" spans="2:5" x14ac:dyDescent="0.25">
      <c r="B2674" s="114" t="s">
        <v>1073</v>
      </c>
      <c r="D2674" s="114" t="s">
        <v>1073</v>
      </c>
      <c r="E2674" s="114" t="s">
        <v>3993</v>
      </c>
    </row>
    <row r="2675" spans="2:5" x14ac:dyDescent="0.25">
      <c r="B2675" s="114" t="s">
        <v>1073</v>
      </c>
      <c r="D2675" s="114" t="s">
        <v>1073</v>
      </c>
      <c r="E2675" s="114" t="s">
        <v>3993</v>
      </c>
    </row>
    <row r="2676" spans="2:5" x14ac:dyDescent="0.25">
      <c r="B2676" s="114" t="s">
        <v>1073</v>
      </c>
      <c r="D2676" s="114" t="s">
        <v>1073</v>
      </c>
      <c r="E2676" s="114" t="s">
        <v>3993</v>
      </c>
    </row>
    <row r="2677" spans="2:5" x14ac:dyDescent="0.25">
      <c r="B2677" s="114" t="s">
        <v>1073</v>
      </c>
      <c r="D2677" s="114" t="s">
        <v>1073</v>
      </c>
      <c r="E2677" s="114" t="s">
        <v>3993</v>
      </c>
    </row>
    <row r="2678" spans="2:5" x14ac:dyDescent="0.25">
      <c r="B2678" s="114" t="s">
        <v>1073</v>
      </c>
      <c r="D2678" s="114" t="s">
        <v>1073</v>
      </c>
      <c r="E2678" s="114" t="s">
        <v>3993</v>
      </c>
    </row>
    <row r="2679" spans="2:5" x14ac:dyDescent="0.25">
      <c r="B2679" s="114" t="s">
        <v>1073</v>
      </c>
      <c r="D2679" s="114" t="s">
        <v>1073</v>
      </c>
      <c r="E2679" s="114" t="s">
        <v>3993</v>
      </c>
    </row>
    <row r="2680" spans="2:5" x14ac:dyDescent="0.25">
      <c r="B2680" s="114" t="s">
        <v>1073</v>
      </c>
      <c r="D2680" s="114" t="s">
        <v>1073</v>
      </c>
      <c r="E2680" s="114" t="s">
        <v>3993</v>
      </c>
    </row>
    <row r="2681" spans="2:5" x14ac:dyDescent="0.25">
      <c r="B2681" s="114" t="s">
        <v>1073</v>
      </c>
      <c r="D2681" s="114" t="s">
        <v>1073</v>
      </c>
      <c r="E2681" s="114" t="s">
        <v>3993</v>
      </c>
    </row>
    <row r="2682" spans="2:5" x14ac:dyDescent="0.25">
      <c r="B2682" s="114" t="s">
        <v>1073</v>
      </c>
      <c r="D2682" s="114" t="s">
        <v>1073</v>
      </c>
      <c r="E2682" s="114" t="s">
        <v>3993</v>
      </c>
    </row>
    <row r="2683" spans="2:5" x14ac:dyDescent="0.25">
      <c r="B2683" s="114" t="s">
        <v>1073</v>
      </c>
      <c r="D2683" s="114" t="s">
        <v>1073</v>
      </c>
      <c r="E2683" s="114" t="s">
        <v>3993</v>
      </c>
    </row>
    <row r="2684" spans="2:5" x14ac:dyDescent="0.25">
      <c r="B2684" s="114" t="s">
        <v>1073</v>
      </c>
      <c r="D2684" s="114" t="s">
        <v>1073</v>
      </c>
      <c r="E2684" s="114" t="s">
        <v>3993</v>
      </c>
    </row>
    <row r="2685" spans="2:5" x14ac:dyDescent="0.25">
      <c r="B2685" s="114" t="s">
        <v>1073</v>
      </c>
      <c r="D2685" s="114" t="s">
        <v>1073</v>
      </c>
      <c r="E2685" s="114" t="s">
        <v>3993</v>
      </c>
    </row>
    <row r="2686" spans="2:5" x14ac:dyDescent="0.25">
      <c r="B2686" s="114" t="s">
        <v>2173</v>
      </c>
      <c r="D2686" s="114" t="s">
        <v>5887</v>
      </c>
      <c r="E2686" s="114" t="s">
        <v>5888</v>
      </c>
    </row>
    <row r="2687" spans="2:5" x14ac:dyDescent="0.25">
      <c r="B2687" s="114" t="s">
        <v>1073</v>
      </c>
      <c r="D2687" s="114" t="s">
        <v>5889</v>
      </c>
      <c r="E2687" s="114" t="s">
        <v>3993</v>
      </c>
    </row>
    <row r="2688" spans="2:5" x14ac:dyDescent="0.25">
      <c r="B2688" s="114" t="s">
        <v>1073</v>
      </c>
      <c r="D2688" s="114" t="s">
        <v>5890</v>
      </c>
      <c r="E2688" s="114" t="s">
        <v>5891</v>
      </c>
    </row>
    <row r="2689" spans="1:5" x14ac:dyDescent="0.25">
      <c r="B2689" s="114" t="s">
        <v>2174</v>
      </c>
      <c r="D2689" s="114" t="s">
        <v>1073</v>
      </c>
      <c r="E2689" s="114" t="s">
        <v>5892</v>
      </c>
    </row>
    <row r="2690" spans="1:5" x14ac:dyDescent="0.25">
      <c r="B2690" s="114" t="s">
        <v>1073</v>
      </c>
      <c r="D2690" s="114" t="s">
        <v>1073</v>
      </c>
      <c r="E2690" s="114" t="s">
        <v>5893</v>
      </c>
    </row>
    <row r="2691" spans="1:5" x14ac:dyDescent="0.25">
      <c r="B2691" s="114" t="s">
        <v>1073</v>
      </c>
      <c r="D2691" s="114" t="s">
        <v>5894</v>
      </c>
      <c r="E2691" s="114" t="s">
        <v>5895</v>
      </c>
    </row>
    <row r="2692" spans="1:5" x14ac:dyDescent="0.25">
      <c r="B2692" s="114" t="s">
        <v>1403</v>
      </c>
      <c r="D2692" s="114">
        <f>-475   -276</f>
        <v>-751</v>
      </c>
      <c r="E2692" s="114" t="s">
        <v>5896</v>
      </c>
    </row>
    <row r="2693" spans="1:5" x14ac:dyDescent="0.25">
      <c r="A2693" s="114" t="s">
        <v>1072</v>
      </c>
      <c r="B2693" s="114" t="s">
        <v>2175</v>
      </c>
      <c r="D2693" s="114" t="s">
        <v>5897</v>
      </c>
      <c r="E2693" s="114" t="s">
        <v>5898</v>
      </c>
    </row>
    <row r="2694" spans="1:5" x14ac:dyDescent="0.25">
      <c r="A2694" s="114" t="s">
        <v>1072</v>
      </c>
      <c r="B2694" s="114" t="s">
        <v>2176</v>
      </c>
      <c r="C2694" s="114" t="s">
        <v>1072</v>
      </c>
      <c r="D2694" s="114" t="s">
        <v>5899</v>
      </c>
      <c r="E2694" s="114" t="s">
        <v>5900</v>
      </c>
    </row>
    <row r="2695" spans="1:5" x14ac:dyDescent="0.25">
      <c r="B2695" s="114" t="s">
        <v>2177</v>
      </c>
      <c r="D2695" s="114" t="s">
        <v>5901</v>
      </c>
      <c r="E2695" s="114" t="s">
        <v>5902</v>
      </c>
    </row>
    <row r="2696" spans="1:5" x14ac:dyDescent="0.25">
      <c r="A2696" s="114" t="s">
        <v>1072</v>
      </c>
      <c r="B2696" s="114" t="s">
        <v>1109</v>
      </c>
      <c r="D2696" s="114" t="s">
        <v>5903</v>
      </c>
      <c r="E2696" s="114" t="s">
        <v>5904</v>
      </c>
    </row>
    <row r="2697" spans="1:5" x14ac:dyDescent="0.25">
      <c r="A2697" s="114" t="s">
        <v>1072</v>
      </c>
      <c r="B2697" s="114" t="s">
        <v>2178</v>
      </c>
      <c r="D2697" s="114" t="s">
        <v>5905</v>
      </c>
      <c r="E2697" s="114" t="s">
        <v>5906</v>
      </c>
    </row>
    <row r="2698" spans="1:5" x14ac:dyDescent="0.25">
      <c r="A2698" s="114" t="s">
        <v>1072</v>
      </c>
      <c r="B2698" s="114" t="s">
        <v>1291</v>
      </c>
      <c r="D2698" s="114" t="s">
        <v>1125</v>
      </c>
      <c r="E2698" s="114" t="s">
        <v>5907</v>
      </c>
    </row>
    <row r="2699" spans="1:5" x14ac:dyDescent="0.25">
      <c r="B2699" s="114" t="s">
        <v>2179</v>
      </c>
      <c r="D2699" s="114" t="s">
        <v>5908</v>
      </c>
      <c r="E2699" s="114" t="s">
        <v>5909</v>
      </c>
    </row>
    <row r="2700" spans="1:5" x14ac:dyDescent="0.25">
      <c r="B2700" s="114" t="s">
        <v>2180</v>
      </c>
      <c r="D2700" s="114" t="s">
        <v>5910</v>
      </c>
      <c r="E2700" s="114" t="s">
        <v>5911</v>
      </c>
    </row>
    <row r="2701" spans="1:5" x14ac:dyDescent="0.25">
      <c r="A2701" s="114">
        <v>-2</v>
      </c>
      <c r="B2701" s="114" t="s">
        <v>2181</v>
      </c>
      <c r="D2701" s="114" t="s">
        <v>5912</v>
      </c>
      <c r="E2701" s="114" t="s">
        <v>5913</v>
      </c>
    </row>
    <row r="2702" spans="1:5" x14ac:dyDescent="0.25">
      <c r="A2702" s="114">
        <v>-3</v>
      </c>
      <c r="B2702" s="114" t="s">
        <v>1107</v>
      </c>
      <c r="C2702" s="114" t="s">
        <v>1072</v>
      </c>
      <c r="D2702" s="114" t="s">
        <v>5914</v>
      </c>
      <c r="E2702" s="114" t="s">
        <v>3993</v>
      </c>
    </row>
    <row r="2703" spans="1:5" x14ac:dyDescent="0.25">
      <c r="A2703" s="114" t="s">
        <v>1072</v>
      </c>
      <c r="B2703" s="114" t="s">
        <v>2182</v>
      </c>
      <c r="D2703" s="114" t="s">
        <v>5915</v>
      </c>
      <c r="E2703" s="114" t="s">
        <v>4014</v>
      </c>
    </row>
    <row r="2704" spans="1:5" x14ac:dyDescent="0.25">
      <c r="A2704" s="114" t="s">
        <v>1072</v>
      </c>
      <c r="B2704" s="114" t="s">
        <v>2183</v>
      </c>
      <c r="D2704" s="114" t="s">
        <v>5916</v>
      </c>
      <c r="E2704" s="114" t="s">
        <v>5917</v>
      </c>
    </row>
    <row r="2705" spans="1:5" x14ac:dyDescent="0.25">
      <c r="A2705" s="114" t="s">
        <v>1072</v>
      </c>
      <c r="B2705" s="114" t="s">
        <v>1138</v>
      </c>
      <c r="D2705" s="114" t="s">
        <v>4425</v>
      </c>
      <c r="E2705" s="114" t="s">
        <v>5918</v>
      </c>
    </row>
    <row r="2706" spans="1:5" x14ac:dyDescent="0.25">
      <c r="A2706" s="114">
        <v>-1</v>
      </c>
      <c r="B2706" s="114" t="s">
        <v>2184</v>
      </c>
      <c r="C2706" s="114" t="s">
        <v>1072</v>
      </c>
      <c r="D2706" s="114" t="s">
        <v>5919</v>
      </c>
      <c r="E2706" s="114" t="s">
        <v>5920</v>
      </c>
    </row>
    <row r="2707" spans="1:5" x14ac:dyDescent="0.25">
      <c r="B2707" s="114" t="s">
        <v>1073</v>
      </c>
      <c r="D2707" s="114" t="s">
        <v>1073</v>
      </c>
      <c r="E2707" s="114" t="s">
        <v>5921</v>
      </c>
    </row>
    <row r="2708" spans="1:5" x14ac:dyDescent="0.25">
      <c r="B2708" s="114" t="s">
        <v>1073</v>
      </c>
      <c r="D2708" s="114" t="s">
        <v>5922</v>
      </c>
      <c r="E2708" s="114" t="s">
        <v>5923</v>
      </c>
    </row>
    <row r="2709" spans="1:5" x14ac:dyDescent="0.25">
      <c r="B2709" s="114" t="s">
        <v>1073</v>
      </c>
      <c r="D2709" s="114" t="s">
        <v>1073</v>
      </c>
      <c r="E2709" s="114" t="s">
        <v>5924</v>
      </c>
    </row>
    <row r="2710" spans="1:5" x14ac:dyDescent="0.25">
      <c r="B2710" s="114" t="s">
        <v>1073</v>
      </c>
      <c r="D2710" s="114" t="s">
        <v>5925</v>
      </c>
      <c r="E2710" s="114" t="s">
        <v>5926</v>
      </c>
    </row>
    <row r="2711" spans="1:5" x14ac:dyDescent="0.25">
      <c r="B2711" s="114" t="s">
        <v>2185</v>
      </c>
      <c r="D2711" s="114" t="s">
        <v>1073</v>
      </c>
      <c r="E2711" s="114" t="s">
        <v>5927</v>
      </c>
    </row>
    <row r="2712" spans="1:5" x14ac:dyDescent="0.25">
      <c r="B2712" s="114" t="s">
        <v>1316</v>
      </c>
      <c r="D2712" s="114" t="s">
        <v>1073</v>
      </c>
      <c r="E2712" s="114" t="s">
        <v>5928</v>
      </c>
    </row>
    <row r="2713" spans="1:5" x14ac:dyDescent="0.25">
      <c r="A2713" s="114">
        <v>3</v>
      </c>
      <c r="B2713" s="114" t="s">
        <v>1370</v>
      </c>
      <c r="C2713" s="114" t="s">
        <v>1072</v>
      </c>
      <c r="D2713" s="114" t="s">
        <v>5929</v>
      </c>
      <c r="E2713" s="114" t="s">
        <v>5930</v>
      </c>
    </row>
    <row r="2714" spans="1:5" x14ac:dyDescent="0.25">
      <c r="B2714" s="114" t="s">
        <v>1073</v>
      </c>
      <c r="D2714" s="114" t="s">
        <v>5931</v>
      </c>
      <c r="E2714" s="114" t="s">
        <v>5932</v>
      </c>
    </row>
    <row r="2715" spans="1:5" x14ac:dyDescent="0.25">
      <c r="A2715" s="114" t="s">
        <v>1072</v>
      </c>
      <c r="B2715" s="114" t="s">
        <v>2186</v>
      </c>
      <c r="D2715" s="114" t="s">
        <v>1073</v>
      </c>
      <c r="E2715" s="114" t="s">
        <v>5933</v>
      </c>
    </row>
    <row r="2716" spans="1:5" x14ac:dyDescent="0.25">
      <c r="B2716" s="114" t="s">
        <v>2187</v>
      </c>
      <c r="D2716" s="114" t="s">
        <v>5934</v>
      </c>
      <c r="E2716" s="114" t="s">
        <v>5935</v>
      </c>
    </row>
    <row r="2717" spans="1:5" x14ac:dyDescent="0.25">
      <c r="B2717" s="114" t="s">
        <v>2188</v>
      </c>
      <c r="D2717" s="114" t="s">
        <v>5936</v>
      </c>
      <c r="E2717" s="114" t="s">
        <v>5937</v>
      </c>
    </row>
    <row r="2718" spans="1:5" x14ac:dyDescent="0.25">
      <c r="A2718" s="114" t="s">
        <v>1072</v>
      </c>
      <c r="B2718" s="114" t="s">
        <v>2189</v>
      </c>
      <c r="D2718" s="114" t="s">
        <v>1073</v>
      </c>
      <c r="E2718" s="114" t="s">
        <v>5938</v>
      </c>
    </row>
    <row r="2719" spans="1:5" x14ac:dyDescent="0.25">
      <c r="B2719" s="114" t="s">
        <v>2190</v>
      </c>
      <c r="D2719" s="114" t="s">
        <v>5939</v>
      </c>
      <c r="E2719" s="114" t="s">
        <v>5940</v>
      </c>
    </row>
    <row r="2720" spans="1:5" x14ac:dyDescent="0.25">
      <c r="B2720" s="114" t="s">
        <v>2191</v>
      </c>
      <c r="D2720" s="114" t="s">
        <v>5941</v>
      </c>
      <c r="E2720" s="114" t="s">
        <v>5942</v>
      </c>
    </row>
    <row r="2721" spans="1:5" x14ac:dyDescent="0.25">
      <c r="A2721" s="114">
        <v>-3</v>
      </c>
      <c r="B2721" s="114" t="s">
        <v>2192</v>
      </c>
      <c r="D2721" s="114" t="s">
        <v>1073</v>
      </c>
      <c r="E2721" s="114" t="s">
        <v>5943</v>
      </c>
    </row>
    <row r="2722" spans="1:5" x14ac:dyDescent="0.25">
      <c r="B2722" s="114" t="s">
        <v>2193</v>
      </c>
      <c r="D2722" s="114" t="s">
        <v>1073</v>
      </c>
      <c r="E2722" s="114" t="s">
        <v>5944</v>
      </c>
    </row>
    <row r="2723" spans="1:5" x14ac:dyDescent="0.25">
      <c r="B2723" s="114" t="s">
        <v>1220</v>
      </c>
      <c r="D2723" s="114" t="s">
        <v>5945</v>
      </c>
      <c r="E2723" s="114" t="s">
        <v>5946</v>
      </c>
    </row>
    <row r="2724" spans="1:5" x14ac:dyDescent="0.25">
      <c r="B2724" s="114" t="s">
        <v>1073</v>
      </c>
      <c r="D2724" s="114" t="s">
        <v>1073</v>
      </c>
      <c r="E2724" s="114" t="s">
        <v>5947</v>
      </c>
    </row>
    <row r="2725" spans="1:5" x14ac:dyDescent="0.25">
      <c r="B2725" s="114" t="s">
        <v>1279</v>
      </c>
      <c r="D2725" s="114" t="s">
        <v>1073</v>
      </c>
      <c r="E2725" s="114" t="s">
        <v>5948</v>
      </c>
    </row>
    <row r="2726" spans="1:5" x14ac:dyDescent="0.25">
      <c r="A2726" s="114" t="s">
        <v>1072</v>
      </c>
      <c r="B2726" s="114" t="s">
        <v>2194</v>
      </c>
      <c r="D2726" s="114" t="s">
        <v>5949</v>
      </c>
      <c r="E2726" s="114" t="s">
        <v>5950</v>
      </c>
    </row>
    <row r="2727" spans="1:5" x14ac:dyDescent="0.25">
      <c r="B2727" s="114" t="s">
        <v>2195</v>
      </c>
      <c r="D2727" s="114" t="s">
        <v>1073</v>
      </c>
      <c r="E2727" s="114" t="s">
        <v>5951</v>
      </c>
    </row>
    <row r="2728" spans="1:5" x14ac:dyDescent="0.25">
      <c r="A2728" s="114">
        <v>2</v>
      </c>
      <c r="B2728" s="114" t="s">
        <v>2196</v>
      </c>
      <c r="C2728" s="114" t="s">
        <v>1072</v>
      </c>
      <c r="D2728" s="114" t="s">
        <v>5952</v>
      </c>
      <c r="E2728" s="114" t="s">
        <v>4118</v>
      </c>
    </row>
    <row r="2729" spans="1:5" x14ac:dyDescent="0.25">
      <c r="B2729" s="114" t="s">
        <v>1073</v>
      </c>
      <c r="C2729" s="114">
        <v>1</v>
      </c>
      <c r="D2729" s="114" t="s">
        <v>5953</v>
      </c>
      <c r="E2729" s="114" t="s">
        <v>5954</v>
      </c>
    </row>
    <row r="2730" spans="1:5" x14ac:dyDescent="0.25">
      <c r="B2730" s="114" t="s">
        <v>1132</v>
      </c>
      <c r="D2730" s="114" t="s">
        <v>1073</v>
      </c>
      <c r="E2730" s="114" t="s">
        <v>5955</v>
      </c>
    </row>
    <row r="2731" spans="1:5" x14ac:dyDescent="0.25">
      <c r="B2731" s="114" t="s">
        <v>1073</v>
      </c>
      <c r="D2731" s="114" t="s">
        <v>1073</v>
      </c>
      <c r="E2731" s="114" t="s">
        <v>5956</v>
      </c>
    </row>
    <row r="2732" spans="1:5" x14ac:dyDescent="0.25">
      <c r="A2732" s="114" t="s">
        <v>1072</v>
      </c>
      <c r="B2732" s="114" t="s">
        <v>2197</v>
      </c>
      <c r="D2732" s="114" t="s">
        <v>5957</v>
      </c>
      <c r="E2732" s="114" t="s">
        <v>5958</v>
      </c>
    </row>
    <row r="2733" spans="1:5" x14ac:dyDescent="0.25">
      <c r="B2733" s="114" t="s">
        <v>1073</v>
      </c>
      <c r="D2733" s="114" t="s">
        <v>5959</v>
      </c>
      <c r="E2733" s="114" t="s">
        <v>5960</v>
      </c>
    </row>
    <row r="2734" spans="1:5" x14ac:dyDescent="0.25">
      <c r="B2734" s="114" t="s">
        <v>1073</v>
      </c>
      <c r="D2734" s="114" t="s">
        <v>1073</v>
      </c>
      <c r="E2734" s="114" t="s">
        <v>5961</v>
      </c>
    </row>
    <row r="2735" spans="1:5" x14ac:dyDescent="0.25">
      <c r="B2735" s="114" t="s">
        <v>1073</v>
      </c>
      <c r="D2735" s="114" t="s">
        <v>5962</v>
      </c>
      <c r="E2735" s="114" t="s">
        <v>5963</v>
      </c>
    </row>
    <row r="2736" spans="1:5" x14ac:dyDescent="0.25">
      <c r="B2736" s="114" t="s">
        <v>1153</v>
      </c>
      <c r="D2736" s="114" t="s">
        <v>5964</v>
      </c>
      <c r="E2736" s="114" t="s">
        <v>5965</v>
      </c>
    </row>
    <row r="2737" spans="1:5" x14ac:dyDescent="0.25">
      <c r="B2737" s="114" t="s">
        <v>1073</v>
      </c>
      <c r="D2737" s="114" t="s">
        <v>5966</v>
      </c>
      <c r="E2737" s="114" t="s">
        <v>5967</v>
      </c>
    </row>
    <row r="2738" spans="1:5" x14ac:dyDescent="0.25">
      <c r="A2738" s="114">
        <v>2</v>
      </c>
      <c r="B2738" s="114" t="s">
        <v>1128</v>
      </c>
      <c r="D2738" s="114" t="s">
        <v>5968</v>
      </c>
      <c r="E2738" s="114" t="s">
        <v>5969</v>
      </c>
    </row>
    <row r="2739" spans="1:5" x14ac:dyDescent="0.25">
      <c r="B2739" s="114" t="s">
        <v>1073</v>
      </c>
      <c r="D2739" s="114" t="s">
        <v>5970</v>
      </c>
      <c r="E2739" s="114" t="s">
        <v>5971</v>
      </c>
    </row>
    <row r="2740" spans="1:5" x14ac:dyDescent="0.25">
      <c r="B2740" s="114" t="s">
        <v>1073</v>
      </c>
      <c r="D2740" s="114" t="s">
        <v>5972</v>
      </c>
      <c r="E2740" s="114" t="s">
        <v>5973</v>
      </c>
    </row>
    <row r="2741" spans="1:5" x14ac:dyDescent="0.25">
      <c r="A2741" s="114" t="s">
        <v>1072</v>
      </c>
      <c r="B2741" s="114" t="s">
        <v>2198</v>
      </c>
      <c r="D2741" s="114" t="s">
        <v>5974</v>
      </c>
      <c r="E2741" s="114" t="s">
        <v>5975</v>
      </c>
    </row>
    <row r="2742" spans="1:5" x14ac:dyDescent="0.25">
      <c r="B2742" s="114" t="s">
        <v>2199</v>
      </c>
      <c r="D2742" s="114" t="s">
        <v>4170</v>
      </c>
      <c r="E2742" s="114" t="s">
        <v>5976</v>
      </c>
    </row>
    <row r="2743" spans="1:5" x14ac:dyDescent="0.25">
      <c r="B2743" s="114" t="s">
        <v>1073</v>
      </c>
      <c r="D2743" s="114" t="s">
        <v>5977</v>
      </c>
      <c r="E2743" s="114" t="s">
        <v>5978</v>
      </c>
    </row>
    <row r="2744" spans="1:5" x14ac:dyDescent="0.25">
      <c r="B2744" s="114" t="s">
        <v>1073</v>
      </c>
      <c r="D2744" s="114">
        <f>-103   -569   -59</f>
        <v>-731</v>
      </c>
      <c r="E2744" s="114" t="s">
        <v>5979</v>
      </c>
    </row>
    <row r="2745" spans="1:5" x14ac:dyDescent="0.25">
      <c r="B2745" s="114" t="s">
        <v>2200</v>
      </c>
      <c r="D2745" s="114" t="s">
        <v>5980</v>
      </c>
      <c r="E2745" s="114" t="s">
        <v>5981</v>
      </c>
    </row>
    <row r="2746" spans="1:5" x14ac:dyDescent="0.25">
      <c r="B2746" s="114" t="s">
        <v>1073</v>
      </c>
      <c r="D2746" s="114" t="s">
        <v>5982</v>
      </c>
      <c r="E2746" s="114" t="s">
        <v>5983</v>
      </c>
    </row>
    <row r="2747" spans="1:5" x14ac:dyDescent="0.25">
      <c r="B2747" s="114" t="s">
        <v>1073</v>
      </c>
      <c r="D2747" s="114" t="s">
        <v>5984</v>
      </c>
      <c r="E2747" s="114" t="s">
        <v>5985</v>
      </c>
    </row>
    <row r="2748" spans="1:5" x14ac:dyDescent="0.25">
      <c r="B2748" s="114" t="s">
        <v>1073</v>
      </c>
      <c r="D2748" s="114" t="s">
        <v>5986</v>
      </c>
      <c r="E2748" s="114" t="s">
        <v>5987</v>
      </c>
    </row>
    <row r="2749" spans="1:5" x14ac:dyDescent="0.25">
      <c r="B2749" s="114" t="s">
        <v>1073</v>
      </c>
      <c r="D2749" s="114" t="s">
        <v>5988</v>
      </c>
      <c r="E2749" s="114" t="s">
        <v>5989</v>
      </c>
    </row>
    <row r="2750" spans="1:5" x14ac:dyDescent="0.25">
      <c r="A2750" s="114">
        <v>1</v>
      </c>
      <c r="B2750" s="114" t="s">
        <v>2201</v>
      </c>
      <c r="D2750" s="114" t="s">
        <v>1073</v>
      </c>
      <c r="E2750" s="114" t="s">
        <v>5990</v>
      </c>
    </row>
    <row r="2751" spans="1:5" x14ac:dyDescent="0.25">
      <c r="A2751" s="114">
        <v>-13</v>
      </c>
      <c r="B2751" s="114" t="s">
        <v>2202</v>
      </c>
      <c r="D2751" s="114" t="s">
        <v>5991</v>
      </c>
      <c r="E2751" s="114" t="s">
        <v>5992</v>
      </c>
    </row>
    <row r="2752" spans="1:5" x14ac:dyDescent="0.25">
      <c r="B2752" s="114" t="s">
        <v>1073</v>
      </c>
      <c r="D2752" s="114" t="s">
        <v>5993</v>
      </c>
      <c r="E2752" s="114" t="s">
        <v>4088</v>
      </c>
    </row>
    <row r="2753" spans="1:5" x14ac:dyDescent="0.25">
      <c r="B2753" s="114" t="s">
        <v>1073</v>
      </c>
      <c r="D2753" s="114" t="s">
        <v>5994</v>
      </c>
      <c r="E2753" s="114" t="s">
        <v>5995</v>
      </c>
    </row>
    <row r="2754" spans="1:5" x14ac:dyDescent="0.25">
      <c r="B2754" s="114" t="s">
        <v>2203</v>
      </c>
      <c r="D2754" s="114" t="s">
        <v>2489</v>
      </c>
      <c r="E2754" s="114" t="s">
        <v>5996</v>
      </c>
    </row>
    <row r="2755" spans="1:5" x14ac:dyDescent="0.25">
      <c r="B2755" s="114" t="s">
        <v>1081</v>
      </c>
      <c r="D2755" s="114" t="s">
        <v>1073</v>
      </c>
      <c r="E2755" s="114" t="s">
        <v>5997</v>
      </c>
    </row>
    <row r="2756" spans="1:5" x14ac:dyDescent="0.25">
      <c r="B2756" s="114" t="s">
        <v>1073</v>
      </c>
      <c r="D2756" s="114" t="s">
        <v>5009</v>
      </c>
      <c r="E2756" s="114" t="s">
        <v>5998</v>
      </c>
    </row>
    <row r="2757" spans="1:5" x14ac:dyDescent="0.25">
      <c r="B2757" s="114" t="s">
        <v>1073</v>
      </c>
      <c r="D2757" s="114" t="s">
        <v>5999</v>
      </c>
      <c r="E2757" s="114" t="s">
        <v>6000</v>
      </c>
    </row>
    <row r="2758" spans="1:5" x14ac:dyDescent="0.25">
      <c r="A2758" s="114">
        <v>-1</v>
      </c>
      <c r="B2758" s="114" t="s">
        <v>2204</v>
      </c>
      <c r="C2758" s="114">
        <v>-1</v>
      </c>
      <c r="D2758" s="114" t="s">
        <v>6001</v>
      </c>
      <c r="E2758" s="114" t="s">
        <v>6002</v>
      </c>
    </row>
    <row r="2759" spans="1:5" x14ac:dyDescent="0.25">
      <c r="B2759" s="114" t="s">
        <v>2205</v>
      </c>
      <c r="D2759" s="114" t="s">
        <v>6003</v>
      </c>
      <c r="E2759" s="114" t="s">
        <v>6004</v>
      </c>
    </row>
    <row r="2760" spans="1:5" x14ac:dyDescent="0.25">
      <c r="B2760" s="114" t="s">
        <v>2206</v>
      </c>
      <c r="D2760" s="114" t="s">
        <v>6005</v>
      </c>
      <c r="E2760" s="114" t="s">
        <v>6006</v>
      </c>
    </row>
    <row r="2761" spans="1:5" x14ac:dyDescent="0.25">
      <c r="B2761" s="114" t="s">
        <v>2207</v>
      </c>
      <c r="D2761" s="114" t="s">
        <v>6007</v>
      </c>
      <c r="E2761" s="114" t="s">
        <v>6008</v>
      </c>
    </row>
    <row r="2762" spans="1:5" x14ac:dyDescent="0.25">
      <c r="B2762" s="114" t="s">
        <v>1492</v>
      </c>
      <c r="D2762" s="114" t="s">
        <v>6009</v>
      </c>
      <c r="E2762" s="114" t="s">
        <v>6010</v>
      </c>
    </row>
    <row r="2763" spans="1:5" x14ac:dyDescent="0.25">
      <c r="A2763" s="114" t="s">
        <v>1072</v>
      </c>
      <c r="B2763" s="114" t="s">
        <v>2208</v>
      </c>
      <c r="D2763" s="114" t="s">
        <v>6011</v>
      </c>
      <c r="E2763" s="114" t="s">
        <v>6012</v>
      </c>
    </row>
    <row r="2764" spans="1:5" x14ac:dyDescent="0.25">
      <c r="B2764" s="114" t="s">
        <v>1073</v>
      </c>
      <c r="C2764" s="114">
        <v>-1</v>
      </c>
      <c r="D2764" s="114" t="s">
        <v>6013</v>
      </c>
      <c r="E2764" s="114" t="s">
        <v>6014</v>
      </c>
    </row>
    <row r="2765" spans="1:5" x14ac:dyDescent="0.25">
      <c r="B2765" s="114" t="s">
        <v>1217</v>
      </c>
      <c r="D2765" s="114" t="s">
        <v>6015</v>
      </c>
      <c r="E2765" s="114" t="s">
        <v>6016</v>
      </c>
    </row>
    <row r="2766" spans="1:5" x14ac:dyDescent="0.25">
      <c r="B2766" s="114" t="s">
        <v>2209</v>
      </c>
      <c r="D2766" s="114" t="s">
        <v>6017</v>
      </c>
      <c r="E2766" s="114" t="s">
        <v>6018</v>
      </c>
    </row>
    <row r="2767" spans="1:5" x14ac:dyDescent="0.25">
      <c r="B2767" s="114" t="s">
        <v>1774</v>
      </c>
      <c r="D2767" s="114" t="s">
        <v>6019</v>
      </c>
      <c r="E2767" s="114" t="s">
        <v>3993</v>
      </c>
    </row>
    <row r="2768" spans="1:5" x14ac:dyDescent="0.25">
      <c r="B2768" s="114" t="s">
        <v>1161</v>
      </c>
      <c r="D2768" s="114" t="s">
        <v>6020</v>
      </c>
      <c r="E2768" s="114" t="s">
        <v>6021</v>
      </c>
    </row>
    <row r="2769" spans="1:5" x14ac:dyDescent="0.25">
      <c r="B2769" s="114" t="s">
        <v>2210</v>
      </c>
      <c r="D2769" s="114" t="s">
        <v>6022</v>
      </c>
      <c r="E2769" s="114" t="s">
        <v>6023</v>
      </c>
    </row>
    <row r="2770" spans="1:5" x14ac:dyDescent="0.25">
      <c r="B2770" s="114" t="s">
        <v>2211</v>
      </c>
      <c r="D2770" s="114" t="s">
        <v>6024</v>
      </c>
      <c r="E2770" s="114" t="s">
        <v>6025</v>
      </c>
    </row>
    <row r="2771" spans="1:5" x14ac:dyDescent="0.25">
      <c r="B2771" s="114" t="s">
        <v>2212</v>
      </c>
      <c r="D2771" s="114" t="s">
        <v>6026</v>
      </c>
      <c r="E2771" s="114" t="s">
        <v>6027</v>
      </c>
    </row>
    <row r="2772" spans="1:5" x14ac:dyDescent="0.25">
      <c r="B2772" s="114" t="s">
        <v>1073</v>
      </c>
      <c r="D2772" s="114" t="s">
        <v>1073</v>
      </c>
      <c r="E2772" s="114" t="s">
        <v>6028</v>
      </c>
    </row>
    <row r="2773" spans="1:5" x14ac:dyDescent="0.25">
      <c r="B2773" s="114" t="s">
        <v>2213</v>
      </c>
      <c r="D2773" s="114" t="s">
        <v>6029</v>
      </c>
      <c r="E2773" s="114" t="s">
        <v>6030</v>
      </c>
    </row>
    <row r="2774" spans="1:5" x14ac:dyDescent="0.25">
      <c r="B2774" s="114" t="s">
        <v>1073</v>
      </c>
      <c r="D2774" s="114" t="s">
        <v>6031</v>
      </c>
      <c r="E2774" s="114" t="s">
        <v>3993</v>
      </c>
    </row>
    <row r="2775" spans="1:5" x14ac:dyDescent="0.25">
      <c r="B2775" s="114" t="s">
        <v>1073</v>
      </c>
      <c r="D2775" s="114" t="s">
        <v>6032</v>
      </c>
      <c r="E2775" s="114" t="s">
        <v>6033</v>
      </c>
    </row>
    <row r="2776" spans="1:5" x14ac:dyDescent="0.25">
      <c r="B2776" s="114" t="s">
        <v>2214</v>
      </c>
      <c r="D2776" s="114" t="s">
        <v>1073</v>
      </c>
      <c r="E2776" s="114" t="s">
        <v>6034</v>
      </c>
    </row>
    <row r="2777" spans="1:5" x14ac:dyDescent="0.25">
      <c r="B2777" s="114" t="s">
        <v>1073</v>
      </c>
      <c r="D2777" s="114" t="s">
        <v>1073</v>
      </c>
      <c r="E2777" s="114" t="s">
        <v>6035</v>
      </c>
    </row>
    <row r="2778" spans="1:5" x14ac:dyDescent="0.25">
      <c r="B2778" s="114" t="s">
        <v>1073</v>
      </c>
      <c r="D2778" s="114" t="s">
        <v>6036</v>
      </c>
      <c r="E2778" s="114" t="s">
        <v>6037</v>
      </c>
    </row>
    <row r="2779" spans="1:5" x14ac:dyDescent="0.25">
      <c r="B2779" s="114" t="s">
        <v>2215</v>
      </c>
      <c r="D2779" s="114">
        <f>-272    -99</f>
        <v>-371</v>
      </c>
      <c r="E2779" s="114" t="s">
        <v>6038</v>
      </c>
    </row>
    <row r="2780" spans="1:5" x14ac:dyDescent="0.25">
      <c r="A2780" s="114">
        <v>-1</v>
      </c>
      <c r="B2780" s="114" t="s">
        <v>2216</v>
      </c>
      <c r="C2780" s="114">
        <v>-2</v>
      </c>
      <c r="D2780" s="114" t="s">
        <v>6039</v>
      </c>
      <c r="E2780" s="114" t="s">
        <v>6040</v>
      </c>
    </row>
    <row r="2781" spans="1:5" x14ac:dyDescent="0.25">
      <c r="A2781" s="114" t="s">
        <v>1072</v>
      </c>
      <c r="B2781" s="114" t="s">
        <v>2217</v>
      </c>
      <c r="D2781" s="114" t="s">
        <v>6041</v>
      </c>
      <c r="E2781" s="114" t="s">
        <v>6042</v>
      </c>
    </row>
    <row r="2782" spans="1:5" x14ac:dyDescent="0.25">
      <c r="A2782" s="114" t="s">
        <v>1072</v>
      </c>
      <c r="B2782" s="114" t="s">
        <v>2218</v>
      </c>
      <c r="D2782" s="114" t="s">
        <v>6043</v>
      </c>
      <c r="E2782" s="114" t="s">
        <v>6044</v>
      </c>
    </row>
    <row r="2783" spans="1:5" x14ac:dyDescent="0.25">
      <c r="A2783" s="114">
        <v>-2</v>
      </c>
      <c r="B2783" s="114" t="s">
        <v>1149</v>
      </c>
      <c r="C2783" s="114">
        <v>-1</v>
      </c>
      <c r="D2783" s="114" t="s">
        <v>6045</v>
      </c>
      <c r="E2783" s="114" t="s">
        <v>6046</v>
      </c>
    </row>
    <row r="2784" spans="1:5" x14ac:dyDescent="0.25">
      <c r="A2784" s="114" t="s">
        <v>1072</v>
      </c>
      <c r="B2784" s="114" t="s">
        <v>2219</v>
      </c>
      <c r="D2784" s="114" t="s">
        <v>6047</v>
      </c>
      <c r="E2784" s="114" t="s">
        <v>6048</v>
      </c>
    </row>
    <row r="2785" spans="1:5" x14ac:dyDescent="0.25">
      <c r="B2785" s="114" t="s">
        <v>2122</v>
      </c>
      <c r="D2785" s="114" t="s">
        <v>6049</v>
      </c>
      <c r="E2785" s="114" t="s">
        <v>6050</v>
      </c>
    </row>
    <row r="2786" spans="1:5" x14ac:dyDescent="0.25">
      <c r="B2786" s="114" t="s">
        <v>2220</v>
      </c>
      <c r="D2786" s="114" t="s">
        <v>6051</v>
      </c>
      <c r="E2786" s="114" t="s">
        <v>6052</v>
      </c>
    </row>
    <row r="2787" spans="1:5" x14ac:dyDescent="0.25">
      <c r="B2787" s="114" t="s">
        <v>2221</v>
      </c>
      <c r="D2787" s="114" t="s">
        <v>6053</v>
      </c>
      <c r="E2787" s="114" t="s">
        <v>6054</v>
      </c>
    </row>
    <row r="2788" spans="1:5" x14ac:dyDescent="0.25">
      <c r="A2788" s="114" t="s">
        <v>1072</v>
      </c>
      <c r="B2788" s="114" t="s">
        <v>2222</v>
      </c>
      <c r="D2788" s="114">
        <f>-25    -35</f>
        <v>-60</v>
      </c>
      <c r="E2788" s="114" t="s">
        <v>6055</v>
      </c>
    </row>
    <row r="2789" spans="1:5" x14ac:dyDescent="0.25">
      <c r="A2789" s="114">
        <v>-2</v>
      </c>
      <c r="B2789" s="114" t="s">
        <v>2000</v>
      </c>
      <c r="C2789" s="114">
        <v>-1</v>
      </c>
      <c r="D2789" s="114" t="s">
        <v>6056</v>
      </c>
      <c r="E2789" s="114" t="s">
        <v>3993</v>
      </c>
    </row>
    <row r="2790" spans="1:5" x14ac:dyDescent="0.25">
      <c r="A2790" s="114" t="s">
        <v>1072</v>
      </c>
      <c r="B2790" s="114" t="s">
        <v>2223</v>
      </c>
      <c r="D2790" s="114" t="s">
        <v>6057</v>
      </c>
      <c r="E2790" s="114" t="s">
        <v>4088</v>
      </c>
    </row>
    <row r="2791" spans="1:5" x14ac:dyDescent="0.25">
      <c r="A2791" s="114">
        <v>-1</v>
      </c>
      <c r="B2791" s="114" t="s">
        <v>2224</v>
      </c>
      <c r="D2791" s="114" t="s">
        <v>6058</v>
      </c>
      <c r="E2791" s="114" t="s">
        <v>6059</v>
      </c>
    </row>
    <row r="2792" spans="1:5" x14ac:dyDescent="0.25">
      <c r="A2792" s="114">
        <v>-5</v>
      </c>
      <c r="B2792" s="114" t="s">
        <v>2225</v>
      </c>
      <c r="C2792" s="114">
        <v>-4</v>
      </c>
      <c r="D2792" s="114" t="s">
        <v>6060</v>
      </c>
      <c r="E2792" s="114" t="s">
        <v>6061</v>
      </c>
    </row>
    <row r="2793" spans="1:5" x14ac:dyDescent="0.25">
      <c r="A2793" s="114" t="s">
        <v>1072</v>
      </c>
      <c r="B2793" s="114" t="s">
        <v>2226</v>
      </c>
      <c r="D2793" s="114" t="s">
        <v>6062</v>
      </c>
      <c r="E2793" s="114" t="s">
        <v>6063</v>
      </c>
    </row>
    <row r="2794" spans="1:5" x14ac:dyDescent="0.25">
      <c r="B2794" s="114" t="s">
        <v>1073</v>
      </c>
      <c r="D2794" s="114" t="s">
        <v>1073</v>
      </c>
      <c r="E2794" s="114" t="s">
        <v>6064</v>
      </c>
    </row>
    <row r="2795" spans="1:5" x14ac:dyDescent="0.25">
      <c r="A2795" s="114">
        <v>-1</v>
      </c>
      <c r="B2795" s="114" t="s">
        <v>2227</v>
      </c>
      <c r="D2795" s="114" t="s">
        <v>6065</v>
      </c>
      <c r="E2795" s="114" t="s">
        <v>6066</v>
      </c>
    </row>
    <row r="2796" spans="1:5" x14ac:dyDescent="0.25">
      <c r="B2796" s="114" t="s">
        <v>1073</v>
      </c>
      <c r="D2796" s="114" t="s">
        <v>6067</v>
      </c>
      <c r="E2796" s="114" t="s">
        <v>3993</v>
      </c>
    </row>
    <row r="2797" spans="1:5" x14ac:dyDescent="0.25">
      <c r="B2797" s="114" t="s">
        <v>1073</v>
      </c>
      <c r="D2797" s="114" t="s">
        <v>6068</v>
      </c>
      <c r="E2797" s="114" t="s">
        <v>6069</v>
      </c>
    </row>
    <row r="2798" spans="1:5" x14ac:dyDescent="0.25">
      <c r="A2798" s="114">
        <v>2</v>
      </c>
      <c r="B2798" s="114" t="s">
        <v>2228</v>
      </c>
      <c r="D2798" s="114" t="s">
        <v>1073</v>
      </c>
      <c r="E2798" s="114" t="s">
        <v>6070</v>
      </c>
    </row>
    <row r="2799" spans="1:5" x14ac:dyDescent="0.25">
      <c r="B2799" s="114" t="s">
        <v>1073</v>
      </c>
      <c r="D2799" s="114" t="s">
        <v>1073</v>
      </c>
      <c r="E2799" s="114" t="s">
        <v>6071</v>
      </c>
    </row>
    <row r="2800" spans="1:5" x14ac:dyDescent="0.25">
      <c r="B2800" s="114" t="s">
        <v>1073</v>
      </c>
      <c r="D2800" s="114" t="s">
        <v>6072</v>
      </c>
      <c r="E2800" s="114" t="s">
        <v>6073</v>
      </c>
    </row>
    <row r="2801" spans="1:5" x14ac:dyDescent="0.25">
      <c r="B2801" s="114" t="s">
        <v>2229</v>
      </c>
      <c r="D2801" s="114">
        <f>-451   -452</f>
        <v>-903</v>
      </c>
      <c r="E2801" s="114" t="s">
        <v>6074</v>
      </c>
    </row>
    <row r="2802" spans="1:5" x14ac:dyDescent="0.25">
      <c r="B2802" s="114" t="s">
        <v>2230</v>
      </c>
      <c r="D2802" s="114" t="s">
        <v>6075</v>
      </c>
      <c r="E2802" s="114" t="s">
        <v>6076</v>
      </c>
    </row>
    <row r="2803" spans="1:5" x14ac:dyDescent="0.25">
      <c r="B2803" s="114" t="s">
        <v>2231</v>
      </c>
      <c r="C2803" s="114" t="s">
        <v>1072</v>
      </c>
      <c r="D2803" s="114" t="s">
        <v>6077</v>
      </c>
      <c r="E2803" s="114" t="s">
        <v>6078</v>
      </c>
    </row>
    <row r="2804" spans="1:5" x14ac:dyDescent="0.25">
      <c r="A2804" s="114">
        <v>-3</v>
      </c>
      <c r="B2804" s="114" t="s">
        <v>2232</v>
      </c>
      <c r="D2804" s="114">
        <f>-930  -1278  -110</f>
        <v>-2318</v>
      </c>
      <c r="E2804" s="114" t="s">
        <v>6079</v>
      </c>
    </row>
    <row r="2805" spans="1:5" x14ac:dyDescent="0.25">
      <c r="A2805" s="114" t="s">
        <v>1072</v>
      </c>
      <c r="B2805" s="114" t="s">
        <v>2233</v>
      </c>
      <c r="D2805" s="114" t="s">
        <v>6080</v>
      </c>
      <c r="E2805" s="114" t="s">
        <v>6081</v>
      </c>
    </row>
    <row r="2806" spans="1:5" x14ac:dyDescent="0.25">
      <c r="A2806" s="114">
        <v>-1</v>
      </c>
      <c r="B2806" s="114" t="s">
        <v>2234</v>
      </c>
      <c r="D2806" s="114" t="s">
        <v>6082</v>
      </c>
      <c r="E2806" s="114" t="s">
        <v>6083</v>
      </c>
    </row>
    <row r="2807" spans="1:5" x14ac:dyDescent="0.25">
      <c r="A2807" s="114">
        <v>-1</v>
      </c>
      <c r="B2807" s="114" t="s">
        <v>1303</v>
      </c>
      <c r="D2807" s="114" t="s">
        <v>6084</v>
      </c>
      <c r="E2807" s="114" t="s">
        <v>6085</v>
      </c>
    </row>
    <row r="2808" spans="1:5" x14ac:dyDescent="0.25">
      <c r="B2808" s="114" t="s">
        <v>1243</v>
      </c>
      <c r="D2808" s="114" t="s">
        <v>6086</v>
      </c>
      <c r="E2808" s="114" t="s">
        <v>4987</v>
      </c>
    </row>
    <row r="2809" spans="1:5" x14ac:dyDescent="0.25">
      <c r="A2809" s="114" t="s">
        <v>1072</v>
      </c>
      <c r="B2809" s="114" t="s">
        <v>2235</v>
      </c>
      <c r="D2809" s="114" t="s">
        <v>6087</v>
      </c>
      <c r="E2809" s="114" t="s">
        <v>6088</v>
      </c>
    </row>
    <row r="2810" spans="1:5" x14ac:dyDescent="0.25">
      <c r="A2810" s="114">
        <v>1</v>
      </c>
      <c r="B2810" s="114" t="s">
        <v>2236</v>
      </c>
      <c r="D2810" s="114" t="s">
        <v>6089</v>
      </c>
      <c r="E2810" s="114" t="s">
        <v>6090</v>
      </c>
    </row>
    <row r="2811" spans="1:5" x14ac:dyDescent="0.25">
      <c r="B2811" s="114" t="s">
        <v>2237</v>
      </c>
      <c r="D2811" s="114" t="s">
        <v>6091</v>
      </c>
      <c r="E2811" s="114" t="s">
        <v>3993</v>
      </c>
    </row>
    <row r="2812" spans="1:5" x14ac:dyDescent="0.25">
      <c r="B2812" s="114" t="s">
        <v>2238</v>
      </c>
      <c r="D2812" s="114" t="s">
        <v>6092</v>
      </c>
      <c r="E2812" s="114" t="s">
        <v>3992</v>
      </c>
    </row>
    <row r="2813" spans="1:5" x14ac:dyDescent="0.25">
      <c r="A2813" s="114">
        <v>2</v>
      </c>
      <c r="B2813" s="114" t="s">
        <v>2239</v>
      </c>
      <c r="D2813" s="114" t="s">
        <v>6093</v>
      </c>
      <c r="E2813" s="114" t="s">
        <v>6094</v>
      </c>
    </row>
    <row r="2814" spans="1:5" x14ac:dyDescent="0.25">
      <c r="B2814" s="114" t="s">
        <v>2240</v>
      </c>
      <c r="D2814" s="114" t="s">
        <v>3016</v>
      </c>
      <c r="E2814" s="114" t="s">
        <v>6095</v>
      </c>
    </row>
    <row r="2815" spans="1:5" x14ac:dyDescent="0.25">
      <c r="A2815" s="114">
        <v>2</v>
      </c>
      <c r="B2815" s="114" t="s">
        <v>2241</v>
      </c>
      <c r="C2815" s="114" t="s">
        <v>1072</v>
      </c>
      <c r="D2815" s="114" t="s">
        <v>6096</v>
      </c>
      <c r="E2815" s="114" t="s">
        <v>6097</v>
      </c>
    </row>
    <row r="2816" spans="1:5" x14ac:dyDescent="0.25">
      <c r="B2816" s="114" t="s">
        <v>1073</v>
      </c>
      <c r="D2816" s="114" t="s">
        <v>1073</v>
      </c>
      <c r="E2816" s="114" t="s">
        <v>6098</v>
      </c>
    </row>
    <row r="2817" spans="1:5" x14ac:dyDescent="0.25">
      <c r="A2817" s="114" t="s">
        <v>1072</v>
      </c>
      <c r="B2817" s="114" t="s">
        <v>1318</v>
      </c>
      <c r="D2817" s="114" t="s">
        <v>1073</v>
      </c>
      <c r="E2817" s="114" t="s">
        <v>3993</v>
      </c>
    </row>
    <row r="2818" spans="1:5" x14ac:dyDescent="0.25">
      <c r="B2818" s="114" t="s">
        <v>1073</v>
      </c>
      <c r="D2818" s="114" t="s">
        <v>1073</v>
      </c>
      <c r="E2818" s="114" t="s">
        <v>3993</v>
      </c>
    </row>
    <row r="2819" spans="1:5" x14ac:dyDescent="0.25">
      <c r="B2819" s="114" t="s">
        <v>1073</v>
      </c>
      <c r="D2819" s="114" t="s">
        <v>1073</v>
      </c>
      <c r="E2819" s="114" t="s">
        <v>3993</v>
      </c>
    </row>
    <row r="2820" spans="1:5" x14ac:dyDescent="0.25">
      <c r="B2820" s="114" t="s">
        <v>1073</v>
      </c>
      <c r="D2820" s="114" t="s">
        <v>1073</v>
      </c>
      <c r="E2820" s="114" t="s">
        <v>3993</v>
      </c>
    </row>
    <row r="2821" spans="1:5" x14ac:dyDescent="0.25">
      <c r="B2821" s="114" t="s">
        <v>1073</v>
      </c>
      <c r="D2821" s="114" t="s">
        <v>1073</v>
      </c>
      <c r="E2821" s="114" t="s">
        <v>3993</v>
      </c>
    </row>
    <row r="2822" spans="1:5" x14ac:dyDescent="0.25">
      <c r="B2822" s="114" t="s">
        <v>1073</v>
      </c>
      <c r="D2822" s="114" t="s">
        <v>1073</v>
      </c>
      <c r="E2822" s="114" t="s">
        <v>3993</v>
      </c>
    </row>
    <row r="2823" spans="1:5" x14ac:dyDescent="0.25">
      <c r="B2823" s="114" t="s">
        <v>1073</v>
      </c>
      <c r="D2823" s="114" t="s">
        <v>1073</v>
      </c>
      <c r="E2823" s="114" t="s">
        <v>3993</v>
      </c>
    </row>
    <row r="2824" spans="1:5" x14ac:dyDescent="0.25">
      <c r="B2824" s="114" t="s">
        <v>1073</v>
      </c>
      <c r="D2824" s="114" t="s">
        <v>1073</v>
      </c>
      <c r="E2824" s="114" t="s">
        <v>3993</v>
      </c>
    </row>
    <row r="2825" spans="1:5" x14ac:dyDescent="0.25">
      <c r="B2825" s="114" t="s">
        <v>1073</v>
      </c>
      <c r="D2825" s="114" t="s">
        <v>1073</v>
      </c>
      <c r="E2825" s="114" t="s">
        <v>3993</v>
      </c>
    </row>
    <row r="2826" spans="1:5" x14ac:dyDescent="0.25">
      <c r="B2826" s="114" t="s">
        <v>1073</v>
      </c>
      <c r="D2826" s="114" t="s">
        <v>1073</v>
      </c>
      <c r="E2826" s="114" t="s">
        <v>3993</v>
      </c>
    </row>
    <row r="2827" spans="1:5" x14ac:dyDescent="0.25">
      <c r="B2827" s="114" t="s">
        <v>1073</v>
      </c>
      <c r="D2827" s="114" t="s">
        <v>1073</v>
      </c>
      <c r="E2827" s="114" t="s">
        <v>3993</v>
      </c>
    </row>
    <row r="2828" spans="1:5" x14ac:dyDescent="0.25">
      <c r="B2828" s="114" t="s">
        <v>1073</v>
      </c>
      <c r="D2828" s="114" t="s">
        <v>1073</v>
      </c>
      <c r="E2828" s="114" t="s">
        <v>3993</v>
      </c>
    </row>
    <row r="2829" spans="1:5" x14ac:dyDescent="0.25">
      <c r="B2829" s="114" t="s">
        <v>1073</v>
      </c>
      <c r="D2829" s="114" t="s">
        <v>1073</v>
      </c>
      <c r="E2829" s="114" t="s">
        <v>3993</v>
      </c>
    </row>
    <row r="2830" spans="1:5" x14ac:dyDescent="0.25">
      <c r="B2830" s="114" t="s">
        <v>1073</v>
      </c>
      <c r="D2830" s="114" t="s">
        <v>1073</v>
      </c>
      <c r="E2830" s="114" t="s">
        <v>3993</v>
      </c>
    </row>
    <row r="2831" spans="1:5" x14ac:dyDescent="0.25">
      <c r="B2831" s="114" t="s">
        <v>1073</v>
      </c>
      <c r="D2831" s="114" t="s">
        <v>1073</v>
      </c>
      <c r="E2831" s="114" t="s">
        <v>3993</v>
      </c>
    </row>
    <row r="2832" spans="1:5" x14ac:dyDescent="0.25">
      <c r="B2832" s="114" t="s">
        <v>1073</v>
      </c>
      <c r="D2832" s="114" t="s">
        <v>1073</v>
      </c>
      <c r="E2832" s="114" t="s">
        <v>3993</v>
      </c>
    </row>
    <row r="2833" spans="2:5" x14ac:dyDescent="0.25">
      <c r="B2833" s="114" t="s">
        <v>1073</v>
      </c>
      <c r="D2833" s="114" t="s">
        <v>1073</v>
      </c>
      <c r="E2833" s="114" t="s">
        <v>3993</v>
      </c>
    </row>
    <row r="2834" spans="2:5" x14ac:dyDescent="0.25">
      <c r="B2834" s="114" t="s">
        <v>1073</v>
      </c>
      <c r="D2834" s="114" t="s">
        <v>1073</v>
      </c>
      <c r="E2834" s="114" t="s">
        <v>3993</v>
      </c>
    </row>
    <row r="2835" spans="2:5" x14ac:dyDescent="0.25">
      <c r="B2835" s="114" t="s">
        <v>1073</v>
      </c>
      <c r="D2835" s="114" t="s">
        <v>1073</v>
      </c>
      <c r="E2835" s="114" t="s">
        <v>3993</v>
      </c>
    </row>
    <row r="2836" spans="2:5" x14ac:dyDescent="0.25">
      <c r="B2836" s="114" t="s">
        <v>1073</v>
      </c>
      <c r="D2836" s="114" t="s">
        <v>1073</v>
      </c>
      <c r="E2836" s="114" t="s">
        <v>3993</v>
      </c>
    </row>
    <row r="2837" spans="2:5" x14ac:dyDescent="0.25">
      <c r="B2837" s="114" t="s">
        <v>1073</v>
      </c>
      <c r="D2837" s="114" t="s">
        <v>1073</v>
      </c>
      <c r="E2837" s="114" t="s">
        <v>3993</v>
      </c>
    </row>
    <row r="2838" spans="2:5" x14ac:dyDescent="0.25">
      <c r="B2838" s="114" t="s">
        <v>1073</v>
      </c>
      <c r="D2838" s="114" t="s">
        <v>1073</v>
      </c>
      <c r="E2838" s="114" t="s">
        <v>3993</v>
      </c>
    </row>
    <row r="2839" spans="2:5" x14ac:dyDescent="0.25">
      <c r="B2839" s="114" t="s">
        <v>1073</v>
      </c>
      <c r="D2839" s="114" t="s">
        <v>1073</v>
      </c>
      <c r="E2839" s="114" t="s">
        <v>3993</v>
      </c>
    </row>
    <row r="2840" spans="2:5" x14ac:dyDescent="0.25">
      <c r="B2840" s="114" t="s">
        <v>1073</v>
      </c>
      <c r="D2840" s="114" t="s">
        <v>1073</v>
      </c>
      <c r="E2840" s="114" t="s">
        <v>3993</v>
      </c>
    </row>
    <row r="2841" spans="2:5" x14ac:dyDescent="0.25">
      <c r="B2841" s="114" t="s">
        <v>1073</v>
      </c>
      <c r="D2841" s="114" t="s">
        <v>1073</v>
      </c>
      <c r="E2841" s="114" t="s">
        <v>3993</v>
      </c>
    </row>
    <row r="2842" spans="2:5" x14ac:dyDescent="0.25">
      <c r="B2842" s="114" t="s">
        <v>1073</v>
      </c>
      <c r="D2842" s="114" t="s">
        <v>1073</v>
      </c>
      <c r="E2842" s="114" t="s">
        <v>3993</v>
      </c>
    </row>
    <row r="2843" spans="2:5" x14ac:dyDescent="0.25">
      <c r="B2843" s="114" t="s">
        <v>1073</v>
      </c>
      <c r="D2843" s="114" t="s">
        <v>1073</v>
      </c>
      <c r="E2843" s="114" t="s">
        <v>3993</v>
      </c>
    </row>
    <row r="2844" spans="2:5" x14ac:dyDescent="0.25">
      <c r="B2844" s="114" t="s">
        <v>1073</v>
      </c>
      <c r="D2844" s="114" t="s">
        <v>1073</v>
      </c>
      <c r="E2844" s="114" t="s">
        <v>3993</v>
      </c>
    </row>
    <row r="2845" spans="2:5" x14ac:dyDescent="0.25">
      <c r="B2845" s="114" t="s">
        <v>1073</v>
      </c>
      <c r="D2845" s="114" t="s">
        <v>1073</v>
      </c>
      <c r="E2845" s="114" t="s">
        <v>3993</v>
      </c>
    </row>
    <row r="2846" spans="2:5" x14ac:dyDescent="0.25">
      <c r="B2846" s="114" t="s">
        <v>1073</v>
      </c>
      <c r="D2846" s="114" t="s">
        <v>1073</v>
      </c>
      <c r="E2846" s="114" t="s">
        <v>3993</v>
      </c>
    </row>
    <row r="2847" spans="2:5" x14ac:dyDescent="0.25">
      <c r="B2847" s="114" t="s">
        <v>1073</v>
      </c>
      <c r="D2847" s="114" t="s">
        <v>1073</v>
      </c>
      <c r="E2847" s="114" t="s">
        <v>3993</v>
      </c>
    </row>
    <row r="2848" spans="2:5" x14ac:dyDescent="0.25">
      <c r="B2848" s="114" t="s">
        <v>1073</v>
      </c>
      <c r="D2848" s="114" t="s">
        <v>1073</v>
      </c>
      <c r="E2848" s="114" t="s">
        <v>3993</v>
      </c>
    </row>
    <row r="2849" spans="2:5" x14ac:dyDescent="0.25">
      <c r="B2849" s="114" t="s">
        <v>1073</v>
      </c>
      <c r="D2849" s="114" t="s">
        <v>1073</v>
      </c>
      <c r="E2849" s="114" t="s">
        <v>3993</v>
      </c>
    </row>
    <row r="2850" spans="2:5" x14ac:dyDescent="0.25">
      <c r="B2850" s="114" t="s">
        <v>1073</v>
      </c>
      <c r="D2850" s="114" t="s">
        <v>1073</v>
      </c>
      <c r="E2850" s="114" t="s">
        <v>3993</v>
      </c>
    </row>
    <row r="2851" spans="2:5" x14ac:dyDescent="0.25">
      <c r="B2851" s="114" t="s">
        <v>1073</v>
      </c>
      <c r="D2851" s="114" t="s">
        <v>1073</v>
      </c>
      <c r="E2851" s="114" t="s">
        <v>3993</v>
      </c>
    </row>
    <row r="2852" spans="2:5" x14ac:dyDescent="0.25">
      <c r="B2852" s="114" t="s">
        <v>1073</v>
      </c>
      <c r="D2852" s="114" t="s">
        <v>1073</v>
      </c>
      <c r="E2852" s="114" t="s">
        <v>3993</v>
      </c>
    </row>
    <row r="2853" spans="2:5" x14ac:dyDescent="0.25">
      <c r="B2853" s="114" t="s">
        <v>1073</v>
      </c>
      <c r="D2853" s="114" t="s">
        <v>1073</v>
      </c>
      <c r="E2853" s="114" t="s">
        <v>3993</v>
      </c>
    </row>
    <row r="2854" spans="2:5" x14ac:dyDescent="0.25">
      <c r="B2854" s="114" t="s">
        <v>1073</v>
      </c>
      <c r="D2854" s="114" t="s">
        <v>1073</v>
      </c>
      <c r="E2854" s="114" t="s">
        <v>3993</v>
      </c>
    </row>
    <row r="2855" spans="2:5" x14ac:dyDescent="0.25">
      <c r="B2855" s="114" t="s">
        <v>1073</v>
      </c>
      <c r="D2855" s="114" t="s">
        <v>1073</v>
      </c>
      <c r="E2855" s="114" t="s">
        <v>3993</v>
      </c>
    </row>
    <row r="2856" spans="2:5" x14ac:dyDescent="0.25">
      <c r="B2856" s="114" t="s">
        <v>1073</v>
      </c>
      <c r="D2856" s="114" t="s">
        <v>1073</v>
      </c>
      <c r="E2856" s="114" t="s">
        <v>3993</v>
      </c>
    </row>
    <row r="2857" spans="2:5" x14ac:dyDescent="0.25">
      <c r="B2857" s="114" t="s">
        <v>1073</v>
      </c>
      <c r="D2857" s="114" t="s">
        <v>1073</v>
      </c>
      <c r="E2857" s="114" t="s">
        <v>3993</v>
      </c>
    </row>
    <row r="2858" spans="2:5" x14ac:dyDescent="0.25">
      <c r="B2858" s="114" t="s">
        <v>1073</v>
      </c>
      <c r="D2858" s="114" t="s">
        <v>1073</v>
      </c>
      <c r="E2858" s="114" t="s">
        <v>3993</v>
      </c>
    </row>
    <row r="2859" spans="2:5" x14ac:dyDescent="0.25">
      <c r="B2859" s="114" t="s">
        <v>1073</v>
      </c>
      <c r="D2859" s="114" t="s">
        <v>1073</v>
      </c>
      <c r="E2859" s="114" t="s">
        <v>3993</v>
      </c>
    </row>
    <row r="2860" spans="2:5" x14ac:dyDescent="0.25">
      <c r="B2860" s="114" t="s">
        <v>1073</v>
      </c>
      <c r="D2860" s="114" t="s">
        <v>1073</v>
      </c>
      <c r="E2860" s="114" t="s">
        <v>3993</v>
      </c>
    </row>
    <row r="2861" spans="2:5" x14ac:dyDescent="0.25">
      <c r="B2861" s="114" t="s">
        <v>1073</v>
      </c>
      <c r="D2861" s="114" t="s">
        <v>1073</v>
      </c>
      <c r="E2861" s="114" t="s">
        <v>6099</v>
      </c>
    </row>
    <row r="2862" spans="2:5" x14ac:dyDescent="0.25">
      <c r="B2862" s="114" t="s">
        <v>1073</v>
      </c>
      <c r="D2862" s="114" t="s">
        <v>6100</v>
      </c>
      <c r="E2862" s="114" t="s">
        <v>6101</v>
      </c>
    </row>
    <row r="2863" spans="2:5" x14ac:dyDescent="0.25">
      <c r="B2863" s="114" t="s">
        <v>1073</v>
      </c>
      <c r="D2863" s="114" t="s">
        <v>1073</v>
      </c>
      <c r="E2863" s="114" t="s">
        <v>6102</v>
      </c>
    </row>
    <row r="2864" spans="2:5" x14ac:dyDescent="0.25">
      <c r="B2864" s="114" t="s">
        <v>1073</v>
      </c>
      <c r="D2864" s="114" t="s">
        <v>6103</v>
      </c>
      <c r="E2864" s="114" t="s">
        <v>6104</v>
      </c>
    </row>
    <row r="2865" spans="1:5" x14ac:dyDescent="0.25">
      <c r="B2865" s="114" t="s">
        <v>1210</v>
      </c>
      <c r="D2865" s="114" t="s">
        <v>1073</v>
      </c>
      <c r="E2865" s="114" t="s">
        <v>6105</v>
      </c>
    </row>
    <row r="2866" spans="1:5" x14ac:dyDescent="0.25">
      <c r="B2866" s="114" t="s">
        <v>1317</v>
      </c>
      <c r="D2866" s="114" t="s">
        <v>1073</v>
      </c>
      <c r="E2866" s="114" t="s">
        <v>6106</v>
      </c>
    </row>
    <row r="2867" spans="1:5" x14ac:dyDescent="0.25">
      <c r="B2867" s="114" t="s">
        <v>1138</v>
      </c>
      <c r="D2867" s="114" t="s">
        <v>1078</v>
      </c>
      <c r="E2867" s="114" t="s">
        <v>6107</v>
      </c>
    </row>
    <row r="2868" spans="1:5" x14ac:dyDescent="0.25">
      <c r="B2868" s="114" t="s">
        <v>1073</v>
      </c>
      <c r="D2868" s="114" t="s">
        <v>6108</v>
      </c>
      <c r="E2868" s="114" t="s">
        <v>6109</v>
      </c>
    </row>
    <row r="2869" spans="1:5" x14ac:dyDescent="0.25">
      <c r="B2869" s="114" t="s">
        <v>2242</v>
      </c>
      <c r="D2869" s="114" t="s">
        <v>1073</v>
      </c>
      <c r="E2869" s="114" t="s">
        <v>6110</v>
      </c>
    </row>
    <row r="2870" spans="1:5" x14ac:dyDescent="0.25">
      <c r="B2870" s="114" t="s">
        <v>2243</v>
      </c>
      <c r="D2870" s="114">
        <f>-620   -410</f>
        <v>-1030</v>
      </c>
      <c r="E2870" s="114" t="s">
        <v>6111</v>
      </c>
    </row>
    <row r="2871" spans="1:5" x14ac:dyDescent="0.25">
      <c r="B2871" s="114">
        <f>-63   -545</f>
        <v>-608</v>
      </c>
      <c r="D2871" s="114" t="s">
        <v>6112</v>
      </c>
      <c r="E2871" s="114" t="s">
        <v>6113</v>
      </c>
    </row>
    <row r="2872" spans="1:5" x14ac:dyDescent="0.25">
      <c r="B2872" s="114" t="s">
        <v>2244</v>
      </c>
      <c r="D2872" s="114" t="s">
        <v>1073</v>
      </c>
      <c r="E2872" s="114" t="s">
        <v>6114</v>
      </c>
    </row>
    <row r="2873" spans="1:5" x14ac:dyDescent="0.25">
      <c r="B2873" s="114" t="s">
        <v>2245</v>
      </c>
      <c r="C2873" s="114" t="s">
        <v>1072</v>
      </c>
      <c r="D2873" s="114" t="s">
        <v>6115</v>
      </c>
      <c r="E2873" s="114" t="s">
        <v>6116</v>
      </c>
    </row>
    <row r="2874" spans="1:5" x14ac:dyDescent="0.25">
      <c r="B2874" s="114" t="s">
        <v>2246</v>
      </c>
      <c r="D2874" s="114" t="s">
        <v>6117</v>
      </c>
      <c r="E2874" s="114" t="s">
        <v>6118</v>
      </c>
    </row>
    <row r="2875" spans="1:5" x14ac:dyDescent="0.25">
      <c r="B2875" s="114" t="s">
        <v>2247</v>
      </c>
      <c r="D2875" s="114" t="s">
        <v>1073</v>
      </c>
      <c r="E2875" s="114" t="s">
        <v>6119</v>
      </c>
    </row>
    <row r="2876" spans="1:5" x14ac:dyDescent="0.25">
      <c r="B2876" s="114" t="s">
        <v>2248</v>
      </c>
      <c r="D2876" s="114" t="s">
        <v>1073</v>
      </c>
      <c r="E2876" s="114" t="s">
        <v>6120</v>
      </c>
    </row>
    <row r="2877" spans="1:5" x14ac:dyDescent="0.25">
      <c r="B2877" s="114" t="s">
        <v>2249</v>
      </c>
      <c r="D2877" s="114" t="s">
        <v>4799</v>
      </c>
      <c r="E2877" s="114" t="s">
        <v>6121</v>
      </c>
    </row>
    <row r="2878" spans="1:5" x14ac:dyDescent="0.25">
      <c r="B2878" s="114" t="s">
        <v>1073</v>
      </c>
      <c r="D2878" s="114" t="s">
        <v>1073</v>
      </c>
      <c r="E2878" s="114" t="s">
        <v>6122</v>
      </c>
    </row>
    <row r="2879" spans="1:5" x14ac:dyDescent="0.25">
      <c r="A2879" s="114" t="s">
        <v>1072</v>
      </c>
      <c r="B2879" s="114" t="s">
        <v>1378</v>
      </c>
      <c r="D2879" s="114" t="s">
        <v>1073</v>
      </c>
      <c r="E2879" s="114" t="s">
        <v>6123</v>
      </c>
    </row>
    <row r="2880" spans="1:5" x14ac:dyDescent="0.25">
      <c r="B2880" s="114">
        <f>-14   -218</f>
        <v>-232</v>
      </c>
      <c r="D2880" s="114" t="s">
        <v>6124</v>
      </c>
      <c r="E2880" s="114" t="s">
        <v>6125</v>
      </c>
    </row>
    <row r="2881" spans="1:5" x14ac:dyDescent="0.25">
      <c r="B2881" s="114" t="s">
        <v>2250</v>
      </c>
      <c r="D2881" s="114" t="s">
        <v>1073</v>
      </c>
      <c r="E2881" s="114" t="s">
        <v>6126</v>
      </c>
    </row>
    <row r="2882" spans="1:5" x14ac:dyDescent="0.25">
      <c r="A2882" s="114">
        <v>6</v>
      </c>
      <c r="B2882" s="114" t="s">
        <v>2251</v>
      </c>
      <c r="D2882" s="114" t="s">
        <v>6127</v>
      </c>
      <c r="E2882" s="114" t="s">
        <v>4044</v>
      </c>
    </row>
    <row r="2883" spans="1:5" x14ac:dyDescent="0.25">
      <c r="B2883" s="114" t="s">
        <v>1073</v>
      </c>
      <c r="D2883" s="114" t="s">
        <v>6128</v>
      </c>
      <c r="E2883" s="114" t="s">
        <v>6129</v>
      </c>
    </row>
    <row r="2884" spans="1:5" x14ac:dyDescent="0.25">
      <c r="B2884" s="114" t="s">
        <v>1073</v>
      </c>
      <c r="D2884" s="114" t="s">
        <v>1073</v>
      </c>
      <c r="E2884" s="114" t="s">
        <v>3993</v>
      </c>
    </row>
    <row r="2885" spans="1:5" x14ac:dyDescent="0.25">
      <c r="B2885" s="114" t="s">
        <v>1073</v>
      </c>
      <c r="D2885" s="114" t="s">
        <v>1073</v>
      </c>
      <c r="E2885" s="114" t="s">
        <v>3993</v>
      </c>
    </row>
    <row r="2886" spans="1:5" x14ac:dyDescent="0.25">
      <c r="B2886" s="114" t="s">
        <v>1073</v>
      </c>
      <c r="D2886" s="114" t="s">
        <v>1073</v>
      </c>
      <c r="E2886" s="114" t="s">
        <v>3993</v>
      </c>
    </row>
    <row r="2887" spans="1:5" x14ac:dyDescent="0.25">
      <c r="B2887" s="114" t="s">
        <v>1073</v>
      </c>
      <c r="D2887" s="114" t="s">
        <v>1073</v>
      </c>
      <c r="E2887" s="114" t="s">
        <v>3993</v>
      </c>
    </row>
    <row r="2888" spans="1:5" x14ac:dyDescent="0.25">
      <c r="B2888" s="114" t="s">
        <v>1073</v>
      </c>
      <c r="D2888" s="114" t="s">
        <v>1073</v>
      </c>
      <c r="E2888" s="114" t="s">
        <v>3993</v>
      </c>
    </row>
    <row r="2889" spans="1:5" x14ac:dyDescent="0.25">
      <c r="B2889" s="114" t="s">
        <v>1073</v>
      </c>
      <c r="D2889" s="114" t="s">
        <v>1073</v>
      </c>
      <c r="E2889" s="114" t="s">
        <v>3993</v>
      </c>
    </row>
    <row r="2890" spans="1:5" x14ac:dyDescent="0.25">
      <c r="B2890" s="114" t="s">
        <v>1073</v>
      </c>
      <c r="D2890" s="114" t="s">
        <v>1073</v>
      </c>
      <c r="E2890" s="114" t="s">
        <v>3993</v>
      </c>
    </row>
    <row r="2891" spans="1:5" x14ac:dyDescent="0.25">
      <c r="B2891" s="114" t="s">
        <v>1073</v>
      </c>
      <c r="D2891" s="114" t="s">
        <v>1073</v>
      </c>
      <c r="E2891" s="114" t="s">
        <v>3993</v>
      </c>
    </row>
    <row r="2892" spans="1:5" x14ac:dyDescent="0.25">
      <c r="B2892" s="114" t="s">
        <v>1073</v>
      </c>
      <c r="D2892" s="114" t="s">
        <v>1073</v>
      </c>
      <c r="E2892" s="114" t="s">
        <v>3993</v>
      </c>
    </row>
    <row r="2893" spans="1:5" x14ac:dyDescent="0.25">
      <c r="B2893" s="114" t="s">
        <v>1073</v>
      </c>
      <c r="D2893" s="114" t="s">
        <v>1073</v>
      </c>
      <c r="E2893" s="114" t="s">
        <v>3993</v>
      </c>
    </row>
    <row r="2894" spans="1:5" x14ac:dyDescent="0.25">
      <c r="B2894" s="114" t="s">
        <v>1073</v>
      </c>
      <c r="D2894" s="114" t="s">
        <v>1073</v>
      </c>
      <c r="E2894" s="114" t="s">
        <v>3993</v>
      </c>
    </row>
    <row r="2895" spans="1:5" x14ac:dyDescent="0.25">
      <c r="B2895" s="114" t="s">
        <v>1073</v>
      </c>
      <c r="D2895" s="114" t="s">
        <v>1073</v>
      </c>
      <c r="E2895" s="114" t="s">
        <v>3993</v>
      </c>
    </row>
    <row r="2896" spans="1:5" x14ac:dyDescent="0.25">
      <c r="B2896" s="114" t="s">
        <v>1073</v>
      </c>
      <c r="D2896" s="114" t="s">
        <v>1073</v>
      </c>
      <c r="E2896" s="114" t="s">
        <v>3993</v>
      </c>
    </row>
    <row r="2897" spans="1:5" x14ac:dyDescent="0.25">
      <c r="B2897" s="114" t="s">
        <v>1073</v>
      </c>
      <c r="D2897" s="114" t="s">
        <v>1073</v>
      </c>
      <c r="E2897" s="114" t="s">
        <v>3993</v>
      </c>
    </row>
    <row r="2898" spans="1:5" x14ac:dyDescent="0.25">
      <c r="B2898" s="114" t="s">
        <v>1073</v>
      </c>
      <c r="D2898" s="114" t="s">
        <v>1073</v>
      </c>
      <c r="E2898" s="114" t="s">
        <v>3993</v>
      </c>
    </row>
    <row r="2899" spans="1:5" x14ac:dyDescent="0.25">
      <c r="B2899" s="114" t="s">
        <v>1073</v>
      </c>
      <c r="D2899" s="114" t="s">
        <v>1073</v>
      </c>
      <c r="E2899" s="114" t="s">
        <v>3993</v>
      </c>
    </row>
    <row r="2900" spans="1:5" x14ac:dyDescent="0.25">
      <c r="B2900" s="114" t="s">
        <v>1073</v>
      </c>
      <c r="D2900" s="114" t="s">
        <v>1073</v>
      </c>
      <c r="E2900" s="114" t="s">
        <v>3993</v>
      </c>
    </row>
    <row r="2901" spans="1:5" x14ac:dyDescent="0.25">
      <c r="B2901" s="114" t="s">
        <v>1073</v>
      </c>
      <c r="D2901" s="114" t="s">
        <v>1073</v>
      </c>
      <c r="E2901" s="114" t="s">
        <v>3993</v>
      </c>
    </row>
    <row r="2902" spans="1:5" x14ac:dyDescent="0.25">
      <c r="B2902" s="114" t="s">
        <v>1073</v>
      </c>
      <c r="D2902" s="114" t="s">
        <v>1073</v>
      </c>
      <c r="E2902" s="114" t="s">
        <v>3993</v>
      </c>
    </row>
    <row r="2903" spans="1:5" x14ac:dyDescent="0.25">
      <c r="B2903" s="114" t="s">
        <v>1073</v>
      </c>
      <c r="D2903" s="114" t="s">
        <v>1073</v>
      </c>
      <c r="E2903" s="114" t="s">
        <v>3993</v>
      </c>
    </row>
    <row r="2904" spans="1:5" x14ac:dyDescent="0.25">
      <c r="B2904" s="114" t="s">
        <v>1073</v>
      </c>
      <c r="D2904" s="114" t="s">
        <v>1073</v>
      </c>
      <c r="E2904" s="114" t="s">
        <v>3993</v>
      </c>
    </row>
    <row r="2905" spans="1:5" x14ac:dyDescent="0.25">
      <c r="B2905" s="114" t="s">
        <v>1073</v>
      </c>
      <c r="D2905" s="114" t="s">
        <v>1073</v>
      </c>
      <c r="E2905" s="114" t="s">
        <v>3993</v>
      </c>
    </row>
    <row r="2906" spans="1:5" x14ac:dyDescent="0.25">
      <c r="B2906" s="114" t="s">
        <v>1073</v>
      </c>
      <c r="D2906" s="114" t="s">
        <v>1073</v>
      </c>
      <c r="E2906" s="114" t="s">
        <v>6130</v>
      </c>
    </row>
    <row r="2907" spans="1:5" x14ac:dyDescent="0.25">
      <c r="B2907" s="114" t="s">
        <v>2252</v>
      </c>
      <c r="D2907" s="114" t="s">
        <v>6131</v>
      </c>
      <c r="E2907" s="114" t="s">
        <v>6132</v>
      </c>
    </row>
    <row r="2908" spans="1:5" x14ac:dyDescent="0.25">
      <c r="B2908" s="114" t="s">
        <v>1073</v>
      </c>
      <c r="D2908" s="114" t="s">
        <v>1073</v>
      </c>
      <c r="E2908" s="114" t="s">
        <v>6133</v>
      </c>
    </row>
    <row r="2909" spans="1:5" x14ac:dyDescent="0.25">
      <c r="B2909" s="114" t="s">
        <v>1450</v>
      </c>
      <c r="D2909" s="114" t="s">
        <v>6134</v>
      </c>
      <c r="E2909" s="114" t="s">
        <v>6135</v>
      </c>
    </row>
    <row r="2910" spans="1:5" x14ac:dyDescent="0.25">
      <c r="A2910" s="114">
        <v>4</v>
      </c>
      <c r="B2910" s="114" t="s">
        <v>2253</v>
      </c>
      <c r="D2910" s="114" t="s">
        <v>4548</v>
      </c>
      <c r="E2910" s="114" t="s">
        <v>5199</v>
      </c>
    </row>
    <row r="2911" spans="1:5" x14ac:dyDescent="0.25">
      <c r="B2911" s="114" t="s">
        <v>1126</v>
      </c>
      <c r="D2911" s="114" t="s">
        <v>1073</v>
      </c>
      <c r="E2911" s="114" t="s">
        <v>6136</v>
      </c>
    </row>
    <row r="2912" spans="1:5" x14ac:dyDescent="0.25">
      <c r="B2912" s="114" t="s">
        <v>2254</v>
      </c>
      <c r="D2912" s="114" t="s">
        <v>1073</v>
      </c>
      <c r="E2912" s="114" t="s">
        <v>6137</v>
      </c>
    </row>
    <row r="2913" spans="1:5" x14ac:dyDescent="0.25">
      <c r="B2913" s="114" t="s">
        <v>2255</v>
      </c>
      <c r="D2913" s="114" t="s">
        <v>6138</v>
      </c>
      <c r="E2913" s="114" t="s">
        <v>6139</v>
      </c>
    </row>
    <row r="2914" spans="1:5" x14ac:dyDescent="0.25">
      <c r="B2914" s="114" t="s">
        <v>1225</v>
      </c>
      <c r="D2914" s="114" t="s">
        <v>1073</v>
      </c>
      <c r="E2914" s="114" t="s">
        <v>6140</v>
      </c>
    </row>
    <row r="2915" spans="1:5" x14ac:dyDescent="0.25">
      <c r="A2915" s="114" t="s">
        <v>1072</v>
      </c>
      <c r="B2915" s="114" t="s">
        <v>2256</v>
      </c>
      <c r="C2915" s="114" t="s">
        <v>1072</v>
      </c>
      <c r="D2915" s="114" t="s">
        <v>6141</v>
      </c>
      <c r="E2915" s="114" t="s">
        <v>6142</v>
      </c>
    </row>
    <row r="2916" spans="1:5" x14ac:dyDescent="0.25">
      <c r="A2916" s="114">
        <v>5</v>
      </c>
      <c r="B2916" s="114" t="s">
        <v>2257</v>
      </c>
      <c r="D2916" s="114" t="s">
        <v>6143</v>
      </c>
      <c r="E2916" s="114" t="s">
        <v>6144</v>
      </c>
    </row>
    <row r="2917" spans="1:5" x14ac:dyDescent="0.25">
      <c r="B2917" s="114" t="s">
        <v>1337</v>
      </c>
      <c r="D2917" s="114" t="s">
        <v>1073</v>
      </c>
      <c r="E2917" s="114" t="s">
        <v>6145</v>
      </c>
    </row>
    <row r="2918" spans="1:5" x14ac:dyDescent="0.25">
      <c r="A2918" s="114" t="s">
        <v>1072</v>
      </c>
      <c r="B2918" s="114" t="s">
        <v>2258</v>
      </c>
      <c r="C2918" s="114" t="s">
        <v>1072</v>
      </c>
      <c r="D2918" s="114" t="s">
        <v>6146</v>
      </c>
      <c r="E2918" s="114" t="s">
        <v>6147</v>
      </c>
    </row>
    <row r="2919" spans="1:5" x14ac:dyDescent="0.25">
      <c r="A2919" s="114">
        <v>6</v>
      </c>
      <c r="B2919" s="114" t="s">
        <v>2259</v>
      </c>
      <c r="D2919" s="114" t="s">
        <v>2531</v>
      </c>
      <c r="E2919" s="114" t="s">
        <v>6148</v>
      </c>
    </row>
    <row r="2920" spans="1:5" x14ac:dyDescent="0.25">
      <c r="B2920" s="114" t="s">
        <v>2260</v>
      </c>
      <c r="D2920" s="114" t="s">
        <v>1073</v>
      </c>
      <c r="E2920" s="114" t="s">
        <v>6149</v>
      </c>
    </row>
    <row r="2921" spans="1:5" x14ac:dyDescent="0.25">
      <c r="B2921" s="114" t="s">
        <v>1330</v>
      </c>
      <c r="D2921" s="114" t="s">
        <v>4784</v>
      </c>
      <c r="E2921" s="114" t="s">
        <v>6150</v>
      </c>
    </row>
    <row r="2922" spans="1:5" x14ac:dyDescent="0.25">
      <c r="A2922" s="114">
        <v>5</v>
      </c>
      <c r="B2922" s="114" t="s">
        <v>2261</v>
      </c>
      <c r="D2922" s="114" t="s">
        <v>6151</v>
      </c>
      <c r="E2922" s="114" t="s">
        <v>6152</v>
      </c>
    </row>
    <row r="2923" spans="1:5" x14ac:dyDescent="0.25">
      <c r="B2923" s="114" t="s">
        <v>1073</v>
      </c>
      <c r="D2923" s="114" t="s">
        <v>1073</v>
      </c>
      <c r="E2923" s="114" t="s">
        <v>6153</v>
      </c>
    </row>
    <row r="2924" spans="1:5" x14ac:dyDescent="0.25">
      <c r="B2924" s="114" t="s">
        <v>1073</v>
      </c>
      <c r="D2924" s="114" t="s">
        <v>1073</v>
      </c>
      <c r="E2924" s="114" t="s">
        <v>6154</v>
      </c>
    </row>
    <row r="2925" spans="1:5" x14ac:dyDescent="0.25">
      <c r="A2925" s="114">
        <v>5</v>
      </c>
      <c r="B2925" s="114" t="s">
        <v>2262</v>
      </c>
      <c r="D2925" s="114" t="s">
        <v>1073</v>
      </c>
      <c r="E2925" s="114" t="s">
        <v>6155</v>
      </c>
    </row>
    <row r="2926" spans="1:5" x14ac:dyDescent="0.25">
      <c r="B2926" s="114" t="s">
        <v>2263</v>
      </c>
      <c r="D2926" s="114" t="s">
        <v>1073</v>
      </c>
      <c r="E2926" s="114" t="s">
        <v>6156</v>
      </c>
    </row>
    <row r="2927" spans="1:5" x14ac:dyDescent="0.25">
      <c r="A2927" s="114">
        <v>7</v>
      </c>
      <c r="B2927" s="114" t="s">
        <v>2264</v>
      </c>
      <c r="D2927" s="114" t="s">
        <v>6157</v>
      </c>
      <c r="E2927" s="114" t="s">
        <v>3993</v>
      </c>
    </row>
    <row r="2928" spans="1:5" x14ac:dyDescent="0.25">
      <c r="B2928" s="114" t="s">
        <v>2265</v>
      </c>
      <c r="D2928" s="114" t="s">
        <v>6158</v>
      </c>
      <c r="E2928" s="114" t="s">
        <v>6159</v>
      </c>
    </row>
    <row r="2929" spans="1:5" x14ac:dyDescent="0.25">
      <c r="B2929" s="114" t="s">
        <v>2266</v>
      </c>
      <c r="D2929" s="114" t="s">
        <v>6160</v>
      </c>
      <c r="E2929" s="114" t="s">
        <v>6161</v>
      </c>
    </row>
    <row r="2930" spans="1:5" x14ac:dyDescent="0.25">
      <c r="B2930" s="114" t="s">
        <v>1073</v>
      </c>
      <c r="D2930" s="114" t="s">
        <v>6162</v>
      </c>
      <c r="E2930" s="114" t="s">
        <v>4118</v>
      </c>
    </row>
    <row r="2931" spans="1:5" x14ac:dyDescent="0.25">
      <c r="B2931" s="114" t="s">
        <v>1073</v>
      </c>
      <c r="D2931" s="114" t="s">
        <v>6163</v>
      </c>
      <c r="E2931" s="114" t="s">
        <v>6164</v>
      </c>
    </row>
    <row r="2932" spans="1:5" x14ac:dyDescent="0.25">
      <c r="A2932" s="114">
        <v>1</v>
      </c>
      <c r="B2932" s="114" t="s">
        <v>2267</v>
      </c>
      <c r="D2932" s="114" t="s">
        <v>1511</v>
      </c>
      <c r="E2932" s="114" t="s">
        <v>6165</v>
      </c>
    </row>
    <row r="2933" spans="1:5" x14ac:dyDescent="0.25">
      <c r="B2933" s="114" t="s">
        <v>1226</v>
      </c>
      <c r="D2933" s="114" t="s">
        <v>1073</v>
      </c>
      <c r="E2933" s="114" t="s">
        <v>6166</v>
      </c>
    </row>
    <row r="2934" spans="1:5" x14ac:dyDescent="0.25">
      <c r="B2934" s="114" t="s">
        <v>1073</v>
      </c>
      <c r="D2934" s="114" t="s">
        <v>6167</v>
      </c>
      <c r="E2934" s="114" t="s">
        <v>6168</v>
      </c>
    </row>
    <row r="2935" spans="1:5" x14ac:dyDescent="0.25">
      <c r="B2935" s="114" t="s">
        <v>1073</v>
      </c>
      <c r="D2935" s="114" t="s">
        <v>6169</v>
      </c>
      <c r="E2935" s="114" t="s">
        <v>6170</v>
      </c>
    </row>
    <row r="2936" spans="1:5" x14ac:dyDescent="0.25">
      <c r="B2936" s="114" t="s">
        <v>2268</v>
      </c>
      <c r="D2936" s="114" t="s">
        <v>6171</v>
      </c>
      <c r="E2936" s="114" t="s">
        <v>6172</v>
      </c>
    </row>
    <row r="2937" spans="1:5" x14ac:dyDescent="0.25">
      <c r="B2937" s="114" t="s">
        <v>1958</v>
      </c>
      <c r="C2937" s="114">
        <v>-1</v>
      </c>
      <c r="D2937" s="114" t="s">
        <v>6173</v>
      </c>
      <c r="E2937" s="114" t="s">
        <v>6174</v>
      </c>
    </row>
    <row r="2938" spans="1:5" x14ac:dyDescent="0.25">
      <c r="A2938" s="114">
        <v>1</v>
      </c>
      <c r="B2938" s="114" t="s">
        <v>2269</v>
      </c>
      <c r="D2938" s="114" t="s">
        <v>6175</v>
      </c>
      <c r="E2938" s="114" t="s">
        <v>6176</v>
      </c>
    </row>
    <row r="2939" spans="1:5" x14ac:dyDescent="0.25">
      <c r="B2939" s="114" t="s">
        <v>2270</v>
      </c>
      <c r="D2939" s="114" t="s">
        <v>6177</v>
      </c>
      <c r="E2939" s="114" t="s">
        <v>6178</v>
      </c>
    </row>
    <row r="2940" spans="1:5" x14ac:dyDescent="0.25">
      <c r="B2940" s="114" t="s">
        <v>2271</v>
      </c>
      <c r="C2940" s="114">
        <v>-2</v>
      </c>
      <c r="D2940" s="114" t="s">
        <v>6179</v>
      </c>
      <c r="E2940" s="114" t="s">
        <v>6180</v>
      </c>
    </row>
    <row r="2941" spans="1:5" x14ac:dyDescent="0.25">
      <c r="A2941" s="114">
        <v>1</v>
      </c>
      <c r="B2941" s="114" t="s">
        <v>2272</v>
      </c>
      <c r="D2941" s="114" t="s">
        <v>6181</v>
      </c>
      <c r="E2941" s="114" t="s">
        <v>6182</v>
      </c>
    </row>
    <row r="2942" spans="1:5" x14ac:dyDescent="0.25">
      <c r="B2942" s="114" t="s">
        <v>1073</v>
      </c>
      <c r="D2942" s="114" t="s">
        <v>6183</v>
      </c>
      <c r="E2942" s="114" t="s">
        <v>6184</v>
      </c>
    </row>
    <row r="2943" spans="1:5" x14ac:dyDescent="0.25">
      <c r="B2943" s="114" t="s">
        <v>1222</v>
      </c>
      <c r="C2943" s="114">
        <v>-2</v>
      </c>
      <c r="D2943" s="114" t="s">
        <v>6185</v>
      </c>
      <c r="E2943" s="114" t="s">
        <v>6186</v>
      </c>
    </row>
    <row r="2944" spans="1:5" x14ac:dyDescent="0.25">
      <c r="B2944" s="114" t="s">
        <v>2273</v>
      </c>
      <c r="D2944" s="114" t="s">
        <v>6187</v>
      </c>
      <c r="E2944" s="114" t="s">
        <v>6188</v>
      </c>
    </row>
    <row r="2945" spans="1:5" x14ac:dyDescent="0.25">
      <c r="B2945" s="114" t="s">
        <v>2274</v>
      </c>
      <c r="D2945" s="114" t="s">
        <v>3560</v>
      </c>
      <c r="E2945" s="114" t="s">
        <v>3993</v>
      </c>
    </row>
    <row r="2946" spans="1:5" x14ac:dyDescent="0.25">
      <c r="B2946" s="114" t="s">
        <v>2275</v>
      </c>
      <c r="C2946" s="114">
        <v>-1</v>
      </c>
      <c r="D2946" s="114" t="s">
        <v>6189</v>
      </c>
      <c r="E2946" s="114" t="s">
        <v>6190</v>
      </c>
    </row>
    <row r="2947" spans="1:5" x14ac:dyDescent="0.25">
      <c r="B2947" s="114" t="s">
        <v>2276</v>
      </c>
      <c r="C2947" s="114" t="s">
        <v>1072</v>
      </c>
      <c r="D2947" s="114" t="s">
        <v>6191</v>
      </c>
      <c r="E2947" s="114" t="s">
        <v>6192</v>
      </c>
    </row>
    <row r="2948" spans="1:5" x14ac:dyDescent="0.25">
      <c r="B2948" s="114" t="s">
        <v>2277</v>
      </c>
      <c r="D2948" s="114" t="s">
        <v>6193</v>
      </c>
      <c r="E2948" s="114" t="s">
        <v>6194</v>
      </c>
    </row>
    <row r="2949" spans="1:5" x14ac:dyDescent="0.25">
      <c r="B2949" s="114" t="s">
        <v>2278</v>
      </c>
      <c r="C2949" s="114">
        <v>-2</v>
      </c>
      <c r="D2949" s="114" t="s">
        <v>6195</v>
      </c>
      <c r="E2949" s="114" t="s">
        <v>6196</v>
      </c>
    </row>
    <row r="2950" spans="1:5" x14ac:dyDescent="0.25">
      <c r="B2950" s="114" t="s">
        <v>1073</v>
      </c>
      <c r="D2950" s="114" t="s">
        <v>1073</v>
      </c>
      <c r="E2950" s="114" t="s">
        <v>6197</v>
      </c>
    </row>
    <row r="2951" spans="1:5" x14ac:dyDescent="0.25">
      <c r="A2951" s="114">
        <v>-6</v>
      </c>
      <c r="B2951" s="114" t="s">
        <v>2279</v>
      </c>
      <c r="D2951" s="114" t="s">
        <v>6198</v>
      </c>
      <c r="E2951" s="114" t="s">
        <v>6199</v>
      </c>
    </row>
    <row r="2952" spans="1:5" x14ac:dyDescent="0.25">
      <c r="B2952" s="114" t="s">
        <v>1073</v>
      </c>
      <c r="D2952" s="114" t="s">
        <v>1073</v>
      </c>
      <c r="E2952" s="114" t="s">
        <v>3993</v>
      </c>
    </row>
    <row r="2953" spans="1:5" x14ac:dyDescent="0.25">
      <c r="B2953" s="114" t="s">
        <v>1073</v>
      </c>
      <c r="D2953" s="114" t="s">
        <v>1073</v>
      </c>
      <c r="E2953" s="114" t="s">
        <v>3993</v>
      </c>
    </row>
    <row r="2954" spans="1:5" x14ac:dyDescent="0.25">
      <c r="B2954" s="114" t="s">
        <v>1073</v>
      </c>
      <c r="D2954" s="114" t="s">
        <v>1073</v>
      </c>
      <c r="E2954" s="114" t="s">
        <v>3993</v>
      </c>
    </row>
    <row r="2955" spans="1:5" x14ac:dyDescent="0.25">
      <c r="B2955" s="114" t="s">
        <v>1073</v>
      </c>
      <c r="D2955" s="114" t="s">
        <v>1073</v>
      </c>
      <c r="E2955" s="114" t="s">
        <v>3993</v>
      </c>
    </row>
    <row r="2956" spans="1:5" x14ac:dyDescent="0.25">
      <c r="B2956" s="114" t="s">
        <v>1073</v>
      </c>
      <c r="D2956" s="114" t="s">
        <v>1073</v>
      </c>
      <c r="E2956" s="114" t="s">
        <v>3993</v>
      </c>
    </row>
    <row r="2957" spans="1:5" x14ac:dyDescent="0.25">
      <c r="B2957" s="114" t="s">
        <v>1073</v>
      </c>
      <c r="D2957" s="114" t="s">
        <v>1073</v>
      </c>
      <c r="E2957" s="114" t="s">
        <v>3993</v>
      </c>
    </row>
    <row r="2958" spans="1:5" x14ac:dyDescent="0.25">
      <c r="B2958" s="114" t="s">
        <v>1073</v>
      </c>
      <c r="D2958" s="114" t="s">
        <v>1073</v>
      </c>
      <c r="E2958" s="114" t="s">
        <v>3993</v>
      </c>
    </row>
    <row r="2959" spans="1:5" x14ac:dyDescent="0.25">
      <c r="B2959" s="114" t="s">
        <v>1073</v>
      </c>
      <c r="D2959" s="114" t="s">
        <v>1073</v>
      </c>
      <c r="E2959" s="114" t="s">
        <v>3993</v>
      </c>
    </row>
    <row r="2960" spans="1:5" x14ac:dyDescent="0.25">
      <c r="B2960" s="114" t="s">
        <v>1073</v>
      </c>
      <c r="D2960" s="114" t="s">
        <v>1073</v>
      </c>
      <c r="E2960" s="114" t="s">
        <v>3993</v>
      </c>
    </row>
    <row r="2961" spans="2:5" x14ac:dyDescent="0.25">
      <c r="B2961" s="114" t="s">
        <v>1073</v>
      </c>
      <c r="D2961" s="152" t="s">
        <v>1073</v>
      </c>
      <c r="E2961" s="114" t="s">
        <v>3993</v>
      </c>
    </row>
    <row r="2962" spans="2:5" x14ac:dyDescent="0.25">
      <c r="B2962" s="114" t="s">
        <v>1073</v>
      </c>
      <c r="D2962" s="114" t="s">
        <v>1073</v>
      </c>
      <c r="E2962" s="114" t="s">
        <v>3993</v>
      </c>
    </row>
    <row r="2963" spans="2:5" x14ac:dyDescent="0.25">
      <c r="B2963" s="114" t="s">
        <v>1073</v>
      </c>
      <c r="D2963" s="114" t="s">
        <v>1073</v>
      </c>
      <c r="E2963" s="114" t="s">
        <v>3993</v>
      </c>
    </row>
    <row r="2964" spans="2:5" x14ac:dyDescent="0.25">
      <c r="B2964" s="114" t="s">
        <v>1073</v>
      </c>
      <c r="D2964" s="114" t="s">
        <v>1073</v>
      </c>
      <c r="E2964" s="114" t="s">
        <v>3993</v>
      </c>
    </row>
    <row r="2965" spans="2:5" x14ac:dyDescent="0.25">
      <c r="B2965" s="114" t="s">
        <v>1073</v>
      </c>
      <c r="D2965" s="114" t="s">
        <v>1073</v>
      </c>
      <c r="E2965" s="114" t="s">
        <v>3993</v>
      </c>
    </row>
    <row r="2966" spans="2:5" x14ac:dyDescent="0.25">
      <c r="B2966" s="114" t="s">
        <v>1073</v>
      </c>
      <c r="D2966" s="114" t="s">
        <v>1073</v>
      </c>
      <c r="E2966" s="114" t="s">
        <v>3993</v>
      </c>
    </row>
    <row r="2967" spans="2:5" x14ac:dyDescent="0.25">
      <c r="B2967" s="114" t="s">
        <v>1073</v>
      </c>
      <c r="D2967" s="114" t="s">
        <v>1073</v>
      </c>
      <c r="E2967" s="114" t="s">
        <v>3993</v>
      </c>
    </row>
    <row r="2968" spans="2:5" x14ac:dyDescent="0.25">
      <c r="B2968" s="114" t="s">
        <v>1073</v>
      </c>
      <c r="D2968" s="114" t="s">
        <v>1073</v>
      </c>
      <c r="E2968" s="114" t="s">
        <v>3993</v>
      </c>
    </row>
    <row r="2969" spans="2:5" x14ac:dyDescent="0.25">
      <c r="B2969" s="114" t="s">
        <v>1073</v>
      </c>
      <c r="D2969" s="114" t="s">
        <v>1073</v>
      </c>
      <c r="E2969" s="114" t="s">
        <v>3993</v>
      </c>
    </row>
    <row r="2970" spans="2:5" x14ac:dyDescent="0.25">
      <c r="B2970" s="114" t="s">
        <v>1073</v>
      </c>
      <c r="D2970" s="114" t="s">
        <v>1073</v>
      </c>
      <c r="E2970" s="114" t="s">
        <v>3993</v>
      </c>
    </row>
    <row r="2971" spans="2:5" x14ac:dyDescent="0.25">
      <c r="B2971" s="114" t="s">
        <v>1073</v>
      </c>
      <c r="D2971" s="114" t="s">
        <v>1073</v>
      </c>
      <c r="E2971" s="114" t="s">
        <v>3993</v>
      </c>
    </row>
    <row r="2972" spans="2:5" x14ac:dyDescent="0.25">
      <c r="B2972" s="114" t="s">
        <v>1073</v>
      </c>
      <c r="D2972" s="114" t="s">
        <v>1073</v>
      </c>
      <c r="E2972" s="114" t="s">
        <v>3993</v>
      </c>
    </row>
    <row r="2973" spans="2:5" x14ac:dyDescent="0.25">
      <c r="B2973" s="114" t="s">
        <v>1073</v>
      </c>
      <c r="D2973" s="114" t="s">
        <v>1073</v>
      </c>
      <c r="E2973" s="114" t="s">
        <v>3993</v>
      </c>
    </row>
    <row r="2974" spans="2:5" x14ac:dyDescent="0.25">
      <c r="B2974" s="114" t="s">
        <v>1073</v>
      </c>
      <c r="D2974" s="114" t="s">
        <v>1073</v>
      </c>
      <c r="E2974" s="114" t="s">
        <v>3993</v>
      </c>
    </row>
    <row r="2975" spans="2:5" x14ac:dyDescent="0.25">
      <c r="B2975" s="114" t="s">
        <v>1073</v>
      </c>
      <c r="D2975" s="114" t="s">
        <v>1073</v>
      </c>
      <c r="E2975" s="114" t="s">
        <v>3993</v>
      </c>
    </row>
    <row r="2976" spans="2:5" x14ac:dyDescent="0.25">
      <c r="B2976" s="114" t="s">
        <v>1073</v>
      </c>
      <c r="D2976" s="114" t="s">
        <v>1073</v>
      </c>
      <c r="E2976" s="114" t="s">
        <v>3993</v>
      </c>
    </row>
    <row r="2977" spans="2:5" x14ac:dyDescent="0.25">
      <c r="B2977" s="114" t="s">
        <v>1073</v>
      </c>
      <c r="D2977" s="114" t="s">
        <v>1073</v>
      </c>
      <c r="E2977" s="114" t="s">
        <v>3993</v>
      </c>
    </row>
    <row r="2978" spans="2:5" x14ac:dyDescent="0.25">
      <c r="B2978" s="114" t="s">
        <v>1073</v>
      </c>
      <c r="D2978" s="114" t="s">
        <v>1073</v>
      </c>
      <c r="E2978" s="114" t="s">
        <v>3993</v>
      </c>
    </row>
    <row r="2979" spans="2:5" x14ac:dyDescent="0.25">
      <c r="B2979" s="114" t="s">
        <v>1073</v>
      </c>
      <c r="D2979" s="114" t="s">
        <v>1073</v>
      </c>
      <c r="E2979" s="114" t="s">
        <v>3993</v>
      </c>
    </row>
    <row r="2980" spans="2:5" x14ac:dyDescent="0.25">
      <c r="B2980" s="114" t="s">
        <v>1073</v>
      </c>
      <c r="D2980" s="114" t="s">
        <v>1073</v>
      </c>
      <c r="E2980" s="114" t="s">
        <v>3993</v>
      </c>
    </row>
    <row r="2981" spans="2:5" x14ac:dyDescent="0.25">
      <c r="B2981" s="114" t="s">
        <v>1073</v>
      </c>
      <c r="D2981" s="114" t="s">
        <v>1073</v>
      </c>
      <c r="E2981" s="114" t="s">
        <v>3993</v>
      </c>
    </row>
    <row r="2982" spans="2:5" x14ac:dyDescent="0.25">
      <c r="B2982" s="114" t="s">
        <v>1073</v>
      </c>
      <c r="D2982" s="114" t="s">
        <v>1073</v>
      </c>
      <c r="E2982" s="114" t="s">
        <v>3993</v>
      </c>
    </row>
    <row r="2983" spans="2:5" x14ac:dyDescent="0.25">
      <c r="B2983" s="114" t="s">
        <v>1073</v>
      </c>
      <c r="D2983" s="114" t="s">
        <v>1073</v>
      </c>
      <c r="E2983" s="114" t="s">
        <v>3993</v>
      </c>
    </row>
    <row r="2984" spans="2:5" x14ac:dyDescent="0.25">
      <c r="B2984" s="114" t="s">
        <v>1073</v>
      </c>
      <c r="D2984" s="114" t="s">
        <v>1073</v>
      </c>
      <c r="E2984" s="114" t="s">
        <v>3993</v>
      </c>
    </row>
    <row r="2985" spans="2:5" x14ac:dyDescent="0.25">
      <c r="B2985" s="114" t="s">
        <v>1073</v>
      </c>
      <c r="D2985" s="114" t="s">
        <v>1073</v>
      </c>
      <c r="E2985" s="114" t="s">
        <v>3993</v>
      </c>
    </row>
    <row r="2986" spans="2:5" x14ac:dyDescent="0.25">
      <c r="B2986" s="114" t="s">
        <v>1073</v>
      </c>
      <c r="D2986" s="114" t="s">
        <v>1073</v>
      </c>
      <c r="E2986" s="114" t="s">
        <v>3993</v>
      </c>
    </row>
    <row r="2987" spans="2:5" x14ac:dyDescent="0.25">
      <c r="B2987" s="114" t="s">
        <v>1073</v>
      </c>
      <c r="D2987" s="114" t="s">
        <v>1073</v>
      </c>
      <c r="E2987" s="114" t="s">
        <v>3993</v>
      </c>
    </row>
    <row r="2988" spans="2:5" x14ac:dyDescent="0.25">
      <c r="B2988" s="114" t="s">
        <v>1073</v>
      </c>
      <c r="D2988" s="114" t="s">
        <v>1073</v>
      </c>
      <c r="E2988" s="114" t="s">
        <v>3993</v>
      </c>
    </row>
    <row r="2989" spans="2:5" x14ac:dyDescent="0.25">
      <c r="B2989" s="114" t="s">
        <v>1073</v>
      </c>
      <c r="D2989" s="114" t="s">
        <v>1073</v>
      </c>
      <c r="E2989" s="114" t="s">
        <v>3993</v>
      </c>
    </row>
    <row r="2990" spans="2:5" x14ac:dyDescent="0.25">
      <c r="B2990" s="114" t="s">
        <v>1073</v>
      </c>
      <c r="D2990" s="114" t="s">
        <v>1073</v>
      </c>
      <c r="E2990" s="114" t="s">
        <v>3993</v>
      </c>
    </row>
    <row r="2991" spans="2:5" x14ac:dyDescent="0.25">
      <c r="B2991" s="114" t="s">
        <v>1073</v>
      </c>
      <c r="D2991" s="114" t="s">
        <v>1073</v>
      </c>
      <c r="E2991" s="114" t="s">
        <v>3993</v>
      </c>
    </row>
    <row r="2992" spans="2:5" x14ac:dyDescent="0.25">
      <c r="B2992" s="114" t="s">
        <v>1073</v>
      </c>
      <c r="D2992" s="114" t="s">
        <v>1073</v>
      </c>
      <c r="E2992" s="114" t="s">
        <v>3993</v>
      </c>
    </row>
    <row r="2993" spans="2:5" x14ac:dyDescent="0.25">
      <c r="B2993" s="114" t="s">
        <v>1073</v>
      </c>
      <c r="D2993" s="114" t="s">
        <v>1073</v>
      </c>
      <c r="E2993" s="114" t="s">
        <v>3993</v>
      </c>
    </row>
    <row r="2994" spans="2:5" x14ac:dyDescent="0.25">
      <c r="B2994" s="114" t="s">
        <v>1073</v>
      </c>
      <c r="D2994" s="114" t="s">
        <v>1073</v>
      </c>
      <c r="E2994" s="114" t="s">
        <v>3993</v>
      </c>
    </row>
    <row r="2995" spans="2:5" x14ac:dyDescent="0.25">
      <c r="B2995" s="114" t="s">
        <v>1073</v>
      </c>
      <c r="D2995" s="114" t="s">
        <v>1073</v>
      </c>
      <c r="E2995" s="114" t="s">
        <v>3993</v>
      </c>
    </row>
    <row r="2996" spans="2:5" x14ac:dyDescent="0.25">
      <c r="B2996" s="114" t="s">
        <v>1073</v>
      </c>
      <c r="D2996" s="114" t="s">
        <v>1073</v>
      </c>
      <c r="E2996" s="114" t="s">
        <v>3993</v>
      </c>
    </row>
    <row r="2997" spans="2:5" x14ac:dyDescent="0.25">
      <c r="B2997" s="114" t="s">
        <v>1073</v>
      </c>
      <c r="D2997" s="114" t="s">
        <v>1073</v>
      </c>
      <c r="E2997" s="114" t="s">
        <v>3993</v>
      </c>
    </row>
    <row r="2998" spans="2:5" x14ac:dyDescent="0.25">
      <c r="B2998" s="114" t="s">
        <v>1073</v>
      </c>
      <c r="D2998" s="114" t="s">
        <v>1073</v>
      </c>
      <c r="E2998" s="114" t="s">
        <v>3993</v>
      </c>
    </row>
    <row r="2999" spans="2:5" x14ac:dyDescent="0.25">
      <c r="B2999" s="114" t="s">
        <v>1073</v>
      </c>
      <c r="D2999" s="114" t="s">
        <v>1073</v>
      </c>
      <c r="E2999" s="114" t="s">
        <v>3993</v>
      </c>
    </row>
    <row r="3000" spans="2:5" x14ac:dyDescent="0.25">
      <c r="B3000" s="114" t="s">
        <v>1073</v>
      </c>
      <c r="D3000" s="114" t="s">
        <v>1073</v>
      </c>
      <c r="E3000" s="114" t="s">
        <v>3993</v>
      </c>
    </row>
    <row r="3001" spans="2:5" x14ac:dyDescent="0.25">
      <c r="B3001" s="114" t="s">
        <v>1073</v>
      </c>
      <c r="D3001" s="114" t="s">
        <v>1073</v>
      </c>
      <c r="E3001" s="114" t="s">
        <v>3993</v>
      </c>
    </row>
    <row r="3002" spans="2:5" x14ac:dyDescent="0.25">
      <c r="B3002" s="114" t="s">
        <v>1073</v>
      </c>
      <c r="D3002" s="114" t="s">
        <v>1073</v>
      </c>
      <c r="E3002" s="114" t="s">
        <v>3993</v>
      </c>
    </row>
    <row r="3003" spans="2:5" x14ac:dyDescent="0.25">
      <c r="B3003" s="114" t="s">
        <v>1073</v>
      </c>
      <c r="D3003" s="114" t="s">
        <v>1073</v>
      </c>
      <c r="E3003" s="114" t="s">
        <v>3993</v>
      </c>
    </row>
    <row r="3004" spans="2:5" x14ac:dyDescent="0.25">
      <c r="B3004" s="114" t="s">
        <v>1073</v>
      </c>
      <c r="D3004" s="114" t="s">
        <v>1073</v>
      </c>
      <c r="E3004" s="114" t="s">
        <v>3993</v>
      </c>
    </row>
    <row r="3005" spans="2:5" x14ac:dyDescent="0.25">
      <c r="B3005" s="114" t="s">
        <v>1073</v>
      </c>
      <c r="D3005" s="114" t="s">
        <v>1073</v>
      </c>
      <c r="E3005" s="114" t="s">
        <v>3993</v>
      </c>
    </row>
    <row r="3006" spans="2:5" x14ac:dyDescent="0.25">
      <c r="B3006" s="114" t="s">
        <v>1073</v>
      </c>
      <c r="D3006" s="114" t="s">
        <v>1073</v>
      </c>
      <c r="E3006" s="114" t="s">
        <v>3993</v>
      </c>
    </row>
    <row r="3007" spans="2:5" x14ac:dyDescent="0.25">
      <c r="B3007" s="114" t="s">
        <v>1073</v>
      </c>
      <c r="D3007" s="114" t="s">
        <v>1073</v>
      </c>
      <c r="E3007" s="114" t="s">
        <v>3993</v>
      </c>
    </row>
    <row r="3008" spans="2:5" x14ac:dyDescent="0.25">
      <c r="B3008" s="114" t="s">
        <v>1073</v>
      </c>
      <c r="D3008" s="114" t="s">
        <v>1073</v>
      </c>
      <c r="E3008" s="114" t="s">
        <v>3993</v>
      </c>
    </row>
    <row r="3009" spans="2:5" x14ac:dyDescent="0.25">
      <c r="B3009" s="114" t="s">
        <v>1073</v>
      </c>
      <c r="D3009" s="114" t="s">
        <v>1073</v>
      </c>
      <c r="E3009" s="114" t="s">
        <v>3993</v>
      </c>
    </row>
    <row r="3010" spans="2:5" x14ac:dyDescent="0.25">
      <c r="B3010" s="114" t="s">
        <v>1073</v>
      </c>
      <c r="D3010" s="114" t="s">
        <v>1073</v>
      </c>
      <c r="E3010" s="114" t="s">
        <v>3993</v>
      </c>
    </row>
    <row r="3011" spans="2:5" x14ac:dyDescent="0.25">
      <c r="B3011" s="114" t="s">
        <v>1073</v>
      </c>
      <c r="D3011" s="114" t="s">
        <v>1073</v>
      </c>
      <c r="E3011" s="114" t="s">
        <v>3993</v>
      </c>
    </row>
    <row r="3012" spans="2:5" x14ac:dyDescent="0.25">
      <c r="B3012" s="114" t="s">
        <v>1073</v>
      </c>
      <c r="D3012" s="114" t="s">
        <v>1073</v>
      </c>
      <c r="E3012" s="114" t="s">
        <v>3993</v>
      </c>
    </row>
    <row r="3013" spans="2:5" x14ac:dyDescent="0.25">
      <c r="B3013" s="114" t="s">
        <v>1073</v>
      </c>
      <c r="D3013" s="114" t="s">
        <v>1073</v>
      </c>
      <c r="E3013" s="114" t="s">
        <v>3993</v>
      </c>
    </row>
    <row r="3014" spans="2:5" x14ac:dyDescent="0.25">
      <c r="B3014" s="114" t="s">
        <v>1073</v>
      </c>
      <c r="D3014" s="114" t="s">
        <v>1073</v>
      </c>
      <c r="E3014" s="114" t="s">
        <v>3993</v>
      </c>
    </row>
    <row r="3015" spans="2:5" x14ac:dyDescent="0.25">
      <c r="B3015" s="114" t="s">
        <v>1073</v>
      </c>
      <c r="D3015" s="114" t="s">
        <v>1073</v>
      </c>
      <c r="E3015" s="114" t="s">
        <v>3993</v>
      </c>
    </row>
    <row r="3016" spans="2:5" x14ac:dyDescent="0.25">
      <c r="B3016" s="114" t="s">
        <v>1073</v>
      </c>
      <c r="D3016" s="114" t="s">
        <v>1073</v>
      </c>
      <c r="E3016" s="114" t="s">
        <v>3993</v>
      </c>
    </row>
    <row r="3017" spans="2:5" x14ac:dyDescent="0.25">
      <c r="B3017" s="114" t="s">
        <v>1073</v>
      </c>
      <c r="D3017" s="114" t="s">
        <v>1073</v>
      </c>
      <c r="E3017" s="114" t="s">
        <v>3993</v>
      </c>
    </row>
    <row r="3018" spans="2:5" x14ac:dyDescent="0.25">
      <c r="B3018" s="114" t="s">
        <v>1073</v>
      </c>
      <c r="D3018" s="114" t="s">
        <v>1073</v>
      </c>
      <c r="E3018" s="114" t="s">
        <v>3993</v>
      </c>
    </row>
    <row r="3019" spans="2:5" x14ac:dyDescent="0.25">
      <c r="B3019" s="114" t="s">
        <v>1073</v>
      </c>
      <c r="D3019" s="114" t="s">
        <v>1073</v>
      </c>
      <c r="E3019" s="114" t="s">
        <v>3993</v>
      </c>
    </row>
    <row r="3020" spans="2:5" x14ac:dyDescent="0.25">
      <c r="B3020" s="114" t="s">
        <v>1073</v>
      </c>
      <c r="D3020" s="114" t="s">
        <v>1073</v>
      </c>
      <c r="E3020" s="114" t="s">
        <v>3993</v>
      </c>
    </row>
    <row r="3021" spans="2:5" x14ac:dyDescent="0.25">
      <c r="B3021" s="114" t="s">
        <v>1073</v>
      </c>
      <c r="D3021" s="114" t="s">
        <v>1073</v>
      </c>
      <c r="E3021" s="114" t="s">
        <v>3993</v>
      </c>
    </row>
    <row r="3022" spans="2:5" x14ac:dyDescent="0.25">
      <c r="B3022" s="114" t="s">
        <v>1073</v>
      </c>
      <c r="D3022" s="114" t="s">
        <v>1073</v>
      </c>
      <c r="E3022" s="114" t="s">
        <v>3993</v>
      </c>
    </row>
    <row r="3023" spans="2:5" x14ac:dyDescent="0.25">
      <c r="B3023" s="114" t="s">
        <v>1073</v>
      </c>
      <c r="D3023" s="114" t="s">
        <v>1073</v>
      </c>
      <c r="E3023" s="114" t="s">
        <v>3993</v>
      </c>
    </row>
    <row r="3024" spans="2:5" x14ac:dyDescent="0.25">
      <c r="B3024" s="114" t="s">
        <v>1073</v>
      </c>
      <c r="D3024" s="114" t="s">
        <v>1073</v>
      </c>
      <c r="E3024" s="114" t="s">
        <v>3993</v>
      </c>
    </row>
    <row r="3025" spans="2:5" x14ac:dyDescent="0.25">
      <c r="B3025" s="114" t="s">
        <v>1073</v>
      </c>
      <c r="D3025" s="114" t="s">
        <v>1073</v>
      </c>
      <c r="E3025" s="114" t="s">
        <v>3993</v>
      </c>
    </row>
    <row r="3026" spans="2:5" x14ac:dyDescent="0.25">
      <c r="B3026" s="114" t="s">
        <v>1073</v>
      </c>
      <c r="D3026" s="114" t="s">
        <v>1073</v>
      </c>
      <c r="E3026" s="114" t="s">
        <v>3993</v>
      </c>
    </row>
    <row r="3027" spans="2:5" x14ac:dyDescent="0.25">
      <c r="B3027" s="114" t="s">
        <v>1073</v>
      </c>
      <c r="D3027" s="114" t="s">
        <v>1073</v>
      </c>
      <c r="E3027" s="114" t="s">
        <v>3993</v>
      </c>
    </row>
    <row r="3028" spans="2:5" x14ac:dyDescent="0.25">
      <c r="B3028" s="114" t="s">
        <v>1073</v>
      </c>
      <c r="D3028" s="114" t="s">
        <v>1073</v>
      </c>
      <c r="E3028" s="114" t="s">
        <v>3993</v>
      </c>
    </row>
    <row r="3029" spans="2:5" x14ac:dyDescent="0.25">
      <c r="B3029" s="114" t="s">
        <v>1073</v>
      </c>
      <c r="D3029" s="114" t="s">
        <v>1073</v>
      </c>
      <c r="E3029" s="114" t="s">
        <v>3993</v>
      </c>
    </row>
    <row r="3030" spans="2:5" x14ac:dyDescent="0.25">
      <c r="B3030" s="114" t="s">
        <v>1073</v>
      </c>
      <c r="D3030" s="114" t="s">
        <v>1073</v>
      </c>
      <c r="E3030" s="114" t="s">
        <v>3993</v>
      </c>
    </row>
    <row r="3031" spans="2:5" x14ac:dyDescent="0.25">
      <c r="B3031" s="114" t="s">
        <v>1073</v>
      </c>
      <c r="D3031" s="114" t="s">
        <v>1073</v>
      </c>
      <c r="E3031" s="114" t="s">
        <v>3993</v>
      </c>
    </row>
    <row r="3032" spans="2:5" x14ac:dyDescent="0.25">
      <c r="B3032" s="114" t="s">
        <v>1073</v>
      </c>
      <c r="D3032" s="114" t="s">
        <v>1073</v>
      </c>
      <c r="E3032" s="114" t="s">
        <v>3993</v>
      </c>
    </row>
    <row r="3033" spans="2:5" x14ac:dyDescent="0.25">
      <c r="B3033" s="114" t="s">
        <v>1073</v>
      </c>
      <c r="D3033" s="114" t="s">
        <v>1073</v>
      </c>
      <c r="E3033" s="114" t="s">
        <v>3993</v>
      </c>
    </row>
    <row r="3034" spans="2:5" x14ac:dyDescent="0.25">
      <c r="B3034" s="114" t="s">
        <v>1073</v>
      </c>
      <c r="D3034" s="114" t="s">
        <v>1073</v>
      </c>
      <c r="E3034" s="114" t="s">
        <v>3993</v>
      </c>
    </row>
    <row r="3035" spans="2:5" x14ac:dyDescent="0.25">
      <c r="B3035" s="114" t="s">
        <v>1073</v>
      </c>
      <c r="D3035" s="114" t="s">
        <v>1073</v>
      </c>
      <c r="E3035" s="114" t="s">
        <v>3993</v>
      </c>
    </row>
    <row r="3036" spans="2:5" x14ac:dyDescent="0.25">
      <c r="B3036" s="114" t="s">
        <v>1073</v>
      </c>
      <c r="D3036" s="114" t="s">
        <v>1073</v>
      </c>
      <c r="E3036" s="114" t="s">
        <v>3993</v>
      </c>
    </row>
    <row r="3037" spans="2:5" x14ac:dyDescent="0.25">
      <c r="B3037" s="114" t="s">
        <v>1073</v>
      </c>
      <c r="D3037" s="114" t="s">
        <v>1073</v>
      </c>
      <c r="E3037" s="114" t="s">
        <v>3993</v>
      </c>
    </row>
    <row r="3038" spans="2:5" x14ac:dyDescent="0.25">
      <c r="B3038" s="114" t="s">
        <v>1073</v>
      </c>
      <c r="D3038" s="114" t="s">
        <v>1073</v>
      </c>
      <c r="E3038" s="114" t="s">
        <v>3993</v>
      </c>
    </row>
    <row r="3039" spans="2:5" x14ac:dyDescent="0.25">
      <c r="B3039" s="114" t="s">
        <v>1073</v>
      </c>
      <c r="D3039" s="114" t="s">
        <v>1073</v>
      </c>
      <c r="E3039" s="114" t="s">
        <v>3993</v>
      </c>
    </row>
    <row r="3040" spans="2:5" x14ac:dyDescent="0.25">
      <c r="B3040" s="114" t="s">
        <v>1073</v>
      </c>
      <c r="D3040" s="114" t="s">
        <v>1073</v>
      </c>
      <c r="E3040" s="114" t="s">
        <v>3993</v>
      </c>
    </row>
    <row r="3041" spans="2:5" x14ac:dyDescent="0.25">
      <c r="B3041" s="114" t="s">
        <v>1073</v>
      </c>
      <c r="D3041" s="114" t="s">
        <v>1073</v>
      </c>
      <c r="E3041" s="114" t="s">
        <v>3993</v>
      </c>
    </row>
    <row r="3042" spans="2:5" x14ac:dyDescent="0.25">
      <c r="B3042" s="114" t="s">
        <v>1073</v>
      </c>
      <c r="D3042" s="114" t="s">
        <v>1073</v>
      </c>
      <c r="E3042" s="114" t="s">
        <v>3993</v>
      </c>
    </row>
    <row r="3043" spans="2:5" x14ac:dyDescent="0.25">
      <c r="B3043" s="114" t="s">
        <v>1073</v>
      </c>
      <c r="D3043" s="114" t="s">
        <v>1073</v>
      </c>
      <c r="E3043" s="114" t="s">
        <v>3993</v>
      </c>
    </row>
    <row r="3044" spans="2:5" x14ac:dyDescent="0.25">
      <c r="B3044" s="114" t="s">
        <v>1073</v>
      </c>
      <c r="D3044" s="114" t="s">
        <v>1073</v>
      </c>
      <c r="E3044" s="114" t="s">
        <v>3993</v>
      </c>
    </row>
    <row r="3045" spans="2:5" x14ac:dyDescent="0.25">
      <c r="B3045" s="114" t="s">
        <v>1073</v>
      </c>
      <c r="D3045" s="114" t="s">
        <v>1073</v>
      </c>
      <c r="E3045" s="114" t="s">
        <v>3993</v>
      </c>
    </row>
    <row r="3046" spans="2:5" x14ac:dyDescent="0.25">
      <c r="B3046" s="114" t="s">
        <v>1073</v>
      </c>
      <c r="D3046" s="114" t="s">
        <v>1073</v>
      </c>
      <c r="E3046" s="114" t="s">
        <v>3993</v>
      </c>
    </row>
    <row r="3047" spans="2:5" x14ac:dyDescent="0.25">
      <c r="B3047" s="114" t="s">
        <v>1073</v>
      </c>
      <c r="D3047" s="114" t="s">
        <v>1073</v>
      </c>
      <c r="E3047" s="114" t="s">
        <v>3993</v>
      </c>
    </row>
    <row r="3048" spans="2:5" x14ac:dyDescent="0.25">
      <c r="B3048" s="114" t="s">
        <v>1073</v>
      </c>
      <c r="D3048" s="114" t="s">
        <v>1073</v>
      </c>
      <c r="E3048" s="114" t="s">
        <v>3993</v>
      </c>
    </row>
    <row r="3049" spans="2:5" x14ac:dyDescent="0.25">
      <c r="B3049" s="114" t="s">
        <v>1073</v>
      </c>
      <c r="D3049" s="114" t="s">
        <v>1073</v>
      </c>
      <c r="E3049" s="114" t="s">
        <v>3993</v>
      </c>
    </row>
    <row r="3050" spans="2:5" x14ac:dyDescent="0.25">
      <c r="B3050" s="114" t="s">
        <v>1073</v>
      </c>
      <c r="D3050" s="114" t="s">
        <v>1073</v>
      </c>
      <c r="E3050" s="114" t="s">
        <v>3993</v>
      </c>
    </row>
    <row r="3051" spans="2:5" x14ac:dyDescent="0.25">
      <c r="B3051" s="114" t="s">
        <v>1073</v>
      </c>
      <c r="D3051" s="114" t="s">
        <v>1073</v>
      </c>
      <c r="E3051" s="114" t="s">
        <v>3993</v>
      </c>
    </row>
    <row r="3052" spans="2:5" x14ac:dyDescent="0.25">
      <c r="B3052" s="114" t="s">
        <v>1073</v>
      </c>
      <c r="D3052" s="114" t="s">
        <v>1073</v>
      </c>
      <c r="E3052" s="114" t="s">
        <v>3993</v>
      </c>
    </row>
    <row r="3053" spans="2:5" x14ac:dyDescent="0.25">
      <c r="B3053" s="114" t="s">
        <v>1073</v>
      </c>
      <c r="D3053" s="114" t="s">
        <v>1073</v>
      </c>
      <c r="E3053" s="114" t="s">
        <v>3993</v>
      </c>
    </row>
    <row r="3054" spans="2:5" x14ac:dyDescent="0.25">
      <c r="B3054" s="114" t="s">
        <v>1073</v>
      </c>
      <c r="D3054" s="114" t="s">
        <v>1073</v>
      </c>
      <c r="E3054" s="114" t="s">
        <v>3993</v>
      </c>
    </row>
    <row r="3055" spans="2:5" x14ac:dyDescent="0.25">
      <c r="B3055" s="114" t="s">
        <v>1073</v>
      </c>
      <c r="D3055" s="114" t="s">
        <v>1073</v>
      </c>
      <c r="E3055" s="114" t="s">
        <v>3993</v>
      </c>
    </row>
    <row r="3056" spans="2:5" x14ac:dyDescent="0.25">
      <c r="B3056" s="114" t="s">
        <v>1073</v>
      </c>
      <c r="D3056" s="114" t="s">
        <v>1073</v>
      </c>
      <c r="E3056" s="114" t="s">
        <v>3993</v>
      </c>
    </row>
    <row r="3057" spans="1:5" x14ac:dyDescent="0.25">
      <c r="B3057" s="114" t="s">
        <v>1073</v>
      </c>
      <c r="D3057" s="114" t="s">
        <v>1073</v>
      </c>
      <c r="E3057" s="114" t="s">
        <v>3993</v>
      </c>
    </row>
    <row r="3058" spans="1:5" x14ac:dyDescent="0.25">
      <c r="B3058" s="114" t="s">
        <v>1073</v>
      </c>
      <c r="D3058" s="114" t="s">
        <v>1073</v>
      </c>
      <c r="E3058" s="114" t="s">
        <v>3993</v>
      </c>
    </row>
    <row r="3059" spans="1:5" x14ac:dyDescent="0.25">
      <c r="B3059" s="114" t="s">
        <v>1073</v>
      </c>
      <c r="D3059" s="114" t="s">
        <v>1073</v>
      </c>
      <c r="E3059" s="114" t="s">
        <v>3993</v>
      </c>
    </row>
    <row r="3060" spans="1:5" x14ac:dyDescent="0.25">
      <c r="B3060" s="114" t="s">
        <v>1073</v>
      </c>
      <c r="D3060" s="114" t="s">
        <v>1073</v>
      </c>
      <c r="E3060" s="114" t="s">
        <v>3993</v>
      </c>
    </row>
    <row r="3061" spans="1:5" x14ac:dyDescent="0.25">
      <c r="B3061" s="114" t="s">
        <v>1073</v>
      </c>
      <c r="D3061" s="114" t="s">
        <v>1073</v>
      </c>
      <c r="E3061" s="114" t="s">
        <v>3993</v>
      </c>
    </row>
    <row r="3062" spans="1:5" x14ac:dyDescent="0.25">
      <c r="B3062" s="114" t="s">
        <v>1073</v>
      </c>
      <c r="D3062" s="114" t="s">
        <v>1073</v>
      </c>
      <c r="E3062" s="114" t="s">
        <v>3993</v>
      </c>
    </row>
    <row r="3063" spans="1:5" x14ac:dyDescent="0.25">
      <c r="B3063" s="114" t="s">
        <v>1073</v>
      </c>
      <c r="D3063" s="114" t="s">
        <v>1073</v>
      </c>
      <c r="E3063" s="114" t="s">
        <v>3993</v>
      </c>
    </row>
    <row r="3064" spans="1:5" x14ac:dyDescent="0.25">
      <c r="B3064" s="114" t="s">
        <v>1073</v>
      </c>
      <c r="D3064" s="114" t="s">
        <v>1073</v>
      </c>
      <c r="E3064" s="114" t="s">
        <v>3993</v>
      </c>
    </row>
    <row r="3065" spans="1:5" x14ac:dyDescent="0.25">
      <c r="B3065" s="114" t="s">
        <v>1073</v>
      </c>
      <c r="D3065" s="114" t="s">
        <v>1073</v>
      </c>
      <c r="E3065" s="114" t="s">
        <v>3993</v>
      </c>
    </row>
    <row r="3066" spans="1:5" x14ac:dyDescent="0.25">
      <c r="B3066" s="114" t="s">
        <v>1073</v>
      </c>
      <c r="D3066" s="114" t="s">
        <v>1073</v>
      </c>
      <c r="E3066" s="114" t="s">
        <v>6200</v>
      </c>
    </row>
    <row r="3067" spans="1:5" x14ac:dyDescent="0.25">
      <c r="A3067" s="114" t="s">
        <v>1072</v>
      </c>
      <c r="B3067" s="114" t="s">
        <v>2280</v>
      </c>
      <c r="D3067" s="114" t="s">
        <v>4170</v>
      </c>
      <c r="E3067" s="114" t="s">
        <v>6201</v>
      </c>
    </row>
    <row r="3068" spans="1:5" x14ac:dyDescent="0.25">
      <c r="B3068" s="114">
        <f>-69    -66</f>
        <v>-135</v>
      </c>
      <c r="D3068" s="114" t="s">
        <v>1073</v>
      </c>
      <c r="E3068" s="114" t="s">
        <v>3993</v>
      </c>
    </row>
    <row r="3069" spans="1:5" x14ac:dyDescent="0.25">
      <c r="B3069" s="114" t="s">
        <v>2281</v>
      </c>
      <c r="D3069" s="114" t="s">
        <v>6202</v>
      </c>
      <c r="E3069" s="114" t="s">
        <v>6203</v>
      </c>
    </row>
    <row r="3070" spans="1:5" x14ac:dyDescent="0.25">
      <c r="B3070" s="114" t="s">
        <v>1073</v>
      </c>
      <c r="D3070" s="114" t="s">
        <v>1543</v>
      </c>
      <c r="E3070" s="114" t="s">
        <v>6204</v>
      </c>
    </row>
    <row r="3071" spans="1:5" x14ac:dyDescent="0.25">
      <c r="B3071" s="114" t="s">
        <v>1073</v>
      </c>
      <c r="D3071" s="114" t="s">
        <v>2185</v>
      </c>
      <c r="E3071" s="114" t="s">
        <v>3993</v>
      </c>
    </row>
    <row r="3072" spans="1:5" x14ac:dyDescent="0.25">
      <c r="B3072" s="114" t="s">
        <v>2282</v>
      </c>
      <c r="D3072" s="114" t="s">
        <v>6205</v>
      </c>
      <c r="E3072" s="114" t="s">
        <v>6206</v>
      </c>
    </row>
    <row r="3073" spans="1:5" x14ac:dyDescent="0.25">
      <c r="A3073" s="114" t="s">
        <v>1072</v>
      </c>
      <c r="B3073" s="114" t="s">
        <v>2283</v>
      </c>
      <c r="D3073" s="114" t="s">
        <v>6207</v>
      </c>
      <c r="E3073" s="114" t="s">
        <v>6208</v>
      </c>
    </row>
    <row r="3074" spans="1:5" x14ac:dyDescent="0.25">
      <c r="B3074" s="114" t="s">
        <v>2284</v>
      </c>
      <c r="D3074" s="114" t="s">
        <v>6209</v>
      </c>
      <c r="E3074" s="114" t="s">
        <v>6210</v>
      </c>
    </row>
    <row r="3075" spans="1:5" x14ac:dyDescent="0.25">
      <c r="A3075" s="114">
        <v>1</v>
      </c>
      <c r="B3075" s="114" t="s">
        <v>2285</v>
      </c>
      <c r="D3075" s="114" t="s">
        <v>6211</v>
      </c>
      <c r="E3075" s="114" t="s">
        <v>6212</v>
      </c>
    </row>
    <row r="3076" spans="1:5" x14ac:dyDescent="0.25">
      <c r="A3076" s="114" t="s">
        <v>1072</v>
      </c>
      <c r="B3076" s="114" t="s">
        <v>2286</v>
      </c>
      <c r="D3076" s="114" t="s">
        <v>6213</v>
      </c>
      <c r="E3076" s="114" t="s">
        <v>6214</v>
      </c>
    </row>
    <row r="3077" spans="1:5" x14ac:dyDescent="0.25">
      <c r="B3077" s="114" t="s">
        <v>2287</v>
      </c>
      <c r="D3077" s="114" t="s">
        <v>6215</v>
      </c>
      <c r="E3077" s="114" t="s">
        <v>6216</v>
      </c>
    </row>
    <row r="3078" spans="1:5" x14ac:dyDescent="0.25">
      <c r="B3078" s="114" t="s">
        <v>2288</v>
      </c>
      <c r="D3078" s="114" t="s">
        <v>6217</v>
      </c>
      <c r="E3078" s="114" t="s">
        <v>6218</v>
      </c>
    </row>
    <row r="3079" spans="1:5" x14ac:dyDescent="0.25">
      <c r="B3079" s="114" t="s">
        <v>1456</v>
      </c>
      <c r="D3079" s="114" t="s">
        <v>6219</v>
      </c>
      <c r="E3079" s="114" t="s">
        <v>6220</v>
      </c>
    </row>
    <row r="3080" spans="1:5" x14ac:dyDescent="0.25">
      <c r="B3080" s="114" t="s">
        <v>2289</v>
      </c>
      <c r="D3080" s="114">
        <f>-21    -59</f>
        <v>-80</v>
      </c>
      <c r="E3080" s="114" t="s">
        <v>6221</v>
      </c>
    </row>
    <row r="3081" spans="1:5" x14ac:dyDescent="0.25">
      <c r="B3081" s="114" t="s">
        <v>2290</v>
      </c>
      <c r="D3081" s="114" t="s">
        <v>6222</v>
      </c>
      <c r="E3081" s="114" t="s">
        <v>6223</v>
      </c>
    </row>
    <row r="3082" spans="1:5" x14ac:dyDescent="0.25">
      <c r="A3082" s="114" t="s">
        <v>1072</v>
      </c>
      <c r="B3082" s="114" t="s">
        <v>2291</v>
      </c>
      <c r="D3082" s="114" t="s">
        <v>6224</v>
      </c>
      <c r="E3082" s="114" t="s">
        <v>6225</v>
      </c>
    </row>
    <row r="3083" spans="1:5" x14ac:dyDescent="0.25">
      <c r="B3083" s="114" t="s">
        <v>1515</v>
      </c>
      <c r="D3083" s="114" t="s">
        <v>1073</v>
      </c>
      <c r="E3083" s="114" t="s">
        <v>6226</v>
      </c>
    </row>
    <row r="3084" spans="1:5" x14ac:dyDescent="0.25">
      <c r="B3084" s="114" t="s">
        <v>2292</v>
      </c>
      <c r="D3084" s="114" t="s">
        <v>3387</v>
      </c>
      <c r="E3084" s="114" t="s">
        <v>6227</v>
      </c>
    </row>
    <row r="3085" spans="1:5" x14ac:dyDescent="0.25">
      <c r="A3085" s="114">
        <v>-1</v>
      </c>
      <c r="B3085" s="114" t="s">
        <v>2293</v>
      </c>
      <c r="C3085" s="114" t="s">
        <v>1072</v>
      </c>
      <c r="D3085" s="114" t="s">
        <v>6228</v>
      </c>
      <c r="E3085" s="114" t="s">
        <v>6229</v>
      </c>
    </row>
    <row r="3086" spans="1:5" x14ac:dyDescent="0.25">
      <c r="B3086" s="114" t="s">
        <v>2294</v>
      </c>
      <c r="D3086" s="114" t="s">
        <v>2603</v>
      </c>
      <c r="E3086" s="114" t="s">
        <v>6230</v>
      </c>
    </row>
    <row r="3087" spans="1:5" x14ac:dyDescent="0.25">
      <c r="A3087" s="114">
        <v>2</v>
      </c>
      <c r="B3087" s="114" t="s">
        <v>2295</v>
      </c>
      <c r="D3087" s="114" t="s">
        <v>6231</v>
      </c>
      <c r="E3087" s="114" t="s">
        <v>6232</v>
      </c>
    </row>
    <row r="3088" spans="1:5" x14ac:dyDescent="0.25">
      <c r="B3088" s="114" t="s">
        <v>1073</v>
      </c>
      <c r="D3088" s="114" t="s">
        <v>6233</v>
      </c>
      <c r="E3088" s="114" t="s">
        <v>6234</v>
      </c>
    </row>
    <row r="3089" spans="1:5" x14ac:dyDescent="0.25">
      <c r="B3089" s="114" t="s">
        <v>1073</v>
      </c>
      <c r="D3089" s="114" t="s">
        <v>6235</v>
      </c>
      <c r="E3089" s="114" t="s">
        <v>6236</v>
      </c>
    </row>
    <row r="3090" spans="1:5" x14ac:dyDescent="0.25">
      <c r="B3090" s="114" t="s">
        <v>2296</v>
      </c>
      <c r="C3090" s="114" t="s">
        <v>1072</v>
      </c>
      <c r="D3090" s="114" t="s">
        <v>6237</v>
      </c>
      <c r="E3090" s="114" t="s">
        <v>6238</v>
      </c>
    </row>
    <row r="3091" spans="1:5" x14ac:dyDescent="0.25">
      <c r="B3091" s="114" t="s">
        <v>1073</v>
      </c>
      <c r="D3091" s="114" t="s">
        <v>6239</v>
      </c>
      <c r="E3091" s="114" t="s">
        <v>4014</v>
      </c>
    </row>
    <row r="3092" spans="1:5" x14ac:dyDescent="0.25">
      <c r="B3092" s="114" t="s">
        <v>1073</v>
      </c>
      <c r="D3092" s="114" t="s">
        <v>6240</v>
      </c>
      <c r="E3092" s="114" t="s">
        <v>6241</v>
      </c>
    </row>
    <row r="3093" spans="1:5" x14ac:dyDescent="0.25">
      <c r="A3093" s="114">
        <v>-1</v>
      </c>
      <c r="B3093" s="114" t="s">
        <v>2297</v>
      </c>
      <c r="D3093" s="114" t="s">
        <v>1409</v>
      </c>
      <c r="E3093" s="114" t="s">
        <v>6242</v>
      </c>
    </row>
    <row r="3094" spans="1:5" x14ac:dyDescent="0.25">
      <c r="A3094" s="114">
        <v>1</v>
      </c>
      <c r="B3094" s="114" t="s">
        <v>1432</v>
      </c>
      <c r="D3094" s="114" t="s">
        <v>1073</v>
      </c>
      <c r="E3094" s="114" t="s">
        <v>6243</v>
      </c>
    </row>
    <row r="3095" spans="1:5" x14ac:dyDescent="0.25">
      <c r="B3095" s="114" t="s">
        <v>1073</v>
      </c>
      <c r="D3095" s="114" t="s">
        <v>6244</v>
      </c>
      <c r="E3095" s="114" t="s">
        <v>6245</v>
      </c>
    </row>
    <row r="3096" spans="1:5" x14ac:dyDescent="0.25">
      <c r="B3096" s="114" t="s">
        <v>1073</v>
      </c>
      <c r="C3096" s="114">
        <v>1</v>
      </c>
      <c r="D3096" s="114" t="s">
        <v>6246</v>
      </c>
      <c r="E3096" s="114" t="s">
        <v>6247</v>
      </c>
    </row>
    <row r="3097" spans="1:5" x14ac:dyDescent="0.25">
      <c r="A3097" s="114">
        <v>1</v>
      </c>
      <c r="B3097" s="114" t="s">
        <v>2298</v>
      </c>
      <c r="D3097" s="114" t="s">
        <v>6248</v>
      </c>
      <c r="E3097" s="114" t="s">
        <v>6249</v>
      </c>
    </row>
    <row r="3098" spans="1:5" x14ac:dyDescent="0.25">
      <c r="B3098" s="114" t="s">
        <v>2299</v>
      </c>
      <c r="C3098" s="114" t="s">
        <v>1072</v>
      </c>
      <c r="D3098" s="114" t="s">
        <v>6250</v>
      </c>
      <c r="E3098" s="114" t="s">
        <v>6251</v>
      </c>
    </row>
    <row r="3099" spans="1:5" x14ac:dyDescent="0.25">
      <c r="A3099" s="114">
        <v>-2</v>
      </c>
      <c r="B3099" s="114" t="s">
        <v>2300</v>
      </c>
      <c r="D3099" s="114" t="s">
        <v>6252</v>
      </c>
      <c r="E3099" s="114" t="s">
        <v>6253</v>
      </c>
    </row>
    <row r="3100" spans="1:5" x14ac:dyDescent="0.25">
      <c r="A3100" s="114" t="s">
        <v>1072</v>
      </c>
      <c r="B3100" s="114" t="s">
        <v>2301</v>
      </c>
      <c r="D3100" s="114" t="s">
        <v>6254</v>
      </c>
      <c r="E3100" s="114" t="s">
        <v>6255</v>
      </c>
    </row>
    <row r="3101" spans="1:5" x14ac:dyDescent="0.25">
      <c r="B3101" s="114" t="s">
        <v>2199</v>
      </c>
      <c r="D3101" s="114" t="s">
        <v>6256</v>
      </c>
      <c r="E3101" s="114" t="s">
        <v>6257</v>
      </c>
    </row>
    <row r="3102" spans="1:5" x14ac:dyDescent="0.25">
      <c r="A3102" s="114">
        <v>-1</v>
      </c>
      <c r="B3102" s="114" t="s">
        <v>2302</v>
      </c>
      <c r="D3102" s="114" t="s">
        <v>1846</v>
      </c>
      <c r="E3102" s="114" t="s">
        <v>6258</v>
      </c>
    </row>
    <row r="3103" spans="1:5" x14ac:dyDescent="0.25">
      <c r="B3103" s="114" t="s">
        <v>1073</v>
      </c>
      <c r="D3103" s="114" t="s">
        <v>6259</v>
      </c>
      <c r="E3103" s="114" t="s">
        <v>6260</v>
      </c>
    </row>
    <row r="3104" spans="1:5" x14ac:dyDescent="0.25">
      <c r="B3104" s="114" t="s">
        <v>1357</v>
      </c>
      <c r="D3104" s="114" t="s">
        <v>6261</v>
      </c>
      <c r="E3104" s="114" t="s">
        <v>6262</v>
      </c>
    </row>
    <row r="3105" spans="1:5" x14ac:dyDescent="0.25">
      <c r="A3105" s="114">
        <v>-3</v>
      </c>
      <c r="B3105" s="114" t="s">
        <v>2303</v>
      </c>
      <c r="D3105" s="114" t="s">
        <v>6263</v>
      </c>
      <c r="E3105" s="114" t="s">
        <v>6264</v>
      </c>
    </row>
    <row r="3106" spans="1:5" x14ac:dyDescent="0.25">
      <c r="B3106" s="114" t="s">
        <v>2304</v>
      </c>
      <c r="D3106" s="114" t="s">
        <v>6265</v>
      </c>
      <c r="E3106" s="114" t="s">
        <v>3993</v>
      </c>
    </row>
    <row r="3107" spans="1:5" x14ac:dyDescent="0.25">
      <c r="B3107" s="114" t="s">
        <v>2027</v>
      </c>
      <c r="D3107" s="114" t="s">
        <v>6266</v>
      </c>
      <c r="E3107" s="114" t="s">
        <v>6267</v>
      </c>
    </row>
    <row r="3108" spans="1:5" x14ac:dyDescent="0.25">
      <c r="B3108" s="114" t="s">
        <v>2305</v>
      </c>
      <c r="D3108" s="114">
        <f>-761   -139</f>
        <v>-900</v>
      </c>
      <c r="E3108" s="114" t="s">
        <v>6268</v>
      </c>
    </row>
    <row r="3109" spans="1:5" x14ac:dyDescent="0.25">
      <c r="B3109" s="114" t="s">
        <v>2306</v>
      </c>
      <c r="D3109" s="114" t="s">
        <v>6269</v>
      </c>
      <c r="E3109" s="114" t="s">
        <v>6270</v>
      </c>
    </row>
    <row r="3110" spans="1:5" x14ac:dyDescent="0.25">
      <c r="B3110" s="114" t="s">
        <v>2307</v>
      </c>
      <c r="C3110" s="114" t="s">
        <v>1072</v>
      </c>
      <c r="D3110" s="114" t="s">
        <v>6271</v>
      </c>
      <c r="E3110" s="114" t="s">
        <v>6272</v>
      </c>
    </row>
    <row r="3111" spans="1:5" x14ac:dyDescent="0.25">
      <c r="B3111" s="114" t="s">
        <v>1073</v>
      </c>
      <c r="D3111" s="114" t="s">
        <v>1073</v>
      </c>
      <c r="E3111" s="114" t="s">
        <v>6273</v>
      </c>
    </row>
    <row r="3112" spans="1:5" x14ac:dyDescent="0.25">
      <c r="A3112" s="114" t="s">
        <v>1072</v>
      </c>
      <c r="B3112" s="114" t="s">
        <v>2308</v>
      </c>
      <c r="C3112" s="114" t="s">
        <v>1072</v>
      </c>
      <c r="D3112" s="114" t="s">
        <v>6274</v>
      </c>
      <c r="E3112" s="114" t="s">
        <v>6275</v>
      </c>
    </row>
    <row r="3113" spans="1:5" x14ac:dyDescent="0.25">
      <c r="B3113" s="114" t="s">
        <v>1073</v>
      </c>
      <c r="D3113" s="114" t="s">
        <v>6276</v>
      </c>
      <c r="E3113" s="114" t="s">
        <v>5199</v>
      </c>
    </row>
    <row r="3114" spans="1:5" x14ac:dyDescent="0.25">
      <c r="B3114" s="114" t="s">
        <v>1073</v>
      </c>
      <c r="D3114" s="114" t="s">
        <v>1073</v>
      </c>
      <c r="E3114" s="114" t="s">
        <v>3993</v>
      </c>
    </row>
    <row r="3115" spans="1:5" x14ac:dyDescent="0.25">
      <c r="B3115" s="114" t="s">
        <v>1073</v>
      </c>
      <c r="D3115" s="114" t="s">
        <v>1073</v>
      </c>
      <c r="E3115" s="114" t="s">
        <v>3993</v>
      </c>
    </row>
    <row r="3116" spans="1:5" x14ac:dyDescent="0.25">
      <c r="B3116" s="114" t="s">
        <v>1073</v>
      </c>
      <c r="D3116" s="114" t="s">
        <v>1073</v>
      </c>
      <c r="E3116" s="114" t="s">
        <v>3993</v>
      </c>
    </row>
    <row r="3117" spans="1:5" x14ac:dyDescent="0.25">
      <c r="B3117" s="114" t="s">
        <v>1073</v>
      </c>
      <c r="D3117" s="114" t="s">
        <v>1073</v>
      </c>
      <c r="E3117" s="114" t="s">
        <v>3993</v>
      </c>
    </row>
    <row r="3118" spans="1:5" x14ac:dyDescent="0.25">
      <c r="B3118" s="114" t="s">
        <v>1073</v>
      </c>
      <c r="D3118" s="114" t="s">
        <v>1073</v>
      </c>
      <c r="E3118" s="114" t="s">
        <v>3993</v>
      </c>
    </row>
    <row r="3119" spans="1:5" x14ac:dyDescent="0.25">
      <c r="B3119" s="114" t="s">
        <v>1073</v>
      </c>
      <c r="D3119" s="114" t="s">
        <v>1073</v>
      </c>
      <c r="E3119" s="114" t="s">
        <v>3993</v>
      </c>
    </row>
    <row r="3120" spans="1:5" x14ac:dyDescent="0.25">
      <c r="B3120" s="114" t="s">
        <v>1073</v>
      </c>
      <c r="D3120" s="114" t="s">
        <v>1073</v>
      </c>
      <c r="E3120" s="114" t="s">
        <v>3993</v>
      </c>
    </row>
    <row r="3121" spans="2:5" x14ac:dyDescent="0.25">
      <c r="B3121" s="114" t="s">
        <v>1073</v>
      </c>
      <c r="D3121" s="114" t="s">
        <v>1073</v>
      </c>
      <c r="E3121" s="114" t="s">
        <v>3993</v>
      </c>
    </row>
    <row r="3122" spans="2:5" x14ac:dyDescent="0.25">
      <c r="B3122" s="114" t="s">
        <v>1073</v>
      </c>
      <c r="D3122" s="114" t="s">
        <v>1073</v>
      </c>
      <c r="E3122" s="114" t="s">
        <v>3993</v>
      </c>
    </row>
    <row r="3123" spans="2:5" x14ac:dyDescent="0.25">
      <c r="B3123" s="114" t="s">
        <v>1073</v>
      </c>
      <c r="D3123" s="114" t="s">
        <v>1073</v>
      </c>
      <c r="E3123" s="114" t="s">
        <v>3993</v>
      </c>
    </row>
    <row r="3124" spans="2:5" x14ac:dyDescent="0.25">
      <c r="B3124" s="114" t="s">
        <v>1073</v>
      </c>
      <c r="D3124" s="114" t="s">
        <v>1073</v>
      </c>
      <c r="E3124" s="114" t="s">
        <v>3993</v>
      </c>
    </row>
    <row r="3125" spans="2:5" x14ac:dyDescent="0.25">
      <c r="B3125" s="114" t="s">
        <v>1073</v>
      </c>
      <c r="D3125" s="114" t="s">
        <v>1073</v>
      </c>
      <c r="E3125" s="114" t="s">
        <v>3993</v>
      </c>
    </row>
    <row r="3126" spans="2:5" x14ac:dyDescent="0.25">
      <c r="B3126" s="114" t="s">
        <v>1073</v>
      </c>
      <c r="D3126" s="114" t="s">
        <v>1073</v>
      </c>
      <c r="E3126" s="114" t="s">
        <v>3993</v>
      </c>
    </row>
    <row r="3127" spans="2:5" x14ac:dyDescent="0.25">
      <c r="B3127" s="114" t="s">
        <v>1073</v>
      </c>
      <c r="D3127" s="114" t="s">
        <v>1073</v>
      </c>
      <c r="E3127" s="114" t="s">
        <v>3993</v>
      </c>
    </row>
    <row r="3128" spans="2:5" x14ac:dyDescent="0.25">
      <c r="B3128" s="114" t="s">
        <v>1073</v>
      </c>
      <c r="D3128" s="114" t="s">
        <v>1073</v>
      </c>
      <c r="E3128" s="114" t="s">
        <v>3993</v>
      </c>
    </row>
    <row r="3129" spans="2:5" x14ac:dyDescent="0.25">
      <c r="B3129" s="114" t="s">
        <v>1073</v>
      </c>
      <c r="D3129" s="114" t="s">
        <v>1073</v>
      </c>
      <c r="E3129" s="114" t="s">
        <v>3993</v>
      </c>
    </row>
    <row r="3130" spans="2:5" x14ac:dyDescent="0.25">
      <c r="B3130" s="114" t="s">
        <v>1073</v>
      </c>
      <c r="D3130" s="114" t="s">
        <v>1073</v>
      </c>
      <c r="E3130" s="114" t="s">
        <v>3993</v>
      </c>
    </row>
    <row r="3131" spans="2:5" x14ac:dyDescent="0.25">
      <c r="B3131" s="114" t="s">
        <v>1073</v>
      </c>
      <c r="D3131" s="114" t="s">
        <v>1073</v>
      </c>
      <c r="E3131" s="114" t="s">
        <v>3993</v>
      </c>
    </row>
    <row r="3132" spans="2:5" x14ac:dyDescent="0.25">
      <c r="B3132" s="114" t="s">
        <v>1073</v>
      </c>
      <c r="D3132" s="114" t="s">
        <v>1073</v>
      </c>
      <c r="E3132" s="114" t="s">
        <v>3993</v>
      </c>
    </row>
    <row r="3133" spans="2:5" x14ac:dyDescent="0.25">
      <c r="B3133" s="114" t="s">
        <v>1073</v>
      </c>
      <c r="D3133" s="114" t="s">
        <v>1073</v>
      </c>
      <c r="E3133" s="114" t="s">
        <v>3993</v>
      </c>
    </row>
    <row r="3134" spans="2:5" x14ac:dyDescent="0.25">
      <c r="B3134" s="114" t="s">
        <v>1073</v>
      </c>
      <c r="D3134" s="114" t="s">
        <v>1073</v>
      </c>
      <c r="E3134" s="114" t="s">
        <v>3993</v>
      </c>
    </row>
    <row r="3135" spans="2:5" x14ac:dyDescent="0.25">
      <c r="B3135" s="114" t="s">
        <v>1073</v>
      </c>
      <c r="D3135" s="114" t="s">
        <v>1073</v>
      </c>
      <c r="E3135" s="114" t="s">
        <v>3993</v>
      </c>
    </row>
    <row r="3136" spans="2:5" x14ac:dyDescent="0.25">
      <c r="B3136" s="114" t="s">
        <v>1073</v>
      </c>
      <c r="D3136" s="114" t="s">
        <v>1073</v>
      </c>
      <c r="E3136" s="114" t="s">
        <v>3993</v>
      </c>
    </row>
    <row r="3137" spans="2:5" x14ac:dyDescent="0.25">
      <c r="B3137" s="114" t="s">
        <v>1073</v>
      </c>
      <c r="D3137" s="114" t="s">
        <v>1073</v>
      </c>
      <c r="E3137" s="114" t="s">
        <v>3993</v>
      </c>
    </row>
    <row r="3138" spans="2:5" x14ac:dyDescent="0.25">
      <c r="B3138" s="114" t="s">
        <v>1073</v>
      </c>
      <c r="D3138" s="114" t="s">
        <v>1073</v>
      </c>
      <c r="E3138" s="114" t="s">
        <v>3993</v>
      </c>
    </row>
    <row r="3139" spans="2:5" x14ac:dyDescent="0.25">
      <c r="B3139" s="114" t="s">
        <v>1073</v>
      </c>
      <c r="D3139" s="114" t="s">
        <v>1073</v>
      </c>
      <c r="E3139" s="114" t="s">
        <v>3993</v>
      </c>
    </row>
    <row r="3140" spans="2:5" x14ac:dyDescent="0.25">
      <c r="B3140" s="114" t="s">
        <v>1073</v>
      </c>
      <c r="D3140" s="114" t="s">
        <v>1073</v>
      </c>
      <c r="E3140" s="114" t="s">
        <v>3993</v>
      </c>
    </row>
    <row r="3141" spans="2:5" x14ac:dyDescent="0.25">
      <c r="B3141" s="114" t="s">
        <v>1073</v>
      </c>
      <c r="D3141" s="114" t="s">
        <v>1073</v>
      </c>
      <c r="E3141" s="114" t="s">
        <v>3993</v>
      </c>
    </row>
    <row r="3142" spans="2:5" x14ac:dyDescent="0.25">
      <c r="B3142" s="114" t="s">
        <v>1073</v>
      </c>
      <c r="D3142" s="114" t="s">
        <v>1073</v>
      </c>
      <c r="E3142" s="114" t="s">
        <v>3993</v>
      </c>
    </row>
    <row r="3143" spans="2:5" x14ac:dyDescent="0.25">
      <c r="B3143" s="114" t="s">
        <v>1073</v>
      </c>
      <c r="D3143" s="114" t="s">
        <v>1073</v>
      </c>
      <c r="E3143" s="114" t="s">
        <v>3993</v>
      </c>
    </row>
    <row r="3144" spans="2:5" x14ac:dyDescent="0.25">
      <c r="B3144" s="114" t="s">
        <v>1073</v>
      </c>
      <c r="D3144" s="114" t="s">
        <v>1073</v>
      </c>
      <c r="E3144" s="114" t="s">
        <v>3993</v>
      </c>
    </row>
    <row r="3145" spans="2:5" x14ac:dyDescent="0.25">
      <c r="B3145" s="114" t="s">
        <v>1073</v>
      </c>
      <c r="D3145" s="114" t="s">
        <v>1073</v>
      </c>
      <c r="E3145" s="114" t="s">
        <v>3993</v>
      </c>
    </row>
    <row r="3146" spans="2:5" x14ac:dyDescent="0.25">
      <c r="B3146" s="114" t="s">
        <v>1073</v>
      </c>
      <c r="D3146" s="114" t="s">
        <v>1073</v>
      </c>
      <c r="E3146" s="114" t="s">
        <v>3993</v>
      </c>
    </row>
    <row r="3147" spans="2:5" x14ac:dyDescent="0.25">
      <c r="B3147" s="114" t="s">
        <v>1073</v>
      </c>
      <c r="D3147" s="114" t="s">
        <v>1073</v>
      </c>
      <c r="E3147" s="114" t="s">
        <v>3993</v>
      </c>
    </row>
    <row r="3148" spans="2:5" x14ac:dyDescent="0.25">
      <c r="B3148" s="114" t="s">
        <v>1073</v>
      </c>
      <c r="D3148" s="114" t="s">
        <v>1073</v>
      </c>
      <c r="E3148" s="114" t="s">
        <v>3993</v>
      </c>
    </row>
    <row r="3149" spans="2:5" x14ac:dyDescent="0.25">
      <c r="B3149" s="114" t="s">
        <v>1073</v>
      </c>
      <c r="D3149" s="114" t="s">
        <v>1073</v>
      </c>
      <c r="E3149" s="114" t="s">
        <v>3993</v>
      </c>
    </row>
    <row r="3150" spans="2:5" x14ac:dyDescent="0.25">
      <c r="B3150" s="114" t="s">
        <v>1073</v>
      </c>
      <c r="D3150" s="114" t="s">
        <v>1073</v>
      </c>
      <c r="E3150" s="114" t="s">
        <v>3993</v>
      </c>
    </row>
    <row r="3151" spans="2:5" x14ac:dyDescent="0.25">
      <c r="B3151" s="114" t="s">
        <v>1073</v>
      </c>
      <c r="D3151" s="114" t="s">
        <v>1073</v>
      </c>
      <c r="E3151" s="114" t="s">
        <v>3993</v>
      </c>
    </row>
    <row r="3152" spans="2:5" x14ac:dyDescent="0.25">
      <c r="B3152" s="114" t="s">
        <v>1073</v>
      </c>
      <c r="D3152" s="114" t="s">
        <v>1073</v>
      </c>
      <c r="E3152" s="114" t="s">
        <v>3993</v>
      </c>
    </row>
    <row r="3153" spans="2:5" x14ac:dyDescent="0.25">
      <c r="B3153" s="114" t="s">
        <v>1073</v>
      </c>
      <c r="D3153" s="114" t="s">
        <v>1073</v>
      </c>
      <c r="E3153" s="114" t="s">
        <v>3993</v>
      </c>
    </row>
    <row r="3154" spans="2:5" x14ac:dyDescent="0.25">
      <c r="B3154" s="114" t="s">
        <v>1073</v>
      </c>
      <c r="D3154" s="114" t="s">
        <v>1073</v>
      </c>
      <c r="E3154" s="114" t="s">
        <v>3993</v>
      </c>
    </row>
    <row r="3155" spans="2:5" x14ac:dyDescent="0.25">
      <c r="B3155" s="114" t="s">
        <v>1073</v>
      </c>
      <c r="D3155" s="114" t="s">
        <v>1073</v>
      </c>
      <c r="E3155" s="114" t="s">
        <v>3993</v>
      </c>
    </row>
    <row r="3156" spans="2:5" x14ac:dyDescent="0.25">
      <c r="B3156" s="114" t="s">
        <v>1073</v>
      </c>
      <c r="D3156" s="114" t="s">
        <v>1073</v>
      </c>
      <c r="E3156" s="114" t="s">
        <v>3993</v>
      </c>
    </row>
    <row r="3157" spans="2:5" x14ac:dyDescent="0.25">
      <c r="B3157" s="114" t="s">
        <v>1073</v>
      </c>
      <c r="D3157" s="114" t="s">
        <v>1073</v>
      </c>
      <c r="E3157" s="114" t="s">
        <v>3993</v>
      </c>
    </row>
    <row r="3158" spans="2:5" x14ac:dyDescent="0.25">
      <c r="B3158" s="114" t="s">
        <v>1073</v>
      </c>
      <c r="D3158" s="114" t="s">
        <v>1073</v>
      </c>
      <c r="E3158" s="114" t="s">
        <v>3993</v>
      </c>
    </row>
    <row r="3159" spans="2:5" x14ac:dyDescent="0.25">
      <c r="B3159" s="114" t="s">
        <v>1073</v>
      </c>
      <c r="D3159" s="114" t="s">
        <v>1073</v>
      </c>
      <c r="E3159" s="114" t="s">
        <v>3993</v>
      </c>
    </row>
    <row r="3160" spans="2:5" x14ac:dyDescent="0.25">
      <c r="B3160" s="114" t="s">
        <v>1073</v>
      </c>
      <c r="D3160" s="114" t="s">
        <v>1073</v>
      </c>
      <c r="E3160" s="114" t="s">
        <v>3993</v>
      </c>
    </row>
    <row r="3161" spans="2:5" x14ac:dyDescent="0.25">
      <c r="B3161" s="114" t="s">
        <v>1073</v>
      </c>
      <c r="D3161" s="114" t="s">
        <v>1073</v>
      </c>
      <c r="E3161" s="114" t="s">
        <v>3993</v>
      </c>
    </row>
    <row r="3162" spans="2:5" x14ac:dyDescent="0.25">
      <c r="B3162" s="114" t="s">
        <v>1073</v>
      </c>
      <c r="D3162" s="114" t="s">
        <v>1073</v>
      </c>
      <c r="E3162" s="114" t="s">
        <v>3993</v>
      </c>
    </row>
    <row r="3163" spans="2:5" x14ac:dyDescent="0.25">
      <c r="B3163" s="114" t="s">
        <v>1073</v>
      </c>
      <c r="D3163" s="114" t="s">
        <v>1073</v>
      </c>
      <c r="E3163" s="114" t="s">
        <v>3993</v>
      </c>
    </row>
    <row r="3164" spans="2:5" x14ac:dyDescent="0.25">
      <c r="B3164" s="114" t="s">
        <v>1073</v>
      </c>
      <c r="D3164" s="114" t="s">
        <v>1073</v>
      </c>
      <c r="E3164" s="114" t="s">
        <v>3993</v>
      </c>
    </row>
    <row r="3165" spans="2:5" x14ac:dyDescent="0.25">
      <c r="B3165" s="114" t="s">
        <v>1073</v>
      </c>
      <c r="D3165" s="114" t="s">
        <v>1073</v>
      </c>
      <c r="E3165" s="114" t="s">
        <v>3993</v>
      </c>
    </row>
    <row r="3166" spans="2:5" x14ac:dyDescent="0.25">
      <c r="B3166" s="114" t="s">
        <v>1073</v>
      </c>
      <c r="D3166" s="114" t="s">
        <v>1073</v>
      </c>
      <c r="E3166" s="114" t="s">
        <v>3993</v>
      </c>
    </row>
    <row r="3167" spans="2:5" x14ac:dyDescent="0.25">
      <c r="B3167" s="114" t="s">
        <v>1073</v>
      </c>
      <c r="D3167" s="114" t="s">
        <v>1073</v>
      </c>
      <c r="E3167" s="114" t="s">
        <v>3993</v>
      </c>
    </row>
    <row r="3168" spans="2:5" x14ac:dyDescent="0.25">
      <c r="B3168" s="114" t="s">
        <v>1073</v>
      </c>
      <c r="D3168" s="114" t="s">
        <v>1073</v>
      </c>
      <c r="E3168" s="114" t="s">
        <v>3993</v>
      </c>
    </row>
    <row r="3169" spans="2:5" x14ac:dyDescent="0.25">
      <c r="B3169" s="114" t="s">
        <v>1073</v>
      </c>
      <c r="D3169" s="114" t="s">
        <v>1073</v>
      </c>
      <c r="E3169" s="114" t="s">
        <v>3993</v>
      </c>
    </row>
    <row r="3170" spans="2:5" x14ac:dyDescent="0.25">
      <c r="B3170" s="114" t="s">
        <v>1073</v>
      </c>
      <c r="D3170" s="114" t="s">
        <v>1073</v>
      </c>
      <c r="E3170" s="114" t="s">
        <v>3993</v>
      </c>
    </row>
    <row r="3171" spans="2:5" x14ac:dyDescent="0.25">
      <c r="B3171" s="114" t="s">
        <v>1073</v>
      </c>
      <c r="D3171" s="114" t="s">
        <v>1073</v>
      </c>
      <c r="E3171" s="114" t="s">
        <v>3993</v>
      </c>
    </row>
    <row r="3172" spans="2:5" x14ac:dyDescent="0.25">
      <c r="B3172" s="114" t="s">
        <v>1073</v>
      </c>
      <c r="D3172" s="114" t="s">
        <v>1073</v>
      </c>
      <c r="E3172" s="114" t="s">
        <v>3993</v>
      </c>
    </row>
    <row r="3173" spans="2:5" x14ac:dyDescent="0.25">
      <c r="B3173" s="114" t="s">
        <v>1073</v>
      </c>
      <c r="D3173" s="114" t="s">
        <v>1073</v>
      </c>
      <c r="E3173" s="114" t="s">
        <v>3993</v>
      </c>
    </row>
    <row r="3174" spans="2:5" x14ac:dyDescent="0.25">
      <c r="B3174" s="114" t="s">
        <v>1073</v>
      </c>
      <c r="D3174" s="114" t="s">
        <v>1073</v>
      </c>
      <c r="E3174" s="114" t="s">
        <v>3993</v>
      </c>
    </row>
    <row r="3175" spans="2:5" x14ac:dyDescent="0.25">
      <c r="B3175" s="114" t="s">
        <v>1073</v>
      </c>
      <c r="D3175" s="114" t="s">
        <v>1073</v>
      </c>
      <c r="E3175" s="114" t="s">
        <v>3993</v>
      </c>
    </row>
    <row r="3176" spans="2:5" x14ac:dyDescent="0.25">
      <c r="B3176" s="114" t="s">
        <v>1073</v>
      </c>
      <c r="D3176" s="114" t="s">
        <v>1073</v>
      </c>
      <c r="E3176" s="114" t="s">
        <v>3993</v>
      </c>
    </row>
    <row r="3177" spans="2:5" x14ac:dyDescent="0.25">
      <c r="B3177" s="114" t="s">
        <v>1073</v>
      </c>
      <c r="D3177" s="114" t="s">
        <v>1073</v>
      </c>
      <c r="E3177" s="114" t="s">
        <v>3993</v>
      </c>
    </row>
    <row r="3178" spans="2:5" x14ac:dyDescent="0.25">
      <c r="B3178" s="114" t="s">
        <v>1073</v>
      </c>
      <c r="D3178" s="114" t="s">
        <v>1073</v>
      </c>
      <c r="E3178" s="114" t="s">
        <v>3993</v>
      </c>
    </row>
    <row r="3179" spans="2:5" x14ac:dyDescent="0.25">
      <c r="B3179" s="114" t="s">
        <v>1073</v>
      </c>
      <c r="D3179" s="114" t="s">
        <v>1073</v>
      </c>
      <c r="E3179" s="114" t="s">
        <v>3993</v>
      </c>
    </row>
    <row r="3180" spans="2:5" x14ac:dyDescent="0.25">
      <c r="B3180" s="114" t="s">
        <v>1073</v>
      </c>
      <c r="D3180" s="114" t="s">
        <v>1073</v>
      </c>
      <c r="E3180" s="114" t="s">
        <v>3993</v>
      </c>
    </row>
    <row r="3181" spans="2:5" x14ac:dyDescent="0.25">
      <c r="B3181" s="114" t="s">
        <v>1073</v>
      </c>
      <c r="D3181" s="114" t="s">
        <v>1073</v>
      </c>
      <c r="E3181" s="114" t="s">
        <v>3993</v>
      </c>
    </row>
    <row r="3182" spans="2:5" x14ac:dyDescent="0.25">
      <c r="B3182" s="114" t="s">
        <v>1073</v>
      </c>
      <c r="D3182" s="114" t="s">
        <v>1073</v>
      </c>
      <c r="E3182" s="114" t="s">
        <v>3993</v>
      </c>
    </row>
    <row r="3183" spans="2:5" x14ac:dyDescent="0.25">
      <c r="B3183" s="114" t="s">
        <v>1073</v>
      </c>
      <c r="D3183" s="114" t="s">
        <v>1073</v>
      </c>
      <c r="E3183" s="114" t="s">
        <v>3993</v>
      </c>
    </row>
    <row r="3184" spans="2:5" x14ac:dyDescent="0.25">
      <c r="B3184" s="114" t="s">
        <v>1073</v>
      </c>
      <c r="D3184" s="114" t="s">
        <v>1073</v>
      </c>
      <c r="E3184" s="114" t="s">
        <v>3993</v>
      </c>
    </row>
    <row r="3185" spans="2:5" x14ac:dyDescent="0.25">
      <c r="B3185" s="114" t="s">
        <v>1073</v>
      </c>
      <c r="D3185" s="114" t="s">
        <v>1073</v>
      </c>
      <c r="E3185" s="114" t="s">
        <v>3993</v>
      </c>
    </row>
    <row r="3186" spans="2:5" x14ac:dyDescent="0.25">
      <c r="B3186" s="114" t="s">
        <v>1073</v>
      </c>
      <c r="D3186" s="114" t="s">
        <v>1073</v>
      </c>
      <c r="E3186" s="114" t="s">
        <v>3993</v>
      </c>
    </row>
    <row r="3187" spans="2:5" x14ac:dyDescent="0.25">
      <c r="B3187" s="114" t="s">
        <v>1073</v>
      </c>
      <c r="D3187" s="114" t="s">
        <v>1073</v>
      </c>
      <c r="E3187" s="114" t="s">
        <v>3993</v>
      </c>
    </row>
    <row r="3188" spans="2:5" x14ac:dyDescent="0.25">
      <c r="B3188" s="114" t="s">
        <v>1073</v>
      </c>
      <c r="D3188" s="114" t="s">
        <v>1073</v>
      </c>
      <c r="E3188" s="114" t="s">
        <v>3993</v>
      </c>
    </row>
    <row r="3189" spans="2:5" x14ac:dyDescent="0.25">
      <c r="B3189" s="114" t="s">
        <v>1073</v>
      </c>
      <c r="D3189" s="114" t="s">
        <v>1073</v>
      </c>
      <c r="E3189" s="114" t="s">
        <v>3993</v>
      </c>
    </row>
    <row r="3190" spans="2:5" x14ac:dyDescent="0.25">
      <c r="B3190" s="114" t="s">
        <v>1073</v>
      </c>
      <c r="D3190" s="114" t="s">
        <v>1073</v>
      </c>
      <c r="E3190" s="114" t="s">
        <v>3993</v>
      </c>
    </row>
    <row r="3191" spans="2:5" x14ac:dyDescent="0.25">
      <c r="B3191" s="114" t="s">
        <v>1073</v>
      </c>
      <c r="D3191" s="114" t="s">
        <v>1073</v>
      </c>
      <c r="E3191" s="114" t="s">
        <v>3993</v>
      </c>
    </row>
    <row r="3192" spans="2:5" x14ac:dyDescent="0.25">
      <c r="B3192" s="114" t="s">
        <v>1073</v>
      </c>
      <c r="D3192" s="114" t="s">
        <v>1073</v>
      </c>
      <c r="E3192" s="114" t="s">
        <v>3993</v>
      </c>
    </row>
    <row r="3193" spans="2:5" x14ac:dyDescent="0.25">
      <c r="B3193" s="114" t="s">
        <v>1073</v>
      </c>
      <c r="D3193" s="114" t="s">
        <v>1073</v>
      </c>
      <c r="E3193" s="114" t="s">
        <v>3993</v>
      </c>
    </row>
    <row r="3194" spans="2:5" x14ac:dyDescent="0.25">
      <c r="B3194" s="114" t="s">
        <v>1073</v>
      </c>
      <c r="D3194" s="114" t="s">
        <v>1073</v>
      </c>
      <c r="E3194" s="114" t="s">
        <v>3993</v>
      </c>
    </row>
    <row r="3195" spans="2:5" x14ac:dyDescent="0.25">
      <c r="B3195" s="114" t="s">
        <v>1073</v>
      </c>
      <c r="D3195" s="114" t="s">
        <v>1073</v>
      </c>
      <c r="E3195" s="114" t="s">
        <v>3993</v>
      </c>
    </row>
    <row r="3196" spans="2:5" x14ac:dyDescent="0.25">
      <c r="B3196" s="114" t="s">
        <v>1073</v>
      </c>
      <c r="D3196" s="114" t="s">
        <v>1073</v>
      </c>
      <c r="E3196" s="114" t="s">
        <v>3993</v>
      </c>
    </row>
    <row r="3197" spans="2:5" x14ac:dyDescent="0.25">
      <c r="B3197" s="114" t="s">
        <v>1073</v>
      </c>
      <c r="D3197" s="114" t="s">
        <v>1073</v>
      </c>
      <c r="E3197" s="114" t="s">
        <v>3993</v>
      </c>
    </row>
    <row r="3198" spans="2:5" x14ac:dyDescent="0.25">
      <c r="B3198" s="114" t="s">
        <v>1073</v>
      </c>
      <c r="D3198" s="114" t="s">
        <v>1073</v>
      </c>
      <c r="E3198" s="114" t="s">
        <v>3993</v>
      </c>
    </row>
    <row r="3199" spans="2:5" x14ac:dyDescent="0.25">
      <c r="B3199" s="114" t="s">
        <v>1073</v>
      </c>
      <c r="D3199" s="114" t="s">
        <v>1073</v>
      </c>
      <c r="E3199" s="114" t="s">
        <v>3993</v>
      </c>
    </row>
    <row r="3200" spans="2:5" x14ac:dyDescent="0.25">
      <c r="B3200" s="114" t="s">
        <v>1073</v>
      </c>
      <c r="D3200" s="114" t="s">
        <v>1073</v>
      </c>
      <c r="E3200" s="114" t="s">
        <v>3993</v>
      </c>
    </row>
    <row r="3201" spans="2:5" x14ac:dyDescent="0.25">
      <c r="B3201" s="114" t="s">
        <v>1073</v>
      </c>
      <c r="D3201" s="114" t="s">
        <v>1073</v>
      </c>
      <c r="E3201" s="114" t="s">
        <v>3993</v>
      </c>
    </row>
    <row r="3202" spans="2:5" x14ac:dyDescent="0.25">
      <c r="B3202" s="114" t="s">
        <v>1073</v>
      </c>
      <c r="D3202" s="114" t="s">
        <v>1073</v>
      </c>
      <c r="E3202" s="114" t="s">
        <v>3993</v>
      </c>
    </row>
    <row r="3203" spans="2:5" x14ac:dyDescent="0.25">
      <c r="B3203" s="114" t="s">
        <v>1073</v>
      </c>
      <c r="D3203" s="114" t="s">
        <v>1073</v>
      </c>
      <c r="E3203" s="114" t="s">
        <v>3993</v>
      </c>
    </row>
    <row r="3204" spans="2:5" x14ac:dyDescent="0.25">
      <c r="B3204" s="114" t="s">
        <v>1073</v>
      </c>
      <c r="D3204" s="114" t="s">
        <v>1073</v>
      </c>
      <c r="E3204" s="114" t="s">
        <v>3993</v>
      </c>
    </row>
    <row r="3205" spans="2:5" x14ac:dyDescent="0.25">
      <c r="B3205" s="114" t="s">
        <v>1073</v>
      </c>
      <c r="D3205" s="114" t="s">
        <v>1073</v>
      </c>
      <c r="E3205" s="114" t="s">
        <v>3993</v>
      </c>
    </row>
    <row r="3206" spans="2:5" x14ac:dyDescent="0.25">
      <c r="B3206" s="114" t="s">
        <v>1073</v>
      </c>
      <c r="D3206" s="114" t="s">
        <v>1073</v>
      </c>
      <c r="E3206" s="114" t="s">
        <v>3993</v>
      </c>
    </row>
    <row r="3207" spans="2:5" x14ac:dyDescent="0.25">
      <c r="B3207" s="114" t="s">
        <v>1073</v>
      </c>
      <c r="D3207" s="114" t="s">
        <v>1073</v>
      </c>
      <c r="E3207" s="114" t="s">
        <v>3993</v>
      </c>
    </row>
    <row r="3208" spans="2:5" x14ac:dyDescent="0.25">
      <c r="B3208" s="114" t="s">
        <v>1073</v>
      </c>
      <c r="D3208" s="114" t="s">
        <v>1073</v>
      </c>
      <c r="E3208" s="114" t="s">
        <v>3993</v>
      </c>
    </row>
    <row r="3209" spans="2:5" x14ac:dyDescent="0.25">
      <c r="B3209" s="114" t="s">
        <v>1073</v>
      </c>
      <c r="D3209" s="114" t="s">
        <v>1073</v>
      </c>
      <c r="E3209" s="114" t="s">
        <v>3993</v>
      </c>
    </row>
    <row r="3210" spans="2:5" x14ac:dyDescent="0.25">
      <c r="B3210" s="114" t="s">
        <v>1073</v>
      </c>
      <c r="D3210" s="114" t="s">
        <v>1073</v>
      </c>
      <c r="E3210" s="114" t="s">
        <v>3993</v>
      </c>
    </row>
    <row r="3211" spans="2:5" x14ac:dyDescent="0.25">
      <c r="B3211" s="114" t="s">
        <v>1073</v>
      </c>
      <c r="D3211" s="114" t="s">
        <v>1073</v>
      </c>
      <c r="E3211" s="114" t="s">
        <v>3993</v>
      </c>
    </row>
    <row r="3212" spans="2:5" x14ac:dyDescent="0.25">
      <c r="B3212" s="114" t="s">
        <v>1073</v>
      </c>
      <c r="D3212" s="114" t="s">
        <v>1073</v>
      </c>
      <c r="E3212" s="114" t="s">
        <v>3993</v>
      </c>
    </row>
    <row r="3213" spans="2:5" x14ac:dyDescent="0.25">
      <c r="B3213" s="114" t="s">
        <v>1073</v>
      </c>
      <c r="D3213" s="114" t="s">
        <v>1073</v>
      </c>
      <c r="E3213" s="114" t="s">
        <v>3993</v>
      </c>
    </row>
    <row r="3214" spans="2:5" x14ac:dyDescent="0.25">
      <c r="B3214" s="114" t="s">
        <v>1073</v>
      </c>
      <c r="D3214" s="114" t="s">
        <v>1073</v>
      </c>
      <c r="E3214" s="114" t="s">
        <v>3993</v>
      </c>
    </row>
    <row r="3215" spans="2:5" x14ac:dyDescent="0.25">
      <c r="B3215" s="114" t="s">
        <v>1073</v>
      </c>
      <c r="D3215" s="114" t="s">
        <v>1073</v>
      </c>
      <c r="E3215" s="114" t="s">
        <v>3993</v>
      </c>
    </row>
    <row r="3216" spans="2:5" x14ac:dyDescent="0.25">
      <c r="B3216" s="114" t="s">
        <v>1073</v>
      </c>
      <c r="D3216" s="114" t="s">
        <v>1073</v>
      </c>
      <c r="E3216" s="114" t="s">
        <v>3993</v>
      </c>
    </row>
    <row r="3217" spans="2:5" x14ac:dyDescent="0.25">
      <c r="B3217" s="114" t="s">
        <v>1073</v>
      </c>
      <c r="D3217" s="114" t="s">
        <v>1073</v>
      </c>
      <c r="E3217" s="114" t="s">
        <v>3993</v>
      </c>
    </row>
    <row r="3218" spans="2:5" x14ac:dyDescent="0.25">
      <c r="B3218" s="114" t="s">
        <v>1073</v>
      </c>
      <c r="D3218" s="114" t="s">
        <v>1073</v>
      </c>
      <c r="E3218" s="114" t="s">
        <v>3993</v>
      </c>
    </row>
    <row r="3219" spans="2:5" x14ac:dyDescent="0.25">
      <c r="B3219" s="114" t="s">
        <v>1073</v>
      </c>
      <c r="D3219" s="114" t="s">
        <v>1073</v>
      </c>
      <c r="E3219" s="114" t="s">
        <v>3993</v>
      </c>
    </row>
    <row r="3220" spans="2:5" x14ac:dyDescent="0.25">
      <c r="B3220" s="114" t="s">
        <v>1073</v>
      </c>
      <c r="D3220" s="114" t="s">
        <v>1073</v>
      </c>
      <c r="E3220" s="114" t="s">
        <v>3993</v>
      </c>
    </row>
    <row r="3221" spans="2:5" x14ac:dyDescent="0.25">
      <c r="B3221" s="114" t="s">
        <v>1073</v>
      </c>
      <c r="D3221" s="114" t="s">
        <v>1073</v>
      </c>
      <c r="E3221" s="114" t="s">
        <v>3993</v>
      </c>
    </row>
    <row r="3222" spans="2:5" x14ac:dyDescent="0.25">
      <c r="B3222" s="114" t="s">
        <v>1073</v>
      </c>
      <c r="D3222" s="114" t="s">
        <v>1073</v>
      </c>
      <c r="E3222" s="114" t="s">
        <v>3993</v>
      </c>
    </row>
    <row r="3223" spans="2:5" x14ac:dyDescent="0.25">
      <c r="B3223" s="114" t="s">
        <v>1073</v>
      </c>
      <c r="D3223" s="114" t="s">
        <v>1073</v>
      </c>
      <c r="E3223" s="114" t="s">
        <v>3993</v>
      </c>
    </row>
    <row r="3224" spans="2:5" x14ac:dyDescent="0.25">
      <c r="B3224" s="114" t="s">
        <v>1073</v>
      </c>
      <c r="D3224" s="114" t="s">
        <v>1073</v>
      </c>
      <c r="E3224" s="114" t="s">
        <v>3993</v>
      </c>
    </row>
    <row r="3225" spans="2:5" x14ac:dyDescent="0.25">
      <c r="B3225" s="114" t="s">
        <v>1073</v>
      </c>
      <c r="D3225" s="114" t="s">
        <v>1073</v>
      </c>
      <c r="E3225" s="114" t="s">
        <v>3993</v>
      </c>
    </row>
    <row r="3226" spans="2:5" x14ac:dyDescent="0.25">
      <c r="B3226" s="114" t="s">
        <v>1073</v>
      </c>
      <c r="D3226" s="114" t="s">
        <v>1073</v>
      </c>
      <c r="E3226" s="114" t="s">
        <v>3993</v>
      </c>
    </row>
    <row r="3227" spans="2:5" x14ac:dyDescent="0.25">
      <c r="B3227" s="114" t="s">
        <v>1073</v>
      </c>
      <c r="D3227" s="114" t="s">
        <v>1073</v>
      </c>
      <c r="E3227" s="114" t="s">
        <v>3993</v>
      </c>
    </row>
    <row r="3228" spans="2:5" x14ac:dyDescent="0.25">
      <c r="B3228" s="114" t="s">
        <v>1073</v>
      </c>
      <c r="D3228" s="114" t="s">
        <v>1073</v>
      </c>
      <c r="E3228" s="114" t="s">
        <v>3993</v>
      </c>
    </row>
    <row r="3229" spans="2:5" x14ac:dyDescent="0.25">
      <c r="B3229" s="114" t="s">
        <v>1073</v>
      </c>
      <c r="D3229" s="114" t="s">
        <v>1073</v>
      </c>
      <c r="E3229" s="114" t="s">
        <v>3993</v>
      </c>
    </row>
    <row r="3230" spans="2:5" x14ac:dyDescent="0.25">
      <c r="B3230" s="114" t="s">
        <v>1073</v>
      </c>
      <c r="D3230" s="114" t="s">
        <v>1073</v>
      </c>
      <c r="E3230" s="114" t="s">
        <v>3993</v>
      </c>
    </row>
    <row r="3231" spans="2:5" x14ac:dyDescent="0.25">
      <c r="B3231" s="114" t="s">
        <v>1073</v>
      </c>
      <c r="D3231" s="114" t="s">
        <v>1073</v>
      </c>
      <c r="E3231" s="114" t="s">
        <v>3993</v>
      </c>
    </row>
    <row r="3232" spans="2:5" x14ac:dyDescent="0.25">
      <c r="B3232" s="114" t="s">
        <v>1073</v>
      </c>
      <c r="D3232" s="114" t="s">
        <v>1073</v>
      </c>
      <c r="E3232" s="114" t="s">
        <v>3993</v>
      </c>
    </row>
    <row r="3233" spans="2:5" x14ac:dyDescent="0.25">
      <c r="B3233" s="114" t="s">
        <v>1073</v>
      </c>
      <c r="D3233" s="114" t="s">
        <v>1073</v>
      </c>
      <c r="E3233" s="114" t="s">
        <v>3993</v>
      </c>
    </row>
    <row r="3234" spans="2:5" x14ac:dyDescent="0.25">
      <c r="B3234" s="114" t="s">
        <v>1073</v>
      </c>
      <c r="D3234" s="114" t="s">
        <v>1073</v>
      </c>
      <c r="E3234" s="114" t="s">
        <v>3993</v>
      </c>
    </row>
    <row r="3235" spans="2:5" x14ac:dyDescent="0.25">
      <c r="B3235" s="114" t="s">
        <v>1073</v>
      </c>
      <c r="D3235" s="114" t="s">
        <v>1073</v>
      </c>
      <c r="E3235" s="114" t="s">
        <v>3993</v>
      </c>
    </row>
    <row r="3236" spans="2:5" x14ac:dyDescent="0.25">
      <c r="B3236" s="114" t="s">
        <v>1073</v>
      </c>
      <c r="D3236" s="114" t="s">
        <v>1073</v>
      </c>
      <c r="E3236" s="114" t="s">
        <v>3993</v>
      </c>
    </row>
    <row r="3237" spans="2:5" x14ac:dyDescent="0.25">
      <c r="B3237" s="114" t="s">
        <v>1073</v>
      </c>
      <c r="D3237" s="114" t="s">
        <v>1073</v>
      </c>
      <c r="E3237" s="114" t="s">
        <v>3993</v>
      </c>
    </row>
    <row r="3238" spans="2:5" x14ac:dyDescent="0.25">
      <c r="B3238" s="114" t="s">
        <v>1073</v>
      </c>
      <c r="D3238" s="114" t="s">
        <v>1073</v>
      </c>
      <c r="E3238" s="114" t="s">
        <v>3993</v>
      </c>
    </row>
    <row r="3239" spans="2:5" x14ac:dyDescent="0.25">
      <c r="B3239" s="114" t="s">
        <v>1073</v>
      </c>
      <c r="D3239" s="114" t="s">
        <v>1073</v>
      </c>
      <c r="E3239" s="114" t="s">
        <v>3993</v>
      </c>
    </row>
    <row r="3240" spans="2:5" x14ac:dyDescent="0.25">
      <c r="B3240" s="114" t="s">
        <v>1073</v>
      </c>
      <c r="D3240" s="114" t="s">
        <v>1073</v>
      </c>
      <c r="E3240" s="114" t="s">
        <v>3993</v>
      </c>
    </row>
    <row r="3241" spans="2:5" x14ac:dyDescent="0.25">
      <c r="B3241" s="114" t="s">
        <v>1073</v>
      </c>
      <c r="D3241" s="114" t="s">
        <v>1073</v>
      </c>
      <c r="E3241" s="114" t="s">
        <v>3993</v>
      </c>
    </row>
    <row r="3242" spans="2:5" x14ac:dyDescent="0.25">
      <c r="B3242" s="114" t="s">
        <v>1073</v>
      </c>
      <c r="D3242" s="114" t="s">
        <v>1073</v>
      </c>
      <c r="E3242" s="114" t="s">
        <v>3993</v>
      </c>
    </row>
    <row r="3243" spans="2:5" x14ac:dyDescent="0.25">
      <c r="B3243" s="114" t="s">
        <v>1073</v>
      </c>
      <c r="D3243" s="114" t="s">
        <v>1073</v>
      </c>
      <c r="E3243" s="114" t="s">
        <v>3993</v>
      </c>
    </row>
    <row r="3244" spans="2:5" x14ac:dyDescent="0.25">
      <c r="B3244" s="114" t="s">
        <v>1073</v>
      </c>
      <c r="D3244" s="114" t="s">
        <v>1073</v>
      </c>
      <c r="E3244" s="114" t="s">
        <v>3993</v>
      </c>
    </row>
    <row r="3245" spans="2:5" x14ac:dyDescent="0.25">
      <c r="B3245" s="114" t="s">
        <v>1073</v>
      </c>
      <c r="D3245" s="114" t="s">
        <v>1073</v>
      </c>
      <c r="E3245" s="114" t="s">
        <v>3993</v>
      </c>
    </row>
    <row r="3246" spans="2:5" x14ac:dyDescent="0.25">
      <c r="B3246" s="114" t="s">
        <v>1073</v>
      </c>
      <c r="D3246" s="114" t="s">
        <v>1073</v>
      </c>
      <c r="E3246" s="114" t="s">
        <v>3993</v>
      </c>
    </row>
    <row r="3247" spans="2:5" x14ac:dyDescent="0.25">
      <c r="B3247" s="114" t="s">
        <v>1073</v>
      </c>
      <c r="D3247" s="114" t="s">
        <v>1073</v>
      </c>
      <c r="E3247" s="114" t="s">
        <v>3993</v>
      </c>
    </row>
    <row r="3248" spans="2:5" x14ac:dyDescent="0.25">
      <c r="B3248" s="114" t="s">
        <v>1073</v>
      </c>
      <c r="D3248" s="114" t="s">
        <v>1073</v>
      </c>
      <c r="E3248" s="114" t="s">
        <v>3993</v>
      </c>
    </row>
    <row r="3249" spans="2:5" x14ac:dyDescent="0.25">
      <c r="B3249" s="114" t="s">
        <v>1073</v>
      </c>
      <c r="D3249" s="114" t="s">
        <v>1073</v>
      </c>
      <c r="E3249" s="114" t="s">
        <v>3993</v>
      </c>
    </row>
    <row r="3250" spans="2:5" x14ac:dyDescent="0.25">
      <c r="B3250" s="114" t="s">
        <v>1073</v>
      </c>
      <c r="D3250" s="114" t="s">
        <v>1073</v>
      </c>
      <c r="E3250" s="114" t="s">
        <v>3993</v>
      </c>
    </row>
    <row r="3251" spans="2:5" x14ac:dyDescent="0.25">
      <c r="B3251" s="114" t="s">
        <v>1073</v>
      </c>
      <c r="D3251" s="114" t="s">
        <v>1073</v>
      </c>
      <c r="E3251" s="114" t="s">
        <v>3993</v>
      </c>
    </row>
    <row r="3252" spans="2:5" x14ac:dyDescent="0.25">
      <c r="B3252" s="114" t="s">
        <v>1073</v>
      </c>
      <c r="D3252" s="114" t="s">
        <v>1073</v>
      </c>
      <c r="E3252" s="114" t="s">
        <v>3993</v>
      </c>
    </row>
    <row r="3253" spans="2:5" x14ac:dyDescent="0.25">
      <c r="B3253" s="114" t="s">
        <v>1073</v>
      </c>
      <c r="D3253" s="114" t="s">
        <v>1073</v>
      </c>
      <c r="E3253" s="114" t="s">
        <v>3993</v>
      </c>
    </row>
    <row r="3254" spans="2:5" x14ac:dyDescent="0.25">
      <c r="B3254" s="114" t="s">
        <v>1073</v>
      </c>
      <c r="D3254" s="114" t="s">
        <v>1073</v>
      </c>
      <c r="E3254" s="114" t="s">
        <v>3993</v>
      </c>
    </row>
    <row r="3255" spans="2:5" x14ac:dyDescent="0.25">
      <c r="B3255" s="114" t="s">
        <v>1073</v>
      </c>
      <c r="D3255" s="114" t="s">
        <v>1073</v>
      </c>
      <c r="E3255" s="114" t="s">
        <v>3993</v>
      </c>
    </row>
    <row r="3256" spans="2:5" x14ac:dyDescent="0.25">
      <c r="B3256" s="114" t="s">
        <v>1073</v>
      </c>
      <c r="D3256" s="114" t="s">
        <v>1073</v>
      </c>
      <c r="E3256" s="114" t="s">
        <v>3993</v>
      </c>
    </row>
    <row r="3257" spans="2:5" x14ac:dyDescent="0.25">
      <c r="B3257" s="114" t="s">
        <v>1073</v>
      </c>
      <c r="D3257" s="114" t="s">
        <v>1073</v>
      </c>
      <c r="E3257" s="114" t="s">
        <v>3993</v>
      </c>
    </row>
    <row r="3258" spans="2:5" x14ac:dyDescent="0.25">
      <c r="B3258" s="114" t="s">
        <v>1073</v>
      </c>
      <c r="D3258" s="114" t="s">
        <v>1073</v>
      </c>
      <c r="E3258" s="114" t="s">
        <v>3993</v>
      </c>
    </row>
    <row r="3259" spans="2:5" x14ac:dyDescent="0.25">
      <c r="B3259" s="114" t="s">
        <v>1073</v>
      </c>
      <c r="D3259" s="114" t="s">
        <v>1073</v>
      </c>
      <c r="E3259" s="114" t="s">
        <v>3993</v>
      </c>
    </row>
    <row r="3260" spans="2:5" x14ac:dyDescent="0.25">
      <c r="B3260" s="114" t="s">
        <v>1073</v>
      </c>
      <c r="D3260" s="114" t="s">
        <v>1073</v>
      </c>
      <c r="E3260" s="114" t="s">
        <v>3993</v>
      </c>
    </row>
    <row r="3261" spans="2:5" x14ac:dyDescent="0.25">
      <c r="B3261" s="114" t="s">
        <v>1073</v>
      </c>
      <c r="D3261" s="114" t="s">
        <v>1073</v>
      </c>
      <c r="E3261" s="114" t="s">
        <v>3993</v>
      </c>
    </row>
    <row r="3262" spans="2:5" x14ac:dyDescent="0.25">
      <c r="B3262" s="114" t="s">
        <v>1073</v>
      </c>
      <c r="D3262" s="114" t="s">
        <v>1073</v>
      </c>
      <c r="E3262" s="114" t="s">
        <v>3993</v>
      </c>
    </row>
    <row r="3263" spans="2:5" x14ac:dyDescent="0.25">
      <c r="B3263" s="114" t="s">
        <v>1073</v>
      </c>
      <c r="D3263" s="114" t="s">
        <v>1073</v>
      </c>
      <c r="E3263" s="114" t="s">
        <v>3993</v>
      </c>
    </row>
    <row r="3264" spans="2:5" x14ac:dyDescent="0.25">
      <c r="B3264" s="114" t="s">
        <v>1073</v>
      </c>
      <c r="D3264" s="114" t="s">
        <v>1073</v>
      </c>
      <c r="E3264" s="114" t="s">
        <v>3993</v>
      </c>
    </row>
    <row r="3265" spans="2:5" x14ac:dyDescent="0.25">
      <c r="B3265" s="114" t="s">
        <v>1073</v>
      </c>
      <c r="D3265" s="114" t="s">
        <v>1073</v>
      </c>
      <c r="E3265" s="114" t="s">
        <v>3993</v>
      </c>
    </row>
    <row r="3266" spans="2:5" x14ac:dyDescent="0.25">
      <c r="B3266" s="114" t="s">
        <v>1073</v>
      </c>
      <c r="D3266" s="114" t="s">
        <v>1073</v>
      </c>
      <c r="E3266" s="114" t="s">
        <v>3993</v>
      </c>
    </row>
    <row r="3267" spans="2:5" x14ac:dyDescent="0.25">
      <c r="B3267" s="114" t="s">
        <v>1073</v>
      </c>
      <c r="D3267" s="114" t="s">
        <v>1073</v>
      </c>
      <c r="E3267" s="114" t="s">
        <v>3993</v>
      </c>
    </row>
    <row r="3268" spans="2:5" x14ac:dyDescent="0.25">
      <c r="B3268" s="114" t="s">
        <v>1073</v>
      </c>
      <c r="D3268" s="114" t="s">
        <v>1073</v>
      </c>
      <c r="E3268" s="114" t="s">
        <v>3993</v>
      </c>
    </row>
    <row r="3269" spans="2:5" x14ac:dyDescent="0.25">
      <c r="B3269" s="114" t="s">
        <v>1073</v>
      </c>
      <c r="D3269" s="114" t="s">
        <v>1073</v>
      </c>
      <c r="E3269" s="114" t="s">
        <v>3993</v>
      </c>
    </row>
    <row r="3270" spans="2:5" x14ac:dyDescent="0.25">
      <c r="B3270" s="114" t="s">
        <v>1073</v>
      </c>
      <c r="D3270" s="114" t="s">
        <v>1073</v>
      </c>
      <c r="E3270" s="114" t="s">
        <v>3993</v>
      </c>
    </row>
    <row r="3271" spans="2:5" x14ac:dyDescent="0.25">
      <c r="B3271" s="114" t="s">
        <v>1073</v>
      </c>
      <c r="D3271" s="114" t="s">
        <v>1073</v>
      </c>
      <c r="E3271" s="114" t="s">
        <v>3993</v>
      </c>
    </row>
    <row r="3272" spans="2:5" x14ac:dyDescent="0.25">
      <c r="B3272" s="114" t="s">
        <v>1073</v>
      </c>
      <c r="D3272" s="114" t="s">
        <v>1073</v>
      </c>
      <c r="E3272" s="114" t="s">
        <v>3993</v>
      </c>
    </row>
    <row r="3273" spans="2:5" x14ac:dyDescent="0.25">
      <c r="B3273" s="114" t="s">
        <v>1073</v>
      </c>
      <c r="D3273" s="114" t="s">
        <v>1073</v>
      </c>
      <c r="E3273" s="114" t="s">
        <v>3993</v>
      </c>
    </row>
    <row r="3274" spans="2:5" x14ac:dyDescent="0.25">
      <c r="B3274" s="114" t="s">
        <v>1073</v>
      </c>
      <c r="D3274" s="114" t="s">
        <v>1073</v>
      </c>
      <c r="E3274" s="114" t="s">
        <v>3993</v>
      </c>
    </row>
    <row r="3275" spans="2:5" x14ac:dyDescent="0.25">
      <c r="B3275" s="114" t="s">
        <v>1073</v>
      </c>
      <c r="D3275" s="114" t="s">
        <v>1073</v>
      </c>
      <c r="E3275" s="114" t="s">
        <v>3993</v>
      </c>
    </row>
    <row r="3276" spans="2:5" x14ac:dyDescent="0.25">
      <c r="B3276" s="114" t="s">
        <v>1073</v>
      </c>
      <c r="D3276" s="114" t="s">
        <v>1073</v>
      </c>
      <c r="E3276" s="114" t="s">
        <v>3993</v>
      </c>
    </row>
    <row r="3277" spans="2:5" x14ac:dyDescent="0.25">
      <c r="B3277" s="114" t="s">
        <v>1073</v>
      </c>
      <c r="D3277" s="114" t="s">
        <v>1073</v>
      </c>
      <c r="E3277" s="114" t="s">
        <v>3993</v>
      </c>
    </row>
    <row r="3278" spans="2:5" x14ac:dyDescent="0.25">
      <c r="B3278" s="114" t="s">
        <v>1073</v>
      </c>
      <c r="D3278" s="114" t="s">
        <v>1073</v>
      </c>
      <c r="E3278" s="114" t="s">
        <v>3993</v>
      </c>
    </row>
    <row r="3279" spans="2:5" x14ac:dyDescent="0.25">
      <c r="B3279" s="114" t="s">
        <v>1073</v>
      </c>
      <c r="D3279" s="114" t="s">
        <v>1073</v>
      </c>
      <c r="E3279" s="114" t="s">
        <v>3993</v>
      </c>
    </row>
    <row r="3280" spans="2:5" x14ac:dyDescent="0.25">
      <c r="B3280" s="114" t="s">
        <v>1073</v>
      </c>
      <c r="D3280" s="114" t="s">
        <v>1073</v>
      </c>
      <c r="E3280" s="114" t="s">
        <v>3993</v>
      </c>
    </row>
    <row r="3281" spans="2:5" x14ac:dyDescent="0.25">
      <c r="B3281" s="114" t="s">
        <v>1073</v>
      </c>
      <c r="D3281" s="114" t="s">
        <v>1073</v>
      </c>
      <c r="E3281" s="114" t="s">
        <v>3993</v>
      </c>
    </row>
    <row r="3282" spans="2:5" x14ac:dyDescent="0.25">
      <c r="B3282" s="114" t="s">
        <v>1073</v>
      </c>
      <c r="D3282" s="114" t="s">
        <v>1073</v>
      </c>
      <c r="E3282" s="114" t="s">
        <v>3993</v>
      </c>
    </row>
    <row r="3283" spans="2:5" x14ac:dyDescent="0.25">
      <c r="B3283" s="114" t="s">
        <v>1073</v>
      </c>
      <c r="D3283" s="114" t="s">
        <v>1073</v>
      </c>
      <c r="E3283" s="114" t="s">
        <v>3993</v>
      </c>
    </row>
    <row r="3284" spans="2:5" x14ac:dyDescent="0.25">
      <c r="B3284" s="114" t="s">
        <v>1073</v>
      </c>
      <c r="D3284" s="114" t="s">
        <v>1073</v>
      </c>
      <c r="E3284" s="114" t="s">
        <v>3993</v>
      </c>
    </row>
    <row r="3285" spans="2:5" x14ac:dyDescent="0.25">
      <c r="B3285" s="114" t="s">
        <v>1073</v>
      </c>
      <c r="D3285" s="114" t="s">
        <v>1073</v>
      </c>
      <c r="E3285" s="114" t="s">
        <v>3993</v>
      </c>
    </row>
    <row r="3286" spans="2:5" x14ac:dyDescent="0.25">
      <c r="B3286" s="114" t="s">
        <v>1073</v>
      </c>
      <c r="D3286" s="114" t="s">
        <v>1073</v>
      </c>
      <c r="E3286" s="114" t="s">
        <v>3993</v>
      </c>
    </row>
    <row r="3287" spans="2:5" x14ac:dyDescent="0.25">
      <c r="B3287" s="114" t="s">
        <v>1073</v>
      </c>
      <c r="D3287" s="114" t="s">
        <v>1073</v>
      </c>
      <c r="E3287" s="114" t="s">
        <v>3993</v>
      </c>
    </row>
    <row r="3288" spans="2:5" x14ac:dyDescent="0.25">
      <c r="B3288" s="114" t="s">
        <v>1073</v>
      </c>
      <c r="D3288" s="114" t="s">
        <v>1073</v>
      </c>
      <c r="E3288" s="114" t="s">
        <v>3993</v>
      </c>
    </row>
    <row r="3289" spans="2:5" x14ac:dyDescent="0.25">
      <c r="B3289" s="114" t="s">
        <v>1073</v>
      </c>
      <c r="D3289" s="114" t="s">
        <v>1073</v>
      </c>
      <c r="E3289" s="114" t="s">
        <v>3993</v>
      </c>
    </row>
    <row r="3290" spans="2:5" x14ac:dyDescent="0.25">
      <c r="B3290" s="114" t="s">
        <v>1073</v>
      </c>
      <c r="D3290" s="114" t="s">
        <v>1073</v>
      </c>
      <c r="E3290" s="114" t="s">
        <v>3993</v>
      </c>
    </row>
    <row r="3291" spans="2:5" x14ac:dyDescent="0.25">
      <c r="B3291" s="114" t="s">
        <v>1073</v>
      </c>
      <c r="D3291" s="114" t="s">
        <v>1073</v>
      </c>
      <c r="E3291" s="114" t="s">
        <v>3993</v>
      </c>
    </row>
    <row r="3292" spans="2:5" x14ac:dyDescent="0.25">
      <c r="B3292" s="114" t="s">
        <v>1073</v>
      </c>
      <c r="D3292" s="114" t="s">
        <v>1073</v>
      </c>
      <c r="E3292" s="114" t="s">
        <v>3993</v>
      </c>
    </row>
    <row r="3293" spans="2:5" x14ac:dyDescent="0.25">
      <c r="B3293" s="114" t="s">
        <v>1073</v>
      </c>
      <c r="D3293" s="114" t="s">
        <v>1073</v>
      </c>
      <c r="E3293" s="114" t="s">
        <v>3993</v>
      </c>
    </row>
    <row r="3294" spans="2:5" x14ac:dyDescent="0.25">
      <c r="B3294" s="114" t="s">
        <v>1073</v>
      </c>
      <c r="D3294" s="114" t="s">
        <v>1073</v>
      </c>
      <c r="E3294" s="114" t="s">
        <v>3993</v>
      </c>
    </row>
    <row r="3295" spans="2:5" x14ac:dyDescent="0.25">
      <c r="B3295" s="114" t="s">
        <v>1073</v>
      </c>
      <c r="D3295" s="114" t="s">
        <v>1073</v>
      </c>
      <c r="E3295" s="114" t="s">
        <v>3993</v>
      </c>
    </row>
    <row r="3296" spans="2:5" x14ac:dyDescent="0.25">
      <c r="B3296" s="114" t="s">
        <v>1073</v>
      </c>
      <c r="D3296" s="114" t="s">
        <v>1073</v>
      </c>
      <c r="E3296" s="114" t="s">
        <v>3993</v>
      </c>
    </row>
    <row r="3297" spans="2:5" x14ac:dyDescent="0.25">
      <c r="B3297" s="114" t="s">
        <v>1073</v>
      </c>
      <c r="D3297" s="114" t="s">
        <v>1073</v>
      </c>
      <c r="E3297" s="114" t="s">
        <v>3993</v>
      </c>
    </row>
    <row r="3298" spans="2:5" x14ac:dyDescent="0.25">
      <c r="B3298" s="114" t="s">
        <v>1073</v>
      </c>
      <c r="D3298" s="114" t="s">
        <v>1073</v>
      </c>
      <c r="E3298" s="114" t="s">
        <v>3993</v>
      </c>
    </row>
    <row r="3299" spans="2:5" x14ac:dyDescent="0.25">
      <c r="B3299" s="114" t="s">
        <v>1073</v>
      </c>
      <c r="D3299" s="114" t="s">
        <v>1073</v>
      </c>
      <c r="E3299" s="114" t="s">
        <v>3993</v>
      </c>
    </row>
    <row r="3300" spans="2:5" x14ac:dyDescent="0.25">
      <c r="B3300" s="114" t="s">
        <v>1073</v>
      </c>
      <c r="D3300" s="114" t="s">
        <v>1073</v>
      </c>
      <c r="E3300" s="114" t="s">
        <v>3993</v>
      </c>
    </row>
    <row r="3301" spans="2:5" x14ac:dyDescent="0.25">
      <c r="B3301" s="114" t="s">
        <v>1073</v>
      </c>
      <c r="D3301" s="114" t="s">
        <v>1073</v>
      </c>
      <c r="E3301" s="114" t="s">
        <v>3993</v>
      </c>
    </row>
    <row r="3302" spans="2:5" x14ac:dyDescent="0.25">
      <c r="B3302" s="114" t="s">
        <v>1073</v>
      </c>
      <c r="D3302" s="114" t="s">
        <v>1073</v>
      </c>
      <c r="E3302" s="114" t="s">
        <v>3993</v>
      </c>
    </row>
    <row r="3303" spans="2:5" x14ac:dyDescent="0.25">
      <c r="B3303" s="114" t="s">
        <v>1073</v>
      </c>
      <c r="D3303" s="114" t="s">
        <v>1073</v>
      </c>
      <c r="E3303" s="114" t="s">
        <v>3993</v>
      </c>
    </row>
    <row r="3304" spans="2:5" x14ac:dyDescent="0.25">
      <c r="B3304" s="114" t="s">
        <v>1073</v>
      </c>
      <c r="D3304" s="114" t="s">
        <v>1073</v>
      </c>
      <c r="E3304" s="114" t="s">
        <v>3993</v>
      </c>
    </row>
    <row r="3305" spans="2:5" x14ac:dyDescent="0.25">
      <c r="B3305" s="114" t="s">
        <v>1073</v>
      </c>
      <c r="D3305" s="114" t="s">
        <v>1073</v>
      </c>
      <c r="E3305" s="114" t="s">
        <v>3993</v>
      </c>
    </row>
    <row r="3306" spans="2:5" x14ac:dyDescent="0.25">
      <c r="B3306" s="114" t="s">
        <v>1073</v>
      </c>
      <c r="D3306" s="114" t="s">
        <v>1073</v>
      </c>
      <c r="E3306" s="114" t="s">
        <v>3993</v>
      </c>
    </row>
    <row r="3307" spans="2:5" x14ac:dyDescent="0.25">
      <c r="B3307" s="114" t="s">
        <v>1073</v>
      </c>
      <c r="D3307" s="114" t="s">
        <v>1073</v>
      </c>
      <c r="E3307" s="114" t="s">
        <v>3993</v>
      </c>
    </row>
    <row r="3308" spans="2:5" x14ac:dyDescent="0.25">
      <c r="B3308" s="114" t="s">
        <v>1073</v>
      </c>
      <c r="D3308" s="114" t="s">
        <v>1073</v>
      </c>
      <c r="E3308" s="114" t="s">
        <v>3993</v>
      </c>
    </row>
    <row r="3309" spans="2:5" x14ac:dyDescent="0.25">
      <c r="B3309" s="114" t="s">
        <v>1073</v>
      </c>
      <c r="D3309" s="114" t="s">
        <v>1073</v>
      </c>
      <c r="E3309" s="114" t="s">
        <v>3993</v>
      </c>
    </row>
    <row r="3310" spans="2:5" x14ac:dyDescent="0.25">
      <c r="B3310" s="114" t="s">
        <v>1073</v>
      </c>
      <c r="D3310" s="114" t="s">
        <v>1073</v>
      </c>
      <c r="E3310" s="114" t="s">
        <v>3993</v>
      </c>
    </row>
    <row r="3311" spans="2:5" x14ac:dyDescent="0.25">
      <c r="B3311" s="114" t="s">
        <v>1073</v>
      </c>
      <c r="D3311" s="114" t="s">
        <v>1073</v>
      </c>
      <c r="E3311" s="114" t="s">
        <v>3993</v>
      </c>
    </row>
    <row r="3312" spans="2:5" x14ac:dyDescent="0.25">
      <c r="B3312" s="114" t="s">
        <v>1073</v>
      </c>
      <c r="D3312" s="114" t="s">
        <v>1073</v>
      </c>
      <c r="E3312" s="114" t="s">
        <v>3993</v>
      </c>
    </row>
    <row r="3313" spans="2:5" x14ac:dyDescent="0.25">
      <c r="B3313" s="114" t="s">
        <v>1073</v>
      </c>
      <c r="D3313" s="114" t="s">
        <v>1073</v>
      </c>
      <c r="E3313" s="114" t="s">
        <v>3993</v>
      </c>
    </row>
    <row r="3314" spans="2:5" x14ac:dyDescent="0.25">
      <c r="B3314" s="114" t="s">
        <v>1073</v>
      </c>
      <c r="D3314" s="114" t="s">
        <v>1073</v>
      </c>
      <c r="E3314" s="114" t="s">
        <v>3993</v>
      </c>
    </row>
    <row r="3315" spans="2:5" x14ac:dyDescent="0.25">
      <c r="B3315" s="114" t="s">
        <v>1073</v>
      </c>
      <c r="D3315" s="114" t="s">
        <v>1073</v>
      </c>
      <c r="E3315" s="114" t="s">
        <v>3993</v>
      </c>
    </row>
    <row r="3316" spans="2:5" x14ac:dyDescent="0.25">
      <c r="B3316" s="114" t="s">
        <v>1073</v>
      </c>
      <c r="D3316" s="114" t="s">
        <v>1073</v>
      </c>
      <c r="E3316" s="114" t="s">
        <v>3993</v>
      </c>
    </row>
    <row r="3317" spans="2:5" x14ac:dyDescent="0.25">
      <c r="B3317" s="114" t="s">
        <v>1073</v>
      </c>
      <c r="D3317" s="114" t="s">
        <v>1073</v>
      </c>
      <c r="E3317" s="114" t="s">
        <v>3993</v>
      </c>
    </row>
    <row r="3318" spans="2:5" x14ac:dyDescent="0.25">
      <c r="B3318" s="114" t="s">
        <v>1073</v>
      </c>
      <c r="D3318" s="114" t="s">
        <v>1073</v>
      </c>
      <c r="E3318" s="114" t="s">
        <v>3993</v>
      </c>
    </row>
    <row r="3319" spans="2:5" x14ac:dyDescent="0.25">
      <c r="B3319" s="114" t="s">
        <v>1073</v>
      </c>
      <c r="D3319" s="114" t="s">
        <v>1073</v>
      </c>
      <c r="E3319" s="114" t="s">
        <v>3993</v>
      </c>
    </row>
    <row r="3320" spans="2:5" x14ac:dyDescent="0.25">
      <c r="B3320" s="114" t="s">
        <v>1073</v>
      </c>
      <c r="D3320" s="114" t="s">
        <v>1073</v>
      </c>
      <c r="E3320" s="114" t="s">
        <v>3993</v>
      </c>
    </row>
    <row r="3321" spans="2:5" x14ac:dyDescent="0.25">
      <c r="B3321" s="114" t="s">
        <v>1073</v>
      </c>
      <c r="D3321" s="114" t="s">
        <v>1073</v>
      </c>
      <c r="E3321" s="114" t="s">
        <v>3993</v>
      </c>
    </row>
    <row r="3322" spans="2:5" x14ac:dyDescent="0.25">
      <c r="B3322" s="114" t="s">
        <v>1073</v>
      </c>
      <c r="D3322" s="114" t="s">
        <v>1073</v>
      </c>
      <c r="E3322" s="114" t="s">
        <v>3993</v>
      </c>
    </row>
    <row r="3323" spans="2:5" x14ac:dyDescent="0.25">
      <c r="B3323" s="114" t="s">
        <v>1073</v>
      </c>
      <c r="D3323" s="114" t="s">
        <v>1073</v>
      </c>
      <c r="E3323" s="114" t="s">
        <v>3993</v>
      </c>
    </row>
    <row r="3324" spans="2:5" x14ac:dyDescent="0.25">
      <c r="B3324" s="114" t="s">
        <v>1073</v>
      </c>
      <c r="D3324" s="114" t="s">
        <v>1073</v>
      </c>
      <c r="E3324" s="114" t="s">
        <v>3993</v>
      </c>
    </row>
    <row r="3325" spans="2:5" x14ac:dyDescent="0.25">
      <c r="B3325" s="114" t="s">
        <v>1073</v>
      </c>
      <c r="D3325" s="114" t="s">
        <v>1073</v>
      </c>
      <c r="E3325" s="114" t="s">
        <v>3993</v>
      </c>
    </row>
    <row r="3326" spans="2:5" x14ac:dyDescent="0.25">
      <c r="B3326" s="114" t="s">
        <v>1073</v>
      </c>
      <c r="D3326" s="114" t="s">
        <v>1073</v>
      </c>
      <c r="E3326" s="114" t="s">
        <v>3993</v>
      </c>
    </row>
    <row r="3327" spans="2:5" x14ac:dyDescent="0.25">
      <c r="B3327" s="114" t="s">
        <v>1073</v>
      </c>
      <c r="D3327" s="114" t="s">
        <v>1073</v>
      </c>
      <c r="E3327" s="114" t="s">
        <v>3993</v>
      </c>
    </row>
    <row r="3328" spans="2:5" x14ac:dyDescent="0.25">
      <c r="B3328" s="114" t="s">
        <v>1073</v>
      </c>
      <c r="D3328" s="114" t="s">
        <v>1073</v>
      </c>
      <c r="E3328" s="114" t="s">
        <v>3993</v>
      </c>
    </row>
    <row r="3329" spans="2:5" x14ac:dyDescent="0.25">
      <c r="B3329" s="114" t="s">
        <v>1073</v>
      </c>
      <c r="D3329" s="114" t="s">
        <v>1073</v>
      </c>
      <c r="E3329" s="114" t="s">
        <v>3993</v>
      </c>
    </row>
    <row r="3330" spans="2:5" x14ac:dyDescent="0.25">
      <c r="B3330" s="114" t="s">
        <v>1073</v>
      </c>
      <c r="D3330" s="114" t="s">
        <v>1073</v>
      </c>
      <c r="E3330" s="114" t="s">
        <v>3993</v>
      </c>
    </row>
    <row r="3331" spans="2:5" x14ac:dyDescent="0.25">
      <c r="B3331" s="114" t="s">
        <v>1073</v>
      </c>
      <c r="D3331" s="114" t="s">
        <v>1073</v>
      </c>
      <c r="E3331" s="114" t="s">
        <v>3993</v>
      </c>
    </row>
    <row r="3332" spans="2:5" x14ac:dyDescent="0.25">
      <c r="B3332" s="114" t="s">
        <v>1073</v>
      </c>
      <c r="D3332" s="114" t="s">
        <v>1073</v>
      </c>
      <c r="E3332" s="114" t="s">
        <v>3993</v>
      </c>
    </row>
    <row r="3333" spans="2:5" x14ac:dyDescent="0.25">
      <c r="B3333" s="114" t="s">
        <v>1073</v>
      </c>
      <c r="D3333" s="114" t="s">
        <v>1073</v>
      </c>
      <c r="E3333" s="114" t="s">
        <v>3993</v>
      </c>
    </row>
    <row r="3334" spans="2:5" x14ac:dyDescent="0.25">
      <c r="B3334" s="114" t="s">
        <v>1073</v>
      </c>
      <c r="D3334" s="114" t="s">
        <v>1073</v>
      </c>
      <c r="E3334" s="114" t="s">
        <v>3993</v>
      </c>
    </row>
    <row r="3335" spans="2:5" x14ac:dyDescent="0.25">
      <c r="B3335" s="114" t="s">
        <v>1073</v>
      </c>
      <c r="D3335" s="114" t="s">
        <v>1073</v>
      </c>
      <c r="E3335" s="114" t="s">
        <v>3993</v>
      </c>
    </row>
    <row r="3336" spans="2:5" x14ac:dyDescent="0.25">
      <c r="B3336" s="114" t="s">
        <v>1073</v>
      </c>
      <c r="D3336" s="114" t="s">
        <v>1073</v>
      </c>
      <c r="E3336" s="114" t="s">
        <v>3993</v>
      </c>
    </row>
    <row r="3337" spans="2:5" x14ac:dyDescent="0.25">
      <c r="B3337" s="114" t="s">
        <v>1073</v>
      </c>
      <c r="D3337" s="114" t="s">
        <v>1073</v>
      </c>
      <c r="E3337" s="114" t="s">
        <v>3993</v>
      </c>
    </row>
    <row r="3338" spans="2:5" x14ac:dyDescent="0.25">
      <c r="B3338" s="114" t="s">
        <v>1073</v>
      </c>
      <c r="D3338" s="114" t="s">
        <v>1073</v>
      </c>
      <c r="E3338" s="114" t="s">
        <v>3993</v>
      </c>
    </row>
    <row r="3339" spans="2:5" x14ac:dyDescent="0.25">
      <c r="B3339" s="114" t="s">
        <v>1073</v>
      </c>
      <c r="D3339" s="114" t="s">
        <v>1073</v>
      </c>
      <c r="E3339" s="114" t="s">
        <v>3993</v>
      </c>
    </row>
    <row r="3340" spans="2:5" x14ac:dyDescent="0.25">
      <c r="B3340" s="114" t="s">
        <v>1073</v>
      </c>
      <c r="D3340" s="114" t="s">
        <v>1073</v>
      </c>
      <c r="E3340" s="114" t="s">
        <v>3993</v>
      </c>
    </row>
    <row r="3341" spans="2:5" x14ac:dyDescent="0.25">
      <c r="B3341" s="114" t="s">
        <v>1073</v>
      </c>
      <c r="D3341" s="114" t="s">
        <v>1073</v>
      </c>
      <c r="E3341" s="114" t="s">
        <v>3993</v>
      </c>
    </row>
    <row r="3342" spans="2:5" x14ac:dyDescent="0.25">
      <c r="B3342" s="114" t="s">
        <v>1073</v>
      </c>
      <c r="D3342" s="114" t="s">
        <v>1073</v>
      </c>
      <c r="E3342" s="114" t="s">
        <v>3993</v>
      </c>
    </row>
    <row r="3343" spans="2:5" x14ac:dyDescent="0.25">
      <c r="B3343" s="114" t="s">
        <v>1073</v>
      </c>
      <c r="D3343" s="114" t="s">
        <v>1073</v>
      </c>
      <c r="E3343" s="114" t="s">
        <v>3993</v>
      </c>
    </row>
    <row r="3344" spans="2:5" x14ac:dyDescent="0.25">
      <c r="B3344" s="114" t="s">
        <v>1073</v>
      </c>
      <c r="D3344" s="114" t="s">
        <v>1073</v>
      </c>
      <c r="E3344" s="114" t="s">
        <v>3993</v>
      </c>
    </row>
    <row r="3345" spans="2:5" x14ac:dyDescent="0.25">
      <c r="B3345" s="114" t="s">
        <v>1073</v>
      </c>
      <c r="D3345" s="114" t="s">
        <v>1073</v>
      </c>
      <c r="E3345" s="114" t="s">
        <v>3993</v>
      </c>
    </row>
    <row r="3346" spans="2:5" x14ac:dyDescent="0.25">
      <c r="B3346" s="114" t="s">
        <v>1073</v>
      </c>
      <c r="D3346" s="114" t="s">
        <v>1073</v>
      </c>
      <c r="E3346" s="114" t="s">
        <v>3993</v>
      </c>
    </row>
    <row r="3347" spans="2:5" x14ac:dyDescent="0.25">
      <c r="B3347" s="114" t="s">
        <v>1073</v>
      </c>
      <c r="D3347" s="114" t="s">
        <v>1073</v>
      </c>
      <c r="E3347" s="114" t="s">
        <v>3993</v>
      </c>
    </row>
    <row r="3348" spans="2:5" x14ac:dyDescent="0.25">
      <c r="B3348" s="114" t="s">
        <v>1073</v>
      </c>
      <c r="D3348" s="114" t="s">
        <v>1073</v>
      </c>
      <c r="E3348" s="114" t="s">
        <v>3993</v>
      </c>
    </row>
    <row r="3349" spans="2:5" x14ac:dyDescent="0.25">
      <c r="B3349" s="114" t="s">
        <v>1073</v>
      </c>
      <c r="D3349" s="114" t="s">
        <v>1073</v>
      </c>
      <c r="E3349" s="114" t="s">
        <v>3993</v>
      </c>
    </row>
    <row r="3350" spans="2:5" x14ac:dyDescent="0.25">
      <c r="B3350" s="114" t="s">
        <v>1073</v>
      </c>
      <c r="D3350" s="114" t="s">
        <v>1073</v>
      </c>
      <c r="E3350" s="114" t="s">
        <v>3993</v>
      </c>
    </row>
    <row r="3351" spans="2:5" x14ac:dyDescent="0.25">
      <c r="B3351" s="114" t="s">
        <v>1073</v>
      </c>
      <c r="D3351" s="114" t="s">
        <v>1073</v>
      </c>
      <c r="E3351" s="114" t="s">
        <v>3993</v>
      </c>
    </row>
    <row r="3352" spans="2:5" x14ac:dyDescent="0.25">
      <c r="B3352" s="114" t="s">
        <v>1073</v>
      </c>
      <c r="D3352" s="114" t="s">
        <v>1073</v>
      </c>
      <c r="E3352" s="114" t="s">
        <v>3993</v>
      </c>
    </row>
    <row r="3353" spans="2:5" x14ac:dyDescent="0.25">
      <c r="B3353" s="114" t="s">
        <v>1073</v>
      </c>
      <c r="D3353" s="114" t="s">
        <v>1073</v>
      </c>
      <c r="E3353" s="114" t="s">
        <v>3993</v>
      </c>
    </row>
    <row r="3354" spans="2:5" x14ac:dyDescent="0.25">
      <c r="B3354" s="114" t="s">
        <v>1073</v>
      </c>
      <c r="D3354" s="114" t="s">
        <v>1073</v>
      </c>
      <c r="E3354" s="114" t="s">
        <v>3993</v>
      </c>
    </row>
    <row r="3355" spans="2:5" x14ac:dyDescent="0.25">
      <c r="B3355" s="114" t="s">
        <v>1073</v>
      </c>
      <c r="D3355" s="114" t="s">
        <v>1073</v>
      </c>
      <c r="E3355" s="114" t="s">
        <v>3993</v>
      </c>
    </row>
    <row r="3356" spans="2:5" x14ac:dyDescent="0.25">
      <c r="B3356" s="114" t="s">
        <v>1073</v>
      </c>
      <c r="D3356" s="114" t="s">
        <v>1073</v>
      </c>
      <c r="E3356" s="114" t="s">
        <v>3993</v>
      </c>
    </row>
    <row r="3357" spans="2:5" x14ac:dyDescent="0.25">
      <c r="B3357" s="114" t="s">
        <v>1073</v>
      </c>
      <c r="D3357" s="114" t="s">
        <v>1073</v>
      </c>
      <c r="E3357" s="114" t="s">
        <v>3993</v>
      </c>
    </row>
    <row r="3358" spans="2:5" x14ac:dyDescent="0.25">
      <c r="B3358" s="114" t="s">
        <v>1073</v>
      </c>
      <c r="D3358" s="114" t="s">
        <v>1073</v>
      </c>
      <c r="E3358" s="114" t="s">
        <v>3993</v>
      </c>
    </row>
    <row r="3359" spans="2:5" x14ac:dyDescent="0.25">
      <c r="B3359" s="114" t="s">
        <v>1073</v>
      </c>
      <c r="D3359" s="114" t="s">
        <v>1073</v>
      </c>
      <c r="E3359" s="114" t="s">
        <v>3993</v>
      </c>
    </row>
    <row r="3360" spans="2:5" x14ac:dyDescent="0.25">
      <c r="B3360" s="114" t="s">
        <v>1073</v>
      </c>
      <c r="D3360" s="114" t="s">
        <v>1073</v>
      </c>
      <c r="E3360" s="114" t="s">
        <v>3993</v>
      </c>
    </row>
    <row r="3361" spans="2:5" x14ac:dyDescent="0.25">
      <c r="B3361" s="114" t="s">
        <v>1073</v>
      </c>
      <c r="D3361" s="114" t="s">
        <v>1073</v>
      </c>
      <c r="E3361" s="114" t="s">
        <v>3993</v>
      </c>
    </row>
    <row r="3362" spans="2:5" x14ac:dyDescent="0.25">
      <c r="B3362" s="114" t="s">
        <v>1073</v>
      </c>
      <c r="D3362" s="114" t="s">
        <v>1073</v>
      </c>
      <c r="E3362" s="114" t="s">
        <v>3993</v>
      </c>
    </row>
    <row r="3363" spans="2:5" x14ac:dyDescent="0.25">
      <c r="B3363" s="114" t="s">
        <v>1073</v>
      </c>
      <c r="D3363" s="114" t="s">
        <v>1073</v>
      </c>
      <c r="E3363" s="114" t="s">
        <v>3993</v>
      </c>
    </row>
    <row r="3364" spans="2:5" x14ac:dyDescent="0.25">
      <c r="B3364" s="114" t="s">
        <v>1073</v>
      </c>
      <c r="D3364" s="114" t="s">
        <v>1073</v>
      </c>
      <c r="E3364" s="114" t="s">
        <v>3993</v>
      </c>
    </row>
    <row r="3365" spans="2:5" x14ac:dyDescent="0.25">
      <c r="B3365" s="114" t="s">
        <v>1073</v>
      </c>
      <c r="D3365" s="114" t="s">
        <v>1073</v>
      </c>
      <c r="E3365" s="114" t="s">
        <v>3993</v>
      </c>
    </row>
    <row r="3366" spans="2:5" x14ac:dyDescent="0.25">
      <c r="B3366" s="114" t="s">
        <v>1073</v>
      </c>
      <c r="D3366" s="114" t="s">
        <v>1073</v>
      </c>
      <c r="E3366" s="114" t="s">
        <v>3993</v>
      </c>
    </row>
    <row r="3367" spans="2:5" x14ac:dyDescent="0.25">
      <c r="B3367" s="114" t="s">
        <v>1073</v>
      </c>
      <c r="D3367" s="114" t="s">
        <v>1073</v>
      </c>
      <c r="E3367" s="114" t="s">
        <v>3993</v>
      </c>
    </row>
    <row r="3368" spans="2:5" x14ac:dyDescent="0.25">
      <c r="B3368" s="114" t="s">
        <v>1073</v>
      </c>
      <c r="D3368" s="114" t="s">
        <v>1073</v>
      </c>
      <c r="E3368" s="114" t="s">
        <v>3993</v>
      </c>
    </row>
    <row r="3369" spans="2:5" x14ac:dyDescent="0.25">
      <c r="B3369" s="114" t="s">
        <v>1073</v>
      </c>
      <c r="D3369" s="114" t="s">
        <v>1073</v>
      </c>
      <c r="E3369" s="114" t="s">
        <v>3993</v>
      </c>
    </row>
    <row r="3370" spans="2:5" x14ac:dyDescent="0.25">
      <c r="B3370" s="114" t="s">
        <v>1073</v>
      </c>
      <c r="D3370" s="114" t="s">
        <v>1073</v>
      </c>
      <c r="E3370" s="114" t="s">
        <v>3993</v>
      </c>
    </row>
    <row r="3371" spans="2:5" x14ac:dyDescent="0.25">
      <c r="B3371" s="114" t="s">
        <v>1073</v>
      </c>
      <c r="D3371" s="114" t="s">
        <v>1073</v>
      </c>
      <c r="E3371" s="114" t="s">
        <v>3993</v>
      </c>
    </row>
    <row r="3372" spans="2:5" x14ac:dyDescent="0.25">
      <c r="B3372" s="114" t="s">
        <v>1073</v>
      </c>
      <c r="D3372" s="114" t="s">
        <v>1073</v>
      </c>
      <c r="E3372" s="114" t="s">
        <v>3993</v>
      </c>
    </row>
    <row r="3373" spans="2:5" x14ac:dyDescent="0.25">
      <c r="B3373" s="114" t="s">
        <v>1073</v>
      </c>
      <c r="D3373" s="114" t="s">
        <v>1073</v>
      </c>
      <c r="E3373" s="114" t="s">
        <v>3993</v>
      </c>
    </row>
    <row r="3374" spans="2:5" x14ac:dyDescent="0.25">
      <c r="B3374" s="114" t="s">
        <v>1073</v>
      </c>
      <c r="D3374" s="114" t="s">
        <v>1073</v>
      </c>
      <c r="E3374" s="114" t="s">
        <v>3993</v>
      </c>
    </row>
    <row r="3375" spans="2:5" x14ac:dyDescent="0.25">
      <c r="B3375" s="114" t="s">
        <v>1073</v>
      </c>
      <c r="D3375" s="114" t="s">
        <v>1073</v>
      </c>
      <c r="E3375" s="114" t="s">
        <v>3993</v>
      </c>
    </row>
    <row r="3376" spans="2:5" x14ac:dyDescent="0.25">
      <c r="B3376" s="114" t="s">
        <v>1073</v>
      </c>
      <c r="D3376" s="114" t="s">
        <v>1073</v>
      </c>
      <c r="E3376" s="114" t="s">
        <v>3993</v>
      </c>
    </row>
    <row r="3377" spans="2:5" x14ac:dyDescent="0.25">
      <c r="B3377" s="114" t="s">
        <v>1073</v>
      </c>
      <c r="D3377" s="114" t="s">
        <v>1073</v>
      </c>
      <c r="E3377" s="114" t="s">
        <v>3993</v>
      </c>
    </row>
    <row r="3378" spans="2:5" x14ac:dyDescent="0.25">
      <c r="B3378" s="114" t="s">
        <v>1073</v>
      </c>
      <c r="D3378" s="114" t="s">
        <v>1073</v>
      </c>
      <c r="E3378" s="114" t="s">
        <v>3993</v>
      </c>
    </row>
    <row r="3379" spans="2:5" x14ac:dyDescent="0.25">
      <c r="B3379" s="114" t="s">
        <v>1073</v>
      </c>
      <c r="D3379" s="114" t="s">
        <v>1073</v>
      </c>
      <c r="E3379" s="114" t="s">
        <v>3993</v>
      </c>
    </row>
    <row r="3380" spans="2:5" x14ac:dyDescent="0.25">
      <c r="B3380" s="114" t="s">
        <v>1073</v>
      </c>
      <c r="D3380" s="114" t="s">
        <v>1073</v>
      </c>
      <c r="E3380" s="114" t="s">
        <v>3993</v>
      </c>
    </row>
    <row r="3381" spans="2:5" x14ac:dyDescent="0.25">
      <c r="B3381" s="114" t="s">
        <v>1073</v>
      </c>
      <c r="D3381" s="114" t="s">
        <v>1073</v>
      </c>
      <c r="E3381" s="114" t="s">
        <v>3993</v>
      </c>
    </row>
    <row r="3382" spans="2:5" x14ac:dyDescent="0.25">
      <c r="B3382" s="114" t="s">
        <v>1073</v>
      </c>
      <c r="D3382" s="114" t="s">
        <v>1073</v>
      </c>
      <c r="E3382" s="114" t="s">
        <v>3993</v>
      </c>
    </row>
    <row r="3383" spans="2:5" x14ac:dyDescent="0.25">
      <c r="B3383" s="114" t="s">
        <v>1073</v>
      </c>
      <c r="D3383" s="114" t="s">
        <v>1073</v>
      </c>
      <c r="E3383" s="114" t="s">
        <v>3993</v>
      </c>
    </row>
    <row r="3384" spans="2:5" x14ac:dyDescent="0.25">
      <c r="B3384" s="114" t="s">
        <v>1073</v>
      </c>
      <c r="D3384" s="114" t="s">
        <v>1073</v>
      </c>
      <c r="E3384" s="114" t="s">
        <v>3993</v>
      </c>
    </row>
    <row r="3385" spans="2:5" x14ac:dyDescent="0.25">
      <c r="B3385" s="114" t="s">
        <v>1073</v>
      </c>
      <c r="D3385" s="114" t="s">
        <v>1073</v>
      </c>
      <c r="E3385" s="114" t="s">
        <v>3993</v>
      </c>
    </row>
    <row r="3386" spans="2:5" x14ac:dyDescent="0.25">
      <c r="B3386" s="114" t="s">
        <v>1073</v>
      </c>
      <c r="D3386" s="114" t="s">
        <v>1073</v>
      </c>
      <c r="E3386" s="114" t="s">
        <v>3993</v>
      </c>
    </row>
    <row r="3387" spans="2:5" x14ac:dyDescent="0.25">
      <c r="B3387" s="114" t="s">
        <v>1073</v>
      </c>
      <c r="D3387" s="114" t="s">
        <v>1073</v>
      </c>
      <c r="E3387" s="114" t="s">
        <v>3993</v>
      </c>
    </row>
    <row r="3388" spans="2:5" x14ac:dyDescent="0.25">
      <c r="B3388" s="114" t="s">
        <v>1073</v>
      </c>
      <c r="D3388" s="114" t="s">
        <v>1073</v>
      </c>
      <c r="E3388" s="114" t="s">
        <v>3993</v>
      </c>
    </row>
    <row r="3389" spans="2:5" x14ac:dyDescent="0.25">
      <c r="B3389" s="114" t="s">
        <v>1073</v>
      </c>
      <c r="D3389" s="114" t="s">
        <v>1073</v>
      </c>
      <c r="E3389" s="114" t="s">
        <v>3993</v>
      </c>
    </row>
    <row r="3390" spans="2:5" x14ac:dyDescent="0.25">
      <c r="B3390" s="114" t="s">
        <v>1073</v>
      </c>
      <c r="D3390" s="114" t="s">
        <v>1073</v>
      </c>
      <c r="E3390" s="114" t="s">
        <v>3993</v>
      </c>
    </row>
    <row r="3391" spans="2:5" x14ac:dyDescent="0.25">
      <c r="B3391" s="114" t="s">
        <v>1073</v>
      </c>
      <c r="D3391" s="114" t="s">
        <v>1073</v>
      </c>
      <c r="E3391" s="114" t="s">
        <v>3993</v>
      </c>
    </row>
    <row r="3392" spans="2:5" x14ac:dyDescent="0.25">
      <c r="B3392" s="114" t="s">
        <v>1073</v>
      </c>
      <c r="D3392" s="114" t="s">
        <v>1073</v>
      </c>
      <c r="E3392" s="114" t="s">
        <v>3993</v>
      </c>
    </row>
    <row r="3393" spans="2:5" x14ac:dyDescent="0.25">
      <c r="B3393" s="114" t="s">
        <v>1073</v>
      </c>
      <c r="D3393" s="114" t="s">
        <v>1073</v>
      </c>
      <c r="E3393" s="114" t="s">
        <v>3993</v>
      </c>
    </row>
    <row r="3394" spans="2:5" x14ac:dyDescent="0.25">
      <c r="B3394" s="114" t="s">
        <v>1073</v>
      </c>
      <c r="D3394" s="114" t="s">
        <v>1073</v>
      </c>
      <c r="E3394" s="114" t="s">
        <v>3993</v>
      </c>
    </row>
    <row r="3395" spans="2:5" x14ac:dyDescent="0.25">
      <c r="B3395" s="114" t="s">
        <v>1073</v>
      </c>
      <c r="D3395" s="114" t="s">
        <v>1073</v>
      </c>
      <c r="E3395" s="114" t="s">
        <v>3993</v>
      </c>
    </row>
    <row r="3396" spans="2:5" x14ac:dyDescent="0.25">
      <c r="B3396" s="114" t="s">
        <v>1073</v>
      </c>
      <c r="D3396" s="114" t="s">
        <v>1073</v>
      </c>
      <c r="E3396" s="114" t="s">
        <v>3993</v>
      </c>
    </row>
    <row r="3397" spans="2:5" x14ac:dyDescent="0.25">
      <c r="B3397" s="114" t="s">
        <v>1073</v>
      </c>
      <c r="D3397" s="114" t="s">
        <v>1073</v>
      </c>
      <c r="E3397" s="114" t="s">
        <v>3993</v>
      </c>
    </row>
    <row r="3398" spans="2:5" x14ac:dyDescent="0.25">
      <c r="B3398" s="114" t="s">
        <v>1073</v>
      </c>
      <c r="D3398" s="114" t="s">
        <v>1073</v>
      </c>
      <c r="E3398" s="114" t="s">
        <v>3993</v>
      </c>
    </row>
    <row r="3399" spans="2:5" x14ac:dyDescent="0.25">
      <c r="B3399" s="114" t="s">
        <v>1073</v>
      </c>
      <c r="D3399" s="114" t="s">
        <v>1073</v>
      </c>
      <c r="E3399" s="114" t="s">
        <v>3993</v>
      </c>
    </row>
    <row r="3400" spans="2:5" x14ac:dyDescent="0.25">
      <c r="B3400" s="114" t="s">
        <v>1073</v>
      </c>
      <c r="D3400" s="114" t="s">
        <v>1073</v>
      </c>
      <c r="E3400" s="114" t="s">
        <v>3993</v>
      </c>
    </row>
    <row r="3401" spans="2:5" x14ac:dyDescent="0.25">
      <c r="B3401" s="114" t="s">
        <v>1073</v>
      </c>
      <c r="D3401" s="114" t="s">
        <v>1073</v>
      </c>
      <c r="E3401" s="114" t="s">
        <v>3993</v>
      </c>
    </row>
    <row r="3402" spans="2:5" x14ac:dyDescent="0.25">
      <c r="B3402" s="114" t="s">
        <v>1073</v>
      </c>
      <c r="D3402" s="114" t="s">
        <v>1073</v>
      </c>
      <c r="E3402" s="114" t="s">
        <v>3993</v>
      </c>
    </row>
    <row r="3403" spans="2:5" x14ac:dyDescent="0.25">
      <c r="B3403" s="114" t="s">
        <v>1073</v>
      </c>
      <c r="D3403" s="114" t="s">
        <v>1073</v>
      </c>
      <c r="E3403" s="114" t="s">
        <v>3993</v>
      </c>
    </row>
    <row r="3404" spans="2:5" x14ac:dyDescent="0.25">
      <c r="B3404" s="114" t="s">
        <v>1073</v>
      </c>
      <c r="D3404" s="114" t="s">
        <v>1073</v>
      </c>
      <c r="E3404" s="114" t="s">
        <v>3993</v>
      </c>
    </row>
    <row r="3405" spans="2:5" x14ac:dyDescent="0.25">
      <c r="B3405" s="114" t="s">
        <v>1073</v>
      </c>
      <c r="D3405" s="114" t="s">
        <v>1073</v>
      </c>
      <c r="E3405" s="114" t="s">
        <v>3993</v>
      </c>
    </row>
    <row r="3406" spans="2:5" x14ac:dyDescent="0.25">
      <c r="B3406" s="114" t="s">
        <v>1073</v>
      </c>
      <c r="D3406" s="114" t="s">
        <v>1073</v>
      </c>
      <c r="E3406" s="114" t="s">
        <v>3993</v>
      </c>
    </row>
    <row r="3407" spans="2:5" x14ac:dyDescent="0.25">
      <c r="B3407" s="114" t="s">
        <v>1073</v>
      </c>
      <c r="D3407" s="114" t="s">
        <v>1073</v>
      </c>
      <c r="E3407" s="114" t="s">
        <v>3993</v>
      </c>
    </row>
    <row r="3408" spans="2:5" x14ac:dyDescent="0.25">
      <c r="B3408" s="114" t="s">
        <v>1073</v>
      </c>
      <c r="D3408" s="114" t="s">
        <v>1073</v>
      </c>
      <c r="E3408" s="114" t="s">
        <v>3993</v>
      </c>
    </row>
    <row r="3409" spans="2:5" x14ac:dyDescent="0.25">
      <c r="B3409" s="114" t="s">
        <v>1073</v>
      </c>
      <c r="D3409" s="114" t="s">
        <v>1073</v>
      </c>
      <c r="E3409" s="114" t="s">
        <v>3993</v>
      </c>
    </row>
    <row r="3410" spans="2:5" x14ac:dyDescent="0.25">
      <c r="B3410" s="114" t="s">
        <v>1073</v>
      </c>
      <c r="D3410" s="114" t="s">
        <v>1073</v>
      </c>
      <c r="E3410" s="114" t="s">
        <v>3993</v>
      </c>
    </row>
    <row r="3411" spans="2:5" x14ac:dyDescent="0.25">
      <c r="B3411" s="114" t="s">
        <v>1073</v>
      </c>
      <c r="D3411" s="114" t="s">
        <v>1073</v>
      </c>
      <c r="E3411" s="114" t="s">
        <v>3993</v>
      </c>
    </row>
    <row r="3412" spans="2:5" x14ac:dyDescent="0.25">
      <c r="B3412" s="114" t="s">
        <v>1073</v>
      </c>
      <c r="D3412" s="114" t="s">
        <v>1073</v>
      </c>
      <c r="E3412" s="114" t="s">
        <v>3993</v>
      </c>
    </row>
    <row r="3413" spans="2:5" x14ac:dyDescent="0.25">
      <c r="B3413" s="114" t="s">
        <v>1073</v>
      </c>
      <c r="D3413" s="114" t="s">
        <v>1073</v>
      </c>
      <c r="E3413" s="114" t="s">
        <v>3993</v>
      </c>
    </row>
    <row r="3414" spans="2:5" x14ac:dyDescent="0.25">
      <c r="B3414" s="114" t="s">
        <v>1073</v>
      </c>
      <c r="D3414" s="114" t="s">
        <v>1073</v>
      </c>
      <c r="E3414" s="114" t="s">
        <v>3993</v>
      </c>
    </row>
    <row r="3415" spans="2:5" x14ac:dyDescent="0.25">
      <c r="B3415" s="114" t="s">
        <v>1073</v>
      </c>
      <c r="D3415" s="114" t="s">
        <v>1073</v>
      </c>
      <c r="E3415" s="114" t="s">
        <v>3993</v>
      </c>
    </row>
    <row r="3416" spans="2:5" x14ac:dyDescent="0.25">
      <c r="B3416" s="114" t="s">
        <v>1073</v>
      </c>
      <c r="D3416" s="114" t="s">
        <v>1073</v>
      </c>
      <c r="E3416" s="114" t="s">
        <v>3993</v>
      </c>
    </row>
    <row r="3417" spans="2:5" x14ac:dyDescent="0.25">
      <c r="B3417" s="114" t="s">
        <v>1073</v>
      </c>
      <c r="D3417" s="114" t="s">
        <v>1073</v>
      </c>
      <c r="E3417" s="114" t="s">
        <v>3993</v>
      </c>
    </row>
    <row r="3418" spans="2:5" x14ac:dyDescent="0.25">
      <c r="B3418" s="114" t="s">
        <v>1073</v>
      </c>
      <c r="D3418" s="114" t="s">
        <v>1073</v>
      </c>
      <c r="E3418" s="114" t="s">
        <v>3993</v>
      </c>
    </row>
    <row r="3419" spans="2:5" x14ac:dyDescent="0.25">
      <c r="B3419" s="114" t="s">
        <v>1073</v>
      </c>
      <c r="D3419" s="114" t="s">
        <v>1073</v>
      </c>
      <c r="E3419" s="114" t="s">
        <v>3993</v>
      </c>
    </row>
    <row r="3420" spans="2:5" x14ac:dyDescent="0.25">
      <c r="B3420" s="114" t="s">
        <v>1073</v>
      </c>
      <c r="D3420" s="114" t="s">
        <v>1073</v>
      </c>
      <c r="E3420" s="114" t="s">
        <v>3993</v>
      </c>
    </row>
    <row r="3421" spans="2:5" x14ac:dyDescent="0.25">
      <c r="B3421" s="114" t="s">
        <v>1073</v>
      </c>
      <c r="D3421" s="114" t="s">
        <v>1073</v>
      </c>
      <c r="E3421" s="114" t="s">
        <v>3993</v>
      </c>
    </row>
    <row r="3422" spans="2:5" x14ac:dyDescent="0.25">
      <c r="B3422" s="114" t="s">
        <v>1073</v>
      </c>
      <c r="D3422" s="114" t="s">
        <v>1073</v>
      </c>
      <c r="E3422" s="114" t="s">
        <v>3993</v>
      </c>
    </row>
    <row r="3423" spans="2:5" x14ac:dyDescent="0.25">
      <c r="B3423" s="114" t="s">
        <v>1073</v>
      </c>
      <c r="D3423" s="114" t="s">
        <v>1073</v>
      </c>
      <c r="E3423" s="114" t="s">
        <v>3993</v>
      </c>
    </row>
    <row r="3424" spans="2:5" x14ac:dyDescent="0.25">
      <c r="B3424" s="114" t="s">
        <v>1073</v>
      </c>
      <c r="D3424" s="114" t="s">
        <v>1073</v>
      </c>
      <c r="E3424" s="114" t="s">
        <v>3993</v>
      </c>
    </row>
    <row r="3425" spans="2:5" x14ac:dyDescent="0.25">
      <c r="B3425" s="114" t="s">
        <v>1073</v>
      </c>
      <c r="D3425" s="114" t="s">
        <v>1073</v>
      </c>
      <c r="E3425" s="114" t="s">
        <v>3993</v>
      </c>
    </row>
    <row r="3426" spans="2:5" x14ac:dyDescent="0.25">
      <c r="B3426" s="114" t="s">
        <v>1073</v>
      </c>
      <c r="D3426" s="114" t="s">
        <v>1073</v>
      </c>
      <c r="E3426" s="114" t="s">
        <v>3993</v>
      </c>
    </row>
    <row r="3427" spans="2:5" x14ac:dyDescent="0.25">
      <c r="B3427" s="114" t="s">
        <v>1073</v>
      </c>
      <c r="D3427" s="114" t="s">
        <v>1073</v>
      </c>
      <c r="E3427" s="114" t="s">
        <v>3993</v>
      </c>
    </row>
    <row r="3428" spans="2:5" x14ac:dyDescent="0.25">
      <c r="B3428" s="114" t="s">
        <v>1073</v>
      </c>
      <c r="D3428" s="114" t="s">
        <v>1073</v>
      </c>
      <c r="E3428" s="114" t="s">
        <v>3993</v>
      </c>
    </row>
    <row r="3429" spans="2:5" x14ac:dyDescent="0.25">
      <c r="B3429" s="114" t="s">
        <v>1073</v>
      </c>
      <c r="D3429" s="114" t="s">
        <v>1073</v>
      </c>
      <c r="E3429" s="114" t="s">
        <v>3993</v>
      </c>
    </row>
    <row r="3430" spans="2:5" x14ac:dyDescent="0.25">
      <c r="B3430" s="114" t="s">
        <v>1073</v>
      </c>
      <c r="D3430" s="114" t="s">
        <v>1073</v>
      </c>
      <c r="E3430" s="114" t="s">
        <v>3993</v>
      </c>
    </row>
    <row r="3431" spans="2:5" x14ac:dyDescent="0.25">
      <c r="B3431" s="114" t="s">
        <v>1073</v>
      </c>
      <c r="D3431" s="114" t="s">
        <v>1073</v>
      </c>
      <c r="E3431" s="114" t="s">
        <v>3993</v>
      </c>
    </row>
    <row r="3432" spans="2:5" x14ac:dyDescent="0.25">
      <c r="B3432" s="114" t="s">
        <v>1073</v>
      </c>
      <c r="D3432" s="114" t="s">
        <v>1073</v>
      </c>
      <c r="E3432" s="114" t="s">
        <v>3993</v>
      </c>
    </row>
    <row r="3433" spans="2:5" x14ac:dyDescent="0.25">
      <c r="B3433" s="114" t="s">
        <v>1073</v>
      </c>
      <c r="D3433" s="114" t="s">
        <v>1073</v>
      </c>
      <c r="E3433" s="114" t="s">
        <v>3993</v>
      </c>
    </row>
    <row r="3434" spans="2:5" x14ac:dyDescent="0.25">
      <c r="B3434" s="114" t="s">
        <v>1073</v>
      </c>
      <c r="D3434" s="114" t="s">
        <v>1073</v>
      </c>
      <c r="E3434" s="114" t="s">
        <v>3993</v>
      </c>
    </row>
    <row r="3435" spans="2:5" x14ac:dyDescent="0.25">
      <c r="B3435" s="114" t="s">
        <v>1073</v>
      </c>
      <c r="D3435" s="114" t="s">
        <v>1073</v>
      </c>
      <c r="E3435" s="114" t="s">
        <v>3993</v>
      </c>
    </row>
    <row r="3436" spans="2:5" x14ac:dyDescent="0.25">
      <c r="B3436" s="114" t="s">
        <v>1073</v>
      </c>
      <c r="D3436" s="114" t="s">
        <v>1073</v>
      </c>
      <c r="E3436" s="114" t="s">
        <v>3993</v>
      </c>
    </row>
    <row r="3437" spans="2:5" x14ac:dyDescent="0.25">
      <c r="B3437" s="114" t="s">
        <v>1073</v>
      </c>
      <c r="D3437" s="114" t="s">
        <v>1073</v>
      </c>
      <c r="E3437" s="114" t="s">
        <v>3993</v>
      </c>
    </row>
    <row r="3438" spans="2:5" x14ac:dyDescent="0.25">
      <c r="B3438" s="114" t="s">
        <v>1073</v>
      </c>
      <c r="D3438" s="114" t="s">
        <v>1073</v>
      </c>
      <c r="E3438" s="114" t="s">
        <v>3993</v>
      </c>
    </row>
    <row r="3439" spans="2:5" x14ac:dyDescent="0.25">
      <c r="B3439" s="114" t="s">
        <v>1073</v>
      </c>
      <c r="D3439" s="114" t="s">
        <v>1073</v>
      </c>
      <c r="E3439" s="114" t="s">
        <v>3993</v>
      </c>
    </row>
    <row r="3440" spans="2:5" x14ac:dyDescent="0.25">
      <c r="B3440" s="114" t="s">
        <v>1073</v>
      </c>
      <c r="D3440" s="114" t="s">
        <v>1073</v>
      </c>
      <c r="E3440" s="114" t="s">
        <v>3993</v>
      </c>
    </row>
    <row r="3441" spans="2:5" x14ac:dyDescent="0.25">
      <c r="B3441" s="114" t="s">
        <v>1073</v>
      </c>
      <c r="D3441" s="114" t="s">
        <v>1073</v>
      </c>
      <c r="E3441" s="114" t="s">
        <v>3993</v>
      </c>
    </row>
    <row r="3442" spans="2:5" x14ac:dyDescent="0.25">
      <c r="B3442" s="114" t="s">
        <v>1073</v>
      </c>
      <c r="D3442" s="114" t="s">
        <v>1073</v>
      </c>
      <c r="E3442" s="114" t="s">
        <v>3993</v>
      </c>
    </row>
    <row r="3443" spans="2:5" x14ac:dyDescent="0.25">
      <c r="B3443" s="114" t="s">
        <v>1073</v>
      </c>
      <c r="D3443" s="114" t="s">
        <v>1073</v>
      </c>
      <c r="E3443" s="114" t="s">
        <v>3993</v>
      </c>
    </row>
    <row r="3444" spans="2:5" x14ac:dyDescent="0.25">
      <c r="B3444" s="114" t="s">
        <v>1073</v>
      </c>
      <c r="D3444" s="114" t="s">
        <v>1073</v>
      </c>
      <c r="E3444" s="114" t="s">
        <v>3993</v>
      </c>
    </row>
    <row r="3445" spans="2:5" x14ac:dyDescent="0.25">
      <c r="B3445" s="114" t="s">
        <v>1073</v>
      </c>
      <c r="D3445" s="114" t="s">
        <v>1073</v>
      </c>
      <c r="E3445" s="114" t="s">
        <v>3993</v>
      </c>
    </row>
    <row r="3446" spans="2:5" x14ac:dyDescent="0.25">
      <c r="B3446" s="114" t="s">
        <v>1073</v>
      </c>
      <c r="D3446" s="114" t="s">
        <v>1073</v>
      </c>
      <c r="E3446" s="114" t="s">
        <v>3993</v>
      </c>
    </row>
    <row r="3447" spans="2:5" x14ac:dyDescent="0.25">
      <c r="B3447" s="114" t="s">
        <v>1073</v>
      </c>
      <c r="D3447" s="114" t="s">
        <v>1073</v>
      </c>
      <c r="E3447" s="114" t="s">
        <v>3993</v>
      </c>
    </row>
    <row r="3448" spans="2:5" x14ac:dyDescent="0.25">
      <c r="B3448" s="114" t="s">
        <v>1073</v>
      </c>
      <c r="D3448" s="114" t="s">
        <v>1073</v>
      </c>
      <c r="E3448" s="114" t="s">
        <v>3993</v>
      </c>
    </row>
    <row r="3449" spans="2:5" x14ac:dyDescent="0.25">
      <c r="B3449" s="114" t="s">
        <v>1073</v>
      </c>
      <c r="D3449" s="114" t="s">
        <v>1073</v>
      </c>
      <c r="E3449" s="114" t="s">
        <v>3993</v>
      </c>
    </row>
    <row r="3450" spans="2:5" x14ac:dyDescent="0.25">
      <c r="B3450" s="114" t="s">
        <v>1073</v>
      </c>
      <c r="D3450" s="114" t="s">
        <v>1073</v>
      </c>
      <c r="E3450" s="114" t="s">
        <v>3993</v>
      </c>
    </row>
    <row r="3451" spans="2:5" x14ac:dyDescent="0.25">
      <c r="B3451" s="114" t="s">
        <v>1073</v>
      </c>
      <c r="D3451" s="114" t="s">
        <v>1073</v>
      </c>
      <c r="E3451" s="114" t="s">
        <v>3993</v>
      </c>
    </row>
    <row r="3452" spans="2:5" x14ac:dyDescent="0.25">
      <c r="B3452" s="114" t="s">
        <v>1073</v>
      </c>
      <c r="D3452" s="114" t="s">
        <v>1073</v>
      </c>
      <c r="E3452" s="114" t="s">
        <v>3993</v>
      </c>
    </row>
    <row r="3453" spans="2:5" x14ac:dyDescent="0.25">
      <c r="B3453" s="114" t="s">
        <v>1073</v>
      </c>
      <c r="D3453" s="114" t="s">
        <v>1073</v>
      </c>
      <c r="E3453" s="114" t="s">
        <v>3993</v>
      </c>
    </row>
    <row r="3454" spans="2:5" x14ac:dyDescent="0.25">
      <c r="B3454" s="114" t="s">
        <v>1073</v>
      </c>
      <c r="D3454" s="114" t="s">
        <v>1073</v>
      </c>
      <c r="E3454" s="114" t="s">
        <v>3993</v>
      </c>
    </row>
    <row r="3455" spans="2:5" x14ac:dyDescent="0.25">
      <c r="B3455" s="114" t="s">
        <v>1073</v>
      </c>
      <c r="D3455" s="114" t="s">
        <v>1073</v>
      </c>
      <c r="E3455" s="114" t="s">
        <v>3993</v>
      </c>
    </row>
    <row r="3456" spans="2:5" x14ac:dyDescent="0.25">
      <c r="B3456" s="114" t="s">
        <v>1073</v>
      </c>
      <c r="D3456" s="114" t="s">
        <v>1073</v>
      </c>
      <c r="E3456" s="114" t="s">
        <v>3993</v>
      </c>
    </row>
    <row r="3457" spans="2:5" x14ac:dyDescent="0.25">
      <c r="B3457" s="114" t="s">
        <v>1073</v>
      </c>
      <c r="D3457" s="114" t="s">
        <v>1073</v>
      </c>
      <c r="E3457" s="114" t="s">
        <v>3993</v>
      </c>
    </row>
    <row r="3458" spans="2:5" x14ac:dyDescent="0.25">
      <c r="B3458" s="114" t="s">
        <v>1073</v>
      </c>
      <c r="D3458" s="114" t="s">
        <v>1073</v>
      </c>
      <c r="E3458" s="114" t="s">
        <v>3993</v>
      </c>
    </row>
    <row r="3459" spans="2:5" x14ac:dyDescent="0.25">
      <c r="B3459" s="114" t="s">
        <v>1073</v>
      </c>
      <c r="D3459" s="114" t="s">
        <v>1073</v>
      </c>
      <c r="E3459" s="114" t="s">
        <v>3993</v>
      </c>
    </row>
    <row r="3460" spans="2:5" x14ac:dyDescent="0.25">
      <c r="B3460" s="114" t="s">
        <v>1073</v>
      </c>
      <c r="D3460" s="114" t="s">
        <v>1073</v>
      </c>
      <c r="E3460" s="114" t="s">
        <v>3993</v>
      </c>
    </row>
    <row r="3461" spans="2:5" x14ac:dyDescent="0.25">
      <c r="B3461" s="114" t="s">
        <v>1073</v>
      </c>
      <c r="D3461" s="114" t="s">
        <v>1073</v>
      </c>
      <c r="E3461" s="114" t="s">
        <v>3993</v>
      </c>
    </row>
    <row r="3462" spans="2:5" x14ac:dyDescent="0.25">
      <c r="B3462" s="114" t="s">
        <v>1073</v>
      </c>
      <c r="D3462" s="114" t="s">
        <v>1073</v>
      </c>
      <c r="E3462" s="114" t="s">
        <v>3993</v>
      </c>
    </row>
    <row r="3463" spans="2:5" x14ac:dyDescent="0.25">
      <c r="B3463" s="114" t="s">
        <v>1073</v>
      </c>
      <c r="D3463" s="114" t="s">
        <v>1073</v>
      </c>
      <c r="E3463" s="114" t="s">
        <v>3993</v>
      </c>
    </row>
    <row r="3464" spans="2:5" x14ac:dyDescent="0.25">
      <c r="B3464" s="114" t="s">
        <v>1073</v>
      </c>
      <c r="D3464" s="114" t="s">
        <v>1073</v>
      </c>
      <c r="E3464" s="114" t="s">
        <v>3993</v>
      </c>
    </row>
    <row r="3465" spans="2:5" x14ac:dyDescent="0.25">
      <c r="B3465" s="114" t="s">
        <v>1073</v>
      </c>
      <c r="D3465" s="114" t="s">
        <v>1073</v>
      </c>
      <c r="E3465" s="114" t="s">
        <v>3993</v>
      </c>
    </row>
    <row r="3466" spans="2:5" x14ac:dyDescent="0.25">
      <c r="B3466" s="114" t="s">
        <v>1073</v>
      </c>
      <c r="D3466" s="114" t="s">
        <v>1073</v>
      </c>
      <c r="E3466" s="114" t="s">
        <v>3993</v>
      </c>
    </row>
    <row r="3467" spans="2:5" x14ac:dyDescent="0.25">
      <c r="B3467" s="114" t="s">
        <v>1073</v>
      </c>
      <c r="D3467" s="114" t="s">
        <v>1073</v>
      </c>
      <c r="E3467" s="114" t="s">
        <v>3993</v>
      </c>
    </row>
    <row r="3468" spans="2:5" x14ac:dyDescent="0.25">
      <c r="B3468" s="114" t="s">
        <v>1073</v>
      </c>
      <c r="D3468" s="114" t="s">
        <v>1073</v>
      </c>
      <c r="E3468" s="114" t="s">
        <v>3993</v>
      </c>
    </row>
    <row r="3469" spans="2:5" x14ac:dyDescent="0.25">
      <c r="B3469" s="114" t="s">
        <v>1073</v>
      </c>
      <c r="D3469" s="114" t="s">
        <v>1073</v>
      </c>
      <c r="E3469" s="114" t="s">
        <v>3993</v>
      </c>
    </row>
    <row r="3470" spans="2:5" x14ac:dyDescent="0.25">
      <c r="B3470" s="114" t="s">
        <v>1073</v>
      </c>
      <c r="D3470" s="114" t="s">
        <v>1073</v>
      </c>
      <c r="E3470" s="114" t="s">
        <v>3993</v>
      </c>
    </row>
    <row r="3471" spans="2:5" x14ac:dyDescent="0.25">
      <c r="B3471" s="114" t="s">
        <v>1073</v>
      </c>
      <c r="D3471" s="114" t="s">
        <v>1073</v>
      </c>
      <c r="E3471" s="114" t="s">
        <v>3993</v>
      </c>
    </row>
    <row r="3472" spans="2:5" x14ac:dyDescent="0.25">
      <c r="B3472" s="114" t="s">
        <v>1073</v>
      </c>
      <c r="D3472" s="114" t="s">
        <v>1073</v>
      </c>
      <c r="E3472" s="114" t="s">
        <v>3993</v>
      </c>
    </row>
    <row r="3473" spans="1:5" x14ac:dyDescent="0.25">
      <c r="B3473" s="114" t="s">
        <v>1073</v>
      </c>
      <c r="D3473" s="114" t="s">
        <v>1073</v>
      </c>
      <c r="E3473" s="114" t="s">
        <v>3993</v>
      </c>
    </row>
    <row r="3474" spans="1:5" x14ac:dyDescent="0.25">
      <c r="B3474" s="114" t="s">
        <v>1073</v>
      </c>
      <c r="D3474" s="114" t="s">
        <v>1073</v>
      </c>
      <c r="E3474" s="114" t="s">
        <v>3993</v>
      </c>
    </row>
    <row r="3475" spans="1:5" x14ac:dyDescent="0.25">
      <c r="B3475" s="114" t="s">
        <v>1073</v>
      </c>
      <c r="D3475" s="114" t="s">
        <v>1073</v>
      </c>
      <c r="E3475" s="114" t="s">
        <v>3993</v>
      </c>
    </row>
    <row r="3476" spans="1:5" x14ac:dyDescent="0.25">
      <c r="B3476" s="114" t="s">
        <v>1073</v>
      </c>
      <c r="D3476" s="114" t="s">
        <v>1073</v>
      </c>
      <c r="E3476" s="114" t="s">
        <v>6277</v>
      </c>
    </row>
    <row r="3477" spans="1:5" x14ac:dyDescent="0.25">
      <c r="B3477" s="114" t="s">
        <v>1648</v>
      </c>
      <c r="D3477" s="114" t="s">
        <v>1446</v>
      </c>
      <c r="E3477" s="114" t="s">
        <v>6278</v>
      </c>
    </row>
    <row r="3478" spans="1:5" x14ac:dyDescent="0.25">
      <c r="B3478" s="114" t="s">
        <v>1073</v>
      </c>
      <c r="D3478" s="114" t="s">
        <v>1073</v>
      </c>
      <c r="E3478" s="114" t="s">
        <v>6279</v>
      </c>
    </row>
    <row r="3479" spans="1:5" x14ac:dyDescent="0.25">
      <c r="B3479" s="114" t="s">
        <v>2309</v>
      </c>
      <c r="D3479" s="114" t="s">
        <v>6280</v>
      </c>
      <c r="E3479" s="114" t="s">
        <v>6281</v>
      </c>
    </row>
    <row r="3480" spans="1:5" x14ac:dyDescent="0.25">
      <c r="B3480" s="114" t="s">
        <v>1481</v>
      </c>
      <c r="D3480" s="114" t="s">
        <v>4765</v>
      </c>
      <c r="E3480" s="114" t="s">
        <v>4014</v>
      </c>
    </row>
    <row r="3481" spans="1:5" x14ac:dyDescent="0.25">
      <c r="B3481" s="114" t="s">
        <v>1343</v>
      </c>
      <c r="D3481" s="114" t="s">
        <v>1073</v>
      </c>
      <c r="E3481" s="114" t="s">
        <v>6282</v>
      </c>
    </row>
    <row r="3482" spans="1:5" x14ac:dyDescent="0.25">
      <c r="B3482" s="114" t="s">
        <v>2310</v>
      </c>
      <c r="D3482" s="114" t="s">
        <v>1073</v>
      </c>
      <c r="E3482" s="114" t="s">
        <v>6283</v>
      </c>
    </row>
    <row r="3483" spans="1:5" x14ac:dyDescent="0.25">
      <c r="B3483" s="114" t="s">
        <v>2311</v>
      </c>
      <c r="D3483" s="114" t="s">
        <v>6284</v>
      </c>
      <c r="E3483" s="114" t="s">
        <v>6285</v>
      </c>
    </row>
    <row r="3484" spans="1:5" x14ac:dyDescent="0.25">
      <c r="B3484" s="114" t="s">
        <v>1320</v>
      </c>
      <c r="D3484" s="114" t="s">
        <v>1073</v>
      </c>
      <c r="E3484" s="114" t="s">
        <v>6286</v>
      </c>
    </row>
    <row r="3485" spans="1:5" x14ac:dyDescent="0.25">
      <c r="B3485" s="114" t="s">
        <v>2312</v>
      </c>
      <c r="D3485" s="114" t="s">
        <v>6287</v>
      </c>
      <c r="E3485" s="114" t="s">
        <v>6288</v>
      </c>
    </row>
    <row r="3486" spans="1:5" x14ac:dyDescent="0.25">
      <c r="A3486" s="114" t="s">
        <v>1072</v>
      </c>
      <c r="B3486" s="114" t="s">
        <v>2313</v>
      </c>
      <c r="D3486" s="114" t="s">
        <v>6289</v>
      </c>
      <c r="E3486" s="114" t="s">
        <v>6290</v>
      </c>
    </row>
    <row r="3487" spans="1:5" x14ac:dyDescent="0.25">
      <c r="B3487" s="114" t="s">
        <v>1141</v>
      </c>
      <c r="D3487" s="114" t="s">
        <v>1073</v>
      </c>
      <c r="E3487" s="114" t="s">
        <v>6291</v>
      </c>
    </row>
    <row r="3488" spans="1:5" x14ac:dyDescent="0.25">
      <c r="A3488" s="114" t="s">
        <v>1072</v>
      </c>
      <c r="B3488" s="114" t="s">
        <v>2314</v>
      </c>
      <c r="D3488" s="114" t="s">
        <v>6292</v>
      </c>
      <c r="E3488" s="114" t="s">
        <v>6293</v>
      </c>
    </row>
    <row r="3489" spans="1:5" x14ac:dyDescent="0.25">
      <c r="A3489" s="114" t="s">
        <v>1072</v>
      </c>
      <c r="B3489" s="114" t="s">
        <v>2315</v>
      </c>
      <c r="D3489" s="114" t="s">
        <v>6294</v>
      </c>
      <c r="E3489" s="114" t="s">
        <v>6295</v>
      </c>
    </row>
    <row r="3490" spans="1:5" x14ac:dyDescent="0.25">
      <c r="B3490" s="114" t="s">
        <v>1169</v>
      </c>
      <c r="D3490" s="114" t="s">
        <v>1073</v>
      </c>
      <c r="E3490" s="114" t="s">
        <v>6296</v>
      </c>
    </row>
    <row r="3491" spans="1:5" x14ac:dyDescent="0.25">
      <c r="A3491" s="114">
        <v>-1</v>
      </c>
      <c r="B3491" s="114" t="s">
        <v>1213</v>
      </c>
      <c r="D3491" s="114" t="s">
        <v>6297</v>
      </c>
      <c r="E3491" s="114" t="s">
        <v>6298</v>
      </c>
    </row>
    <row r="3492" spans="1:5" x14ac:dyDescent="0.25">
      <c r="A3492" s="114" t="s">
        <v>1072</v>
      </c>
      <c r="B3492" s="114" t="s">
        <v>2316</v>
      </c>
      <c r="D3492" s="114" t="s">
        <v>4779</v>
      </c>
      <c r="E3492" s="114" t="s">
        <v>6299</v>
      </c>
    </row>
    <row r="3493" spans="1:5" x14ac:dyDescent="0.25">
      <c r="B3493" s="114" t="s">
        <v>1073</v>
      </c>
      <c r="D3493" s="114" t="s">
        <v>1073</v>
      </c>
      <c r="E3493" s="114" t="s">
        <v>6300</v>
      </c>
    </row>
    <row r="3494" spans="1:5" x14ac:dyDescent="0.25">
      <c r="B3494" s="114" t="s">
        <v>1073</v>
      </c>
      <c r="D3494" s="114" t="s">
        <v>1073</v>
      </c>
      <c r="E3494" s="114" t="s">
        <v>6301</v>
      </c>
    </row>
    <row r="3495" spans="1:5" x14ac:dyDescent="0.25">
      <c r="B3495" s="114">
        <f>-55    -43</f>
        <v>-98</v>
      </c>
      <c r="D3495" s="114" t="s">
        <v>1073</v>
      </c>
      <c r="E3495" s="114" t="s">
        <v>6302</v>
      </c>
    </row>
    <row r="3496" spans="1:5" x14ac:dyDescent="0.25">
      <c r="B3496" s="114" t="s">
        <v>2317</v>
      </c>
      <c r="D3496" s="114" t="s">
        <v>1073</v>
      </c>
      <c r="E3496" s="114" t="s">
        <v>6303</v>
      </c>
    </row>
    <row r="3497" spans="1:5" x14ac:dyDescent="0.25">
      <c r="A3497" s="114" t="s">
        <v>1072</v>
      </c>
      <c r="B3497" s="114" t="s">
        <v>2318</v>
      </c>
      <c r="D3497" s="114" t="s">
        <v>6304</v>
      </c>
      <c r="E3497" s="114" t="s">
        <v>3993</v>
      </c>
    </row>
    <row r="3498" spans="1:5" x14ac:dyDescent="0.25">
      <c r="B3498" s="114" t="s">
        <v>1399</v>
      </c>
      <c r="D3498" s="114" t="s">
        <v>6305</v>
      </c>
      <c r="E3498" s="114" t="s">
        <v>6306</v>
      </c>
    </row>
    <row r="3499" spans="1:5" x14ac:dyDescent="0.25">
      <c r="B3499" s="114" t="s">
        <v>1392</v>
      </c>
      <c r="D3499" s="114" t="s">
        <v>2942</v>
      </c>
      <c r="E3499" s="114" t="s">
        <v>6307</v>
      </c>
    </row>
    <row r="3500" spans="1:5" x14ac:dyDescent="0.25">
      <c r="B3500" s="114" t="s">
        <v>1073</v>
      </c>
      <c r="D3500" s="114" t="s">
        <v>1073</v>
      </c>
      <c r="E3500" s="114" t="s">
        <v>3993</v>
      </c>
    </row>
    <row r="3501" spans="1:5" x14ac:dyDescent="0.25">
      <c r="B3501" s="114" t="s">
        <v>1073</v>
      </c>
      <c r="D3501" s="114" t="s">
        <v>1073</v>
      </c>
      <c r="E3501" s="114" t="s">
        <v>3993</v>
      </c>
    </row>
    <row r="3502" spans="1:5" x14ac:dyDescent="0.25">
      <c r="B3502" s="114" t="s">
        <v>1073</v>
      </c>
      <c r="D3502" s="114" t="s">
        <v>1073</v>
      </c>
      <c r="E3502" s="114" t="s">
        <v>3993</v>
      </c>
    </row>
    <row r="3503" spans="1:5" x14ac:dyDescent="0.25">
      <c r="B3503" s="114" t="s">
        <v>1073</v>
      </c>
      <c r="D3503" s="114" t="s">
        <v>1073</v>
      </c>
      <c r="E3503" s="114" t="s">
        <v>3993</v>
      </c>
    </row>
    <row r="3504" spans="1:5" x14ac:dyDescent="0.25">
      <c r="B3504" s="114" t="s">
        <v>1073</v>
      </c>
      <c r="D3504" s="114" t="s">
        <v>1073</v>
      </c>
      <c r="E3504" s="114" t="s">
        <v>3993</v>
      </c>
    </row>
    <row r="3505" spans="2:5" x14ac:dyDescent="0.25">
      <c r="B3505" s="114" t="s">
        <v>1073</v>
      </c>
      <c r="D3505" s="114" t="s">
        <v>1073</v>
      </c>
      <c r="E3505" s="114" t="s">
        <v>3993</v>
      </c>
    </row>
    <row r="3506" spans="2:5" x14ac:dyDescent="0.25">
      <c r="B3506" s="114" t="s">
        <v>1073</v>
      </c>
      <c r="D3506" s="114" t="s">
        <v>1073</v>
      </c>
      <c r="E3506" s="114" t="s">
        <v>3993</v>
      </c>
    </row>
    <row r="3507" spans="2:5" x14ac:dyDescent="0.25">
      <c r="B3507" s="114" t="s">
        <v>1073</v>
      </c>
      <c r="D3507" s="114" t="s">
        <v>1073</v>
      </c>
      <c r="E3507" s="114" t="s">
        <v>3993</v>
      </c>
    </row>
    <row r="3508" spans="2:5" x14ac:dyDescent="0.25">
      <c r="B3508" s="114" t="s">
        <v>1073</v>
      </c>
      <c r="D3508" s="114" t="s">
        <v>1073</v>
      </c>
      <c r="E3508" s="114" t="s">
        <v>3993</v>
      </c>
    </row>
    <row r="3509" spans="2:5" x14ac:dyDescent="0.25">
      <c r="B3509" s="114" t="s">
        <v>1073</v>
      </c>
      <c r="D3509" s="114" t="s">
        <v>1073</v>
      </c>
      <c r="E3509" s="114" t="s">
        <v>3993</v>
      </c>
    </row>
    <row r="3510" spans="2:5" x14ac:dyDescent="0.25">
      <c r="B3510" s="114" t="s">
        <v>1073</v>
      </c>
      <c r="D3510" s="114" t="s">
        <v>1073</v>
      </c>
      <c r="E3510" s="114" t="s">
        <v>3993</v>
      </c>
    </row>
    <row r="3511" spans="2:5" x14ac:dyDescent="0.25">
      <c r="B3511" s="114" t="s">
        <v>1073</v>
      </c>
      <c r="D3511" s="114" t="s">
        <v>1073</v>
      </c>
      <c r="E3511" s="114" t="s">
        <v>3993</v>
      </c>
    </row>
    <row r="3512" spans="2:5" x14ac:dyDescent="0.25">
      <c r="B3512" s="114" t="s">
        <v>1073</v>
      </c>
      <c r="D3512" s="114" t="s">
        <v>1073</v>
      </c>
      <c r="E3512" s="114" t="s">
        <v>3993</v>
      </c>
    </row>
    <row r="3513" spans="2:5" x14ac:dyDescent="0.25">
      <c r="B3513" s="114" t="s">
        <v>1073</v>
      </c>
      <c r="D3513" s="114" t="s">
        <v>1073</v>
      </c>
      <c r="E3513" s="114" t="s">
        <v>3993</v>
      </c>
    </row>
    <row r="3514" spans="2:5" x14ac:dyDescent="0.25">
      <c r="B3514" s="114" t="s">
        <v>1073</v>
      </c>
      <c r="D3514" s="114" t="s">
        <v>1073</v>
      </c>
      <c r="E3514" s="114" t="s">
        <v>3993</v>
      </c>
    </row>
    <row r="3515" spans="2:5" x14ac:dyDescent="0.25">
      <c r="B3515" s="114" t="s">
        <v>1073</v>
      </c>
      <c r="D3515" s="114" t="s">
        <v>1073</v>
      </c>
      <c r="E3515" s="114" t="s">
        <v>3993</v>
      </c>
    </row>
    <row r="3516" spans="2:5" x14ac:dyDescent="0.25">
      <c r="B3516" s="114" t="s">
        <v>1073</v>
      </c>
      <c r="D3516" s="114" t="s">
        <v>1073</v>
      </c>
      <c r="E3516" s="114" t="s">
        <v>3993</v>
      </c>
    </row>
    <row r="3517" spans="2:5" x14ac:dyDescent="0.25">
      <c r="B3517" s="114" t="s">
        <v>1073</v>
      </c>
      <c r="D3517" s="114" t="s">
        <v>1073</v>
      </c>
      <c r="E3517" s="114" t="s">
        <v>3993</v>
      </c>
    </row>
    <row r="3518" spans="2:5" x14ac:dyDescent="0.25">
      <c r="B3518" s="114" t="s">
        <v>1073</v>
      </c>
      <c r="D3518" s="114" t="s">
        <v>1073</v>
      </c>
      <c r="E3518" s="114" t="s">
        <v>3993</v>
      </c>
    </row>
    <row r="3519" spans="2:5" x14ac:dyDescent="0.25">
      <c r="B3519" s="114" t="s">
        <v>1073</v>
      </c>
      <c r="D3519" s="114" t="s">
        <v>1073</v>
      </c>
      <c r="E3519" s="114" t="s">
        <v>3993</v>
      </c>
    </row>
    <row r="3520" spans="2:5" x14ac:dyDescent="0.25">
      <c r="B3520" s="114" t="s">
        <v>1073</v>
      </c>
      <c r="D3520" s="114" t="s">
        <v>1073</v>
      </c>
      <c r="E3520" s="114" t="s">
        <v>3993</v>
      </c>
    </row>
    <row r="3521" spans="2:5" x14ac:dyDescent="0.25">
      <c r="B3521" s="114" t="s">
        <v>1073</v>
      </c>
      <c r="D3521" s="114" t="s">
        <v>1073</v>
      </c>
      <c r="E3521" s="114" t="s">
        <v>3993</v>
      </c>
    </row>
    <row r="3522" spans="2:5" x14ac:dyDescent="0.25">
      <c r="B3522" s="114" t="s">
        <v>1073</v>
      </c>
      <c r="D3522" s="114" t="s">
        <v>1073</v>
      </c>
      <c r="E3522" s="114" t="s">
        <v>3993</v>
      </c>
    </row>
    <row r="3523" spans="2:5" x14ac:dyDescent="0.25">
      <c r="B3523" s="114" t="s">
        <v>1073</v>
      </c>
      <c r="D3523" s="114" t="s">
        <v>1073</v>
      </c>
      <c r="E3523" s="114" t="s">
        <v>3993</v>
      </c>
    </row>
    <row r="3524" spans="2:5" x14ac:dyDescent="0.25">
      <c r="B3524" s="114" t="s">
        <v>1073</v>
      </c>
      <c r="D3524" s="114" t="s">
        <v>1073</v>
      </c>
      <c r="E3524" s="114" t="s">
        <v>3993</v>
      </c>
    </row>
    <row r="3525" spans="2:5" x14ac:dyDescent="0.25">
      <c r="B3525" s="114" t="s">
        <v>1073</v>
      </c>
      <c r="D3525" s="114" t="s">
        <v>1073</v>
      </c>
      <c r="E3525" s="114" t="s">
        <v>3993</v>
      </c>
    </row>
    <row r="3526" spans="2:5" x14ac:dyDescent="0.25">
      <c r="B3526" s="114" t="s">
        <v>1073</v>
      </c>
      <c r="D3526" s="114" t="s">
        <v>1073</v>
      </c>
      <c r="E3526" s="114" t="s">
        <v>3993</v>
      </c>
    </row>
    <row r="3527" spans="2:5" x14ac:dyDescent="0.25">
      <c r="B3527" s="114" t="s">
        <v>1073</v>
      </c>
      <c r="D3527" s="114" t="s">
        <v>1073</v>
      </c>
      <c r="E3527" s="114" t="s">
        <v>3993</v>
      </c>
    </row>
    <row r="3528" spans="2:5" x14ac:dyDescent="0.25">
      <c r="B3528" s="114" t="s">
        <v>1073</v>
      </c>
      <c r="D3528" s="114" t="s">
        <v>1073</v>
      </c>
      <c r="E3528" s="114" t="s">
        <v>3993</v>
      </c>
    </row>
    <row r="3529" spans="2:5" x14ac:dyDescent="0.25">
      <c r="B3529" s="114" t="s">
        <v>1073</v>
      </c>
      <c r="D3529" s="114" t="s">
        <v>1073</v>
      </c>
      <c r="E3529" s="114" t="s">
        <v>3993</v>
      </c>
    </row>
    <row r="3530" spans="2:5" x14ac:dyDescent="0.25">
      <c r="B3530" s="114" t="s">
        <v>1073</v>
      </c>
      <c r="D3530" s="114" t="s">
        <v>1073</v>
      </c>
      <c r="E3530" s="114" t="s">
        <v>3993</v>
      </c>
    </row>
    <row r="3531" spans="2:5" x14ac:dyDescent="0.25">
      <c r="B3531" s="114" t="s">
        <v>1073</v>
      </c>
      <c r="D3531" s="114" t="s">
        <v>1073</v>
      </c>
      <c r="E3531" s="114" t="s">
        <v>3993</v>
      </c>
    </row>
    <row r="3532" spans="2:5" x14ac:dyDescent="0.25">
      <c r="B3532" s="114" t="s">
        <v>1073</v>
      </c>
      <c r="D3532" s="114" t="s">
        <v>1073</v>
      </c>
      <c r="E3532" s="114" t="s">
        <v>3993</v>
      </c>
    </row>
    <row r="3533" spans="2:5" x14ac:dyDescent="0.25">
      <c r="B3533" s="114" t="s">
        <v>1073</v>
      </c>
      <c r="D3533" s="114" t="s">
        <v>1073</v>
      </c>
      <c r="E3533" s="114" t="s">
        <v>3993</v>
      </c>
    </row>
    <row r="3534" spans="2:5" x14ac:dyDescent="0.25">
      <c r="B3534" s="114" t="s">
        <v>1073</v>
      </c>
      <c r="D3534" s="114" t="s">
        <v>1073</v>
      </c>
      <c r="E3534" s="114" t="s">
        <v>3993</v>
      </c>
    </row>
    <row r="3535" spans="2:5" x14ac:dyDescent="0.25">
      <c r="B3535" s="114" t="s">
        <v>1073</v>
      </c>
      <c r="D3535" s="114" t="s">
        <v>1073</v>
      </c>
      <c r="E3535" s="114" t="s">
        <v>3993</v>
      </c>
    </row>
    <row r="3536" spans="2:5" x14ac:dyDescent="0.25">
      <c r="B3536" s="114" t="s">
        <v>1073</v>
      </c>
      <c r="D3536" s="114" t="s">
        <v>1073</v>
      </c>
      <c r="E3536" s="114" t="s">
        <v>3993</v>
      </c>
    </row>
    <row r="3537" spans="2:5" x14ac:dyDescent="0.25">
      <c r="B3537" s="114" t="s">
        <v>1073</v>
      </c>
      <c r="D3537" s="114" t="s">
        <v>1073</v>
      </c>
      <c r="E3537" s="114" t="s">
        <v>3993</v>
      </c>
    </row>
    <row r="3538" spans="2:5" x14ac:dyDescent="0.25">
      <c r="B3538" s="114" t="s">
        <v>1073</v>
      </c>
      <c r="D3538" s="114" t="s">
        <v>1073</v>
      </c>
      <c r="E3538" s="114" t="s">
        <v>3993</v>
      </c>
    </row>
    <row r="3539" spans="2:5" x14ac:dyDescent="0.25">
      <c r="B3539" s="114" t="s">
        <v>1073</v>
      </c>
      <c r="D3539" s="114" t="s">
        <v>1073</v>
      </c>
      <c r="E3539" s="114" t="s">
        <v>3993</v>
      </c>
    </row>
    <row r="3540" spans="2:5" x14ac:dyDescent="0.25">
      <c r="B3540" s="114" t="s">
        <v>1073</v>
      </c>
      <c r="D3540" s="114" t="s">
        <v>1073</v>
      </c>
      <c r="E3540" s="114" t="s">
        <v>3993</v>
      </c>
    </row>
    <row r="3541" spans="2:5" x14ac:dyDescent="0.25">
      <c r="B3541" s="114" t="s">
        <v>1073</v>
      </c>
      <c r="D3541" s="114" t="s">
        <v>1073</v>
      </c>
      <c r="E3541" s="114" t="s">
        <v>3993</v>
      </c>
    </row>
    <row r="3542" spans="2:5" x14ac:dyDescent="0.25">
      <c r="B3542" s="114" t="s">
        <v>1073</v>
      </c>
      <c r="D3542" s="114" t="s">
        <v>1073</v>
      </c>
      <c r="E3542" s="114" t="s">
        <v>3993</v>
      </c>
    </row>
    <row r="3543" spans="2:5" x14ac:dyDescent="0.25">
      <c r="B3543" s="114" t="s">
        <v>1073</v>
      </c>
      <c r="D3543" s="114" t="s">
        <v>1073</v>
      </c>
      <c r="E3543" s="114" t="s">
        <v>3993</v>
      </c>
    </row>
    <row r="3544" spans="2:5" x14ac:dyDescent="0.25">
      <c r="B3544" s="114" t="s">
        <v>1073</v>
      </c>
      <c r="D3544" s="114" t="s">
        <v>1073</v>
      </c>
      <c r="E3544" s="114" t="s">
        <v>3993</v>
      </c>
    </row>
    <row r="3545" spans="2:5" x14ac:dyDescent="0.25">
      <c r="B3545" s="114" t="s">
        <v>1073</v>
      </c>
      <c r="D3545" s="114" t="s">
        <v>1073</v>
      </c>
      <c r="E3545" s="114" t="s">
        <v>3993</v>
      </c>
    </row>
    <row r="3546" spans="2:5" x14ac:dyDescent="0.25">
      <c r="B3546" s="114" t="s">
        <v>1073</v>
      </c>
      <c r="D3546" s="114" t="s">
        <v>1073</v>
      </c>
      <c r="E3546" s="114" t="s">
        <v>3993</v>
      </c>
    </row>
    <row r="3547" spans="2:5" x14ac:dyDescent="0.25">
      <c r="B3547" s="114" t="s">
        <v>1073</v>
      </c>
      <c r="D3547" s="114" t="s">
        <v>1073</v>
      </c>
      <c r="E3547" s="114" t="s">
        <v>3993</v>
      </c>
    </row>
    <row r="3548" spans="2:5" x14ac:dyDescent="0.25">
      <c r="B3548" s="114" t="s">
        <v>1073</v>
      </c>
      <c r="D3548" s="114" t="s">
        <v>1073</v>
      </c>
      <c r="E3548" s="114" t="s">
        <v>3993</v>
      </c>
    </row>
    <row r="3549" spans="2:5" x14ac:dyDescent="0.25">
      <c r="B3549" s="114" t="s">
        <v>1073</v>
      </c>
      <c r="D3549" s="114" t="s">
        <v>1073</v>
      </c>
      <c r="E3549" s="114" t="s">
        <v>3993</v>
      </c>
    </row>
    <row r="3550" spans="2:5" x14ac:dyDescent="0.25">
      <c r="B3550" s="114" t="s">
        <v>1073</v>
      </c>
      <c r="D3550" s="114" t="s">
        <v>1073</v>
      </c>
      <c r="E3550" s="114" t="s">
        <v>3993</v>
      </c>
    </row>
    <row r="3551" spans="2:5" x14ac:dyDescent="0.25">
      <c r="B3551" s="114" t="s">
        <v>1073</v>
      </c>
      <c r="D3551" s="114" t="s">
        <v>1073</v>
      </c>
      <c r="E3551" s="114" t="s">
        <v>3993</v>
      </c>
    </row>
    <row r="3552" spans="2:5" x14ac:dyDescent="0.25">
      <c r="B3552" s="114" t="s">
        <v>1073</v>
      </c>
      <c r="D3552" s="114" t="s">
        <v>1073</v>
      </c>
      <c r="E3552" s="114" t="s">
        <v>3993</v>
      </c>
    </row>
    <row r="3553" spans="2:5" x14ac:dyDescent="0.25">
      <c r="B3553" s="114" t="s">
        <v>1073</v>
      </c>
      <c r="D3553" s="114" t="s">
        <v>1073</v>
      </c>
      <c r="E3553" s="114" t="s">
        <v>3993</v>
      </c>
    </row>
    <row r="3554" spans="2:5" x14ac:dyDescent="0.25">
      <c r="B3554" s="114" t="s">
        <v>1073</v>
      </c>
      <c r="D3554" s="114" t="s">
        <v>1073</v>
      </c>
      <c r="E3554" s="114" t="s">
        <v>3993</v>
      </c>
    </row>
    <row r="3555" spans="2:5" x14ac:dyDescent="0.25">
      <c r="B3555" s="114" t="s">
        <v>1073</v>
      </c>
      <c r="D3555" s="114" t="s">
        <v>1073</v>
      </c>
      <c r="E3555" s="114" t="s">
        <v>3993</v>
      </c>
    </row>
    <row r="3556" spans="2:5" x14ac:dyDescent="0.25">
      <c r="B3556" s="114" t="s">
        <v>1073</v>
      </c>
      <c r="D3556" s="114" t="s">
        <v>1073</v>
      </c>
      <c r="E3556" s="114" t="s">
        <v>3993</v>
      </c>
    </row>
    <row r="3557" spans="2:5" x14ac:dyDescent="0.25">
      <c r="B3557" s="114" t="s">
        <v>1073</v>
      </c>
      <c r="D3557" s="114" t="s">
        <v>1073</v>
      </c>
      <c r="E3557" s="114" t="s">
        <v>3993</v>
      </c>
    </row>
    <row r="3558" spans="2:5" x14ac:dyDescent="0.25">
      <c r="B3558" s="114" t="s">
        <v>1073</v>
      </c>
      <c r="D3558" s="114" t="s">
        <v>1073</v>
      </c>
      <c r="E3558" s="114" t="s">
        <v>3993</v>
      </c>
    </row>
    <row r="3559" spans="2:5" x14ac:dyDescent="0.25">
      <c r="B3559" s="114" t="s">
        <v>1073</v>
      </c>
      <c r="D3559" s="114" t="s">
        <v>1073</v>
      </c>
      <c r="E3559" s="114" t="s">
        <v>3993</v>
      </c>
    </row>
    <row r="3560" spans="2:5" x14ac:dyDescent="0.25">
      <c r="B3560" s="114" t="s">
        <v>1073</v>
      </c>
      <c r="D3560" s="114" t="s">
        <v>1073</v>
      </c>
      <c r="E3560" s="114" t="s">
        <v>3993</v>
      </c>
    </row>
    <row r="3561" spans="2:5" x14ac:dyDescent="0.25">
      <c r="B3561" s="114" t="s">
        <v>1073</v>
      </c>
      <c r="D3561" s="114" t="s">
        <v>1073</v>
      </c>
      <c r="E3561" s="114" t="s">
        <v>3993</v>
      </c>
    </row>
    <row r="3562" spans="2:5" x14ac:dyDescent="0.25">
      <c r="B3562" s="114" t="s">
        <v>1073</v>
      </c>
      <c r="D3562" s="114" t="s">
        <v>1073</v>
      </c>
      <c r="E3562" s="114" t="s">
        <v>3993</v>
      </c>
    </row>
    <row r="3563" spans="2:5" x14ac:dyDescent="0.25">
      <c r="B3563" s="114" t="s">
        <v>1073</v>
      </c>
      <c r="D3563" s="114" t="s">
        <v>1073</v>
      </c>
      <c r="E3563" s="114" t="s">
        <v>3993</v>
      </c>
    </row>
    <row r="3564" spans="2:5" x14ac:dyDescent="0.25">
      <c r="B3564" s="114" t="s">
        <v>1073</v>
      </c>
      <c r="D3564" s="114" t="s">
        <v>1073</v>
      </c>
      <c r="E3564" s="114" t="s">
        <v>3993</v>
      </c>
    </row>
    <row r="3565" spans="2:5" x14ac:dyDescent="0.25">
      <c r="B3565" s="114" t="s">
        <v>1073</v>
      </c>
      <c r="D3565" s="114" t="s">
        <v>1073</v>
      </c>
      <c r="E3565" s="114" t="s">
        <v>3993</v>
      </c>
    </row>
    <row r="3566" spans="2:5" x14ac:dyDescent="0.25">
      <c r="B3566" s="114" t="s">
        <v>1073</v>
      </c>
      <c r="D3566" s="114" t="s">
        <v>1073</v>
      </c>
      <c r="E3566" s="114" t="s">
        <v>3993</v>
      </c>
    </row>
    <row r="3567" spans="2:5" x14ac:dyDescent="0.25">
      <c r="B3567" s="114" t="s">
        <v>1073</v>
      </c>
      <c r="D3567" s="114" t="s">
        <v>1073</v>
      </c>
      <c r="E3567" s="114" t="s">
        <v>3993</v>
      </c>
    </row>
    <row r="3568" spans="2:5" x14ac:dyDescent="0.25">
      <c r="B3568" s="114" t="s">
        <v>1073</v>
      </c>
      <c r="D3568" s="114" t="s">
        <v>1073</v>
      </c>
      <c r="E3568" s="114" t="s">
        <v>3993</v>
      </c>
    </row>
    <row r="3569" spans="2:5" x14ac:dyDescent="0.25">
      <c r="B3569" s="114" t="s">
        <v>1073</v>
      </c>
      <c r="D3569" s="114" t="s">
        <v>1073</v>
      </c>
      <c r="E3569" s="114" t="s">
        <v>3993</v>
      </c>
    </row>
    <row r="3570" spans="2:5" x14ac:dyDescent="0.25">
      <c r="B3570" s="114" t="s">
        <v>1073</v>
      </c>
      <c r="D3570" s="114" t="s">
        <v>1073</v>
      </c>
      <c r="E3570" s="114" t="s">
        <v>3993</v>
      </c>
    </row>
    <row r="3571" spans="2:5" x14ac:dyDescent="0.25">
      <c r="B3571" s="114" t="s">
        <v>1073</v>
      </c>
      <c r="D3571" s="114" t="s">
        <v>1073</v>
      </c>
      <c r="E3571" s="114" t="s">
        <v>3993</v>
      </c>
    </row>
    <row r="3572" spans="2:5" x14ac:dyDescent="0.25">
      <c r="B3572" s="114" t="s">
        <v>1073</v>
      </c>
      <c r="D3572" s="114" t="s">
        <v>1073</v>
      </c>
      <c r="E3572" s="114" t="s">
        <v>3993</v>
      </c>
    </row>
    <row r="3573" spans="2:5" x14ac:dyDescent="0.25">
      <c r="B3573" s="114" t="s">
        <v>1073</v>
      </c>
      <c r="D3573" s="114" t="s">
        <v>1073</v>
      </c>
      <c r="E3573" s="114" t="s">
        <v>3993</v>
      </c>
    </row>
    <row r="3574" spans="2:5" x14ac:dyDescent="0.25">
      <c r="B3574" s="114" t="s">
        <v>1073</v>
      </c>
      <c r="D3574" s="114" t="s">
        <v>1073</v>
      </c>
      <c r="E3574" s="114" t="s">
        <v>3993</v>
      </c>
    </row>
    <row r="3575" spans="2:5" x14ac:dyDescent="0.25">
      <c r="B3575" s="114" t="s">
        <v>1073</v>
      </c>
      <c r="D3575" s="114" t="s">
        <v>1073</v>
      </c>
      <c r="E3575" s="114" t="s">
        <v>3993</v>
      </c>
    </row>
    <row r="3576" spans="2:5" x14ac:dyDescent="0.25">
      <c r="B3576" s="114" t="s">
        <v>1073</v>
      </c>
      <c r="D3576" s="114" t="s">
        <v>1073</v>
      </c>
      <c r="E3576" s="114" t="s">
        <v>3993</v>
      </c>
    </row>
    <row r="3577" spans="2:5" x14ac:dyDescent="0.25">
      <c r="B3577" s="114" t="s">
        <v>1073</v>
      </c>
      <c r="D3577" s="114" t="s">
        <v>1073</v>
      </c>
      <c r="E3577" s="114" t="s">
        <v>3993</v>
      </c>
    </row>
    <row r="3578" spans="2:5" x14ac:dyDescent="0.25">
      <c r="B3578" s="114" t="s">
        <v>1073</v>
      </c>
      <c r="D3578" s="114" t="s">
        <v>1073</v>
      </c>
      <c r="E3578" s="114" t="s">
        <v>3993</v>
      </c>
    </row>
    <row r="3579" spans="2:5" x14ac:dyDescent="0.25">
      <c r="B3579" s="114" t="s">
        <v>1073</v>
      </c>
      <c r="D3579" s="114" t="s">
        <v>1073</v>
      </c>
      <c r="E3579" s="114" t="s">
        <v>3993</v>
      </c>
    </row>
    <row r="3580" spans="2:5" x14ac:dyDescent="0.25">
      <c r="B3580" s="114" t="s">
        <v>1073</v>
      </c>
      <c r="D3580" s="114" t="s">
        <v>1073</v>
      </c>
      <c r="E3580" s="114" t="s">
        <v>3993</v>
      </c>
    </row>
    <row r="3581" spans="2:5" x14ac:dyDescent="0.25">
      <c r="B3581" s="114" t="s">
        <v>1073</v>
      </c>
      <c r="D3581" s="114" t="s">
        <v>1073</v>
      </c>
      <c r="E3581" s="114" t="s">
        <v>3993</v>
      </c>
    </row>
    <row r="3582" spans="2:5" x14ac:dyDescent="0.25">
      <c r="B3582" s="114" t="s">
        <v>1073</v>
      </c>
      <c r="D3582" s="114" t="s">
        <v>1073</v>
      </c>
      <c r="E3582" s="114" t="s">
        <v>3993</v>
      </c>
    </row>
    <row r="3583" spans="2:5" x14ac:dyDescent="0.25">
      <c r="B3583" s="114" t="s">
        <v>1073</v>
      </c>
      <c r="D3583" s="114" t="s">
        <v>1073</v>
      </c>
      <c r="E3583" s="114" t="s">
        <v>3993</v>
      </c>
    </row>
    <row r="3584" spans="2:5" x14ac:dyDescent="0.25">
      <c r="B3584" s="114" t="s">
        <v>1073</v>
      </c>
      <c r="D3584" s="114" t="s">
        <v>1073</v>
      </c>
      <c r="E3584" s="114" t="s">
        <v>3993</v>
      </c>
    </row>
    <row r="3585" spans="2:5" x14ac:dyDescent="0.25">
      <c r="B3585" s="114" t="s">
        <v>1073</v>
      </c>
      <c r="D3585" s="114" t="s">
        <v>1073</v>
      </c>
      <c r="E3585" s="114" t="s">
        <v>3993</v>
      </c>
    </row>
    <row r="3586" spans="2:5" x14ac:dyDescent="0.25">
      <c r="B3586" s="114" t="s">
        <v>1073</v>
      </c>
      <c r="D3586" s="114" t="s">
        <v>1073</v>
      </c>
      <c r="E3586" s="114" t="s">
        <v>3993</v>
      </c>
    </row>
    <row r="3587" spans="2:5" x14ac:dyDescent="0.25">
      <c r="B3587" s="114" t="s">
        <v>1073</v>
      </c>
      <c r="D3587" s="114" t="s">
        <v>1073</v>
      </c>
      <c r="E3587" s="114" t="s">
        <v>3993</v>
      </c>
    </row>
    <row r="3588" spans="2:5" x14ac:dyDescent="0.25">
      <c r="B3588" s="114" t="s">
        <v>1073</v>
      </c>
      <c r="D3588" s="114" t="s">
        <v>1073</v>
      </c>
      <c r="E3588" s="114" t="s">
        <v>3993</v>
      </c>
    </row>
    <row r="3589" spans="2:5" x14ac:dyDescent="0.25">
      <c r="B3589" s="114" t="s">
        <v>1073</v>
      </c>
      <c r="D3589" s="114" t="s">
        <v>1073</v>
      </c>
      <c r="E3589" s="114" t="s">
        <v>3993</v>
      </c>
    </row>
    <row r="3590" spans="2:5" x14ac:dyDescent="0.25">
      <c r="B3590" s="114" t="s">
        <v>1073</v>
      </c>
      <c r="D3590" s="114" t="s">
        <v>1073</v>
      </c>
      <c r="E3590" s="114" t="s">
        <v>3993</v>
      </c>
    </row>
    <row r="3591" spans="2:5" x14ac:dyDescent="0.25">
      <c r="B3591" s="114" t="s">
        <v>1073</v>
      </c>
      <c r="D3591" s="114" t="s">
        <v>1073</v>
      </c>
      <c r="E3591" s="114" t="s">
        <v>3993</v>
      </c>
    </row>
    <row r="3592" spans="2:5" x14ac:dyDescent="0.25">
      <c r="B3592" s="114" t="s">
        <v>1073</v>
      </c>
      <c r="D3592" s="114" t="s">
        <v>1073</v>
      </c>
      <c r="E3592" s="114" t="s">
        <v>3993</v>
      </c>
    </row>
    <row r="3593" spans="2:5" x14ac:dyDescent="0.25">
      <c r="B3593" s="114" t="s">
        <v>1073</v>
      </c>
      <c r="D3593" s="114" t="s">
        <v>1073</v>
      </c>
      <c r="E3593" s="114" t="s">
        <v>3993</v>
      </c>
    </row>
    <row r="3594" spans="2:5" x14ac:dyDescent="0.25">
      <c r="B3594" s="114" t="s">
        <v>1073</v>
      </c>
      <c r="D3594" s="114" t="s">
        <v>1073</v>
      </c>
      <c r="E3594" s="114" t="s">
        <v>3993</v>
      </c>
    </row>
    <row r="3595" spans="2:5" x14ac:dyDescent="0.25">
      <c r="B3595" s="114" t="s">
        <v>1073</v>
      </c>
      <c r="D3595" s="114" t="s">
        <v>1073</v>
      </c>
      <c r="E3595" s="114" t="s">
        <v>3993</v>
      </c>
    </row>
    <row r="3596" spans="2:5" x14ac:dyDescent="0.25">
      <c r="B3596" s="114" t="s">
        <v>1073</v>
      </c>
      <c r="D3596" s="114" t="s">
        <v>1073</v>
      </c>
      <c r="E3596" s="114" t="s">
        <v>3993</v>
      </c>
    </row>
    <row r="3597" spans="2:5" x14ac:dyDescent="0.25">
      <c r="B3597" s="114" t="s">
        <v>1073</v>
      </c>
      <c r="D3597" s="114" t="s">
        <v>1073</v>
      </c>
      <c r="E3597" s="114" t="s">
        <v>3993</v>
      </c>
    </row>
    <row r="3598" spans="2:5" x14ac:dyDescent="0.25">
      <c r="B3598" s="114" t="s">
        <v>1073</v>
      </c>
      <c r="D3598" s="114" t="s">
        <v>1073</v>
      </c>
      <c r="E3598" s="114" t="s">
        <v>3993</v>
      </c>
    </row>
    <row r="3599" spans="2:5" x14ac:dyDescent="0.25">
      <c r="B3599" s="114" t="s">
        <v>1073</v>
      </c>
      <c r="D3599" s="114" t="s">
        <v>1073</v>
      </c>
      <c r="E3599" s="114" t="s">
        <v>3993</v>
      </c>
    </row>
    <row r="3600" spans="2:5" x14ac:dyDescent="0.25">
      <c r="B3600" s="114" t="s">
        <v>1073</v>
      </c>
      <c r="D3600" s="114" t="s">
        <v>1073</v>
      </c>
      <c r="E3600" s="114" t="s">
        <v>3993</v>
      </c>
    </row>
    <row r="3601" spans="1:5" x14ac:dyDescent="0.25">
      <c r="B3601" s="114" t="s">
        <v>1073</v>
      </c>
      <c r="D3601" s="114" t="s">
        <v>1073</v>
      </c>
      <c r="E3601" s="114" t="s">
        <v>3993</v>
      </c>
    </row>
    <row r="3602" spans="1:5" x14ac:dyDescent="0.25">
      <c r="B3602" s="114" t="s">
        <v>1073</v>
      </c>
      <c r="D3602" s="114" t="s">
        <v>1073</v>
      </c>
      <c r="E3602" s="114" t="s">
        <v>6308</v>
      </c>
    </row>
    <row r="3603" spans="1:5" x14ac:dyDescent="0.25">
      <c r="B3603" s="114" t="s">
        <v>2319</v>
      </c>
      <c r="D3603" s="114" t="s">
        <v>6309</v>
      </c>
      <c r="E3603" s="114" t="s">
        <v>6310</v>
      </c>
    </row>
    <row r="3604" spans="1:5" x14ac:dyDescent="0.25">
      <c r="B3604" s="114" t="s">
        <v>1073</v>
      </c>
      <c r="D3604" s="114" t="s">
        <v>1073</v>
      </c>
      <c r="E3604" s="114" t="s">
        <v>6311</v>
      </c>
    </row>
    <row r="3605" spans="1:5" x14ac:dyDescent="0.25">
      <c r="B3605" s="114" t="s">
        <v>2320</v>
      </c>
      <c r="C3605" s="114" t="s">
        <v>1072</v>
      </c>
      <c r="D3605" s="114" t="s">
        <v>6312</v>
      </c>
      <c r="E3605" s="114" t="s">
        <v>6313</v>
      </c>
    </row>
    <row r="3606" spans="1:5" x14ac:dyDescent="0.25">
      <c r="B3606" s="114" t="s">
        <v>1281</v>
      </c>
      <c r="D3606" s="114" t="s">
        <v>6314</v>
      </c>
      <c r="E3606" s="114" t="s">
        <v>4002</v>
      </c>
    </row>
    <row r="3607" spans="1:5" x14ac:dyDescent="0.25">
      <c r="B3607" s="114" t="s">
        <v>2321</v>
      </c>
      <c r="D3607" s="114" t="s">
        <v>1073</v>
      </c>
      <c r="E3607" s="114" t="s">
        <v>6315</v>
      </c>
    </row>
    <row r="3608" spans="1:5" x14ac:dyDescent="0.25">
      <c r="B3608" s="114" t="s">
        <v>2322</v>
      </c>
      <c r="D3608" s="114" t="s">
        <v>1073</v>
      </c>
      <c r="E3608" s="114" t="s">
        <v>6316</v>
      </c>
    </row>
    <row r="3609" spans="1:5" x14ac:dyDescent="0.25">
      <c r="B3609" s="114" t="s">
        <v>1379</v>
      </c>
      <c r="D3609" s="114" t="s">
        <v>6317</v>
      </c>
      <c r="E3609" s="114" t="s">
        <v>6318</v>
      </c>
    </row>
    <row r="3610" spans="1:5" x14ac:dyDescent="0.25">
      <c r="B3610" s="114" t="s">
        <v>1355</v>
      </c>
      <c r="D3610" s="114" t="s">
        <v>1073</v>
      </c>
      <c r="E3610" s="114" t="s">
        <v>6319</v>
      </c>
    </row>
    <row r="3611" spans="1:5" x14ac:dyDescent="0.25">
      <c r="A3611" s="114" t="s">
        <v>1072</v>
      </c>
      <c r="B3611" s="114" t="s">
        <v>2323</v>
      </c>
      <c r="D3611" s="114" t="s">
        <v>6320</v>
      </c>
      <c r="E3611" s="114" t="s">
        <v>6321</v>
      </c>
    </row>
    <row r="3612" spans="1:5" x14ac:dyDescent="0.25">
      <c r="A3612" s="114" t="s">
        <v>1072</v>
      </c>
      <c r="B3612" s="114" t="s">
        <v>2324</v>
      </c>
      <c r="D3612" s="114" t="s">
        <v>6322</v>
      </c>
      <c r="E3612" s="114" t="s">
        <v>6323</v>
      </c>
    </row>
    <row r="3613" spans="1:5" x14ac:dyDescent="0.25">
      <c r="B3613" s="114" t="s">
        <v>1162</v>
      </c>
      <c r="D3613" s="114" t="s">
        <v>1073</v>
      </c>
      <c r="E3613" s="114" t="s">
        <v>6324</v>
      </c>
    </row>
    <row r="3614" spans="1:5" x14ac:dyDescent="0.25">
      <c r="A3614" s="114">
        <v>-1</v>
      </c>
      <c r="B3614" s="114" t="s">
        <v>2325</v>
      </c>
      <c r="D3614" s="114">
        <f>-374   -275   -16</f>
        <v>-665</v>
      </c>
      <c r="E3614" s="114" t="s">
        <v>6325</v>
      </c>
    </row>
    <row r="3615" spans="1:5" x14ac:dyDescent="0.25">
      <c r="A3615" s="114" t="s">
        <v>1072</v>
      </c>
      <c r="B3615" s="114" t="s">
        <v>2326</v>
      </c>
      <c r="D3615" s="114" t="s">
        <v>6326</v>
      </c>
      <c r="E3615" s="114" t="s">
        <v>6327</v>
      </c>
    </row>
    <row r="3616" spans="1:5" x14ac:dyDescent="0.25">
      <c r="B3616" s="114" t="s">
        <v>2327</v>
      </c>
      <c r="D3616" s="114" t="s">
        <v>1073</v>
      </c>
      <c r="E3616" s="114" t="s">
        <v>6328</v>
      </c>
    </row>
    <row r="3617" spans="1:5" x14ac:dyDescent="0.25">
      <c r="A3617" s="114" t="s">
        <v>1072</v>
      </c>
      <c r="B3617" s="114" t="s">
        <v>2017</v>
      </c>
      <c r="D3617" s="114" t="s">
        <v>5198</v>
      </c>
      <c r="E3617" s="114" t="s">
        <v>6329</v>
      </c>
    </row>
    <row r="3618" spans="1:5" x14ac:dyDescent="0.25">
      <c r="A3618" s="114" t="s">
        <v>1072</v>
      </c>
      <c r="B3618" s="114" t="s">
        <v>2328</v>
      </c>
      <c r="D3618" s="114" t="s">
        <v>6330</v>
      </c>
      <c r="E3618" s="114" t="s">
        <v>6331</v>
      </c>
    </row>
    <row r="3619" spans="1:5" x14ac:dyDescent="0.25">
      <c r="B3619" s="114" t="s">
        <v>1073</v>
      </c>
      <c r="D3619" s="114" t="s">
        <v>1073</v>
      </c>
      <c r="E3619" s="114" t="s">
        <v>6332</v>
      </c>
    </row>
    <row r="3620" spans="1:5" x14ac:dyDescent="0.25">
      <c r="B3620" s="114" t="s">
        <v>1073</v>
      </c>
      <c r="D3620" s="114" t="s">
        <v>1073</v>
      </c>
      <c r="E3620" s="114" t="s">
        <v>6333</v>
      </c>
    </row>
    <row r="3621" spans="1:5" x14ac:dyDescent="0.25">
      <c r="A3621" s="114" t="s">
        <v>1072</v>
      </c>
      <c r="B3621" s="114" t="s">
        <v>2329</v>
      </c>
      <c r="D3621" s="114" t="s">
        <v>1073</v>
      </c>
      <c r="E3621" s="114" t="s">
        <v>6334</v>
      </c>
    </row>
    <row r="3622" spans="1:5" x14ac:dyDescent="0.25">
      <c r="B3622" s="114" t="s">
        <v>1076</v>
      </c>
      <c r="D3622" s="114" t="s">
        <v>1073</v>
      </c>
      <c r="E3622" s="114" t="s">
        <v>6335</v>
      </c>
    </row>
    <row r="3623" spans="1:5" x14ac:dyDescent="0.25">
      <c r="B3623" s="114" t="s">
        <v>2330</v>
      </c>
      <c r="D3623" s="114" t="s">
        <v>6336</v>
      </c>
      <c r="E3623" s="114" t="s">
        <v>3993</v>
      </c>
    </row>
    <row r="3624" spans="1:5" x14ac:dyDescent="0.25">
      <c r="B3624" s="114" t="s">
        <v>2331</v>
      </c>
      <c r="D3624" s="114" t="s">
        <v>6337</v>
      </c>
      <c r="E3624" s="114" t="s">
        <v>6338</v>
      </c>
    </row>
    <row r="3625" spans="1:5" x14ac:dyDescent="0.25">
      <c r="B3625" s="114" t="s">
        <v>2332</v>
      </c>
      <c r="D3625" s="114" t="s">
        <v>1367</v>
      </c>
      <c r="E3625" s="114" t="s">
        <v>6339</v>
      </c>
    </row>
    <row r="3626" spans="1:5" x14ac:dyDescent="0.25">
      <c r="B3626" s="114" t="s">
        <v>1073</v>
      </c>
      <c r="D3626" s="114" t="s">
        <v>1073</v>
      </c>
      <c r="E3626" s="114" t="s">
        <v>3993</v>
      </c>
    </row>
    <row r="3627" spans="1:5" x14ac:dyDescent="0.25">
      <c r="B3627" s="114" t="s">
        <v>1073</v>
      </c>
      <c r="D3627" s="114" t="s">
        <v>1073</v>
      </c>
      <c r="E3627" s="114" t="s">
        <v>6340</v>
      </c>
    </row>
    <row r="3628" spans="1:5" x14ac:dyDescent="0.25">
      <c r="A3628" s="114">
        <v>-15</v>
      </c>
      <c r="B3628" s="114" t="s">
        <v>2333</v>
      </c>
      <c r="D3628" s="114" t="s">
        <v>6341</v>
      </c>
      <c r="E3628" s="114" t="s">
        <v>6342</v>
      </c>
    </row>
    <row r="3629" spans="1:5" x14ac:dyDescent="0.25">
      <c r="B3629" s="114" t="s">
        <v>1073</v>
      </c>
      <c r="D3629" s="114" t="s">
        <v>6343</v>
      </c>
      <c r="E3629" s="114" t="s">
        <v>3993</v>
      </c>
    </row>
    <row r="3630" spans="1:5" x14ac:dyDescent="0.25">
      <c r="B3630" s="114" t="s">
        <v>1073</v>
      </c>
      <c r="D3630" s="114" t="s">
        <v>6344</v>
      </c>
      <c r="E3630" s="114" t="s">
        <v>6345</v>
      </c>
    </row>
    <row r="3631" spans="1:5" x14ac:dyDescent="0.25">
      <c r="A3631" s="114">
        <v>-7</v>
      </c>
      <c r="B3631" s="114" t="s">
        <v>2334</v>
      </c>
      <c r="D3631" s="114" t="s">
        <v>1073</v>
      </c>
      <c r="E3631" s="114" t="s">
        <v>6346</v>
      </c>
    </row>
    <row r="3632" spans="1:5" x14ac:dyDescent="0.25">
      <c r="B3632" s="114" t="s">
        <v>1073</v>
      </c>
      <c r="D3632" s="114" t="s">
        <v>1073</v>
      </c>
      <c r="E3632" s="114" t="s">
        <v>6347</v>
      </c>
    </row>
    <row r="3633" spans="1:5" x14ac:dyDescent="0.25">
      <c r="B3633" s="114" t="s">
        <v>1073</v>
      </c>
      <c r="D3633" s="114" t="s">
        <v>6348</v>
      </c>
      <c r="E3633" s="114" t="s">
        <v>6349</v>
      </c>
    </row>
    <row r="3634" spans="1:5" x14ac:dyDescent="0.25">
      <c r="B3634" s="114" t="s">
        <v>1135</v>
      </c>
      <c r="D3634" s="114" t="s">
        <v>6350</v>
      </c>
      <c r="E3634" s="114" t="s">
        <v>6351</v>
      </c>
    </row>
    <row r="3635" spans="1:5" x14ac:dyDescent="0.25">
      <c r="B3635" s="114" t="s">
        <v>2335</v>
      </c>
      <c r="D3635" s="114" t="s">
        <v>6352</v>
      </c>
      <c r="E3635" s="114" t="s">
        <v>6353</v>
      </c>
    </row>
    <row r="3636" spans="1:5" x14ac:dyDescent="0.25">
      <c r="B3636" s="114" t="s">
        <v>2336</v>
      </c>
      <c r="D3636" s="114">
        <f>-328   -333    -5</f>
        <v>-666</v>
      </c>
      <c r="E3636" s="114" t="s">
        <v>6354</v>
      </c>
    </row>
    <row r="3637" spans="1:5" x14ac:dyDescent="0.25">
      <c r="A3637" s="114" t="s">
        <v>1072</v>
      </c>
      <c r="B3637" s="114" t="s">
        <v>2337</v>
      </c>
      <c r="D3637" s="114" t="s">
        <v>6355</v>
      </c>
      <c r="E3637" s="114" t="s">
        <v>6356</v>
      </c>
    </row>
    <row r="3638" spans="1:5" x14ac:dyDescent="0.25">
      <c r="B3638" s="114" t="s">
        <v>1390</v>
      </c>
      <c r="D3638" s="114" t="s">
        <v>6357</v>
      </c>
      <c r="E3638" s="114" t="s">
        <v>6358</v>
      </c>
    </row>
    <row r="3639" spans="1:5" x14ac:dyDescent="0.25">
      <c r="B3639" s="114" t="s">
        <v>2338</v>
      </c>
      <c r="D3639" s="114" t="s">
        <v>6359</v>
      </c>
      <c r="E3639" s="114" t="s">
        <v>6360</v>
      </c>
    </row>
    <row r="3640" spans="1:5" x14ac:dyDescent="0.25">
      <c r="B3640" s="114" t="s">
        <v>2339</v>
      </c>
      <c r="D3640" s="114" t="s">
        <v>6361</v>
      </c>
      <c r="E3640" s="114" t="s">
        <v>6362</v>
      </c>
    </row>
    <row r="3641" spans="1:5" x14ac:dyDescent="0.25">
      <c r="B3641" s="114" t="s">
        <v>1414</v>
      </c>
      <c r="D3641" s="114" t="s">
        <v>6363</v>
      </c>
      <c r="E3641" s="114" t="s">
        <v>6364</v>
      </c>
    </row>
    <row r="3642" spans="1:5" x14ac:dyDescent="0.25">
      <c r="B3642" s="114" t="s">
        <v>2340</v>
      </c>
      <c r="D3642" s="114" t="s">
        <v>6365</v>
      </c>
      <c r="E3642" s="114" t="s">
        <v>6366</v>
      </c>
    </row>
    <row r="3643" spans="1:5" x14ac:dyDescent="0.25">
      <c r="A3643" s="114" t="s">
        <v>1072</v>
      </c>
      <c r="B3643" s="114" t="s">
        <v>2341</v>
      </c>
      <c r="D3643" s="114" t="s">
        <v>6367</v>
      </c>
      <c r="E3643" s="114" t="s">
        <v>6368</v>
      </c>
    </row>
    <row r="3644" spans="1:5" x14ac:dyDescent="0.25">
      <c r="B3644" s="114" t="s">
        <v>1433</v>
      </c>
      <c r="D3644" s="114" t="s">
        <v>6369</v>
      </c>
      <c r="E3644" s="114" t="s">
        <v>3993</v>
      </c>
    </row>
    <row r="3645" spans="1:5" x14ac:dyDescent="0.25">
      <c r="B3645" s="114" t="s">
        <v>2342</v>
      </c>
      <c r="D3645" s="114" t="s">
        <v>6370</v>
      </c>
      <c r="E3645" s="114" t="s">
        <v>4044</v>
      </c>
    </row>
    <row r="3646" spans="1:5" x14ac:dyDescent="0.25">
      <c r="A3646" s="114">
        <v>-1</v>
      </c>
      <c r="B3646" s="114" t="s">
        <v>2343</v>
      </c>
      <c r="D3646" s="114" t="s">
        <v>6371</v>
      </c>
      <c r="E3646" s="114" t="s">
        <v>6372</v>
      </c>
    </row>
    <row r="3647" spans="1:5" x14ac:dyDescent="0.25">
      <c r="B3647" s="114" t="s">
        <v>1355</v>
      </c>
      <c r="D3647" s="114" t="s">
        <v>5280</v>
      </c>
      <c r="E3647" s="114" t="s">
        <v>6373</v>
      </c>
    </row>
    <row r="3648" spans="1:5" x14ac:dyDescent="0.25">
      <c r="B3648" s="114" t="s">
        <v>2344</v>
      </c>
      <c r="D3648" s="114" t="s">
        <v>6374</v>
      </c>
      <c r="E3648" s="114" t="s">
        <v>6375</v>
      </c>
    </row>
    <row r="3649" spans="2:5" x14ac:dyDescent="0.25">
      <c r="B3649" s="114" t="s">
        <v>1073</v>
      </c>
      <c r="D3649" s="114" t="s">
        <v>1073</v>
      </c>
      <c r="E3649" s="114" t="s">
        <v>6376</v>
      </c>
    </row>
    <row r="3650" spans="2:5" x14ac:dyDescent="0.25">
      <c r="B3650" s="114" t="s">
        <v>2345</v>
      </c>
      <c r="D3650" s="114" t="s">
        <v>5032</v>
      </c>
      <c r="E3650" s="114" t="s">
        <v>6377</v>
      </c>
    </row>
    <row r="3651" spans="2:5" x14ac:dyDescent="0.25">
      <c r="B3651" s="114" t="s">
        <v>1073</v>
      </c>
      <c r="D3651" s="114" t="s">
        <v>6378</v>
      </c>
      <c r="E3651" s="114" t="s">
        <v>3993</v>
      </c>
    </row>
    <row r="3652" spans="2:5" x14ac:dyDescent="0.25">
      <c r="B3652" s="114" t="s">
        <v>1073</v>
      </c>
      <c r="D3652" s="114" t="s">
        <v>1073</v>
      </c>
      <c r="E3652" s="114" t="s">
        <v>3993</v>
      </c>
    </row>
    <row r="3653" spans="2:5" x14ac:dyDescent="0.25">
      <c r="B3653" s="114" t="s">
        <v>2346</v>
      </c>
      <c r="D3653" s="114" t="s">
        <v>1073</v>
      </c>
      <c r="E3653" s="114" t="s">
        <v>6379</v>
      </c>
    </row>
    <row r="3654" spans="2:5" x14ac:dyDescent="0.25">
      <c r="B3654" s="114" t="s">
        <v>1073</v>
      </c>
      <c r="D3654" s="114" t="s">
        <v>1073</v>
      </c>
      <c r="E3654" s="114" t="s">
        <v>3993</v>
      </c>
    </row>
    <row r="3655" spans="2:5" x14ac:dyDescent="0.25">
      <c r="B3655" s="114" t="s">
        <v>1073</v>
      </c>
      <c r="D3655" s="114" t="s">
        <v>1073</v>
      </c>
      <c r="E3655" s="114" t="s">
        <v>3993</v>
      </c>
    </row>
    <row r="3656" spans="2:5" x14ac:dyDescent="0.25">
      <c r="B3656" s="114" t="s">
        <v>1073</v>
      </c>
      <c r="D3656" s="114" t="s">
        <v>1073</v>
      </c>
      <c r="E3656" s="114" t="s">
        <v>3993</v>
      </c>
    </row>
    <row r="3657" spans="2:5" x14ac:dyDescent="0.25">
      <c r="B3657" s="114" t="s">
        <v>1073</v>
      </c>
      <c r="D3657" s="114" t="s">
        <v>1073</v>
      </c>
      <c r="E3657" s="114" t="s">
        <v>3993</v>
      </c>
    </row>
    <row r="3658" spans="2:5" x14ac:dyDescent="0.25">
      <c r="B3658" s="114" t="s">
        <v>1073</v>
      </c>
      <c r="D3658" s="114" t="s">
        <v>1073</v>
      </c>
      <c r="E3658" s="114" t="s">
        <v>3993</v>
      </c>
    </row>
    <row r="3659" spans="2:5" x14ac:dyDescent="0.25">
      <c r="B3659" s="114" t="s">
        <v>1073</v>
      </c>
      <c r="D3659" s="114" t="s">
        <v>1073</v>
      </c>
      <c r="E3659" s="114" t="s">
        <v>3993</v>
      </c>
    </row>
    <row r="3660" spans="2:5" x14ac:dyDescent="0.25">
      <c r="B3660" s="114" t="s">
        <v>1073</v>
      </c>
      <c r="D3660" s="114" t="s">
        <v>1073</v>
      </c>
      <c r="E3660" s="114" t="s">
        <v>3993</v>
      </c>
    </row>
    <row r="3661" spans="2:5" x14ac:dyDescent="0.25">
      <c r="B3661" s="114" t="s">
        <v>1073</v>
      </c>
      <c r="D3661" s="114" t="s">
        <v>1073</v>
      </c>
      <c r="E3661" s="114" t="s">
        <v>3993</v>
      </c>
    </row>
    <row r="3662" spans="2:5" x14ac:dyDescent="0.25">
      <c r="B3662" s="114" t="s">
        <v>1073</v>
      </c>
      <c r="D3662" s="114" t="s">
        <v>1073</v>
      </c>
      <c r="E3662" s="114" t="s">
        <v>3993</v>
      </c>
    </row>
    <row r="3663" spans="2:5" x14ac:dyDescent="0.25">
      <c r="B3663" s="114" t="s">
        <v>1073</v>
      </c>
      <c r="D3663" s="114" t="s">
        <v>1073</v>
      </c>
      <c r="E3663" s="114" t="s">
        <v>3993</v>
      </c>
    </row>
    <row r="3664" spans="2:5" x14ac:dyDescent="0.25">
      <c r="B3664" s="114" t="s">
        <v>1073</v>
      </c>
      <c r="D3664" s="114" t="s">
        <v>1073</v>
      </c>
      <c r="E3664" s="114" t="s">
        <v>3993</v>
      </c>
    </row>
    <row r="3665" spans="2:5" x14ac:dyDescent="0.25">
      <c r="B3665" s="114" t="s">
        <v>1073</v>
      </c>
      <c r="D3665" s="114" t="s">
        <v>1073</v>
      </c>
      <c r="E3665" s="114" t="s">
        <v>3993</v>
      </c>
    </row>
    <row r="3666" spans="2:5" x14ac:dyDescent="0.25">
      <c r="B3666" s="114" t="s">
        <v>1073</v>
      </c>
      <c r="D3666" s="114" t="s">
        <v>1073</v>
      </c>
      <c r="E3666" s="114" t="s">
        <v>3993</v>
      </c>
    </row>
    <row r="3667" spans="2:5" x14ac:dyDescent="0.25">
      <c r="B3667" s="114" t="s">
        <v>1073</v>
      </c>
      <c r="D3667" s="114" t="s">
        <v>1073</v>
      </c>
      <c r="E3667" s="114" t="s">
        <v>3993</v>
      </c>
    </row>
    <row r="3668" spans="2:5" x14ac:dyDescent="0.25">
      <c r="B3668" s="114" t="s">
        <v>1073</v>
      </c>
      <c r="D3668" s="114" t="s">
        <v>1073</v>
      </c>
      <c r="E3668" s="114" t="s">
        <v>3993</v>
      </c>
    </row>
    <row r="3669" spans="2:5" x14ac:dyDescent="0.25">
      <c r="B3669" s="114" t="s">
        <v>1073</v>
      </c>
      <c r="D3669" s="114" t="s">
        <v>1073</v>
      </c>
      <c r="E3669" s="114" t="s">
        <v>3993</v>
      </c>
    </row>
    <row r="3670" spans="2:5" x14ac:dyDescent="0.25">
      <c r="B3670" s="114" t="s">
        <v>1073</v>
      </c>
      <c r="D3670" s="114" t="s">
        <v>1073</v>
      </c>
      <c r="E3670" s="114" t="s">
        <v>3993</v>
      </c>
    </row>
    <row r="3671" spans="2:5" x14ac:dyDescent="0.25">
      <c r="B3671" s="114" t="s">
        <v>1073</v>
      </c>
      <c r="D3671" s="114" t="s">
        <v>1073</v>
      </c>
      <c r="E3671" s="114" t="s">
        <v>3993</v>
      </c>
    </row>
    <row r="3672" spans="2:5" x14ac:dyDescent="0.25">
      <c r="B3672" s="114" t="s">
        <v>1073</v>
      </c>
      <c r="D3672" s="114" t="s">
        <v>1073</v>
      </c>
      <c r="E3672" s="114" t="s">
        <v>3993</v>
      </c>
    </row>
    <row r="3673" spans="2:5" x14ac:dyDescent="0.25">
      <c r="B3673" s="114" t="s">
        <v>1073</v>
      </c>
      <c r="D3673" s="114" t="s">
        <v>1073</v>
      </c>
      <c r="E3673" s="114" t="s">
        <v>3993</v>
      </c>
    </row>
    <row r="3674" spans="2:5" x14ac:dyDescent="0.25">
      <c r="B3674" s="114" t="s">
        <v>1073</v>
      </c>
      <c r="D3674" s="114" t="s">
        <v>1073</v>
      </c>
      <c r="E3674" s="114" t="s">
        <v>3993</v>
      </c>
    </row>
    <row r="3675" spans="2:5" x14ac:dyDescent="0.25">
      <c r="B3675" s="114" t="s">
        <v>1073</v>
      </c>
      <c r="D3675" s="114" t="s">
        <v>1073</v>
      </c>
      <c r="E3675" s="114" t="s">
        <v>3993</v>
      </c>
    </row>
    <row r="3676" spans="2:5" x14ac:dyDescent="0.25">
      <c r="B3676" s="114" t="s">
        <v>1073</v>
      </c>
      <c r="D3676" s="114" t="s">
        <v>1073</v>
      </c>
      <c r="E3676" s="114" t="s">
        <v>3993</v>
      </c>
    </row>
    <row r="3677" spans="2:5" x14ac:dyDescent="0.25">
      <c r="B3677" s="114" t="s">
        <v>1073</v>
      </c>
      <c r="D3677" s="114" t="s">
        <v>1073</v>
      </c>
      <c r="E3677" s="114" t="s">
        <v>3993</v>
      </c>
    </row>
    <row r="3678" spans="2:5" x14ac:dyDescent="0.25">
      <c r="B3678" s="114" t="s">
        <v>1073</v>
      </c>
      <c r="D3678" s="114" t="s">
        <v>1073</v>
      </c>
      <c r="E3678" s="114" t="s">
        <v>3993</v>
      </c>
    </row>
    <row r="3679" spans="2:5" x14ac:dyDescent="0.25">
      <c r="B3679" s="114" t="s">
        <v>1073</v>
      </c>
      <c r="D3679" s="114" t="s">
        <v>6380</v>
      </c>
      <c r="E3679" s="114" t="s">
        <v>6381</v>
      </c>
    </row>
    <row r="3680" spans="2:5" x14ac:dyDescent="0.25">
      <c r="B3680" s="114" t="s">
        <v>2347</v>
      </c>
      <c r="D3680" s="114" t="s">
        <v>1073</v>
      </c>
      <c r="E3680" s="114" t="s">
        <v>6382</v>
      </c>
    </row>
    <row r="3681" spans="1:5" x14ac:dyDescent="0.25">
      <c r="B3681" s="114" t="s">
        <v>1073</v>
      </c>
      <c r="D3681" s="114" t="s">
        <v>1073</v>
      </c>
      <c r="E3681" s="114" t="s">
        <v>6383</v>
      </c>
    </row>
    <row r="3682" spans="1:5" x14ac:dyDescent="0.25">
      <c r="A3682" s="114">
        <v>3</v>
      </c>
      <c r="B3682" s="114" t="s">
        <v>2348</v>
      </c>
      <c r="D3682" s="114" t="s">
        <v>6384</v>
      </c>
      <c r="E3682" s="114" t="s">
        <v>6385</v>
      </c>
    </row>
    <row r="3683" spans="1:5" x14ac:dyDescent="0.25">
      <c r="B3683" s="114" t="s">
        <v>1073</v>
      </c>
      <c r="D3683" s="114" t="s">
        <v>6386</v>
      </c>
      <c r="E3683" s="114" t="s">
        <v>6387</v>
      </c>
    </row>
    <row r="3684" spans="1:5" x14ac:dyDescent="0.25">
      <c r="B3684" s="114" t="s">
        <v>1073</v>
      </c>
      <c r="D3684" s="114" t="s">
        <v>1073</v>
      </c>
      <c r="E3684" s="114" t="s">
        <v>6388</v>
      </c>
    </row>
    <row r="3685" spans="1:5" x14ac:dyDescent="0.25">
      <c r="B3685" s="114" t="s">
        <v>1073</v>
      </c>
      <c r="D3685" s="114" t="s">
        <v>6389</v>
      </c>
      <c r="E3685" s="114" t="s">
        <v>6390</v>
      </c>
    </row>
    <row r="3686" spans="1:5" x14ac:dyDescent="0.25">
      <c r="A3686" s="114">
        <v>-2</v>
      </c>
      <c r="B3686" s="114" t="s">
        <v>2349</v>
      </c>
      <c r="D3686" s="114" t="s">
        <v>6391</v>
      </c>
      <c r="E3686" s="114" t="s">
        <v>6392</v>
      </c>
    </row>
    <row r="3687" spans="1:5" x14ac:dyDescent="0.25">
      <c r="B3687" s="114" t="s">
        <v>1073</v>
      </c>
      <c r="D3687" s="114" t="s">
        <v>6393</v>
      </c>
      <c r="E3687" s="114" t="s">
        <v>6394</v>
      </c>
    </row>
    <row r="3688" spans="1:5" x14ac:dyDescent="0.25">
      <c r="B3688" s="114" t="s">
        <v>2350</v>
      </c>
      <c r="D3688" s="114">
        <f>-99  -1245   -35</f>
        <v>-1379</v>
      </c>
      <c r="E3688" s="114" t="s">
        <v>6395</v>
      </c>
    </row>
    <row r="3689" spans="1:5" x14ac:dyDescent="0.25">
      <c r="B3689" s="114" t="s">
        <v>1073</v>
      </c>
      <c r="D3689" s="114" t="s">
        <v>6396</v>
      </c>
      <c r="E3689" s="114" t="s">
        <v>6397</v>
      </c>
    </row>
    <row r="3690" spans="1:5" x14ac:dyDescent="0.25">
      <c r="B3690" s="114" t="s">
        <v>1073</v>
      </c>
      <c r="D3690" s="114" t="s">
        <v>6398</v>
      </c>
      <c r="E3690" s="114" t="s">
        <v>6399</v>
      </c>
    </row>
    <row r="3691" spans="1:5" x14ac:dyDescent="0.25">
      <c r="B3691" s="114" t="s">
        <v>2351</v>
      </c>
      <c r="D3691" s="114">
        <f>-76  -1382</f>
        <v>-1458</v>
      </c>
      <c r="E3691" s="114" t="s">
        <v>6400</v>
      </c>
    </row>
    <row r="3692" spans="1:5" x14ac:dyDescent="0.25">
      <c r="B3692" s="114" t="s">
        <v>1777</v>
      </c>
      <c r="D3692" s="114" t="s">
        <v>6401</v>
      </c>
      <c r="E3692" s="114" t="s">
        <v>6402</v>
      </c>
    </row>
    <row r="3693" spans="1:5" x14ac:dyDescent="0.25">
      <c r="B3693" s="114" t="s">
        <v>1073</v>
      </c>
      <c r="D3693" s="114" t="s">
        <v>6403</v>
      </c>
      <c r="E3693" s="114" t="s">
        <v>6404</v>
      </c>
    </row>
    <row r="3694" spans="1:5" x14ac:dyDescent="0.25">
      <c r="B3694" s="114" t="s">
        <v>1073</v>
      </c>
      <c r="D3694" s="114">
        <f>-274  -1382    -1</f>
        <v>-1657</v>
      </c>
      <c r="E3694" s="114" t="s">
        <v>6405</v>
      </c>
    </row>
    <row r="3695" spans="1:5" x14ac:dyDescent="0.25">
      <c r="B3695" s="114" t="s">
        <v>2352</v>
      </c>
      <c r="D3695" s="114" t="s">
        <v>6406</v>
      </c>
      <c r="E3695" s="114" t="s">
        <v>6407</v>
      </c>
    </row>
    <row r="3696" spans="1:5" x14ac:dyDescent="0.25">
      <c r="B3696" s="114" t="s">
        <v>1073</v>
      </c>
      <c r="D3696" s="114" t="s">
        <v>6408</v>
      </c>
      <c r="E3696" s="114" t="s">
        <v>6409</v>
      </c>
    </row>
    <row r="3697" spans="1:5" x14ac:dyDescent="0.25">
      <c r="B3697" s="114" t="s">
        <v>1073</v>
      </c>
      <c r="D3697" s="114" t="s">
        <v>6410</v>
      </c>
      <c r="E3697" s="114" t="s">
        <v>6411</v>
      </c>
    </row>
    <row r="3698" spans="1:5" x14ac:dyDescent="0.25">
      <c r="B3698" s="114" t="s">
        <v>1073</v>
      </c>
      <c r="D3698" s="114" t="s">
        <v>6412</v>
      </c>
      <c r="E3698" s="114" t="s">
        <v>6413</v>
      </c>
    </row>
    <row r="3699" spans="1:5" x14ac:dyDescent="0.25">
      <c r="B3699" s="114" t="s">
        <v>1073</v>
      </c>
      <c r="D3699" s="114" t="s">
        <v>6414</v>
      </c>
      <c r="E3699" s="114" t="s">
        <v>6415</v>
      </c>
    </row>
    <row r="3700" spans="1:5" x14ac:dyDescent="0.25">
      <c r="A3700" s="114">
        <v>-1</v>
      </c>
      <c r="B3700" s="114" t="s">
        <v>2353</v>
      </c>
      <c r="D3700" s="114" t="s">
        <v>1073</v>
      </c>
      <c r="E3700" s="114" t="s">
        <v>6416</v>
      </c>
    </row>
    <row r="3701" spans="1:5" x14ac:dyDescent="0.25">
      <c r="A3701" s="114">
        <v>-2</v>
      </c>
      <c r="B3701" s="114" t="s">
        <v>2354</v>
      </c>
      <c r="C3701" s="114" t="s">
        <v>1072</v>
      </c>
      <c r="D3701" s="114" t="s">
        <v>6417</v>
      </c>
      <c r="E3701" s="114" t="s">
        <v>6418</v>
      </c>
    </row>
    <row r="3702" spans="1:5" x14ac:dyDescent="0.25">
      <c r="A3702" s="114">
        <v>1</v>
      </c>
      <c r="B3702" s="114" t="s">
        <v>1143</v>
      </c>
      <c r="D3702" s="114" t="s">
        <v>1073</v>
      </c>
      <c r="E3702" s="114" t="s">
        <v>6419</v>
      </c>
    </row>
    <row r="3703" spans="1:5" x14ac:dyDescent="0.25">
      <c r="B3703" s="114" t="s">
        <v>1073</v>
      </c>
      <c r="D3703" s="114" t="s">
        <v>1073</v>
      </c>
      <c r="E3703" s="114" t="s">
        <v>3993</v>
      </c>
    </row>
    <row r="3704" spans="1:5" x14ac:dyDescent="0.25">
      <c r="B3704" s="114" t="s">
        <v>1073</v>
      </c>
      <c r="D3704" s="114" t="s">
        <v>6420</v>
      </c>
      <c r="E3704" s="114" t="s">
        <v>6421</v>
      </c>
    </row>
    <row r="3705" spans="1:5" x14ac:dyDescent="0.25">
      <c r="B3705" s="114" t="s">
        <v>2355</v>
      </c>
      <c r="D3705" s="114" t="s">
        <v>6422</v>
      </c>
      <c r="E3705" s="114" t="s">
        <v>6423</v>
      </c>
    </row>
    <row r="3706" spans="1:5" x14ac:dyDescent="0.25">
      <c r="B3706" s="114" t="s">
        <v>1073</v>
      </c>
      <c r="D3706" s="114" t="s">
        <v>6424</v>
      </c>
      <c r="E3706" s="114" t="s">
        <v>4118</v>
      </c>
    </row>
    <row r="3707" spans="1:5" x14ac:dyDescent="0.25">
      <c r="B3707" s="114" t="s">
        <v>1073</v>
      </c>
      <c r="D3707" s="114" t="s">
        <v>6425</v>
      </c>
      <c r="E3707" s="114" t="s">
        <v>6426</v>
      </c>
    </row>
    <row r="3708" spans="1:5" x14ac:dyDescent="0.25">
      <c r="B3708" s="114" t="s">
        <v>2356</v>
      </c>
      <c r="D3708" s="114" t="s">
        <v>6427</v>
      </c>
      <c r="E3708" s="114" t="s">
        <v>6428</v>
      </c>
    </row>
    <row r="3709" spans="1:5" x14ac:dyDescent="0.25">
      <c r="B3709" s="114" t="s">
        <v>2357</v>
      </c>
      <c r="D3709" s="114" t="s">
        <v>1073</v>
      </c>
      <c r="E3709" s="114" t="s">
        <v>6429</v>
      </c>
    </row>
    <row r="3710" spans="1:5" x14ac:dyDescent="0.25">
      <c r="B3710" s="114" t="s">
        <v>1073</v>
      </c>
      <c r="D3710" s="114" t="s">
        <v>6430</v>
      </c>
      <c r="E3710" s="114" t="s">
        <v>6431</v>
      </c>
    </row>
    <row r="3711" spans="1:5" x14ac:dyDescent="0.25">
      <c r="B3711" s="114" t="s">
        <v>1073</v>
      </c>
      <c r="D3711" s="114" t="s">
        <v>6432</v>
      </c>
      <c r="E3711" s="114" t="s">
        <v>6433</v>
      </c>
    </row>
    <row r="3712" spans="1:5" x14ac:dyDescent="0.25">
      <c r="A3712" s="114" t="s">
        <v>1072</v>
      </c>
      <c r="B3712" s="114" t="s">
        <v>2358</v>
      </c>
      <c r="D3712" s="114" t="s">
        <v>6434</v>
      </c>
      <c r="E3712" s="114" t="s">
        <v>6435</v>
      </c>
    </row>
    <row r="3713" spans="1:5" x14ac:dyDescent="0.25">
      <c r="B3713" s="114" t="s">
        <v>1718</v>
      </c>
      <c r="D3713" s="114">
        <f>-761   -215  -655</f>
        <v>-1631</v>
      </c>
      <c r="E3713" s="114" t="s">
        <v>6436</v>
      </c>
    </row>
    <row r="3714" spans="1:5" x14ac:dyDescent="0.25">
      <c r="A3714" s="114">
        <v>7</v>
      </c>
      <c r="B3714" s="114" t="s">
        <v>2359</v>
      </c>
      <c r="C3714" s="114">
        <v>1</v>
      </c>
      <c r="D3714" s="114" t="s">
        <v>6437</v>
      </c>
      <c r="E3714" s="114" t="s">
        <v>6438</v>
      </c>
    </row>
    <row r="3715" spans="1:5" x14ac:dyDescent="0.25">
      <c r="A3715" s="114">
        <v>1</v>
      </c>
      <c r="B3715" s="114" t="s">
        <v>2360</v>
      </c>
      <c r="D3715" s="114" t="s">
        <v>6439</v>
      </c>
      <c r="E3715" s="114" t="s">
        <v>6440</v>
      </c>
    </row>
    <row r="3716" spans="1:5" x14ac:dyDescent="0.25">
      <c r="B3716" s="114" t="s">
        <v>2361</v>
      </c>
      <c r="D3716" s="114" t="s">
        <v>6441</v>
      </c>
      <c r="E3716" s="114" t="s">
        <v>6442</v>
      </c>
    </row>
    <row r="3717" spans="1:5" x14ac:dyDescent="0.25">
      <c r="B3717" s="114">
        <f>-39   -497</f>
        <v>-536</v>
      </c>
      <c r="D3717" s="114" t="s">
        <v>6443</v>
      </c>
      <c r="E3717" s="114" t="s">
        <v>6444</v>
      </c>
    </row>
    <row r="3718" spans="1:5" x14ac:dyDescent="0.25">
      <c r="B3718" s="114" t="s">
        <v>1073</v>
      </c>
      <c r="D3718" s="114" t="s">
        <v>6445</v>
      </c>
      <c r="E3718" s="114" t="s">
        <v>6446</v>
      </c>
    </row>
    <row r="3719" spans="1:5" x14ac:dyDescent="0.25">
      <c r="B3719" s="114" t="s">
        <v>2362</v>
      </c>
      <c r="C3719" s="114" t="s">
        <v>1072</v>
      </c>
      <c r="D3719" s="114" t="s">
        <v>6447</v>
      </c>
      <c r="E3719" s="114" t="s">
        <v>6448</v>
      </c>
    </row>
    <row r="3720" spans="1:5" x14ac:dyDescent="0.25">
      <c r="B3720" s="114">
        <f>-56   -460</f>
        <v>-516</v>
      </c>
      <c r="D3720" s="114" t="s">
        <v>6449</v>
      </c>
      <c r="E3720" s="114" t="s">
        <v>6450</v>
      </c>
    </row>
    <row r="3721" spans="1:5" x14ac:dyDescent="0.25">
      <c r="B3721" s="114" t="s">
        <v>1786</v>
      </c>
      <c r="D3721" s="114" t="s">
        <v>6451</v>
      </c>
      <c r="E3721" s="114" t="s">
        <v>3993</v>
      </c>
    </row>
    <row r="3722" spans="1:5" x14ac:dyDescent="0.25">
      <c r="B3722" s="114" t="s">
        <v>2363</v>
      </c>
      <c r="C3722" s="114" t="s">
        <v>1072</v>
      </c>
      <c r="D3722" s="114" t="s">
        <v>6452</v>
      </c>
      <c r="E3722" s="114" t="s">
        <v>6453</v>
      </c>
    </row>
    <row r="3723" spans="1:5" x14ac:dyDescent="0.25">
      <c r="B3723" s="114" t="s">
        <v>2364</v>
      </c>
      <c r="C3723" s="114" t="s">
        <v>1072</v>
      </c>
      <c r="D3723" s="114" t="s">
        <v>6454</v>
      </c>
      <c r="E3723" s="114" t="s">
        <v>6455</v>
      </c>
    </row>
    <row r="3724" spans="1:5" x14ac:dyDescent="0.25">
      <c r="B3724" s="114" t="s">
        <v>2365</v>
      </c>
      <c r="D3724" s="114" t="s">
        <v>2448</v>
      </c>
      <c r="E3724" s="114" t="s">
        <v>6456</v>
      </c>
    </row>
    <row r="3725" spans="1:5" x14ac:dyDescent="0.25">
      <c r="B3725" s="114" t="s">
        <v>2366</v>
      </c>
      <c r="C3725" s="114" t="s">
        <v>1072</v>
      </c>
      <c r="D3725" s="114" t="s">
        <v>6457</v>
      </c>
      <c r="E3725" s="114" t="s">
        <v>6458</v>
      </c>
    </row>
    <row r="3726" spans="1:5" x14ac:dyDescent="0.25">
      <c r="B3726" s="114" t="s">
        <v>1073</v>
      </c>
      <c r="D3726" s="114" t="s">
        <v>1073</v>
      </c>
      <c r="E3726" s="114" t="s">
        <v>6459</v>
      </c>
    </row>
    <row r="3727" spans="1:5" x14ac:dyDescent="0.25">
      <c r="B3727" s="114" t="s">
        <v>2367</v>
      </c>
      <c r="D3727" s="114" t="s">
        <v>6460</v>
      </c>
      <c r="E3727" s="114" t="s">
        <v>6461</v>
      </c>
    </row>
    <row r="3728" spans="1:5" x14ac:dyDescent="0.25">
      <c r="B3728" s="114" t="s">
        <v>1073</v>
      </c>
      <c r="D3728" s="114" t="s">
        <v>6462</v>
      </c>
      <c r="E3728" s="114" t="s">
        <v>6463</v>
      </c>
    </row>
    <row r="3729" spans="1:5" x14ac:dyDescent="0.25">
      <c r="B3729" s="114" t="s">
        <v>1073</v>
      </c>
      <c r="D3729" s="114" t="s">
        <v>1073</v>
      </c>
      <c r="E3729" s="114" t="s">
        <v>3993</v>
      </c>
    </row>
    <row r="3730" spans="1:5" x14ac:dyDescent="0.25">
      <c r="B3730" s="114" t="s">
        <v>2368</v>
      </c>
      <c r="D3730" s="114" t="s">
        <v>1073</v>
      </c>
      <c r="E3730" s="114" t="s">
        <v>6464</v>
      </c>
    </row>
    <row r="3731" spans="1:5" x14ac:dyDescent="0.25">
      <c r="A3731" s="114">
        <v>-5</v>
      </c>
      <c r="B3731" s="114" t="s">
        <v>2369</v>
      </c>
      <c r="C3731" s="114" t="s">
        <v>1072</v>
      </c>
      <c r="D3731" s="114" t="s">
        <v>6465</v>
      </c>
      <c r="E3731" s="114" t="s">
        <v>6466</v>
      </c>
    </row>
    <row r="3732" spans="1:5" x14ac:dyDescent="0.25">
      <c r="B3732" s="114" t="s">
        <v>1073</v>
      </c>
      <c r="D3732" s="114" t="s">
        <v>6467</v>
      </c>
      <c r="E3732" s="114" t="s">
        <v>3993</v>
      </c>
    </row>
    <row r="3733" spans="1:5" x14ac:dyDescent="0.25">
      <c r="B3733" s="114" t="s">
        <v>1073</v>
      </c>
      <c r="D3733" s="114" t="s">
        <v>6468</v>
      </c>
      <c r="E3733" s="114" t="s">
        <v>6469</v>
      </c>
    </row>
    <row r="3734" spans="1:5" x14ac:dyDescent="0.25">
      <c r="A3734" s="114" t="s">
        <v>1072</v>
      </c>
      <c r="B3734" s="114" t="s">
        <v>2370</v>
      </c>
      <c r="D3734" s="114" t="s">
        <v>1073</v>
      </c>
      <c r="E3734" s="114" t="s">
        <v>6470</v>
      </c>
    </row>
    <row r="3735" spans="1:5" x14ac:dyDescent="0.25">
      <c r="B3735" s="114" t="s">
        <v>1073</v>
      </c>
      <c r="D3735" s="114" t="s">
        <v>1073</v>
      </c>
      <c r="E3735" s="114" t="s">
        <v>6471</v>
      </c>
    </row>
    <row r="3736" spans="1:5" x14ac:dyDescent="0.25">
      <c r="B3736" s="114" t="s">
        <v>1073</v>
      </c>
      <c r="D3736" s="114" t="s">
        <v>6472</v>
      </c>
      <c r="E3736" s="114" t="s">
        <v>6473</v>
      </c>
    </row>
    <row r="3737" spans="1:5" x14ac:dyDescent="0.25">
      <c r="B3737" s="114" t="s">
        <v>2371</v>
      </c>
      <c r="D3737" s="114" t="s">
        <v>6474</v>
      </c>
      <c r="E3737" s="114" t="s">
        <v>6475</v>
      </c>
    </row>
    <row r="3738" spans="1:5" x14ac:dyDescent="0.25">
      <c r="B3738" s="114" t="s">
        <v>2372</v>
      </c>
      <c r="D3738" s="114" t="s">
        <v>6476</v>
      </c>
      <c r="E3738" s="114" t="s">
        <v>6477</v>
      </c>
    </row>
    <row r="3739" spans="1:5" x14ac:dyDescent="0.25">
      <c r="B3739" s="114" t="s">
        <v>2373</v>
      </c>
      <c r="D3739" s="114" t="s">
        <v>6478</v>
      </c>
      <c r="E3739" s="114" t="s">
        <v>6479</v>
      </c>
    </row>
    <row r="3740" spans="1:5" x14ac:dyDescent="0.25">
      <c r="A3740" s="114">
        <v>-1</v>
      </c>
      <c r="B3740" s="114" t="s">
        <v>2374</v>
      </c>
      <c r="D3740" s="114" t="s">
        <v>6480</v>
      </c>
      <c r="E3740" s="114" t="s">
        <v>6481</v>
      </c>
    </row>
    <row r="3741" spans="1:5" x14ac:dyDescent="0.25">
      <c r="A3741" s="114" t="s">
        <v>1072</v>
      </c>
      <c r="B3741" s="114" t="s">
        <v>1152</v>
      </c>
      <c r="D3741" s="114" t="s">
        <v>6482</v>
      </c>
      <c r="E3741" s="114" t="s">
        <v>6483</v>
      </c>
    </row>
    <row r="3742" spans="1:5" x14ac:dyDescent="0.25">
      <c r="A3742" s="114">
        <v>1</v>
      </c>
      <c r="B3742" s="114" t="s">
        <v>2375</v>
      </c>
      <c r="D3742" s="114" t="s">
        <v>6484</v>
      </c>
      <c r="E3742" s="114" t="s">
        <v>6485</v>
      </c>
    </row>
    <row r="3743" spans="1:5" x14ac:dyDescent="0.25">
      <c r="A3743" s="114">
        <v>7</v>
      </c>
      <c r="B3743" s="114" t="s">
        <v>1313</v>
      </c>
      <c r="D3743" s="114" t="s">
        <v>6486</v>
      </c>
      <c r="E3743" s="114" t="s">
        <v>6487</v>
      </c>
    </row>
    <row r="3744" spans="1:5" x14ac:dyDescent="0.25">
      <c r="B3744" s="114" t="s">
        <v>2376</v>
      </c>
      <c r="D3744" s="114" t="s">
        <v>6488</v>
      </c>
      <c r="E3744" s="114" t="s">
        <v>6489</v>
      </c>
    </row>
    <row r="3745" spans="1:5" x14ac:dyDescent="0.25">
      <c r="A3745" s="114">
        <v>-7</v>
      </c>
      <c r="B3745" s="114" t="s">
        <v>2377</v>
      </c>
      <c r="D3745" s="114" t="s">
        <v>6490</v>
      </c>
      <c r="E3745" s="114" t="s">
        <v>6491</v>
      </c>
    </row>
    <row r="3746" spans="1:5" x14ac:dyDescent="0.25">
      <c r="A3746" s="114" t="s">
        <v>1072</v>
      </c>
      <c r="B3746" s="114" t="s">
        <v>2378</v>
      </c>
      <c r="D3746" s="114" t="s">
        <v>6492</v>
      </c>
      <c r="E3746" s="114" t="s">
        <v>6493</v>
      </c>
    </row>
    <row r="3747" spans="1:5" x14ac:dyDescent="0.25">
      <c r="B3747" s="114" t="s">
        <v>2379</v>
      </c>
      <c r="D3747" s="114" t="s">
        <v>6494</v>
      </c>
      <c r="E3747" s="114" t="s">
        <v>3993</v>
      </c>
    </row>
    <row r="3748" spans="1:5" x14ac:dyDescent="0.25">
      <c r="A3748" s="114">
        <v>1</v>
      </c>
      <c r="B3748" s="114" t="s">
        <v>2380</v>
      </c>
      <c r="D3748" s="114" t="s">
        <v>6495</v>
      </c>
      <c r="E3748" s="114" t="s">
        <v>4044</v>
      </c>
    </row>
    <row r="3749" spans="1:5" x14ac:dyDescent="0.25">
      <c r="A3749" s="114">
        <v>-3</v>
      </c>
      <c r="B3749" s="114" t="s">
        <v>2381</v>
      </c>
      <c r="C3749" s="114" t="s">
        <v>1072</v>
      </c>
      <c r="D3749" s="114" t="s">
        <v>6496</v>
      </c>
      <c r="E3749" s="114" t="s">
        <v>6497</v>
      </c>
    </row>
    <row r="3750" spans="1:5" x14ac:dyDescent="0.25">
      <c r="A3750" s="114" t="s">
        <v>1072</v>
      </c>
      <c r="B3750" s="114" t="s">
        <v>2382</v>
      </c>
      <c r="D3750" s="114" t="s">
        <v>6112</v>
      </c>
      <c r="E3750" s="114" t="s">
        <v>6498</v>
      </c>
    </row>
    <row r="3751" spans="1:5" x14ac:dyDescent="0.25">
      <c r="A3751" s="114">
        <v>1</v>
      </c>
      <c r="B3751" s="114" t="s">
        <v>2383</v>
      </c>
      <c r="D3751" s="114" t="s">
        <v>6499</v>
      </c>
      <c r="E3751" s="114" t="s">
        <v>6500</v>
      </c>
    </row>
    <row r="3752" spans="1:5" x14ac:dyDescent="0.25">
      <c r="B3752" s="114" t="s">
        <v>1073</v>
      </c>
      <c r="D3752" s="114" t="s">
        <v>1073</v>
      </c>
      <c r="E3752" s="114" t="s">
        <v>6501</v>
      </c>
    </row>
    <row r="3753" spans="1:5" x14ac:dyDescent="0.25">
      <c r="A3753" s="114" t="s">
        <v>1072</v>
      </c>
      <c r="B3753" s="114" t="s">
        <v>2384</v>
      </c>
      <c r="D3753" s="114" t="s">
        <v>6502</v>
      </c>
      <c r="E3753" s="114" t="s">
        <v>6503</v>
      </c>
    </row>
    <row r="3754" spans="1:5" x14ac:dyDescent="0.25">
      <c r="B3754" s="114" t="s">
        <v>1073</v>
      </c>
      <c r="D3754" s="114" t="s">
        <v>6504</v>
      </c>
      <c r="E3754" s="114" t="s">
        <v>3993</v>
      </c>
    </row>
    <row r="3755" spans="1:5" x14ac:dyDescent="0.25">
      <c r="B3755" s="114" t="s">
        <v>1073</v>
      </c>
      <c r="D3755" s="114" t="s">
        <v>1073</v>
      </c>
      <c r="E3755" s="114" t="s">
        <v>3993</v>
      </c>
    </row>
    <row r="3756" spans="1:5" x14ac:dyDescent="0.25">
      <c r="A3756" s="114">
        <v>1</v>
      </c>
      <c r="B3756" s="114" t="s">
        <v>2385</v>
      </c>
      <c r="D3756" s="114" t="s">
        <v>1073</v>
      </c>
      <c r="E3756" s="114" t="s">
        <v>6505</v>
      </c>
    </row>
    <row r="3757" spans="1:5" x14ac:dyDescent="0.25">
      <c r="A3757" s="114">
        <v>-2</v>
      </c>
      <c r="B3757" s="114" t="s">
        <v>2386</v>
      </c>
      <c r="D3757" s="114" t="s">
        <v>6506</v>
      </c>
      <c r="E3757" s="114" t="s">
        <v>6507</v>
      </c>
    </row>
    <row r="3758" spans="1:5" x14ac:dyDescent="0.25">
      <c r="B3758" s="114" t="s">
        <v>1073</v>
      </c>
      <c r="D3758" s="114" t="s">
        <v>6508</v>
      </c>
      <c r="E3758" s="114" t="s">
        <v>3993</v>
      </c>
    </row>
    <row r="3759" spans="1:5" x14ac:dyDescent="0.25">
      <c r="B3759" s="114" t="s">
        <v>1073</v>
      </c>
      <c r="D3759" s="114" t="s">
        <v>6509</v>
      </c>
      <c r="E3759" s="114" t="s">
        <v>6510</v>
      </c>
    </row>
    <row r="3760" spans="1:5" x14ac:dyDescent="0.25">
      <c r="A3760" s="114" t="s">
        <v>1072</v>
      </c>
      <c r="B3760" s="114" t="s">
        <v>2387</v>
      </c>
      <c r="D3760" s="114" t="s">
        <v>1073</v>
      </c>
      <c r="E3760" s="114" t="s">
        <v>6511</v>
      </c>
    </row>
    <row r="3761" spans="1:5" x14ac:dyDescent="0.25">
      <c r="B3761" s="114" t="s">
        <v>1073</v>
      </c>
      <c r="D3761" s="114" t="s">
        <v>1073</v>
      </c>
      <c r="E3761" s="114" t="s">
        <v>5426</v>
      </c>
    </row>
    <row r="3762" spans="1:5" x14ac:dyDescent="0.25">
      <c r="B3762" s="114" t="s">
        <v>1073</v>
      </c>
      <c r="D3762" s="114" t="s">
        <v>6512</v>
      </c>
      <c r="E3762" s="114" t="s">
        <v>6513</v>
      </c>
    </row>
    <row r="3763" spans="1:5" x14ac:dyDescent="0.25">
      <c r="B3763" s="114" t="s">
        <v>1404</v>
      </c>
      <c r="D3763" s="114">
        <f>-51    -14</f>
        <v>-65</v>
      </c>
      <c r="E3763" s="114" t="s">
        <v>6514</v>
      </c>
    </row>
    <row r="3764" spans="1:5" x14ac:dyDescent="0.25">
      <c r="A3764" s="114" t="s">
        <v>1072</v>
      </c>
      <c r="B3764" s="114" t="s">
        <v>2388</v>
      </c>
      <c r="D3764" s="114" t="s">
        <v>6515</v>
      </c>
      <c r="E3764" s="114" t="s">
        <v>6516</v>
      </c>
    </row>
    <row r="3765" spans="1:5" x14ac:dyDescent="0.25">
      <c r="B3765" s="114" t="s">
        <v>2389</v>
      </c>
      <c r="D3765" s="114" t="s">
        <v>6517</v>
      </c>
      <c r="E3765" s="114" t="s">
        <v>6518</v>
      </c>
    </row>
    <row r="3766" spans="1:5" x14ac:dyDescent="0.25">
      <c r="A3766" s="114" t="s">
        <v>1072</v>
      </c>
      <c r="B3766" s="114" t="s">
        <v>2390</v>
      </c>
      <c r="D3766" s="114" t="s">
        <v>6519</v>
      </c>
      <c r="E3766" s="114" t="s">
        <v>6520</v>
      </c>
    </row>
    <row r="3767" spans="1:5" x14ac:dyDescent="0.25">
      <c r="A3767" s="114" t="s">
        <v>1072</v>
      </c>
      <c r="B3767" s="114" t="s">
        <v>1094</v>
      </c>
      <c r="D3767" s="114" t="s">
        <v>6521</v>
      </c>
      <c r="E3767" s="114" t="s">
        <v>6522</v>
      </c>
    </row>
    <row r="3768" spans="1:5" x14ac:dyDescent="0.25">
      <c r="B3768" s="114" t="s">
        <v>2391</v>
      </c>
      <c r="D3768" s="114" t="s">
        <v>6523</v>
      </c>
      <c r="E3768" s="114" t="s">
        <v>6524</v>
      </c>
    </row>
    <row r="3769" spans="1:5" x14ac:dyDescent="0.25">
      <c r="A3769" s="114" t="s">
        <v>1072</v>
      </c>
      <c r="B3769" s="114" t="s">
        <v>1345</v>
      </c>
      <c r="D3769" s="114" t="s">
        <v>6525</v>
      </c>
      <c r="E3769" s="114" t="s">
        <v>6526</v>
      </c>
    </row>
    <row r="3770" spans="1:5" x14ac:dyDescent="0.25">
      <c r="B3770" s="114" t="s">
        <v>2392</v>
      </c>
      <c r="D3770" s="114" t="s">
        <v>6527</v>
      </c>
      <c r="E3770" s="114" t="s">
        <v>6528</v>
      </c>
    </row>
    <row r="3771" spans="1:5" x14ac:dyDescent="0.25">
      <c r="B3771" s="114" t="s">
        <v>2393</v>
      </c>
      <c r="D3771" s="114" t="s">
        <v>6529</v>
      </c>
      <c r="E3771" s="114" t="s">
        <v>6530</v>
      </c>
    </row>
    <row r="3772" spans="1:5" x14ac:dyDescent="0.25">
      <c r="A3772" s="114">
        <v>1</v>
      </c>
      <c r="B3772" s="114" t="s">
        <v>2394</v>
      </c>
      <c r="D3772" s="114" t="s">
        <v>6531</v>
      </c>
      <c r="E3772" s="114" t="s">
        <v>6532</v>
      </c>
    </row>
    <row r="3773" spans="1:5" x14ac:dyDescent="0.25">
      <c r="A3773" s="114" t="s">
        <v>1072</v>
      </c>
      <c r="B3773" s="114" t="s">
        <v>1234</v>
      </c>
      <c r="C3773" s="114" t="s">
        <v>1072</v>
      </c>
      <c r="D3773" s="114" t="s">
        <v>6533</v>
      </c>
      <c r="E3773" s="114" t="s">
        <v>3993</v>
      </c>
    </row>
    <row r="3774" spans="1:5" x14ac:dyDescent="0.25">
      <c r="A3774" s="114">
        <v>-17</v>
      </c>
      <c r="B3774" s="114" t="s">
        <v>2395</v>
      </c>
      <c r="D3774" s="114" t="s">
        <v>6534</v>
      </c>
      <c r="E3774" s="114" t="s">
        <v>5199</v>
      </c>
    </row>
    <row r="3775" spans="1:5" x14ac:dyDescent="0.25">
      <c r="A3775" s="114">
        <v>-3</v>
      </c>
      <c r="B3775" s="114" t="s">
        <v>2396</v>
      </c>
      <c r="C3775" s="114" t="s">
        <v>1072</v>
      </c>
      <c r="D3775" s="114" t="s">
        <v>6535</v>
      </c>
      <c r="E3775" s="114" t="s">
        <v>6536</v>
      </c>
    </row>
    <row r="3776" spans="1:5" x14ac:dyDescent="0.25">
      <c r="A3776" s="114" t="s">
        <v>1072</v>
      </c>
      <c r="B3776" s="114" t="s">
        <v>1233</v>
      </c>
      <c r="D3776" s="114" t="s">
        <v>6537</v>
      </c>
      <c r="E3776" s="114" t="s">
        <v>6538</v>
      </c>
    </row>
    <row r="3777" spans="1:5" x14ac:dyDescent="0.25">
      <c r="B3777" s="114" t="s">
        <v>2397</v>
      </c>
      <c r="C3777" s="114" t="s">
        <v>1072</v>
      </c>
      <c r="D3777" s="114" t="s">
        <v>6539</v>
      </c>
      <c r="E3777" s="114" t="s">
        <v>6540</v>
      </c>
    </row>
    <row r="3778" spans="1:5" x14ac:dyDescent="0.25">
      <c r="B3778" s="114" t="s">
        <v>1073</v>
      </c>
      <c r="D3778" s="114" t="s">
        <v>1073</v>
      </c>
      <c r="E3778" s="114" t="s">
        <v>6541</v>
      </c>
    </row>
    <row r="3779" spans="1:5" x14ac:dyDescent="0.25">
      <c r="A3779" s="114">
        <v>1</v>
      </c>
      <c r="B3779" s="114" t="s">
        <v>2398</v>
      </c>
      <c r="D3779" s="114" t="s">
        <v>6542</v>
      </c>
      <c r="E3779" s="114" t="s">
        <v>6543</v>
      </c>
    </row>
    <row r="3780" spans="1:5" x14ac:dyDescent="0.25">
      <c r="B3780" s="114" t="s">
        <v>1073</v>
      </c>
      <c r="D3780" s="114" t="s">
        <v>6544</v>
      </c>
      <c r="E3780" s="114" t="s">
        <v>4077</v>
      </c>
    </row>
    <row r="3781" spans="1:5" x14ac:dyDescent="0.25">
      <c r="B3781" s="114" t="s">
        <v>1073</v>
      </c>
      <c r="D3781" s="114" t="s">
        <v>1073</v>
      </c>
      <c r="E3781" s="114" t="s">
        <v>3993</v>
      </c>
    </row>
    <row r="3782" spans="1:5" x14ac:dyDescent="0.25">
      <c r="A3782" s="114">
        <v>1</v>
      </c>
      <c r="B3782" s="114" t="s">
        <v>1322</v>
      </c>
      <c r="D3782" s="114" t="s">
        <v>1073</v>
      </c>
      <c r="E3782" s="114" t="s">
        <v>6545</v>
      </c>
    </row>
    <row r="3783" spans="1:5" x14ac:dyDescent="0.25">
      <c r="A3783" s="114">
        <v>31</v>
      </c>
      <c r="B3783" s="114" t="s">
        <v>2399</v>
      </c>
      <c r="C3783" s="114" t="s">
        <v>1072</v>
      </c>
      <c r="D3783" s="114" t="s">
        <v>6546</v>
      </c>
      <c r="E3783" s="114" t="s">
        <v>6547</v>
      </c>
    </row>
    <row r="3784" spans="1:5" x14ac:dyDescent="0.25">
      <c r="B3784" s="114" t="s">
        <v>1073</v>
      </c>
      <c r="D3784" s="114" t="s">
        <v>6548</v>
      </c>
      <c r="E3784" s="114" t="s">
        <v>4518</v>
      </c>
    </row>
    <row r="3785" spans="1:5" x14ac:dyDescent="0.25">
      <c r="B3785" s="114" t="s">
        <v>1073</v>
      </c>
      <c r="D3785" s="114" t="s">
        <v>6549</v>
      </c>
      <c r="E3785" s="114" t="s">
        <v>6550</v>
      </c>
    </row>
    <row r="3786" spans="1:5" x14ac:dyDescent="0.25">
      <c r="B3786" s="114" t="s">
        <v>2400</v>
      </c>
      <c r="D3786" s="114" t="s">
        <v>1336</v>
      </c>
      <c r="E3786" s="114" t="s">
        <v>6551</v>
      </c>
    </row>
    <row r="3787" spans="1:5" x14ac:dyDescent="0.25">
      <c r="B3787" s="114" t="s">
        <v>2401</v>
      </c>
      <c r="D3787" s="114" t="s">
        <v>1073</v>
      </c>
      <c r="E3787" s="114" t="s">
        <v>6552</v>
      </c>
    </row>
    <row r="3788" spans="1:5" x14ac:dyDescent="0.25">
      <c r="B3788" s="114" t="s">
        <v>1073</v>
      </c>
      <c r="D3788" s="114" t="s">
        <v>6553</v>
      </c>
      <c r="E3788" s="114" t="s">
        <v>6554</v>
      </c>
    </row>
    <row r="3789" spans="1:5" x14ac:dyDescent="0.25">
      <c r="B3789" s="114" t="s">
        <v>1073</v>
      </c>
      <c r="C3789" s="114" t="s">
        <v>1072</v>
      </c>
      <c r="D3789" s="114" t="s">
        <v>6555</v>
      </c>
      <c r="E3789" s="114" t="s">
        <v>6556</v>
      </c>
    </row>
    <row r="3790" spans="1:5" x14ac:dyDescent="0.25">
      <c r="B3790" s="114" t="s">
        <v>2402</v>
      </c>
      <c r="D3790" s="114" t="s">
        <v>6557</v>
      </c>
      <c r="E3790" s="114" t="s">
        <v>6558</v>
      </c>
    </row>
    <row r="3791" spans="1:5" x14ac:dyDescent="0.25">
      <c r="B3791" s="114" t="s">
        <v>2403</v>
      </c>
      <c r="D3791" s="114" t="s">
        <v>6559</v>
      </c>
      <c r="E3791" s="114" t="s">
        <v>6560</v>
      </c>
    </row>
    <row r="3792" spans="1:5" x14ac:dyDescent="0.25">
      <c r="A3792" s="114" t="s">
        <v>1072</v>
      </c>
      <c r="B3792" s="114" t="s">
        <v>2404</v>
      </c>
      <c r="C3792" s="114" t="s">
        <v>1072</v>
      </c>
      <c r="D3792" s="114" t="s">
        <v>6561</v>
      </c>
      <c r="E3792" s="114" t="s">
        <v>6562</v>
      </c>
    </row>
    <row r="3793" spans="2:5" x14ac:dyDescent="0.25">
      <c r="B3793" s="114" t="s">
        <v>2405</v>
      </c>
      <c r="D3793" s="114" t="s">
        <v>6563</v>
      </c>
      <c r="E3793" s="114" t="s">
        <v>6564</v>
      </c>
    </row>
    <row r="3794" spans="2:5" x14ac:dyDescent="0.25">
      <c r="B3794" s="114" t="s">
        <v>2406</v>
      </c>
      <c r="D3794" s="114" t="s">
        <v>6565</v>
      </c>
      <c r="E3794" s="114" t="s">
        <v>6566</v>
      </c>
    </row>
    <row r="3795" spans="2:5" x14ac:dyDescent="0.25">
      <c r="B3795" s="114">
        <f>-33   -597</f>
        <v>-630</v>
      </c>
      <c r="D3795" s="114" t="s">
        <v>6567</v>
      </c>
      <c r="E3795" s="114" t="s">
        <v>6568</v>
      </c>
    </row>
    <row r="3796" spans="2:5" x14ac:dyDescent="0.25">
      <c r="B3796" s="114" t="s">
        <v>1073</v>
      </c>
      <c r="D3796" s="114" t="s">
        <v>6569</v>
      </c>
      <c r="E3796" s="114" t="s">
        <v>6570</v>
      </c>
    </row>
    <row r="3797" spans="2:5" x14ac:dyDescent="0.25">
      <c r="B3797" s="114" t="s">
        <v>2407</v>
      </c>
      <c r="D3797" s="114" t="s">
        <v>6571</v>
      </c>
      <c r="E3797" s="114" t="s">
        <v>6572</v>
      </c>
    </row>
    <row r="3798" spans="2:5" x14ac:dyDescent="0.25">
      <c r="B3798" s="114" t="s">
        <v>2408</v>
      </c>
      <c r="D3798" s="114">
        <f>-954   -872   -77</f>
        <v>-1903</v>
      </c>
      <c r="E3798" s="114" t="s">
        <v>6573</v>
      </c>
    </row>
    <row r="3799" spans="2:5" x14ac:dyDescent="0.25">
      <c r="B3799" s="114" t="s">
        <v>2409</v>
      </c>
      <c r="D3799" s="114" t="s">
        <v>6574</v>
      </c>
      <c r="E3799" s="114" t="s">
        <v>3993</v>
      </c>
    </row>
    <row r="3800" spans="2:5" x14ac:dyDescent="0.25">
      <c r="B3800" s="114" t="s">
        <v>2410</v>
      </c>
      <c r="D3800" s="114" t="s">
        <v>6575</v>
      </c>
      <c r="E3800" s="114" t="s">
        <v>6576</v>
      </c>
    </row>
    <row r="3801" spans="2:5" x14ac:dyDescent="0.25">
      <c r="B3801" s="114" t="s">
        <v>2411</v>
      </c>
      <c r="D3801" s="114" t="s">
        <v>6577</v>
      </c>
      <c r="E3801" s="114" t="s">
        <v>6578</v>
      </c>
    </row>
    <row r="3802" spans="2:5" x14ac:dyDescent="0.25">
      <c r="B3802" s="114" t="s">
        <v>2412</v>
      </c>
      <c r="D3802" s="114" t="s">
        <v>6579</v>
      </c>
      <c r="E3802" s="114" t="s">
        <v>6580</v>
      </c>
    </row>
    <row r="3803" spans="2:5" x14ac:dyDescent="0.25">
      <c r="B3803" s="114" t="s">
        <v>2413</v>
      </c>
      <c r="D3803" s="114" t="s">
        <v>6581</v>
      </c>
      <c r="E3803" s="114" t="s">
        <v>6582</v>
      </c>
    </row>
    <row r="3804" spans="2:5" x14ac:dyDescent="0.25">
      <c r="B3804" s="114" t="s">
        <v>1073</v>
      </c>
      <c r="D3804" s="114" t="s">
        <v>1073</v>
      </c>
      <c r="E3804" s="114" t="s">
        <v>6583</v>
      </c>
    </row>
    <row r="3805" spans="2:5" x14ac:dyDescent="0.25">
      <c r="B3805" s="114" t="s">
        <v>2414</v>
      </c>
      <c r="D3805" s="114" t="s">
        <v>1281</v>
      </c>
      <c r="E3805" s="114" t="s">
        <v>6584</v>
      </c>
    </row>
    <row r="3806" spans="2:5" x14ac:dyDescent="0.25">
      <c r="B3806" s="114" t="s">
        <v>1073</v>
      </c>
      <c r="D3806" s="114" t="s">
        <v>6585</v>
      </c>
      <c r="E3806" s="114" t="s">
        <v>6586</v>
      </c>
    </row>
    <row r="3807" spans="2:5" x14ac:dyDescent="0.25">
      <c r="B3807" s="114" t="s">
        <v>1073</v>
      </c>
      <c r="D3807" s="114" t="s">
        <v>1073</v>
      </c>
      <c r="E3807" s="114" t="s">
        <v>3993</v>
      </c>
    </row>
    <row r="3808" spans="2:5" x14ac:dyDescent="0.25">
      <c r="B3808" s="114" t="s">
        <v>2415</v>
      </c>
      <c r="D3808" s="114" t="s">
        <v>1073</v>
      </c>
      <c r="E3808" s="114" t="s">
        <v>6587</v>
      </c>
    </row>
    <row r="3809" spans="1:5" x14ac:dyDescent="0.25">
      <c r="A3809" s="114">
        <v>-20</v>
      </c>
      <c r="B3809" s="114" t="s">
        <v>2416</v>
      </c>
      <c r="C3809" s="114">
        <v>-1</v>
      </c>
      <c r="D3809" s="114" t="s">
        <v>6588</v>
      </c>
      <c r="E3809" s="114" t="s">
        <v>6589</v>
      </c>
    </row>
    <row r="3810" spans="1:5" x14ac:dyDescent="0.25">
      <c r="B3810" s="114" t="s">
        <v>2417</v>
      </c>
      <c r="D3810" s="114" t="s">
        <v>1073</v>
      </c>
      <c r="E3810" s="114" t="s">
        <v>6590</v>
      </c>
    </row>
    <row r="3811" spans="1:5" x14ac:dyDescent="0.25">
      <c r="B3811" s="114" t="s">
        <v>1073</v>
      </c>
      <c r="D3811" s="114" t="s">
        <v>1073</v>
      </c>
      <c r="E3811" s="114" t="s">
        <v>6591</v>
      </c>
    </row>
    <row r="3812" spans="1:5" x14ac:dyDescent="0.25">
      <c r="A3812" s="114">
        <v>3</v>
      </c>
      <c r="B3812" s="114" t="s">
        <v>2418</v>
      </c>
      <c r="D3812" s="114" t="s">
        <v>6592</v>
      </c>
      <c r="E3812" s="114" t="s">
        <v>6593</v>
      </c>
    </row>
    <row r="3813" spans="1:5" x14ac:dyDescent="0.25">
      <c r="B3813" s="114" t="s">
        <v>1073</v>
      </c>
      <c r="D3813" s="114" t="s">
        <v>6594</v>
      </c>
      <c r="E3813" s="114" t="s">
        <v>6595</v>
      </c>
    </row>
    <row r="3814" spans="1:5" x14ac:dyDescent="0.25">
      <c r="B3814" s="114" t="s">
        <v>1073</v>
      </c>
      <c r="D3814" s="114" t="s">
        <v>1073</v>
      </c>
      <c r="E3814" s="114" t="s">
        <v>6596</v>
      </c>
    </row>
    <row r="3815" spans="1:5" x14ac:dyDescent="0.25">
      <c r="B3815" s="114" t="s">
        <v>1073</v>
      </c>
      <c r="D3815" s="114" t="s">
        <v>4170</v>
      </c>
      <c r="E3815" s="114" t="s">
        <v>6597</v>
      </c>
    </row>
    <row r="3816" spans="1:5" x14ac:dyDescent="0.25">
      <c r="B3816" s="114" t="s">
        <v>1490</v>
      </c>
      <c r="D3816" s="114">
        <f>-343   -855  -103</f>
        <v>-1301</v>
      </c>
      <c r="E3816" s="114" t="s">
        <v>6598</v>
      </c>
    </row>
    <row r="3817" spans="1:5" x14ac:dyDescent="0.25">
      <c r="B3817" s="114" t="s">
        <v>1073</v>
      </c>
      <c r="D3817" s="114" t="s">
        <v>6599</v>
      </c>
      <c r="E3817" s="114" t="s">
        <v>6600</v>
      </c>
    </row>
    <row r="3818" spans="1:5" x14ac:dyDescent="0.25">
      <c r="B3818" s="114" t="s">
        <v>1084</v>
      </c>
      <c r="D3818" s="114" t="s">
        <v>6601</v>
      </c>
      <c r="E3818" s="114" t="s">
        <v>6602</v>
      </c>
    </row>
    <row r="3819" spans="1:5" x14ac:dyDescent="0.25">
      <c r="B3819" s="114" t="s">
        <v>1073</v>
      </c>
      <c r="D3819" s="114">
        <f>-45   -196</f>
        <v>-241</v>
      </c>
      <c r="E3819" s="114" t="s">
        <v>6603</v>
      </c>
    </row>
    <row r="3820" spans="1:5" x14ac:dyDescent="0.25">
      <c r="B3820" s="114" t="s">
        <v>1073</v>
      </c>
      <c r="D3820" s="114" t="s">
        <v>6604</v>
      </c>
      <c r="E3820" s="114" t="s">
        <v>6605</v>
      </c>
    </row>
    <row r="3821" spans="1:5" x14ac:dyDescent="0.25">
      <c r="B3821" s="114" t="s">
        <v>2419</v>
      </c>
      <c r="D3821" s="114" t="s">
        <v>6606</v>
      </c>
      <c r="E3821" s="114" t="s">
        <v>6607</v>
      </c>
    </row>
    <row r="3822" spans="1:5" x14ac:dyDescent="0.25">
      <c r="B3822" s="114" t="s">
        <v>2420</v>
      </c>
      <c r="D3822" s="114" t="s">
        <v>6608</v>
      </c>
      <c r="E3822" s="114" t="s">
        <v>6609</v>
      </c>
    </row>
    <row r="3823" spans="1:5" x14ac:dyDescent="0.25">
      <c r="B3823" s="114" t="s">
        <v>1073</v>
      </c>
      <c r="D3823" s="114" t="s">
        <v>6610</v>
      </c>
      <c r="E3823" s="114" t="s">
        <v>6611</v>
      </c>
    </row>
    <row r="3824" spans="1:5" x14ac:dyDescent="0.25">
      <c r="B3824" s="114" t="s">
        <v>1073</v>
      </c>
      <c r="D3824" s="114" t="s">
        <v>6612</v>
      </c>
      <c r="E3824" s="114" t="s">
        <v>6613</v>
      </c>
    </row>
    <row r="3825" spans="1:5" x14ac:dyDescent="0.25">
      <c r="B3825" s="114" t="s">
        <v>2421</v>
      </c>
      <c r="D3825" s="114" t="s">
        <v>2601</v>
      </c>
      <c r="E3825" s="114" t="s">
        <v>6614</v>
      </c>
    </row>
    <row r="3826" spans="1:5" x14ac:dyDescent="0.25">
      <c r="B3826" s="114" t="s">
        <v>1073</v>
      </c>
      <c r="D3826" s="114" t="s">
        <v>6615</v>
      </c>
      <c r="E3826" s="114" t="s">
        <v>6616</v>
      </c>
    </row>
    <row r="3827" spans="1:5" x14ac:dyDescent="0.25">
      <c r="B3827" s="114" t="s">
        <v>1073</v>
      </c>
      <c r="D3827" s="114" t="s">
        <v>6617</v>
      </c>
      <c r="E3827" s="114" t="s">
        <v>6618</v>
      </c>
    </row>
    <row r="3828" spans="1:5" x14ac:dyDescent="0.25">
      <c r="B3828" s="114" t="s">
        <v>1073</v>
      </c>
      <c r="D3828" s="114" t="s">
        <v>6619</v>
      </c>
      <c r="E3828" s="114" t="s">
        <v>6620</v>
      </c>
    </row>
    <row r="3829" spans="1:5" x14ac:dyDescent="0.25">
      <c r="B3829" s="114" t="s">
        <v>1073</v>
      </c>
      <c r="D3829" s="114" t="s">
        <v>6621</v>
      </c>
      <c r="E3829" s="114" t="s">
        <v>6622</v>
      </c>
    </row>
    <row r="3830" spans="1:5" x14ac:dyDescent="0.25">
      <c r="A3830" s="114" t="s">
        <v>1072</v>
      </c>
      <c r="B3830" s="114" t="s">
        <v>2422</v>
      </c>
      <c r="D3830" s="114" t="s">
        <v>1073</v>
      </c>
      <c r="E3830" s="114" t="s">
        <v>6623</v>
      </c>
    </row>
    <row r="3831" spans="1:5" x14ac:dyDescent="0.25">
      <c r="B3831" s="114" t="s">
        <v>2423</v>
      </c>
      <c r="D3831" s="114">
        <f>-96   -367   -26</f>
        <v>-489</v>
      </c>
      <c r="E3831" s="114" t="s">
        <v>6624</v>
      </c>
    </row>
    <row r="3832" spans="1:5" x14ac:dyDescent="0.25">
      <c r="A3832" s="114">
        <v>1</v>
      </c>
      <c r="B3832" s="114" t="s">
        <v>1171</v>
      </c>
      <c r="D3832" s="114" t="s">
        <v>1073</v>
      </c>
      <c r="E3832" s="114" t="s">
        <v>6625</v>
      </c>
    </row>
    <row r="3833" spans="1:5" x14ac:dyDescent="0.25">
      <c r="B3833" s="114" t="s">
        <v>1073</v>
      </c>
      <c r="D3833" s="114" t="s">
        <v>1073</v>
      </c>
      <c r="E3833" s="114" t="s">
        <v>3993</v>
      </c>
    </row>
    <row r="3834" spans="1:5" x14ac:dyDescent="0.25">
      <c r="B3834" s="114" t="s">
        <v>1073</v>
      </c>
      <c r="D3834" s="114" t="s">
        <v>6626</v>
      </c>
      <c r="E3834" s="114" t="s">
        <v>6627</v>
      </c>
    </row>
    <row r="3835" spans="1:5" x14ac:dyDescent="0.25">
      <c r="B3835" s="114" t="s">
        <v>2424</v>
      </c>
      <c r="C3835" s="114" t="s">
        <v>1072</v>
      </c>
      <c r="D3835" s="114" t="s">
        <v>6628</v>
      </c>
      <c r="E3835" s="114" t="s">
        <v>6629</v>
      </c>
    </row>
    <row r="3836" spans="1:5" x14ac:dyDescent="0.25">
      <c r="B3836" s="114" t="s">
        <v>1073</v>
      </c>
      <c r="D3836" s="114" t="s">
        <v>1073</v>
      </c>
      <c r="E3836" s="114" t="s">
        <v>3993</v>
      </c>
    </row>
    <row r="3837" spans="1:5" x14ac:dyDescent="0.25">
      <c r="B3837" s="114" t="s">
        <v>1073</v>
      </c>
      <c r="D3837" s="114" t="s">
        <v>1073</v>
      </c>
      <c r="E3837" s="114" t="s">
        <v>3993</v>
      </c>
    </row>
    <row r="3838" spans="1:5" x14ac:dyDescent="0.25">
      <c r="B3838" s="114" t="s">
        <v>1073</v>
      </c>
      <c r="D3838" s="114" t="s">
        <v>1073</v>
      </c>
      <c r="E3838" s="114" t="s">
        <v>3993</v>
      </c>
    </row>
    <row r="3839" spans="1:5" x14ac:dyDescent="0.25">
      <c r="B3839" s="114" t="s">
        <v>1073</v>
      </c>
      <c r="D3839" s="114" t="s">
        <v>1073</v>
      </c>
      <c r="E3839" s="114" t="s">
        <v>3993</v>
      </c>
    </row>
    <row r="3840" spans="1:5" x14ac:dyDescent="0.25">
      <c r="B3840" s="114" t="s">
        <v>1073</v>
      </c>
      <c r="D3840" s="114" t="s">
        <v>1073</v>
      </c>
      <c r="E3840" s="114" t="s">
        <v>3993</v>
      </c>
    </row>
    <row r="3841" spans="2:5" x14ac:dyDescent="0.25">
      <c r="B3841" s="114" t="s">
        <v>1073</v>
      </c>
      <c r="D3841" s="114" t="s">
        <v>1073</v>
      </c>
      <c r="E3841" s="114" t="s">
        <v>3993</v>
      </c>
    </row>
    <row r="3842" spans="2:5" x14ac:dyDescent="0.25">
      <c r="B3842" s="114" t="s">
        <v>1073</v>
      </c>
      <c r="D3842" s="114" t="s">
        <v>1073</v>
      </c>
      <c r="E3842" s="114" t="s">
        <v>3993</v>
      </c>
    </row>
    <row r="3843" spans="2:5" x14ac:dyDescent="0.25">
      <c r="B3843" s="114" t="s">
        <v>1073</v>
      </c>
      <c r="D3843" s="114" t="s">
        <v>1073</v>
      </c>
      <c r="E3843" s="114" t="s">
        <v>3993</v>
      </c>
    </row>
    <row r="3844" spans="2:5" x14ac:dyDescent="0.25">
      <c r="B3844" s="114" t="s">
        <v>1073</v>
      </c>
      <c r="D3844" s="114" t="s">
        <v>1073</v>
      </c>
      <c r="E3844" s="114" t="s">
        <v>3993</v>
      </c>
    </row>
    <row r="3845" spans="2:5" x14ac:dyDescent="0.25">
      <c r="B3845" s="114" t="s">
        <v>1073</v>
      </c>
      <c r="D3845" s="114" t="s">
        <v>1073</v>
      </c>
      <c r="E3845" s="114" t="s">
        <v>3993</v>
      </c>
    </row>
    <row r="3846" spans="2:5" x14ac:dyDescent="0.25">
      <c r="B3846" s="114" t="s">
        <v>1073</v>
      </c>
      <c r="D3846" s="114" t="s">
        <v>1073</v>
      </c>
      <c r="E3846" s="114" t="s">
        <v>3993</v>
      </c>
    </row>
    <row r="3847" spans="2:5" x14ac:dyDescent="0.25">
      <c r="B3847" s="114" t="s">
        <v>1073</v>
      </c>
      <c r="D3847" s="114" t="s">
        <v>1073</v>
      </c>
      <c r="E3847" s="114" t="s">
        <v>3993</v>
      </c>
    </row>
    <row r="3848" spans="2:5" x14ac:dyDescent="0.25">
      <c r="B3848" s="114" t="s">
        <v>1073</v>
      </c>
      <c r="D3848" s="114" t="s">
        <v>1073</v>
      </c>
      <c r="E3848" s="114" t="s">
        <v>3993</v>
      </c>
    </row>
    <row r="3849" spans="2:5" x14ac:dyDescent="0.25">
      <c r="B3849" s="114" t="s">
        <v>1073</v>
      </c>
      <c r="D3849" s="114" t="s">
        <v>1073</v>
      </c>
      <c r="E3849" s="114" t="s">
        <v>3993</v>
      </c>
    </row>
    <row r="3850" spans="2:5" x14ac:dyDescent="0.25">
      <c r="B3850" s="114" t="s">
        <v>1073</v>
      </c>
      <c r="D3850" s="114" t="s">
        <v>1073</v>
      </c>
      <c r="E3850" s="114" t="s">
        <v>3993</v>
      </c>
    </row>
    <row r="3851" spans="2:5" x14ac:dyDescent="0.25">
      <c r="B3851" s="114" t="s">
        <v>1073</v>
      </c>
      <c r="D3851" s="114" t="s">
        <v>1073</v>
      </c>
      <c r="E3851" s="114" t="s">
        <v>3993</v>
      </c>
    </row>
    <row r="3852" spans="2:5" x14ac:dyDescent="0.25">
      <c r="B3852" s="114" t="s">
        <v>1073</v>
      </c>
      <c r="D3852" s="114" t="s">
        <v>1073</v>
      </c>
      <c r="E3852" s="114" t="s">
        <v>3993</v>
      </c>
    </row>
    <row r="3853" spans="2:5" x14ac:dyDescent="0.25">
      <c r="B3853" s="114" t="s">
        <v>1073</v>
      </c>
      <c r="D3853" s="114" t="s">
        <v>1073</v>
      </c>
      <c r="E3853" s="114" t="s">
        <v>3993</v>
      </c>
    </row>
    <row r="3854" spans="2:5" x14ac:dyDescent="0.25">
      <c r="B3854" s="114" t="s">
        <v>1073</v>
      </c>
      <c r="D3854" s="114" t="s">
        <v>1073</v>
      </c>
      <c r="E3854" s="114" t="s">
        <v>3993</v>
      </c>
    </row>
    <row r="3855" spans="2:5" x14ac:dyDescent="0.25">
      <c r="B3855" s="114" t="s">
        <v>1073</v>
      </c>
      <c r="D3855" s="114" t="s">
        <v>1073</v>
      </c>
      <c r="E3855" s="114" t="s">
        <v>3993</v>
      </c>
    </row>
    <row r="3856" spans="2:5" x14ac:dyDescent="0.25">
      <c r="B3856" s="114" t="s">
        <v>1073</v>
      </c>
      <c r="D3856" s="114" t="s">
        <v>1073</v>
      </c>
      <c r="E3856" s="114" t="s">
        <v>3993</v>
      </c>
    </row>
    <row r="3857" spans="2:5" x14ac:dyDescent="0.25">
      <c r="B3857" s="114" t="s">
        <v>1073</v>
      </c>
      <c r="D3857" s="114" t="s">
        <v>1073</v>
      </c>
      <c r="E3857" s="114" t="s">
        <v>3993</v>
      </c>
    </row>
    <row r="3858" spans="2:5" x14ac:dyDescent="0.25">
      <c r="B3858" s="114" t="s">
        <v>1073</v>
      </c>
      <c r="D3858" s="114" t="s">
        <v>1073</v>
      </c>
      <c r="E3858" s="114" t="s">
        <v>3993</v>
      </c>
    </row>
    <row r="3859" spans="2:5" x14ac:dyDescent="0.25">
      <c r="B3859" s="114" t="s">
        <v>1073</v>
      </c>
      <c r="D3859" s="114" t="s">
        <v>1073</v>
      </c>
      <c r="E3859" s="114" t="s">
        <v>3993</v>
      </c>
    </row>
    <row r="3860" spans="2:5" x14ac:dyDescent="0.25">
      <c r="B3860" s="114" t="s">
        <v>1073</v>
      </c>
      <c r="D3860" s="114" t="s">
        <v>1073</v>
      </c>
      <c r="E3860" s="114" t="s">
        <v>3993</v>
      </c>
    </row>
    <row r="3861" spans="2:5" x14ac:dyDescent="0.25">
      <c r="B3861" s="114" t="s">
        <v>1073</v>
      </c>
      <c r="D3861" s="114" t="s">
        <v>1073</v>
      </c>
      <c r="E3861" s="114" t="s">
        <v>3993</v>
      </c>
    </row>
    <row r="3862" spans="2:5" x14ac:dyDescent="0.25">
      <c r="B3862" s="114" t="s">
        <v>1073</v>
      </c>
      <c r="D3862" s="114" t="s">
        <v>1073</v>
      </c>
      <c r="E3862" s="114" t="s">
        <v>3993</v>
      </c>
    </row>
    <row r="3863" spans="2:5" x14ac:dyDescent="0.25">
      <c r="B3863" s="114" t="s">
        <v>1073</v>
      </c>
      <c r="D3863" s="114" t="s">
        <v>1073</v>
      </c>
      <c r="E3863" s="114" t="s">
        <v>3993</v>
      </c>
    </row>
    <row r="3864" spans="2:5" x14ac:dyDescent="0.25">
      <c r="B3864" s="114" t="s">
        <v>1073</v>
      </c>
      <c r="D3864" s="114" t="s">
        <v>1073</v>
      </c>
      <c r="E3864" s="114" t="s">
        <v>3993</v>
      </c>
    </row>
    <row r="3865" spans="2:5" x14ac:dyDescent="0.25">
      <c r="B3865" s="114" t="s">
        <v>1073</v>
      </c>
      <c r="D3865" s="114" t="s">
        <v>1073</v>
      </c>
      <c r="E3865" s="114" t="s">
        <v>3993</v>
      </c>
    </row>
    <row r="3866" spans="2:5" x14ac:dyDescent="0.25">
      <c r="B3866" s="114" t="s">
        <v>1073</v>
      </c>
      <c r="D3866" s="114" t="s">
        <v>1073</v>
      </c>
      <c r="E3866" s="114" t="s">
        <v>3993</v>
      </c>
    </row>
    <row r="3867" spans="2:5" x14ac:dyDescent="0.25">
      <c r="B3867" s="114" t="s">
        <v>1073</v>
      </c>
      <c r="D3867" s="114" t="s">
        <v>1073</v>
      </c>
      <c r="E3867" s="114" t="s">
        <v>3993</v>
      </c>
    </row>
    <row r="3868" spans="2:5" x14ac:dyDescent="0.25">
      <c r="B3868" s="114" t="s">
        <v>1073</v>
      </c>
      <c r="D3868" s="114" t="s">
        <v>1073</v>
      </c>
      <c r="E3868" s="114" t="s">
        <v>3993</v>
      </c>
    </row>
    <row r="3869" spans="2:5" x14ac:dyDescent="0.25">
      <c r="B3869" s="114" t="s">
        <v>1073</v>
      </c>
      <c r="D3869" s="114" t="s">
        <v>1073</v>
      </c>
      <c r="E3869" s="114" t="s">
        <v>3993</v>
      </c>
    </row>
    <row r="3870" spans="2:5" x14ac:dyDescent="0.25">
      <c r="B3870" s="114" t="s">
        <v>1073</v>
      </c>
      <c r="D3870" s="114" t="s">
        <v>1073</v>
      </c>
      <c r="E3870" s="114" t="s">
        <v>3993</v>
      </c>
    </row>
    <row r="3871" spans="2:5" x14ac:dyDescent="0.25">
      <c r="B3871" s="114" t="s">
        <v>1073</v>
      </c>
      <c r="D3871" s="114" t="s">
        <v>1073</v>
      </c>
      <c r="E3871" s="114" t="s">
        <v>3993</v>
      </c>
    </row>
    <row r="3872" spans="2:5" x14ac:dyDescent="0.25">
      <c r="B3872" s="114" t="s">
        <v>1073</v>
      </c>
      <c r="D3872" s="114" t="s">
        <v>1073</v>
      </c>
      <c r="E3872" s="114" t="s">
        <v>3993</v>
      </c>
    </row>
    <row r="3873" spans="2:5" x14ac:dyDescent="0.25">
      <c r="B3873" s="114" t="s">
        <v>1073</v>
      </c>
      <c r="D3873" s="114" t="s">
        <v>1073</v>
      </c>
      <c r="E3873" s="114" t="s">
        <v>3993</v>
      </c>
    </row>
    <row r="3874" spans="2:5" x14ac:dyDescent="0.25">
      <c r="B3874" s="114" t="s">
        <v>1073</v>
      </c>
      <c r="D3874" s="114" t="s">
        <v>1073</v>
      </c>
      <c r="E3874" s="114" t="s">
        <v>3993</v>
      </c>
    </row>
    <row r="3875" spans="2:5" x14ac:dyDescent="0.25">
      <c r="B3875" s="114" t="s">
        <v>1073</v>
      </c>
      <c r="D3875" s="114" t="s">
        <v>1073</v>
      </c>
      <c r="E3875" s="114" t="s">
        <v>3993</v>
      </c>
    </row>
    <row r="3876" spans="2:5" x14ac:dyDescent="0.25">
      <c r="B3876" s="114" t="s">
        <v>1073</v>
      </c>
      <c r="D3876" s="114" t="s">
        <v>1073</v>
      </c>
      <c r="E3876" s="114" t="s">
        <v>3993</v>
      </c>
    </row>
    <row r="3877" spans="2:5" x14ac:dyDescent="0.25">
      <c r="B3877" s="114" t="s">
        <v>1073</v>
      </c>
      <c r="D3877" s="114" t="s">
        <v>1073</v>
      </c>
      <c r="E3877" s="114" t="s">
        <v>3993</v>
      </c>
    </row>
    <row r="3878" spans="2:5" x14ac:dyDescent="0.25">
      <c r="B3878" s="114" t="s">
        <v>1073</v>
      </c>
      <c r="D3878" s="114" t="s">
        <v>1073</v>
      </c>
      <c r="E3878" s="114" t="s">
        <v>3993</v>
      </c>
    </row>
    <row r="3879" spans="2:5" x14ac:dyDescent="0.25">
      <c r="B3879" s="114" t="s">
        <v>1073</v>
      </c>
      <c r="D3879" s="114" t="s">
        <v>1073</v>
      </c>
      <c r="E3879" s="114" t="s">
        <v>3993</v>
      </c>
    </row>
    <row r="3880" spans="2:5" x14ac:dyDescent="0.25">
      <c r="B3880" s="114" t="s">
        <v>1073</v>
      </c>
      <c r="D3880" s="114" t="s">
        <v>1073</v>
      </c>
      <c r="E3880" s="114" t="s">
        <v>3993</v>
      </c>
    </row>
    <row r="3881" spans="2:5" x14ac:dyDescent="0.25">
      <c r="B3881" s="114" t="s">
        <v>1073</v>
      </c>
      <c r="D3881" s="114" t="s">
        <v>1073</v>
      </c>
      <c r="E3881" s="114" t="s">
        <v>3993</v>
      </c>
    </row>
    <row r="3882" spans="2:5" x14ac:dyDescent="0.25">
      <c r="B3882" s="114" t="s">
        <v>1073</v>
      </c>
      <c r="D3882" s="114" t="s">
        <v>1073</v>
      </c>
      <c r="E3882" s="114" t="s">
        <v>3993</v>
      </c>
    </row>
    <row r="3883" spans="2:5" x14ac:dyDescent="0.25">
      <c r="B3883" s="114" t="s">
        <v>1073</v>
      </c>
      <c r="D3883" s="114" t="s">
        <v>1073</v>
      </c>
      <c r="E3883" s="114" t="s">
        <v>3993</v>
      </c>
    </row>
    <row r="3884" spans="2:5" x14ac:dyDescent="0.25">
      <c r="B3884" s="114" t="s">
        <v>1073</v>
      </c>
      <c r="D3884" s="114" t="s">
        <v>1073</v>
      </c>
      <c r="E3884" s="114" t="s">
        <v>3993</v>
      </c>
    </row>
    <row r="3885" spans="2:5" x14ac:dyDescent="0.25">
      <c r="B3885" s="114" t="s">
        <v>1073</v>
      </c>
      <c r="D3885" s="114" t="s">
        <v>1073</v>
      </c>
      <c r="E3885" s="114" t="s">
        <v>3993</v>
      </c>
    </row>
    <row r="3886" spans="2:5" x14ac:dyDescent="0.25">
      <c r="B3886" s="114" t="s">
        <v>1073</v>
      </c>
      <c r="D3886" s="114" t="s">
        <v>1073</v>
      </c>
      <c r="E3886" s="114" t="s">
        <v>3993</v>
      </c>
    </row>
    <row r="3887" spans="2:5" x14ac:dyDescent="0.25">
      <c r="B3887" s="114" t="s">
        <v>1073</v>
      </c>
      <c r="D3887" s="114" t="s">
        <v>1073</v>
      </c>
      <c r="E3887" s="114" t="s">
        <v>3993</v>
      </c>
    </row>
    <row r="3888" spans="2:5" x14ac:dyDescent="0.25">
      <c r="B3888" s="114" t="s">
        <v>1073</v>
      </c>
      <c r="D3888" s="114" t="s">
        <v>1073</v>
      </c>
      <c r="E3888" s="114" t="s">
        <v>6630</v>
      </c>
    </row>
    <row r="3889" spans="1:5" x14ac:dyDescent="0.25">
      <c r="B3889" s="114" t="s">
        <v>1284</v>
      </c>
      <c r="D3889" s="114" t="s">
        <v>6631</v>
      </c>
      <c r="E3889" s="114" t="s">
        <v>6632</v>
      </c>
    </row>
    <row r="3890" spans="1:5" x14ac:dyDescent="0.25">
      <c r="B3890" s="114" t="s">
        <v>1073</v>
      </c>
      <c r="D3890" s="114" t="s">
        <v>1073</v>
      </c>
      <c r="E3890" s="114" t="s">
        <v>6633</v>
      </c>
    </row>
    <row r="3891" spans="1:5" x14ac:dyDescent="0.25">
      <c r="B3891" s="114" t="s">
        <v>2425</v>
      </c>
      <c r="C3891" s="114">
        <v>-6</v>
      </c>
      <c r="D3891" s="114" t="s">
        <v>6634</v>
      </c>
      <c r="E3891" s="114" t="s">
        <v>6635</v>
      </c>
    </row>
    <row r="3892" spans="1:5" x14ac:dyDescent="0.25">
      <c r="A3892" s="114">
        <v>22</v>
      </c>
      <c r="B3892" s="114" t="s">
        <v>2426</v>
      </c>
      <c r="D3892" s="114" t="s">
        <v>6636</v>
      </c>
      <c r="E3892" s="114" t="s">
        <v>4077</v>
      </c>
    </row>
    <row r="3893" spans="1:5" x14ac:dyDescent="0.25">
      <c r="A3893" s="114">
        <v>2</v>
      </c>
      <c r="B3893" s="114" t="s">
        <v>1117</v>
      </c>
      <c r="D3893" s="114" t="s">
        <v>1073</v>
      </c>
      <c r="E3893" s="114" t="s">
        <v>6637</v>
      </c>
    </row>
    <row r="3894" spans="1:5" x14ac:dyDescent="0.25">
      <c r="B3894" s="114" t="s">
        <v>1461</v>
      </c>
      <c r="D3894" s="114" t="s">
        <v>1073</v>
      </c>
      <c r="E3894" s="114" t="s">
        <v>6638</v>
      </c>
    </row>
    <row r="3895" spans="1:5" x14ac:dyDescent="0.25">
      <c r="B3895" s="114" t="s">
        <v>2427</v>
      </c>
      <c r="D3895" s="114" t="s">
        <v>6639</v>
      </c>
      <c r="E3895" s="114" t="s">
        <v>6640</v>
      </c>
    </row>
    <row r="3896" spans="1:5" x14ac:dyDescent="0.25">
      <c r="A3896" s="114" t="s">
        <v>1072</v>
      </c>
      <c r="B3896" s="114" t="s">
        <v>1145</v>
      </c>
      <c r="D3896" s="114" t="s">
        <v>1073</v>
      </c>
      <c r="E3896" s="114" t="s">
        <v>6641</v>
      </c>
    </row>
    <row r="3897" spans="1:5" x14ac:dyDescent="0.25">
      <c r="A3897" s="114" t="s">
        <v>1072</v>
      </c>
      <c r="B3897" s="114" t="s">
        <v>2428</v>
      </c>
      <c r="D3897" s="114" t="s">
        <v>6642</v>
      </c>
      <c r="E3897" s="114" t="s">
        <v>6643</v>
      </c>
    </row>
    <row r="3898" spans="1:5" x14ac:dyDescent="0.25">
      <c r="B3898" s="114" t="s">
        <v>2429</v>
      </c>
      <c r="D3898" s="114" t="s">
        <v>6644</v>
      </c>
      <c r="E3898" s="114" t="s">
        <v>6645</v>
      </c>
    </row>
    <row r="3899" spans="1:5" x14ac:dyDescent="0.25">
      <c r="B3899" s="114" t="s">
        <v>1475</v>
      </c>
      <c r="D3899" s="114" t="s">
        <v>1073</v>
      </c>
      <c r="E3899" s="114" t="s">
        <v>6646</v>
      </c>
    </row>
    <row r="3900" spans="1:5" x14ac:dyDescent="0.25">
      <c r="A3900" s="114" t="s">
        <v>1072</v>
      </c>
      <c r="B3900" s="114" t="s">
        <v>2430</v>
      </c>
      <c r="D3900" s="114" t="s">
        <v>6647</v>
      </c>
      <c r="E3900" s="114" t="s">
        <v>6648</v>
      </c>
    </row>
    <row r="3901" spans="1:5" x14ac:dyDescent="0.25">
      <c r="A3901" s="114">
        <v>1</v>
      </c>
      <c r="B3901" s="114" t="s">
        <v>2431</v>
      </c>
      <c r="D3901" s="114" t="s">
        <v>2673</v>
      </c>
      <c r="E3901" s="114" t="s">
        <v>6649</v>
      </c>
    </row>
    <row r="3902" spans="1:5" x14ac:dyDescent="0.25">
      <c r="B3902" s="114" t="s">
        <v>1300</v>
      </c>
      <c r="D3902" s="114" t="s">
        <v>1073</v>
      </c>
      <c r="E3902" s="114" t="s">
        <v>6650</v>
      </c>
    </row>
    <row r="3903" spans="1:5" x14ac:dyDescent="0.25">
      <c r="A3903" s="114">
        <v>1</v>
      </c>
      <c r="B3903" s="114" t="s">
        <v>1151</v>
      </c>
      <c r="D3903" s="114" t="s">
        <v>6651</v>
      </c>
      <c r="E3903" s="114" t="s">
        <v>6652</v>
      </c>
    </row>
    <row r="3904" spans="1:5" x14ac:dyDescent="0.25">
      <c r="B3904" s="114" t="s">
        <v>1350</v>
      </c>
      <c r="D3904" s="114" t="s">
        <v>6653</v>
      </c>
      <c r="E3904" s="114" t="s">
        <v>6654</v>
      </c>
    </row>
    <row r="3905" spans="1:5" x14ac:dyDescent="0.25">
      <c r="B3905" s="114" t="s">
        <v>1073</v>
      </c>
      <c r="D3905" s="114" t="s">
        <v>1073</v>
      </c>
      <c r="E3905" s="114" t="s">
        <v>6655</v>
      </c>
    </row>
    <row r="3906" spans="1:5" x14ac:dyDescent="0.25">
      <c r="B3906" s="114" t="s">
        <v>1073</v>
      </c>
      <c r="D3906" s="114" t="s">
        <v>1073</v>
      </c>
      <c r="E3906" s="114" t="s">
        <v>6656</v>
      </c>
    </row>
    <row r="3907" spans="1:5" x14ac:dyDescent="0.25">
      <c r="B3907" s="114" t="s">
        <v>2432</v>
      </c>
      <c r="D3907" s="114" t="s">
        <v>1073</v>
      </c>
      <c r="E3907" s="114" t="s">
        <v>6657</v>
      </c>
    </row>
    <row r="3908" spans="1:5" x14ac:dyDescent="0.25">
      <c r="A3908" s="114" t="s">
        <v>1072</v>
      </c>
      <c r="B3908" s="114" t="s">
        <v>1231</v>
      </c>
      <c r="D3908" s="114" t="s">
        <v>1073</v>
      </c>
      <c r="E3908" s="114" t="s">
        <v>6658</v>
      </c>
    </row>
    <row r="3909" spans="1:5" x14ac:dyDescent="0.25">
      <c r="B3909" s="114" t="s">
        <v>2433</v>
      </c>
      <c r="C3909" s="114" t="s">
        <v>1072</v>
      </c>
      <c r="D3909" s="114" t="s">
        <v>6659</v>
      </c>
      <c r="E3909" s="114" t="s">
        <v>3993</v>
      </c>
    </row>
    <row r="3910" spans="1:5" x14ac:dyDescent="0.25">
      <c r="B3910" s="114" t="s">
        <v>1363</v>
      </c>
      <c r="D3910" s="114" t="s">
        <v>6660</v>
      </c>
      <c r="E3910" s="114" t="s">
        <v>6661</v>
      </c>
    </row>
    <row r="3911" spans="1:5" x14ac:dyDescent="0.25">
      <c r="B3911" s="114" t="s">
        <v>2434</v>
      </c>
      <c r="D3911" s="114" t="s">
        <v>6662</v>
      </c>
      <c r="E3911" s="114" t="s">
        <v>6663</v>
      </c>
    </row>
    <row r="3912" spans="1:5" x14ac:dyDescent="0.25">
      <c r="B3912" s="114" t="s">
        <v>1073</v>
      </c>
      <c r="D3912" s="114" t="s">
        <v>1073</v>
      </c>
      <c r="E3912" s="114" t="s">
        <v>3993</v>
      </c>
    </row>
    <row r="3913" spans="1:5" x14ac:dyDescent="0.25">
      <c r="B3913" s="114" t="s">
        <v>1073</v>
      </c>
      <c r="D3913" s="114" t="s">
        <v>1073</v>
      </c>
      <c r="E3913" s="114" t="s">
        <v>6664</v>
      </c>
    </row>
    <row r="3914" spans="1:5" x14ac:dyDescent="0.25">
      <c r="B3914" s="114" t="s">
        <v>2435</v>
      </c>
      <c r="D3914" s="114" t="s">
        <v>6665</v>
      </c>
      <c r="E3914" s="114" t="s">
        <v>6666</v>
      </c>
    </row>
    <row r="3915" spans="1:5" x14ac:dyDescent="0.25">
      <c r="B3915" s="114" t="s">
        <v>1091</v>
      </c>
      <c r="D3915" s="114" t="s">
        <v>6667</v>
      </c>
      <c r="E3915" s="114" t="s">
        <v>6668</v>
      </c>
    </row>
    <row r="3916" spans="1:5" x14ac:dyDescent="0.25">
      <c r="B3916" s="114" t="s">
        <v>1073</v>
      </c>
      <c r="D3916" s="114" t="s">
        <v>6669</v>
      </c>
      <c r="E3916" s="114" t="s">
        <v>5199</v>
      </c>
    </row>
    <row r="3917" spans="1:5" x14ac:dyDescent="0.25">
      <c r="B3917" s="114" t="s">
        <v>1073</v>
      </c>
      <c r="D3917" s="114" t="s">
        <v>6670</v>
      </c>
      <c r="E3917" s="114" t="s">
        <v>6671</v>
      </c>
    </row>
    <row r="3918" spans="1:5" x14ac:dyDescent="0.25">
      <c r="B3918" s="114" t="s">
        <v>2436</v>
      </c>
      <c r="D3918" s="114" t="s">
        <v>6672</v>
      </c>
      <c r="E3918" s="114" t="s">
        <v>6673</v>
      </c>
    </row>
    <row r="3919" spans="1:5" x14ac:dyDescent="0.25">
      <c r="A3919" s="114">
        <v>-3</v>
      </c>
      <c r="B3919" s="114" t="s">
        <v>2437</v>
      </c>
      <c r="D3919" s="114" t="s">
        <v>1073</v>
      </c>
      <c r="E3919" s="114" t="s">
        <v>6674</v>
      </c>
    </row>
    <row r="3920" spans="1:5" x14ac:dyDescent="0.25">
      <c r="B3920" s="114" t="s">
        <v>1073</v>
      </c>
      <c r="D3920" s="114" t="s">
        <v>6675</v>
      </c>
      <c r="E3920" s="114" t="s">
        <v>6676</v>
      </c>
    </row>
    <row r="3921" spans="1:5" x14ac:dyDescent="0.25">
      <c r="B3921" s="114" t="s">
        <v>1073</v>
      </c>
      <c r="C3921" s="114" t="s">
        <v>1072</v>
      </c>
      <c r="D3921" s="114" t="s">
        <v>6677</v>
      </c>
      <c r="E3921" s="114" t="s">
        <v>6678</v>
      </c>
    </row>
    <row r="3922" spans="1:5" x14ac:dyDescent="0.25">
      <c r="A3922" s="114">
        <v>7</v>
      </c>
      <c r="B3922" s="114" t="s">
        <v>2438</v>
      </c>
      <c r="D3922" s="114" t="s">
        <v>6679</v>
      </c>
      <c r="E3922" s="114" t="s">
        <v>6680</v>
      </c>
    </row>
    <row r="3923" spans="1:5" x14ac:dyDescent="0.25">
      <c r="B3923" s="114" t="s">
        <v>2439</v>
      </c>
      <c r="D3923" s="114" t="s">
        <v>6681</v>
      </c>
      <c r="E3923" s="114" t="s">
        <v>6682</v>
      </c>
    </row>
    <row r="3924" spans="1:5" x14ac:dyDescent="0.25">
      <c r="A3924" s="114">
        <v>2</v>
      </c>
      <c r="B3924" s="114" t="s">
        <v>2440</v>
      </c>
      <c r="D3924" s="114" t="s">
        <v>6683</v>
      </c>
      <c r="E3924" s="114" t="s">
        <v>6684</v>
      </c>
    </row>
    <row r="3925" spans="1:5" x14ac:dyDescent="0.25">
      <c r="B3925" s="114" t="s">
        <v>2441</v>
      </c>
      <c r="D3925" s="114" t="s">
        <v>6685</v>
      </c>
      <c r="E3925" s="114" t="s">
        <v>6686</v>
      </c>
    </row>
    <row r="3926" spans="1:5" x14ac:dyDescent="0.25">
      <c r="B3926" s="114" t="s">
        <v>1246</v>
      </c>
      <c r="D3926" s="114" t="s">
        <v>6687</v>
      </c>
      <c r="E3926" s="114" t="s">
        <v>6688</v>
      </c>
    </row>
    <row r="3927" spans="1:5" x14ac:dyDescent="0.25">
      <c r="A3927" s="114">
        <v>1</v>
      </c>
      <c r="B3927" s="114" t="s">
        <v>2442</v>
      </c>
      <c r="D3927" s="114" t="s">
        <v>1558</v>
      </c>
      <c r="E3927" s="114" t="s">
        <v>6689</v>
      </c>
    </row>
    <row r="3928" spans="1:5" x14ac:dyDescent="0.25">
      <c r="B3928" s="114" t="s">
        <v>1073</v>
      </c>
      <c r="D3928" s="114" t="s">
        <v>6690</v>
      </c>
      <c r="E3928" s="114" t="s">
        <v>6691</v>
      </c>
    </row>
    <row r="3929" spans="1:5" x14ac:dyDescent="0.25">
      <c r="B3929" s="114" t="s">
        <v>1482</v>
      </c>
      <c r="D3929" s="114" t="s">
        <v>6692</v>
      </c>
      <c r="E3929" s="114" t="s">
        <v>6693</v>
      </c>
    </row>
    <row r="3930" spans="1:5" x14ac:dyDescent="0.25">
      <c r="A3930" s="114">
        <v>2</v>
      </c>
      <c r="B3930" s="114" t="s">
        <v>2443</v>
      </c>
      <c r="D3930" s="114" t="s">
        <v>6694</v>
      </c>
      <c r="E3930" s="114" t="s">
        <v>6695</v>
      </c>
    </row>
    <row r="3931" spans="1:5" x14ac:dyDescent="0.25">
      <c r="B3931" s="114" t="s">
        <v>2444</v>
      </c>
      <c r="D3931" s="114" t="s">
        <v>1492</v>
      </c>
      <c r="E3931" s="114" t="s">
        <v>3993</v>
      </c>
    </row>
    <row r="3932" spans="1:5" x14ac:dyDescent="0.25">
      <c r="B3932" s="114" t="s">
        <v>2445</v>
      </c>
      <c r="D3932" s="114" t="s">
        <v>6696</v>
      </c>
      <c r="E3932" s="114" t="s">
        <v>6697</v>
      </c>
    </row>
    <row r="3933" spans="1:5" x14ac:dyDescent="0.25">
      <c r="B3933" s="114" t="s">
        <v>2446</v>
      </c>
      <c r="D3933" s="114" t="s">
        <v>6698</v>
      </c>
      <c r="E3933" s="114" t="s">
        <v>6699</v>
      </c>
    </row>
    <row r="3934" spans="1:5" x14ac:dyDescent="0.25">
      <c r="B3934" s="114" t="s">
        <v>2447</v>
      </c>
      <c r="D3934" s="114" t="s">
        <v>6700</v>
      </c>
      <c r="E3934" s="114" t="s">
        <v>6701</v>
      </c>
    </row>
    <row r="3935" spans="1:5" x14ac:dyDescent="0.25">
      <c r="B3935" s="114" t="s">
        <v>2448</v>
      </c>
      <c r="D3935" s="114" t="s">
        <v>6702</v>
      </c>
      <c r="E3935" s="114" t="s">
        <v>6703</v>
      </c>
    </row>
    <row r="3936" spans="1:5" x14ac:dyDescent="0.25">
      <c r="B3936" s="114" t="s">
        <v>1073</v>
      </c>
      <c r="D3936" s="114" t="s">
        <v>1073</v>
      </c>
      <c r="E3936" s="114" t="s">
        <v>6704</v>
      </c>
    </row>
    <row r="3937" spans="1:5" x14ac:dyDescent="0.25">
      <c r="A3937" s="114">
        <v>-2</v>
      </c>
      <c r="B3937" s="114" t="s">
        <v>2449</v>
      </c>
      <c r="D3937" s="114" t="s">
        <v>6705</v>
      </c>
      <c r="E3937" s="114" t="s">
        <v>6706</v>
      </c>
    </row>
    <row r="3938" spans="1:5" x14ac:dyDescent="0.25">
      <c r="B3938" s="114" t="s">
        <v>1073</v>
      </c>
      <c r="D3938" s="114" t="s">
        <v>6707</v>
      </c>
      <c r="E3938" s="114" t="s">
        <v>6708</v>
      </c>
    </row>
    <row r="3939" spans="1:5" x14ac:dyDescent="0.25">
      <c r="B3939" s="114" t="s">
        <v>1073</v>
      </c>
      <c r="D3939" s="114" t="s">
        <v>1073</v>
      </c>
      <c r="E3939" s="114" t="s">
        <v>3993</v>
      </c>
    </row>
    <row r="3940" spans="1:5" x14ac:dyDescent="0.25">
      <c r="B3940" s="114" t="s">
        <v>1660</v>
      </c>
      <c r="D3940" s="114" t="s">
        <v>1073</v>
      </c>
      <c r="E3940" s="114" t="s">
        <v>6709</v>
      </c>
    </row>
    <row r="3941" spans="1:5" x14ac:dyDescent="0.25">
      <c r="A3941" s="114">
        <v>11</v>
      </c>
      <c r="B3941" s="114" t="s">
        <v>2450</v>
      </c>
      <c r="C3941" s="114">
        <v>1</v>
      </c>
      <c r="D3941" s="114" t="s">
        <v>6710</v>
      </c>
      <c r="E3941" s="114" t="s">
        <v>6711</v>
      </c>
    </row>
    <row r="3942" spans="1:5" x14ac:dyDescent="0.25">
      <c r="B3942" s="114" t="s">
        <v>2451</v>
      </c>
      <c r="D3942" s="114" t="s">
        <v>5133</v>
      </c>
      <c r="E3942" s="114" t="s">
        <v>6712</v>
      </c>
    </row>
    <row r="3943" spans="1:5" x14ac:dyDescent="0.25">
      <c r="B3943" s="114" t="s">
        <v>2452</v>
      </c>
      <c r="D3943" s="114" t="s">
        <v>1073</v>
      </c>
      <c r="E3943" s="114" t="s">
        <v>3993</v>
      </c>
    </row>
    <row r="3944" spans="1:5" x14ac:dyDescent="0.25">
      <c r="B3944" s="114" t="s">
        <v>2453</v>
      </c>
      <c r="D3944" s="114" t="s">
        <v>6713</v>
      </c>
      <c r="E3944" s="114" t="s">
        <v>6714</v>
      </c>
    </row>
    <row r="3945" spans="1:5" x14ac:dyDescent="0.25">
      <c r="B3945" s="114" t="s">
        <v>1073</v>
      </c>
      <c r="D3945" s="114" t="s">
        <v>6715</v>
      </c>
      <c r="E3945" s="114" t="s">
        <v>6716</v>
      </c>
    </row>
    <row r="3946" spans="1:5" x14ac:dyDescent="0.25">
      <c r="B3946" s="114" t="s">
        <v>1073</v>
      </c>
      <c r="D3946" s="114" t="s">
        <v>6717</v>
      </c>
      <c r="E3946" s="114" t="s">
        <v>3993</v>
      </c>
    </row>
    <row r="3947" spans="1:5" x14ac:dyDescent="0.25">
      <c r="B3947" s="114" t="s">
        <v>2454</v>
      </c>
      <c r="C3947" s="114" t="s">
        <v>1072</v>
      </c>
      <c r="D3947" s="114" t="s">
        <v>6718</v>
      </c>
      <c r="E3947" s="114" t="s">
        <v>6719</v>
      </c>
    </row>
    <row r="3948" spans="1:5" x14ac:dyDescent="0.25">
      <c r="B3948" s="126">
        <v>41478</v>
      </c>
      <c r="D3948" s="114" t="s">
        <v>5231</v>
      </c>
      <c r="E3948" s="114" t="s">
        <v>6720</v>
      </c>
    </row>
    <row r="3949" spans="1:5" x14ac:dyDescent="0.25">
      <c r="A3949" s="114" t="s">
        <v>1072</v>
      </c>
      <c r="B3949" s="114" t="s">
        <v>2455</v>
      </c>
      <c r="D3949" s="114">
        <f>-215   -238</f>
        <v>-453</v>
      </c>
      <c r="E3949" s="114" t="s">
        <v>6721</v>
      </c>
    </row>
    <row r="3950" spans="1:5" x14ac:dyDescent="0.25">
      <c r="A3950" s="114">
        <v>-1</v>
      </c>
      <c r="B3950" s="114" t="s">
        <v>2456</v>
      </c>
      <c r="C3950" s="114">
        <v>-2</v>
      </c>
      <c r="D3950" s="114" t="s">
        <v>6722</v>
      </c>
      <c r="E3950" s="114" t="s">
        <v>6723</v>
      </c>
    </row>
    <row r="3951" spans="1:5" x14ac:dyDescent="0.25">
      <c r="A3951" s="114">
        <v>4</v>
      </c>
      <c r="B3951" s="114" t="s">
        <v>2457</v>
      </c>
      <c r="D3951" s="114" t="s">
        <v>6724</v>
      </c>
      <c r="E3951" s="114" t="s">
        <v>6725</v>
      </c>
    </row>
    <row r="3952" spans="1:5" x14ac:dyDescent="0.25">
      <c r="B3952" s="114" t="s">
        <v>2458</v>
      </c>
      <c r="C3952" s="114" t="s">
        <v>1072</v>
      </c>
      <c r="D3952" s="114" t="s">
        <v>6726</v>
      </c>
      <c r="E3952" s="114" t="s">
        <v>6727</v>
      </c>
    </row>
    <row r="3953" spans="1:5" x14ac:dyDescent="0.25">
      <c r="B3953" s="114" t="s">
        <v>2459</v>
      </c>
      <c r="C3953" s="114" t="s">
        <v>1072</v>
      </c>
      <c r="D3953" s="114" t="s">
        <v>6728</v>
      </c>
      <c r="E3953" s="114" t="s">
        <v>6729</v>
      </c>
    </row>
    <row r="3954" spans="1:5" x14ac:dyDescent="0.25">
      <c r="B3954" s="114" t="s">
        <v>2460</v>
      </c>
      <c r="D3954" s="114" t="s">
        <v>6730</v>
      </c>
      <c r="E3954" s="114" t="s">
        <v>6731</v>
      </c>
    </row>
    <row r="3955" spans="1:5" x14ac:dyDescent="0.25">
      <c r="B3955" s="114" t="s">
        <v>1327</v>
      </c>
      <c r="D3955" s="114" t="s">
        <v>6732</v>
      </c>
      <c r="E3955" s="114" t="s">
        <v>6733</v>
      </c>
    </row>
    <row r="3956" spans="1:5" x14ac:dyDescent="0.25">
      <c r="B3956" s="114" t="s">
        <v>2461</v>
      </c>
      <c r="C3956" s="114" t="s">
        <v>1072</v>
      </c>
      <c r="D3956" s="114" t="s">
        <v>6734</v>
      </c>
      <c r="E3956" s="114" t="s">
        <v>6735</v>
      </c>
    </row>
    <row r="3957" spans="1:5" x14ac:dyDescent="0.25">
      <c r="B3957" s="114" t="s">
        <v>2462</v>
      </c>
      <c r="D3957" s="114" t="s">
        <v>6736</v>
      </c>
      <c r="E3957" s="114" t="s">
        <v>6737</v>
      </c>
    </row>
    <row r="3958" spans="1:5" x14ac:dyDescent="0.25">
      <c r="A3958" s="114" t="s">
        <v>1072</v>
      </c>
      <c r="B3958" s="114" t="s">
        <v>1139</v>
      </c>
      <c r="D3958" s="114" t="s">
        <v>1073</v>
      </c>
      <c r="E3958" s="114" t="s">
        <v>6738</v>
      </c>
    </row>
    <row r="3959" spans="1:5" x14ac:dyDescent="0.25">
      <c r="B3959" s="114" t="s">
        <v>2463</v>
      </c>
      <c r="D3959" s="114" t="s">
        <v>6739</v>
      </c>
      <c r="E3959" s="114" t="s">
        <v>6740</v>
      </c>
    </row>
    <row r="3960" spans="1:5" x14ac:dyDescent="0.25">
      <c r="A3960" s="114">
        <v>-2</v>
      </c>
      <c r="B3960" s="114" t="s">
        <v>2464</v>
      </c>
      <c r="C3960" s="114" t="s">
        <v>1072</v>
      </c>
      <c r="D3960" s="114" t="s">
        <v>6741</v>
      </c>
      <c r="E3960" s="114" t="s">
        <v>6742</v>
      </c>
    </row>
    <row r="3961" spans="1:5" x14ac:dyDescent="0.25">
      <c r="B3961" s="114" t="s">
        <v>1200</v>
      </c>
      <c r="D3961" s="114" t="s">
        <v>2107</v>
      </c>
      <c r="E3961" s="114" t="s">
        <v>6743</v>
      </c>
    </row>
    <row r="3962" spans="1:5" x14ac:dyDescent="0.25">
      <c r="A3962" s="114">
        <v>-6</v>
      </c>
      <c r="B3962" s="114" t="s">
        <v>2465</v>
      </c>
      <c r="C3962" s="114" t="s">
        <v>1072</v>
      </c>
      <c r="D3962" s="114" t="s">
        <v>6744</v>
      </c>
      <c r="E3962" s="114" t="s">
        <v>6745</v>
      </c>
    </row>
    <row r="3963" spans="1:5" x14ac:dyDescent="0.25">
      <c r="B3963" s="114" t="s">
        <v>1073</v>
      </c>
      <c r="D3963" s="114" t="s">
        <v>5245</v>
      </c>
      <c r="E3963" s="114" t="s">
        <v>6746</v>
      </c>
    </row>
    <row r="3964" spans="1:5" x14ac:dyDescent="0.25">
      <c r="B3964" s="114" t="s">
        <v>1073</v>
      </c>
      <c r="C3964" s="114" t="s">
        <v>1072</v>
      </c>
      <c r="D3964" s="114" t="s">
        <v>6747</v>
      </c>
      <c r="E3964" s="114" t="s">
        <v>6748</v>
      </c>
    </row>
    <row r="3965" spans="1:5" x14ac:dyDescent="0.25">
      <c r="B3965" s="114" t="s">
        <v>2466</v>
      </c>
      <c r="C3965" s="114" t="s">
        <v>1072</v>
      </c>
      <c r="D3965" s="114" t="s">
        <v>6749</v>
      </c>
      <c r="E3965" s="114" t="s">
        <v>3993</v>
      </c>
    </row>
    <row r="3966" spans="1:5" x14ac:dyDescent="0.25">
      <c r="B3966" s="114" t="s">
        <v>1073</v>
      </c>
      <c r="D3966" s="114" t="s">
        <v>1073</v>
      </c>
      <c r="E3966" s="114" t="s">
        <v>6750</v>
      </c>
    </row>
    <row r="3967" spans="1:5" x14ac:dyDescent="0.25">
      <c r="B3967" s="114" t="s">
        <v>1073</v>
      </c>
      <c r="D3967" s="114" t="s">
        <v>6751</v>
      </c>
      <c r="E3967" s="114" t="s">
        <v>6752</v>
      </c>
    </row>
    <row r="3968" spans="1:5" x14ac:dyDescent="0.25">
      <c r="A3968" s="114">
        <v>-8</v>
      </c>
      <c r="B3968" s="114" t="s">
        <v>2467</v>
      </c>
      <c r="D3968" s="114" t="s">
        <v>6753</v>
      </c>
      <c r="E3968" s="114" t="s">
        <v>6754</v>
      </c>
    </row>
    <row r="3969" spans="1:5" x14ac:dyDescent="0.25">
      <c r="B3969" s="114" t="s">
        <v>1073</v>
      </c>
      <c r="D3969" s="114" t="s">
        <v>6755</v>
      </c>
      <c r="E3969" s="114" t="s">
        <v>6756</v>
      </c>
    </row>
    <row r="3970" spans="1:5" x14ac:dyDescent="0.25">
      <c r="B3970" s="114" t="s">
        <v>1073</v>
      </c>
      <c r="D3970" s="114" t="s">
        <v>1073</v>
      </c>
      <c r="E3970" s="114" t="s">
        <v>6757</v>
      </c>
    </row>
    <row r="3971" spans="1:5" x14ac:dyDescent="0.25">
      <c r="B3971" s="114" t="s">
        <v>1073</v>
      </c>
      <c r="C3971" s="114" t="s">
        <v>1072</v>
      </c>
      <c r="D3971" s="114" t="s">
        <v>6758</v>
      </c>
      <c r="E3971" s="114" t="s">
        <v>6759</v>
      </c>
    </row>
    <row r="3972" spans="1:5" x14ac:dyDescent="0.25">
      <c r="B3972" s="114" t="s">
        <v>2468</v>
      </c>
      <c r="D3972" s="114" t="s">
        <v>1073</v>
      </c>
      <c r="E3972" s="114" t="s">
        <v>6760</v>
      </c>
    </row>
    <row r="3973" spans="1:5" x14ac:dyDescent="0.25">
      <c r="B3973" s="114" t="s">
        <v>2469</v>
      </c>
      <c r="D3973" s="114" t="s">
        <v>1073</v>
      </c>
      <c r="E3973" s="114" t="s">
        <v>6761</v>
      </c>
    </row>
    <row r="3974" spans="1:5" x14ac:dyDescent="0.25">
      <c r="A3974" s="114">
        <v>-6</v>
      </c>
      <c r="B3974" s="114" t="s">
        <v>1112</v>
      </c>
      <c r="D3974" s="114" t="s">
        <v>1319</v>
      </c>
      <c r="E3974" s="114" t="s">
        <v>6762</v>
      </c>
    </row>
    <row r="3975" spans="1:5" x14ac:dyDescent="0.25">
      <c r="B3975" s="114" t="s">
        <v>1073</v>
      </c>
      <c r="D3975" s="114" t="s">
        <v>6763</v>
      </c>
      <c r="E3975" s="114" t="s">
        <v>6764</v>
      </c>
    </row>
    <row r="3976" spans="1:5" x14ac:dyDescent="0.25">
      <c r="A3976" s="114" t="s">
        <v>1072</v>
      </c>
      <c r="B3976" s="114" t="s">
        <v>2470</v>
      </c>
      <c r="D3976" s="114" t="s">
        <v>1073</v>
      </c>
      <c r="E3976" s="114" t="s">
        <v>6765</v>
      </c>
    </row>
    <row r="3977" spans="1:5" x14ac:dyDescent="0.25">
      <c r="A3977" s="114">
        <v>-8</v>
      </c>
      <c r="B3977" s="114" t="s">
        <v>2471</v>
      </c>
      <c r="D3977" s="114" t="s">
        <v>6766</v>
      </c>
      <c r="E3977" s="114" t="s">
        <v>6767</v>
      </c>
    </row>
    <row r="3978" spans="1:5" x14ac:dyDescent="0.25">
      <c r="B3978" s="114" t="s">
        <v>2472</v>
      </c>
      <c r="D3978" s="114" t="s">
        <v>6768</v>
      </c>
      <c r="E3978" s="114" t="s">
        <v>6769</v>
      </c>
    </row>
    <row r="3979" spans="1:5" x14ac:dyDescent="0.25">
      <c r="B3979" s="114" t="s">
        <v>2473</v>
      </c>
      <c r="D3979" s="114" t="s">
        <v>1073</v>
      </c>
      <c r="E3979" s="114" t="s">
        <v>6770</v>
      </c>
    </row>
    <row r="3980" spans="1:5" x14ac:dyDescent="0.25">
      <c r="A3980" s="114">
        <v>-20</v>
      </c>
      <c r="B3980" s="114" t="s">
        <v>2474</v>
      </c>
      <c r="D3980" s="114" t="s">
        <v>6771</v>
      </c>
      <c r="E3980" s="114" t="s">
        <v>6772</v>
      </c>
    </row>
    <row r="3981" spans="1:5" x14ac:dyDescent="0.25">
      <c r="B3981" s="114" t="s">
        <v>2475</v>
      </c>
      <c r="C3981" s="114" t="s">
        <v>1072</v>
      </c>
      <c r="D3981" s="114" t="s">
        <v>6773</v>
      </c>
      <c r="E3981" s="114" t="s">
        <v>6774</v>
      </c>
    </row>
    <row r="3982" spans="1:5" x14ac:dyDescent="0.25">
      <c r="A3982" s="114">
        <v>-1</v>
      </c>
      <c r="B3982" s="114" t="s">
        <v>2476</v>
      </c>
      <c r="D3982" s="114" t="s">
        <v>1073</v>
      </c>
      <c r="E3982" s="114" t="s">
        <v>6775</v>
      </c>
    </row>
    <row r="3983" spans="1:5" x14ac:dyDescent="0.25">
      <c r="A3983" s="114">
        <v>-9</v>
      </c>
      <c r="B3983" s="114" t="s">
        <v>2477</v>
      </c>
      <c r="D3983" s="114" t="s">
        <v>1073</v>
      </c>
      <c r="E3983" s="114" t="s">
        <v>6776</v>
      </c>
    </row>
    <row r="3984" spans="1:5" x14ac:dyDescent="0.25">
      <c r="B3984" s="114" t="s">
        <v>2478</v>
      </c>
      <c r="D3984" s="114" t="s">
        <v>5017</v>
      </c>
      <c r="E3984" s="114" t="s">
        <v>6777</v>
      </c>
    </row>
    <row r="3985" spans="1:5" x14ac:dyDescent="0.25">
      <c r="B3985" s="114" t="s">
        <v>1073</v>
      </c>
      <c r="D3985" s="114" t="s">
        <v>1073</v>
      </c>
      <c r="E3985" s="114" t="s">
        <v>6778</v>
      </c>
    </row>
    <row r="3986" spans="1:5" x14ac:dyDescent="0.25">
      <c r="A3986" s="114">
        <v>3</v>
      </c>
      <c r="B3986" s="114" t="s">
        <v>1129</v>
      </c>
      <c r="D3986" s="114" t="s">
        <v>1073</v>
      </c>
      <c r="E3986" s="114" t="s">
        <v>6779</v>
      </c>
    </row>
    <row r="3987" spans="1:5" x14ac:dyDescent="0.25">
      <c r="A3987" s="114">
        <v>-2</v>
      </c>
      <c r="B3987" s="114" t="s">
        <v>2479</v>
      </c>
      <c r="D3987" s="114" t="s">
        <v>6780</v>
      </c>
      <c r="E3987" s="114" t="s">
        <v>6781</v>
      </c>
    </row>
    <row r="3988" spans="1:5" x14ac:dyDescent="0.25">
      <c r="B3988" s="114" t="s">
        <v>2480</v>
      </c>
      <c r="D3988" s="114" t="s">
        <v>1073</v>
      </c>
      <c r="E3988" s="114" t="s">
        <v>6782</v>
      </c>
    </row>
    <row r="3989" spans="1:5" x14ac:dyDescent="0.25">
      <c r="A3989" s="114">
        <v>-4</v>
      </c>
      <c r="B3989" s="114" t="s">
        <v>2481</v>
      </c>
      <c r="D3989" s="114" t="s">
        <v>6783</v>
      </c>
      <c r="E3989" s="114" t="s">
        <v>4014</v>
      </c>
    </row>
    <row r="3990" spans="1:5" x14ac:dyDescent="0.25">
      <c r="B3990" s="114" t="s">
        <v>1073</v>
      </c>
      <c r="C3990" s="114" t="s">
        <v>1072</v>
      </c>
      <c r="D3990" s="114" t="s">
        <v>6784</v>
      </c>
      <c r="E3990" s="114" t="s">
        <v>6785</v>
      </c>
    </row>
    <row r="3991" spans="1:5" x14ac:dyDescent="0.25">
      <c r="A3991" s="114">
        <v>-1</v>
      </c>
      <c r="B3991" s="114" t="s">
        <v>2482</v>
      </c>
      <c r="D3991" s="114" t="s">
        <v>6786</v>
      </c>
      <c r="E3991" s="114" t="s">
        <v>6787</v>
      </c>
    </row>
    <row r="3992" spans="1:5" x14ac:dyDescent="0.25">
      <c r="A3992" s="114">
        <v>-10</v>
      </c>
      <c r="B3992" s="114" t="s">
        <v>1443</v>
      </c>
      <c r="D3992" s="114" t="s">
        <v>1073</v>
      </c>
      <c r="E3992" s="114" t="s">
        <v>3993</v>
      </c>
    </row>
    <row r="3993" spans="1:5" x14ac:dyDescent="0.25">
      <c r="B3993" s="114" t="s">
        <v>1073</v>
      </c>
      <c r="D3993" s="114" t="s">
        <v>1073</v>
      </c>
      <c r="E3993" s="114" t="s">
        <v>6788</v>
      </c>
    </row>
    <row r="3994" spans="1:5" x14ac:dyDescent="0.25">
      <c r="B3994" s="114" t="s">
        <v>2483</v>
      </c>
      <c r="C3994" s="114" t="s">
        <v>1072</v>
      </c>
      <c r="D3994" s="114" t="s">
        <v>6789</v>
      </c>
      <c r="E3994" s="114" t="s">
        <v>6790</v>
      </c>
    </row>
    <row r="3995" spans="1:5" x14ac:dyDescent="0.25">
      <c r="B3995" s="114" t="s">
        <v>1073</v>
      </c>
      <c r="D3995" s="114" t="s">
        <v>6791</v>
      </c>
      <c r="E3995" s="114" t="s">
        <v>6792</v>
      </c>
    </row>
    <row r="3996" spans="1:5" x14ac:dyDescent="0.25">
      <c r="B3996" s="114" t="s">
        <v>2484</v>
      </c>
      <c r="D3996" s="114" t="s">
        <v>6793</v>
      </c>
      <c r="E3996" s="114" t="s">
        <v>6794</v>
      </c>
    </row>
    <row r="3997" spans="1:5" x14ac:dyDescent="0.25">
      <c r="B3997" s="114" t="s">
        <v>1073</v>
      </c>
      <c r="D3997" s="114" t="s">
        <v>1073</v>
      </c>
      <c r="E3997" s="114" t="s">
        <v>6795</v>
      </c>
    </row>
    <row r="3998" spans="1:5" x14ac:dyDescent="0.25">
      <c r="B3998" s="114" t="s">
        <v>2485</v>
      </c>
      <c r="C3998" s="114">
        <v>1</v>
      </c>
      <c r="D3998" s="114" t="s">
        <v>6796</v>
      </c>
      <c r="E3998" s="114" t="s">
        <v>6797</v>
      </c>
    </row>
    <row r="3999" spans="1:5" x14ac:dyDescent="0.25">
      <c r="A3999" s="114">
        <v>2</v>
      </c>
      <c r="B3999" s="114" t="s">
        <v>2486</v>
      </c>
      <c r="D3999" s="114" t="s">
        <v>6401</v>
      </c>
      <c r="E3999" s="114" t="s">
        <v>4044</v>
      </c>
    </row>
    <row r="4000" spans="1:5" x14ac:dyDescent="0.25">
      <c r="A4000" s="114" t="s">
        <v>1072</v>
      </c>
      <c r="B4000" s="114" t="s">
        <v>1464</v>
      </c>
      <c r="D4000" s="114" t="s">
        <v>1073</v>
      </c>
      <c r="E4000" s="114" t="s">
        <v>6798</v>
      </c>
    </row>
    <row r="4001" spans="1:5" x14ac:dyDescent="0.25">
      <c r="B4001" s="114" t="s">
        <v>2487</v>
      </c>
      <c r="D4001" s="114" t="s">
        <v>1073</v>
      </c>
      <c r="E4001" s="114" t="s">
        <v>6799</v>
      </c>
    </row>
    <row r="4002" spans="1:5" x14ac:dyDescent="0.25">
      <c r="B4002" s="114" t="s">
        <v>1354</v>
      </c>
      <c r="D4002" s="114" t="s">
        <v>6800</v>
      </c>
      <c r="E4002" s="114" t="s">
        <v>6801</v>
      </c>
    </row>
    <row r="4003" spans="1:5" x14ac:dyDescent="0.25">
      <c r="B4003" s="114" t="s">
        <v>1230</v>
      </c>
      <c r="D4003" s="114" t="s">
        <v>1073</v>
      </c>
      <c r="E4003" s="114" t="s">
        <v>6802</v>
      </c>
    </row>
    <row r="4004" spans="1:5" x14ac:dyDescent="0.25">
      <c r="B4004" s="114" t="s">
        <v>2488</v>
      </c>
      <c r="D4004" s="114" t="s">
        <v>6803</v>
      </c>
      <c r="E4004" s="114" t="s">
        <v>6804</v>
      </c>
    </row>
    <row r="4005" spans="1:5" x14ac:dyDescent="0.25">
      <c r="B4005" s="114">
        <f>-14   -138</f>
        <v>-152</v>
      </c>
      <c r="D4005" s="114" t="s">
        <v>6644</v>
      </c>
      <c r="E4005" s="114" t="s">
        <v>6805</v>
      </c>
    </row>
    <row r="4006" spans="1:5" x14ac:dyDescent="0.25">
      <c r="B4006" s="114" t="s">
        <v>2489</v>
      </c>
      <c r="D4006" s="114" t="s">
        <v>1073</v>
      </c>
      <c r="E4006" s="114" t="s">
        <v>6806</v>
      </c>
    </row>
    <row r="4007" spans="1:5" x14ac:dyDescent="0.25">
      <c r="B4007" s="114" t="s">
        <v>2490</v>
      </c>
      <c r="D4007" s="114" t="s">
        <v>6807</v>
      </c>
      <c r="E4007" s="114" t="s">
        <v>6808</v>
      </c>
    </row>
    <row r="4008" spans="1:5" x14ac:dyDescent="0.25">
      <c r="B4008" s="114" t="s">
        <v>2491</v>
      </c>
      <c r="D4008" s="114" t="s">
        <v>2205</v>
      </c>
      <c r="E4008" s="114" t="s">
        <v>6809</v>
      </c>
    </row>
    <row r="4009" spans="1:5" x14ac:dyDescent="0.25">
      <c r="B4009" s="114" t="s">
        <v>1236</v>
      </c>
      <c r="D4009" s="114" t="s">
        <v>1073</v>
      </c>
      <c r="E4009" s="114" t="s">
        <v>6810</v>
      </c>
    </row>
    <row r="4010" spans="1:5" x14ac:dyDescent="0.25">
      <c r="B4010" s="114" t="s">
        <v>1337</v>
      </c>
      <c r="D4010" s="114" t="s">
        <v>6811</v>
      </c>
      <c r="E4010" s="114" t="s">
        <v>6812</v>
      </c>
    </row>
    <row r="4011" spans="1:5" x14ac:dyDescent="0.25">
      <c r="A4011" s="114">
        <v>6</v>
      </c>
      <c r="B4011" s="114" t="s">
        <v>1276</v>
      </c>
      <c r="D4011" s="114" t="s">
        <v>6813</v>
      </c>
      <c r="E4011" s="114" t="s">
        <v>6814</v>
      </c>
    </row>
    <row r="4012" spans="1:5" x14ac:dyDescent="0.25">
      <c r="B4012" s="114" t="s">
        <v>1073</v>
      </c>
      <c r="D4012" s="114" t="s">
        <v>1073</v>
      </c>
      <c r="E4012" s="114" t="s">
        <v>6815</v>
      </c>
    </row>
    <row r="4013" spans="1:5" x14ac:dyDescent="0.25">
      <c r="B4013" s="114" t="s">
        <v>1073</v>
      </c>
      <c r="D4013" s="114" t="s">
        <v>1073</v>
      </c>
      <c r="E4013" s="114" t="s">
        <v>6816</v>
      </c>
    </row>
    <row r="4014" spans="1:5" x14ac:dyDescent="0.25">
      <c r="A4014" s="114">
        <v>-2</v>
      </c>
      <c r="B4014" s="114" t="s">
        <v>2492</v>
      </c>
      <c r="D4014" s="114" t="s">
        <v>1073</v>
      </c>
      <c r="E4014" s="114" t="s">
        <v>6817</v>
      </c>
    </row>
    <row r="4015" spans="1:5" x14ac:dyDescent="0.25">
      <c r="A4015" s="114">
        <v>-1</v>
      </c>
      <c r="B4015" s="114" t="s">
        <v>1371</v>
      </c>
      <c r="D4015" s="114" t="s">
        <v>1073</v>
      </c>
      <c r="E4015" s="114" t="s">
        <v>6818</v>
      </c>
    </row>
    <row r="4016" spans="1:5" x14ac:dyDescent="0.25">
      <c r="A4016" s="114">
        <v>-1</v>
      </c>
      <c r="B4016" s="114" t="s">
        <v>2493</v>
      </c>
      <c r="D4016" s="114" t="s">
        <v>6819</v>
      </c>
      <c r="E4016" s="114" t="s">
        <v>3993</v>
      </c>
    </row>
    <row r="4017" spans="1:5" x14ac:dyDescent="0.25">
      <c r="B4017" s="114" t="s">
        <v>2494</v>
      </c>
      <c r="D4017" s="114" t="s">
        <v>6820</v>
      </c>
      <c r="E4017" s="114" t="s">
        <v>6821</v>
      </c>
    </row>
    <row r="4018" spans="1:5" x14ac:dyDescent="0.25">
      <c r="B4018" s="114" t="s">
        <v>1249</v>
      </c>
      <c r="C4018" s="114" t="s">
        <v>1072</v>
      </c>
      <c r="D4018" s="114" t="s">
        <v>6822</v>
      </c>
      <c r="E4018" s="114" t="s">
        <v>6823</v>
      </c>
    </row>
    <row r="4019" spans="1:5" x14ac:dyDescent="0.25">
      <c r="B4019" s="114" t="s">
        <v>1073</v>
      </c>
      <c r="D4019" s="114" t="s">
        <v>1073</v>
      </c>
      <c r="E4019" s="114" t="s">
        <v>3993</v>
      </c>
    </row>
    <row r="4020" spans="1:5" x14ac:dyDescent="0.25">
      <c r="B4020" s="114" t="s">
        <v>1073</v>
      </c>
      <c r="D4020" s="114" t="s">
        <v>1073</v>
      </c>
      <c r="E4020" s="114" t="s">
        <v>6824</v>
      </c>
    </row>
    <row r="4021" spans="1:5" x14ac:dyDescent="0.25">
      <c r="B4021" s="114" t="s">
        <v>2495</v>
      </c>
      <c r="D4021" s="114" t="s">
        <v>6825</v>
      </c>
      <c r="E4021" s="114" t="s">
        <v>6826</v>
      </c>
    </row>
    <row r="4022" spans="1:5" x14ac:dyDescent="0.25">
      <c r="B4022" s="114" t="s">
        <v>2496</v>
      </c>
      <c r="C4022" s="114">
        <v>1</v>
      </c>
      <c r="D4022" s="114" t="s">
        <v>6827</v>
      </c>
      <c r="E4022" s="114" t="s">
        <v>6828</v>
      </c>
    </row>
    <row r="4023" spans="1:5" x14ac:dyDescent="0.25">
      <c r="B4023" s="114" t="s">
        <v>1853</v>
      </c>
      <c r="D4023" s="114" t="s">
        <v>6829</v>
      </c>
      <c r="E4023" s="114" t="s">
        <v>6830</v>
      </c>
    </row>
    <row r="4024" spans="1:5" x14ac:dyDescent="0.25">
      <c r="B4024" s="114" t="s">
        <v>1073</v>
      </c>
      <c r="D4024" s="114" t="s">
        <v>1073</v>
      </c>
      <c r="E4024" s="114" t="s">
        <v>6831</v>
      </c>
    </row>
    <row r="4025" spans="1:5" x14ac:dyDescent="0.25">
      <c r="B4025" s="114" t="s">
        <v>2497</v>
      </c>
      <c r="C4025" s="114">
        <v>-1</v>
      </c>
      <c r="D4025" s="114" t="s">
        <v>6832</v>
      </c>
      <c r="E4025" s="114" t="s">
        <v>6833</v>
      </c>
    </row>
    <row r="4026" spans="1:5" x14ac:dyDescent="0.25">
      <c r="A4026" s="114">
        <v>-8</v>
      </c>
      <c r="B4026" s="114" t="s">
        <v>2498</v>
      </c>
      <c r="D4026" s="114" t="s">
        <v>5247</v>
      </c>
      <c r="E4026" s="114" t="s">
        <v>4044</v>
      </c>
    </row>
    <row r="4027" spans="1:5" x14ac:dyDescent="0.25">
      <c r="B4027" s="114" t="s">
        <v>2499</v>
      </c>
      <c r="D4027" s="114" t="s">
        <v>1073</v>
      </c>
      <c r="E4027" s="114" t="s">
        <v>6834</v>
      </c>
    </row>
    <row r="4028" spans="1:5" x14ac:dyDescent="0.25">
      <c r="B4028" s="114" t="s">
        <v>1290</v>
      </c>
      <c r="D4028" s="114" t="s">
        <v>1073</v>
      </c>
      <c r="E4028" s="114" t="s">
        <v>6835</v>
      </c>
    </row>
    <row r="4029" spans="1:5" x14ac:dyDescent="0.25">
      <c r="B4029" s="114" t="s">
        <v>2500</v>
      </c>
      <c r="D4029" s="114" t="s">
        <v>6836</v>
      </c>
      <c r="E4029" s="114" t="s">
        <v>6837</v>
      </c>
    </row>
    <row r="4030" spans="1:5" x14ac:dyDescent="0.25">
      <c r="B4030" s="114" t="s">
        <v>2501</v>
      </c>
      <c r="D4030" s="114" t="s">
        <v>1073</v>
      </c>
      <c r="E4030" s="114" t="s">
        <v>6838</v>
      </c>
    </row>
    <row r="4031" spans="1:5" x14ac:dyDescent="0.25">
      <c r="B4031" s="114">
        <f>-53   -545</f>
        <v>-598</v>
      </c>
      <c r="D4031" s="114" t="s">
        <v>6839</v>
      </c>
      <c r="E4031" s="114" t="s">
        <v>6840</v>
      </c>
    </row>
    <row r="4032" spans="1:5" x14ac:dyDescent="0.25">
      <c r="A4032" s="114">
        <v>-4</v>
      </c>
      <c r="B4032" s="114" t="s">
        <v>2502</v>
      </c>
      <c r="D4032" s="114" t="s">
        <v>5133</v>
      </c>
      <c r="E4032" s="114" t="s">
        <v>6841</v>
      </c>
    </row>
    <row r="4033" spans="1:5" x14ac:dyDescent="0.25">
      <c r="A4033" s="114" t="s">
        <v>1072</v>
      </c>
      <c r="B4033" s="114" t="s">
        <v>1138</v>
      </c>
      <c r="D4033" s="114" t="s">
        <v>1073</v>
      </c>
      <c r="E4033" s="114" t="s">
        <v>6842</v>
      </c>
    </row>
    <row r="4034" spans="1:5" x14ac:dyDescent="0.25">
      <c r="A4034" s="114" t="s">
        <v>1072</v>
      </c>
      <c r="B4034" s="114" t="s">
        <v>2503</v>
      </c>
      <c r="D4034" s="114">
        <f>-950  -1646  -122</f>
        <v>-2718</v>
      </c>
      <c r="E4034" s="114" t="s">
        <v>6843</v>
      </c>
    </row>
    <row r="4035" spans="1:5" x14ac:dyDescent="0.25">
      <c r="A4035" s="114">
        <v>-5</v>
      </c>
      <c r="B4035" s="114" t="s">
        <v>2504</v>
      </c>
      <c r="D4035" s="114" t="s">
        <v>6844</v>
      </c>
      <c r="E4035" s="114" t="s">
        <v>6845</v>
      </c>
    </row>
    <row r="4036" spans="1:5" x14ac:dyDescent="0.25">
      <c r="A4036" s="114" t="s">
        <v>1072</v>
      </c>
      <c r="B4036" s="114" t="s">
        <v>1159</v>
      </c>
      <c r="D4036" s="114" t="s">
        <v>1073</v>
      </c>
      <c r="E4036" s="114" t="s">
        <v>6846</v>
      </c>
    </row>
    <row r="4037" spans="1:5" x14ac:dyDescent="0.25">
      <c r="B4037" s="114" t="s">
        <v>1381</v>
      </c>
      <c r="D4037" s="114" t="s">
        <v>4572</v>
      </c>
      <c r="E4037" s="114" t="s">
        <v>6847</v>
      </c>
    </row>
    <row r="4038" spans="1:5" x14ac:dyDescent="0.25">
      <c r="A4038" s="114">
        <v>-4</v>
      </c>
      <c r="B4038" s="114" t="s">
        <v>2050</v>
      </c>
      <c r="D4038" s="114" t="s">
        <v>3603</v>
      </c>
      <c r="E4038" s="114" t="s">
        <v>6848</v>
      </c>
    </row>
    <row r="4039" spans="1:5" x14ac:dyDescent="0.25">
      <c r="B4039" s="114" t="s">
        <v>1073</v>
      </c>
      <c r="D4039" s="114" t="s">
        <v>1073</v>
      </c>
      <c r="E4039" s="114" t="s">
        <v>6849</v>
      </c>
    </row>
    <row r="4040" spans="1:5" x14ac:dyDescent="0.25">
      <c r="B4040" s="114" t="s">
        <v>1073</v>
      </c>
      <c r="D4040" s="114" t="s">
        <v>1073</v>
      </c>
      <c r="E4040" s="114" t="s">
        <v>6850</v>
      </c>
    </row>
    <row r="4041" spans="1:5" x14ac:dyDescent="0.25">
      <c r="A4041" s="114">
        <v>-2</v>
      </c>
      <c r="B4041" s="114" t="s">
        <v>2505</v>
      </c>
      <c r="D4041" s="114" t="s">
        <v>1073</v>
      </c>
      <c r="E4041" s="114" t="s">
        <v>6851</v>
      </c>
    </row>
    <row r="4042" spans="1:5" x14ac:dyDescent="0.25">
      <c r="A4042" s="114">
        <v>1</v>
      </c>
      <c r="B4042" s="114" t="s">
        <v>1358</v>
      </c>
      <c r="D4042" s="114" t="s">
        <v>1073</v>
      </c>
      <c r="E4042" s="114" t="s">
        <v>6852</v>
      </c>
    </row>
    <row r="4043" spans="1:5" x14ac:dyDescent="0.25">
      <c r="A4043" s="114">
        <v>1</v>
      </c>
      <c r="B4043" s="114" t="s">
        <v>2506</v>
      </c>
      <c r="D4043" s="114" t="s">
        <v>6853</v>
      </c>
      <c r="E4043" s="114" t="s">
        <v>3993</v>
      </c>
    </row>
    <row r="4044" spans="1:5" x14ac:dyDescent="0.25">
      <c r="B4044" s="114" t="s">
        <v>2507</v>
      </c>
      <c r="D4044" s="114">
        <f>-141   -419   -19</f>
        <v>-579</v>
      </c>
      <c r="E4044" s="114" t="s">
        <v>6854</v>
      </c>
    </row>
    <row r="4045" spans="1:5" x14ac:dyDescent="0.25">
      <c r="B4045" s="114" t="s">
        <v>2508</v>
      </c>
      <c r="C4045" s="114" t="s">
        <v>1072</v>
      </c>
      <c r="D4045" s="114" t="s">
        <v>6855</v>
      </c>
      <c r="E4045" s="114" t="s">
        <v>6856</v>
      </c>
    </row>
    <row r="4046" spans="1:5" x14ac:dyDescent="0.25">
      <c r="B4046" s="114" t="s">
        <v>1073</v>
      </c>
      <c r="D4046" s="114" t="s">
        <v>1073</v>
      </c>
      <c r="E4046" s="114" t="s">
        <v>3993</v>
      </c>
    </row>
    <row r="4047" spans="1:5" x14ac:dyDescent="0.25">
      <c r="B4047" s="114" t="s">
        <v>1073</v>
      </c>
      <c r="D4047" s="114" t="s">
        <v>1073</v>
      </c>
      <c r="E4047" s="114" t="s">
        <v>6857</v>
      </c>
    </row>
    <row r="4048" spans="1:5" x14ac:dyDescent="0.25">
      <c r="A4048" s="114">
        <v>-1</v>
      </c>
      <c r="B4048" s="114" t="s">
        <v>2509</v>
      </c>
      <c r="D4048" s="114" t="s">
        <v>6858</v>
      </c>
      <c r="E4048" s="114" t="s">
        <v>6859</v>
      </c>
    </row>
    <row r="4049" spans="2:5" x14ac:dyDescent="0.25">
      <c r="B4049" s="114" t="s">
        <v>2510</v>
      </c>
      <c r="C4049" s="114">
        <v>-2</v>
      </c>
      <c r="D4049" s="114" t="s">
        <v>6860</v>
      </c>
      <c r="E4049" s="114" t="s">
        <v>6861</v>
      </c>
    </row>
    <row r="4050" spans="2:5" x14ac:dyDescent="0.25">
      <c r="B4050" s="114" t="s">
        <v>1073</v>
      </c>
      <c r="D4050" s="114" t="s">
        <v>1073</v>
      </c>
      <c r="E4050" s="114" t="s">
        <v>3993</v>
      </c>
    </row>
    <row r="4051" spans="2:5" x14ac:dyDescent="0.25">
      <c r="B4051" s="114" t="s">
        <v>1073</v>
      </c>
      <c r="D4051" s="114" t="s">
        <v>1073</v>
      </c>
      <c r="E4051" s="114" t="s">
        <v>3993</v>
      </c>
    </row>
    <row r="4052" spans="2:5" x14ac:dyDescent="0.25">
      <c r="B4052" s="114" t="s">
        <v>1073</v>
      </c>
      <c r="D4052" s="114" t="s">
        <v>1073</v>
      </c>
      <c r="E4052" s="114" t="s">
        <v>3993</v>
      </c>
    </row>
    <row r="4053" spans="2:5" x14ac:dyDescent="0.25">
      <c r="B4053" s="114" t="s">
        <v>1073</v>
      </c>
      <c r="D4053" s="114" t="s">
        <v>1073</v>
      </c>
      <c r="E4053" s="114" t="s">
        <v>3993</v>
      </c>
    </row>
    <row r="4054" spans="2:5" x14ac:dyDescent="0.25">
      <c r="B4054" s="114" t="s">
        <v>1073</v>
      </c>
      <c r="D4054" s="114" t="s">
        <v>1073</v>
      </c>
      <c r="E4054" s="114" t="s">
        <v>3993</v>
      </c>
    </row>
    <row r="4055" spans="2:5" x14ac:dyDescent="0.25">
      <c r="B4055" s="114" t="s">
        <v>1073</v>
      </c>
      <c r="D4055" s="114" t="s">
        <v>1073</v>
      </c>
      <c r="E4055" s="114" t="s">
        <v>3993</v>
      </c>
    </row>
    <row r="4056" spans="2:5" x14ac:dyDescent="0.25">
      <c r="B4056" s="114" t="s">
        <v>1073</v>
      </c>
      <c r="D4056" s="114" t="s">
        <v>1073</v>
      </c>
      <c r="E4056" s="114" t="s">
        <v>3993</v>
      </c>
    </row>
    <row r="4057" spans="2:5" x14ac:dyDescent="0.25">
      <c r="B4057" s="114" t="s">
        <v>1073</v>
      </c>
      <c r="D4057" s="114" t="s">
        <v>1073</v>
      </c>
      <c r="E4057" s="114" t="s">
        <v>3993</v>
      </c>
    </row>
    <row r="4058" spans="2:5" x14ac:dyDescent="0.25">
      <c r="B4058" s="114" t="s">
        <v>1073</v>
      </c>
      <c r="D4058" s="114" t="s">
        <v>1073</v>
      </c>
      <c r="E4058" s="114" t="s">
        <v>3993</v>
      </c>
    </row>
    <row r="4059" spans="2:5" x14ac:dyDescent="0.25">
      <c r="B4059" s="114" t="s">
        <v>1073</v>
      </c>
      <c r="D4059" s="114" t="s">
        <v>1073</v>
      </c>
      <c r="E4059" s="114" t="s">
        <v>3993</v>
      </c>
    </row>
    <row r="4060" spans="2:5" x14ac:dyDescent="0.25">
      <c r="B4060" s="114" t="s">
        <v>1073</v>
      </c>
      <c r="D4060" s="114" t="s">
        <v>1073</v>
      </c>
      <c r="E4060" s="114" t="s">
        <v>3993</v>
      </c>
    </row>
    <row r="4061" spans="2:5" x14ac:dyDescent="0.25">
      <c r="B4061" s="114" t="s">
        <v>1073</v>
      </c>
      <c r="D4061" s="114" t="s">
        <v>1073</v>
      </c>
      <c r="E4061" s="114" t="s">
        <v>3993</v>
      </c>
    </row>
    <row r="4062" spans="2:5" x14ac:dyDescent="0.25">
      <c r="B4062" s="114" t="s">
        <v>1073</v>
      </c>
      <c r="D4062" s="114" t="s">
        <v>1073</v>
      </c>
      <c r="E4062" s="114" t="s">
        <v>3993</v>
      </c>
    </row>
    <row r="4063" spans="2:5" x14ac:dyDescent="0.25">
      <c r="B4063" s="114" t="s">
        <v>1073</v>
      </c>
      <c r="D4063" s="114" t="s">
        <v>1073</v>
      </c>
      <c r="E4063" s="114" t="s">
        <v>3993</v>
      </c>
    </row>
    <row r="4064" spans="2:5" x14ac:dyDescent="0.25">
      <c r="B4064" s="114" t="s">
        <v>1073</v>
      </c>
      <c r="D4064" s="114" t="s">
        <v>1073</v>
      </c>
      <c r="E4064" s="114" t="s">
        <v>3993</v>
      </c>
    </row>
    <row r="4065" spans="1:5" x14ac:dyDescent="0.25">
      <c r="B4065" s="114" t="s">
        <v>1073</v>
      </c>
      <c r="D4065" s="114" t="s">
        <v>1073</v>
      </c>
      <c r="E4065" s="114" t="s">
        <v>3993</v>
      </c>
    </row>
    <row r="4066" spans="1:5" x14ac:dyDescent="0.25">
      <c r="B4066" s="114" t="s">
        <v>1073</v>
      </c>
      <c r="D4066" s="114" t="s">
        <v>1073</v>
      </c>
      <c r="E4066" s="114" t="s">
        <v>3993</v>
      </c>
    </row>
    <row r="4067" spans="1:5" x14ac:dyDescent="0.25">
      <c r="B4067" s="114" t="s">
        <v>1073</v>
      </c>
      <c r="D4067" s="114" t="s">
        <v>1073</v>
      </c>
      <c r="E4067" s="114" t="s">
        <v>3993</v>
      </c>
    </row>
    <row r="4068" spans="1:5" x14ac:dyDescent="0.25">
      <c r="B4068" s="114" t="s">
        <v>1073</v>
      </c>
      <c r="D4068" s="114" t="s">
        <v>1073</v>
      </c>
      <c r="E4068" s="114" t="s">
        <v>3993</v>
      </c>
    </row>
    <row r="4069" spans="1:5" x14ac:dyDescent="0.25">
      <c r="B4069" s="114" t="s">
        <v>1073</v>
      </c>
      <c r="D4069" s="114" t="s">
        <v>1073</v>
      </c>
      <c r="E4069" s="114" t="s">
        <v>3993</v>
      </c>
    </row>
    <row r="4070" spans="1:5" x14ac:dyDescent="0.25">
      <c r="B4070" s="114" t="s">
        <v>1073</v>
      </c>
      <c r="D4070" s="114" t="s">
        <v>1073</v>
      </c>
      <c r="E4070" s="114" t="s">
        <v>3993</v>
      </c>
    </row>
    <row r="4071" spans="1:5" x14ac:dyDescent="0.25">
      <c r="B4071" s="114" t="s">
        <v>1073</v>
      </c>
      <c r="D4071" s="114" t="s">
        <v>1073</v>
      </c>
      <c r="E4071" s="114" t="s">
        <v>3993</v>
      </c>
    </row>
    <row r="4072" spans="1:5" x14ac:dyDescent="0.25">
      <c r="B4072" s="114" t="s">
        <v>1073</v>
      </c>
      <c r="D4072" s="114" t="s">
        <v>1073</v>
      </c>
      <c r="E4072" s="114" t="s">
        <v>3993</v>
      </c>
    </row>
    <row r="4073" spans="1:5" x14ac:dyDescent="0.25">
      <c r="B4073" s="114" t="s">
        <v>1073</v>
      </c>
      <c r="D4073" s="114" t="s">
        <v>1073</v>
      </c>
      <c r="E4073" s="114" t="s">
        <v>3993</v>
      </c>
    </row>
    <row r="4074" spans="1:5" x14ac:dyDescent="0.25">
      <c r="B4074" s="114" t="s">
        <v>1073</v>
      </c>
      <c r="D4074" s="114" t="s">
        <v>1073</v>
      </c>
      <c r="E4074" s="114" t="s">
        <v>3993</v>
      </c>
    </row>
    <row r="4075" spans="1:5" x14ac:dyDescent="0.25">
      <c r="B4075" s="114" t="s">
        <v>1073</v>
      </c>
      <c r="D4075" s="114" t="s">
        <v>1073</v>
      </c>
      <c r="E4075" s="114" t="s">
        <v>3993</v>
      </c>
    </row>
    <row r="4076" spans="1:5" x14ac:dyDescent="0.25">
      <c r="B4076" s="114" t="s">
        <v>1073</v>
      </c>
      <c r="D4076" s="114" t="s">
        <v>1073</v>
      </c>
      <c r="E4076" s="114" t="s">
        <v>6862</v>
      </c>
    </row>
    <row r="4077" spans="1:5" x14ac:dyDescent="0.25">
      <c r="A4077" s="114">
        <v>-2</v>
      </c>
      <c r="B4077" s="114" t="s">
        <v>2511</v>
      </c>
      <c r="D4077" s="114" t="s">
        <v>4145</v>
      </c>
      <c r="E4077" s="114" t="s">
        <v>6863</v>
      </c>
    </row>
    <row r="4078" spans="1:5" x14ac:dyDescent="0.25">
      <c r="A4078" s="114">
        <v>2</v>
      </c>
      <c r="B4078" s="114" t="s">
        <v>2512</v>
      </c>
      <c r="D4078" s="114" t="s">
        <v>1073</v>
      </c>
      <c r="E4078" s="114" t="s">
        <v>3993</v>
      </c>
    </row>
    <row r="4079" spans="1:5" x14ac:dyDescent="0.25">
      <c r="B4079" s="114" t="s">
        <v>2513</v>
      </c>
      <c r="D4079" s="114" t="s">
        <v>6864</v>
      </c>
      <c r="E4079" s="114" t="s">
        <v>6865</v>
      </c>
    </row>
    <row r="4080" spans="1:5" x14ac:dyDescent="0.25">
      <c r="B4080" s="114" t="s">
        <v>1073</v>
      </c>
      <c r="D4080" s="114" t="s">
        <v>2411</v>
      </c>
      <c r="E4080" s="114" t="s">
        <v>6866</v>
      </c>
    </row>
    <row r="4081" spans="1:5" x14ac:dyDescent="0.25">
      <c r="B4081" s="114" t="s">
        <v>1073</v>
      </c>
      <c r="D4081" s="114" t="s">
        <v>3418</v>
      </c>
      <c r="E4081" s="114" t="s">
        <v>3993</v>
      </c>
    </row>
    <row r="4082" spans="1:5" x14ac:dyDescent="0.25">
      <c r="B4082" s="114" t="s">
        <v>2514</v>
      </c>
      <c r="C4082" s="114">
        <v>-4</v>
      </c>
      <c r="D4082" s="114" t="s">
        <v>6867</v>
      </c>
      <c r="E4082" s="114" t="s">
        <v>6868</v>
      </c>
    </row>
    <row r="4083" spans="1:5" x14ac:dyDescent="0.25">
      <c r="A4083" s="114">
        <v>7</v>
      </c>
      <c r="B4083" s="114" t="s">
        <v>2515</v>
      </c>
      <c r="D4083" s="114" t="s">
        <v>6869</v>
      </c>
      <c r="E4083" s="114" t="s">
        <v>6870</v>
      </c>
    </row>
    <row r="4084" spans="1:5" x14ac:dyDescent="0.25">
      <c r="A4084" s="114">
        <v>11</v>
      </c>
      <c r="B4084" s="114" t="s">
        <v>2516</v>
      </c>
      <c r="C4084" s="114">
        <v>1</v>
      </c>
      <c r="D4084" s="114" t="s">
        <v>6871</v>
      </c>
      <c r="E4084" s="114" t="s">
        <v>6872</v>
      </c>
    </row>
    <row r="4085" spans="1:5" x14ac:dyDescent="0.25">
      <c r="A4085" s="114">
        <v>34</v>
      </c>
      <c r="B4085" s="114" t="s">
        <v>2517</v>
      </c>
      <c r="C4085" s="114" t="s">
        <v>1072</v>
      </c>
      <c r="D4085" s="114" t="s">
        <v>6873</v>
      </c>
      <c r="E4085" s="114" t="s">
        <v>6874</v>
      </c>
    </row>
    <row r="4086" spans="1:5" x14ac:dyDescent="0.25">
      <c r="A4086" s="114" t="s">
        <v>1072</v>
      </c>
      <c r="B4086" s="114" t="s">
        <v>2518</v>
      </c>
      <c r="D4086" s="114" t="s">
        <v>6875</v>
      </c>
      <c r="E4086" s="114" t="s">
        <v>6876</v>
      </c>
    </row>
    <row r="4087" spans="1:5" x14ac:dyDescent="0.25">
      <c r="B4087" s="114">
        <f>-7   -523</f>
        <v>-530</v>
      </c>
      <c r="D4087" s="114">
        <f>-763  -1393</f>
        <v>-2156</v>
      </c>
      <c r="E4087" s="114" t="s">
        <v>6877</v>
      </c>
    </row>
    <row r="4088" spans="1:5" x14ac:dyDescent="0.25">
      <c r="B4088" s="114" t="s">
        <v>2519</v>
      </c>
      <c r="C4088" s="114" t="s">
        <v>1072</v>
      </c>
      <c r="D4088" s="114" t="s">
        <v>6878</v>
      </c>
      <c r="E4088" s="114" t="s">
        <v>6879</v>
      </c>
    </row>
    <row r="4089" spans="1:5" x14ac:dyDescent="0.25">
      <c r="A4089" s="114" t="s">
        <v>1072</v>
      </c>
      <c r="B4089" s="114" t="s">
        <v>2520</v>
      </c>
      <c r="D4089" s="114" t="s">
        <v>6880</v>
      </c>
      <c r="E4089" s="114" t="s">
        <v>6881</v>
      </c>
    </row>
    <row r="4090" spans="1:5" x14ac:dyDescent="0.25">
      <c r="B4090" s="114" t="s">
        <v>2521</v>
      </c>
      <c r="D4090" s="114">
        <f>-706  -1325</f>
        <v>-2031</v>
      </c>
      <c r="E4090" s="114" t="s">
        <v>6882</v>
      </c>
    </row>
    <row r="4091" spans="1:5" x14ac:dyDescent="0.25">
      <c r="B4091" s="114" t="s">
        <v>1817</v>
      </c>
      <c r="C4091" s="114" t="s">
        <v>1072</v>
      </c>
      <c r="D4091" s="114" t="s">
        <v>6883</v>
      </c>
      <c r="E4091" s="114" t="s">
        <v>6884</v>
      </c>
    </row>
    <row r="4092" spans="1:5" x14ac:dyDescent="0.25">
      <c r="A4092" s="114" t="s">
        <v>1072</v>
      </c>
      <c r="B4092" s="114" t="s">
        <v>2522</v>
      </c>
      <c r="D4092" s="114" t="s">
        <v>6885</v>
      </c>
      <c r="E4092" s="114" t="s">
        <v>6886</v>
      </c>
    </row>
    <row r="4093" spans="1:5" x14ac:dyDescent="0.25">
      <c r="B4093" s="114" t="s">
        <v>1167</v>
      </c>
      <c r="D4093" s="114" t="s">
        <v>1073</v>
      </c>
      <c r="E4093" s="114" t="s">
        <v>6887</v>
      </c>
    </row>
    <row r="4094" spans="1:5" x14ac:dyDescent="0.25">
      <c r="B4094" s="114" t="s">
        <v>2523</v>
      </c>
      <c r="D4094" s="114" t="s">
        <v>6888</v>
      </c>
      <c r="E4094" s="114" t="s">
        <v>6889</v>
      </c>
    </row>
    <row r="4095" spans="1:5" x14ac:dyDescent="0.25">
      <c r="A4095" s="114">
        <v>-2</v>
      </c>
      <c r="B4095" s="114" t="s">
        <v>2524</v>
      </c>
      <c r="C4095" s="114" t="s">
        <v>1072</v>
      </c>
      <c r="D4095" s="114" t="s">
        <v>6890</v>
      </c>
      <c r="E4095" s="114" t="s">
        <v>6891</v>
      </c>
    </row>
    <row r="4096" spans="1:5" x14ac:dyDescent="0.25">
      <c r="B4096" s="114" t="s">
        <v>1148</v>
      </c>
      <c r="D4096" s="114" t="s">
        <v>6892</v>
      </c>
      <c r="E4096" s="114" t="s">
        <v>6893</v>
      </c>
    </row>
    <row r="4097" spans="1:5" x14ac:dyDescent="0.25">
      <c r="A4097" s="114">
        <v>-1</v>
      </c>
      <c r="B4097" s="114" t="s">
        <v>2525</v>
      </c>
      <c r="D4097" s="114" t="s">
        <v>6894</v>
      </c>
      <c r="E4097" s="114" t="s">
        <v>6895</v>
      </c>
    </row>
    <row r="4098" spans="1:5" x14ac:dyDescent="0.25">
      <c r="B4098" s="114" t="s">
        <v>1073</v>
      </c>
      <c r="D4098" s="114" t="s">
        <v>6896</v>
      </c>
      <c r="E4098" s="114" t="s">
        <v>6897</v>
      </c>
    </row>
    <row r="4099" spans="1:5" x14ac:dyDescent="0.25">
      <c r="B4099" s="114" t="s">
        <v>1073</v>
      </c>
      <c r="D4099" s="114" t="s">
        <v>6898</v>
      </c>
      <c r="E4099" s="114" t="s">
        <v>6899</v>
      </c>
    </row>
    <row r="4100" spans="1:5" x14ac:dyDescent="0.25">
      <c r="B4100" s="114" t="s">
        <v>2526</v>
      </c>
      <c r="D4100" s="114" t="s">
        <v>6900</v>
      </c>
      <c r="E4100" s="114" t="s">
        <v>3993</v>
      </c>
    </row>
    <row r="4101" spans="1:5" x14ac:dyDescent="0.25">
      <c r="B4101" s="114" t="s">
        <v>1073</v>
      </c>
      <c r="D4101" s="114" t="s">
        <v>1073</v>
      </c>
      <c r="E4101" s="114" t="s">
        <v>6901</v>
      </c>
    </row>
    <row r="4102" spans="1:5" x14ac:dyDescent="0.25">
      <c r="B4102" s="114" t="s">
        <v>1073</v>
      </c>
      <c r="D4102" s="114" t="s">
        <v>6902</v>
      </c>
      <c r="E4102" s="114" t="s">
        <v>6903</v>
      </c>
    </row>
    <row r="4103" spans="1:5" x14ac:dyDescent="0.25">
      <c r="A4103" s="114">
        <v>1</v>
      </c>
      <c r="B4103" s="114" t="s">
        <v>2527</v>
      </c>
      <c r="D4103" s="114" t="s">
        <v>5231</v>
      </c>
      <c r="E4103" s="114" t="s">
        <v>6904</v>
      </c>
    </row>
    <row r="4104" spans="1:5" x14ac:dyDescent="0.25">
      <c r="B4104" s="114" t="s">
        <v>2528</v>
      </c>
      <c r="D4104" s="114" t="s">
        <v>6905</v>
      </c>
      <c r="E4104" s="114" t="s">
        <v>6906</v>
      </c>
    </row>
    <row r="4105" spans="1:5" x14ac:dyDescent="0.25">
      <c r="B4105" s="114" t="s">
        <v>1073</v>
      </c>
      <c r="D4105" s="114" t="s">
        <v>6907</v>
      </c>
      <c r="E4105" s="114" t="s">
        <v>4077</v>
      </c>
    </row>
    <row r="4106" spans="1:5" x14ac:dyDescent="0.25">
      <c r="B4106" s="114" t="s">
        <v>1073</v>
      </c>
      <c r="D4106" s="114" t="s">
        <v>6908</v>
      </c>
      <c r="E4106" s="114" t="s">
        <v>6909</v>
      </c>
    </row>
    <row r="4107" spans="1:5" x14ac:dyDescent="0.25">
      <c r="B4107" s="114" t="s">
        <v>2529</v>
      </c>
      <c r="D4107" s="114" t="s">
        <v>4231</v>
      </c>
      <c r="E4107" s="114" t="s">
        <v>6910</v>
      </c>
    </row>
    <row r="4108" spans="1:5" x14ac:dyDescent="0.25">
      <c r="A4108" s="114" t="s">
        <v>1072</v>
      </c>
      <c r="B4108" s="114" t="s">
        <v>1166</v>
      </c>
      <c r="D4108" s="114" t="s">
        <v>1073</v>
      </c>
      <c r="E4108" s="114" t="s">
        <v>6911</v>
      </c>
    </row>
    <row r="4109" spans="1:5" x14ac:dyDescent="0.25">
      <c r="B4109" s="114" t="s">
        <v>1073</v>
      </c>
      <c r="D4109" s="114" t="s">
        <v>6912</v>
      </c>
      <c r="E4109" s="114" t="s">
        <v>6913</v>
      </c>
    </row>
    <row r="4110" spans="1:5" x14ac:dyDescent="0.25">
      <c r="B4110" s="114" t="s">
        <v>1073</v>
      </c>
      <c r="D4110" s="114" t="s">
        <v>6914</v>
      </c>
      <c r="E4110" s="114" t="s">
        <v>6915</v>
      </c>
    </row>
    <row r="4111" spans="1:5" x14ac:dyDescent="0.25">
      <c r="B4111" s="114" t="s">
        <v>2530</v>
      </c>
      <c r="D4111" s="114" t="s">
        <v>6916</v>
      </c>
      <c r="E4111" s="114" t="s">
        <v>6917</v>
      </c>
    </row>
    <row r="4112" spans="1:5" x14ac:dyDescent="0.25">
      <c r="B4112" s="114" t="s">
        <v>2531</v>
      </c>
      <c r="D4112" s="114" t="s">
        <v>6918</v>
      </c>
      <c r="E4112" s="114" t="s">
        <v>6919</v>
      </c>
    </row>
    <row r="4113" spans="1:5" x14ac:dyDescent="0.25">
      <c r="B4113" s="114" t="s">
        <v>2532</v>
      </c>
      <c r="C4113" s="114" t="s">
        <v>1072</v>
      </c>
      <c r="D4113" s="114" t="s">
        <v>6920</v>
      </c>
      <c r="E4113" s="114" t="s">
        <v>6921</v>
      </c>
    </row>
    <row r="4114" spans="1:5" x14ac:dyDescent="0.25">
      <c r="A4114" s="114">
        <v>-5</v>
      </c>
      <c r="B4114" s="114" t="s">
        <v>2533</v>
      </c>
      <c r="D4114" s="114" t="s">
        <v>6922</v>
      </c>
      <c r="E4114" s="114" t="s">
        <v>6923</v>
      </c>
    </row>
    <row r="4115" spans="1:5" x14ac:dyDescent="0.25">
      <c r="B4115" s="114" t="s">
        <v>1105</v>
      </c>
      <c r="D4115" s="114" t="s">
        <v>6924</v>
      </c>
      <c r="E4115" s="114" t="s">
        <v>6925</v>
      </c>
    </row>
    <row r="4116" spans="1:5" x14ac:dyDescent="0.25">
      <c r="B4116" s="114" t="s">
        <v>2534</v>
      </c>
      <c r="D4116" s="114" t="s">
        <v>6926</v>
      </c>
      <c r="E4116" s="114" t="s">
        <v>6927</v>
      </c>
    </row>
    <row r="4117" spans="1:5" x14ac:dyDescent="0.25">
      <c r="B4117" s="114" t="s">
        <v>1073</v>
      </c>
      <c r="D4117" s="114" t="s">
        <v>6928</v>
      </c>
      <c r="E4117" s="114" t="s">
        <v>6929</v>
      </c>
    </row>
    <row r="4118" spans="1:5" x14ac:dyDescent="0.25">
      <c r="B4118" s="114" t="s">
        <v>2535</v>
      </c>
      <c r="D4118" s="114" t="s">
        <v>6930</v>
      </c>
      <c r="E4118" s="114" t="s">
        <v>6931</v>
      </c>
    </row>
    <row r="4119" spans="1:5" x14ac:dyDescent="0.25">
      <c r="B4119" s="114" t="s">
        <v>2536</v>
      </c>
      <c r="D4119" s="114" t="s">
        <v>6932</v>
      </c>
      <c r="E4119" s="114" t="s">
        <v>6933</v>
      </c>
    </row>
    <row r="4120" spans="1:5" x14ac:dyDescent="0.25">
      <c r="B4120" s="114" t="s">
        <v>1419</v>
      </c>
      <c r="D4120" s="114" t="s">
        <v>1847</v>
      </c>
      <c r="E4120" s="114" t="s">
        <v>3993</v>
      </c>
    </row>
    <row r="4121" spans="1:5" x14ac:dyDescent="0.25">
      <c r="B4121" s="114" t="s">
        <v>1520</v>
      </c>
      <c r="D4121" s="114" t="s">
        <v>6934</v>
      </c>
      <c r="E4121" s="114" t="s">
        <v>6935</v>
      </c>
    </row>
    <row r="4122" spans="1:5" x14ac:dyDescent="0.25">
      <c r="B4122" s="114" t="s">
        <v>2537</v>
      </c>
      <c r="C4122" s="114" t="s">
        <v>1072</v>
      </c>
      <c r="D4122" s="114" t="s">
        <v>6936</v>
      </c>
      <c r="E4122" s="114" t="s">
        <v>6937</v>
      </c>
    </row>
    <row r="4123" spans="1:5" x14ac:dyDescent="0.25">
      <c r="B4123" s="114" t="s">
        <v>2538</v>
      </c>
      <c r="D4123" s="114" t="s">
        <v>6938</v>
      </c>
      <c r="E4123" s="114" t="s">
        <v>6939</v>
      </c>
    </row>
    <row r="4124" spans="1:5" x14ac:dyDescent="0.25">
      <c r="B4124" s="114" t="s">
        <v>2539</v>
      </c>
      <c r="D4124" s="114" t="s">
        <v>6940</v>
      </c>
      <c r="E4124" s="114" t="s">
        <v>6941</v>
      </c>
    </row>
    <row r="4125" spans="1:5" x14ac:dyDescent="0.25">
      <c r="B4125" s="114" t="s">
        <v>1073</v>
      </c>
      <c r="D4125" s="114" t="s">
        <v>1073</v>
      </c>
      <c r="E4125" s="114" t="s">
        <v>6942</v>
      </c>
    </row>
    <row r="4126" spans="1:5" x14ac:dyDescent="0.25">
      <c r="B4126" s="114" t="s">
        <v>2540</v>
      </c>
      <c r="D4126" s="114" t="s">
        <v>6943</v>
      </c>
      <c r="E4126" s="114" t="s">
        <v>6944</v>
      </c>
    </row>
    <row r="4127" spans="1:5" x14ac:dyDescent="0.25">
      <c r="B4127" s="114" t="s">
        <v>1073</v>
      </c>
      <c r="D4127" s="114" t="s">
        <v>5223</v>
      </c>
      <c r="E4127" s="114" t="s">
        <v>6945</v>
      </c>
    </row>
    <row r="4128" spans="1:5" x14ac:dyDescent="0.25">
      <c r="B4128" s="114" t="s">
        <v>1073</v>
      </c>
      <c r="D4128" s="114" t="s">
        <v>1073</v>
      </c>
      <c r="E4128" s="114" t="s">
        <v>3993</v>
      </c>
    </row>
    <row r="4129" spans="1:5" x14ac:dyDescent="0.25">
      <c r="B4129" s="114" t="s">
        <v>2541</v>
      </c>
      <c r="D4129" s="114" t="s">
        <v>1073</v>
      </c>
      <c r="E4129" s="114" t="s">
        <v>6946</v>
      </c>
    </row>
    <row r="4130" spans="1:5" x14ac:dyDescent="0.25">
      <c r="A4130" s="114">
        <v>42</v>
      </c>
      <c r="B4130" s="114" t="s">
        <v>2542</v>
      </c>
      <c r="C4130" s="114">
        <v>1</v>
      </c>
      <c r="D4130" s="114" t="s">
        <v>6947</v>
      </c>
      <c r="E4130" s="114" t="s">
        <v>6948</v>
      </c>
    </row>
    <row r="4131" spans="1:5" x14ac:dyDescent="0.25">
      <c r="A4131" s="114">
        <v>14</v>
      </c>
      <c r="B4131" s="114" t="s">
        <v>2543</v>
      </c>
      <c r="C4131" s="114" t="s">
        <v>1072</v>
      </c>
      <c r="D4131" s="114" t="s">
        <v>6949</v>
      </c>
      <c r="E4131" s="114" t="s">
        <v>6950</v>
      </c>
    </row>
    <row r="4132" spans="1:5" x14ac:dyDescent="0.25">
      <c r="B4132" s="114" t="s">
        <v>1474</v>
      </c>
      <c r="D4132" s="114" t="s">
        <v>1387</v>
      </c>
      <c r="E4132" s="114" t="s">
        <v>6951</v>
      </c>
    </row>
    <row r="4133" spans="1:5" x14ac:dyDescent="0.25">
      <c r="B4133" s="114" t="s">
        <v>1073</v>
      </c>
      <c r="D4133" s="114" t="s">
        <v>1073</v>
      </c>
      <c r="E4133" s="114" t="s">
        <v>6952</v>
      </c>
    </row>
    <row r="4134" spans="1:5" x14ac:dyDescent="0.25">
      <c r="B4134" s="114" t="s">
        <v>2544</v>
      </c>
      <c r="D4134" s="114" t="s">
        <v>6953</v>
      </c>
      <c r="E4134" s="114" t="s">
        <v>6954</v>
      </c>
    </row>
    <row r="4135" spans="1:5" x14ac:dyDescent="0.25">
      <c r="B4135" s="114" t="s">
        <v>1349</v>
      </c>
      <c r="D4135" s="114" t="s">
        <v>4598</v>
      </c>
      <c r="E4135" s="114" t="s">
        <v>4088</v>
      </c>
    </row>
    <row r="4136" spans="1:5" x14ac:dyDescent="0.25">
      <c r="B4136" s="114" t="s">
        <v>1455</v>
      </c>
      <c r="D4136" s="114" t="s">
        <v>1073</v>
      </c>
      <c r="E4136" s="114" t="s">
        <v>6955</v>
      </c>
    </row>
    <row r="4137" spans="1:5" x14ac:dyDescent="0.25">
      <c r="B4137" s="114" t="s">
        <v>2545</v>
      </c>
      <c r="D4137" s="114" t="s">
        <v>1073</v>
      </c>
      <c r="E4137" s="114" t="s">
        <v>6956</v>
      </c>
    </row>
    <row r="4138" spans="1:5" x14ac:dyDescent="0.25">
      <c r="B4138" s="114" t="s">
        <v>2546</v>
      </c>
      <c r="D4138" s="114" t="s">
        <v>6957</v>
      </c>
      <c r="E4138" s="114" t="s">
        <v>6958</v>
      </c>
    </row>
    <row r="4139" spans="1:5" x14ac:dyDescent="0.25">
      <c r="A4139" s="114">
        <v>-1</v>
      </c>
      <c r="B4139" s="114" t="s">
        <v>1293</v>
      </c>
      <c r="D4139" s="114" t="s">
        <v>1073</v>
      </c>
      <c r="E4139" s="114" t="s">
        <v>6959</v>
      </c>
    </row>
    <row r="4140" spans="1:5" x14ac:dyDescent="0.25">
      <c r="B4140" s="114" t="s">
        <v>2547</v>
      </c>
      <c r="D4140" s="114" t="s">
        <v>6960</v>
      </c>
      <c r="E4140" s="114" t="s">
        <v>6961</v>
      </c>
    </row>
    <row r="4141" spans="1:5" x14ac:dyDescent="0.25">
      <c r="A4141" s="114">
        <v>-1</v>
      </c>
      <c r="B4141" s="114" t="s">
        <v>2548</v>
      </c>
      <c r="D4141" s="114" t="s">
        <v>4055</v>
      </c>
      <c r="E4141" s="114" t="s">
        <v>6962</v>
      </c>
    </row>
    <row r="4142" spans="1:5" x14ac:dyDescent="0.25">
      <c r="A4142" s="114" t="s">
        <v>1072</v>
      </c>
      <c r="B4142" s="114" t="s">
        <v>2549</v>
      </c>
      <c r="D4142" s="114" t="s">
        <v>1073</v>
      </c>
      <c r="E4142" s="114" t="s">
        <v>6963</v>
      </c>
    </row>
    <row r="4143" spans="1:5" x14ac:dyDescent="0.25">
      <c r="A4143" s="114">
        <v>-2</v>
      </c>
      <c r="B4143" s="114" t="s">
        <v>2550</v>
      </c>
      <c r="C4143" s="114" t="s">
        <v>1072</v>
      </c>
      <c r="D4143" s="114" t="s">
        <v>6964</v>
      </c>
      <c r="E4143" s="114" t="s">
        <v>6965</v>
      </c>
    </row>
    <row r="4144" spans="1:5" x14ac:dyDescent="0.25">
      <c r="A4144" s="114">
        <v>-2</v>
      </c>
      <c r="B4144" s="114" t="s">
        <v>2551</v>
      </c>
      <c r="D4144" s="114" t="s">
        <v>6966</v>
      </c>
      <c r="E4144" s="114" t="s">
        <v>6967</v>
      </c>
    </row>
    <row r="4145" spans="1:5" x14ac:dyDescent="0.25">
      <c r="A4145" s="114">
        <v>5</v>
      </c>
      <c r="B4145" s="114" t="s">
        <v>1336</v>
      </c>
      <c r="D4145" s="114" t="s">
        <v>1073</v>
      </c>
      <c r="E4145" s="114" t="s">
        <v>6968</v>
      </c>
    </row>
    <row r="4146" spans="1:5" x14ac:dyDescent="0.25">
      <c r="B4146" s="114" t="s">
        <v>1427</v>
      </c>
      <c r="D4146" s="114" t="s">
        <v>4546</v>
      </c>
      <c r="E4146" s="114" t="s">
        <v>6969</v>
      </c>
    </row>
    <row r="4147" spans="1:5" x14ac:dyDescent="0.25">
      <c r="A4147" s="114" t="s">
        <v>1072</v>
      </c>
      <c r="B4147" s="114" t="s">
        <v>2552</v>
      </c>
      <c r="D4147" s="114" t="s">
        <v>2903</v>
      </c>
      <c r="E4147" s="114" t="s">
        <v>6970</v>
      </c>
    </row>
    <row r="4148" spans="1:5" x14ac:dyDescent="0.25">
      <c r="B4148" s="114" t="s">
        <v>1073</v>
      </c>
      <c r="D4148" s="114" t="s">
        <v>1073</v>
      </c>
      <c r="E4148" s="114" t="s">
        <v>6971</v>
      </c>
    </row>
    <row r="4149" spans="1:5" x14ac:dyDescent="0.25">
      <c r="B4149" s="114" t="s">
        <v>1073</v>
      </c>
      <c r="D4149" s="114" t="s">
        <v>1073</v>
      </c>
      <c r="E4149" s="114" t="s">
        <v>6972</v>
      </c>
    </row>
    <row r="4150" spans="1:5" x14ac:dyDescent="0.25">
      <c r="A4150" s="114">
        <v>-4</v>
      </c>
      <c r="B4150" s="114" t="s">
        <v>2553</v>
      </c>
      <c r="D4150" s="114" t="s">
        <v>1073</v>
      </c>
      <c r="E4150" s="114" t="s">
        <v>6973</v>
      </c>
    </row>
    <row r="4151" spans="1:5" x14ac:dyDescent="0.25">
      <c r="A4151" s="114" t="s">
        <v>1072</v>
      </c>
      <c r="B4151" s="114" t="s">
        <v>2554</v>
      </c>
      <c r="D4151" s="114" t="s">
        <v>1073</v>
      </c>
      <c r="E4151" s="114" t="s">
        <v>6974</v>
      </c>
    </row>
    <row r="4152" spans="1:5" x14ac:dyDescent="0.25">
      <c r="A4152" s="114">
        <v>-1</v>
      </c>
      <c r="B4152" s="114" t="s">
        <v>2555</v>
      </c>
      <c r="D4152" s="114" t="s">
        <v>6975</v>
      </c>
      <c r="E4152" s="114" t="s">
        <v>3993</v>
      </c>
    </row>
    <row r="4153" spans="1:5" x14ac:dyDescent="0.25">
      <c r="B4153" s="114" t="s">
        <v>2556</v>
      </c>
      <c r="D4153" s="114" t="s">
        <v>6976</v>
      </c>
      <c r="E4153" s="114" t="s">
        <v>6977</v>
      </c>
    </row>
    <row r="4154" spans="1:5" x14ac:dyDescent="0.25">
      <c r="B4154" s="114" t="s">
        <v>2557</v>
      </c>
      <c r="C4154" s="114" t="s">
        <v>1072</v>
      </c>
      <c r="D4154" s="114" t="s">
        <v>6978</v>
      </c>
      <c r="E4154" s="114" t="s">
        <v>6979</v>
      </c>
    </row>
    <row r="4155" spans="1:5" x14ac:dyDescent="0.25">
      <c r="B4155" s="114" t="s">
        <v>1073</v>
      </c>
      <c r="D4155" s="114" t="s">
        <v>1073</v>
      </c>
      <c r="E4155" s="114" t="s">
        <v>3993</v>
      </c>
    </row>
    <row r="4156" spans="1:5" x14ac:dyDescent="0.25">
      <c r="B4156" s="114" t="s">
        <v>1073</v>
      </c>
      <c r="D4156" s="114" t="s">
        <v>1073</v>
      </c>
      <c r="E4156" s="114" t="s">
        <v>6980</v>
      </c>
    </row>
    <row r="4157" spans="1:5" x14ac:dyDescent="0.25">
      <c r="B4157" s="114" t="s">
        <v>2558</v>
      </c>
      <c r="D4157" s="114" t="s">
        <v>6981</v>
      </c>
      <c r="E4157" s="114" t="s">
        <v>6982</v>
      </c>
    </row>
    <row r="4158" spans="1:5" x14ac:dyDescent="0.25">
      <c r="B4158" s="114" t="s">
        <v>2559</v>
      </c>
      <c r="D4158" s="114" t="s">
        <v>6983</v>
      </c>
      <c r="E4158" s="114" t="s">
        <v>6984</v>
      </c>
    </row>
    <row r="4159" spans="1:5" x14ac:dyDescent="0.25">
      <c r="A4159" s="114" t="s">
        <v>1072</v>
      </c>
      <c r="B4159" s="114" t="s">
        <v>2560</v>
      </c>
      <c r="D4159" s="114" t="s">
        <v>6985</v>
      </c>
      <c r="E4159" s="114" t="s">
        <v>6986</v>
      </c>
    </row>
    <row r="4160" spans="1:5" x14ac:dyDescent="0.25">
      <c r="B4160" s="114" t="s">
        <v>1073</v>
      </c>
      <c r="D4160" s="114" t="s">
        <v>6987</v>
      </c>
      <c r="E4160" s="114" t="s">
        <v>3993</v>
      </c>
    </row>
    <row r="4161" spans="1:5" x14ac:dyDescent="0.25">
      <c r="B4161" s="114" t="s">
        <v>1073</v>
      </c>
      <c r="D4161" s="114" t="s">
        <v>6988</v>
      </c>
      <c r="E4161" s="114" t="s">
        <v>6989</v>
      </c>
    </row>
    <row r="4162" spans="1:5" x14ac:dyDescent="0.25">
      <c r="A4162" s="114" t="s">
        <v>1072</v>
      </c>
      <c r="B4162" s="114" t="s">
        <v>2561</v>
      </c>
      <c r="D4162" s="114" t="s">
        <v>1073</v>
      </c>
      <c r="E4162" s="114" t="s">
        <v>6990</v>
      </c>
    </row>
    <row r="4163" spans="1:5" x14ac:dyDescent="0.25">
      <c r="B4163" s="114" t="s">
        <v>1073</v>
      </c>
      <c r="D4163" s="114" t="s">
        <v>1073</v>
      </c>
      <c r="E4163" s="114" t="s">
        <v>6991</v>
      </c>
    </row>
    <row r="4164" spans="1:5" x14ac:dyDescent="0.25">
      <c r="B4164" s="114" t="s">
        <v>1073</v>
      </c>
      <c r="D4164" s="114" t="s">
        <v>6992</v>
      </c>
      <c r="E4164" s="114" t="s">
        <v>6993</v>
      </c>
    </row>
    <row r="4165" spans="1:5" x14ac:dyDescent="0.25">
      <c r="B4165" s="114" t="s">
        <v>2562</v>
      </c>
      <c r="D4165" s="114" t="s">
        <v>6994</v>
      </c>
      <c r="E4165" s="114" t="s">
        <v>6995</v>
      </c>
    </row>
    <row r="4166" spans="1:5" x14ac:dyDescent="0.25">
      <c r="A4166" s="114">
        <v>1</v>
      </c>
      <c r="B4166" s="114" t="s">
        <v>2563</v>
      </c>
      <c r="D4166" s="114" t="s">
        <v>6996</v>
      </c>
      <c r="E4166" s="114" t="s">
        <v>6997</v>
      </c>
    </row>
    <row r="4167" spans="1:5" x14ac:dyDescent="0.25">
      <c r="A4167" s="114" t="s">
        <v>1072</v>
      </c>
      <c r="B4167" s="114" t="s">
        <v>2564</v>
      </c>
      <c r="D4167" s="114">
        <f>-847   -459  -487</f>
        <v>-1793</v>
      </c>
      <c r="E4167" s="114" t="s">
        <v>6998</v>
      </c>
    </row>
    <row r="4168" spans="1:5" x14ac:dyDescent="0.25">
      <c r="A4168" s="114">
        <v>-1</v>
      </c>
      <c r="B4168" s="114" t="s">
        <v>2565</v>
      </c>
      <c r="D4168" s="114" t="s">
        <v>6999</v>
      </c>
      <c r="E4168" s="114" t="s">
        <v>7000</v>
      </c>
    </row>
    <row r="4169" spans="1:5" x14ac:dyDescent="0.25">
      <c r="A4169" s="114" t="s">
        <v>1072</v>
      </c>
      <c r="B4169" s="114" t="s">
        <v>1298</v>
      </c>
      <c r="D4169" s="114" t="s">
        <v>7001</v>
      </c>
      <c r="E4169" s="114" t="s">
        <v>7002</v>
      </c>
    </row>
    <row r="4170" spans="1:5" x14ac:dyDescent="0.25">
      <c r="B4170" s="114" t="s">
        <v>2566</v>
      </c>
      <c r="D4170" s="114" t="s">
        <v>7003</v>
      </c>
      <c r="E4170" s="114" t="s">
        <v>7004</v>
      </c>
    </row>
    <row r="4171" spans="1:5" x14ac:dyDescent="0.25">
      <c r="A4171" s="114">
        <v>-1</v>
      </c>
      <c r="B4171" s="114" t="s">
        <v>1085</v>
      </c>
      <c r="D4171" s="114" t="s">
        <v>7005</v>
      </c>
      <c r="E4171" s="114" t="s">
        <v>7006</v>
      </c>
    </row>
    <row r="4172" spans="1:5" x14ac:dyDescent="0.25">
      <c r="B4172" s="114" t="s">
        <v>1459</v>
      </c>
      <c r="D4172" s="114" t="s">
        <v>7007</v>
      </c>
      <c r="E4172" s="114" t="s">
        <v>7008</v>
      </c>
    </row>
    <row r="4173" spans="1:5" x14ac:dyDescent="0.25">
      <c r="B4173" s="114" t="s">
        <v>2567</v>
      </c>
      <c r="D4173" s="114" t="s">
        <v>7009</v>
      </c>
      <c r="E4173" s="114" t="s">
        <v>7010</v>
      </c>
    </row>
    <row r="4174" spans="1:5" x14ac:dyDescent="0.25">
      <c r="A4174" s="114">
        <v>-2</v>
      </c>
      <c r="B4174" s="114" t="s">
        <v>2568</v>
      </c>
      <c r="D4174" s="114" t="s">
        <v>7011</v>
      </c>
      <c r="E4174" s="114" t="s">
        <v>7012</v>
      </c>
    </row>
    <row r="4175" spans="1:5" x14ac:dyDescent="0.25">
      <c r="A4175" s="114">
        <v>-12</v>
      </c>
      <c r="B4175" s="114" t="s">
        <v>1110</v>
      </c>
      <c r="C4175" s="114" t="s">
        <v>1072</v>
      </c>
      <c r="D4175" s="114" t="s">
        <v>7013</v>
      </c>
      <c r="E4175" s="114" t="s">
        <v>3993</v>
      </c>
    </row>
    <row r="4176" spans="1:5" x14ac:dyDescent="0.25">
      <c r="A4176" s="114" t="s">
        <v>1072</v>
      </c>
      <c r="B4176" s="114" t="s">
        <v>2569</v>
      </c>
      <c r="D4176" s="114" t="s">
        <v>7014</v>
      </c>
      <c r="E4176" s="114" t="s">
        <v>5199</v>
      </c>
    </row>
    <row r="4177" spans="1:5" x14ac:dyDescent="0.25">
      <c r="A4177" s="114">
        <v>-3</v>
      </c>
      <c r="B4177" s="114" t="s">
        <v>2570</v>
      </c>
      <c r="C4177" s="114" t="s">
        <v>1072</v>
      </c>
      <c r="D4177" s="114" t="s">
        <v>7015</v>
      </c>
      <c r="E4177" s="114" t="s">
        <v>7016</v>
      </c>
    </row>
    <row r="4178" spans="1:5" x14ac:dyDescent="0.25">
      <c r="A4178" s="114">
        <v>-1</v>
      </c>
      <c r="B4178" s="114" t="s">
        <v>2571</v>
      </c>
      <c r="D4178" s="114" t="s">
        <v>7017</v>
      </c>
      <c r="E4178" s="114" t="s">
        <v>7018</v>
      </c>
    </row>
    <row r="4179" spans="1:5" x14ac:dyDescent="0.25">
      <c r="A4179" s="114" t="s">
        <v>1072</v>
      </c>
      <c r="B4179" s="114" t="s">
        <v>2572</v>
      </c>
      <c r="C4179" s="114" t="s">
        <v>1072</v>
      </c>
      <c r="D4179" s="114" t="s">
        <v>7019</v>
      </c>
      <c r="E4179" s="114" t="s">
        <v>7020</v>
      </c>
    </row>
    <row r="4180" spans="1:5" x14ac:dyDescent="0.25">
      <c r="B4180" s="114" t="s">
        <v>1073</v>
      </c>
      <c r="D4180" s="114" t="s">
        <v>1073</v>
      </c>
      <c r="E4180" s="114" t="s">
        <v>7021</v>
      </c>
    </row>
    <row r="4181" spans="1:5" x14ac:dyDescent="0.25">
      <c r="A4181" s="114">
        <v>1</v>
      </c>
      <c r="B4181" s="114" t="s">
        <v>2573</v>
      </c>
      <c r="D4181" s="114" t="s">
        <v>7022</v>
      </c>
      <c r="E4181" s="114" t="s">
        <v>7023</v>
      </c>
    </row>
    <row r="4182" spans="1:5" x14ac:dyDescent="0.25">
      <c r="B4182" s="114" t="s">
        <v>1073</v>
      </c>
      <c r="D4182" s="114" t="s">
        <v>7024</v>
      </c>
      <c r="E4182" s="114" t="s">
        <v>4088</v>
      </c>
    </row>
    <row r="4183" spans="1:5" x14ac:dyDescent="0.25">
      <c r="B4183" s="114" t="s">
        <v>1073</v>
      </c>
      <c r="D4183" s="114" t="s">
        <v>1073</v>
      </c>
      <c r="E4183" s="114" t="s">
        <v>3993</v>
      </c>
    </row>
    <row r="4184" spans="1:5" x14ac:dyDescent="0.25">
      <c r="A4184" s="114" t="s">
        <v>1072</v>
      </c>
      <c r="B4184" s="114" t="s">
        <v>1122</v>
      </c>
      <c r="D4184" s="114" t="s">
        <v>1073</v>
      </c>
      <c r="E4184" s="114" t="s">
        <v>7025</v>
      </c>
    </row>
    <row r="4185" spans="1:5" x14ac:dyDescent="0.25">
      <c r="A4185" s="114">
        <v>17</v>
      </c>
      <c r="B4185" s="114" t="s">
        <v>2574</v>
      </c>
      <c r="D4185" s="114">
        <f>-391   -165</f>
        <v>-556</v>
      </c>
      <c r="E4185" s="114" t="s">
        <v>7026</v>
      </c>
    </row>
    <row r="4186" spans="1:5" x14ac:dyDescent="0.25">
      <c r="A4186" s="114">
        <v>34</v>
      </c>
      <c r="B4186" s="114" t="s">
        <v>2575</v>
      </c>
      <c r="D4186" s="114" t="s">
        <v>7027</v>
      </c>
      <c r="E4186" s="114" t="s">
        <v>7028</v>
      </c>
    </row>
    <row r="4187" spans="1:5" x14ac:dyDescent="0.25">
      <c r="B4187" s="114" t="s">
        <v>1073</v>
      </c>
      <c r="D4187" s="114" t="s">
        <v>7029</v>
      </c>
      <c r="E4187" s="114" t="s">
        <v>7030</v>
      </c>
    </row>
    <row r="4188" spans="1:5" x14ac:dyDescent="0.25">
      <c r="B4188" s="114" t="s">
        <v>1073</v>
      </c>
      <c r="D4188" s="114" t="s">
        <v>1073</v>
      </c>
      <c r="E4188" s="114" t="s">
        <v>7031</v>
      </c>
    </row>
    <row r="4189" spans="1:5" x14ac:dyDescent="0.25">
      <c r="B4189" s="114" t="s">
        <v>1073</v>
      </c>
      <c r="D4189" s="114" t="s">
        <v>7032</v>
      </c>
      <c r="E4189" s="114" t="s">
        <v>7033</v>
      </c>
    </row>
    <row r="4190" spans="1:5" x14ac:dyDescent="0.25">
      <c r="B4190" s="114" t="s">
        <v>1257</v>
      </c>
      <c r="D4190" s="114" t="s">
        <v>1073</v>
      </c>
      <c r="E4190" s="114" t="s">
        <v>7034</v>
      </c>
    </row>
    <row r="4191" spans="1:5" x14ac:dyDescent="0.25">
      <c r="B4191" s="114" t="s">
        <v>1569</v>
      </c>
      <c r="D4191" s="114" t="s">
        <v>1073</v>
      </c>
      <c r="E4191" s="114" t="s">
        <v>7035</v>
      </c>
    </row>
    <row r="4192" spans="1:5" x14ac:dyDescent="0.25">
      <c r="A4192" s="114">
        <v>-20</v>
      </c>
      <c r="B4192" s="114" t="s">
        <v>1872</v>
      </c>
      <c r="C4192" s="114" t="s">
        <v>1072</v>
      </c>
      <c r="D4192" s="114" t="s">
        <v>7036</v>
      </c>
      <c r="E4192" s="114" t="s">
        <v>7037</v>
      </c>
    </row>
    <row r="4193" spans="1:5" x14ac:dyDescent="0.25">
      <c r="B4193" s="114" t="s">
        <v>1073</v>
      </c>
      <c r="D4193" s="114">
        <f>-517   -958</f>
        <v>-1475</v>
      </c>
      <c r="E4193" s="114" t="s">
        <v>7038</v>
      </c>
    </row>
    <row r="4194" spans="1:5" x14ac:dyDescent="0.25">
      <c r="B4194" s="114" t="s">
        <v>2576</v>
      </c>
      <c r="D4194" s="114" t="s">
        <v>1073</v>
      </c>
      <c r="E4194" s="114" t="s">
        <v>7039</v>
      </c>
    </row>
    <row r="4195" spans="1:5" x14ac:dyDescent="0.25">
      <c r="A4195" s="114">
        <v>-4</v>
      </c>
      <c r="B4195" s="114" t="s">
        <v>2577</v>
      </c>
      <c r="D4195" s="114" t="s">
        <v>7040</v>
      </c>
      <c r="E4195" s="114" t="s">
        <v>7041</v>
      </c>
    </row>
    <row r="4196" spans="1:5" x14ac:dyDescent="0.25">
      <c r="B4196" s="114">
        <f>-94  -1088</f>
        <v>-1182</v>
      </c>
      <c r="D4196" s="114" t="s">
        <v>7042</v>
      </c>
      <c r="E4196" s="114" t="s">
        <v>7043</v>
      </c>
    </row>
    <row r="4197" spans="1:5" x14ac:dyDescent="0.25">
      <c r="B4197" s="114" t="s">
        <v>2578</v>
      </c>
      <c r="D4197" s="114" t="s">
        <v>1073</v>
      </c>
      <c r="E4197" s="114" t="s">
        <v>7044</v>
      </c>
    </row>
    <row r="4198" spans="1:5" x14ac:dyDescent="0.25">
      <c r="A4198" s="114">
        <v>-4</v>
      </c>
      <c r="B4198" s="114" t="s">
        <v>2579</v>
      </c>
      <c r="D4198" s="114" t="s">
        <v>7045</v>
      </c>
      <c r="E4198" s="114" t="s">
        <v>7046</v>
      </c>
    </row>
    <row r="4199" spans="1:5" x14ac:dyDescent="0.25">
      <c r="B4199" s="114" t="s">
        <v>2580</v>
      </c>
      <c r="D4199" s="114" t="s">
        <v>7047</v>
      </c>
      <c r="E4199" s="114" t="s">
        <v>7048</v>
      </c>
    </row>
    <row r="4200" spans="1:5" x14ac:dyDescent="0.25">
      <c r="B4200" s="114">
        <f>-67   -366</f>
        <v>-433</v>
      </c>
      <c r="D4200" s="114" t="s">
        <v>1073</v>
      </c>
      <c r="E4200" s="114" t="s">
        <v>7049</v>
      </c>
    </row>
    <row r="4201" spans="1:5" x14ac:dyDescent="0.25">
      <c r="A4201" s="114">
        <v>-5</v>
      </c>
      <c r="B4201" s="114" t="s">
        <v>2581</v>
      </c>
      <c r="D4201" s="114" t="s">
        <v>1073</v>
      </c>
      <c r="E4201" s="114" t="s">
        <v>7050</v>
      </c>
    </row>
    <row r="4202" spans="1:5" x14ac:dyDescent="0.25">
      <c r="B4202" s="114" t="s">
        <v>2582</v>
      </c>
      <c r="D4202" s="114" t="s">
        <v>5231</v>
      </c>
      <c r="E4202" s="114" t="s">
        <v>7051</v>
      </c>
    </row>
    <row r="4203" spans="1:5" x14ac:dyDescent="0.25">
      <c r="B4203" s="114" t="s">
        <v>1073</v>
      </c>
      <c r="D4203" s="114" t="s">
        <v>1073</v>
      </c>
      <c r="E4203" s="114" t="s">
        <v>7052</v>
      </c>
    </row>
    <row r="4204" spans="1:5" x14ac:dyDescent="0.25">
      <c r="A4204" s="114">
        <v>2</v>
      </c>
      <c r="B4204" s="114" t="s">
        <v>1089</v>
      </c>
      <c r="D4204" s="114" t="s">
        <v>1073</v>
      </c>
      <c r="E4204" s="114" t="s">
        <v>7053</v>
      </c>
    </row>
    <row r="4205" spans="1:5" x14ac:dyDescent="0.25">
      <c r="A4205" s="114">
        <v>-2</v>
      </c>
      <c r="B4205" s="114" t="s">
        <v>2583</v>
      </c>
      <c r="C4205" s="114" t="s">
        <v>1072</v>
      </c>
      <c r="D4205" s="114" t="s">
        <v>7054</v>
      </c>
      <c r="E4205" s="114" t="s">
        <v>7055</v>
      </c>
    </row>
    <row r="4206" spans="1:5" x14ac:dyDescent="0.25">
      <c r="B4206" s="114" t="s">
        <v>2584</v>
      </c>
      <c r="D4206" s="114" t="s">
        <v>1073</v>
      </c>
      <c r="E4206" s="114" t="s">
        <v>7056</v>
      </c>
    </row>
    <row r="4207" spans="1:5" x14ac:dyDescent="0.25">
      <c r="B4207" s="114" t="s">
        <v>2585</v>
      </c>
      <c r="D4207" s="114" t="s">
        <v>7057</v>
      </c>
      <c r="E4207" s="114" t="s">
        <v>4518</v>
      </c>
    </row>
    <row r="4208" spans="1:5" x14ac:dyDescent="0.25">
      <c r="B4208" s="114" t="s">
        <v>1073</v>
      </c>
      <c r="D4208" s="114" t="s">
        <v>7058</v>
      </c>
      <c r="E4208" s="114" t="s">
        <v>7059</v>
      </c>
    </row>
    <row r="4209" spans="1:5" x14ac:dyDescent="0.25">
      <c r="A4209" s="114">
        <v>-1</v>
      </c>
      <c r="B4209" s="114" t="s">
        <v>1370</v>
      </c>
      <c r="D4209" s="114" t="s">
        <v>7060</v>
      </c>
      <c r="E4209" s="114" t="s">
        <v>7061</v>
      </c>
    </row>
    <row r="4210" spans="1:5" x14ac:dyDescent="0.25">
      <c r="B4210" s="114" t="s">
        <v>2586</v>
      </c>
      <c r="D4210" s="114" t="s">
        <v>1073</v>
      </c>
      <c r="E4210" s="114" t="s">
        <v>3993</v>
      </c>
    </row>
    <row r="4211" spans="1:5" x14ac:dyDescent="0.25">
      <c r="B4211" s="114" t="s">
        <v>1073</v>
      </c>
      <c r="D4211" s="114" t="s">
        <v>1073</v>
      </c>
      <c r="E4211" s="114" t="s">
        <v>7062</v>
      </c>
    </row>
    <row r="4212" spans="1:5" x14ac:dyDescent="0.25">
      <c r="B4212" s="114" t="s">
        <v>1201</v>
      </c>
      <c r="D4212" s="114" t="s">
        <v>7063</v>
      </c>
      <c r="E4212" s="114" t="s">
        <v>7064</v>
      </c>
    </row>
    <row r="4213" spans="1:5" x14ac:dyDescent="0.25">
      <c r="B4213" s="114" t="s">
        <v>1073</v>
      </c>
      <c r="D4213" s="114" t="s">
        <v>7065</v>
      </c>
      <c r="E4213" s="114" t="s">
        <v>7066</v>
      </c>
    </row>
    <row r="4214" spans="1:5" x14ac:dyDescent="0.25">
      <c r="A4214" s="114">
        <v>14</v>
      </c>
      <c r="B4214" s="114" t="s">
        <v>2587</v>
      </c>
      <c r="C4214" s="114">
        <v>1</v>
      </c>
      <c r="D4214" s="114" t="s">
        <v>7067</v>
      </c>
      <c r="E4214" s="114" t="s">
        <v>7068</v>
      </c>
    </row>
    <row r="4215" spans="1:5" x14ac:dyDescent="0.25">
      <c r="B4215" s="114" t="s">
        <v>2588</v>
      </c>
      <c r="D4215" s="114" t="s">
        <v>1073</v>
      </c>
      <c r="E4215" s="114" t="s">
        <v>7069</v>
      </c>
    </row>
    <row r="4216" spans="1:5" x14ac:dyDescent="0.25">
      <c r="B4216" s="114" t="s">
        <v>1073</v>
      </c>
      <c r="D4216" s="114" t="s">
        <v>1073</v>
      </c>
      <c r="E4216" s="114" t="s">
        <v>7070</v>
      </c>
    </row>
    <row r="4217" spans="1:5" x14ac:dyDescent="0.25">
      <c r="B4217" s="114" t="s">
        <v>2589</v>
      </c>
      <c r="D4217" s="114" t="s">
        <v>7071</v>
      </c>
      <c r="E4217" s="114" t="s">
        <v>7072</v>
      </c>
    </row>
    <row r="4218" spans="1:5" x14ac:dyDescent="0.25">
      <c r="B4218" s="114" t="s">
        <v>1073</v>
      </c>
      <c r="D4218" s="114" t="s">
        <v>1260</v>
      </c>
      <c r="E4218" s="114" t="s">
        <v>7073</v>
      </c>
    </row>
    <row r="4219" spans="1:5" x14ac:dyDescent="0.25">
      <c r="B4219" s="114" t="s">
        <v>1073</v>
      </c>
      <c r="D4219" s="114" t="s">
        <v>1073</v>
      </c>
      <c r="E4219" s="114" t="s">
        <v>7074</v>
      </c>
    </row>
    <row r="4220" spans="1:5" x14ac:dyDescent="0.25">
      <c r="B4220" s="114" t="s">
        <v>1073</v>
      </c>
      <c r="D4220" s="114" t="s">
        <v>7075</v>
      </c>
      <c r="E4220" s="114" t="s">
        <v>7076</v>
      </c>
    </row>
    <row r="4221" spans="1:5" x14ac:dyDescent="0.25">
      <c r="B4221" s="114" t="s">
        <v>1319</v>
      </c>
      <c r="D4221" s="114">
        <f>-292   -760    -5</f>
        <v>-1057</v>
      </c>
      <c r="E4221" s="114" t="s">
        <v>7077</v>
      </c>
    </row>
    <row r="4222" spans="1:5" x14ac:dyDescent="0.25">
      <c r="B4222" s="114" t="s">
        <v>1073</v>
      </c>
      <c r="D4222" s="114" t="s">
        <v>7078</v>
      </c>
      <c r="E4222" s="114" t="s">
        <v>7079</v>
      </c>
    </row>
    <row r="4223" spans="1:5" x14ac:dyDescent="0.25">
      <c r="A4223" s="114">
        <v>26</v>
      </c>
      <c r="B4223" s="114" t="s">
        <v>1114</v>
      </c>
      <c r="C4223" s="114">
        <v>1</v>
      </c>
      <c r="D4223" s="114" t="s">
        <v>7080</v>
      </c>
      <c r="E4223" s="114" t="s">
        <v>7081</v>
      </c>
    </row>
    <row r="4224" spans="1:5" x14ac:dyDescent="0.25">
      <c r="B4224" s="114" t="s">
        <v>1073</v>
      </c>
      <c r="D4224" s="114" t="s">
        <v>7082</v>
      </c>
      <c r="E4224" s="114" t="s">
        <v>7083</v>
      </c>
    </row>
    <row r="4225" spans="1:5" x14ac:dyDescent="0.25">
      <c r="B4225" s="114" t="s">
        <v>1073</v>
      </c>
      <c r="D4225" s="114" t="s">
        <v>7084</v>
      </c>
      <c r="E4225" s="114" t="s">
        <v>7085</v>
      </c>
    </row>
    <row r="4226" spans="1:5" x14ac:dyDescent="0.25">
      <c r="A4226" s="114">
        <v>-1</v>
      </c>
      <c r="B4226" s="114" t="s">
        <v>2590</v>
      </c>
      <c r="D4226" s="114">
        <f>-159   -320</f>
        <v>-479</v>
      </c>
      <c r="E4226" s="114" t="s">
        <v>7086</v>
      </c>
    </row>
    <row r="4227" spans="1:5" x14ac:dyDescent="0.25">
      <c r="B4227" s="114" t="s">
        <v>2591</v>
      </c>
      <c r="D4227" s="114" t="s">
        <v>4370</v>
      </c>
      <c r="E4227" s="114" t="s">
        <v>7087</v>
      </c>
    </row>
    <row r="4228" spans="1:5" x14ac:dyDescent="0.25">
      <c r="B4228" s="114" t="s">
        <v>1073</v>
      </c>
      <c r="D4228" s="114" t="s">
        <v>7088</v>
      </c>
      <c r="E4228" s="114" t="s">
        <v>7089</v>
      </c>
    </row>
    <row r="4229" spans="1:5" x14ac:dyDescent="0.25">
      <c r="B4229" s="114" t="s">
        <v>1073</v>
      </c>
      <c r="D4229" s="114" t="s">
        <v>7090</v>
      </c>
      <c r="E4229" s="114" t="s">
        <v>7091</v>
      </c>
    </row>
    <row r="4230" spans="1:5" x14ac:dyDescent="0.25">
      <c r="B4230" s="114" t="s">
        <v>1147</v>
      </c>
      <c r="D4230" s="114" t="s">
        <v>6294</v>
      </c>
      <c r="E4230" s="114" t="s">
        <v>7092</v>
      </c>
    </row>
    <row r="4231" spans="1:5" x14ac:dyDescent="0.25">
      <c r="B4231" s="114" t="s">
        <v>1073</v>
      </c>
      <c r="D4231" s="114" t="s">
        <v>7093</v>
      </c>
      <c r="E4231" s="114" t="s">
        <v>7094</v>
      </c>
    </row>
    <row r="4232" spans="1:5" x14ac:dyDescent="0.25">
      <c r="B4232" s="114" t="s">
        <v>1073</v>
      </c>
      <c r="D4232" s="114" t="s">
        <v>7095</v>
      </c>
      <c r="E4232" s="114" t="s">
        <v>7096</v>
      </c>
    </row>
    <row r="4233" spans="1:5" x14ac:dyDescent="0.25">
      <c r="B4233" s="114" t="s">
        <v>1073</v>
      </c>
      <c r="D4233" s="114" t="s">
        <v>7097</v>
      </c>
      <c r="E4233" s="114" t="s">
        <v>7098</v>
      </c>
    </row>
    <row r="4234" spans="1:5" x14ac:dyDescent="0.25">
      <c r="B4234" s="114" t="s">
        <v>1073</v>
      </c>
      <c r="D4234" s="114" t="s">
        <v>7099</v>
      </c>
      <c r="E4234" s="114" t="s">
        <v>7100</v>
      </c>
    </row>
    <row r="4235" spans="1:5" x14ac:dyDescent="0.25">
      <c r="A4235" s="114">
        <v>-2</v>
      </c>
      <c r="B4235" s="114" t="s">
        <v>2592</v>
      </c>
      <c r="D4235" s="114" t="s">
        <v>1073</v>
      </c>
      <c r="E4235" s="114" t="s">
        <v>7101</v>
      </c>
    </row>
    <row r="4236" spans="1:5" x14ac:dyDescent="0.25">
      <c r="A4236" s="114" t="s">
        <v>1072</v>
      </c>
      <c r="B4236" s="114" t="s">
        <v>2593</v>
      </c>
      <c r="D4236" s="114" t="s">
        <v>7102</v>
      </c>
      <c r="E4236" s="114" t="s">
        <v>7103</v>
      </c>
    </row>
    <row r="4237" spans="1:5" x14ac:dyDescent="0.25">
      <c r="B4237" s="114" t="s">
        <v>1510</v>
      </c>
      <c r="D4237" s="114" t="s">
        <v>1073</v>
      </c>
      <c r="E4237" s="114" t="s">
        <v>7104</v>
      </c>
    </row>
    <row r="4238" spans="1:5" x14ac:dyDescent="0.25">
      <c r="B4238" s="114" t="s">
        <v>1073</v>
      </c>
      <c r="D4238" s="114" t="s">
        <v>1073</v>
      </c>
      <c r="E4238" s="114" t="s">
        <v>3993</v>
      </c>
    </row>
    <row r="4239" spans="1:5" x14ac:dyDescent="0.25">
      <c r="B4239" s="114" t="s">
        <v>1073</v>
      </c>
      <c r="D4239" s="114" t="s">
        <v>1648</v>
      </c>
      <c r="E4239" s="114" t="s">
        <v>7105</v>
      </c>
    </row>
    <row r="4240" spans="1:5" x14ac:dyDescent="0.25">
      <c r="B4240" s="114" t="s">
        <v>2594</v>
      </c>
      <c r="C4240" s="114">
        <v>4</v>
      </c>
      <c r="D4240" s="114" t="s">
        <v>7106</v>
      </c>
      <c r="E4240" s="114" t="s">
        <v>7107</v>
      </c>
    </row>
    <row r="4241" spans="1:5" x14ac:dyDescent="0.25">
      <c r="A4241" s="114">
        <v>9</v>
      </c>
      <c r="B4241" s="114" t="s">
        <v>2595</v>
      </c>
      <c r="C4241" s="114">
        <v>1</v>
      </c>
      <c r="D4241" s="114" t="s">
        <v>7108</v>
      </c>
      <c r="E4241" s="114" t="s">
        <v>7109</v>
      </c>
    </row>
    <row r="4242" spans="1:5" x14ac:dyDescent="0.25">
      <c r="A4242" s="114">
        <v>9</v>
      </c>
      <c r="B4242" s="114" t="s">
        <v>2596</v>
      </c>
      <c r="D4242" s="114" t="s">
        <v>7110</v>
      </c>
      <c r="E4242" s="114" t="s">
        <v>7111</v>
      </c>
    </row>
    <row r="4243" spans="1:5" x14ac:dyDescent="0.25">
      <c r="B4243" s="114" t="s">
        <v>1073</v>
      </c>
      <c r="D4243" s="114" t="s">
        <v>7112</v>
      </c>
      <c r="E4243" s="114" t="s">
        <v>4014</v>
      </c>
    </row>
    <row r="4244" spans="1:5" x14ac:dyDescent="0.25">
      <c r="B4244" s="114" t="s">
        <v>1073</v>
      </c>
      <c r="D4244" s="114" t="s">
        <v>7113</v>
      </c>
      <c r="E4244" s="114" t="s">
        <v>7114</v>
      </c>
    </row>
    <row r="4245" spans="1:5" x14ac:dyDescent="0.25">
      <c r="A4245" s="114" t="s">
        <v>1072</v>
      </c>
      <c r="B4245" s="114" t="s">
        <v>2597</v>
      </c>
      <c r="D4245" s="114" t="s">
        <v>7115</v>
      </c>
      <c r="E4245" s="114" t="s">
        <v>7116</v>
      </c>
    </row>
    <row r="4246" spans="1:5" x14ac:dyDescent="0.25">
      <c r="B4246" s="114" t="s">
        <v>1146</v>
      </c>
      <c r="D4246" s="114" t="s">
        <v>1073</v>
      </c>
      <c r="E4246" s="114" t="s">
        <v>7117</v>
      </c>
    </row>
    <row r="4247" spans="1:5" x14ac:dyDescent="0.25">
      <c r="B4247" s="114" t="s">
        <v>1073</v>
      </c>
      <c r="D4247" s="114" t="s">
        <v>7118</v>
      </c>
      <c r="E4247" s="114" t="s">
        <v>7119</v>
      </c>
    </row>
    <row r="4248" spans="1:5" x14ac:dyDescent="0.25">
      <c r="B4248" s="114" t="s">
        <v>1073</v>
      </c>
      <c r="D4248" s="114" t="s">
        <v>7120</v>
      </c>
      <c r="E4248" s="114" t="s">
        <v>7121</v>
      </c>
    </row>
    <row r="4249" spans="1:5" x14ac:dyDescent="0.25">
      <c r="B4249" s="114" t="s">
        <v>2598</v>
      </c>
      <c r="D4249" s="114" t="s">
        <v>7122</v>
      </c>
      <c r="E4249" s="114" t="s">
        <v>7123</v>
      </c>
    </row>
    <row r="4250" spans="1:5" x14ac:dyDescent="0.25">
      <c r="B4250" s="114" t="s">
        <v>1441</v>
      </c>
      <c r="D4250" s="114" t="s">
        <v>7124</v>
      </c>
      <c r="E4250" s="114" t="s">
        <v>7125</v>
      </c>
    </row>
    <row r="4251" spans="1:5" x14ac:dyDescent="0.25">
      <c r="A4251" s="114">
        <v>1</v>
      </c>
      <c r="B4251" s="114" t="s">
        <v>2599</v>
      </c>
      <c r="D4251" s="114" t="s">
        <v>7126</v>
      </c>
      <c r="E4251" s="114" t="s">
        <v>7127</v>
      </c>
    </row>
    <row r="4252" spans="1:5" x14ac:dyDescent="0.25">
      <c r="B4252" s="114" t="s">
        <v>2600</v>
      </c>
      <c r="D4252" s="114" t="s">
        <v>7128</v>
      </c>
      <c r="E4252" s="114" t="s">
        <v>7129</v>
      </c>
    </row>
    <row r="4253" spans="1:5" x14ac:dyDescent="0.25">
      <c r="B4253" s="114" t="s">
        <v>2601</v>
      </c>
      <c r="D4253" s="114" t="s">
        <v>7130</v>
      </c>
      <c r="E4253" s="114" t="s">
        <v>7131</v>
      </c>
    </row>
    <row r="4254" spans="1:5" x14ac:dyDescent="0.25">
      <c r="A4254" s="114" t="s">
        <v>1072</v>
      </c>
      <c r="B4254" s="114" t="s">
        <v>2602</v>
      </c>
      <c r="D4254" s="114" t="s">
        <v>2684</v>
      </c>
      <c r="E4254" s="114" t="s">
        <v>7132</v>
      </c>
    </row>
    <row r="4255" spans="1:5" x14ac:dyDescent="0.25">
      <c r="B4255" s="114" t="s">
        <v>1073</v>
      </c>
      <c r="D4255" s="114" t="s">
        <v>7133</v>
      </c>
      <c r="E4255" s="114" t="s">
        <v>7134</v>
      </c>
    </row>
    <row r="4256" spans="1:5" x14ac:dyDescent="0.25">
      <c r="B4256" s="114" t="s">
        <v>2603</v>
      </c>
      <c r="D4256" s="114" t="s">
        <v>7135</v>
      </c>
      <c r="E4256" s="114" t="s">
        <v>7136</v>
      </c>
    </row>
    <row r="4257" spans="1:5" x14ac:dyDescent="0.25">
      <c r="B4257" s="114" t="s">
        <v>2604</v>
      </c>
      <c r="D4257" s="114" t="s">
        <v>7137</v>
      </c>
      <c r="E4257" s="114" t="s">
        <v>7138</v>
      </c>
    </row>
    <row r="4258" spans="1:5" x14ac:dyDescent="0.25">
      <c r="B4258" s="114" t="s">
        <v>1228</v>
      </c>
      <c r="D4258" s="114" t="s">
        <v>1316</v>
      </c>
      <c r="E4258" s="114" t="s">
        <v>3993</v>
      </c>
    </row>
    <row r="4259" spans="1:5" x14ac:dyDescent="0.25">
      <c r="B4259" s="114" t="s">
        <v>2605</v>
      </c>
      <c r="D4259" s="114" t="s">
        <v>7139</v>
      </c>
      <c r="E4259" s="114" t="s">
        <v>7140</v>
      </c>
    </row>
    <row r="4260" spans="1:5" x14ac:dyDescent="0.25">
      <c r="B4260" s="114" t="s">
        <v>2606</v>
      </c>
      <c r="C4260" s="114" t="s">
        <v>1072</v>
      </c>
      <c r="D4260" s="114" t="s">
        <v>7141</v>
      </c>
      <c r="E4260" s="114" t="s">
        <v>7142</v>
      </c>
    </row>
    <row r="4261" spans="1:5" x14ac:dyDescent="0.25">
      <c r="B4261" s="114" t="s">
        <v>1352</v>
      </c>
      <c r="D4261" s="114" t="s">
        <v>1219</v>
      </c>
      <c r="E4261" s="114" t="s">
        <v>7143</v>
      </c>
    </row>
    <row r="4262" spans="1:5" x14ac:dyDescent="0.25">
      <c r="B4262" s="114" t="s">
        <v>2607</v>
      </c>
      <c r="D4262" s="114" t="s">
        <v>7144</v>
      </c>
      <c r="E4262" s="114" t="s">
        <v>7145</v>
      </c>
    </row>
    <row r="4263" spans="1:5" x14ac:dyDescent="0.25">
      <c r="B4263" s="114" t="s">
        <v>1073</v>
      </c>
      <c r="D4263" s="114" t="s">
        <v>1073</v>
      </c>
      <c r="E4263" s="114" t="s">
        <v>7146</v>
      </c>
    </row>
    <row r="4264" spans="1:5" x14ac:dyDescent="0.25">
      <c r="A4264" s="114">
        <v>1</v>
      </c>
      <c r="B4264" s="114" t="s">
        <v>2608</v>
      </c>
      <c r="D4264" s="114" t="s">
        <v>7147</v>
      </c>
      <c r="E4264" s="114" t="s">
        <v>7148</v>
      </c>
    </row>
    <row r="4265" spans="1:5" x14ac:dyDescent="0.25">
      <c r="B4265" s="114" t="s">
        <v>1073</v>
      </c>
      <c r="D4265" s="114" t="s">
        <v>7149</v>
      </c>
      <c r="E4265" s="114" t="s">
        <v>7150</v>
      </c>
    </row>
    <row r="4266" spans="1:5" x14ac:dyDescent="0.25">
      <c r="B4266" s="114" t="s">
        <v>1073</v>
      </c>
      <c r="D4266" s="114" t="s">
        <v>1073</v>
      </c>
      <c r="E4266" s="114" t="s">
        <v>3993</v>
      </c>
    </row>
    <row r="4267" spans="1:5" x14ac:dyDescent="0.25">
      <c r="B4267" s="114" t="s">
        <v>2609</v>
      </c>
      <c r="D4267" s="114" t="s">
        <v>1073</v>
      </c>
      <c r="E4267" s="114" t="s">
        <v>7151</v>
      </c>
    </row>
    <row r="4268" spans="1:5" x14ac:dyDescent="0.25">
      <c r="A4268" s="114">
        <v>19</v>
      </c>
      <c r="B4268" s="114" t="s">
        <v>2610</v>
      </c>
      <c r="C4268" s="114">
        <v>2</v>
      </c>
      <c r="D4268" s="114" t="s">
        <v>7152</v>
      </c>
      <c r="E4268" s="114" t="s">
        <v>7153</v>
      </c>
    </row>
    <row r="4269" spans="1:5" x14ac:dyDescent="0.25">
      <c r="A4269" s="114">
        <v>37</v>
      </c>
      <c r="B4269" s="114" t="s">
        <v>2611</v>
      </c>
      <c r="D4269" s="114" t="s">
        <v>7154</v>
      </c>
      <c r="E4269" s="114" t="s">
        <v>7155</v>
      </c>
    </row>
    <row r="4270" spans="1:5" x14ac:dyDescent="0.25">
      <c r="A4270" s="114" t="s">
        <v>1072</v>
      </c>
      <c r="B4270" s="114" t="s">
        <v>2612</v>
      </c>
      <c r="D4270" s="114" t="s">
        <v>7156</v>
      </c>
      <c r="E4270" s="114" t="s">
        <v>7157</v>
      </c>
    </row>
    <row r="4271" spans="1:5" x14ac:dyDescent="0.25">
      <c r="B4271" s="114" t="s">
        <v>1073</v>
      </c>
      <c r="D4271" s="114" t="s">
        <v>7158</v>
      </c>
      <c r="E4271" s="114" t="s">
        <v>3993</v>
      </c>
    </row>
    <row r="4272" spans="1:5" x14ac:dyDescent="0.25">
      <c r="B4272" s="114" t="s">
        <v>1073</v>
      </c>
      <c r="D4272" s="114">
        <f>-92   -205</f>
        <v>-297</v>
      </c>
      <c r="E4272" s="114" t="s">
        <v>7159</v>
      </c>
    </row>
    <row r="4273" spans="1:5" x14ac:dyDescent="0.25">
      <c r="A4273" s="114" t="s">
        <v>1072</v>
      </c>
      <c r="B4273" s="114" t="s">
        <v>2613</v>
      </c>
      <c r="D4273" s="114" t="s">
        <v>1073</v>
      </c>
      <c r="E4273" s="114" t="s">
        <v>7160</v>
      </c>
    </row>
    <row r="4274" spans="1:5" x14ac:dyDescent="0.25">
      <c r="B4274" s="114" t="s">
        <v>1073</v>
      </c>
      <c r="D4274" s="114" t="s">
        <v>1073</v>
      </c>
      <c r="E4274" s="114" t="s">
        <v>6991</v>
      </c>
    </row>
    <row r="4275" spans="1:5" x14ac:dyDescent="0.25">
      <c r="B4275" s="114" t="s">
        <v>1073</v>
      </c>
      <c r="D4275" s="114" t="s">
        <v>7161</v>
      </c>
      <c r="E4275" s="114" t="s">
        <v>7162</v>
      </c>
    </row>
    <row r="4276" spans="1:5" x14ac:dyDescent="0.25">
      <c r="B4276" s="114" t="s">
        <v>2614</v>
      </c>
      <c r="D4276" s="114" t="s">
        <v>7163</v>
      </c>
      <c r="E4276" s="114" t="s">
        <v>7164</v>
      </c>
    </row>
    <row r="4277" spans="1:5" x14ac:dyDescent="0.25">
      <c r="A4277" s="114" t="s">
        <v>1072</v>
      </c>
      <c r="B4277" s="114" t="s">
        <v>2615</v>
      </c>
      <c r="D4277" s="114" t="s">
        <v>7165</v>
      </c>
      <c r="E4277" s="114" t="s">
        <v>7166</v>
      </c>
    </row>
    <row r="4278" spans="1:5" x14ac:dyDescent="0.25">
      <c r="B4278" s="114" t="s">
        <v>2616</v>
      </c>
      <c r="D4278" s="114" t="s">
        <v>7167</v>
      </c>
      <c r="E4278" s="114" t="s">
        <v>7168</v>
      </c>
    </row>
    <row r="4279" spans="1:5" x14ac:dyDescent="0.25">
      <c r="B4279" s="114" t="s">
        <v>2617</v>
      </c>
      <c r="D4279" s="114" t="s">
        <v>7169</v>
      </c>
      <c r="E4279" s="114" t="s">
        <v>7170</v>
      </c>
    </row>
    <row r="4280" spans="1:5" x14ac:dyDescent="0.25">
      <c r="B4280" s="114" t="s">
        <v>2618</v>
      </c>
      <c r="D4280" s="114" t="s">
        <v>7171</v>
      </c>
      <c r="E4280" s="114" t="s">
        <v>7172</v>
      </c>
    </row>
    <row r="4281" spans="1:5" x14ac:dyDescent="0.25">
      <c r="A4281" s="114" t="s">
        <v>1072</v>
      </c>
      <c r="B4281" s="114" t="s">
        <v>2619</v>
      </c>
      <c r="D4281" s="114" t="s">
        <v>7173</v>
      </c>
      <c r="E4281" s="114" t="s">
        <v>7174</v>
      </c>
    </row>
    <row r="4282" spans="1:5" x14ac:dyDescent="0.25">
      <c r="A4282" s="114" t="s">
        <v>1072</v>
      </c>
      <c r="B4282" s="114" t="s">
        <v>2620</v>
      </c>
      <c r="D4282" s="114" t="s">
        <v>1395</v>
      </c>
      <c r="E4282" s="114" t="s">
        <v>7175</v>
      </c>
    </row>
    <row r="4283" spans="1:5" x14ac:dyDescent="0.25">
      <c r="B4283" s="114" t="s">
        <v>1224</v>
      </c>
      <c r="D4283" s="114" t="s">
        <v>7176</v>
      </c>
      <c r="E4283" s="114" t="s">
        <v>7177</v>
      </c>
    </row>
    <row r="4284" spans="1:5" x14ac:dyDescent="0.25">
      <c r="B4284" s="114" t="s">
        <v>2621</v>
      </c>
      <c r="D4284" s="114" t="s">
        <v>7178</v>
      </c>
      <c r="E4284" s="114" t="s">
        <v>7179</v>
      </c>
    </row>
    <row r="4285" spans="1:5" x14ac:dyDescent="0.25">
      <c r="A4285" s="114">
        <v>-1</v>
      </c>
      <c r="B4285" s="114" t="s">
        <v>2622</v>
      </c>
      <c r="C4285" s="114" t="s">
        <v>1072</v>
      </c>
      <c r="D4285" s="114" t="s">
        <v>7180</v>
      </c>
      <c r="E4285" s="114" t="s">
        <v>7181</v>
      </c>
    </row>
    <row r="4286" spans="1:5" x14ac:dyDescent="0.25">
      <c r="B4286" s="114" t="s">
        <v>1099</v>
      </c>
      <c r="D4286" s="114" t="s">
        <v>4231</v>
      </c>
      <c r="E4286" s="114" t="s">
        <v>3993</v>
      </c>
    </row>
    <row r="4287" spans="1:5" x14ac:dyDescent="0.25">
      <c r="B4287" s="114" t="s">
        <v>2623</v>
      </c>
      <c r="D4287" s="114" t="s">
        <v>7182</v>
      </c>
      <c r="E4287" s="114" t="s">
        <v>4014</v>
      </c>
    </row>
    <row r="4288" spans="1:5" x14ac:dyDescent="0.25">
      <c r="A4288" s="114">
        <v>-3</v>
      </c>
      <c r="B4288" s="114" t="s">
        <v>2624</v>
      </c>
      <c r="C4288" s="114" t="s">
        <v>1072</v>
      </c>
      <c r="D4288" s="114" t="s">
        <v>7183</v>
      </c>
      <c r="E4288" s="114" t="s">
        <v>7184</v>
      </c>
    </row>
    <row r="4289" spans="1:5" x14ac:dyDescent="0.25">
      <c r="A4289" s="114" t="s">
        <v>1072</v>
      </c>
      <c r="B4289" s="114" t="s">
        <v>1400</v>
      </c>
      <c r="D4289" s="114" t="s">
        <v>7185</v>
      </c>
      <c r="E4289" s="114" t="s">
        <v>7186</v>
      </c>
    </row>
    <row r="4290" spans="1:5" x14ac:dyDescent="0.25">
      <c r="A4290" s="114" t="s">
        <v>1072</v>
      </c>
      <c r="B4290" s="114" t="s">
        <v>2625</v>
      </c>
      <c r="C4290" s="114" t="s">
        <v>1072</v>
      </c>
      <c r="D4290" s="114" t="s">
        <v>7187</v>
      </c>
      <c r="E4290" s="114" t="s">
        <v>7188</v>
      </c>
    </row>
    <row r="4291" spans="1:5" x14ac:dyDescent="0.25">
      <c r="B4291" s="114" t="s">
        <v>1073</v>
      </c>
      <c r="D4291" s="114" t="s">
        <v>1073</v>
      </c>
      <c r="E4291" s="114" t="s">
        <v>7189</v>
      </c>
    </row>
    <row r="4292" spans="1:5" x14ac:dyDescent="0.25">
      <c r="B4292" s="114" t="s">
        <v>2626</v>
      </c>
      <c r="D4292" s="114" t="s">
        <v>7190</v>
      </c>
      <c r="E4292" s="114" t="s">
        <v>7191</v>
      </c>
    </row>
    <row r="4293" spans="1:5" x14ac:dyDescent="0.25">
      <c r="B4293" s="114" t="s">
        <v>1073</v>
      </c>
      <c r="D4293" s="114" t="s">
        <v>7192</v>
      </c>
      <c r="E4293" s="114" t="s">
        <v>4088</v>
      </c>
    </row>
    <row r="4294" spans="1:5" x14ac:dyDescent="0.25">
      <c r="B4294" s="114" t="s">
        <v>1073</v>
      </c>
      <c r="D4294" s="114" t="s">
        <v>1073</v>
      </c>
      <c r="E4294" s="114" t="s">
        <v>3993</v>
      </c>
    </row>
    <row r="4295" spans="1:5" x14ac:dyDescent="0.25">
      <c r="A4295" s="114" t="s">
        <v>1072</v>
      </c>
      <c r="B4295" s="114" t="s">
        <v>1074</v>
      </c>
      <c r="D4295" s="114" t="s">
        <v>1073</v>
      </c>
      <c r="E4295" s="114" t="s">
        <v>7193</v>
      </c>
    </row>
    <row r="4296" spans="1:5" x14ac:dyDescent="0.25">
      <c r="A4296" s="114">
        <v>19</v>
      </c>
      <c r="B4296" s="114" t="s">
        <v>2627</v>
      </c>
      <c r="D4296" s="114" t="s">
        <v>7194</v>
      </c>
      <c r="E4296" s="114" t="s">
        <v>7195</v>
      </c>
    </row>
    <row r="4297" spans="1:5" x14ac:dyDescent="0.25">
      <c r="A4297" s="114">
        <v>39</v>
      </c>
      <c r="B4297" s="114" t="s">
        <v>2628</v>
      </c>
      <c r="D4297" s="114" t="s">
        <v>7196</v>
      </c>
      <c r="E4297" s="114" t="s">
        <v>7197</v>
      </c>
    </row>
    <row r="4298" spans="1:5" x14ac:dyDescent="0.25">
      <c r="B4298" s="114" t="s">
        <v>2629</v>
      </c>
      <c r="D4298" s="114">
        <f>-302   -215</f>
        <v>-517</v>
      </c>
      <c r="E4298" s="114" t="s">
        <v>7198</v>
      </c>
    </row>
    <row r="4299" spans="1:5" x14ac:dyDescent="0.25">
      <c r="B4299" s="114" t="s">
        <v>1073</v>
      </c>
      <c r="D4299" s="114" t="s">
        <v>7199</v>
      </c>
      <c r="E4299" s="114" t="s">
        <v>3993</v>
      </c>
    </row>
    <row r="4300" spans="1:5" x14ac:dyDescent="0.25">
      <c r="B4300" s="114" t="s">
        <v>1073</v>
      </c>
      <c r="D4300" s="114">
        <f>-43   -265</f>
        <v>-308</v>
      </c>
      <c r="E4300" s="114" t="s">
        <v>7200</v>
      </c>
    </row>
    <row r="4301" spans="1:5" x14ac:dyDescent="0.25">
      <c r="A4301" s="114" t="s">
        <v>1072</v>
      </c>
      <c r="B4301" s="114" t="s">
        <v>2630</v>
      </c>
      <c r="D4301" s="114" t="s">
        <v>1073</v>
      </c>
      <c r="E4301" s="114" t="s">
        <v>7201</v>
      </c>
    </row>
    <row r="4302" spans="1:5" x14ac:dyDescent="0.25">
      <c r="B4302" s="114" t="s">
        <v>1073</v>
      </c>
      <c r="D4302" s="114" t="s">
        <v>1073</v>
      </c>
      <c r="E4302" s="114" t="s">
        <v>7202</v>
      </c>
    </row>
    <row r="4303" spans="1:5" x14ac:dyDescent="0.25">
      <c r="B4303" s="114" t="s">
        <v>1073</v>
      </c>
      <c r="D4303" s="114" t="s">
        <v>7203</v>
      </c>
      <c r="E4303" s="114" t="s">
        <v>7204</v>
      </c>
    </row>
    <row r="4304" spans="1:5" x14ac:dyDescent="0.25">
      <c r="B4304" s="114" t="s">
        <v>2631</v>
      </c>
      <c r="D4304" s="114">
        <f>-776   -289</f>
        <v>-1065</v>
      </c>
      <c r="E4304" s="114" t="s">
        <v>7205</v>
      </c>
    </row>
    <row r="4305" spans="1:5" x14ac:dyDescent="0.25">
      <c r="B4305" s="114" t="s">
        <v>2632</v>
      </c>
      <c r="D4305" s="114" t="s">
        <v>7206</v>
      </c>
      <c r="E4305" s="114" t="s">
        <v>7207</v>
      </c>
    </row>
    <row r="4306" spans="1:5" x14ac:dyDescent="0.25">
      <c r="A4306" s="114" t="s">
        <v>1072</v>
      </c>
      <c r="B4306" s="114" t="s">
        <v>2633</v>
      </c>
      <c r="D4306" s="114" t="s">
        <v>7208</v>
      </c>
      <c r="E4306" s="114" t="s">
        <v>7209</v>
      </c>
    </row>
    <row r="4307" spans="1:5" x14ac:dyDescent="0.25">
      <c r="A4307" s="114" t="s">
        <v>1072</v>
      </c>
      <c r="B4307" s="114" t="s">
        <v>2634</v>
      </c>
      <c r="D4307" s="114" t="s">
        <v>7210</v>
      </c>
      <c r="E4307" s="114" t="s">
        <v>7211</v>
      </c>
    </row>
    <row r="4308" spans="1:5" x14ac:dyDescent="0.25">
      <c r="A4308" s="114">
        <v>1</v>
      </c>
      <c r="B4308" s="114" t="s">
        <v>1264</v>
      </c>
      <c r="D4308" s="114" t="s">
        <v>7212</v>
      </c>
      <c r="E4308" s="114" t="s">
        <v>7213</v>
      </c>
    </row>
    <row r="4309" spans="1:5" x14ac:dyDescent="0.25">
      <c r="B4309" s="114" t="s">
        <v>2635</v>
      </c>
      <c r="D4309" s="114" t="s">
        <v>7214</v>
      </c>
      <c r="E4309" s="114" t="s">
        <v>7215</v>
      </c>
    </row>
    <row r="4310" spans="1:5" x14ac:dyDescent="0.25">
      <c r="B4310" s="114" t="s">
        <v>2636</v>
      </c>
      <c r="D4310" s="114" t="s">
        <v>7216</v>
      </c>
      <c r="E4310" s="114" t="s">
        <v>7217</v>
      </c>
    </row>
    <row r="4311" spans="1:5" x14ac:dyDescent="0.25">
      <c r="B4311" s="114" t="s">
        <v>2637</v>
      </c>
      <c r="D4311" s="114" t="s">
        <v>7218</v>
      </c>
      <c r="E4311" s="114" t="s">
        <v>7219</v>
      </c>
    </row>
    <row r="4312" spans="1:5" x14ac:dyDescent="0.25">
      <c r="B4312" s="114" t="s">
        <v>2638</v>
      </c>
      <c r="D4312" s="114" t="s">
        <v>7220</v>
      </c>
      <c r="E4312" s="114" t="s">
        <v>7221</v>
      </c>
    </row>
    <row r="4313" spans="1:5" x14ac:dyDescent="0.25">
      <c r="A4313" s="114" t="s">
        <v>1072</v>
      </c>
      <c r="B4313" s="114" t="s">
        <v>2639</v>
      </c>
      <c r="D4313" s="114" t="s">
        <v>7222</v>
      </c>
      <c r="E4313" s="114" t="s">
        <v>7223</v>
      </c>
    </row>
    <row r="4314" spans="1:5" x14ac:dyDescent="0.25">
      <c r="B4314" s="114" t="s">
        <v>2640</v>
      </c>
      <c r="D4314" s="114" t="s">
        <v>5773</v>
      </c>
      <c r="E4314" s="114" t="s">
        <v>3993</v>
      </c>
    </row>
    <row r="4315" spans="1:5" x14ac:dyDescent="0.25">
      <c r="B4315" s="114" t="s">
        <v>2641</v>
      </c>
      <c r="D4315" s="114" t="s">
        <v>7224</v>
      </c>
      <c r="E4315" s="114" t="s">
        <v>4118</v>
      </c>
    </row>
    <row r="4316" spans="1:5" x14ac:dyDescent="0.25">
      <c r="A4316" s="114">
        <v>-1</v>
      </c>
      <c r="B4316" s="114" t="s">
        <v>2642</v>
      </c>
      <c r="C4316" s="114" t="s">
        <v>1072</v>
      </c>
      <c r="D4316" s="114" t="s">
        <v>7225</v>
      </c>
      <c r="E4316" s="114" t="s">
        <v>7226</v>
      </c>
    </row>
    <row r="4317" spans="1:5" x14ac:dyDescent="0.25">
      <c r="A4317" s="114">
        <v>2</v>
      </c>
      <c r="B4317" s="114" t="s">
        <v>2643</v>
      </c>
      <c r="D4317" s="114" t="s">
        <v>7227</v>
      </c>
      <c r="E4317" s="114" t="s">
        <v>7228</v>
      </c>
    </row>
    <row r="4318" spans="1:5" x14ac:dyDescent="0.25">
      <c r="A4318" s="114" t="s">
        <v>1072</v>
      </c>
      <c r="B4318" s="114" t="s">
        <v>2644</v>
      </c>
      <c r="C4318" s="114" t="s">
        <v>1072</v>
      </c>
      <c r="D4318" s="114" t="s">
        <v>7229</v>
      </c>
      <c r="E4318" s="114" t="s">
        <v>7230</v>
      </c>
    </row>
    <row r="4319" spans="1:5" x14ac:dyDescent="0.25">
      <c r="B4319" s="114" t="s">
        <v>1073</v>
      </c>
      <c r="D4319" s="114" t="s">
        <v>1073</v>
      </c>
      <c r="E4319" s="114" t="s">
        <v>7231</v>
      </c>
    </row>
    <row r="4320" spans="1:5" x14ac:dyDescent="0.25">
      <c r="A4320" s="114">
        <v>-5</v>
      </c>
      <c r="B4320" s="114" t="s">
        <v>2645</v>
      </c>
      <c r="D4320" s="114" t="s">
        <v>7232</v>
      </c>
      <c r="E4320" s="114" t="s">
        <v>7233</v>
      </c>
    </row>
    <row r="4321" spans="1:5" x14ac:dyDescent="0.25">
      <c r="B4321" s="114" t="s">
        <v>1073</v>
      </c>
      <c r="D4321" s="114" t="s">
        <v>7234</v>
      </c>
      <c r="E4321" s="114" t="s">
        <v>3993</v>
      </c>
    </row>
    <row r="4322" spans="1:5" x14ac:dyDescent="0.25">
      <c r="B4322" s="114" t="s">
        <v>1073</v>
      </c>
      <c r="D4322" s="114" t="s">
        <v>1073</v>
      </c>
      <c r="E4322" s="114" t="s">
        <v>3993</v>
      </c>
    </row>
    <row r="4323" spans="1:5" x14ac:dyDescent="0.25">
      <c r="A4323" s="114" t="s">
        <v>1072</v>
      </c>
      <c r="B4323" s="114" t="s">
        <v>1452</v>
      </c>
      <c r="D4323" s="114" t="s">
        <v>1073</v>
      </c>
      <c r="E4323" s="114" t="s">
        <v>7235</v>
      </c>
    </row>
    <row r="4324" spans="1:5" x14ac:dyDescent="0.25">
      <c r="A4324" s="114">
        <v>12</v>
      </c>
      <c r="B4324" s="114" t="s">
        <v>2646</v>
      </c>
      <c r="D4324" s="114" t="s">
        <v>7236</v>
      </c>
      <c r="E4324" s="114" t="s">
        <v>7237</v>
      </c>
    </row>
    <row r="4325" spans="1:5" x14ac:dyDescent="0.25">
      <c r="A4325" s="114">
        <v>10</v>
      </c>
      <c r="B4325" s="114" t="s">
        <v>2647</v>
      </c>
      <c r="D4325" s="114" t="s">
        <v>7238</v>
      </c>
      <c r="E4325" s="114" t="s">
        <v>7239</v>
      </c>
    </row>
    <row r="4326" spans="1:5" x14ac:dyDescent="0.25">
      <c r="A4326" s="114">
        <v>13</v>
      </c>
      <c r="B4326" s="114" t="s">
        <v>2648</v>
      </c>
      <c r="D4326" s="114" t="s">
        <v>7240</v>
      </c>
      <c r="E4326" s="114" t="s">
        <v>7241</v>
      </c>
    </row>
    <row r="4327" spans="1:5" x14ac:dyDescent="0.25">
      <c r="B4327" s="114" t="s">
        <v>1073</v>
      </c>
      <c r="D4327" s="114" t="s">
        <v>7242</v>
      </c>
      <c r="E4327" s="114" t="s">
        <v>4518</v>
      </c>
    </row>
    <row r="4328" spans="1:5" x14ac:dyDescent="0.25">
      <c r="B4328" s="114" t="s">
        <v>1073</v>
      </c>
      <c r="D4328" s="114" t="s">
        <v>7243</v>
      </c>
      <c r="E4328" s="114" t="s">
        <v>7244</v>
      </c>
    </row>
    <row r="4329" spans="1:5" x14ac:dyDescent="0.25">
      <c r="B4329" s="114" t="s">
        <v>2649</v>
      </c>
      <c r="D4329" s="114" t="s">
        <v>1102</v>
      </c>
      <c r="E4329" s="114" t="s">
        <v>4704</v>
      </c>
    </row>
    <row r="4330" spans="1:5" x14ac:dyDescent="0.25">
      <c r="B4330" s="114" t="s">
        <v>1503</v>
      </c>
      <c r="D4330" s="114" t="s">
        <v>1073</v>
      </c>
      <c r="E4330" s="114" t="s">
        <v>7245</v>
      </c>
    </row>
    <row r="4331" spans="1:5" x14ac:dyDescent="0.25">
      <c r="B4331" s="114" t="s">
        <v>1073</v>
      </c>
      <c r="D4331" s="114" t="s">
        <v>7246</v>
      </c>
      <c r="E4331" s="114" t="s">
        <v>7247</v>
      </c>
    </row>
    <row r="4332" spans="1:5" x14ac:dyDescent="0.25">
      <c r="B4332" s="114" t="s">
        <v>1073</v>
      </c>
      <c r="D4332" s="114" t="s">
        <v>7248</v>
      </c>
      <c r="E4332" s="114" t="s">
        <v>7249</v>
      </c>
    </row>
    <row r="4333" spans="1:5" x14ac:dyDescent="0.25">
      <c r="A4333" s="114" t="s">
        <v>1072</v>
      </c>
      <c r="B4333" s="114" t="s">
        <v>2650</v>
      </c>
      <c r="D4333" s="114">
        <f>-25   -220    -1</f>
        <v>-246</v>
      </c>
      <c r="E4333" s="114" t="s">
        <v>7250</v>
      </c>
    </row>
    <row r="4334" spans="1:5" x14ac:dyDescent="0.25">
      <c r="B4334" s="114" t="s">
        <v>2651</v>
      </c>
      <c r="D4334" s="114" t="s">
        <v>7251</v>
      </c>
      <c r="E4334" s="114" t="s">
        <v>7252</v>
      </c>
    </row>
    <row r="4335" spans="1:5" x14ac:dyDescent="0.25">
      <c r="A4335" s="114">
        <v>1</v>
      </c>
      <c r="B4335" s="114" t="s">
        <v>2652</v>
      </c>
      <c r="D4335" s="114">
        <f>-987  -1045    -8</f>
        <v>-2040</v>
      </c>
      <c r="E4335" s="114" t="s">
        <v>7253</v>
      </c>
    </row>
    <row r="4336" spans="1:5" x14ac:dyDescent="0.25">
      <c r="B4336" s="114" t="s">
        <v>2653</v>
      </c>
      <c r="D4336" s="114" t="s">
        <v>7254</v>
      </c>
      <c r="E4336" s="114" t="s">
        <v>7255</v>
      </c>
    </row>
    <row r="4337" spans="1:5" x14ac:dyDescent="0.25">
      <c r="B4337" s="114" t="s">
        <v>1573</v>
      </c>
      <c r="D4337" s="114" t="s">
        <v>7256</v>
      </c>
      <c r="E4337" s="114" t="s">
        <v>7257</v>
      </c>
    </row>
    <row r="4338" spans="1:5" x14ac:dyDescent="0.25">
      <c r="B4338" s="114" t="s">
        <v>2654</v>
      </c>
      <c r="D4338" s="114" t="s">
        <v>7258</v>
      </c>
      <c r="E4338" s="114" t="s">
        <v>7259</v>
      </c>
    </row>
    <row r="4339" spans="1:5" x14ac:dyDescent="0.25">
      <c r="B4339" s="114" t="s">
        <v>1073</v>
      </c>
      <c r="D4339" s="114" t="s">
        <v>7260</v>
      </c>
      <c r="E4339" s="114" t="s">
        <v>7261</v>
      </c>
    </row>
    <row r="4340" spans="1:5" x14ac:dyDescent="0.25">
      <c r="B4340" s="114" t="s">
        <v>1219</v>
      </c>
      <c r="D4340" s="114" t="s">
        <v>7262</v>
      </c>
      <c r="E4340" s="114" t="s">
        <v>7263</v>
      </c>
    </row>
    <row r="4341" spans="1:5" x14ac:dyDescent="0.25">
      <c r="B4341" s="114" t="s">
        <v>2655</v>
      </c>
      <c r="D4341" s="114" t="s">
        <v>7264</v>
      </c>
      <c r="E4341" s="114" t="s">
        <v>7265</v>
      </c>
    </row>
    <row r="4342" spans="1:5" x14ac:dyDescent="0.25">
      <c r="B4342" s="114" t="s">
        <v>1729</v>
      </c>
      <c r="D4342" s="114" t="s">
        <v>1558</v>
      </c>
      <c r="E4342" s="114" t="s">
        <v>3993</v>
      </c>
    </row>
    <row r="4343" spans="1:5" x14ac:dyDescent="0.25">
      <c r="B4343" s="114" t="s">
        <v>2656</v>
      </c>
      <c r="D4343" s="114" t="s">
        <v>7266</v>
      </c>
      <c r="E4343" s="114" t="s">
        <v>7267</v>
      </c>
    </row>
    <row r="4344" spans="1:5" x14ac:dyDescent="0.25">
      <c r="B4344" s="114" t="s">
        <v>2657</v>
      </c>
      <c r="C4344" s="114" t="s">
        <v>1072</v>
      </c>
      <c r="D4344" s="114" t="s">
        <v>7268</v>
      </c>
      <c r="E4344" s="114" t="s">
        <v>7269</v>
      </c>
    </row>
    <row r="4345" spans="1:5" x14ac:dyDescent="0.25">
      <c r="B4345" s="114" t="s">
        <v>2658</v>
      </c>
      <c r="D4345" s="114" t="s">
        <v>1431</v>
      </c>
      <c r="E4345" s="114" t="s">
        <v>7270</v>
      </c>
    </row>
    <row r="4346" spans="1:5" x14ac:dyDescent="0.25">
      <c r="B4346" s="114" t="s">
        <v>2130</v>
      </c>
      <c r="D4346" s="114">
        <f>-138  -5710  -274</f>
        <v>-6122</v>
      </c>
      <c r="E4346" s="114" t="s">
        <v>7271</v>
      </c>
    </row>
    <row r="4347" spans="1:5" x14ac:dyDescent="0.25">
      <c r="B4347" s="114" t="s">
        <v>1073</v>
      </c>
      <c r="D4347" s="114" t="s">
        <v>1073</v>
      </c>
      <c r="E4347" s="114" t="s">
        <v>7272</v>
      </c>
    </row>
    <row r="4348" spans="1:5" x14ac:dyDescent="0.25">
      <c r="B4348" s="114" t="s">
        <v>2659</v>
      </c>
      <c r="D4348" s="114" t="s">
        <v>7273</v>
      </c>
      <c r="E4348" s="114" t="s">
        <v>7274</v>
      </c>
    </row>
    <row r="4349" spans="1:5" x14ac:dyDescent="0.25">
      <c r="B4349" s="114" t="s">
        <v>1073</v>
      </c>
      <c r="D4349" s="114" t="s">
        <v>7149</v>
      </c>
      <c r="E4349" s="114" t="s">
        <v>7275</v>
      </c>
    </row>
    <row r="4350" spans="1:5" x14ac:dyDescent="0.25">
      <c r="B4350" s="114" t="s">
        <v>1073</v>
      </c>
      <c r="D4350" s="114" t="s">
        <v>1073</v>
      </c>
      <c r="E4350" s="114" t="s">
        <v>3993</v>
      </c>
    </row>
    <row r="4351" spans="1:5" x14ac:dyDescent="0.25">
      <c r="B4351" s="114" t="s">
        <v>2660</v>
      </c>
      <c r="D4351" s="114" t="s">
        <v>1073</v>
      </c>
      <c r="E4351" s="114" t="s">
        <v>7276</v>
      </c>
    </row>
    <row r="4352" spans="1:5" x14ac:dyDescent="0.25">
      <c r="A4352" s="114">
        <v>47</v>
      </c>
      <c r="B4352" s="114" t="s">
        <v>2661</v>
      </c>
      <c r="C4352" s="114">
        <v>2</v>
      </c>
      <c r="D4352" s="114" t="s">
        <v>7277</v>
      </c>
      <c r="E4352" s="114" t="s">
        <v>7278</v>
      </c>
    </row>
    <row r="4353" spans="1:5" x14ac:dyDescent="0.25">
      <c r="A4353" s="114">
        <v>14</v>
      </c>
      <c r="B4353" s="114" t="s">
        <v>2662</v>
      </c>
      <c r="D4353" s="114" t="s">
        <v>7279</v>
      </c>
      <c r="E4353" s="114" t="s">
        <v>7280</v>
      </c>
    </row>
    <row r="4354" spans="1:5" x14ac:dyDescent="0.25">
      <c r="A4354" s="114">
        <v>26</v>
      </c>
      <c r="B4354" s="114" t="s">
        <v>2663</v>
      </c>
      <c r="C4354" s="114">
        <v>1</v>
      </c>
      <c r="D4354" s="114" t="s">
        <v>7281</v>
      </c>
      <c r="E4354" s="114" t="s">
        <v>7282</v>
      </c>
    </row>
    <row r="4355" spans="1:5" x14ac:dyDescent="0.25">
      <c r="B4355" s="114" t="s">
        <v>2664</v>
      </c>
      <c r="D4355" s="114" t="s">
        <v>1073</v>
      </c>
      <c r="E4355" s="114" t="s">
        <v>7283</v>
      </c>
    </row>
    <row r="4356" spans="1:5" x14ac:dyDescent="0.25">
      <c r="B4356" s="114" t="s">
        <v>1073</v>
      </c>
      <c r="D4356" s="114" t="s">
        <v>1073</v>
      </c>
      <c r="E4356" s="114" t="s">
        <v>7284</v>
      </c>
    </row>
    <row r="4357" spans="1:5" x14ac:dyDescent="0.25">
      <c r="B4357" s="114" t="s">
        <v>2665</v>
      </c>
      <c r="D4357" s="114" t="s">
        <v>7285</v>
      </c>
      <c r="E4357" s="114" t="s">
        <v>7286</v>
      </c>
    </row>
    <row r="4358" spans="1:5" x14ac:dyDescent="0.25">
      <c r="B4358" s="114" t="s">
        <v>1073</v>
      </c>
      <c r="D4358" s="114" t="s">
        <v>1390</v>
      </c>
      <c r="E4358" s="114" t="s">
        <v>7287</v>
      </c>
    </row>
    <row r="4359" spans="1:5" x14ac:dyDescent="0.25">
      <c r="B4359" s="114" t="s">
        <v>1073</v>
      </c>
      <c r="D4359" s="114" t="s">
        <v>1073</v>
      </c>
      <c r="E4359" s="114" t="s">
        <v>7288</v>
      </c>
    </row>
    <row r="4360" spans="1:5" x14ac:dyDescent="0.25">
      <c r="B4360" s="114" t="s">
        <v>1073</v>
      </c>
      <c r="D4360" s="114" t="s">
        <v>7289</v>
      </c>
      <c r="E4360" s="114" t="s">
        <v>7290</v>
      </c>
    </row>
    <row r="4361" spans="1:5" x14ac:dyDescent="0.25">
      <c r="B4361" s="114" t="s">
        <v>1178</v>
      </c>
      <c r="D4361" s="114" t="s">
        <v>7291</v>
      </c>
      <c r="E4361" s="114" t="s">
        <v>7292</v>
      </c>
    </row>
    <row r="4362" spans="1:5" x14ac:dyDescent="0.25">
      <c r="B4362" s="114" t="s">
        <v>1073</v>
      </c>
      <c r="D4362" s="114" t="s">
        <v>7293</v>
      </c>
      <c r="E4362" s="114" t="s">
        <v>7294</v>
      </c>
    </row>
    <row r="4363" spans="1:5" x14ac:dyDescent="0.25">
      <c r="A4363" s="114">
        <v>-1</v>
      </c>
      <c r="B4363" s="114" t="s">
        <v>1334</v>
      </c>
      <c r="C4363" s="114" t="s">
        <v>1072</v>
      </c>
      <c r="D4363" s="114" t="s">
        <v>7295</v>
      </c>
      <c r="E4363" s="114" t="s">
        <v>7296</v>
      </c>
    </row>
    <row r="4364" spans="1:5" x14ac:dyDescent="0.25">
      <c r="B4364" s="114" t="s">
        <v>1073</v>
      </c>
      <c r="D4364" s="114" t="s">
        <v>7297</v>
      </c>
      <c r="E4364" s="114" t="s">
        <v>7298</v>
      </c>
    </row>
    <row r="4365" spans="1:5" x14ac:dyDescent="0.25">
      <c r="B4365" s="114" t="s">
        <v>1073</v>
      </c>
      <c r="D4365" s="114" t="s">
        <v>7299</v>
      </c>
      <c r="E4365" s="114" t="s">
        <v>7300</v>
      </c>
    </row>
    <row r="4366" spans="1:5" x14ac:dyDescent="0.25">
      <c r="A4366" s="114">
        <v>25</v>
      </c>
      <c r="B4366" s="114" t="s">
        <v>2666</v>
      </c>
      <c r="D4366" s="114" t="s">
        <v>7301</v>
      </c>
      <c r="E4366" s="114" t="s">
        <v>7302</v>
      </c>
    </row>
    <row r="4367" spans="1:5" x14ac:dyDescent="0.25">
      <c r="B4367" s="114" t="s">
        <v>2667</v>
      </c>
      <c r="D4367" s="114" t="s">
        <v>5025</v>
      </c>
      <c r="E4367" s="114" t="s">
        <v>7303</v>
      </c>
    </row>
    <row r="4368" spans="1:5" x14ac:dyDescent="0.25">
      <c r="B4368" s="114" t="s">
        <v>1073</v>
      </c>
      <c r="D4368" s="114" t="s">
        <v>7304</v>
      </c>
      <c r="E4368" s="114" t="s">
        <v>7305</v>
      </c>
    </row>
    <row r="4369" spans="1:5" x14ac:dyDescent="0.25">
      <c r="B4369" s="114" t="s">
        <v>1073</v>
      </c>
      <c r="D4369" s="114" t="s">
        <v>7306</v>
      </c>
      <c r="E4369" s="114" t="s">
        <v>7307</v>
      </c>
    </row>
    <row r="4370" spans="1:5" x14ac:dyDescent="0.25">
      <c r="B4370" s="114" t="s">
        <v>1856</v>
      </c>
      <c r="D4370" s="114" t="s">
        <v>1585</v>
      </c>
      <c r="E4370" s="114" t="s">
        <v>7308</v>
      </c>
    </row>
    <row r="4371" spans="1:5" x14ac:dyDescent="0.25">
      <c r="B4371" s="114" t="s">
        <v>1073</v>
      </c>
      <c r="D4371" s="114" t="s">
        <v>7309</v>
      </c>
      <c r="E4371" s="114" t="s">
        <v>7310</v>
      </c>
    </row>
    <row r="4372" spans="1:5" x14ac:dyDescent="0.25">
      <c r="B4372" s="114" t="s">
        <v>1073</v>
      </c>
      <c r="D4372" s="114" t="s">
        <v>7311</v>
      </c>
      <c r="E4372" s="114" t="s">
        <v>7312</v>
      </c>
    </row>
    <row r="4373" spans="1:5" x14ac:dyDescent="0.25">
      <c r="B4373" s="114" t="s">
        <v>1073</v>
      </c>
      <c r="D4373" s="114" t="s">
        <v>7313</v>
      </c>
      <c r="E4373" s="114" t="s">
        <v>7314</v>
      </c>
    </row>
    <row r="4374" spans="1:5" x14ac:dyDescent="0.25">
      <c r="B4374" s="114" t="s">
        <v>1073</v>
      </c>
      <c r="D4374" s="114" t="s">
        <v>7315</v>
      </c>
      <c r="E4374" s="114" t="s">
        <v>7316</v>
      </c>
    </row>
    <row r="4375" spans="1:5" x14ac:dyDescent="0.25">
      <c r="A4375" s="114">
        <v>-2</v>
      </c>
      <c r="B4375" s="114" t="s">
        <v>2668</v>
      </c>
      <c r="D4375" s="114" t="s">
        <v>1073</v>
      </c>
      <c r="E4375" s="114" t="s">
        <v>7317</v>
      </c>
    </row>
    <row r="4376" spans="1:5" x14ac:dyDescent="0.25">
      <c r="A4376" s="114" t="s">
        <v>1072</v>
      </c>
      <c r="B4376" s="114" t="s">
        <v>2669</v>
      </c>
      <c r="C4376" s="114" t="s">
        <v>1072</v>
      </c>
      <c r="D4376" s="114" t="s">
        <v>7318</v>
      </c>
      <c r="E4376" s="114" t="s">
        <v>7319</v>
      </c>
    </row>
    <row r="4377" spans="1:5" x14ac:dyDescent="0.25">
      <c r="A4377" s="114">
        <v>1</v>
      </c>
      <c r="B4377" s="114" t="s">
        <v>1435</v>
      </c>
      <c r="D4377" s="114" t="s">
        <v>1073</v>
      </c>
      <c r="E4377" s="114" t="s">
        <v>7320</v>
      </c>
    </row>
    <row r="4378" spans="1:5" x14ac:dyDescent="0.25">
      <c r="B4378" s="114" t="s">
        <v>1073</v>
      </c>
      <c r="D4378" s="114" t="s">
        <v>1073</v>
      </c>
      <c r="E4378" s="114" t="s">
        <v>3993</v>
      </c>
    </row>
    <row r="4379" spans="1:5" x14ac:dyDescent="0.25">
      <c r="B4379" s="114" t="s">
        <v>1073</v>
      </c>
      <c r="D4379" s="114" t="s">
        <v>4193</v>
      </c>
      <c r="E4379" s="114" t="s">
        <v>7321</v>
      </c>
    </row>
    <row r="4380" spans="1:5" x14ac:dyDescent="0.25">
      <c r="B4380" s="114" t="s">
        <v>2670</v>
      </c>
      <c r="C4380" s="114">
        <v>1</v>
      </c>
      <c r="D4380" s="114" t="s">
        <v>7322</v>
      </c>
      <c r="E4380" s="114" t="s">
        <v>7323</v>
      </c>
    </row>
    <row r="4381" spans="1:5" x14ac:dyDescent="0.25">
      <c r="A4381" s="114">
        <v>10</v>
      </c>
      <c r="B4381" s="114" t="s">
        <v>2671</v>
      </c>
      <c r="C4381" s="114">
        <v>2</v>
      </c>
      <c r="D4381" s="114" t="s">
        <v>7324</v>
      </c>
      <c r="E4381" s="114" t="s">
        <v>7325</v>
      </c>
    </row>
    <row r="4382" spans="1:5" x14ac:dyDescent="0.25">
      <c r="A4382" s="114">
        <v>11</v>
      </c>
      <c r="B4382" s="114" t="s">
        <v>2672</v>
      </c>
      <c r="C4382" s="114">
        <v>3</v>
      </c>
      <c r="D4382" s="114" t="s">
        <v>7326</v>
      </c>
      <c r="E4382" s="114" t="s">
        <v>7327</v>
      </c>
    </row>
    <row r="4383" spans="1:5" x14ac:dyDescent="0.25">
      <c r="B4383" s="114" t="s">
        <v>1073</v>
      </c>
      <c r="D4383" s="114" t="s">
        <v>7328</v>
      </c>
      <c r="E4383" s="114" t="s">
        <v>7329</v>
      </c>
    </row>
    <row r="4384" spans="1:5" x14ac:dyDescent="0.25">
      <c r="B4384" s="114" t="s">
        <v>1073</v>
      </c>
      <c r="D4384" s="114" t="s">
        <v>1073</v>
      </c>
      <c r="E4384" s="114" t="s">
        <v>7330</v>
      </c>
    </row>
    <row r="4385" spans="1:5" x14ac:dyDescent="0.25">
      <c r="B4385" s="114" t="s">
        <v>1073</v>
      </c>
      <c r="D4385" s="114" t="s">
        <v>7331</v>
      </c>
      <c r="E4385" s="114" t="s">
        <v>7332</v>
      </c>
    </row>
    <row r="4386" spans="1:5" x14ac:dyDescent="0.25">
      <c r="B4386" s="114" t="s">
        <v>2673</v>
      </c>
      <c r="D4386" s="114" t="s">
        <v>1073</v>
      </c>
      <c r="E4386" s="114" t="s">
        <v>7333</v>
      </c>
    </row>
    <row r="4387" spans="1:5" x14ac:dyDescent="0.25">
      <c r="B4387" s="114" t="s">
        <v>1444</v>
      </c>
      <c r="D4387" s="114" t="s">
        <v>1073</v>
      </c>
      <c r="E4387" s="114" t="s">
        <v>7334</v>
      </c>
    </row>
    <row r="4388" spans="1:5" x14ac:dyDescent="0.25">
      <c r="A4388" s="114">
        <v>-6</v>
      </c>
      <c r="B4388" s="114" t="s">
        <v>1519</v>
      </c>
      <c r="D4388" s="114" t="s">
        <v>1374</v>
      </c>
      <c r="E4388" s="114" t="s">
        <v>7335</v>
      </c>
    </row>
    <row r="4389" spans="1:5" x14ac:dyDescent="0.25">
      <c r="B4389" s="114" t="s">
        <v>1073</v>
      </c>
      <c r="D4389" s="114" t="s">
        <v>7336</v>
      </c>
      <c r="E4389" s="114" t="s">
        <v>7337</v>
      </c>
    </row>
    <row r="4390" spans="1:5" x14ac:dyDescent="0.25">
      <c r="B4390" s="114" t="s">
        <v>2674</v>
      </c>
      <c r="D4390" s="114" t="s">
        <v>1073</v>
      </c>
      <c r="E4390" s="114" t="s">
        <v>7338</v>
      </c>
    </row>
    <row r="4391" spans="1:5" x14ac:dyDescent="0.25">
      <c r="A4391" s="114">
        <v>-5</v>
      </c>
      <c r="B4391" s="114" t="s">
        <v>2675</v>
      </c>
      <c r="D4391" s="114">
        <f>-86    -61</f>
        <v>-147</v>
      </c>
      <c r="E4391" s="114" t="s">
        <v>7339</v>
      </c>
    </row>
    <row r="4392" spans="1:5" x14ac:dyDescent="0.25">
      <c r="B4392" s="114" t="s">
        <v>2676</v>
      </c>
      <c r="D4392" s="114" t="s">
        <v>7340</v>
      </c>
      <c r="E4392" s="114" t="s">
        <v>7341</v>
      </c>
    </row>
    <row r="4393" spans="1:5" x14ac:dyDescent="0.25">
      <c r="B4393" s="114" t="s">
        <v>2677</v>
      </c>
      <c r="D4393" s="114" t="s">
        <v>1073</v>
      </c>
      <c r="E4393" s="114" t="s">
        <v>7342</v>
      </c>
    </row>
    <row r="4394" spans="1:5" x14ac:dyDescent="0.25">
      <c r="A4394" s="114">
        <v>-6</v>
      </c>
      <c r="B4394" s="114" t="s">
        <v>2678</v>
      </c>
      <c r="D4394" s="114" t="s">
        <v>7343</v>
      </c>
      <c r="E4394" s="114" t="s">
        <v>7344</v>
      </c>
    </row>
    <row r="4395" spans="1:5" x14ac:dyDescent="0.25">
      <c r="B4395" s="114" t="s">
        <v>2679</v>
      </c>
      <c r="D4395" s="114" t="s">
        <v>7345</v>
      </c>
      <c r="E4395" s="114" t="s">
        <v>7346</v>
      </c>
    </row>
    <row r="4396" spans="1:5" x14ac:dyDescent="0.25">
      <c r="A4396" s="114" t="s">
        <v>1072</v>
      </c>
      <c r="B4396" s="114" t="s">
        <v>2680</v>
      </c>
      <c r="D4396" s="114" t="s">
        <v>1073</v>
      </c>
      <c r="E4396" s="114" t="s">
        <v>7347</v>
      </c>
    </row>
    <row r="4397" spans="1:5" x14ac:dyDescent="0.25">
      <c r="A4397" s="114">
        <v>-23</v>
      </c>
      <c r="B4397" s="114" t="s">
        <v>2681</v>
      </c>
      <c r="D4397" s="114" t="s">
        <v>1073</v>
      </c>
      <c r="E4397" s="114" t="s">
        <v>7348</v>
      </c>
    </row>
    <row r="4398" spans="1:5" x14ac:dyDescent="0.25">
      <c r="B4398" s="114" t="s">
        <v>2682</v>
      </c>
      <c r="D4398" s="114" t="s">
        <v>5500</v>
      </c>
      <c r="E4398" s="114" t="s">
        <v>7349</v>
      </c>
    </row>
    <row r="4399" spans="1:5" x14ac:dyDescent="0.25">
      <c r="B4399" s="114" t="s">
        <v>1073</v>
      </c>
      <c r="D4399" s="114" t="s">
        <v>1073</v>
      </c>
      <c r="E4399" s="114" t="s">
        <v>7350</v>
      </c>
    </row>
    <row r="4400" spans="1:5" x14ac:dyDescent="0.25">
      <c r="A4400" s="114">
        <v>5</v>
      </c>
      <c r="B4400" s="114" t="s">
        <v>1518</v>
      </c>
      <c r="D4400" s="114" t="s">
        <v>1073</v>
      </c>
      <c r="E4400" s="114" t="s">
        <v>7351</v>
      </c>
    </row>
    <row r="4401" spans="1:5" x14ac:dyDescent="0.25">
      <c r="A4401" s="114">
        <v>-4</v>
      </c>
      <c r="B4401" s="114" t="s">
        <v>2683</v>
      </c>
      <c r="C4401" s="114" t="s">
        <v>1072</v>
      </c>
      <c r="D4401" s="114" t="s">
        <v>7352</v>
      </c>
      <c r="E4401" s="114" t="s">
        <v>7353</v>
      </c>
    </row>
    <row r="4402" spans="1:5" x14ac:dyDescent="0.25">
      <c r="B4402" s="114" t="s">
        <v>2684</v>
      </c>
      <c r="D4402" s="114" t="s">
        <v>1073</v>
      </c>
      <c r="E4402" s="114" t="s">
        <v>7354</v>
      </c>
    </row>
    <row r="4403" spans="1:5" x14ac:dyDescent="0.25">
      <c r="A4403" s="114">
        <v>-1</v>
      </c>
      <c r="B4403" s="114" t="s">
        <v>2685</v>
      </c>
      <c r="C4403" s="114" t="s">
        <v>1072</v>
      </c>
      <c r="D4403" s="114" t="s">
        <v>7355</v>
      </c>
      <c r="E4403" s="114" t="s">
        <v>4044</v>
      </c>
    </row>
    <row r="4404" spans="1:5" x14ac:dyDescent="0.25">
      <c r="B4404" s="114" t="s">
        <v>1073</v>
      </c>
      <c r="D4404" s="114" t="s">
        <v>7356</v>
      </c>
      <c r="E4404" s="114" t="s">
        <v>7357</v>
      </c>
    </row>
    <row r="4405" spans="1:5" x14ac:dyDescent="0.25">
      <c r="A4405" s="114">
        <v>-1</v>
      </c>
      <c r="B4405" s="114" t="s">
        <v>2686</v>
      </c>
      <c r="C4405" s="114" t="s">
        <v>1072</v>
      </c>
      <c r="D4405" s="114" t="s">
        <v>7358</v>
      </c>
      <c r="E4405" s="114" t="s">
        <v>7359</v>
      </c>
    </row>
    <row r="4406" spans="1:5" x14ac:dyDescent="0.25">
      <c r="A4406" s="114">
        <v>1</v>
      </c>
      <c r="B4406" s="114" t="s">
        <v>1447</v>
      </c>
      <c r="D4406" s="114" t="s">
        <v>1073</v>
      </c>
      <c r="E4406" s="114" t="s">
        <v>3993</v>
      </c>
    </row>
    <row r="4407" spans="1:5" x14ac:dyDescent="0.25">
      <c r="B4407" s="114" t="s">
        <v>1073</v>
      </c>
      <c r="D4407" s="114" t="s">
        <v>1073</v>
      </c>
      <c r="E4407" s="114" t="s">
        <v>7360</v>
      </c>
    </row>
    <row r="4408" spans="1:5" x14ac:dyDescent="0.25">
      <c r="B4408" s="114" t="s">
        <v>2687</v>
      </c>
      <c r="D4408" s="114" t="s">
        <v>7361</v>
      </c>
      <c r="E4408" s="114" t="s">
        <v>7362</v>
      </c>
    </row>
    <row r="4409" spans="1:5" x14ac:dyDescent="0.25">
      <c r="B4409" s="114" t="s">
        <v>1073</v>
      </c>
      <c r="D4409" s="114" t="s">
        <v>7363</v>
      </c>
      <c r="E4409" s="114" t="s">
        <v>7364</v>
      </c>
    </row>
    <row r="4410" spans="1:5" x14ac:dyDescent="0.25">
      <c r="A4410" s="114">
        <v>20</v>
      </c>
      <c r="B4410" s="114" t="s">
        <v>2688</v>
      </c>
      <c r="C4410" s="114">
        <v>3</v>
      </c>
      <c r="D4410" s="114" t="s">
        <v>7365</v>
      </c>
      <c r="E4410" s="114" t="s">
        <v>7366</v>
      </c>
    </row>
    <row r="4411" spans="1:5" x14ac:dyDescent="0.25">
      <c r="B4411" s="114" t="s">
        <v>2689</v>
      </c>
      <c r="D4411" s="114">
        <f>-235   -117</f>
        <v>-352</v>
      </c>
      <c r="E4411" s="114" t="s">
        <v>7367</v>
      </c>
    </row>
    <row r="4412" spans="1:5" x14ac:dyDescent="0.25">
      <c r="B4412" s="114" t="s">
        <v>1073</v>
      </c>
      <c r="D4412" s="114" t="s">
        <v>7368</v>
      </c>
      <c r="E4412" s="114" t="s">
        <v>3993</v>
      </c>
    </row>
    <row r="4413" spans="1:5" x14ac:dyDescent="0.25">
      <c r="B4413" s="114" t="s">
        <v>1073</v>
      </c>
      <c r="D4413" s="114">
        <f>-11   -186</f>
        <v>-197</v>
      </c>
      <c r="E4413" s="114" t="s">
        <v>7369</v>
      </c>
    </row>
    <row r="4414" spans="1:5" x14ac:dyDescent="0.25">
      <c r="A4414" s="114" t="s">
        <v>1072</v>
      </c>
      <c r="B4414" s="114" t="s">
        <v>2690</v>
      </c>
      <c r="D4414" s="114" t="s">
        <v>1073</v>
      </c>
      <c r="E4414" s="114" t="s">
        <v>7370</v>
      </c>
    </row>
    <row r="4415" spans="1:5" x14ac:dyDescent="0.25">
      <c r="B4415" s="114" t="s">
        <v>1073</v>
      </c>
      <c r="D4415" s="114" t="s">
        <v>1073</v>
      </c>
      <c r="E4415" s="114" t="s">
        <v>7371</v>
      </c>
    </row>
    <row r="4416" spans="1:5" x14ac:dyDescent="0.25">
      <c r="B4416" s="114" t="s">
        <v>1073</v>
      </c>
      <c r="D4416" s="114" t="s">
        <v>7372</v>
      </c>
      <c r="E4416" s="114" t="s">
        <v>7373</v>
      </c>
    </row>
    <row r="4417" spans="1:5" x14ac:dyDescent="0.25">
      <c r="B4417" s="114" t="s">
        <v>2691</v>
      </c>
      <c r="D4417" s="114" t="s">
        <v>7374</v>
      </c>
      <c r="E4417" s="114" t="s">
        <v>7375</v>
      </c>
    </row>
    <row r="4418" spans="1:5" x14ac:dyDescent="0.25">
      <c r="A4418" s="114">
        <v>2</v>
      </c>
      <c r="B4418" s="114" t="s">
        <v>2692</v>
      </c>
      <c r="D4418" s="114" t="s">
        <v>7376</v>
      </c>
      <c r="E4418" s="114" t="s">
        <v>7377</v>
      </c>
    </row>
    <row r="4419" spans="1:5" x14ac:dyDescent="0.25">
      <c r="A4419" s="114">
        <v>-1</v>
      </c>
      <c r="B4419" s="114" t="s">
        <v>2693</v>
      </c>
      <c r="D4419" s="114" t="s">
        <v>7378</v>
      </c>
      <c r="E4419" s="114" t="s">
        <v>7379</v>
      </c>
    </row>
    <row r="4420" spans="1:5" x14ac:dyDescent="0.25">
      <c r="A4420" s="114" t="s">
        <v>1072</v>
      </c>
      <c r="B4420" s="114" t="s">
        <v>2694</v>
      </c>
      <c r="D4420" s="114" t="s">
        <v>7380</v>
      </c>
      <c r="E4420" s="114" t="s">
        <v>7381</v>
      </c>
    </row>
    <row r="4421" spans="1:5" x14ac:dyDescent="0.25">
      <c r="A4421" s="114">
        <v>1</v>
      </c>
      <c r="B4421" s="114" t="s">
        <v>2695</v>
      </c>
      <c r="D4421" s="114" t="s">
        <v>7382</v>
      </c>
      <c r="E4421" s="114" t="s">
        <v>7383</v>
      </c>
    </row>
    <row r="4422" spans="1:5" x14ac:dyDescent="0.25">
      <c r="B4422" s="114" t="s">
        <v>2696</v>
      </c>
      <c r="D4422" s="114" t="s">
        <v>7384</v>
      </c>
      <c r="E4422" s="114" t="s">
        <v>7385</v>
      </c>
    </row>
    <row r="4423" spans="1:5" x14ac:dyDescent="0.25">
      <c r="A4423" s="114" t="s">
        <v>1072</v>
      </c>
      <c r="B4423" s="114" t="s">
        <v>1362</v>
      </c>
      <c r="D4423" s="114" t="s">
        <v>7115</v>
      </c>
      <c r="E4423" s="114" t="s">
        <v>7386</v>
      </c>
    </row>
    <row r="4424" spans="1:5" x14ac:dyDescent="0.25">
      <c r="B4424" s="114" t="s">
        <v>2697</v>
      </c>
      <c r="D4424" s="114" t="s">
        <v>7387</v>
      </c>
      <c r="E4424" s="114" t="s">
        <v>7388</v>
      </c>
    </row>
    <row r="4425" spans="1:5" x14ac:dyDescent="0.25">
      <c r="B4425" s="114" t="s">
        <v>2698</v>
      </c>
      <c r="D4425" s="114" t="s">
        <v>7389</v>
      </c>
      <c r="E4425" s="114" t="s">
        <v>7390</v>
      </c>
    </row>
    <row r="4426" spans="1:5" x14ac:dyDescent="0.25">
      <c r="A4426" s="114" t="s">
        <v>1072</v>
      </c>
      <c r="B4426" s="114" t="s">
        <v>2699</v>
      </c>
      <c r="D4426" s="114" t="s">
        <v>7391</v>
      </c>
      <c r="E4426" s="114" t="s">
        <v>7392</v>
      </c>
    </row>
    <row r="4427" spans="1:5" x14ac:dyDescent="0.25">
      <c r="A4427" s="114">
        <v>-5</v>
      </c>
      <c r="B4427" s="114" t="s">
        <v>1215</v>
      </c>
      <c r="C4427" s="114" t="s">
        <v>1072</v>
      </c>
      <c r="D4427" s="114" t="s">
        <v>7393</v>
      </c>
      <c r="E4427" s="114" t="s">
        <v>3993</v>
      </c>
    </row>
    <row r="4428" spans="1:5" x14ac:dyDescent="0.25">
      <c r="B4428" s="114" t="s">
        <v>2700</v>
      </c>
      <c r="D4428" s="114" t="s">
        <v>7394</v>
      </c>
      <c r="E4428" s="114" t="s">
        <v>4014</v>
      </c>
    </row>
    <row r="4429" spans="1:5" x14ac:dyDescent="0.25">
      <c r="A4429" s="114">
        <v>-1</v>
      </c>
      <c r="B4429" s="114" t="s">
        <v>2701</v>
      </c>
      <c r="C4429" s="114" t="s">
        <v>1072</v>
      </c>
      <c r="D4429" s="114" t="s">
        <v>7395</v>
      </c>
      <c r="E4429" s="114" t="s">
        <v>7396</v>
      </c>
    </row>
    <row r="4430" spans="1:5" x14ac:dyDescent="0.25">
      <c r="A4430" s="114">
        <v>1</v>
      </c>
      <c r="B4430" s="114" t="s">
        <v>1382</v>
      </c>
      <c r="D4430" s="114" t="s">
        <v>7397</v>
      </c>
      <c r="E4430" s="114" t="s">
        <v>7398</v>
      </c>
    </row>
    <row r="4431" spans="1:5" x14ac:dyDescent="0.25">
      <c r="A4431" s="114" t="s">
        <v>1072</v>
      </c>
      <c r="B4431" s="114" t="s">
        <v>2702</v>
      </c>
      <c r="C4431" s="114" t="s">
        <v>1072</v>
      </c>
      <c r="D4431" s="114" t="s">
        <v>7399</v>
      </c>
      <c r="E4431" s="114" t="s">
        <v>7400</v>
      </c>
    </row>
    <row r="4432" spans="1:5" x14ac:dyDescent="0.25">
      <c r="B4432" s="114" t="s">
        <v>1073</v>
      </c>
      <c r="D4432" s="114" t="s">
        <v>1073</v>
      </c>
      <c r="E4432" s="114" t="s">
        <v>7401</v>
      </c>
    </row>
    <row r="4433" spans="1:5" x14ac:dyDescent="0.25">
      <c r="A4433" s="114">
        <v>-4</v>
      </c>
      <c r="B4433" s="114" t="s">
        <v>2703</v>
      </c>
      <c r="D4433" s="114" t="s">
        <v>7402</v>
      </c>
      <c r="E4433" s="114" t="s">
        <v>7403</v>
      </c>
    </row>
    <row r="4434" spans="1:5" x14ac:dyDescent="0.25">
      <c r="B4434" s="114" t="s">
        <v>1073</v>
      </c>
      <c r="D4434" s="114" t="s">
        <v>7404</v>
      </c>
      <c r="E4434" s="114" t="s">
        <v>3992</v>
      </c>
    </row>
    <row r="4435" spans="1:5" x14ac:dyDescent="0.25">
      <c r="B4435" s="114" t="s">
        <v>1073</v>
      </c>
      <c r="D4435" s="114" t="s">
        <v>1073</v>
      </c>
      <c r="E4435" s="114" t="s">
        <v>3993</v>
      </c>
    </row>
    <row r="4436" spans="1:5" x14ac:dyDescent="0.25">
      <c r="A4436" s="114" t="s">
        <v>1072</v>
      </c>
      <c r="B4436" s="114" t="s">
        <v>1177</v>
      </c>
      <c r="D4436" s="114" t="s">
        <v>1073</v>
      </c>
      <c r="E4436" s="114" t="s">
        <v>7405</v>
      </c>
    </row>
    <row r="4437" spans="1:5" x14ac:dyDescent="0.25">
      <c r="A4437" s="114">
        <v>9</v>
      </c>
      <c r="B4437" s="114" t="s">
        <v>2704</v>
      </c>
      <c r="D4437" s="114" t="s">
        <v>7406</v>
      </c>
      <c r="E4437" s="114" t="s">
        <v>7407</v>
      </c>
    </row>
    <row r="4438" spans="1:5" x14ac:dyDescent="0.25">
      <c r="A4438" s="114">
        <v>8</v>
      </c>
      <c r="B4438" s="114" t="s">
        <v>2705</v>
      </c>
      <c r="D4438" s="114" t="s">
        <v>7408</v>
      </c>
      <c r="E4438" s="114" t="s">
        <v>7409</v>
      </c>
    </row>
    <row r="4439" spans="1:5" x14ac:dyDescent="0.25">
      <c r="A4439" s="114">
        <v>10</v>
      </c>
      <c r="B4439" s="114" t="s">
        <v>2706</v>
      </c>
      <c r="C4439" s="114">
        <v>1</v>
      </c>
      <c r="D4439" s="114" t="s">
        <v>7410</v>
      </c>
      <c r="E4439" s="114" t="s">
        <v>7411</v>
      </c>
    </row>
    <row r="4440" spans="1:5" x14ac:dyDescent="0.25">
      <c r="B4440" s="114" t="s">
        <v>2707</v>
      </c>
      <c r="D4440" s="114" t="s">
        <v>1247</v>
      </c>
      <c r="E4440" s="114" t="s">
        <v>7412</v>
      </c>
    </row>
    <row r="4441" spans="1:5" x14ac:dyDescent="0.25">
      <c r="B4441" s="114" t="s">
        <v>1073</v>
      </c>
      <c r="D4441" s="114" t="s">
        <v>1073</v>
      </c>
      <c r="E4441" s="114" t="s">
        <v>7413</v>
      </c>
    </row>
    <row r="4442" spans="1:5" x14ac:dyDescent="0.25">
      <c r="B4442" s="114" t="s">
        <v>2708</v>
      </c>
      <c r="D4442" s="114" t="s">
        <v>7414</v>
      </c>
      <c r="E4442" s="114" t="s">
        <v>7415</v>
      </c>
    </row>
    <row r="4443" spans="1:5" x14ac:dyDescent="0.25">
      <c r="B4443" s="114" t="s">
        <v>2709</v>
      </c>
      <c r="D4443" s="114" t="s">
        <v>4765</v>
      </c>
      <c r="E4443" s="114" t="s">
        <v>4518</v>
      </c>
    </row>
    <row r="4444" spans="1:5" x14ac:dyDescent="0.25">
      <c r="B4444" s="114" t="s">
        <v>2710</v>
      </c>
      <c r="D4444" s="114" t="s">
        <v>1073</v>
      </c>
      <c r="E4444" s="114" t="s">
        <v>7416</v>
      </c>
    </row>
    <row r="4445" spans="1:5" x14ac:dyDescent="0.25">
      <c r="B4445" s="114" t="s">
        <v>2711</v>
      </c>
      <c r="D4445" s="114" t="s">
        <v>1073</v>
      </c>
      <c r="E4445" s="114" t="s">
        <v>7417</v>
      </c>
    </row>
    <row r="4446" spans="1:5" x14ac:dyDescent="0.25">
      <c r="B4446" s="114" t="s">
        <v>1295</v>
      </c>
      <c r="D4446" s="114" t="s">
        <v>7418</v>
      </c>
      <c r="E4446" s="114" t="s">
        <v>7419</v>
      </c>
    </row>
    <row r="4447" spans="1:5" x14ac:dyDescent="0.25">
      <c r="B4447" s="114" t="s">
        <v>2712</v>
      </c>
      <c r="D4447" s="114" t="s">
        <v>1073</v>
      </c>
      <c r="E4447" s="114" t="s">
        <v>7420</v>
      </c>
    </row>
    <row r="4448" spans="1:5" x14ac:dyDescent="0.25">
      <c r="A4448" s="114">
        <v>-1</v>
      </c>
      <c r="B4448" s="114" t="s">
        <v>2713</v>
      </c>
      <c r="D4448" s="114" t="s">
        <v>7421</v>
      </c>
      <c r="E4448" s="114" t="s">
        <v>7422</v>
      </c>
    </row>
    <row r="4449" spans="1:5" x14ac:dyDescent="0.25">
      <c r="A4449" s="114" t="s">
        <v>1072</v>
      </c>
      <c r="B4449" s="114" t="s">
        <v>2714</v>
      </c>
      <c r="D4449" s="114" t="s">
        <v>5283</v>
      </c>
      <c r="E4449" s="114" t="s">
        <v>7423</v>
      </c>
    </row>
    <row r="4450" spans="1:5" x14ac:dyDescent="0.25">
      <c r="B4450" s="114" t="s">
        <v>1099</v>
      </c>
      <c r="D4450" s="114" t="s">
        <v>1073</v>
      </c>
      <c r="E4450" s="114" t="s">
        <v>7424</v>
      </c>
    </row>
    <row r="4451" spans="1:5" x14ac:dyDescent="0.25">
      <c r="B4451" s="114" t="s">
        <v>2715</v>
      </c>
      <c r="D4451" s="114" t="s">
        <v>7425</v>
      </c>
      <c r="E4451" s="114" t="s">
        <v>7426</v>
      </c>
    </row>
    <row r="4452" spans="1:5" x14ac:dyDescent="0.25">
      <c r="A4452" s="114">
        <v>-1</v>
      </c>
      <c r="B4452" s="114" t="s">
        <v>2716</v>
      </c>
      <c r="D4452" s="114" t="s">
        <v>2707</v>
      </c>
      <c r="E4452" s="114" t="s">
        <v>7427</v>
      </c>
    </row>
    <row r="4453" spans="1:5" x14ac:dyDescent="0.25">
      <c r="B4453" s="114" t="s">
        <v>2717</v>
      </c>
      <c r="D4453" s="114" t="s">
        <v>1073</v>
      </c>
      <c r="E4453" s="114" t="s">
        <v>7428</v>
      </c>
    </row>
    <row r="4454" spans="1:5" x14ac:dyDescent="0.25">
      <c r="B4454" s="114" t="s">
        <v>1216</v>
      </c>
      <c r="D4454" s="114" t="s">
        <v>5283</v>
      </c>
      <c r="E4454" s="114" t="s">
        <v>7429</v>
      </c>
    </row>
    <row r="4455" spans="1:5" x14ac:dyDescent="0.25">
      <c r="A4455" s="114">
        <v>-2</v>
      </c>
      <c r="B4455" s="114" t="s">
        <v>2718</v>
      </c>
      <c r="D4455" s="114" t="s">
        <v>7097</v>
      </c>
      <c r="E4455" s="114" t="s">
        <v>7430</v>
      </c>
    </row>
    <row r="4456" spans="1:5" x14ac:dyDescent="0.25">
      <c r="B4456" s="114" t="s">
        <v>1073</v>
      </c>
      <c r="D4456" s="114" t="s">
        <v>1073</v>
      </c>
      <c r="E4456" s="114" t="s">
        <v>7431</v>
      </c>
    </row>
    <row r="4457" spans="1:5" x14ac:dyDescent="0.25">
      <c r="B4457" s="114" t="s">
        <v>1073</v>
      </c>
      <c r="D4457" s="114" t="s">
        <v>1073</v>
      </c>
      <c r="E4457" s="114" t="s">
        <v>7432</v>
      </c>
    </row>
    <row r="4458" spans="1:5" x14ac:dyDescent="0.25">
      <c r="A4458" s="114">
        <v>-3</v>
      </c>
      <c r="B4458" s="114" t="s">
        <v>2719</v>
      </c>
      <c r="D4458" s="114" t="s">
        <v>1073</v>
      </c>
      <c r="E4458" s="114" t="s">
        <v>7433</v>
      </c>
    </row>
    <row r="4459" spans="1:5" x14ac:dyDescent="0.25">
      <c r="A4459" s="114" t="s">
        <v>1072</v>
      </c>
      <c r="B4459" s="114" t="s">
        <v>1420</v>
      </c>
      <c r="D4459" s="114" t="s">
        <v>1073</v>
      </c>
      <c r="E4459" s="114" t="s">
        <v>7434</v>
      </c>
    </row>
    <row r="4460" spans="1:5" x14ac:dyDescent="0.25">
      <c r="A4460" s="114">
        <v>-2</v>
      </c>
      <c r="B4460" s="114" t="s">
        <v>2720</v>
      </c>
      <c r="C4460" s="114" t="s">
        <v>1072</v>
      </c>
      <c r="D4460" s="114" t="s">
        <v>7435</v>
      </c>
      <c r="E4460" s="114" t="s">
        <v>3993</v>
      </c>
    </row>
    <row r="4461" spans="1:5" x14ac:dyDescent="0.25">
      <c r="B4461" s="114" t="s">
        <v>1179</v>
      </c>
      <c r="D4461" s="114" t="s">
        <v>7436</v>
      </c>
      <c r="E4461" s="114" t="s">
        <v>7437</v>
      </c>
    </row>
    <row r="4462" spans="1:5" x14ac:dyDescent="0.25">
      <c r="B4462" s="114" t="s">
        <v>2721</v>
      </c>
      <c r="C4462" s="114" t="s">
        <v>1072</v>
      </c>
      <c r="D4462" s="114" t="s">
        <v>7438</v>
      </c>
      <c r="E4462" s="114" t="s">
        <v>7439</v>
      </c>
    </row>
    <row r="4463" spans="1:5" x14ac:dyDescent="0.25">
      <c r="B4463" s="114" t="s">
        <v>1073</v>
      </c>
      <c r="D4463" s="114" t="s">
        <v>1073</v>
      </c>
      <c r="E4463" s="114" t="s">
        <v>3993</v>
      </c>
    </row>
    <row r="4464" spans="1:5" x14ac:dyDescent="0.25">
      <c r="B4464" s="114" t="s">
        <v>1073</v>
      </c>
      <c r="D4464" s="114" t="s">
        <v>1073</v>
      </c>
      <c r="E4464" s="114" t="s">
        <v>7440</v>
      </c>
    </row>
    <row r="4465" spans="1:5" x14ac:dyDescent="0.25">
      <c r="B4465" s="114" t="s">
        <v>2722</v>
      </c>
      <c r="D4465" s="114" t="s">
        <v>7441</v>
      </c>
      <c r="E4465" s="114" t="s">
        <v>7442</v>
      </c>
    </row>
    <row r="4466" spans="1:5" x14ac:dyDescent="0.25">
      <c r="B4466" s="114" t="s">
        <v>2559</v>
      </c>
      <c r="D4466" s="114" t="s">
        <v>7443</v>
      </c>
      <c r="E4466" s="114" t="s">
        <v>7444</v>
      </c>
    </row>
    <row r="4467" spans="1:5" x14ac:dyDescent="0.25">
      <c r="A4467" s="114">
        <v>18</v>
      </c>
      <c r="B4467" s="114" t="s">
        <v>2723</v>
      </c>
      <c r="C4467" s="114">
        <v>1</v>
      </c>
      <c r="D4467" s="114" t="s">
        <v>7445</v>
      </c>
      <c r="E4467" s="114" t="s">
        <v>7446</v>
      </c>
    </row>
    <row r="4468" spans="1:5" x14ac:dyDescent="0.25">
      <c r="A4468" s="114">
        <v>8</v>
      </c>
      <c r="B4468" s="114" t="s">
        <v>2724</v>
      </c>
      <c r="D4468" s="114" t="s">
        <v>7447</v>
      </c>
      <c r="E4468" s="114" t="s">
        <v>7448</v>
      </c>
    </row>
    <row r="4469" spans="1:5" x14ac:dyDescent="0.25">
      <c r="B4469" s="114" t="s">
        <v>1073</v>
      </c>
      <c r="D4469" s="114" t="s">
        <v>7449</v>
      </c>
      <c r="E4469" s="114" t="s">
        <v>4014</v>
      </c>
    </row>
    <row r="4470" spans="1:5" x14ac:dyDescent="0.25">
      <c r="B4470" s="114" t="s">
        <v>1073</v>
      </c>
      <c r="D4470" s="114" t="s">
        <v>7450</v>
      </c>
      <c r="E4470" s="114" t="s">
        <v>7451</v>
      </c>
    </row>
    <row r="4471" spans="1:5" x14ac:dyDescent="0.25">
      <c r="B4471" s="114" t="s">
        <v>2725</v>
      </c>
      <c r="D4471" s="114" t="s">
        <v>7452</v>
      </c>
      <c r="E4471" s="114" t="s">
        <v>4571</v>
      </c>
    </row>
    <row r="4472" spans="1:5" x14ac:dyDescent="0.25">
      <c r="B4472" s="114" t="s">
        <v>1260</v>
      </c>
      <c r="D4472" s="114" t="s">
        <v>1073</v>
      </c>
      <c r="E4472" s="114" t="s">
        <v>7453</v>
      </c>
    </row>
    <row r="4473" spans="1:5" x14ac:dyDescent="0.25">
      <c r="B4473" s="114" t="s">
        <v>1073</v>
      </c>
      <c r="D4473" s="114" t="s">
        <v>7454</v>
      </c>
      <c r="E4473" s="114" t="s">
        <v>7455</v>
      </c>
    </row>
    <row r="4474" spans="1:5" x14ac:dyDescent="0.25">
      <c r="B4474" s="114" t="s">
        <v>1073</v>
      </c>
      <c r="D4474" s="114" t="s">
        <v>7456</v>
      </c>
      <c r="E4474" s="114" t="s">
        <v>7457</v>
      </c>
    </row>
    <row r="4475" spans="1:5" x14ac:dyDescent="0.25">
      <c r="B4475" s="114" t="s">
        <v>2726</v>
      </c>
      <c r="D4475" s="114" t="s">
        <v>7458</v>
      </c>
      <c r="E4475" s="114" t="s">
        <v>7459</v>
      </c>
    </row>
    <row r="4476" spans="1:5" x14ac:dyDescent="0.25">
      <c r="B4476" s="114" t="s">
        <v>2727</v>
      </c>
      <c r="D4476" s="114" t="s">
        <v>7460</v>
      </c>
      <c r="E4476" s="114" t="s">
        <v>7461</v>
      </c>
    </row>
    <row r="4477" spans="1:5" x14ac:dyDescent="0.25">
      <c r="B4477" s="114">
        <f>-25   -934</f>
        <v>-959</v>
      </c>
      <c r="D4477" s="114" t="s">
        <v>7462</v>
      </c>
      <c r="E4477" s="114" t="s">
        <v>7463</v>
      </c>
    </row>
    <row r="4478" spans="1:5" x14ac:dyDescent="0.25">
      <c r="B4478" s="114" t="s">
        <v>2728</v>
      </c>
      <c r="D4478" s="114" t="s">
        <v>7464</v>
      </c>
      <c r="E4478" s="114" t="s">
        <v>7465</v>
      </c>
    </row>
    <row r="4479" spans="1:5" x14ac:dyDescent="0.25">
      <c r="B4479" s="114" t="s">
        <v>2729</v>
      </c>
      <c r="D4479" s="114" t="s">
        <v>7466</v>
      </c>
      <c r="E4479" s="114" t="s">
        <v>7467</v>
      </c>
    </row>
    <row r="4480" spans="1:5" x14ac:dyDescent="0.25">
      <c r="B4480" s="114" t="s">
        <v>2730</v>
      </c>
      <c r="D4480" s="114" t="s">
        <v>7468</v>
      </c>
      <c r="E4480" s="114" t="s">
        <v>7469</v>
      </c>
    </row>
    <row r="4481" spans="1:5" x14ac:dyDescent="0.25">
      <c r="B4481" s="114" t="s">
        <v>1073</v>
      </c>
      <c r="D4481" s="114" t="s">
        <v>7470</v>
      </c>
      <c r="E4481" s="114" t="s">
        <v>7471</v>
      </c>
    </row>
    <row r="4482" spans="1:5" x14ac:dyDescent="0.25">
      <c r="B4482" s="114" t="s">
        <v>2731</v>
      </c>
      <c r="D4482" s="114" t="s">
        <v>7472</v>
      </c>
      <c r="E4482" s="114" t="s">
        <v>7473</v>
      </c>
    </row>
    <row r="4483" spans="1:5" x14ac:dyDescent="0.25">
      <c r="A4483" s="114">
        <v>1</v>
      </c>
      <c r="B4483" s="114" t="s">
        <v>2732</v>
      </c>
      <c r="D4483" s="114" t="s">
        <v>7474</v>
      </c>
      <c r="E4483" s="114" t="s">
        <v>7475</v>
      </c>
    </row>
    <row r="4484" spans="1:5" x14ac:dyDescent="0.25">
      <c r="B4484" s="114" t="s">
        <v>1083</v>
      </c>
      <c r="D4484" s="114" t="s">
        <v>1295</v>
      </c>
      <c r="E4484" s="114" t="s">
        <v>3993</v>
      </c>
    </row>
    <row r="4485" spans="1:5" x14ac:dyDescent="0.25">
      <c r="B4485" s="114" t="s">
        <v>1344</v>
      </c>
      <c r="D4485" s="114" t="s">
        <v>7476</v>
      </c>
      <c r="E4485" s="114" t="s">
        <v>7477</v>
      </c>
    </row>
    <row r="4486" spans="1:5" x14ac:dyDescent="0.25">
      <c r="B4486" s="114" t="s">
        <v>2733</v>
      </c>
      <c r="C4486" s="114" t="s">
        <v>1072</v>
      </c>
      <c r="D4486" s="114" t="s">
        <v>7478</v>
      </c>
      <c r="E4486" s="114" t="s">
        <v>7479</v>
      </c>
    </row>
    <row r="4487" spans="1:5" x14ac:dyDescent="0.25">
      <c r="B4487" s="114" t="s">
        <v>1196</v>
      </c>
      <c r="D4487" s="114" t="s">
        <v>7480</v>
      </c>
      <c r="E4487" s="114" t="s">
        <v>7481</v>
      </c>
    </row>
    <row r="4488" spans="1:5" x14ac:dyDescent="0.25">
      <c r="B4488" s="114" t="s">
        <v>1352</v>
      </c>
      <c r="D4488" s="114" t="s">
        <v>7482</v>
      </c>
      <c r="E4488" s="114" t="s">
        <v>7483</v>
      </c>
    </row>
    <row r="4489" spans="1:5" x14ac:dyDescent="0.25">
      <c r="B4489" s="114" t="s">
        <v>1073</v>
      </c>
      <c r="D4489" s="114" t="s">
        <v>1073</v>
      </c>
      <c r="E4489" s="114" t="s">
        <v>7484</v>
      </c>
    </row>
    <row r="4490" spans="1:5" x14ac:dyDescent="0.25">
      <c r="A4490" s="114">
        <v>1</v>
      </c>
      <c r="B4490" s="114" t="s">
        <v>2734</v>
      </c>
      <c r="D4490" s="114" t="s">
        <v>7485</v>
      </c>
      <c r="E4490" s="114" t="s">
        <v>7486</v>
      </c>
    </row>
    <row r="4491" spans="1:5" x14ac:dyDescent="0.25">
      <c r="B4491" s="114" t="s">
        <v>1073</v>
      </c>
      <c r="D4491" s="114" t="s">
        <v>7487</v>
      </c>
      <c r="E4491" s="114" t="s">
        <v>7488</v>
      </c>
    </row>
    <row r="4492" spans="1:5" x14ac:dyDescent="0.25">
      <c r="B4492" s="114" t="s">
        <v>1073</v>
      </c>
      <c r="D4492" s="114" t="s">
        <v>1073</v>
      </c>
      <c r="E4492" s="114" t="s">
        <v>3993</v>
      </c>
    </row>
    <row r="4493" spans="1:5" x14ac:dyDescent="0.25">
      <c r="B4493" s="114" t="s">
        <v>2735</v>
      </c>
      <c r="D4493" s="114" t="s">
        <v>1073</v>
      </c>
      <c r="E4493" s="114" t="s">
        <v>7489</v>
      </c>
    </row>
    <row r="4494" spans="1:5" x14ac:dyDescent="0.25">
      <c r="A4494" s="114">
        <v>17</v>
      </c>
      <c r="B4494" s="114" t="s">
        <v>2736</v>
      </c>
      <c r="C4494" s="114">
        <v>1</v>
      </c>
      <c r="D4494" s="114" t="s">
        <v>7490</v>
      </c>
      <c r="E4494" s="114" t="s">
        <v>7491</v>
      </c>
    </row>
    <row r="4495" spans="1:5" x14ac:dyDescent="0.25">
      <c r="A4495" s="114">
        <v>26</v>
      </c>
      <c r="B4495" s="114" t="s">
        <v>2737</v>
      </c>
      <c r="D4495" s="114" t="s">
        <v>7492</v>
      </c>
      <c r="E4495" s="114" t="s">
        <v>7493</v>
      </c>
    </row>
    <row r="4496" spans="1:5" x14ac:dyDescent="0.25">
      <c r="A4496" s="114">
        <v>33</v>
      </c>
      <c r="B4496" s="114" t="s">
        <v>2738</v>
      </c>
      <c r="C4496" s="114">
        <v>1</v>
      </c>
      <c r="D4496" s="114" t="s">
        <v>7494</v>
      </c>
      <c r="E4496" s="114" t="s">
        <v>7495</v>
      </c>
    </row>
    <row r="4497" spans="1:5" x14ac:dyDescent="0.25">
      <c r="B4497" s="114" t="s">
        <v>2739</v>
      </c>
      <c r="D4497" s="114" t="s">
        <v>7496</v>
      </c>
      <c r="E4497" s="114" t="s">
        <v>7497</v>
      </c>
    </row>
    <row r="4498" spans="1:5" x14ac:dyDescent="0.25">
      <c r="B4498" s="114" t="s">
        <v>2740</v>
      </c>
      <c r="D4498" s="114" t="s">
        <v>1073</v>
      </c>
      <c r="E4498" s="114" t="s">
        <v>3993</v>
      </c>
    </row>
    <row r="4499" spans="1:5" x14ac:dyDescent="0.25">
      <c r="B4499" s="114">
        <f>-94   -680</f>
        <v>-774</v>
      </c>
      <c r="D4499" s="114" t="s">
        <v>7496</v>
      </c>
      <c r="E4499" s="114" t="s">
        <v>7498</v>
      </c>
    </row>
    <row r="4500" spans="1:5" x14ac:dyDescent="0.25">
      <c r="B4500" s="114" t="s">
        <v>1073</v>
      </c>
      <c r="D4500" s="114" t="s">
        <v>7499</v>
      </c>
      <c r="E4500" s="114" t="s">
        <v>7500</v>
      </c>
    </row>
    <row r="4501" spans="1:5" x14ac:dyDescent="0.25">
      <c r="B4501" s="114" t="s">
        <v>1073</v>
      </c>
      <c r="D4501" s="114" t="s">
        <v>3400</v>
      </c>
      <c r="E4501" s="114" t="s">
        <v>3993</v>
      </c>
    </row>
    <row r="4502" spans="1:5" x14ac:dyDescent="0.25">
      <c r="B4502" s="114" t="s">
        <v>2447</v>
      </c>
      <c r="C4502" s="114" t="s">
        <v>1072</v>
      </c>
      <c r="D4502" s="114" t="s">
        <v>7501</v>
      </c>
      <c r="E4502" s="114" t="s">
        <v>7502</v>
      </c>
    </row>
    <row r="4503" spans="1:5" x14ac:dyDescent="0.25">
      <c r="A4503" s="114" t="s">
        <v>1072</v>
      </c>
      <c r="B4503" s="114" t="s">
        <v>2741</v>
      </c>
      <c r="D4503" s="114" t="s">
        <v>4370</v>
      </c>
      <c r="E4503" s="114" t="s">
        <v>7503</v>
      </c>
    </row>
    <row r="4504" spans="1:5" x14ac:dyDescent="0.25">
      <c r="A4504" s="114" t="s">
        <v>1072</v>
      </c>
      <c r="B4504" s="114" t="s">
        <v>2742</v>
      </c>
      <c r="D4504" s="114">
        <f>-411    -23</f>
        <v>-434</v>
      </c>
      <c r="E4504" s="114" t="s">
        <v>7504</v>
      </c>
    </row>
    <row r="4505" spans="1:5" x14ac:dyDescent="0.25">
      <c r="B4505" s="114" t="s">
        <v>2743</v>
      </c>
      <c r="C4505" s="114" t="s">
        <v>1072</v>
      </c>
      <c r="D4505" s="114" t="s">
        <v>7505</v>
      </c>
      <c r="E4505" s="114" t="s">
        <v>7506</v>
      </c>
    </row>
    <row r="4506" spans="1:5" x14ac:dyDescent="0.25">
      <c r="A4506" s="114" t="s">
        <v>1072</v>
      </c>
      <c r="B4506" s="114" t="s">
        <v>2744</v>
      </c>
      <c r="D4506" s="114" t="s">
        <v>7507</v>
      </c>
      <c r="E4506" s="114" t="s">
        <v>7508</v>
      </c>
    </row>
    <row r="4507" spans="1:5" x14ac:dyDescent="0.25">
      <c r="A4507" s="114" t="s">
        <v>1072</v>
      </c>
      <c r="B4507" s="114" t="s">
        <v>2745</v>
      </c>
      <c r="D4507" s="114">
        <f>-57    -20</f>
        <v>-77</v>
      </c>
      <c r="E4507" s="114" t="s">
        <v>7509</v>
      </c>
    </row>
    <row r="4508" spans="1:5" x14ac:dyDescent="0.25">
      <c r="B4508" s="114" t="s">
        <v>2746</v>
      </c>
      <c r="C4508" s="114" t="s">
        <v>1072</v>
      </c>
      <c r="D4508" s="114" t="s">
        <v>7510</v>
      </c>
      <c r="E4508" s="114" t="s">
        <v>7511</v>
      </c>
    </row>
    <row r="4509" spans="1:5" x14ac:dyDescent="0.25">
      <c r="A4509" s="114" t="s">
        <v>1072</v>
      </c>
      <c r="B4509" s="114" t="s">
        <v>2747</v>
      </c>
      <c r="D4509" s="114" t="s">
        <v>7512</v>
      </c>
      <c r="E4509" s="114" t="s">
        <v>7513</v>
      </c>
    </row>
    <row r="4510" spans="1:5" x14ac:dyDescent="0.25">
      <c r="B4510" s="114" t="s">
        <v>2748</v>
      </c>
      <c r="D4510" s="114" t="s">
        <v>7514</v>
      </c>
      <c r="E4510" s="114" t="s">
        <v>7515</v>
      </c>
    </row>
    <row r="4511" spans="1:5" x14ac:dyDescent="0.25">
      <c r="B4511" s="114" t="s">
        <v>2749</v>
      </c>
      <c r="C4511" s="114">
        <v>-2</v>
      </c>
      <c r="D4511" s="114" t="s">
        <v>7516</v>
      </c>
      <c r="E4511" s="114" t="s">
        <v>7517</v>
      </c>
    </row>
    <row r="4512" spans="1:5" x14ac:dyDescent="0.25">
      <c r="A4512" s="114">
        <v>9</v>
      </c>
      <c r="B4512" s="114" t="s">
        <v>2750</v>
      </c>
      <c r="D4512" s="114" t="s">
        <v>7518</v>
      </c>
      <c r="E4512" s="114" t="s">
        <v>7519</v>
      </c>
    </row>
    <row r="4513" spans="1:5" x14ac:dyDescent="0.25">
      <c r="A4513" s="114">
        <v>6</v>
      </c>
      <c r="B4513" s="114" t="s">
        <v>1342</v>
      </c>
      <c r="D4513" s="114" t="s">
        <v>1073</v>
      </c>
      <c r="E4513" s="114" t="s">
        <v>7520</v>
      </c>
    </row>
    <row r="4514" spans="1:5" x14ac:dyDescent="0.25">
      <c r="B4514" s="114" t="s">
        <v>2751</v>
      </c>
      <c r="D4514" s="114" t="s">
        <v>7521</v>
      </c>
      <c r="E4514" s="114" t="s">
        <v>7522</v>
      </c>
    </row>
    <row r="4515" spans="1:5" x14ac:dyDescent="0.25">
      <c r="A4515" s="114">
        <v>-2</v>
      </c>
      <c r="B4515" s="114" t="s">
        <v>2752</v>
      </c>
      <c r="C4515" s="114" t="s">
        <v>1072</v>
      </c>
      <c r="D4515" s="114" t="s">
        <v>7523</v>
      </c>
      <c r="E4515" s="114" t="s">
        <v>7524</v>
      </c>
    </row>
    <row r="4516" spans="1:5" x14ac:dyDescent="0.25">
      <c r="B4516" s="114" t="s">
        <v>1456</v>
      </c>
      <c r="D4516" s="114" t="s">
        <v>7525</v>
      </c>
      <c r="E4516" s="114" t="s">
        <v>7526</v>
      </c>
    </row>
    <row r="4517" spans="1:5" x14ac:dyDescent="0.25">
      <c r="A4517" s="114">
        <v>-3</v>
      </c>
      <c r="B4517" s="114" t="s">
        <v>2753</v>
      </c>
      <c r="D4517" s="114">
        <f>-754   -494</f>
        <v>-1248</v>
      </c>
      <c r="E4517" s="114" t="s">
        <v>7527</v>
      </c>
    </row>
    <row r="4518" spans="1:5" x14ac:dyDescent="0.25">
      <c r="B4518" s="114" t="s">
        <v>1073</v>
      </c>
      <c r="D4518" s="114" t="s">
        <v>7528</v>
      </c>
      <c r="E4518" s="114" t="s">
        <v>7529</v>
      </c>
    </row>
    <row r="4519" spans="1:5" x14ac:dyDescent="0.25">
      <c r="B4519" s="114" t="s">
        <v>1073</v>
      </c>
      <c r="C4519" s="114" t="s">
        <v>1072</v>
      </c>
      <c r="D4519" s="114" t="s">
        <v>7530</v>
      </c>
      <c r="E4519" s="114" t="s">
        <v>7531</v>
      </c>
    </row>
    <row r="4520" spans="1:5" x14ac:dyDescent="0.25">
      <c r="B4520" s="114" t="s">
        <v>2754</v>
      </c>
      <c r="D4520" s="114" t="s">
        <v>7532</v>
      </c>
      <c r="E4520" s="114" t="s">
        <v>3993</v>
      </c>
    </row>
    <row r="4521" spans="1:5" x14ac:dyDescent="0.25">
      <c r="B4521" s="114" t="s">
        <v>1073</v>
      </c>
      <c r="D4521" s="114" t="s">
        <v>1073</v>
      </c>
      <c r="E4521" s="114" t="s">
        <v>7533</v>
      </c>
    </row>
    <row r="4522" spans="1:5" x14ac:dyDescent="0.25">
      <c r="B4522" s="114" t="s">
        <v>1073</v>
      </c>
      <c r="D4522" s="114" t="s">
        <v>7534</v>
      </c>
      <c r="E4522" s="114" t="s">
        <v>7535</v>
      </c>
    </row>
    <row r="4523" spans="1:5" x14ac:dyDescent="0.25">
      <c r="B4523" s="114" t="s">
        <v>2755</v>
      </c>
      <c r="D4523" s="114" t="s">
        <v>7536</v>
      </c>
      <c r="E4523" s="114" t="s">
        <v>7537</v>
      </c>
    </row>
    <row r="4524" spans="1:5" x14ac:dyDescent="0.25">
      <c r="B4524" s="114" t="s">
        <v>2756</v>
      </c>
      <c r="C4524" s="114">
        <v>1</v>
      </c>
      <c r="D4524" s="114" t="s">
        <v>7538</v>
      </c>
      <c r="E4524" s="114" t="s">
        <v>7539</v>
      </c>
    </row>
    <row r="4525" spans="1:5" x14ac:dyDescent="0.25">
      <c r="A4525" s="114">
        <v>19</v>
      </c>
      <c r="B4525" s="114" t="s">
        <v>2757</v>
      </c>
      <c r="C4525" s="114">
        <v>2</v>
      </c>
      <c r="D4525" s="114" t="s">
        <v>7540</v>
      </c>
      <c r="E4525" s="114" t="s">
        <v>7541</v>
      </c>
    </row>
    <row r="4526" spans="1:5" x14ac:dyDescent="0.25">
      <c r="B4526" s="114" t="s">
        <v>1073</v>
      </c>
      <c r="D4526" s="114" t="s">
        <v>7542</v>
      </c>
      <c r="E4526" s="114" t="s">
        <v>7543</v>
      </c>
    </row>
    <row r="4527" spans="1:5" x14ac:dyDescent="0.25">
      <c r="B4527" s="114" t="s">
        <v>1073</v>
      </c>
      <c r="D4527" s="114" t="s">
        <v>1073</v>
      </c>
      <c r="E4527" s="114" t="s">
        <v>7544</v>
      </c>
    </row>
    <row r="4528" spans="1:5" x14ac:dyDescent="0.25">
      <c r="B4528" s="114" t="s">
        <v>1073</v>
      </c>
      <c r="D4528" s="114" t="s">
        <v>7545</v>
      </c>
      <c r="E4528" s="114" t="s">
        <v>7546</v>
      </c>
    </row>
    <row r="4529" spans="1:5" x14ac:dyDescent="0.25">
      <c r="B4529" s="114" t="s">
        <v>1103</v>
      </c>
      <c r="D4529" s="114" t="s">
        <v>1073</v>
      </c>
      <c r="E4529" s="114" t="s">
        <v>7547</v>
      </c>
    </row>
    <row r="4530" spans="1:5" x14ac:dyDescent="0.25">
      <c r="B4530" s="114" t="s">
        <v>1254</v>
      </c>
      <c r="D4530" s="114" t="s">
        <v>1073</v>
      </c>
      <c r="E4530" s="114" t="s">
        <v>7548</v>
      </c>
    </row>
    <row r="4531" spans="1:5" x14ac:dyDescent="0.25">
      <c r="A4531" s="114">
        <v>-22</v>
      </c>
      <c r="B4531" s="114" t="s">
        <v>2758</v>
      </c>
      <c r="D4531" s="114" t="s">
        <v>7549</v>
      </c>
      <c r="E4531" s="114" t="s">
        <v>7550</v>
      </c>
    </row>
    <row r="4532" spans="1:5" x14ac:dyDescent="0.25">
      <c r="B4532" s="114" t="s">
        <v>1073</v>
      </c>
      <c r="D4532" s="114">
        <f>-329  -1189</f>
        <v>-1518</v>
      </c>
      <c r="E4532" s="114" t="s">
        <v>7551</v>
      </c>
    </row>
    <row r="4533" spans="1:5" x14ac:dyDescent="0.25">
      <c r="A4533" s="114" t="s">
        <v>1072</v>
      </c>
      <c r="B4533" s="114" t="s">
        <v>2759</v>
      </c>
      <c r="D4533" s="114" t="s">
        <v>1073</v>
      </c>
      <c r="E4533" s="114" t="s">
        <v>7552</v>
      </c>
    </row>
    <row r="4534" spans="1:5" x14ac:dyDescent="0.25">
      <c r="A4534" s="114">
        <v>-6</v>
      </c>
      <c r="B4534" s="114" t="s">
        <v>2760</v>
      </c>
      <c r="D4534" s="114" t="s">
        <v>7553</v>
      </c>
      <c r="E4534" s="114" t="s">
        <v>7554</v>
      </c>
    </row>
    <row r="4535" spans="1:5" x14ac:dyDescent="0.25">
      <c r="B4535" s="114" t="s">
        <v>2761</v>
      </c>
      <c r="D4535" s="114" t="s">
        <v>1395</v>
      </c>
      <c r="E4535" s="114" t="s">
        <v>7555</v>
      </c>
    </row>
    <row r="4536" spans="1:5" x14ac:dyDescent="0.25">
      <c r="B4536" s="114" t="s">
        <v>2762</v>
      </c>
      <c r="D4536" s="114" t="s">
        <v>1073</v>
      </c>
      <c r="E4536" s="114" t="s">
        <v>7556</v>
      </c>
    </row>
    <row r="4537" spans="1:5" x14ac:dyDescent="0.25">
      <c r="A4537" s="114">
        <v>-6</v>
      </c>
      <c r="B4537" s="114" t="s">
        <v>2763</v>
      </c>
      <c r="D4537" s="114" t="s">
        <v>7557</v>
      </c>
      <c r="E4537" s="114" t="s">
        <v>7558</v>
      </c>
    </row>
    <row r="4538" spans="1:5" x14ac:dyDescent="0.25">
      <c r="B4538" s="114" t="s">
        <v>2764</v>
      </c>
      <c r="D4538" s="114" t="s">
        <v>7559</v>
      </c>
      <c r="E4538" s="114" t="s">
        <v>7560</v>
      </c>
    </row>
    <row r="4539" spans="1:5" x14ac:dyDescent="0.25">
      <c r="B4539" s="114">
        <f>-36   -358</f>
        <v>-394</v>
      </c>
      <c r="D4539" s="114" t="s">
        <v>1073</v>
      </c>
      <c r="E4539" s="114" t="s">
        <v>7561</v>
      </c>
    </row>
    <row r="4540" spans="1:5" x14ac:dyDescent="0.25">
      <c r="A4540" s="114">
        <v>-8</v>
      </c>
      <c r="B4540" s="114" t="s">
        <v>2765</v>
      </c>
      <c r="D4540" s="114" t="s">
        <v>1073</v>
      </c>
      <c r="E4540" s="114" t="s">
        <v>7562</v>
      </c>
    </row>
    <row r="4541" spans="1:5" x14ac:dyDescent="0.25">
      <c r="B4541" s="114" t="s">
        <v>2766</v>
      </c>
      <c r="D4541" s="114" t="s">
        <v>5198</v>
      </c>
      <c r="E4541" s="114" t="s">
        <v>7563</v>
      </c>
    </row>
    <row r="4542" spans="1:5" x14ac:dyDescent="0.25">
      <c r="B4542" s="114" t="s">
        <v>1073</v>
      </c>
      <c r="D4542" s="114" t="s">
        <v>1073</v>
      </c>
      <c r="E4542" s="114" t="s">
        <v>7564</v>
      </c>
    </row>
    <row r="4543" spans="1:5" x14ac:dyDescent="0.25">
      <c r="A4543" s="114">
        <v>2</v>
      </c>
      <c r="B4543" s="114" t="s">
        <v>2767</v>
      </c>
      <c r="D4543" s="114" t="s">
        <v>1073</v>
      </c>
      <c r="E4543" s="114" t="s">
        <v>7565</v>
      </c>
    </row>
    <row r="4544" spans="1:5" x14ac:dyDescent="0.25">
      <c r="A4544" s="114">
        <v>-2</v>
      </c>
      <c r="B4544" s="114" t="s">
        <v>2768</v>
      </c>
      <c r="D4544" s="114" t="s">
        <v>1139</v>
      </c>
      <c r="E4544" s="114" t="s">
        <v>7566</v>
      </c>
    </row>
    <row r="4545" spans="1:5" x14ac:dyDescent="0.25">
      <c r="B4545" s="114" t="s">
        <v>2769</v>
      </c>
      <c r="D4545" s="114" t="s">
        <v>1073</v>
      </c>
      <c r="E4545" s="114" t="s">
        <v>7567</v>
      </c>
    </row>
    <row r="4546" spans="1:5" x14ac:dyDescent="0.25">
      <c r="A4546" s="114" t="s">
        <v>1072</v>
      </c>
      <c r="B4546" s="114" t="s">
        <v>2770</v>
      </c>
      <c r="D4546" s="114" t="s">
        <v>7568</v>
      </c>
      <c r="E4546" s="114" t="s">
        <v>4088</v>
      </c>
    </row>
    <row r="4547" spans="1:5" x14ac:dyDescent="0.25">
      <c r="B4547" s="114" t="s">
        <v>1073</v>
      </c>
      <c r="D4547" s="114" t="s">
        <v>7569</v>
      </c>
      <c r="E4547" s="114" t="s">
        <v>7570</v>
      </c>
    </row>
    <row r="4548" spans="1:5" x14ac:dyDescent="0.25">
      <c r="A4548" s="114" t="s">
        <v>1072</v>
      </c>
      <c r="B4548" s="114" t="s">
        <v>2260</v>
      </c>
      <c r="D4548" s="114" t="s">
        <v>7571</v>
      </c>
      <c r="E4548" s="114" t="s">
        <v>7572</v>
      </c>
    </row>
    <row r="4549" spans="1:5" x14ac:dyDescent="0.25">
      <c r="B4549" s="114" t="s">
        <v>1320</v>
      </c>
      <c r="D4549" s="114" t="s">
        <v>1073</v>
      </c>
      <c r="E4549" s="114" t="s">
        <v>3993</v>
      </c>
    </row>
    <row r="4550" spans="1:5" x14ac:dyDescent="0.25">
      <c r="B4550" s="114" t="s">
        <v>1073</v>
      </c>
      <c r="D4550" s="114" t="s">
        <v>1073</v>
      </c>
      <c r="E4550" s="114" t="s">
        <v>7573</v>
      </c>
    </row>
    <row r="4551" spans="1:5" x14ac:dyDescent="0.25">
      <c r="B4551" s="114" t="s">
        <v>1401</v>
      </c>
      <c r="D4551" s="114" t="s">
        <v>7574</v>
      </c>
      <c r="E4551" s="114" t="s">
        <v>7575</v>
      </c>
    </row>
    <row r="4552" spans="1:5" x14ac:dyDescent="0.25">
      <c r="B4552" s="114" t="s">
        <v>1073</v>
      </c>
      <c r="D4552" s="114" t="s">
        <v>7576</v>
      </c>
      <c r="E4552" s="114" t="s">
        <v>7577</v>
      </c>
    </row>
    <row r="4553" spans="1:5" x14ac:dyDescent="0.25">
      <c r="A4553" s="114">
        <v>16</v>
      </c>
      <c r="B4553" s="114" t="s">
        <v>2771</v>
      </c>
      <c r="C4553" s="114">
        <v>1</v>
      </c>
      <c r="D4553" s="114" t="s">
        <v>7578</v>
      </c>
      <c r="E4553" s="114" t="s">
        <v>7579</v>
      </c>
    </row>
    <row r="4554" spans="1:5" x14ac:dyDescent="0.25">
      <c r="A4554" s="114">
        <v>17</v>
      </c>
      <c r="B4554" s="114" t="s">
        <v>2772</v>
      </c>
      <c r="C4554" s="114">
        <v>1</v>
      </c>
      <c r="D4554" s="114" t="s">
        <v>7580</v>
      </c>
      <c r="E4554" s="114" t="s">
        <v>7581</v>
      </c>
    </row>
    <row r="4555" spans="1:5" x14ac:dyDescent="0.25">
      <c r="B4555" s="114" t="s">
        <v>1282</v>
      </c>
      <c r="D4555" s="114" t="s">
        <v>1459</v>
      </c>
      <c r="E4555" s="114" t="s">
        <v>7582</v>
      </c>
    </row>
    <row r="4556" spans="1:5" x14ac:dyDescent="0.25">
      <c r="B4556" s="114" t="s">
        <v>1073</v>
      </c>
      <c r="D4556" s="114" t="s">
        <v>1073</v>
      </c>
      <c r="E4556" s="114" t="s">
        <v>7583</v>
      </c>
    </row>
    <row r="4557" spans="1:5" x14ac:dyDescent="0.25">
      <c r="B4557" s="114" t="s">
        <v>1502</v>
      </c>
      <c r="D4557" s="114" t="s">
        <v>7584</v>
      </c>
      <c r="E4557" s="114" t="s">
        <v>7585</v>
      </c>
    </row>
    <row r="4558" spans="1:5" x14ac:dyDescent="0.25">
      <c r="B4558" s="114" t="s">
        <v>2237</v>
      </c>
      <c r="D4558" s="114" t="s">
        <v>4170</v>
      </c>
      <c r="E4558" s="114" t="s">
        <v>4002</v>
      </c>
    </row>
    <row r="4559" spans="1:5" x14ac:dyDescent="0.25">
      <c r="B4559" s="114" t="s">
        <v>1564</v>
      </c>
      <c r="D4559" s="114" t="s">
        <v>1073</v>
      </c>
      <c r="E4559" s="114" t="s">
        <v>7586</v>
      </c>
    </row>
    <row r="4560" spans="1:5" x14ac:dyDescent="0.25">
      <c r="B4560" s="114" t="s">
        <v>2773</v>
      </c>
      <c r="D4560" s="114" t="s">
        <v>1073</v>
      </c>
      <c r="E4560" s="114" t="s">
        <v>7587</v>
      </c>
    </row>
    <row r="4561" spans="1:5" x14ac:dyDescent="0.25">
      <c r="B4561" s="114" t="s">
        <v>1569</v>
      </c>
      <c r="D4561" s="114" t="s">
        <v>7588</v>
      </c>
      <c r="E4561" s="114" t="s">
        <v>7589</v>
      </c>
    </row>
    <row r="4562" spans="1:5" x14ac:dyDescent="0.25">
      <c r="B4562" s="114" t="s">
        <v>1447</v>
      </c>
      <c r="D4562" s="114" t="s">
        <v>1073</v>
      </c>
      <c r="E4562" s="114" t="s">
        <v>7590</v>
      </c>
    </row>
    <row r="4563" spans="1:5" x14ac:dyDescent="0.25">
      <c r="A4563" s="114">
        <v>-2</v>
      </c>
      <c r="B4563" s="114" t="s">
        <v>2774</v>
      </c>
      <c r="C4563" s="114" t="s">
        <v>1072</v>
      </c>
      <c r="D4563" s="114" t="s">
        <v>7591</v>
      </c>
      <c r="E4563" s="114" t="s">
        <v>7592</v>
      </c>
    </row>
    <row r="4564" spans="1:5" x14ac:dyDescent="0.25">
      <c r="A4564" s="114">
        <v>-2</v>
      </c>
      <c r="B4564" s="114" t="s">
        <v>2775</v>
      </c>
      <c r="D4564" s="114" t="s">
        <v>7593</v>
      </c>
      <c r="E4564" s="114" t="s">
        <v>7594</v>
      </c>
    </row>
    <row r="4565" spans="1:5" x14ac:dyDescent="0.25">
      <c r="B4565" s="114" t="s">
        <v>2017</v>
      </c>
      <c r="D4565" s="114" t="s">
        <v>1073</v>
      </c>
      <c r="E4565" s="114" t="s">
        <v>7595</v>
      </c>
    </row>
    <row r="4566" spans="1:5" x14ac:dyDescent="0.25">
      <c r="B4566" s="114" t="s">
        <v>2776</v>
      </c>
      <c r="D4566" s="114" t="s">
        <v>7596</v>
      </c>
      <c r="E4566" s="114" t="s">
        <v>7597</v>
      </c>
    </row>
    <row r="4567" spans="1:5" x14ac:dyDescent="0.25">
      <c r="A4567" s="114">
        <v>-1</v>
      </c>
      <c r="B4567" s="114" t="s">
        <v>2777</v>
      </c>
      <c r="D4567" s="114" t="s">
        <v>1278</v>
      </c>
      <c r="E4567" s="114" t="s">
        <v>7598</v>
      </c>
    </row>
    <row r="4568" spans="1:5" x14ac:dyDescent="0.25">
      <c r="B4568" s="114" t="s">
        <v>2778</v>
      </c>
      <c r="D4568" s="114" t="s">
        <v>1073</v>
      </c>
      <c r="E4568" s="114" t="s">
        <v>7599</v>
      </c>
    </row>
    <row r="4569" spans="1:5" x14ac:dyDescent="0.25">
      <c r="B4569" s="114" t="s">
        <v>1337</v>
      </c>
      <c r="D4569" s="114" t="s">
        <v>4104</v>
      </c>
      <c r="E4569" s="114" t="s">
        <v>7600</v>
      </c>
    </row>
    <row r="4570" spans="1:5" x14ac:dyDescent="0.25">
      <c r="A4570" s="114" t="s">
        <v>1072</v>
      </c>
      <c r="B4570" s="114" t="s">
        <v>1205</v>
      </c>
      <c r="D4570" s="114" t="s">
        <v>7601</v>
      </c>
      <c r="E4570" s="114" t="s">
        <v>7602</v>
      </c>
    </row>
    <row r="4571" spans="1:5" x14ac:dyDescent="0.25">
      <c r="B4571" s="114" t="s">
        <v>1073</v>
      </c>
      <c r="D4571" s="114" t="s">
        <v>1073</v>
      </c>
      <c r="E4571" s="114" t="s">
        <v>7603</v>
      </c>
    </row>
    <row r="4572" spans="1:5" x14ac:dyDescent="0.25">
      <c r="B4572" s="114" t="s">
        <v>1073</v>
      </c>
      <c r="D4572" s="114" t="s">
        <v>1073</v>
      </c>
      <c r="E4572" s="114" t="s">
        <v>7604</v>
      </c>
    </row>
    <row r="4573" spans="1:5" x14ac:dyDescent="0.25">
      <c r="A4573" s="114">
        <v>-6</v>
      </c>
      <c r="B4573" s="114" t="s">
        <v>2779</v>
      </c>
      <c r="D4573" s="114" t="s">
        <v>1073</v>
      </c>
      <c r="E4573" s="114" t="s">
        <v>7605</v>
      </c>
    </row>
    <row r="4574" spans="1:5" x14ac:dyDescent="0.25">
      <c r="A4574" s="114">
        <v>-2</v>
      </c>
      <c r="B4574" s="114" t="s">
        <v>1863</v>
      </c>
      <c r="D4574" s="114" t="s">
        <v>1073</v>
      </c>
      <c r="E4574" s="114" t="s">
        <v>7606</v>
      </c>
    </row>
    <row r="4575" spans="1:5" x14ac:dyDescent="0.25">
      <c r="A4575" s="114">
        <v>-2</v>
      </c>
      <c r="B4575" s="114" t="s">
        <v>2780</v>
      </c>
      <c r="C4575" s="114" t="s">
        <v>1072</v>
      </c>
      <c r="D4575" s="114" t="s">
        <v>7607</v>
      </c>
      <c r="E4575" s="114" t="s">
        <v>3993</v>
      </c>
    </row>
    <row r="4576" spans="1:5" x14ac:dyDescent="0.25">
      <c r="B4576" s="114" t="s">
        <v>1315</v>
      </c>
      <c r="D4576" s="114" t="s">
        <v>7608</v>
      </c>
      <c r="E4576" s="114" t="s">
        <v>7609</v>
      </c>
    </row>
    <row r="4577" spans="1:5" x14ac:dyDescent="0.25">
      <c r="B4577" s="114" t="s">
        <v>1405</v>
      </c>
      <c r="C4577" s="114" t="s">
        <v>1072</v>
      </c>
      <c r="D4577" s="114" t="s">
        <v>7610</v>
      </c>
      <c r="E4577" s="114" t="s">
        <v>7611</v>
      </c>
    </row>
    <row r="4578" spans="1:5" x14ac:dyDescent="0.25">
      <c r="B4578" s="114" t="s">
        <v>1073</v>
      </c>
      <c r="D4578" s="114" t="s">
        <v>1073</v>
      </c>
      <c r="E4578" s="114" t="s">
        <v>3993</v>
      </c>
    </row>
    <row r="4579" spans="1:5" x14ac:dyDescent="0.25">
      <c r="B4579" s="114" t="s">
        <v>1073</v>
      </c>
      <c r="D4579" s="114" t="s">
        <v>1073</v>
      </c>
      <c r="E4579" s="114" t="s">
        <v>7612</v>
      </c>
    </row>
    <row r="4580" spans="1:5" x14ac:dyDescent="0.25">
      <c r="B4580" s="114" t="s">
        <v>2781</v>
      </c>
      <c r="D4580" s="114" t="s">
        <v>7613</v>
      </c>
      <c r="E4580" s="114" t="s">
        <v>7614</v>
      </c>
    </row>
    <row r="4581" spans="1:5" x14ac:dyDescent="0.25">
      <c r="B4581" s="114" t="s">
        <v>2782</v>
      </c>
      <c r="C4581" s="114">
        <v>1</v>
      </c>
      <c r="D4581" s="114" t="s">
        <v>7615</v>
      </c>
      <c r="E4581" s="114" t="s">
        <v>7616</v>
      </c>
    </row>
    <row r="4582" spans="1:5" x14ac:dyDescent="0.25">
      <c r="A4582" s="114">
        <v>25</v>
      </c>
      <c r="B4582" s="114" t="s">
        <v>2783</v>
      </c>
      <c r="C4582" s="114">
        <v>1</v>
      </c>
      <c r="D4582" s="114" t="s">
        <v>7617</v>
      </c>
      <c r="E4582" s="114" t="s">
        <v>7618</v>
      </c>
    </row>
    <row r="4583" spans="1:5" x14ac:dyDescent="0.25">
      <c r="A4583" s="114">
        <v>12</v>
      </c>
      <c r="B4583" s="114" t="s">
        <v>2784</v>
      </c>
      <c r="C4583" s="114">
        <v>2</v>
      </c>
      <c r="D4583" s="114" t="s">
        <v>7619</v>
      </c>
      <c r="E4583" s="114" t="s">
        <v>7620</v>
      </c>
    </row>
    <row r="4584" spans="1:5" x14ac:dyDescent="0.25">
      <c r="B4584" s="114" t="s">
        <v>1648</v>
      </c>
      <c r="D4584" s="114" t="s">
        <v>7621</v>
      </c>
      <c r="E4584" s="114" t="s">
        <v>7622</v>
      </c>
    </row>
    <row r="4585" spans="1:5" x14ac:dyDescent="0.25">
      <c r="B4585" s="114" t="s">
        <v>1073</v>
      </c>
      <c r="D4585" s="114" t="s">
        <v>1073</v>
      </c>
      <c r="E4585" s="114" t="s">
        <v>7623</v>
      </c>
    </row>
    <row r="4586" spans="1:5" x14ac:dyDescent="0.25">
      <c r="B4586" s="114" t="s">
        <v>2785</v>
      </c>
      <c r="D4586" s="114" t="s">
        <v>7624</v>
      </c>
      <c r="E4586" s="114" t="s">
        <v>7625</v>
      </c>
    </row>
    <row r="4587" spans="1:5" x14ac:dyDescent="0.25">
      <c r="B4587" s="114" t="s">
        <v>1187</v>
      </c>
      <c r="D4587" s="114" t="s">
        <v>4765</v>
      </c>
      <c r="E4587" s="114" t="s">
        <v>4014</v>
      </c>
    </row>
    <row r="4588" spans="1:5" x14ac:dyDescent="0.25">
      <c r="B4588" s="114" t="s">
        <v>2786</v>
      </c>
      <c r="D4588" s="114" t="s">
        <v>1073</v>
      </c>
      <c r="E4588" s="114" t="s">
        <v>7626</v>
      </c>
    </row>
    <row r="4589" spans="1:5" x14ac:dyDescent="0.25">
      <c r="B4589" s="114" t="s">
        <v>2787</v>
      </c>
      <c r="D4589" s="114" t="s">
        <v>1073</v>
      </c>
      <c r="E4589" s="114" t="s">
        <v>7627</v>
      </c>
    </row>
    <row r="4590" spans="1:5" x14ac:dyDescent="0.25">
      <c r="B4590" s="114" t="s">
        <v>2487</v>
      </c>
      <c r="D4590" s="114" t="s">
        <v>7628</v>
      </c>
      <c r="E4590" s="114" t="s">
        <v>7629</v>
      </c>
    </row>
    <row r="4591" spans="1:5" x14ac:dyDescent="0.25">
      <c r="B4591" s="114" t="s">
        <v>1296</v>
      </c>
      <c r="D4591" s="114" t="s">
        <v>1073</v>
      </c>
      <c r="E4591" s="114" t="s">
        <v>7630</v>
      </c>
    </row>
    <row r="4592" spans="1:5" x14ac:dyDescent="0.25">
      <c r="B4592" s="114" t="s">
        <v>2788</v>
      </c>
      <c r="D4592" s="114" t="s">
        <v>7631</v>
      </c>
      <c r="E4592" s="114" t="s">
        <v>7632</v>
      </c>
    </row>
    <row r="4593" spans="1:5" x14ac:dyDescent="0.25">
      <c r="A4593" s="114">
        <v>-1</v>
      </c>
      <c r="B4593" s="114" t="s">
        <v>2789</v>
      </c>
      <c r="D4593" s="114" t="s">
        <v>4284</v>
      </c>
      <c r="E4593" s="114" t="s">
        <v>7633</v>
      </c>
    </row>
    <row r="4594" spans="1:5" x14ac:dyDescent="0.25">
      <c r="B4594" s="114" t="s">
        <v>1212</v>
      </c>
      <c r="D4594" s="114" t="s">
        <v>1073</v>
      </c>
      <c r="E4594" s="114" t="s">
        <v>7634</v>
      </c>
    </row>
    <row r="4595" spans="1:5" x14ac:dyDescent="0.25">
      <c r="A4595" s="114">
        <v>-2</v>
      </c>
      <c r="B4595" s="114" t="s">
        <v>2790</v>
      </c>
      <c r="C4595" s="114" t="s">
        <v>1072</v>
      </c>
      <c r="D4595" s="114" t="s">
        <v>7635</v>
      </c>
      <c r="E4595" s="114" t="s">
        <v>7636</v>
      </c>
    </row>
    <row r="4596" spans="1:5" x14ac:dyDescent="0.25">
      <c r="A4596" s="114">
        <v>-2</v>
      </c>
      <c r="B4596" s="114" t="s">
        <v>2791</v>
      </c>
      <c r="D4596" s="114" t="s">
        <v>7637</v>
      </c>
      <c r="E4596" s="114" t="s">
        <v>7638</v>
      </c>
    </row>
    <row r="4597" spans="1:5" x14ac:dyDescent="0.25">
      <c r="B4597" s="114" t="s">
        <v>1398</v>
      </c>
      <c r="D4597" s="114" t="s">
        <v>1073</v>
      </c>
      <c r="E4597" s="114" t="s">
        <v>7639</v>
      </c>
    </row>
    <row r="4598" spans="1:5" x14ac:dyDescent="0.25">
      <c r="B4598" s="114" t="s">
        <v>2792</v>
      </c>
      <c r="D4598" s="114" t="s">
        <v>5555</v>
      </c>
      <c r="E4598" s="114" t="s">
        <v>7640</v>
      </c>
    </row>
    <row r="4599" spans="1:5" x14ac:dyDescent="0.25">
      <c r="A4599" s="114" t="s">
        <v>1072</v>
      </c>
      <c r="B4599" s="114" t="s">
        <v>1191</v>
      </c>
      <c r="D4599" s="114" t="s">
        <v>1931</v>
      </c>
      <c r="E4599" s="114" t="s">
        <v>7641</v>
      </c>
    </row>
    <row r="4600" spans="1:5" x14ac:dyDescent="0.25">
      <c r="B4600" s="114" t="s">
        <v>1073</v>
      </c>
      <c r="D4600" s="114" t="s">
        <v>1073</v>
      </c>
      <c r="E4600" s="114" t="s">
        <v>7642</v>
      </c>
    </row>
    <row r="4601" spans="1:5" x14ac:dyDescent="0.25">
      <c r="B4601" s="114" t="s">
        <v>1073</v>
      </c>
      <c r="D4601" s="114" t="s">
        <v>1073</v>
      </c>
      <c r="E4601" s="114" t="s">
        <v>7643</v>
      </c>
    </row>
    <row r="4602" spans="1:5" x14ac:dyDescent="0.25">
      <c r="A4602" s="114">
        <v>-6</v>
      </c>
      <c r="B4602" s="114" t="s">
        <v>2793</v>
      </c>
      <c r="D4602" s="114" t="s">
        <v>1073</v>
      </c>
      <c r="E4602" s="114" t="s">
        <v>7644</v>
      </c>
    </row>
    <row r="4603" spans="1:5" x14ac:dyDescent="0.25">
      <c r="A4603" s="114">
        <v>-2</v>
      </c>
      <c r="B4603" s="114" t="s">
        <v>2794</v>
      </c>
      <c r="D4603" s="114" t="s">
        <v>1073</v>
      </c>
      <c r="E4603" s="114" t="s">
        <v>7645</v>
      </c>
    </row>
    <row r="4604" spans="1:5" x14ac:dyDescent="0.25">
      <c r="A4604" s="114">
        <v>-2</v>
      </c>
      <c r="B4604" s="114" t="s">
        <v>2795</v>
      </c>
      <c r="D4604" s="114" t="s">
        <v>7646</v>
      </c>
      <c r="E4604" s="114" t="s">
        <v>3993</v>
      </c>
    </row>
    <row r="4605" spans="1:5" x14ac:dyDescent="0.25">
      <c r="B4605" s="114" t="s">
        <v>2796</v>
      </c>
      <c r="D4605" s="114" t="s">
        <v>7647</v>
      </c>
      <c r="E4605" s="114" t="s">
        <v>7648</v>
      </c>
    </row>
    <row r="4606" spans="1:5" x14ac:dyDescent="0.25">
      <c r="B4606" s="114" t="s">
        <v>2797</v>
      </c>
      <c r="D4606" s="114" t="s">
        <v>7649</v>
      </c>
      <c r="E4606" s="114" t="s">
        <v>7650</v>
      </c>
    </row>
    <row r="4607" spans="1:5" x14ac:dyDescent="0.25">
      <c r="B4607" s="114" t="s">
        <v>1073</v>
      </c>
      <c r="D4607" s="114" t="s">
        <v>1073</v>
      </c>
      <c r="E4607" s="114" t="s">
        <v>3993</v>
      </c>
    </row>
    <row r="4608" spans="1:5" x14ac:dyDescent="0.25">
      <c r="B4608" s="114" t="s">
        <v>1073</v>
      </c>
      <c r="D4608" s="114" t="s">
        <v>1073</v>
      </c>
      <c r="E4608" s="114" t="s">
        <v>7651</v>
      </c>
    </row>
    <row r="4609" spans="1:5" x14ac:dyDescent="0.25">
      <c r="B4609" s="114" t="s">
        <v>2798</v>
      </c>
      <c r="D4609" s="114" t="s">
        <v>7652</v>
      </c>
      <c r="E4609" s="114" t="s">
        <v>7653</v>
      </c>
    </row>
    <row r="4610" spans="1:5" x14ac:dyDescent="0.25">
      <c r="B4610" s="114" t="s">
        <v>2799</v>
      </c>
      <c r="C4610" s="114">
        <v>1</v>
      </c>
      <c r="D4610" s="114" t="s">
        <v>7654</v>
      </c>
      <c r="E4610" s="114" t="s">
        <v>7655</v>
      </c>
    </row>
    <row r="4611" spans="1:5" x14ac:dyDescent="0.25">
      <c r="A4611" s="114">
        <v>37</v>
      </c>
      <c r="B4611" s="114" t="s">
        <v>2800</v>
      </c>
      <c r="C4611" s="114">
        <v>1</v>
      </c>
      <c r="D4611" s="114" t="s">
        <v>7656</v>
      </c>
      <c r="E4611" s="114" t="s">
        <v>7657</v>
      </c>
    </row>
    <row r="4612" spans="1:5" x14ac:dyDescent="0.25">
      <c r="A4612" s="114">
        <v>13</v>
      </c>
      <c r="B4612" s="114" t="s">
        <v>2801</v>
      </c>
      <c r="C4612" s="114">
        <v>3</v>
      </c>
      <c r="D4612" s="114" t="s">
        <v>7658</v>
      </c>
      <c r="E4612" s="114" t="s">
        <v>7659</v>
      </c>
    </row>
    <row r="4613" spans="1:5" x14ac:dyDescent="0.25">
      <c r="B4613" s="114" t="s">
        <v>1073</v>
      </c>
      <c r="D4613" s="114" t="s">
        <v>7660</v>
      </c>
      <c r="E4613" s="114" t="s">
        <v>7661</v>
      </c>
    </row>
    <row r="4614" spans="1:5" x14ac:dyDescent="0.25">
      <c r="B4614" s="114" t="s">
        <v>1073</v>
      </c>
      <c r="D4614" s="114" t="s">
        <v>1073</v>
      </c>
      <c r="E4614" s="114" t="s">
        <v>7662</v>
      </c>
    </row>
    <row r="4615" spans="1:5" x14ac:dyDescent="0.25">
      <c r="B4615" s="114" t="s">
        <v>1073</v>
      </c>
      <c r="D4615" s="114" t="s">
        <v>7663</v>
      </c>
      <c r="E4615" s="114" t="s">
        <v>7664</v>
      </c>
    </row>
    <row r="4616" spans="1:5" x14ac:dyDescent="0.25">
      <c r="B4616" s="114" t="s">
        <v>2802</v>
      </c>
      <c r="D4616" s="114" t="s">
        <v>1073</v>
      </c>
      <c r="E4616" s="114" t="s">
        <v>7308</v>
      </c>
    </row>
    <row r="4617" spans="1:5" x14ac:dyDescent="0.25">
      <c r="B4617" s="114" t="s">
        <v>1387</v>
      </c>
      <c r="D4617" s="114" t="s">
        <v>1073</v>
      </c>
      <c r="E4617" s="114" t="s">
        <v>7665</v>
      </c>
    </row>
    <row r="4618" spans="1:5" x14ac:dyDescent="0.25">
      <c r="A4618" s="114">
        <v>-7</v>
      </c>
      <c r="B4618" s="114" t="s">
        <v>1413</v>
      </c>
      <c r="D4618" s="114" t="s">
        <v>1356</v>
      </c>
      <c r="E4618" s="114" t="s">
        <v>7666</v>
      </c>
    </row>
    <row r="4619" spans="1:5" x14ac:dyDescent="0.25">
      <c r="B4619" s="114" t="s">
        <v>1073</v>
      </c>
      <c r="D4619" s="114" t="s">
        <v>7667</v>
      </c>
      <c r="E4619" s="114" t="s">
        <v>7668</v>
      </c>
    </row>
    <row r="4620" spans="1:5" x14ac:dyDescent="0.25">
      <c r="B4620" s="114" t="s">
        <v>2803</v>
      </c>
      <c r="D4620" s="114" t="s">
        <v>1073</v>
      </c>
      <c r="E4620" s="114" t="s">
        <v>7669</v>
      </c>
    </row>
    <row r="4621" spans="1:5" x14ac:dyDescent="0.25">
      <c r="A4621" s="114">
        <v>-7</v>
      </c>
      <c r="B4621" s="114" t="s">
        <v>2804</v>
      </c>
      <c r="D4621" s="114" t="s">
        <v>7670</v>
      </c>
      <c r="E4621" s="114" t="s">
        <v>7671</v>
      </c>
    </row>
    <row r="4622" spans="1:5" x14ac:dyDescent="0.25">
      <c r="B4622" s="114" t="s">
        <v>2805</v>
      </c>
      <c r="D4622" s="114" t="s">
        <v>1347</v>
      </c>
      <c r="E4622" s="114" t="s">
        <v>7672</v>
      </c>
    </row>
    <row r="4623" spans="1:5" x14ac:dyDescent="0.25">
      <c r="B4623" s="114">
        <f>-55    -43</f>
        <v>-98</v>
      </c>
      <c r="D4623" s="114" t="s">
        <v>1073</v>
      </c>
      <c r="E4623" s="114" t="s">
        <v>7673</v>
      </c>
    </row>
    <row r="4624" spans="1:5" x14ac:dyDescent="0.25">
      <c r="A4624" s="114">
        <v>-7</v>
      </c>
      <c r="B4624" s="114" t="s">
        <v>2806</v>
      </c>
      <c r="D4624" s="114" t="s">
        <v>7674</v>
      </c>
      <c r="E4624" s="114" t="s">
        <v>7675</v>
      </c>
    </row>
    <row r="4625" spans="1:5" x14ac:dyDescent="0.25">
      <c r="B4625" s="114" t="s">
        <v>2807</v>
      </c>
      <c r="D4625" s="114" t="s">
        <v>7676</v>
      </c>
      <c r="E4625" s="114" t="s">
        <v>7677</v>
      </c>
    </row>
    <row r="4626" spans="1:5" x14ac:dyDescent="0.25">
      <c r="B4626" s="114" t="s">
        <v>2808</v>
      </c>
      <c r="D4626" s="114" t="s">
        <v>1073</v>
      </c>
      <c r="E4626" s="114" t="s">
        <v>7678</v>
      </c>
    </row>
    <row r="4627" spans="1:5" x14ac:dyDescent="0.25">
      <c r="A4627" s="114">
        <v>-24</v>
      </c>
      <c r="B4627" s="114" t="s">
        <v>2809</v>
      </c>
      <c r="D4627" s="114" t="s">
        <v>1073</v>
      </c>
      <c r="E4627" s="114" t="s">
        <v>7679</v>
      </c>
    </row>
    <row r="4628" spans="1:5" x14ac:dyDescent="0.25">
      <c r="B4628" s="114" t="s">
        <v>2810</v>
      </c>
      <c r="D4628" s="114" t="s">
        <v>4112</v>
      </c>
      <c r="E4628" s="114" t="s">
        <v>7680</v>
      </c>
    </row>
    <row r="4629" spans="1:5" x14ac:dyDescent="0.25">
      <c r="B4629" s="114" t="s">
        <v>1073</v>
      </c>
      <c r="D4629" s="114" t="s">
        <v>1073</v>
      </c>
      <c r="E4629" s="114" t="s">
        <v>7681</v>
      </c>
    </row>
    <row r="4630" spans="1:5" x14ac:dyDescent="0.25">
      <c r="A4630" s="114">
        <v>6</v>
      </c>
      <c r="B4630" s="114" t="s">
        <v>1508</v>
      </c>
      <c r="D4630" s="114" t="s">
        <v>1073</v>
      </c>
      <c r="E4630" s="114" t="s">
        <v>7682</v>
      </c>
    </row>
    <row r="4631" spans="1:5" x14ac:dyDescent="0.25">
      <c r="A4631" s="114">
        <v>-3</v>
      </c>
      <c r="B4631" s="114" t="s">
        <v>2811</v>
      </c>
      <c r="C4631" s="114" t="s">
        <v>1072</v>
      </c>
      <c r="D4631" s="114" t="s">
        <v>7683</v>
      </c>
      <c r="E4631" s="114" t="s">
        <v>7684</v>
      </c>
    </row>
    <row r="4632" spans="1:5" x14ac:dyDescent="0.25">
      <c r="B4632" s="114" t="s">
        <v>2812</v>
      </c>
      <c r="D4632" s="114" t="s">
        <v>1073</v>
      </c>
      <c r="E4632" s="114" t="s">
        <v>7685</v>
      </c>
    </row>
    <row r="4633" spans="1:5" x14ac:dyDescent="0.25">
      <c r="A4633" s="114">
        <v>-1</v>
      </c>
      <c r="B4633" s="114" t="s">
        <v>2813</v>
      </c>
      <c r="C4633" s="114" t="s">
        <v>1072</v>
      </c>
      <c r="D4633" s="114" t="s">
        <v>7686</v>
      </c>
      <c r="E4633" s="114" t="s">
        <v>4002</v>
      </c>
    </row>
    <row r="4634" spans="1:5" x14ac:dyDescent="0.25">
      <c r="B4634" s="114" t="s">
        <v>1073</v>
      </c>
      <c r="D4634" s="114" t="s">
        <v>7687</v>
      </c>
      <c r="E4634" s="114" t="s">
        <v>7688</v>
      </c>
    </row>
    <row r="4635" spans="1:5" x14ac:dyDescent="0.25">
      <c r="A4635" s="114">
        <v>-1</v>
      </c>
      <c r="B4635" s="114" t="s">
        <v>1320</v>
      </c>
      <c r="C4635" s="114" t="s">
        <v>1072</v>
      </c>
      <c r="D4635" s="114" t="s">
        <v>7689</v>
      </c>
      <c r="E4635" s="114" t="s">
        <v>7690</v>
      </c>
    </row>
    <row r="4636" spans="1:5" x14ac:dyDescent="0.25">
      <c r="A4636" s="114">
        <v>1</v>
      </c>
      <c r="B4636" s="114" t="s">
        <v>1076</v>
      </c>
      <c r="D4636" s="114" t="s">
        <v>1073</v>
      </c>
      <c r="E4636" s="114" t="s">
        <v>3993</v>
      </c>
    </row>
    <row r="4637" spans="1:5" x14ac:dyDescent="0.25">
      <c r="B4637" s="114" t="s">
        <v>1073</v>
      </c>
      <c r="D4637" s="114" t="s">
        <v>1073</v>
      </c>
      <c r="E4637" s="114" t="s">
        <v>7691</v>
      </c>
    </row>
    <row r="4638" spans="1:5" x14ac:dyDescent="0.25">
      <c r="B4638" s="114" t="s">
        <v>2814</v>
      </c>
      <c r="D4638" s="114" t="s">
        <v>7692</v>
      </c>
      <c r="E4638" s="114" t="s">
        <v>7693</v>
      </c>
    </row>
    <row r="4639" spans="1:5" x14ac:dyDescent="0.25">
      <c r="B4639" s="114" t="s">
        <v>1073</v>
      </c>
      <c r="D4639" s="114" t="s">
        <v>7694</v>
      </c>
      <c r="E4639" s="114" t="s">
        <v>7695</v>
      </c>
    </row>
    <row r="4640" spans="1:5" x14ac:dyDescent="0.25">
      <c r="A4640" s="114">
        <v>25</v>
      </c>
      <c r="B4640" s="114" t="s">
        <v>2815</v>
      </c>
      <c r="C4640" s="114">
        <v>3</v>
      </c>
      <c r="D4640" s="114" t="s">
        <v>7696</v>
      </c>
      <c r="E4640" s="114" t="s">
        <v>7697</v>
      </c>
    </row>
    <row r="4641" spans="1:5" x14ac:dyDescent="0.25">
      <c r="A4641" s="114">
        <v>40</v>
      </c>
      <c r="B4641" s="114" t="s">
        <v>2816</v>
      </c>
      <c r="C4641" s="114">
        <v>2</v>
      </c>
      <c r="D4641" s="114" t="s">
        <v>7698</v>
      </c>
      <c r="E4641" s="114" t="s">
        <v>7699</v>
      </c>
    </row>
    <row r="4642" spans="1:5" x14ac:dyDescent="0.25">
      <c r="A4642" s="114">
        <v>-6</v>
      </c>
      <c r="B4642" s="114" t="s">
        <v>2817</v>
      </c>
      <c r="D4642" s="114" t="s">
        <v>7700</v>
      </c>
      <c r="E4642" s="114" t="s">
        <v>7701</v>
      </c>
    </row>
    <row r="4643" spans="1:5" x14ac:dyDescent="0.25">
      <c r="A4643" s="114">
        <v>1</v>
      </c>
      <c r="B4643" s="114" t="s">
        <v>2818</v>
      </c>
      <c r="D4643" s="114" t="s">
        <v>1073</v>
      </c>
      <c r="E4643" s="114" t="s">
        <v>3993</v>
      </c>
    </row>
    <row r="4644" spans="1:5" x14ac:dyDescent="0.25">
      <c r="A4644" s="114">
        <v>-1</v>
      </c>
      <c r="B4644" s="114" t="s">
        <v>2819</v>
      </c>
      <c r="D4644" s="114" t="s">
        <v>7702</v>
      </c>
      <c r="E4644" s="114" t="s">
        <v>7703</v>
      </c>
    </row>
    <row r="4645" spans="1:5" x14ac:dyDescent="0.25">
      <c r="B4645" s="114" t="s">
        <v>1073</v>
      </c>
      <c r="D4645" s="114" t="s">
        <v>7704</v>
      </c>
      <c r="E4645" s="114" t="s">
        <v>7705</v>
      </c>
    </row>
    <row r="4646" spans="1:5" x14ac:dyDescent="0.25">
      <c r="B4646" s="114" t="s">
        <v>1073</v>
      </c>
      <c r="D4646" s="114" t="s">
        <v>7706</v>
      </c>
      <c r="E4646" s="114" t="s">
        <v>3993</v>
      </c>
    </row>
    <row r="4647" spans="1:5" x14ac:dyDescent="0.25">
      <c r="B4647" s="114" t="s">
        <v>1774</v>
      </c>
      <c r="D4647" s="114" t="s">
        <v>7707</v>
      </c>
      <c r="E4647" s="114" t="s">
        <v>7708</v>
      </c>
    </row>
    <row r="4648" spans="1:5" x14ac:dyDescent="0.25">
      <c r="A4648" s="114">
        <v>-1</v>
      </c>
      <c r="B4648" s="114" t="s">
        <v>2820</v>
      </c>
      <c r="D4648" s="114" t="s">
        <v>7709</v>
      </c>
      <c r="E4648" s="114" t="s">
        <v>7710</v>
      </c>
    </row>
    <row r="4649" spans="1:5" x14ac:dyDescent="0.25">
      <c r="B4649" s="125">
        <v>18383</v>
      </c>
      <c r="D4649" s="114">
        <f>-821   -513</f>
        <v>-1334</v>
      </c>
      <c r="E4649" s="114" t="s">
        <v>7711</v>
      </c>
    </row>
    <row r="4650" spans="1:5" x14ac:dyDescent="0.25">
      <c r="B4650" s="114" t="s">
        <v>2821</v>
      </c>
      <c r="C4650" s="114" t="s">
        <v>1072</v>
      </c>
      <c r="D4650" s="114" t="s">
        <v>7712</v>
      </c>
      <c r="E4650" s="114" t="s">
        <v>7713</v>
      </c>
    </row>
    <row r="4651" spans="1:5" x14ac:dyDescent="0.25">
      <c r="B4651" s="114" t="s">
        <v>2822</v>
      </c>
      <c r="D4651" s="114" t="s">
        <v>7714</v>
      </c>
      <c r="E4651" s="114" t="s">
        <v>7715</v>
      </c>
    </row>
    <row r="4652" spans="1:5" x14ac:dyDescent="0.25">
      <c r="B4652" s="114" t="s">
        <v>2823</v>
      </c>
      <c r="D4652" s="114" t="s">
        <v>7716</v>
      </c>
      <c r="E4652" s="114" t="s">
        <v>7717</v>
      </c>
    </row>
    <row r="4653" spans="1:5" x14ac:dyDescent="0.25">
      <c r="B4653" s="114" t="s">
        <v>2824</v>
      </c>
      <c r="C4653" s="114" t="s">
        <v>1072</v>
      </c>
      <c r="D4653" s="114" t="s">
        <v>7718</v>
      </c>
      <c r="E4653" s="114" t="s">
        <v>7719</v>
      </c>
    </row>
    <row r="4654" spans="1:5" x14ac:dyDescent="0.25">
      <c r="B4654" s="114" t="s">
        <v>2825</v>
      </c>
      <c r="D4654" s="114" t="s">
        <v>7720</v>
      </c>
      <c r="E4654" s="114" t="s">
        <v>7721</v>
      </c>
    </row>
    <row r="4655" spans="1:5" x14ac:dyDescent="0.25">
      <c r="B4655" s="114" t="s">
        <v>1416</v>
      </c>
      <c r="D4655" s="114" t="s">
        <v>7722</v>
      </c>
      <c r="E4655" s="114" t="s">
        <v>7723</v>
      </c>
    </row>
    <row r="4656" spans="1:5" x14ac:dyDescent="0.25">
      <c r="B4656" s="114" t="s">
        <v>2826</v>
      </c>
      <c r="D4656" s="114" t="s">
        <v>7724</v>
      </c>
      <c r="E4656" s="114" t="s">
        <v>7725</v>
      </c>
    </row>
    <row r="4657" spans="1:5" x14ac:dyDescent="0.25">
      <c r="A4657" s="114" t="s">
        <v>1072</v>
      </c>
      <c r="B4657" s="114" t="s">
        <v>2827</v>
      </c>
      <c r="D4657" s="114" t="s">
        <v>7726</v>
      </c>
      <c r="E4657" s="114" t="s">
        <v>7727</v>
      </c>
    </row>
    <row r="4658" spans="1:5" x14ac:dyDescent="0.25">
      <c r="B4658" s="114" t="s">
        <v>1675</v>
      </c>
      <c r="D4658" s="114" t="s">
        <v>1073</v>
      </c>
      <c r="E4658" s="114" t="s">
        <v>7728</v>
      </c>
    </row>
    <row r="4659" spans="1:5" x14ac:dyDescent="0.25">
      <c r="B4659" s="114" t="s">
        <v>2828</v>
      </c>
      <c r="D4659" s="114" t="s">
        <v>7729</v>
      </c>
      <c r="E4659" s="114" t="s">
        <v>7730</v>
      </c>
    </row>
    <row r="4660" spans="1:5" x14ac:dyDescent="0.25">
      <c r="A4660" s="114">
        <v>-1</v>
      </c>
      <c r="B4660" s="114" t="s">
        <v>2829</v>
      </c>
      <c r="D4660" s="114" t="s">
        <v>7731</v>
      </c>
      <c r="E4660" s="114" t="s">
        <v>7732</v>
      </c>
    </row>
    <row r="4661" spans="1:5" x14ac:dyDescent="0.25">
      <c r="B4661" s="114" t="s">
        <v>2712</v>
      </c>
      <c r="D4661" s="114" t="s">
        <v>2735</v>
      </c>
      <c r="E4661" s="114" t="s">
        <v>7733</v>
      </c>
    </row>
    <row r="4662" spans="1:5" x14ac:dyDescent="0.25">
      <c r="A4662" s="114">
        <v>-1</v>
      </c>
      <c r="B4662" s="114" t="s">
        <v>2830</v>
      </c>
      <c r="D4662" s="114" t="s">
        <v>7734</v>
      </c>
      <c r="E4662" s="114" t="s">
        <v>7735</v>
      </c>
    </row>
    <row r="4663" spans="1:5" x14ac:dyDescent="0.25">
      <c r="B4663" s="114" t="s">
        <v>1073</v>
      </c>
      <c r="D4663" s="114" t="s">
        <v>7736</v>
      </c>
      <c r="E4663" s="114" t="s">
        <v>7737</v>
      </c>
    </row>
    <row r="4664" spans="1:5" x14ac:dyDescent="0.25">
      <c r="B4664" s="114" t="s">
        <v>1073</v>
      </c>
      <c r="D4664" s="114" t="s">
        <v>7738</v>
      </c>
      <c r="E4664" s="114" t="s">
        <v>7739</v>
      </c>
    </row>
    <row r="4665" spans="1:5" x14ac:dyDescent="0.25">
      <c r="B4665" s="114" t="s">
        <v>1448</v>
      </c>
      <c r="D4665" s="114" t="s">
        <v>7740</v>
      </c>
      <c r="E4665" s="114" t="s">
        <v>3993</v>
      </c>
    </row>
    <row r="4666" spans="1:5" x14ac:dyDescent="0.25">
      <c r="B4666" s="114" t="s">
        <v>1073</v>
      </c>
      <c r="D4666" s="114" t="s">
        <v>1073</v>
      </c>
      <c r="E4666" s="114" t="s">
        <v>7741</v>
      </c>
    </row>
    <row r="4667" spans="1:5" x14ac:dyDescent="0.25">
      <c r="B4667" s="114" t="s">
        <v>1073</v>
      </c>
      <c r="D4667" s="114" t="s">
        <v>7742</v>
      </c>
      <c r="E4667" s="114" t="s">
        <v>7743</v>
      </c>
    </row>
    <row r="4668" spans="1:5" x14ac:dyDescent="0.25">
      <c r="A4668" s="114">
        <v>-3</v>
      </c>
      <c r="B4668" s="114" t="s">
        <v>2831</v>
      </c>
      <c r="D4668" s="114" t="s">
        <v>7744</v>
      </c>
      <c r="E4668" s="114" t="s">
        <v>7745</v>
      </c>
    </row>
    <row r="4669" spans="1:5" x14ac:dyDescent="0.25">
      <c r="B4669" s="114" t="s">
        <v>2832</v>
      </c>
      <c r="D4669" s="114" t="s">
        <v>7746</v>
      </c>
      <c r="E4669" s="114" t="s">
        <v>7747</v>
      </c>
    </row>
    <row r="4670" spans="1:5" x14ac:dyDescent="0.25">
      <c r="A4670" s="114">
        <v>3</v>
      </c>
      <c r="B4670" s="114" t="s">
        <v>2833</v>
      </c>
      <c r="D4670" s="114" t="s">
        <v>7748</v>
      </c>
      <c r="E4670" s="114" t="s">
        <v>7749</v>
      </c>
    </row>
    <row r="4671" spans="1:5" x14ac:dyDescent="0.25">
      <c r="A4671" s="114">
        <v>2</v>
      </c>
      <c r="B4671" s="114" t="s">
        <v>2834</v>
      </c>
      <c r="D4671" s="114" t="s">
        <v>7750</v>
      </c>
      <c r="E4671" s="114" t="s">
        <v>7751</v>
      </c>
    </row>
    <row r="4672" spans="1:5" x14ac:dyDescent="0.25">
      <c r="B4672" s="114" t="s">
        <v>1073</v>
      </c>
      <c r="D4672" s="114" t="s">
        <v>7752</v>
      </c>
      <c r="E4672" s="114" t="s">
        <v>4518</v>
      </c>
    </row>
    <row r="4673" spans="1:5" x14ac:dyDescent="0.25">
      <c r="B4673" s="114" t="s">
        <v>1073</v>
      </c>
      <c r="D4673" s="114" t="s">
        <v>7753</v>
      </c>
      <c r="E4673" s="114" t="s">
        <v>7754</v>
      </c>
    </row>
    <row r="4674" spans="1:5" x14ac:dyDescent="0.25">
      <c r="A4674" s="114" t="s">
        <v>1072</v>
      </c>
      <c r="B4674" s="114" t="s">
        <v>2835</v>
      </c>
      <c r="D4674" s="114" t="s">
        <v>7755</v>
      </c>
      <c r="E4674" s="114" t="s">
        <v>7756</v>
      </c>
    </row>
    <row r="4675" spans="1:5" x14ac:dyDescent="0.25">
      <c r="A4675" s="114" t="s">
        <v>1072</v>
      </c>
      <c r="B4675" s="114" t="s">
        <v>1078</v>
      </c>
      <c r="D4675" s="114" t="s">
        <v>1073</v>
      </c>
      <c r="E4675" s="114" t="s">
        <v>7757</v>
      </c>
    </row>
    <row r="4676" spans="1:5" x14ac:dyDescent="0.25">
      <c r="B4676" s="114" t="s">
        <v>1073</v>
      </c>
      <c r="D4676" s="114" t="s">
        <v>7758</v>
      </c>
      <c r="E4676" s="114" t="s">
        <v>7759</v>
      </c>
    </row>
    <row r="4677" spans="1:5" x14ac:dyDescent="0.25">
      <c r="B4677" s="114" t="s">
        <v>1073</v>
      </c>
      <c r="D4677" s="114" t="s">
        <v>7760</v>
      </c>
      <c r="E4677" s="114" t="s">
        <v>7761</v>
      </c>
    </row>
    <row r="4678" spans="1:5" x14ac:dyDescent="0.25">
      <c r="A4678" s="114">
        <v>4</v>
      </c>
      <c r="B4678" s="114" t="s">
        <v>2836</v>
      </c>
      <c r="D4678" s="114" t="s">
        <v>7762</v>
      </c>
      <c r="E4678" s="114" t="s">
        <v>7763</v>
      </c>
    </row>
    <row r="4679" spans="1:5" x14ac:dyDescent="0.25">
      <c r="B4679" s="114" t="s">
        <v>2837</v>
      </c>
      <c r="D4679" s="114" t="s">
        <v>7764</v>
      </c>
      <c r="E4679" s="114" t="s">
        <v>7765</v>
      </c>
    </row>
    <row r="4680" spans="1:5" x14ac:dyDescent="0.25">
      <c r="A4680" s="114" t="s">
        <v>1072</v>
      </c>
      <c r="B4680" s="114" t="s">
        <v>2838</v>
      </c>
      <c r="C4680" s="114" t="s">
        <v>1072</v>
      </c>
      <c r="D4680" s="114" t="s">
        <v>7766</v>
      </c>
      <c r="E4680" s="114" t="s">
        <v>7767</v>
      </c>
    </row>
    <row r="4681" spans="1:5" x14ac:dyDescent="0.25">
      <c r="A4681" s="114" t="s">
        <v>1072</v>
      </c>
      <c r="B4681" s="114" t="s">
        <v>2839</v>
      </c>
      <c r="D4681" s="114" t="s">
        <v>7768</v>
      </c>
      <c r="E4681" s="114" t="s">
        <v>7769</v>
      </c>
    </row>
    <row r="4682" spans="1:5" x14ac:dyDescent="0.25">
      <c r="B4682" s="114" t="s">
        <v>2840</v>
      </c>
      <c r="C4682" s="114">
        <v>1</v>
      </c>
      <c r="D4682" s="114" t="s">
        <v>7770</v>
      </c>
      <c r="E4682" s="114" t="s">
        <v>7771</v>
      </c>
    </row>
    <row r="4683" spans="1:5" x14ac:dyDescent="0.25">
      <c r="A4683" s="114" t="s">
        <v>1072</v>
      </c>
      <c r="B4683" s="114" t="s">
        <v>2841</v>
      </c>
      <c r="D4683" s="114" t="s">
        <v>7772</v>
      </c>
      <c r="E4683" s="114" t="s">
        <v>7773</v>
      </c>
    </row>
    <row r="4684" spans="1:5" x14ac:dyDescent="0.25">
      <c r="B4684" s="114" t="s">
        <v>1073</v>
      </c>
      <c r="D4684" s="114" t="s">
        <v>7774</v>
      </c>
      <c r="E4684" s="114" t="s">
        <v>7775</v>
      </c>
    </row>
    <row r="4685" spans="1:5" x14ac:dyDescent="0.25">
      <c r="B4685" s="114" t="s">
        <v>1176</v>
      </c>
      <c r="C4685" s="114">
        <v>1</v>
      </c>
      <c r="D4685" s="114" t="s">
        <v>7776</v>
      </c>
      <c r="E4685" s="114" t="s">
        <v>7777</v>
      </c>
    </row>
    <row r="4686" spans="1:5" x14ac:dyDescent="0.25">
      <c r="A4686" s="114" t="s">
        <v>1072</v>
      </c>
      <c r="B4686" s="114" t="s">
        <v>2842</v>
      </c>
      <c r="D4686" s="114">
        <f>-673   -959   -37</f>
        <v>-1669</v>
      </c>
      <c r="E4686" s="114" t="s">
        <v>7778</v>
      </c>
    </row>
    <row r="4687" spans="1:5" x14ac:dyDescent="0.25">
      <c r="B4687" s="114" t="s">
        <v>2843</v>
      </c>
      <c r="D4687" s="114" t="s">
        <v>7779</v>
      </c>
      <c r="E4687" s="114" t="s">
        <v>3993</v>
      </c>
    </row>
    <row r="4688" spans="1:5" x14ac:dyDescent="0.25">
      <c r="B4688" s="114" t="s">
        <v>2844</v>
      </c>
      <c r="D4688" s="114" t="s">
        <v>7780</v>
      </c>
      <c r="E4688" s="114" t="s">
        <v>7781</v>
      </c>
    </row>
    <row r="4689" spans="1:5" x14ac:dyDescent="0.25">
      <c r="B4689" s="114" t="s">
        <v>2845</v>
      </c>
      <c r="D4689" s="114" t="s">
        <v>7782</v>
      </c>
      <c r="E4689" s="114" t="s">
        <v>7783</v>
      </c>
    </row>
    <row r="4690" spans="1:5" x14ac:dyDescent="0.25">
      <c r="B4690" s="114" t="s">
        <v>2846</v>
      </c>
      <c r="D4690" s="114" t="s">
        <v>7784</v>
      </c>
      <c r="E4690" s="114" t="s">
        <v>7785</v>
      </c>
    </row>
    <row r="4691" spans="1:5" x14ac:dyDescent="0.25">
      <c r="B4691" s="114" t="s">
        <v>1480</v>
      </c>
      <c r="C4691" s="114">
        <v>1</v>
      </c>
      <c r="D4691" s="114" t="s">
        <v>7786</v>
      </c>
      <c r="E4691" s="114" t="s">
        <v>7787</v>
      </c>
    </row>
    <row r="4692" spans="1:5" x14ac:dyDescent="0.25">
      <c r="B4692" s="114" t="s">
        <v>1073</v>
      </c>
      <c r="D4692" s="114" t="s">
        <v>1073</v>
      </c>
      <c r="E4692" s="114" t="s">
        <v>7788</v>
      </c>
    </row>
    <row r="4693" spans="1:5" x14ac:dyDescent="0.25">
      <c r="A4693" s="114">
        <v>-5</v>
      </c>
      <c r="B4693" s="114" t="s">
        <v>2847</v>
      </c>
      <c r="D4693" s="114" t="s">
        <v>1632</v>
      </c>
      <c r="E4693" s="114" t="s">
        <v>7789</v>
      </c>
    </row>
    <row r="4694" spans="1:5" x14ac:dyDescent="0.25">
      <c r="B4694" s="114" t="s">
        <v>1073</v>
      </c>
      <c r="D4694" s="114" t="s">
        <v>7790</v>
      </c>
      <c r="E4694" s="114" t="s">
        <v>7791</v>
      </c>
    </row>
    <row r="4695" spans="1:5" x14ac:dyDescent="0.25">
      <c r="B4695" s="114" t="s">
        <v>1073</v>
      </c>
      <c r="D4695" s="114" t="s">
        <v>1073</v>
      </c>
      <c r="E4695" s="114" t="s">
        <v>3993</v>
      </c>
    </row>
    <row r="4696" spans="1:5" x14ac:dyDescent="0.25">
      <c r="B4696" s="114" t="s">
        <v>2848</v>
      </c>
      <c r="D4696" s="114" t="s">
        <v>1073</v>
      </c>
      <c r="E4696" s="114" t="s">
        <v>7792</v>
      </c>
    </row>
    <row r="4697" spans="1:5" x14ac:dyDescent="0.25">
      <c r="A4697" s="114">
        <v>-1</v>
      </c>
      <c r="B4697" s="114" t="s">
        <v>2849</v>
      </c>
      <c r="D4697" s="114">
        <f>-585   -804   -92</f>
        <v>-1481</v>
      </c>
      <c r="E4697" s="114" t="s">
        <v>7793</v>
      </c>
    </row>
    <row r="4698" spans="1:5" x14ac:dyDescent="0.25">
      <c r="B4698" s="114" t="s">
        <v>2850</v>
      </c>
      <c r="D4698" s="114" t="s">
        <v>7794</v>
      </c>
      <c r="E4698" s="114" t="s">
        <v>7795</v>
      </c>
    </row>
    <row r="4699" spans="1:5" x14ac:dyDescent="0.25">
      <c r="A4699" s="114">
        <v>1</v>
      </c>
      <c r="B4699" s="114" t="s">
        <v>2851</v>
      </c>
      <c r="C4699" s="114" t="s">
        <v>1072</v>
      </c>
      <c r="D4699" s="114" t="s">
        <v>7796</v>
      </c>
      <c r="E4699" s="114" t="s">
        <v>7797</v>
      </c>
    </row>
    <row r="4700" spans="1:5" x14ac:dyDescent="0.25">
      <c r="A4700" s="114">
        <v>-3</v>
      </c>
      <c r="B4700" s="114" t="s">
        <v>2852</v>
      </c>
      <c r="D4700" s="114" t="s">
        <v>7798</v>
      </c>
      <c r="E4700" s="114" t="s">
        <v>7799</v>
      </c>
    </row>
    <row r="4701" spans="1:5" x14ac:dyDescent="0.25">
      <c r="B4701" s="114" t="s">
        <v>2853</v>
      </c>
      <c r="D4701" s="114" t="s">
        <v>7800</v>
      </c>
      <c r="E4701" s="114" t="s">
        <v>7801</v>
      </c>
    </row>
    <row r="4702" spans="1:5" x14ac:dyDescent="0.25">
      <c r="B4702" s="114" t="s">
        <v>1073</v>
      </c>
      <c r="D4702" s="114" t="s">
        <v>1073</v>
      </c>
      <c r="E4702" s="114" t="s">
        <v>7802</v>
      </c>
    </row>
    <row r="4703" spans="1:5" x14ac:dyDescent="0.25">
      <c r="B4703" s="114" t="s">
        <v>2854</v>
      </c>
      <c r="D4703" s="114" t="s">
        <v>7803</v>
      </c>
      <c r="E4703" s="114" t="s">
        <v>7804</v>
      </c>
    </row>
    <row r="4704" spans="1:5" x14ac:dyDescent="0.25">
      <c r="A4704" s="114">
        <v>1</v>
      </c>
      <c r="B4704" s="114" t="s">
        <v>1215</v>
      </c>
      <c r="D4704" s="114" t="s">
        <v>7805</v>
      </c>
      <c r="E4704" s="114" t="s">
        <v>3992</v>
      </c>
    </row>
    <row r="4705" spans="1:5" x14ac:dyDescent="0.25">
      <c r="A4705" s="114" t="s">
        <v>1072</v>
      </c>
      <c r="B4705" s="114" t="s">
        <v>1361</v>
      </c>
      <c r="D4705" s="114" t="s">
        <v>1073</v>
      </c>
      <c r="E4705" s="114" t="s">
        <v>7806</v>
      </c>
    </row>
    <row r="4706" spans="1:5" x14ac:dyDescent="0.25">
      <c r="B4706" s="114" t="s">
        <v>2855</v>
      </c>
      <c r="D4706" s="114" t="s">
        <v>1073</v>
      </c>
      <c r="E4706" s="114" t="s">
        <v>7807</v>
      </c>
    </row>
    <row r="4707" spans="1:5" x14ac:dyDescent="0.25">
      <c r="B4707" s="114" t="s">
        <v>2856</v>
      </c>
      <c r="D4707" s="114" t="s">
        <v>7808</v>
      </c>
      <c r="E4707" s="114" t="s">
        <v>7809</v>
      </c>
    </row>
    <row r="4708" spans="1:5" x14ac:dyDescent="0.25">
      <c r="B4708" s="114" t="s">
        <v>1136</v>
      </c>
      <c r="D4708" s="114" t="s">
        <v>1073</v>
      </c>
      <c r="E4708" s="114" t="s">
        <v>7810</v>
      </c>
    </row>
    <row r="4709" spans="1:5" x14ac:dyDescent="0.25">
      <c r="A4709" s="114">
        <v>6</v>
      </c>
      <c r="B4709" s="114" t="s">
        <v>2857</v>
      </c>
      <c r="C4709" s="114">
        <v>1</v>
      </c>
      <c r="D4709" s="114" t="s">
        <v>7811</v>
      </c>
      <c r="E4709" s="114" t="s">
        <v>7812</v>
      </c>
    </row>
    <row r="4710" spans="1:5" x14ac:dyDescent="0.25">
      <c r="A4710" s="114">
        <v>-1</v>
      </c>
      <c r="B4710" s="114" t="s">
        <v>2858</v>
      </c>
      <c r="D4710" s="114" t="s">
        <v>7813</v>
      </c>
      <c r="E4710" s="114" t="s">
        <v>7814</v>
      </c>
    </row>
    <row r="4711" spans="1:5" x14ac:dyDescent="0.25">
      <c r="A4711" s="114" t="s">
        <v>1072</v>
      </c>
      <c r="B4711" s="114" t="s">
        <v>1318</v>
      </c>
      <c r="D4711" s="114" t="s">
        <v>1073</v>
      </c>
      <c r="E4711" s="114" t="s">
        <v>7815</v>
      </c>
    </row>
    <row r="4712" spans="1:5" x14ac:dyDescent="0.25">
      <c r="A4712" s="114">
        <v>-1</v>
      </c>
      <c r="B4712" s="114" t="s">
        <v>2859</v>
      </c>
      <c r="C4712" s="114" t="s">
        <v>1072</v>
      </c>
      <c r="D4712" s="114" t="s">
        <v>7816</v>
      </c>
      <c r="E4712" s="114" t="s">
        <v>7817</v>
      </c>
    </row>
    <row r="4713" spans="1:5" x14ac:dyDescent="0.25">
      <c r="B4713" s="114" t="s">
        <v>2860</v>
      </c>
      <c r="D4713" s="114" t="s">
        <v>7818</v>
      </c>
      <c r="E4713" s="114" t="s">
        <v>7819</v>
      </c>
    </row>
    <row r="4714" spans="1:5" x14ac:dyDescent="0.25">
      <c r="B4714" s="114" t="s">
        <v>2861</v>
      </c>
      <c r="D4714" s="114" t="s">
        <v>1073</v>
      </c>
      <c r="E4714" s="114" t="s">
        <v>7820</v>
      </c>
    </row>
    <row r="4715" spans="1:5" x14ac:dyDescent="0.25">
      <c r="A4715" s="114">
        <v>1</v>
      </c>
      <c r="B4715" s="114" t="s">
        <v>2862</v>
      </c>
      <c r="D4715" s="114" t="s">
        <v>7821</v>
      </c>
      <c r="E4715" s="114" t="s">
        <v>7822</v>
      </c>
    </row>
    <row r="4716" spans="1:5" x14ac:dyDescent="0.25">
      <c r="A4716" s="114">
        <v>1</v>
      </c>
      <c r="B4716" s="114" t="s">
        <v>1293</v>
      </c>
      <c r="D4716" s="114" t="s">
        <v>7823</v>
      </c>
      <c r="E4716" s="114" t="s">
        <v>7824</v>
      </c>
    </row>
    <row r="4717" spans="1:5" x14ac:dyDescent="0.25">
      <c r="B4717" s="114" t="s">
        <v>1073</v>
      </c>
      <c r="D4717" s="114" t="s">
        <v>1073</v>
      </c>
      <c r="E4717" s="114" t="s">
        <v>7825</v>
      </c>
    </row>
    <row r="4718" spans="1:5" x14ac:dyDescent="0.25">
      <c r="B4718" s="114" t="s">
        <v>1073</v>
      </c>
      <c r="D4718" s="114" t="s">
        <v>1073</v>
      </c>
      <c r="E4718" s="114" t="s">
        <v>7826</v>
      </c>
    </row>
    <row r="4719" spans="1:5" x14ac:dyDescent="0.25">
      <c r="A4719" s="114">
        <v>3</v>
      </c>
      <c r="B4719" s="114" t="s">
        <v>2863</v>
      </c>
      <c r="D4719" s="114" t="s">
        <v>1073</v>
      </c>
      <c r="E4719" s="114" t="s">
        <v>7827</v>
      </c>
    </row>
    <row r="4720" spans="1:5" x14ac:dyDescent="0.25">
      <c r="A4720" s="114" t="s">
        <v>1072</v>
      </c>
      <c r="B4720" s="114" t="s">
        <v>1468</v>
      </c>
      <c r="D4720" s="114" t="s">
        <v>1073</v>
      </c>
      <c r="E4720" s="114" t="s">
        <v>7828</v>
      </c>
    </row>
    <row r="4721" spans="1:5" x14ac:dyDescent="0.25">
      <c r="A4721" s="114">
        <v>16</v>
      </c>
      <c r="B4721" s="114" t="s">
        <v>2864</v>
      </c>
      <c r="D4721" s="114" t="s">
        <v>7829</v>
      </c>
      <c r="E4721" s="114" t="s">
        <v>3993</v>
      </c>
    </row>
    <row r="4722" spans="1:5" x14ac:dyDescent="0.25">
      <c r="B4722" s="114" t="s">
        <v>2865</v>
      </c>
      <c r="D4722" s="114">
        <f>-295  -2852  -213</f>
        <v>-3360</v>
      </c>
      <c r="E4722" s="114" t="s">
        <v>7830</v>
      </c>
    </row>
    <row r="4723" spans="1:5" x14ac:dyDescent="0.25">
      <c r="B4723" s="114" t="s">
        <v>2866</v>
      </c>
      <c r="C4723" s="114">
        <v>-5</v>
      </c>
      <c r="D4723" s="114" t="s">
        <v>7831</v>
      </c>
      <c r="E4723" s="114" t="s">
        <v>7832</v>
      </c>
    </row>
    <row r="4724" spans="1:5" x14ac:dyDescent="0.25">
      <c r="B4724" s="114" t="s">
        <v>1073</v>
      </c>
      <c r="D4724" s="114" t="s">
        <v>1073</v>
      </c>
      <c r="E4724" s="114" t="s">
        <v>3993</v>
      </c>
    </row>
    <row r="4725" spans="1:5" x14ac:dyDescent="0.25">
      <c r="B4725" s="114" t="s">
        <v>1073</v>
      </c>
      <c r="D4725" s="114" t="s">
        <v>1073</v>
      </c>
      <c r="E4725" s="114" t="s">
        <v>7833</v>
      </c>
    </row>
    <row r="4726" spans="1:5" x14ac:dyDescent="0.25">
      <c r="B4726" s="114">
        <f>-76   -103</f>
        <v>-179</v>
      </c>
      <c r="D4726" s="114" t="s">
        <v>7834</v>
      </c>
      <c r="E4726" s="114" t="s">
        <v>7835</v>
      </c>
    </row>
    <row r="4727" spans="1:5" x14ac:dyDescent="0.25">
      <c r="B4727" s="114" t="s">
        <v>2867</v>
      </c>
      <c r="D4727" s="114" t="s">
        <v>7836</v>
      </c>
      <c r="E4727" s="114" t="s">
        <v>7837</v>
      </c>
    </row>
    <row r="4728" spans="1:5" x14ac:dyDescent="0.25">
      <c r="A4728" s="114">
        <v>2</v>
      </c>
      <c r="B4728" s="114" t="s">
        <v>2868</v>
      </c>
      <c r="C4728" s="114" t="s">
        <v>1072</v>
      </c>
      <c r="D4728" s="114" t="s">
        <v>7838</v>
      </c>
      <c r="E4728" s="114" t="s">
        <v>7839</v>
      </c>
    </row>
    <row r="4729" spans="1:5" x14ac:dyDescent="0.25">
      <c r="A4729" s="114">
        <v>1</v>
      </c>
      <c r="B4729" s="114" t="s">
        <v>2869</v>
      </c>
      <c r="D4729" s="114" t="s">
        <v>7840</v>
      </c>
      <c r="E4729" s="114" t="s">
        <v>7841</v>
      </c>
    </row>
    <row r="4730" spans="1:5" x14ac:dyDescent="0.25">
      <c r="A4730" s="114">
        <v>-7</v>
      </c>
      <c r="B4730" s="114" t="s">
        <v>2870</v>
      </c>
      <c r="C4730" s="114" t="s">
        <v>1072</v>
      </c>
      <c r="D4730" s="114" t="s">
        <v>7842</v>
      </c>
      <c r="E4730" s="114" t="s">
        <v>7843</v>
      </c>
    </row>
    <row r="4731" spans="1:5" x14ac:dyDescent="0.25">
      <c r="B4731" s="114" t="s">
        <v>1073</v>
      </c>
      <c r="D4731" s="114" t="s">
        <v>7844</v>
      </c>
      <c r="E4731" s="114" t="s">
        <v>3993</v>
      </c>
    </row>
    <row r="4732" spans="1:5" x14ac:dyDescent="0.25">
      <c r="B4732" s="114" t="s">
        <v>1073</v>
      </c>
      <c r="D4732" s="114" t="s">
        <v>7845</v>
      </c>
      <c r="E4732" s="114" t="s">
        <v>7846</v>
      </c>
    </row>
    <row r="4733" spans="1:5" x14ac:dyDescent="0.25">
      <c r="B4733" s="114" t="s">
        <v>2871</v>
      </c>
      <c r="D4733" s="114" t="s">
        <v>1073</v>
      </c>
      <c r="E4733" s="114" t="s">
        <v>7847</v>
      </c>
    </row>
    <row r="4734" spans="1:5" x14ac:dyDescent="0.25">
      <c r="B4734" s="114" t="s">
        <v>1073</v>
      </c>
      <c r="D4734" s="114" t="s">
        <v>1073</v>
      </c>
      <c r="E4734" s="114" t="s">
        <v>7848</v>
      </c>
    </row>
    <row r="4735" spans="1:5" x14ac:dyDescent="0.25">
      <c r="B4735" s="114" t="s">
        <v>1073</v>
      </c>
      <c r="D4735" s="114" t="s">
        <v>7849</v>
      </c>
      <c r="E4735" s="114" t="s">
        <v>7850</v>
      </c>
    </row>
    <row r="4736" spans="1:5" x14ac:dyDescent="0.25">
      <c r="B4736" s="114" t="s">
        <v>1124</v>
      </c>
      <c r="C4736" s="114" t="s">
        <v>1072</v>
      </c>
      <c r="D4736" s="114" t="s">
        <v>7851</v>
      </c>
      <c r="E4736" s="114" t="s">
        <v>7852</v>
      </c>
    </row>
    <row r="4737" spans="1:5" x14ac:dyDescent="0.25">
      <c r="A4737" s="114">
        <v>1</v>
      </c>
      <c r="B4737" s="114" t="s">
        <v>2872</v>
      </c>
      <c r="D4737" s="114" t="s">
        <v>7853</v>
      </c>
      <c r="E4737" s="114" t="s">
        <v>7854</v>
      </c>
    </row>
    <row r="4738" spans="1:5" x14ac:dyDescent="0.25">
      <c r="B4738" s="114" t="s">
        <v>2873</v>
      </c>
      <c r="D4738" s="114" t="s">
        <v>7855</v>
      </c>
      <c r="E4738" s="114" t="s">
        <v>7856</v>
      </c>
    </row>
    <row r="4739" spans="1:5" x14ac:dyDescent="0.25">
      <c r="A4739" s="114">
        <v>-3</v>
      </c>
      <c r="B4739" s="114" t="s">
        <v>2874</v>
      </c>
      <c r="D4739" s="114" t="s">
        <v>7857</v>
      </c>
      <c r="E4739" s="114" t="s">
        <v>7858</v>
      </c>
    </row>
    <row r="4740" spans="1:5" x14ac:dyDescent="0.25">
      <c r="B4740" s="114" t="s">
        <v>2875</v>
      </c>
      <c r="D4740" s="114" t="s">
        <v>7859</v>
      </c>
      <c r="E4740" s="114" t="s">
        <v>7860</v>
      </c>
    </row>
    <row r="4741" spans="1:5" x14ac:dyDescent="0.25">
      <c r="A4741" s="114">
        <v>1</v>
      </c>
      <c r="B4741" s="114" t="s">
        <v>2876</v>
      </c>
      <c r="D4741" s="114" t="s">
        <v>7861</v>
      </c>
      <c r="E4741" s="114" t="s">
        <v>7862</v>
      </c>
    </row>
    <row r="4742" spans="1:5" x14ac:dyDescent="0.25">
      <c r="A4742" s="114">
        <v>4</v>
      </c>
      <c r="B4742" s="114" t="s">
        <v>2877</v>
      </c>
      <c r="D4742" s="114" t="s">
        <v>7863</v>
      </c>
      <c r="E4742" s="114" t="s">
        <v>7864</v>
      </c>
    </row>
    <row r="4743" spans="1:5" x14ac:dyDescent="0.25">
      <c r="B4743" s="114" t="s">
        <v>2878</v>
      </c>
      <c r="D4743" s="114" t="s">
        <v>7865</v>
      </c>
      <c r="E4743" s="114" t="s">
        <v>7866</v>
      </c>
    </row>
    <row r="4744" spans="1:5" x14ac:dyDescent="0.25">
      <c r="A4744" s="114">
        <v>-6</v>
      </c>
      <c r="B4744" s="114" t="s">
        <v>2879</v>
      </c>
      <c r="D4744" s="114" t="s">
        <v>7867</v>
      </c>
      <c r="E4744" s="114" t="s">
        <v>7868</v>
      </c>
    </row>
    <row r="4745" spans="1:5" x14ac:dyDescent="0.25">
      <c r="A4745" s="114" t="s">
        <v>1072</v>
      </c>
      <c r="B4745" s="114" t="s">
        <v>2880</v>
      </c>
      <c r="C4745" s="114" t="s">
        <v>1072</v>
      </c>
      <c r="D4745" s="114" t="s">
        <v>7869</v>
      </c>
      <c r="E4745" s="114" t="s">
        <v>7870</v>
      </c>
    </row>
    <row r="4746" spans="1:5" x14ac:dyDescent="0.25">
      <c r="B4746" s="114" t="s">
        <v>1443</v>
      </c>
      <c r="D4746" s="114" t="s">
        <v>7871</v>
      </c>
      <c r="E4746" s="114" t="s">
        <v>3993</v>
      </c>
    </row>
    <row r="4747" spans="1:5" x14ac:dyDescent="0.25">
      <c r="A4747" s="114">
        <v>1</v>
      </c>
      <c r="B4747" s="114" t="s">
        <v>2881</v>
      </c>
      <c r="D4747" s="114" t="s">
        <v>7872</v>
      </c>
      <c r="E4747" s="114" t="s">
        <v>4002</v>
      </c>
    </row>
    <row r="4748" spans="1:5" x14ac:dyDescent="0.25">
      <c r="B4748" s="114" t="s">
        <v>2882</v>
      </c>
      <c r="C4748" s="114" t="s">
        <v>1072</v>
      </c>
      <c r="D4748" s="114" t="s">
        <v>7873</v>
      </c>
      <c r="E4748" s="114" t="s">
        <v>7874</v>
      </c>
    </row>
    <row r="4749" spans="1:5" x14ac:dyDescent="0.25">
      <c r="A4749" s="114">
        <v>1</v>
      </c>
      <c r="B4749" s="114" t="s">
        <v>1402</v>
      </c>
      <c r="D4749" s="114" t="s">
        <v>7875</v>
      </c>
      <c r="E4749" s="114" t="s">
        <v>7876</v>
      </c>
    </row>
    <row r="4750" spans="1:5" x14ac:dyDescent="0.25">
      <c r="B4750" s="114" t="s">
        <v>2883</v>
      </c>
      <c r="D4750" s="114" t="s">
        <v>7877</v>
      </c>
      <c r="E4750" s="114" t="s">
        <v>7878</v>
      </c>
    </row>
    <row r="4751" spans="1:5" x14ac:dyDescent="0.25">
      <c r="B4751" s="114" t="s">
        <v>1073</v>
      </c>
      <c r="D4751" s="114" t="s">
        <v>1073</v>
      </c>
      <c r="E4751" s="114" t="s">
        <v>7879</v>
      </c>
    </row>
    <row r="4752" spans="1:5" x14ac:dyDescent="0.25">
      <c r="A4752" s="114">
        <v>-5</v>
      </c>
      <c r="B4752" s="114" t="s">
        <v>2884</v>
      </c>
      <c r="D4752" s="114" t="s">
        <v>7880</v>
      </c>
      <c r="E4752" s="114" t="s">
        <v>7881</v>
      </c>
    </row>
    <row r="4753" spans="1:5" x14ac:dyDescent="0.25">
      <c r="B4753" s="114" t="s">
        <v>1073</v>
      </c>
      <c r="D4753" s="114" t="s">
        <v>7882</v>
      </c>
      <c r="E4753" s="114" t="s">
        <v>4077</v>
      </c>
    </row>
    <row r="4754" spans="1:5" x14ac:dyDescent="0.25">
      <c r="B4754" s="114" t="s">
        <v>1073</v>
      </c>
      <c r="D4754" s="114" t="s">
        <v>1073</v>
      </c>
      <c r="E4754" s="114" t="s">
        <v>3993</v>
      </c>
    </row>
    <row r="4755" spans="1:5" x14ac:dyDescent="0.25">
      <c r="A4755" s="114" t="s">
        <v>1072</v>
      </c>
      <c r="B4755" s="114" t="s">
        <v>1380</v>
      </c>
      <c r="D4755" s="114" t="s">
        <v>1073</v>
      </c>
      <c r="E4755" s="114" t="s">
        <v>7883</v>
      </c>
    </row>
    <row r="4756" spans="1:5" x14ac:dyDescent="0.25">
      <c r="A4756" s="114">
        <v>8</v>
      </c>
      <c r="B4756" s="114" t="s">
        <v>2885</v>
      </c>
      <c r="C4756" s="114" t="s">
        <v>1072</v>
      </c>
      <c r="D4756" s="114" t="s">
        <v>7884</v>
      </c>
      <c r="E4756" s="114" t="s">
        <v>7885</v>
      </c>
    </row>
    <row r="4757" spans="1:5" x14ac:dyDescent="0.25">
      <c r="A4757" s="114">
        <v>1</v>
      </c>
      <c r="B4757" s="114" t="s">
        <v>2886</v>
      </c>
      <c r="D4757" s="114" t="s">
        <v>7886</v>
      </c>
      <c r="E4757" s="114" t="s">
        <v>7887</v>
      </c>
    </row>
    <row r="4758" spans="1:5" x14ac:dyDescent="0.25">
      <c r="A4758" s="114">
        <v>1</v>
      </c>
      <c r="B4758" s="114" t="s">
        <v>2887</v>
      </c>
      <c r="D4758" s="114" t="s">
        <v>7888</v>
      </c>
      <c r="E4758" s="114" t="s">
        <v>7889</v>
      </c>
    </row>
    <row r="4759" spans="1:5" x14ac:dyDescent="0.25">
      <c r="A4759" s="114">
        <v>2</v>
      </c>
      <c r="B4759" s="114" t="s">
        <v>2888</v>
      </c>
      <c r="D4759" s="114" t="s">
        <v>7890</v>
      </c>
      <c r="E4759" s="114" t="s">
        <v>7891</v>
      </c>
    </row>
    <row r="4760" spans="1:5" x14ac:dyDescent="0.25">
      <c r="B4760" s="114" t="s">
        <v>1073</v>
      </c>
      <c r="D4760" s="114" t="s">
        <v>7892</v>
      </c>
      <c r="E4760" s="114" t="s">
        <v>7893</v>
      </c>
    </row>
    <row r="4761" spans="1:5" x14ac:dyDescent="0.25">
      <c r="B4761" s="114" t="s">
        <v>1073</v>
      </c>
      <c r="D4761" s="114" t="s">
        <v>1073</v>
      </c>
      <c r="E4761" s="114" t="s">
        <v>7894</v>
      </c>
    </row>
    <row r="4762" spans="1:5" x14ac:dyDescent="0.25">
      <c r="B4762" s="114" t="s">
        <v>1073</v>
      </c>
      <c r="D4762" s="114" t="s">
        <v>7895</v>
      </c>
      <c r="E4762" s="114" t="s">
        <v>7896</v>
      </c>
    </row>
    <row r="4763" spans="1:5" x14ac:dyDescent="0.25">
      <c r="B4763" s="114" t="s">
        <v>2889</v>
      </c>
      <c r="D4763" s="114" t="s">
        <v>1073</v>
      </c>
      <c r="E4763" s="114" t="s">
        <v>7897</v>
      </c>
    </row>
    <row r="4764" spans="1:5" x14ac:dyDescent="0.25">
      <c r="B4764" s="114" t="s">
        <v>1566</v>
      </c>
      <c r="D4764" s="114" t="s">
        <v>1073</v>
      </c>
      <c r="E4764" s="114" t="s">
        <v>7898</v>
      </c>
    </row>
    <row r="4765" spans="1:5" x14ac:dyDescent="0.25">
      <c r="A4765" s="114" t="s">
        <v>1072</v>
      </c>
      <c r="B4765" s="114" t="s">
        <v>2890</v>
      </c>
      <c r="D4765" s="114" t="s">
        <v>7899</v>
      </c>
      <c r="E4765" s="114" t="s">
        <v>7900</v>
      </c>
    </row>
    <row r="4766" spans="1:5" x14ac:dyDescent="0.25">
      <c r="B4766" s="114" t="s">
        <v>1073</v>
      </c>
      <c r="D4766" s="114" t="s">
        <v>7901</v>
      </c>
      <c r="E4766" s="114" t="s">
        <v>7902</v>
      </c>
    </row>
    <row r="4767" spans="1:5" x14ac:dyDescent="0.25">
      <c r="B4767" s="114" t="s">
        <v>2891</v>
      </c>
      <c r="D4767" s="114" t="s">
        <v>1073</v>
      </c>
      <c r="E4767" s="114" t="s">
        <v>7903</v>
      </c>
    </row>
    <row r="4768" spans="1:5" x14ac:dyDescent="0.25">
      <c r="B4768" s="114" t="s">
        <v>2892</v>
      </c>
      <c r="C4768" s="114" t="s">
        <v>1072</v>
      </c>
      <c r="D4768" s="114" t="s">
        <v>7904</v>
      </c>
      <c r="E4768" s="114" t="s">
        <v>7905</v>
      </c>
    </row>
    <row r="4769" spans="1:5" x14ac:dyDescent="0.25">
      <c r="B4769" s="114" t="s">
        <v>2893</v>
      </c>
      <c r="D4769" s="114" t="s">
        <v>7906</v>
      </c>
      <c r="E4769" s="114" t="s">
        <v>7907</v>
      </c>
    </row>
    <row r="4770" spans="1:5" x14ac:dyDescent="0.25">
      <c r="A4770" s="114" t="s">
        <v>1072</v>
      </c>
      <c r="B4770" s="114" t="s">
        <v>2894</v>
      </c>
      <c r="D4770" s="114" t="s">
        <v>1073</v>
      </c>
      <c r="E4770" s="114" t="s">
        <v>7908</v>
      </c>
    </row>
    <row r="4771" spans="1:5" x14ac:dyDescent="0.25">
      <c r="B4771" s="114" t="s">
        <v>2895</v>
      </c>
      <c r="C4771" s="114" t="s">
        <v>1072</v>
      </c>
      <c r="D4771" s="114" t="s">
        <v>7909</v>
      </c>
      <c r="E4771" s="114" t="s">
        <v>7910</v>
      </c>
    </row>
    <row r="4772" spans="1:5" x14ac:dyDescent="0.25">
      <c r="B4772" s="114" t="s">
        <v>2332</v>
      </c>
      <c r="D4772" s="114" t="s">
        <v>7911</v>
      </c>
      <c r="E4772" s="114" t="s">
        <v>7912</v>
      </c>
    </row>
    <row r="4773" spans="1:5" x14ac:dyDescent="0.25">
      <c r="B4773" s="114" t="s">
        <v>2896</v>
      </c>
      <c r="D4773" s="114" t="s">
        <v>1073</v>
      </c>
      <c r="E4773" s="114" t="s">
        <v>7913</v>
      </c>
    </row>
    <row r="4774" spans="1:5" x14ac:dyDescent="0.25">
      <c r="B4774" s="114" t="s">
        <v>2897</v>
      </c>
      <c r="D4774" s="114" t="s">
        <v>1073</v>
      </c>
      <c r="E4774" s="114" t="s">
        <v>7914</v>
      </c>
    </row>
    <row r="4775" spans="1:5" x14ac:dyDescent="0.25">
      <c r="B4775" s="114" t="s">
        <v>2898</v>
      </c>
      <c r="D4775" s="114" t="s">
        <v>7915</v>
      </c>
      <c r="E4775" s="114" t="s">
        <v>7916</v>
      </c>
    </row>
    <row r="4776" spans="1:5" x14ac:dyDescent="0.25">
      <c r="B4776" s="114" t="s">
        <v>1073</v>
      </c>
      <c r="D4776" s="114" t="s">
        <v>1073</v>
      </c>
      <c r="E4776" s="114" t="s">
        <v>7917</v>
      </c>
    </row>
    <row r="4777" spans="1:5" x14ac:dyDescent="0.25">
      <c r="A4777" s="114" t="s">
        <v>1072</v>
      </c>
      <c r="B4777" s="114" t="s">
        <v>1341</v>
      </c>
      <c r="D4777" s="114" t="s">
        <v>1073</v>
      </c>
      <c r="E4777" s="114" t="s">
        <v>7918</v>
      </c>
    </row>
    <row r="4778" spans="1:5" x14ac:dyDescent="0.25">
      <c r="A4778" s="114">
        <v>-1</v>
      </c>
      <c r="B4778" s="114" t="s">
        <v>2899</v>
      </c>
      <c r="C4778" s="114" t="s">
        <v>1072</v>
      </c>
      <c r="D4778" s="114" t="s">
        <v>7919</v>
      </c>
      <c r="E4778" s="114" t="s">
        <v>7920</v>
      </c>
    </row>
    <row r="4779" spans="1:5" x14ac:dyDescent="0.25">
      <c r="B4779" s="114" t="s">
        <v>2900</v>
      </c>
      <c r="D4779" s="114" t="s">
        <v>1073</v>
      </c>
      <c r="E4779" s="114" t="s">
        <v>7921</v>
      </c>
    </row>
    <row r="4780" spans="1:5" x14ac:dyDescent="0.25">
      <c r="A4780" s="114">
        <v>19</v>
      </c>
      <c r="B4780" s="114" t="s">
        <v>2901</v>
      </c>
      <c r="C4780" s="114">
        <v>1</v>
      </c>
      <c r="D4780" s="114" t="s">
        <v>7922</v>
      </c>
      <c r="E4780" s="114" t="s">
        <v>4014</v>
      </c>
    </row>
    <row r="4781" spans="1:5" x14ac:dyDescent="0.25">
      <c r="B4781" s="114" t="s">
        <v>1073</v>
      </c>
      <c r="C4781" s="114" t="s">
        <v>1072</v>
      </c>
      <c r="D4781" s="114" t="s">
        <v>7923</v>
      </c>
      <c r="E4781" s="114" t="s">
        <v>7924</v>
      </c>
    </row>
    <row r="4782" spans="1:5" x14ac:dyDescent="0.25">
      <c r="A4782" s="114">
        <v>1</v>
      </c>
      <c r="B4782" s="114" t="s">
        <v>2902</v>
      </c>
      <c r="D4782" s="114" t="s">
        <v>7925</v>
      </c>
      <c r="E4782" s="114" t="s">
        <v>7926</v>
      </c>
    </row>
    <row r="4783" spans="1:5" x14ac:dyDescent="0.25">
      <c r="B4783" s="114" t="s">
        <v>1470</v>
      </c>
      <c r="D4783" s="114" t="s">
        <v>1073</v>
      </c>
      <c r="E4783" s="114" t="s">
        <v>3993</v>
      </c>
    </row>
    <row r="4784" spans="1:5" x14ac:dyDescent="0.25">
      <c r="B4784" s="114" t="s">
        <v>1073</v>
      </c>
      <c r="D4784" s="114" t="s">
        <v>1073</v>
      </c>
      <c r="E4784" s="114" t="s">
        <v>7927</v>
      </c>
    </row>
    <row r="4785" spans="1:5" x14ac:dyDescent="0.25">
      <c r="B4785" s="114" t="s">
        <v>2903</v>
      </c>
      <c r="D4785" s="114" t="s">
        <v>7928</v>
      </c>
      <c r="E4785" s="114" t="s">
        <v>7929</v>
      </c>
    </row>
    <row r="4786" spans="1:5" x14ac:dyDescent="0.25">
      <c r="B4786" s="114" t="s">
        <v>1073</v>
      </c>
      <c r="D4786" s="114" t="s">
        <v>7930</v>
      </c>
      <c r="E4786" s="114" t="s">
        <v>7931</v>
      </c>
    </row>
    <row r="4787" spans="1:5" x14ac:dyDescent="0.25">
      <c r="A4787" s="114">
        <v>1</v>
      </c>
      <c r="B4787" s="114" t="s">
        <v>2904</v>
      </c>
      <c r="D4787" s="114" t="s">
        <v>7932</v>
      </c>
      <c r="E4787" s="114" t="s">
        <v>7933</v>
      </c>
    </row>
    <row r="4788" spans="1:5" x14ac:dyDescent="0.25">
      <c r="A4788" s="114">
        <v>1</v>
      </c>
      <c r="B4788" s="114" t="s">
        <v>2905</v>
      </c>
      <c r="D4788" s="114" t="s">
        <v>7934</v>
      </c>
      <c r="E4788" s="114" t="s">
        <v>7935</v>
      </c>
    </row>
    <row r="4789" spans="1:5" x14ac:dyDescent="0.25">
      <c r="A4789" s="114">
        <v>30</v>
      </c>
      <c r="B4789" s="114" t="s">
        <v>2906</v>
      </c>
      <c r="C4789" s="114">
        <v>3</v>
      </c>
      <c r="D4789" s="114" t="s">
        <v>7936</v>
      </c>
      <c r="E4789" s="114" t="s">
        <v>7937</v>
      </c>
    </row>
    <row r="4790" spans="1:5" x14ac:dyDescent="0.25">
      <c r="B4790" s="114" t="s">
        <v>1507</v>
      </c>
      <c r="D4790" s="114" t="s">
        <v>1073</v>
      </c>
      <c r="E4790" s="114" t="s">
        <v>7938</v>
      </c>
    </row>
    <row r="4791" spans="1:5" x14ac:dyDescent="0.25">
      <c r="B4791" s="114" t="s">
        <v>1073</v>
      </c>
      <c r="D4791" s="114" t="s">
        <v>1073</v>
      </c>
      <c r="E4791" s="114" t="s">
        <v>7939</v>
      </c>
    </row>
    <row r="4792" spans="1:5" x14ac:dyDescent="0.25">
      <c r="A4792" s="114">
        <v>1</v>
      </c>
      <c r="B4792" s="114" t="s">
        <v>2907</v>
      </c>
      <c r="D4792" s="114">
        <f>-793   -587    -4</f>
        <v>-1384</v>
      </c>
      <c r="E4792" s="114" t="s">
        <v>7940</v>
      </c>
    </row>
    <row r="4793" spans="1:5" x14ac:dyDescent="0.25">
      <c r="B4793" s="114" t="s">
        <v>1073</v>
      </c>
      <c r="D4793" s="114" t="s">
        <v>7941</v>
      </c>
      <c r="E4793" s="114" t="s">
        <v>7942</v>
      </c>
    </row>
    <row r="4794" spans="1:5" x14ac:dyDescent="0.25">
      <c r="B4794" s="114" t="s">
        <v>1073</v>
      </c>
      <c r="D4794" s="114" t="s">
        <v>1073</v>
      </c>
      <c r="E4794" s="114" t="s">
        <v>7943</v>
      </c>
    </row>
    <row r="4795" spans="1:5" x14ac:dyDescent="0.25">
      <c r="B4795" s="114" t="s">
        <v>1073</v>
      </c>
      <c r="D4795" s="114" t="s">
        <v>7944</v>
      </c>
      <c r="E4795" s="114" t="s">
        <v>7945</v>
      </c>
    </row>
    <row r="4796" spans="1:5" x14ac:dyDescent="0.25">
      <c r="B4796" s="114" t="s">
        <v>1158</v>
      </c>
      <c r="D4796" s="114" t="s">
        <v>7946</v>
      </c>
      <c r="E4796" s="114" t="s">
        <v>7947</v>
      </c>
    </row>
    <row r="4797" spans="1:5" x14ac:dyDescent="0.25">
      <c r="B4797" s="114" t="s">
        <v>1073</v>
      </c>
      <c r="D4797" s="114" t="s">
        <v>7948</v>
      </c>
      <c r="E4797" s="114" t="s">
        <v>7949</v>
      </c>
    </row>
    <row r="4798" spans="1:5" x14ac:dyDescent="0.25">
      <c r="A4798" s="114">
        <v>-4</v>
      </c>
      <c r="B4798" s="114" t="s">
        <v>2908</v>
      </c>
      <c r="D4798" s="114">
        <f>-928  -4031  -369</f>
        <v>-5328</v>
      </c>
      <c r="E4798" s="114" t="s">
        <v>7950</v>
      </c>
    </row>
    <row r="4799" spans="1:5" x14ac:dyDescent="0.25">
      <c r="B4799" s="114" t="s">
        <v>1073</v>
      </c>
      <c r="D4799" s="114" t="s">
        <v>7951</v>
      </c>
      <c r="E4799" s="114" t="s">
        <v>7952</v>
      </c>
    </row>
    <row r="4800" spans="1:5" x14ac:dyDescent="0.25">
      <c r="B4800" s="114" t="s">
        <v>1073</v>
      </c>
      <c r="D4800" s="114" t="s">
        <v>7953</v>
      </c>
      <c r="E4800" s="114" t="s">
        <v>7954</v>
      </c>
    </row>
    <row r="4801" spans="1:5" x14ac:dyDescent="0.25">
      <c r="A4801" s="114">
        <v>-6</v>
      </c>
      <c r="B4801" s="114" t="s">
        <v>2909</v>
      </c>
      <c r="C4801" s="114" t="s">
        <v>1072</v>
      </c>
      <c r="D4801" s="114" t="s">
        <v>7955</v>
      </c>
      <c r="E4801" s="114" t="s">
        <v>7956</v>
      </c>
    </row>
    <row r="4802" spans="1:5" x14ac:dyDescent="0.25">
      <c r="B4802" s="114" t="s">
        <v>2910</v>
      </c>
      <c r="D4802" s="114" t="s">
        <v>7957</v>
      </c>
      <c r="E4802" s="114" t="s">
        <v>7958</v>
      </c>
    </row>
    <row r="4803" spans="1:5" x14ac:dyDescent="0.25">
      <c r="B4803" s="114" t="s">
        <v>1073</v>
      </c>
      <c r="D4803" s="114" t="s">
        <v>7959</v>
      </c>
      <c r="E4803" s="114" t="s">
        <v>7960</v>
      </c>
    </row>
    <row r="4804" spans="1:5" x14ac:dyDescent="0.25">
      <c r="B4804" s="114" t="s">
        <v>1073</v>
      </c>
      <c r="D4804" s="114" t="s">
        <v>7961</v>
      </c>
      <c r="E4804" s="114" t="s">
        <v>7962</v>
      </c>
    </row>
    <row r="4805" spans="1:5" x14ac:dyDescent="0.25">
      <c r="B4805" s="114" t="s">
        <v>1439</v>
      </c>
      <c r="D4805" s="114" t="s">
        <v>7963</v>
      </c>
      <c r="E4805" s="114" t="s">
        <v>7964</v>
      </c>
    </row>
    <row r="4806" spans="1:5" x14ac:dyDescent="0.25">
      <c r="B4806" s="114" t="s">
        <v>1073</v>
      </c>
      <c r="D4806" s="114" t="s">
        <v>7965</v>
      </c>
      <c r="E4806" s="114" t="s">
        <v>7966</v>
      </c>
    </row>
    <row r="4807" spans="1:5" x14ac:dyDescent="0.25">
      <c r="B4807" s="114" t="s">
        <v>1073</v>
      </c>
      <c r="D4807" s="114" t="s">
        <v>7967</v>
      </c>
      <c r="E4807" s="114" t="s">
        <v>7968</v>
      </c>
    </row>
    <row r="4808" spans="1:5" x14ac:dyDescent="0.25">
      <c r="B4808" s="114" t="s">
        <v>1073</v>
      </c>
      <c r="D4808" s="114" t="s">
        <v>3826</v>
      </c>
      <c r="E4808" s="114" t="s">
        <v>7969</v>
      </c>
    </row>
    <row r="4809" spans="1:5" x14ac:dyDescent="0.25">
      <c r="B4809" s="114" t="s">
        <v>1073</v>
      </c>
      <c r="D4809" s="114" t="s">
        <v>7970</v>
      </c>
      <c r="E4809" s="114" t="s">
        <v>7971</v>
      </c>
    </row>
    <row r="4810" spans="1:5" x14ac:dyDescent="0.25">
      <c r="A4810" s="114">
        <v>4</v>
      </c>
      <c r="B4810" s="114" t="s">
        <v>2911</v>
      </c>
      <c r="D4810" s="114" t="s">
        <v>1073</v>
      </c>
      <c r="E4810" s="114" t="s">
        <v>7972</v>
      </c>
    </row>
    <row r="4811" spans="1:5" x14ac:dyDescent="0.25">
      <c r="A4811" s="114" t="s">
        <v>1072</v>
      </c>
      <c r="B4811" s="114" t="s">
        <v>2912</v>
      </c>
      <c r="C4811" s="114" t="s">
        <v>1072</v>
      </c>
      <c r="D4811" s="114" t="s">
        <v>7973</v>
      </c>
      <c r="E4811" s="114" t="s">
        <v>7974</v>
      </c>
    </row>
    <row r="4812" spans="1:5" x14ac:dyDescent="0.25">
      <c r="A4812" s="114">
        <v>-61</v>
      </c>
      <c r="B4812" s="114" t="s">
        <v>1204</v>
      </c>
      <c r="D4812" s="114" t="s">
        <v>1073</v>
      </c>
      <c r="E4812" s="114" t="s">
        <v>7975</v>
      </c>
    </row>
    <row r="4813" spans="1:5" x14ac:dyDescent="0.25">
      <c r="B4813" s="114" t="s">
        <v>1073</v>
      </c>
      <c r="D4813" s="114" t="s">
        <v>1073</v>
      </c>
      <c r="E4813" s="114" t="s">
        <v>3993</v>
      </c>
    </row>
    <row r="4814" spans="1:5" x14ac:dyDescent="0.25">
      <c r="B4814" s="114" t="s">
        <v>1073</v>
      </c>
      <c r="D4814" s="114" t="s">
        <v>7976</v>
      </c>
      <c r="E4814" s="114" t="s">
        <v>7977</v>
      </c>
    </row>
    <row r="4815" spans="1:5" x14ac:dyDescent="0.25">
      <c r="B4815" s="114" t="s">
        <v>2913</v>
      </c>
      <c r="D4815" s="114" t="s">
        <v>7978</v>
      </c>
      <c r="E4815" s="114" t="s">
        <v>7979</v>
      </c>
    </row>
    <row r="4816" spans="1:5" x14ac:dyDescent="0.25">
      <c r="A4816" s="114">
        <v>3</v>
      </c>
      <c r="B4816" s="114" t="s">
        <v>2914</v>
      </c>
      <c r="D4816" s="114" t="s">
        <v>7980</v>
      </c>
      <c r="E4816" s="114" t="s">
        <v>7981</v>
      </c>
    </row>
    <row r="4817" spans="1:5" x14ac:dyDescent="0.25">
      <c r="A4817" s="114">
        <v>2</v>
      </c>
      <c r="B4817" s="114" t="s">
        <v>2915</v>
      </c>
      <c r="D4817" s="114" t="s">
        <v>7982</v>
      </c>
      <c r="E4817" s="114" t="s">
        <v>7983</v>
      </c>
    </row>
    <row r="4818" spans="1:5" x14ac:dyDescent="0.25">
      <c r="A4818" s="114">
        <v>4</v>
      </c>
      <c r="B4818" s="114" t="s">
        <v>2916</v>
      </c>
      <c r="C4818" s="114" t="s">
        <v>1072</v>
      </c>
      <c r="D4818" s="114" t="s">
        <v>7984</v>
      </c>
      <c r="E4818" s="114" t="s">
        <v>7985</v>
      </c>
    </row>
    <row r="4819" spans="1:5" x14ac:dyDescent="0.25">
      <c r="A4819" s="114">
        <v>41</v>
      </c>
      <c r="B4819" s="114" t="s">
        <v>2917</v>
      </c>
      <c r="D4819" s="114" t="s">
        <v>7986</v>
      </c>
      <c r="E4819" s="114" t="s">
        <v>7987</v>
      </c>
    </row>
    <row r="4820" spans="1:5" x14ac:dyDescent="0.25">
      <c r="B4820" s="114" t="s">
        <v>1073</v>
      </c>
      <c r="D4820" s="114" t="s">
        <v>7988</v>
      </c>
      <c r="E4820" s="114" t="s">
        <v>3992</v>
      </c>
    </row>
    <row r="4821" spans="1:5" x14ac:dyDescent="0.25">
      <c r="B4821" s="114" t="s">
        <v>1073</v>
      </c>
      <c r="D4821" s="114" t="s">
        <v>7989</v>
      </c>
      <c r="E4821" s="114" t="s">
        <v>7990</v>
      </c>
    </row>
    <row r="4822" spans="1:5" x14ac:dyDescent="0.25">
      <c r="A4822" s="114">
        <v>1</v>
      </c>
      <c r="B4822" s="114" t="s">
        <v>2918</v>
      </c>
      <c r="D4822" s="114" t="s">
        <v>7991</v>
      </c>
      <c r="E4822" s="114" t="s">
        <v>7992</v>
      </c>
    </row>
    <row r="4823" spans="1:5" x14ac:dyDescent="0.25">
      <c r="A4823" s="114">
        <v>-1</v>
      </c>
      <c r="B4823" s="114" t="s">
        <v>2618</v>
      </c>
      <c r="D4823" s="114" t="s">
        <v>1073</v>
      </c>
      <c r="E4823" s="114" t="s">
        <v>7993</v>
      </c>
    </row>
    <row r="4824" spans="1:5" x14ac:dyDescent="0.25">
      <c r="B4824" s="114" t="s">
        <v>1073</v>
      </c>
      <c r="D4824" s="114" t="s">
        <v>7994</v>
      </c>
      <c r="E4824" s="114" t="s">
        <v>7995</v>
      </c>
    </row>
    <row r="4825" spans="1:5" x14ac:dyDescent="0.25">
      <c r="B4825" s="114" t="s">
        <v>1073</v>
      </c>
      <c r="D4825" s="114" t="s">
        <v>7996</v>
      </c>
      <c r="E4825" s="114" t="s">
        <v>7997</v>
      </c>
    </row>
    <row r="4826" spans="1:5" x14ac:dyDescent="0.25">
      <c r="A4826" s="114">
        <v>4</v>
      </c>
      <c r="B4826" s="114" t="s">
        <v>2919</v>
      </c>
      <c r="D4826" s="114" t="s">
        <v>7998</v>
      </c>
      <c r="E4826" s="114" t="s">
        <v>7999</v>
      </c>
    </row>
    <row r="4827" spans="1:5" x14ac:dyDescent="0.25">
      <c r="B4827" s="114" t="s">
        <v>2454</v>
      </c>
      <c r="C4827" s="114">
        <v>-1</v>
      </c>
      <c r="D4827" s="114" t="s">
        <v>8000</v>
      </c>
      <c r="E4827" s="114" t="s">
        <v>8001</v>
      </c>
    </row>
    <row r="4828" spans="1:5" x14ac:dyDescent="0.25">
      <c r="A4828" s="114">
        <v>2</v>
      </c>
      <c r="B4828" s="114" t="s">
        <v>2920</v>
      </c>
      <c r="C4828" s="114" t="s">
        <v>1072</v>
      </c>
      <c r="D4828" s="114" t="s">
        <v>8002</v>
      </c>
      <c r="E4828" s="114" t="s">
        <v>8003</v>
      </c>
    </row>
    <row r="4829" spans="1:5" x14ac:dyDescent="0.25">
      <c r="A4829" s="114" t="s">
        <v>1072</v>
      </c>
      <c r="B4829" s="114" t="s">
        <v>2921</v>
      </c>
      <c r="D4829" s="114" t="s">
        <v>8004</v>
      </c>
      <c r="E4829" s="114" t="s">
        <v>8005</v>
      </c>
    </row>
    <row r="4830" spans="1:5" x14ac:dyDescent="0.25">
      <c r="B4830" s="114" t="s">
        <v>2922</v>
      </c>
      <c r="D4830" s="114" t="s">
        <v>8006</v>
      </c>
      <c r="E4830" s="114" t="s">
        <v>8007</v>
      </c>
    </row>
    <row r="4831" spans="1:5" x14ac:dyDescent="0.25">
      <c r="A4831" s="114">
        <v>2</v>
      </c>
      <c r="B4831" s="114" t="s">
        <v>2923</v>
      </c>
      <c r="D4831" s="114" t="s">
        <v>8008</v>
      </c>
      <c r="E4831" s="114" t="s">
        <v>8009</v>
      </c>
    </row>
    <row r="4832" spans="1:5" x14ac:dyDescent="0.25">
      <c r="B4832" s="114" t="s">
        <v>1073</v>
      </c>
      <c r="D4832" s="114" t="s">
        <v>8010</v>
      </c>
      <c r="E4832" s="114" t="s">
        <v>8011</v>
      </c>
    </row>
    <row r="4833" spans="1:5" x14ac:dyDescent="0.25">
      <c r="B4833" s="114" t="s">
        <v>1560</v>
      </c>
      <c r="D4833" s="114" t="s">
        <v>8012</v>
      </c>
      <c r="E4833" s="114" t="s">
        <v>8013</v>
      </c>
    </row>
    <row r="4834" spans="1:5" x14ac:dyDescent="0.25">
      <c r="A4834" s="114">
        <v>1</v>
      </c>
      <c r="B4834" s="114" t="s">
        <v>2924</v>
      </c>
      <c r="D4834" s="114">
        <f>-614   -508   -36</f>
        <v>-1158</v>
      </c>
      <c r="E4834" s="114" t="s">
        <v>8014</v>
      </c>
    </row>
    <row r="4835" spans="1:5" x14ac:dyDescent="0.25">
      <c r="B4835" s="114" t="s">
        <v>1104</v>
      </c>
      <c r="D4835" s="114" t="s">
        <v>8015</v>
      </c>
      <c r="E4835" s="114" t="s">
        <v>3993</v>
      </c>
    </row>
    <row r="4836" spans="1:5" x14ac:dyDescent="0.25">
      <c r="B4836" s="114" t="s">
        <v>2925</v>
      </c>
      <c r="D4836" s="114" t="s">
        <v>8016</v>
      </c>
      <c r="E4836" s="114" t="s">
        <v>8017</v>
      </c>
    </row>
    <row r="4837" spans="1:5" x14ac:dyDescent="0.25">
      <c r="B4837" s="114" t="s">
        <v>2926</v>
      </c>
      <c r="C4837" s="114" t="s">
        <v>1072</v>
      </c>
      <c r="D4837" s="114" t="s">
        <v>8018</v>
      </c>
      <c r="E4837" s="114" t="s">
        <v>8019</v>
      </c>
    </row>
    <row r="4838" spans="1:5" x14ac:dyDescent="0.25">
      <c r="B4838" s="114" t="s">
        <v>2927</v>
      </c>
      <c r="D4838" s="114" t="s">
        <v>8020</v>
      </c>
      <c r="E4838" s="114" t="s">
        <v>8021</v>
      </c>
    </row>
    <row r="4839" spans="1:5" x14ac:dyDescent="0.25">
      <c r="B4839" s="114" t="s">
        <v>2928</v>
      </c>
      <c r="D4839" s="114" t="s">
        <v>8022</v>
      </c>
      <c r="E4839" s="114" t="s">
        <v>8023</v>
      </c>
    </row>
    <row r="4840" spans="1:5" x14ac:dyDescent="0.25">
      <c r="B4840" s="114" t="s">
        <v>1073</v>
      </c>
      <c r="D4840" s="114" t="s">
        <v>1073</v>
      </c>
      <c r="E4840" s="114" t="s">
        <v>8024</v>
      </c>
    </row>
    <row r="4841" spans="1:5" x14ac:dyDescent="0.25">
      <c r="B4841" s="114" t="s">
        <v>2929</v>
      </c>
      <c r="C4841" s="114" t="s">
        <v>1072</v>
      </c>
      <c r="D4841" s="114" t="s">
        <v>8025</v>
      </c>
      <c r="E4841" s="114" t="s">
        <v>8026</v>
      </c>
    </row>
    <row r="4842" spans="1:5" x14ac:dyDescent="0.25">
      <c r="B4842" s="114" t="s">
        <v>1073</v>
      </c>
      <c r="D4842" s="114" t="s">
        <v>8027</v>
      </c>
      <c r="E4842" s="114" t="s">
        <v>8028</v>
      </c>
    </row>
    <row r="4843" spans="1:5" x14ac:dyDescent="0.25">
      <c r="B4843" s="114" t="s">
        <v>1073</v>
      </c>
      <c r="D4843" s="114" t="s">
        <v>1073</v>
      </c>
      <c r="E4843" s="114" t="s">
        <v>3993</v>
      </c>
    </row>
    <row r="4844" spans="1:5" x14ac:dyDescent="0.25">
      <c r="B4844" s="114" t="s">
        <v>1144</v>
      </c>
      <c r="D4844" s="114" t="s">
        <v>1073</v>
      </c>
      <c r="E4844" s="114" t="s">
        <v>8029</v>
      </c>
    </row>
    <row r="4845" spans="1:5" x14ac:dyDescent="0.25">
      <c r="A4845" s="114">
        <v>1</v>
      </c>
      <c r="B4845" s="114" t="s">
        <v>2930</v>
      </c>
      <c r="D4845" s="114" t="s">
        <v>8030</v>
      </c>
      <c r="E4845" s="114" t="s">
        <v>8031</v>
      </c>
    </row>
    <row r="4846" spans="1:5" x14ac:dyDescent="0.25">
      <c r="A4846" s="114" t="s">
        <v>1072</v>
      </c>
      <c r="B4846" s="114" t="s">
        <v>2931</v>
      </c>
      <c r="C4846" s="114" t="s">
        <v>1072</v>
      </c>
      <c r="D4846" s="114" t="s">
        <v>8032</v>
      </c>
      <c r="E4846" s="114" t="s">
        <v>8033</v>
      </c>
    </row>
    <row r="4847" spans="1:5" x14ac:dyDescent="0.25">
      <c r="A4847" s="114">
        <v>1</v>
      </c>
      <c r="B4847" s="114" t="s">
        <v>2932</v>
      </c>
      <c r="C4847" s="114" t="s">
        <v>1072</v>
      </c>
      <c r="D4847" s="114" t="s">
        <v>8034</v>
      </c>
      <c r="E4847" s="114" t="s">
        <v>8035</v>
      </c>
    </row>
    <row r="4848" spans="1:5" x14ac:dyDescent="0.25">
      <c r="A4848" s="114">
        <v>-2</v>
      </c>
      <c r="B4848" s="114" t="s">
        <v>2933</v>
      </c>
      <c r="D4848" s="114" t="s">
        <v>8036</v>
      </c>
      <c r="E4848" s="114" t="s">
        <v>8037</v>
      </c>
    </row>
    <row r="4849" spans="1:5" x14ac:dyDescent="0.25">
      <c r="A4849" s="114">
        <v>-1</v>
      </c>
      <c r="B4849" s="114" t="s">
        <v>2934</v>
      </c>
      <c r="D4849" s="114" t="s">
        <v>8038</v>
      </c>
      <c r="E4849" s="114" t="s">
        <v>8039</v>
      </c>
    </row>
    <row r="4850" spans="1:5" x14ac:dyDescent="0.25">
      <c r="B4850" s="114" t="s">
        <v>1073</v>
      </c>
      <c r="D4850" s="114">
        <f>-69   -346</f>
        <v>-415</v>
      </c>
      <c r="E4850" s="114" t="s">
        <v>3993</v>
      </c>
    </row>
    <row r="4851" spans="1:5" x14ac:dyDescent="0.25">
      <c r="B4851" s="114" t="s">
        <v>1073</v>
      </c>
      <c r="D4851" s="114" t="s">
        <v>8040</v>
      </c>
      <c r="E4851" s="114" t="s">
        <v>8041</v>
      </c>
    </row>
    <row r="4852" spans="1:5" x14ac:dyDescent="0.25">
      <c r="A4852" s="114">
        <v>2</v>
      </c>
      <c r="B4852" s="114" t="s">
        <v>2935</v>
      </c>
      <c r="D4852" s="114" t="s">
        <v>1073</v>
      </c>
      <c r="E4852" s="114" t="s">
        <v>8042</v>
      </c>
    </row>
    <row r="4853" spans="1:5" x14ac:dyDescent="0.25">
      <c r="B4853" s="114" t="s">
        <v>1073</v>
      </c>
      <c r="D4853" s="114" t="s">
        <v>1073</v>
      </c>
      <c r="E4853" s="114" t="s">
        <v>7398</v>
      </c>
    </row>
    <row r="4854" spans="1:5" x14ac:dyDescent="0.25">
      <c r="B4854" s="114" t="s">
        <v>1073</v>
      </c>
      <c r="D4854" s="114" t="s">
        <v>8043</v>
      </c>
      <c r="E4854" s="114" t="s">
        <v>8044</v>
      </c>
    </row>
    <row r="4855" spans="1:5" x14ac:dyDescent="0.25">
      <c r="B4855" s="114" t="s">
        <v>2936</v>
      </c>
      <c r="C4855" s="114" t="s">
        <v>1072</v>
      </c>
      <c r="D4855" s="114" t="s">
        <v>8045</v>
      </c>
      <c r="E4855" s="114" t="s">
        <v>8046</v>
      </c>
    </row>
    <row r="4856" spans="1:5" x14ac:dyDescent="0.25">
      <c r="A4856" s="114">
        <v>-1</v>
      </c>
      <c r="B4856" s="114" t="s">
        <v>2937</v>
      </c>
      <c r="D4856" s="114" t="s">
        <v>8047</v>
      </c>
      <c r="E4856" s="114" t="s">
        <v>8048</v>
      </c>
    </row>
    <row r="4857" spans="1:5" x14ac:dyDescent="0.25">
      <c r="A4857" s="114">
        <v>-1</v>
      </c>
      <c r="B4857" s="114" t="s">
        <v>2938</v>
      </c>
      <c r="C4857" s="114" t="s">
        <v>1072</v>
      </c>
      <c r="D4857" s="114" t="s">
        <v>8049</v>
      </c>
      <c r="E4857" s="114" t="s">
        <v>8050</v>
      </c>
    </row>
    <row r="4858" spans="1:5" x14ac:dyDescent="0.25">
      <c r="A4858" s="114">
        <v>-15</v>
      </c>
      <c r="B4858" s="114" t="s">
        <v>2939</v>
      </c>
      <c r="D4858" s="114" t="s">
        <v>8051</v>
      </c>
      <c r="E4858" s="114" t="s">
        <v>8052</v>
      </c>
    </row>
    <row r="4859" spans="1:5" x14ac:dyDescent="0.25">
      <c r="A4859" s="114" t="s">
        <v>1072</v>
      </c>
      <c r="B4859" s="114" t="s">
        <v>2940</v>
      </c>
      <c r="D4859" s="114">
        <f>-157  -8133  -307</f>
        <v>-8597</v>
      </c>
      <c r="E4859" s="114" t="s">
        <v>8053</v>
      </c>
    </row>
    <row r="4860" spans="1:5" x14ac:dyDescent="0.25">
      <c r="B4860" s="114" t="s">
        <v>2941</v>
      </c>
      <c r="D4860" s="114" t="s">
        <v>8054</v>
      </c>
      <c r="E4860" s="114" t="s">
        <v>8055</v>
      </c>
    </row>
    <row r="4861" spans="1:5" x14ac:dyDescent="0.25">
      <c r="A4861" s="114">
        <v>9</v>
      </c>
      <c r="B4861" s="114" t="s">
        <v>2942</v>
      </c>
      <c r="D4861" s="114" t="s">
        <v>1200</v>
      </c>
      <c r="E4861" s="114" t="s">
        <v>8056</v>
      </c>
    </row>
    <row r="4862" spans="1:5" x14ac:dyDescent="0.25">
      <c r="B4862" s="114" t="s">
        <v>1462</v>
      </c>
      <c r="D4862" s="114" t="s">
        <v>8057</v>
      </c>
      <c r="E4862" s="114" t="s">
        <v>8058</v>
      </c>
    </row>
    <row r="4863" spans="1:5" x14ac:dyDescent="0.25">
      <c r="B4863" s="114" t="s">
        <v>2943</v>
      </c>
      <c r="D4863" s="114" t="s">
        <v>8059</v>
      </c>
      <c r="E4863" s="114" t="s">
        <v>8060</v>
      </c>
    </row>
    <row r="4864" spans="1:5" x14ac:dyDescent="0.25">
      <c r="A4864" s="114">
        <v>3</v>
      </c>
      <c r="B4864" s="114" t="s">
        <v>2944</v>
      </c>
      <c r="C4864" s="114" t="s">
        <v>1072</v>
      </c>
      <c r="D4864" s="114" t="s">
        <v>8061</v>
      </c>
      <c r="E4864" s="114" t="s">
        <v>8062</v>
      </c>
    </row>
    <row r="4865" spans="1:5" x14ac:dyDescent="0.25">
      <c r="B4865" s="114" t="s">
        <v>2710</v>
      </c>
      <c r="D4865" s="114" t="s">
        <v>1081</v>
      </c>
      <c r="E4865" s="114" t="s">
        <v>3993</v>
      </c>
    </row>
    <row r="4866" spans="1:5" x14ac:dyDescent="0.25">
      <c r="A4866" s="114" t="s">
        <v>1072</v>
      </c>
      <c r="B4866" s="114" t="s">
        <v>2945</v>
      </c>
      <c r="D4866" s="114" t="s">
        <v>8063</v>
      </c>
      <c r="E4866" s="114" t="s">
        <v>4014</v>
      </c>
    </row>
    <row r="4867" spans="1:5" x14ac:dyDescent="0.25">
      <c r="A4867" s="114">
        <v>10</v>
      </c>
      <c r="B4867" s="114" t="s">
        <v>2946</v>
      </c>
      <c r="C4867" s="114" t="s">
        <v>1072</v>
      </c>
      <c r="D4867" s="114" t="s">
        <v>8064</v>
      </c>
      <c r="E4867" s="114" t="s">
        <v>8065</v>
      </c>
    </row>
    <row r="4868" spans="1:5" x14ac:dyDescent="0.25">
      <c r="A4868" s="114" t="s">
        <v>1072</v>
      </c>
      <c r="B4868" s="114" t="s">
        <v>2947</v>
      </c>
      <c r="D4868" s="114" t="s">
        <v>1488</v>
      </c>
      <c r="E4868" s="114" t="s">
        <v>8066</v>
      </c>
    </row>
    <row r="4869" spans="1:5" x14ac:dyDescent="0.25">
      <c r="A4869" s="114" t="s">
        <v>1072</v>
      </c>
      <c r="B4869" s="114" t="s">
        <v>2948</v>
      </c>
      <c r="C4869" s="114" t="s">
        <v>1072</v>
      </c>
      <c r="D4869" s="114" t="s">
        <v>8067</v>
      </c>
      <c r="E4869" s="114" t="s">
        <v>8068</v>
      </c>
    </row>
    <row r="4870" spans="1:5" x14ac:dyDescent="0.25">
      <c r="B4870" s="114" t="s">
        <v>1073</v>
      </c>
      <c r="D4870" s="114" t="s">
        <v>1073</v>
      </c>
      <c r="E4870" s="114" t="s">
        <v>8069</v>
      </c>
    </row>
    <row r="4871" spans="1:5" x14ac:dyDescent="0.25">
      <c r="A4871" s="114" t="s">
        <v>1072</v>
      </c>
      <c r="B4871" s="114" t="s">
        <v>2949</v>
      </c>
      <c r="D4871" s="114" t="s">
        <v>8070</v>
      </c>
      <c r="E4871" s="114" t="s">
        <v>8071</v>
      </c>
    </row>
    <row r="4872" spans="1:5" x14ac:dyDescent="0.25">
      <c r="B4872" s="114" t="s">
        <v>1073</v>
      </c>
      <c r="D4872" s="114" t="s">
        <v>8072</v>
      </c>
      <c r="E4872" s="114" t="s">
        <v>3993</v>
      </c>
    </row>
    <row r="4873" spans="1:5" x14ac:dyDescent="0.25">
      <c r="B4873" s="114" t="s">
        <v>1073</v>
      </c>
      <c r="D4873" s="114" t="s">
        <v>1073</v>
      </c>
      <c r="E4873" s="114" t="s">
        <v>3993</v>
      </c>
    </row>
    <row r="4874" spans="1:5" x14ac:dyDescent="0.25">
      <c r="A4874" s="114" t="s">
        <v>1072</v>
      </c>
      <c r="B4874" s="114" t="s">
        <v>1312</v>
      </c>
      <c r="D4874" s="114" t="s">
        <v>1073</v>
      </c>
      <c r="E4874" s="114" t="s">
        <v>8073</v>
      </c>
    </row>
    <row r="4875" spans="1:5" x14ac:dyDescent="0.25">
      <c r="A4875" s="114">
        <v>3</v>
      </c>
      <c r="B4875" s="114" t="s">
        <v>2950</v>
      </c>
      <c r="D4875" s="114">
        <f>-45   -486</f>
        <v>-531</v>
      </c>
      <c r="E4875" s="114" t="s">
        <v>8074</v>
      </c>
    </row>
    <row r="4876" spans="1:5" x14ac:dyDescent="0.25">
      <c r="A4876" s="114">
        <v>2</v>
      </c>
      <c r="B4876" s="114" t="s">
        <v>2951</v>
      </c>
      <c r="D4876" s="114" t="s">
        <v>8075</v>
      </c>
      <c r="E4876" s="114" t="s">
        <v>8076</v>
      </c>
    </row>
    <row r="4877" spans="1:5" x14ac:dyDescent="0.25">
      <c r="A4877" s="114">
        <v>1</v>
      </c>
      <c r="B4877" s="114" t="s">
        <v>2952</v>
      </c>
      <c r="D4877" s="114" t="s">
        <v>8077</v>
      </c>
      <c r="E4877" s="114" t="s">
        <v>8078</v>
      </c>
    </row>
    <row r="4878" spans="1:5" x14ac:dyDescent="0.25">
      <c r="A4878" s="114">
        <v>2</v>
      </c>
      <c r="B4878" s="114" t="s">
        <v>2953</v>
      </c>
      <c r="D4878" s="114" t="s">
        <v>8079</v>
      </c>
      <c r="E4878" s="114" t="s">
        <v>8080</v>
      </c>
    </row>
    <row r="4879" spans="1:5" x14ac:dyDescent="0.25">
      <c r="A4879" s="114" t="s">
        <v>1072</v>
      </c>
      <c r="B4879" s="114" t="s">
        <v>2954</v>
      </c>
      <c r="D4879" s="114" t="s">
        <v>8081</v>
      </c>
      <c r="E4879" s="114" t="s">
        <v>8082</v>
      </c>
    </row>
    <row r="4880" spans="1:5" x14ac:dyDescent="0.25">
      <c r="B4880" s="114" t="s">
        <v>1073</v>
      </c>
      <c r="D4880" s="114">
        <f>-279   -578</f>
        <v>-857</v>
      </c>
      <c r="E4880" s="114" t="s">
        <v>3993</v>
      </c>
    </row>
    <row r="4881" spans="1:5" x14ac:dyDescent="0.25">
      <c r="B4881" s="114" t="s">
        <v>1073</v>
      </c>
      <c r="D4881" s="114" t="s">
        <v>8083</v>
      </c>
      <c r="E4881" s="114" t="s">
        <v>8084</v>
      </c>
    </row>
    <row r="4882" spans="1:5" x14ac:dyDescent="0.25">
      <c r="A4882" s="114">
        <v>4</v>
      </c>
      <c r="B4882" s="114" t="s">
        <v>2955</v>
      </c>
      <c r="D4882" s="114" t="s">
        <v>1073</v>
      </c>
      <c r="E4882" s="114" t="s">
        <v>8085</v>
      </c>
    </row>
    <row r="4883" spans="1:5" x14ac:dyDescent="0.25">
      <c r="B4883" s="114" t="s">
        <v>1073</v>
      </c>
      <c r="D4883" s="114" t="s">
        <v>1073</v>
      </c>
      <c r="E4883" s="114" t="s">
        <v>8086</v>
      </c>
    </row>
    <row r="4884" spans="1:5" x14ac:dyDescent="0.25">
      <c r="B4884" s="114" t="s">
        <v>1073</v>
      </c>
      <c r="D4884" s="114" t="s">
        <v>8087</v>
      </c>
      <c r="E4884" s="114" t="s">
        <v>8088</v>
      </c>
    </row>
    <row r="4885" spans="1:5" x14ac:dyDescent="0.25">
      <c r="B4885" s="114" t="s">
        <v>2956</v>
      </c>
      <c r="C4885" s="114" t="s">
        <v>1072</v>
      </c>
      <c r="D4885" s="114" t="s">
        <v>8089</v>
      </c>
      <c r="E4885" s="114" t="s">
        <v>8090</v>
      </c>
    </row>
    <row r="4886" spans="1:5" x14ac:dyDescent="0.25">
      <c r="A4886" s="114" t="s">
        <v>1072</v>
      </c>
      <c r="B4886" s="114" t="s">
        <v>2957</v>
      </c>
      <c r="D4886" s="114" t="s">
        <v>8091</v>
      </c>
      <c r="E4886" s="114" t="s">
        <v>8092</v>
      </c>
    </row>
    <row r="4887" spans="1:5" x14ac:dyDescent="0.25">
      <c r="A4887" s="114" t="s">
        <v>1072</v>
      </c>
      <c r="B4887" s="114" t="s">
        <v>2958</v>
      </c>
      <c r="C4887" s="114" t="s">
        <v>1072</v>
      </c>
      <c r="D4887" s="114" t="s">
        <v>8093</v>
      </c>
      <c r="E4887" s="114" t="s">
        <v>8094</v>
      </c>
    </row>
    <row r="4888" spans="1:5" x14ac:dyDescent="0.25">
      <c r="A4888" s="114">
        <v>5</v>
      </c>
      <c r="B4888" s="114" t="s">
        <v>2959</v>
      </c>
      <c r="C4888" s="114" t="s">
        <v>1072</v>
      </c>
      <c r="D4888" s="114" t="s">
        <v>8095</v>
      </c>
      <c r="E4888" s="114" t="s">
        <v>8096</v>
      </c>
    </row>
    <row r="4889" spans="1:5" x14ac:dyDescent="0.25">
      <c r="B4889" s="114" t="s">
        <v>1121</v>
      </c>
      <c r="D4889" s="114" t="s">
        <v>8097</v>
      </c>
      <c r="E4889" s="114" t="s">
        <v>8098</v>
      </c>
    </row>
    <row r="4890" spans="1:5" x14ac:dyDescent="0.25">
      <c r="A4890" s="114">
        <v>-1</v>
      </c>
      <c r="B4890" s="114" t="s">
        <v>2960</v>
      </c>
      <c r="D4890" s="114" t="s">
        <v>8099</v>
      </c>
      <c r="E4890" s="114" t="s">
        <v>8100</v>
      </c>
    </row>
    <row r="4891" spans="1:5" x14ac:dyDescent="0.25">
      <c r="A4891" s="114">
        <v>-14</v>
      </c>
      <c r="B4891" s="114" t="s">
        <v>2961</v>
      </c>
      <c r="D4891" s="114" t="s">
        <v>8101</v>
      </c>
      <c r="E4891" s="114" t="s">
        <v>8102</v>
      </c>
    </row>
    <row r="4892" spans="1:5" x14ac:dyDescent="0.25">
      <c r="B4892" s="114" t="s">
        <v>2962</v>
      </c>
      <c r="D4892" s="114" t="s">
        <v>8103</v>
      </c>
      <c r="E4892" s="114" t="s">
        <v>8104</v>
      </c>
    </row>
    <row r="4893" spans="1:5" x14ac:dyDescent="0.25">
      <c r="A4893" s="114" t="s">
        <v>1072</v>
      </c>
      <c r="B4893" s="114" t="s">
        <v>2963</v>
      </c>
      <c r="D4893" s="114" t="s">
        <v>8105</v>
      </c>
      <c r="E4893" s="114" t="s">
        <v>8106</v>
      </c>
    </row>
    <row r="4894" spans="1:5" x14ac:dyDescent="0.25">
      <c r="A4894" s="114">
        <v>1</v>
      </c>
      <c r="B4894" s="114" t="s">
        <v>2964</v>
      </c>
      <c r="D4894" s="114">
        <f>-935   -686</f>
        <v>-1621</v>
      </c>
      <c r="E4894" s="114" t="s">
        <v>8107</v>
      </c>
    </row>
    <row r="4895" spans="1:5" x14ac:dyDescent="0.25">
      <c r="B4895" s="114" t="s">
        <v>1454</v>
      </c>
      <c r="D4895" s="114" t="s">
        <v>8108</v>
      </c>
      <c r="E4895" s="114" t="s">
        <v>3993</v>
      </c>
    </row>
    <row r="4896" spans="1:5" x14ac:dyDescent="0.25">
      <c r="A4896" s="114" t="s">
        <v>1072</v>
      </c>
      <c r="B4896" s="114" t="s">
        <v>2965</v>
      </c>
      <c r="D4896" s="114" t="s">
        <v>8109</v>
      </c>
      <c r="E4896" s="114" t="s">
        <v>4077</v>
      </c>
    </row>
    <row r="4897" spans="1:5" x14ac:dyDescent="0.25">
      <c r="A4897" s="114">
        <v>8</v>
      </c>
      <c r="B4897" s="114" t="s">
        <v>2966</v>
      </c>
      <c r="C4897" s="114" t="s">
        <v>1072</v>
      </c>
      <c r="D4897" s="114" t="s">
        <v>8110</v>
      </c>
      <c r="E4897" s="114" t="s">
        <v>8111</v>
      </c>
    </row>
    <row r="4898" spans="1:5" x14ac:dyDescent="0.25">
      <c r="A4898" s="114" t="s">
        <v>1072</v>
      </c>
      <c r="B4898" s="114" t="s">
        <v>1468</v>
      </c>
      <c r="D4898" s="114" t="s">
        <v>8112</v>
      </c>
      <c r="E4898" s="114" t="s">
        <v>8113</v>
      </c>
    </row>
    <row r="4899" spans="1:5" x14ac:dyDescent="0.25">
      <c r="A4899" s="114" t="s">
        <v>1072</v>
      </c>
      <c r="B4899" s="114" t="s">
        <v>2967</v>
      </c>
      <c r="C4899" s="114" t="s">
        <v>1072</v>
      </c>
      <c r="D4899" s="114" t="s">
        <v>8114</v>
      </c>
      <c r="E4899" s="114" t="s">
        <v>8115</v>
      </c>
    </row>
    <row r="4900" spans="1:5" x14ac:dyDescent="0.25">
      <c r="B4900" s="114" t="s">
        <v>1073</v>
      </c>
      <c r="D4900" s="114" t="s">
        <v>1073</v>
      </c>
      <c r="E4900" s="114" t="s">
        <v>8116</v>
      </c>
    </row>
    <row r="4901" spans="1:5" x14ac:dyDescent="0.25">
      <c r="A4901" s="114" t="s">
        <v>1072</v>
      </c>
      <c r="B4901" s="114" t="s">
        <v>2968</v>
      </c>
      <c r="D4901" s="114" t="s">
        <v>6322</v>
      </c>
      <c r="E4901" s="114" t="s">
        <v>8117</v>
      </c>
    </row>
    <row r="4902" spans="1:5" x14ac:dyDescent="0.25">
      <c r="B4902" s="114" t="s">
        <v>1073</v>
      </c>
      <c r="D4902" s="114" t="s">
        <v>8118</v>
      </c>
      <c r="E4902" s="114" t="s">
        <v>4044</v>
      </c>
    </row>
    <row r="4903" spans="1:5" x14ac:dyDescent="0.25">
      <c r="B4903" s="114" t="s">
        <v>1073</v>
      </c>
      <c r="D4903" s="114" t="s">
        <v>1073</v>
      </c>
      <c r="E4903" s="114" t="s">
        <v>3993</v>
      </c>
    </row>
    <row r="4904" spans="1:5" x14ac:dyDescent="0.25">
      <c r="A4904" s="114" t="s">
        <v>1072</v>
      </c>
      <c r="B4904" s="114" t="s">
        <v>2237</v>
      </c>
      <c r="D4904" s="114" t="s">
        <v>1073</v>
      </c>
      <c r="E4904" s="114" t="s">
        <v>8119</v>
      </c>
    </row>
    <row r="4905" spans="1:5" x14ac:dyDescent="0.25">
      <c r="A4905" s="114">
        <v>1</v>
      </c>
      <c r="B4905" s="114" t="s">
        <v>2969</v>
      </c>
      <c r="D4905" s="114" t="s">
        <v>8120</v>
      </c>
      <c r="E4905" s="114" t="s">
        <v>8121</v>
      </c>
    </row>
    <row r="4906" spans="1:5" x14ac:dyDescent="0.25">
      <c r="A4906" s="114">
        <v>2</v>
      </c>
      <c r="B4906" s="114" t="s">
        <v>2970</v>
      </c>
      <c r="D4906" s="114" t="s">
        <v>8122</v>
      </c>
      <c r="E4906" s="114" t="s">
        <v>8123</v>
      </c>
    </row>
    <row r="4907" spans="1:5" x14ac:dyDescent="0.25">
      <c r="A4907" s="114">
        <v>2</v>
      </c>
      <c r="B4907" s="114" t="s">
        <v>2971</v>
      </c>
      <c r="D4907" s="114" t="s">
        <v>8124</v>
      </c>
      <c r="E4907" s="114" t="s">
        <v>8125</v>
      </c>
    </row>
    <row r="4908" spans="1:5" x14ac:dyDescent="0.25">
      <c r="A4908" s="114">
        <v>3</v>
      </c>
      <c r="B4908" s="114" t="s">
        <v>2972</v>
      </c>
      <c r="D4908" s="114" t="s">
        <v>8126</v>
      </c>
      <c r="E4908" s="114" t="s">
        <v>8127</v>
      </c>
    </row>
    <row r="4909" spans="1:5" x14ac:dyDescent="0.25">
      <c r="A4909" s="114">
        <v>31</v>
      </c>
      <c r="B4909" s="114" t="s">
        <v>2973</v>
      </c>
      <c r="D4909" s="114" t="s">
        <v>8128</v>
      </c>
      <c r="E4909" s="114" t="s">
        <v>8129</v>
      </c>
    </row>
    <row r="4910" spans="1:5" x14ac:dyDescent="0.25">
      <c r="B4910" s="114" t="s">
        <v>1073</v>
      </c>
      <c r="D4910" s="114" t="s">
        <v>8130</v>
      </c>
      <c r="E4910" s="114" t="s">
        <v>3992</v>
      </c>
    </row>
    <row r="4911" spans="1:5" x14ac:dyDescent="0.25">
      <c r="B4911" s="114" t="s">
        <v>1073</v>
      </c>
      <c r="D4911" s="114" t="s">
        <v>8131</v>
      </c>
      <c r="E4911" s="114" t="s">
        <v>8132</v>
      </c>
    </row>
    <row r="4912" spans="1:5" x14ac:dyDescent="0.25">
      <c r="A4912" s="114">
        <v>3</v>
      </c>
      <c r="B4912" s="114" t="s">
        <v>2974</v>
      </c>
      <c r="D4912" s="114" t="s">
        <v>8133</v>
      </c>
      <c r="E4912" s="114" t="s">
        <v>8134</v>
      </c>
    </row>
    <row r="4913" spans="1:5" x14ac:dyDescent="0.25">
      <c r="B4913" s="114" t="s">
        <v>1215</v>
      </c>
      <c r="D4913" s="114" t="s">
        <v>1073</v>
      </c>
      <c r="E4913" s="114" t="s">
        <v>8135</v>
      </c>
    </row>
    <row r="4914" spans="1:5" x14ac:dyDescent="0.25">
      <c r="B4914" s="114" t="s">
        <v>1073</v>
      </c>
      <c r="D4914" s="114" t="s">
        <v>8136</v>
      </c>
      <c r="E4914" s="114" t="s">
        <v>8137</v>
      </c>
    </row>
    <row r="4915" spans="1:5" x14ac:dyDescent="0.25">
      <c r="B4915" s="114" t="s">
        <v>1073</v>
      </c>
      <c r="C4915" s="114" t="s">
        <v>1072</v>
      </c>
      <c r="D4915" s="114" t="s">
        <v>8138</v>
      </c>
      <c r="E4915" s="114" t="s">
        <v>8139</v>
      </c>
    </row>
    <row r="4916" spans="1:5" x14ac:dyDescent="0.25">
      <c r="A4916" s="114" t="s">
        <v>1072</v>
      </c>
      <c r="B4916" s="114" t="s">
        <v>2975</v>
      </c>
      <c r="D4916" s="114" t="s">
        <v>8140</v>
      </c>
      <c r="E4916" s="114" t="s">
        <v>8141</v>
      </c>
    </row>
    <row r="4917" spans="1:5" x14ac:dyDescent="0.25">
      <c r="B4917" s="114" t="s">
        <v>2976</v>
      </c>
      <c r="D4917" s="114" t="s">
        <v>8142</v>
      </c>
      <c r="E4917" s="114" t="s">
        <v>8143</v>
      </c>
    </row>
    <row r="4918" spans="1:5" x14ac:dyDescent="0.25">
      <c r="A4918" s="114">
        <v>1</v>
      </c>
      <c r="B4918" s="114" t="s">
        <v>2977</v>
      </c>
      <c r="C4918" s="114" t="s">
        <v>1072</v>
      </c>
      <c r="D4918" s="114" t="s">
        <v>8144</v>
      </c>
      <c r="E4918" s="114" t="s">
        <v>8145</v>
      </c>
    </row>
    <row r="4919" spans="1:5" x14ac:dyDescent="0.25">
      <c r="A4919" s="114" t="s">
        <v>1072</v>
      </c>
      <c r="B4919" s="114" t="s">
        <v>2978</v>
      </c>
      <c r="D4919" s="114" t="s">
        <v>8146</v>
      </c>
      <c r="E4919" s="114" t="s">
        <v>8147</v>
      </c>
    </row>
    <row r="4920" spans="1:5" x14ac:dyDescent="0.25">
      <c r="B4920" s="114" t="s">
        <v>2979</v>
      </c>
      <c r="D4920" s="114" t="s">
        <v>8148</v>
      </c>
      <c r="E4920" s="114" t="s">
        <v>8149</v>
      </c>
    </row>
    <row r="4921" spans="1:5" x14ac:dyDescent="0.25">
      <c r="A4921" s="114">
        <v>1</v>
      </c>
      <c r="B4921" s="114" t="s">
        <v>2980</v>
      </c>
      <c r="D4921" s="114" t="s">
        <v>8150</v>
      </c>
      <c r="E4921" s="114" t="s">
        <v>8151</v>
      </c>
    </row>
    <row r="4922" spans="1:5" x14ac:dyDescent="0.25">
      <c r="B4922" s="114" t="s">
        <v>1073</v>
      </c>
      <c r="D4922" s="114" t="s">
        <v>8152</v>
      </c>
      <c r="E4922" s="114" t="s">
        <v>8153</v>
      </c>
    </row>
    <row r="4923" spans="1:5" x14ac:dyDescent="0.25">
      <c r="B4923" s="114" t="s">
        <v>2981</v>
      </c>
      <c r="D4923" s="114" t="s">
        <v>8154</v>
      </c>
      <c r="E4923" s="114" t="s">
        <v>8155</v>
      </c>
    </row>
    <row r="4924" spans="1:5" x14ac:dyDescent="0.25">
      <c r="A4924" s="114">
        <v>-6</v>
      </c>
      <c r="B4924" s="114" t="s">
        <v>2982</v>
      </c>
      <c r="C4924" s="114" t="s">
        <v>1072</v>
      </c>
      <c r="D4924" s="114" t="s">
        <v>8156</v>
      </c>
      <c r="E4924" s="114" t="s">
        <v>8157</v>
      </c>
    </row>
    <row r="4925" spans="1:5" x14ac:dyDescent="0.25">
      <c r="B4925" s="114" t="s">
        <v>2983</v>
      </c>
      <c r="D4925" s="114" t="s">
        <v>1282</v>
      </c>
      <c r="E4925" s="114" t="s">
        <v>3993</v>
      </c>
    </row>
    <row r="4926" spans="1:5" x14ac:dyDescent="0.25">
      <c r="B4926" s="114" t="s">
        <v>2984</v>
      </c>
      <c r="C4926" s="114" t="s">
        <v>1072</v>
      </c>
      <c r="D4926" s="114" t="s">
        <v>8158</v>
      </c>
      <c r="E4926" s="114" t="s">
        <v>8159</v>
      </c>
    </row>
    <row r="4927" spans="1:5" x14ac:dyDescent="0.25">
      <c r="B4927" s="114" t="s">
        <v>2985</v>
      </c>
      <c r="C4927" s="114" t="s">
        <v>1072</v>
      </c>
      <c r="D4927" s="114" t="s">
        <v>8160</v>
      </c>
      <c r="E4927" s="114" t="s">
        <v>8161</v>
      </c>
    </row>
    <row r="4928" spans="1:5" x14ac:dyDescent="0.25">
      <c r="B4928" s="114" t="s">
        <v>1310</v>
      </c>
      <c r="D4928" s="114" t="s">
        <v>4059</v>
      </c>
      <c r="E4928" s="114" t="s">
        <v>8162</v>
      </c>
    </row>
    <row r="4929" spans="1:5" x14ac:dyDescent="0.25">
      <c r="B4929" s="114" t="s">
        <v>2986</v>
      </c>
      <c r="C4929" s="114">
        <v>1</v>
      </c>
      <c r="D4929" s="114" t="s">
        <v>8163</v>
      </c>
      <c r="E4929" s="114" t="s">
        <v>8164</v>
      </c>
    </row>
    <row r="4930" spans="1:5" x14ac:dyDescent="0.25">
      <c r="B4930" s="114" t="s">
        <v>1073</v>
      </c>
      <c r="D4930" s="114" t="s">
        <v>1073</v>
      </c>
      <c r="E4930" s="114" t="s">
        <v>8165</v>
      </c>
    </row>
    <row r="4931" spans="1:5" x14ac:dyDescent="0.25">
      <c r="B4931" s="114" t="s">
        <v>2987</v>
      </c>
      <c r="C4931" s="114">
        <v>-1</v>
      </c>
      <c r="D4931" s="114" t="s">
        <v>8166</v>
      </c>
      <c r="E4931" s="114" t="s">
        <v>8167</v>
      </c>
    </row>
    <row r="4932" spans="1:5" x14ac:dyDescent="0.25">
      <c r="B4932" s="114" t="s">
        <v>1073</v>
      </c>
      <c r="D4932" s="114" t="s">
        <v>7880</v>
      </c>
      <c r="E4932" s="114" t="s">
        <v>8168</v>
      </c>
    </row>
    <row r="4933" spans="1:5" x14ac:dyDescent="0.25">
      <c r="B4933" s="114" t="s">
        <v>1073</v>
      </c>
      <c r="D4933" s="114" t="s">
        <v>1073</v>
      </c>
      <c r="E4933" s="114" t="s">
        <v>3993</v>
      </c>
    </row>
    <row r="4934" spans="1:5" x14ac:dyDescent="0.25">
      <c r="B4934" s="114" t="s">
        <v>1351</v>
      </c>
      <c r="D4934" s="114" t="s">
        <v>1073</v>
      </c>
      <c r="E4934" s="114" t="s">
        <v>8169</v>
      </c>
    </row>
    <row r="4935" spans="1:5" x14ac:dyDescent="0.25">
      <c r="A4935" s="114">
        <v>2</v>
      </c>
      <c r="B4935" s="114" t="s">
        <v>2988</v>
      </c>
      <c r="D4935" s="114" t="s">
        <v>8170</v>
      </c>
      <c r="E4935" s="114" t="s">
        <v>8171</v>
      </c>
    </row>
    <row r="4936" spans="1:5" x14ac:dyDescent="0.25">
      <c r="B4936" s="114" t="s">
        <v>2989</v>
      </c>
      <c r="C4936" s="114" t="s">
        <v>1072</v>
      </c>
      <c r="D4936" s="114" t="s">
        <v>8172</v>
      </c>
      <c r="E4936" s="114" t="s">
        <v>8173</v>
      </c>
    </row>
    <row r="4937" spans="1:5" x14ac:dyDescent="0.25">
      <c r="A4937" s="114">
        <v>3</v>
      </c>
      <c r="B4937" s="114" t="s">
        <v>2990</v>
      </c>
      <c r="D4937" s="114" t="s">
        <v>8174</v>
      </c>
      <c r="E4937" s="114" t="s">
        <v>8175</v>
      </c>
    </row>
    <row r="4938" spans="1:5" x14ac:dyDescent="0.25">
      <c r="A4938" s="114">
        <v>1</v>
      </c>
      <c r="B4938" s="114" t="s">
        <v>2991</v>
      </c>
      <c r="D4938" s="114" t="s">
        <v>8176</v>
      </c>
      <c r="E4938" s="114" t="s">
        <v>8177</v>
      </c>
    </row>
    <row r="4939" spans="1:5" x14ac:dyDescent="0.25">
      <c r="A4939" s="114">
        <v>18</v>
      </c>
      <c r="B4939" s="114" t="s">
        <v>2992</v>
      </c>
      <c r="C4939" s="114">
        <v>2</v>
      </c>
      <c r="D4939" s="114" t="s">
        <v>8178</v>
      </c>
      <c r="E4939" s="114" t="s">
        <v>8179</v>
      </c>
    </row>
    <row r="4940" spans="1:5" x14ac:dyDescent="0.25">
      <c r="B4940" s="114" t="s">
        <v>1190</v>
      </c>
      <c r="D4940" s="114" t="s">
        <v>1073</v>
      </c>
      <c r="E4940" s="114" t="s">
        <v>8180</v>
      </c>
    </row>
    <row r="4941" spans="1:5" x14ac:dyDescent="0.25">
      <c r="B4941" s="114" t="s">
        <v>1073</v>
      </c>
      <c r="D4941" s="114" t="s">
        <v>1073</v>
      </c>
      <c r="E4941" s="114" t="s">
        <v>8181</v>
      </c>
    </row>
    <row r="4942" spans="1:5" x14ac:dyDescent="0.25">
      <c r="A4942" s="114">
        <v>-1</v>
      </c>
      <c r="B4942" s="114" t="s">
        <v>2993</v>
      </c>
      <c r="D4942" s="114" t="s">
        <v>8182</v>
      </c>
      <c r="E4942" s="114" t="s">
        <v>8183</v>
      </c>
    </row>
    <row r="4943" spans="1:5" x14ac:dyDescent="0.25">
      <c r="B4943" s="114" t="s">
        <v>1073</v>
      </c>
      <c r="D4943" s="114" t="s">
        <v>1395</v>
      </c>
      <c r="E4943" s="114" t="s">
        <v>8184</v>
      </c>
    </row>
    <row r="4944" spans="1:5" x14ac:dyDescent="0.25">
      <c r="B4944" s="114" t="s">
        <v>1073</v>
      </c>
      <c r="D4944" s="114" t="s">
        <v>1073</v>
      </c>
      <c r="E4944" s="114" t="s">
        <v>8185</v>
      </c>
    </row>
    <row r="4945" spans="1:5" x14ac:dyDescent="0.25">
      <c r="B4945" s="114" t="s">
        <v>1073</v>
      </c>
      <c r="D4945" s="114" t="s">
        <v>8186</v>
      </c>
      <c r="E4945" s="114" t="s">
        <v>8187</v>
      </c>
    </row>
    <row r="4946" spans="1:5" x14ac:dyDescent="0.25">
      <c r="A4946" s="114" t="s">
        <v>1072</v>
      </c>
      <c r="B4946" s="114" t="s">
        <v>2994</v>
      </c>
      <c r="C4946" s="114" t="s">
        <v>1072</v>
      </c>
      <c r="D4946" s="114" t="s">
        <v>8188</v>
      </c>
      <c r="E4946" s="114" t="s">
        <v>8189</v>
      </c>
    </row>
    <row r="4947" spans="1:5" x14ac:dyDescent="0.25">
      <c r="B4947" s="114" t="s">
        <v>1073</v>
      </c>
      <c r="D4947" s="114" t="s">
        <v>8190</v>
      </c>
      <c r="E4947" s="114" t="s">
        <v>8191</v>
      </c>
    </row>
    <row r="4948" spans="1:5" x14ac:dyDescent="0.25">
      <c r="A4948" s="114">
        <v>-1</v>
      </c>
      <c r="B4948" s="114" t="s">
        <v>1267</v>
      </c>
      <c r="D4948" s="114" t="s">
        <v>8192</v>
      </c>
      <c r="E4948" s="114" t="s">
        <v>8193</v>
      </c>
    </row>
    <row r="4949" spans="1:5" x14ac:dyDescent="0.25">
      <c r="B4949" s="114" t="s">
        <v>1073</v>
      </c>
      <c r="D4949" s="114" t="s">
        <v>8194</v>
      </c>
      <c r="E4949" s="114" t="s">
        <v>8195</v>
      </c>
    </row>
    <row r="4950" spans="1:5" x14ac:dyDescent="0.25">
      <c r="B4950" s="114" t="s">
        <v>1073</v>
      </c>
      <c r="D4950" s="114" t="s">
        <v>8196</v>
      </c>
      <c r="E4950" s="114" t="s">
        <v>8197</v>
      </c>
    </row>
    <row r="4951" spans="1:5" x14ac:dyDescent="0.25">
      <c r="B4951" s="114" t="s">
        <v>2995</v>
      </c>
      <c r="D4951" s="114" t="s">
        <v>8198</v>
      </c>
      <c r="E4951" s="114" t="s">
        <v>8199</v>
      </c>
    </row>
    <row r="4952" spans="1:5" x14ac:dyDescent="0.25">
      <c r="B4952" s="114" t="s">
        <v>2764</v>
      </c>
      <c r="D4952" s="114" t="s">
        <v>8200</v>
      </c>
      <c r="E4952" s="114" t="s">
        <v>8201</v>
      </c>
    </row>
    <row r="4953" spans="1:5" x14ac:dyDescent="0.25">
      <c r="B4953" s="114" t="s">
        <v>1073</v>
      </c>
      <c r="D4953" s="114" t="s">
        <v>8202</v>
      </c>
      <c r="E4953" s="114" t="s">
        <v>8203</v>
      </c>
    </row>
    <row r="4954" spans="1:5" x14ac:dyDescent="0.25">
      <c r="B4954" s="114" t="s">
        <v>1073</v>
      </c>
      <c r="D4954" s="114" t="s">
        <v>8204</v>
      </c>
      <c r="E4954" s="114" t="s">
        <v>8205</v>
      </c>
    </row>
    <row r="4955" spans="1:5" x14ac:dyDescent="0.25">
      <c r="B4955" s="114" t="s">
        <v>1174</v>
      </c>
      <c r="D4955" s="114" t="s">
        <v>3206</v>
      </c>
      <c r="E4955" s="114" t="s">
        <v>4164</v>
      </c>
    </row>
    <row r="4956" spans="1:5" x14ac:dyDescent="0.25">
      <c r="B4956" s="114" t="s">
        <v>1073</v>
      </c>
      <c r="D4956" s="114" t="s">
        <v>8206</v>
      </c>
      <c r="E4956" s="114" t="s">
        <v>8207</v>
      </c>
    </row>
    <row r="4957" spans="1:5" x14ac:dyDescent="0.25">
      <c r="B4957" s="114" t="s">
        <v>1073</v>
      </c>
      <c r="D4957" s="114" t="s">
        <v>8208</v>
      </c>
      <c r="E4957" s="114" t="s">
        <v>8209</v>
      </c>
    </row>
    <row r="4958" spans="1:5" x14ac:dyDescent="0.25">
      <c r="B4958" s="114" t="s">
        <v>1073</v>
      </c>
      <c r="D4958" s="114" t="s">
        <v>1657</v>
      </c>
      <c r="E4958" s="114" t="s">
        <v>8210</v>
      </c>
    </row>
    <row r="4959" spans="1:5" x14ac:dyDescent="0.25">
      <c r="B4959" s="114" t="s">
        <v>1073</v>
      </c>
      <c r="D4959" s="114" t="s">
        <v>8211</v>
      </c>
      <c r="E4959" s="114" t="s">
        <v>8212</v>
      </c>
    </row>
    <row r="4960" spans="1:5" x14ac:dyDescent="0.25">
      <c r="A4960" s="114">
        <v>-21</v>
      </c>
      <c r="B4960" s="114" t="s">
        <v>2996</v>
      </c>
      <c r="D4960" s="114" t="s">
        <v>1073</v>
      </c>
      <c r="E4960" s="114" t="s">
        <v>8213</v>
      </c>
    </row>
    <row r="4961" spans="1:5" x14ac:dyDescent="0.25">
      <c r="A4961" s="114">
        <v>2</v>
      </c>
      <c r="B4961" s="114" t="s">
        <v>2997</v>
      </c>
      <c r="D4961" s="114" t="s">
        <v>8214</v>
      </c>
      <c r="E4961" s="114" t="s">
        <v>8215</v>
      </c>
    </row>
    <row r="4962" spans="1:5" x14ac:dyDescent="0.25">
      <c r="A4962" s="114">
        <v>-37</v>
      </c>
      <c r="B4962" s="114" t="s">
        <v>2998</v>
      </c>
      <c r="D4962" s="114" t="s">
        <v>1073</v>
      </c>
      <c r="E4962" s="114" t="s">
        <v>8216</v>
      </c>
    </row>
    <row r="4963" spans="1:5" x14ac:dyDescent="0.25">
      <c r="B4963" s="114" t="s">
        <v>1073</v>
      </c>
      <c r="D4963" s="114" t="s">
        <v>1073</v>
      </c>
      <c r="E4963" s="114" t="s">
        <v>3993</v>
      </c>
    </row>
    <row r="4964" spans="1:5" x14ac:dyDescent="0.25">
      <c r="B4964" s="114" t="s">
        <v>1073</v>
      </c>
      <c r="D4964" s="114" t="s">
        <v>1193</v>
      </c>
      <c r="E4964" s="114" t="s">
        <v>8217</v>
      </c>
    </row>
    <row r="4965" spans="1:5" x14ac:dyDescent="0.25">
      <c r="B4965" s="114" t="s">
        <v>2999</v>
      </c>
      <c r="D4965" s="114" t="s">
        <v>8218</v>
      </c>
      <c r="E4965" s="114" t="s">
        <v>8219</v>
      </c>
    </row>
    <row r="4966" spans="1:5" x14ac:dyDescent="0.25">
      <c r="A4966" s="114">
        <v>1</v>
      </c>
      <c r="B4966" s="114" t="s">
        <v>3000</v>
      </c>
      <c r="C4966" s="114" t="s">
        <v>1072</v>
      </c>
      <c r="D4966" s="114" t="s">
        <v>8220</v>
      </c>
      <c r="E4966" s="114" t="s">
        <v>8221</v>
      </c>
    </row>
    <row r="4967" spans="1:5" x14ac:dyDescent="0.25">
      <c r="A4967" s="114">
        <v>1</v>
      </c>
      <c r="B4967" s="114" t="s">
        <v>3001</v>
      </c>
      <c r="D4967" s="114" t="s">
        <v>8222</v>
      </c>
      <c r="E4967" s="114" t="s">
        <v>8223</v>
      </c>
    </row>
    <row r="4968" spans="1:5" x14ac:dyDescent="0.25">
      <c r="A4968" s="114">
        <v>2</v>
      </c>
      <c r="B4968" s="114" t="s">
        <v>3002</v>
      </c>
      <c r="D4968" s="114" t="s">
        <v>8224</v>
      </c>
      <c r="E4968" s="114" t="s">
        <v>8225</v>
      </c>
    </row>
    <row r="4969" spans="1:5" x14ac:dyDescent="0.25">
      <c r="A4969" s="114">
        <v>23</v>
      </c>
      <c r="B4969" s="114" t="s">
        <v>3003</v>
      </c>
      <c r="C4969" s="114">
        <v>2</v>
      </c>
      <c r="D4969" s="114" t="s">
        <v>8226</v>
      </c>
      <c r="E4969" s="114" t="s">
        <v>8227</v>
      </c>
    </row>
    <row r="4970" spans="1:5" x14ac:dyDescent="0.25">
      <c r="B4970" s="114" t="s">
        <v>1073</v>
      </c>
      <c r="D4970" s="114" t="s">
        <v>8228</v>
      </c>
      <c r="E4970" s="114" t="s">
        <v>8229</v>
      </c>
    </row>
    <row r="4971" spans="1:5" x14ac:dyDescent="0.25">
      <c r="B4971" s="114" t="s">
        <v>1073</v>
      </c>
      <c r="D4971" s="114" t="s">
        <v>1073</v>
      </c>
      <c r="E4971" s="114" t="s">
        <v>8230</v>
      </c>
    </row>
    <row r="4972" spans="1:5" x14ac:dyDescent="0.25">
      <c r="B4972" s="114" t="s">
        <v>1073</v>
      </c>
      <c r="D4972" s="114" t="s">
        <v>8231</v>
      </c>
      <c r="E4972" s="114" t="s">
        <v>8232</v>
      </c>
    </row>
    <row r="4973" spans="1:5" x14ac:dyDescent="0.25">
      <c r="B4973" s="114" t="s">
        <v>3004</v>
      </c>
      <c r="D4973" s="114" t="s">
        <v>1073</v>
      </c>
      <c r="E4973" s="114" t="s">
        <v>8233</v>
      </c>
    </row>
    <row r="4974" spans="1:5" x14ac:dyDescent="0.25">
      <c r="B4974" s="114" t="s">
        <v>2332</v>
      </c>
      <c r="D4974" s="114" t="s">
        <v>1073</v>
      </c>
      <c r="E4974" s="114" t="s">
        <v>8234</v>
      </c>
    </row>
    <row r="4975" spans="1:5" x14ac:dyDescent="0.25">
      <c r="A4975" s="114">
        <v>1</v>
      </c>
      <c r="B4975" s="114" t="s">
        <v>1438</v>
      </c>
      <c r="C4975" s="114" t="s">
        <v>1072</v>
      </c>
      <c r="D4975" s="114" t="s">
        <v>8235</v>
      </c>
      <c r="E4975" s="114" t="s">
        <v>8236</v>
      </c>
    </row>
    <row r="4976" spans="1:5" x14ac:dyDescent="0.25">
      <c r="B4976" s="114" t="s">
        <v>1073</v>
      </c>
      <c r="C4976" s="114" t="s">
        <v>1072</v>
      </c>
      <c r="D4976" s="114" t="s">
        <v>8237</v>
      </c>
      <c r="E4976" s="114" t="s">
        <v>8238</v>
      </c>
    </row>
    <row r="4977" spans="1:5" x14ac:dyDescent="0.25">
      <c r="B4977" s="114" t="s">
        <v>3005</v>
      </c>
      <c r="D4977" s="114" t="s">
        <v>1073</v>
      </c>
      <c r="E4977" s="114" t="s">
        <v>8239</v>
      </c>
    </row>
    <row r="4978" spans="1:5" x14ac:dyDescent="0.25">
      <c r="B4978" s="114" t="s">
        <v>3006</v>
      </c>
      <c r="D4978" s="114" t="s">
        <v>8240</v>
      </c>
      <c r="E4978" s="114" t="s">
        <v>8241</v>
      </c>
    </row>
    <row r="4979" spans="1:5" x14ac:dyDescent="0.25">
      <c r="A4979" s="114" t="s">
        <v>1072</v>
      </c>
      <c r="B4979" s="114" t="s">
        <v>3007</v>
      </c>
      <c r="D4979" s="114" t="s">
        <v>8242</v>
      </c>
      <c r="E4979" s="114" t="s">
        <v>8243</v>
      </c>
    </row>
    <row r="4980" spans="1:5" x14ac:dyDescent="0.25">
      <c r="B4980" s="114" t="s">
        <v>3008</v>
      </c>
      <c r="D4980" s="114" t="s">
        <v>1073</v>
      </c>
      <c r="E4980" s="114" t="s">
        <v>8244</v>
      </c>
    </row>
    <row r="4981" spans="1:5" x14ac:dyDescent="0.25">
      <c r="B4981" s="114" t="s">
        <v>3009</v>
      </c>
      <c r="C4981" s="114" t="s">
        <v>1072</v>
      </c>
      <c r="D4981" s="114" t="s">
        <v>8245</v>
      </c>
      <c r="E4981" s="114" t="s">
        <v>8246</v>
      </c>
    </row>
    <row r="4982" spans="1:5" x14ac:dyDescent="0.25">
      <c r="B4982" s="114" t="s">
        <v>3010</v>
      </c>
      <c r="D4982" s="114" t="s">
        <v>8247</v>
      </c>
      <c r="E4982" s="114" t="s">
        <v>8248</v>
      </c>
    </row>
    <row r="4983" spans="1:5" x14ac:dyDescent="0.25">
      <c r="A4983" s="114" t="s">
        <v>1072</v>
      </c>
      <c r="B4983" s="114" t="s">
        <v>3011</v>
      </c>
      <c r="D4983" s="114" t="s">
        <v>1073</v>
      </c>
      <c r="E4983" s="114" t="s">
        <v>8249</v>
      </c>
    </row>
    <row r="4984" spans="1:5" x14ac:dyDescent="0.25">
      <c r="A4984" s="114" t="s">
        <v>1072</v>
      </c>
      <c r="B4984" s="114" t="s">
        <v>3012</v>
      </c>
      <c r="D4984" s="114" t="s">
        <v>1073</v>
      </c>
      <c r="E4984" s="114" t="s">
        <v>8250</v>
      </c>
    </row>
    <row r="4985" spans="1:5" x14ac:dyDescent="0.25">
      <c r="B4985" s="114" t="s">
        <v>1485</v>
      </c>
      <c r="D4985" s="114" t="s">
        <v>8251</v>
      </c>
      <c r="E4985" s="114" t="s">
        <v>8252</v>
      </c>
    </row>
    <row r="4986" spans="1:5" x14ac:dyDescent="0.25">
      <c r="B4986" s="114" t="s">
        <v>1073</v>
      </c>
      <c r="D4986" s="114" t="s">
        <v>1073</v>
      </c>
      <c r="E4986" s="114" t="s">
        <v>8253</v>
      </c>
    </row>
    <row r="4987" spans="1:5" x14ac:dyDescent="0.25">
      <c r="A4987" s="114" t="s">
        <v>1072</v>
      </c>
      <c r="B4987" s="114" t="s">
        <v>2792</v>
      </c>
      <c r="D4987" s="114" t="s">
        <v>1073</v>
      </c>
      <c r="E4987" s="114" t="s">
        <v>8254</v>
      </c>
    </row>
    <row r="4988" spans="1:5" x14ac:dyDescent="0.25">
      <c r="B4988" s="114" t="s">
        <v>3013</v>
      </c>
      <c r="D4988" s="114" t="s">
        <v>4231</v>
      </c>
      <c r="E4988" s="114" t="s">
        <v>8255</v>
      </c>
    </row>
    <row r="4989" spans="1:5" x14ac:dyDescent="0.25">
      <c r="B4989" s="114" t="s">
        <v>3014</v>
      </c>
      <c r="D4989" s="114" t="s">
        <v>1073</v>
      </c>
      <c r="E4989" s="114" t="s">
        <v>8256</v>
      </c>
    </row>
    <row r="4990" spans="1:5" x14ac:dyDescent="0.25">
      <c r="A4990" s="114">
        <v>1</v>
      </c>
      <c r="B4990" s="114" t="s">
        <v>3015</v>
      </c>
      <c r="D4990" s="114" t="s">
        <v>8257</v>
      </c>
      <c r="E4990" s="114" t="s">
        <v>4002</v>
      </c>
    </row>
    <row r="4991" spans="1:5" x14ac:dyDescent="0.25">
      <c r="B4991" s="114" t="s">
        <v>1073</v>
      </c>
      <c r="D4991" s="114" t="s">
        <v>8258</v>
      </c>
      <c r="E4991" s="114" t="s">
        <v>8259</v>
      </c>
    </row>
    <row r="4992" spans="1:5" x14ac:dyDescent="0.25">
      <c r="A4992" s="114">
        <v>-2</v>
      </c>
      <c r="B4992" s="114" t="s">
        <v>3016</v>
      </c>
      <c r="D4992" s="114" t="s">
        <v>8260</v>
      </c>
      <c r="E4992" s="114" t="s">
        <v>8261</v>
      </c>
    </row>
    <row r="4993" spans="1:5" x14ac:dyDescent="0.25">
      <c r="B4993" s="114" t="s">
        <v>1180</v>
      </c>
      <c r="D4993" s="114" t="s">
        <v>1073</v>
      </c>
      <c r="E4993" s="114" t="s">
        <v>3993</v>
      </c>
    </row>
    <row r="4994" spans="1:5" x14ac:dyDescent="0.25">
      <c r="B4994" s="114" t="s">
        <v>1073</v>
      </c>
      <c r="D4994" s="114" t="s">
        <v>1073</v>
      </c>
      <c r="E4994" s="114" t="s">
        <v>8262</v>
      </c>
    </row>
    <row r="4995" spans="1:5" x14ac:dyDescent="0.25">
      <c r="B4995" s="114" t="s">
        <v>1220</v>
      </c>
      <c r="D4995" s="114" t="s">
        <v>8263</v>
      </c>
      <c r="E4995" s="114" t="s">
        <v>8264</v>
      </c>
    </row>
    <row r="4996" spans="1:5" x14ac:dyDescent="0.25">
      <c r="B4996" s="114" t="s">
        <v>1073</v>
      </c>
      <c r="D4996" s="114" t="s">
        <v>8265</v>
      </c>
      <c r="E4996" s="114" t="s">
        <v>8266</v>
      </c>
    </row>
    <row r="4997" spans="1:5" x14ac:dyDescent="0.25">
      <c r="A4997" s="114">
        <v>-4</v>
      </c>
      <c r="B4997" s="114" t="s">
        <v>3017</v>
      </c>
      <c r="D4997" s="114" t="s">
        <v>8267</v>
      </c>
      <c r="E4997" s="114" t="s">
        <v>8268</v>
      </c>
    </row>
    <row r="4998" spans="1:5" x14ac:dyDescent="0.25">
      <c r="B4998" s="114" t="s">
        <v>3018</v>
      </c>
      <c r="D4998" s="114" t="s">
        <v>8269</v>
      </c>
      <c r="E4998" s="114" t="s">
        <v>8270</v>
      </c>
    </row>
    <row r="4999" spans="1:5" x14ac:dyDescent="0.25">
      <c r="A4999" s="114">
        <v>23</v>
      </c>
      <c r="B4999" s="114" t="s">
        <v>3019</v>
      </c>
      <c r="C4999" s="114">
        <v>1</v>
      </c>
      <c r="D4999" s="114" t="s">
        <v>8271</v>
      </c>
      <c r="E4999" s="114" t="s">
        <v>8272</v>
      </c>
    </row>
    <row r="5000" spans="1:5" x14ac:dyDescent="0.25">
      <c r="A5000" s="114">
        <v>-1</v>
      </c>
      <c r="B5000" s="114" t="s">
        <v>3020</v>
      </c>
      <c r="D5000" s="114">
        <f>-481    -13</f>
        <v>-494</v>
      </c>
      <c r="E5000" s="114" t="s">
        <v>8273</v>
      </c>
    </row>
    <row r="5001" spans="1:5" x14ac:dyDescent="0.25">
      <c r="B5001" s="114" t="s">
        <v>1073</v>
      </c>
      <c r="D5001" s="114" t="s">
        <v>8274</v>
      </c>
      <c r="E5001" s="114" t="s">
        <v>3993</v>
      </c>
    </row>
    <row r="5002" spans="1:5" x14ac:dyDescent="0.25">
      <c r="B5002" s="114" t="s">
        <v>1073</v>
      </c>
      <c r="D5002" s="114" t="s">
        <v>8275</v>
      </c>
      <c r="E5002" s="114" t="s">
        <v>8276</v>
      </c>
    </row>
    <row r="5003" spans="1:5" x14ac:dyDescent="0.25">
      <c r="A5003" s="114" t="s">
        <v>1072</v>
      </c>
      <c r="B5003" s="114" t="s">
        <v>3021</v>
      </c>
      <c r="D5003" s="114" t="s">
        <v>1073</v>
      </c>
      <c r="E5003" s="114" t="s">
        <v>8277</v>
      </c>
    </row>
    <row r="5004" spans="1:5" x14ac:dyDescent="0.25">
      <c r="B5004" s="114" t="s">
        <v>1073</v>
      </c>
      <c r="D5004" s="114" t="s">
        <v>1073</v>
      </c>
      <c r="E5004" s="114" t="s">
        <v>4489</v>
      </c>
    </row>
    <row r="5005" spans="1:5" x14ac:dyDescent="0.25">
      <c r="B5005" s="114" t="s">
        <v>1073</v>
      </c>
      <c r="D5005" s="114" t="s">
        <v>8278</v>
      </c>
      <c r="E5005" s="114" t="s">
        <v>8279</v>
      </c>
    </row>
    <row r="5006" spans="1:5" x14ac:dyDescent="0.25">
      <c r="B5006" s="114" t="s">
        <v>3022</v>
      </c>
      <c r="C5006" s="114" t="s">
        <v>1072</v>
      </c>
      <c r="D5006" s="114" t="s">
        <v>8280</v>
      </c>
      <c r="E5006" s="114" t="s">
        <v>8281</v>
      </c>
    </row>
    <row r="5007" spans="1:5" x14ac:dyDescent="0.25">
      <c r="A5007" s="114">
        <v>1</v>
      </c>
      <c r="B5007" s="114" t="s">
        <v>3023</v>
      </c>
      <c r="D5007" s="114" t="s">
        <v>8282</v>
      </c>
      <c r="E5007" s="114" t="s">
        <v>8283</v>
      </c>
    </row>
    <row r="5008" spans="1:5" x14ac:dyDescent="0.25">
      <c r="A5008" s="114" t="s">
        <v>1072</v>
      </c>
      <c r="B5008" s="114" t="s">
        <v>3024</v>
      </c>
      <c r="D5008" s="114" t="s">
        <v>8284</v>
      </c>
      <c r="E5008" s="114" t="s">
        <v>8285</v>
      </c>
    </row>
    <row r="5009" spans="1:5" x14ac:dyDescent="0.25">
      <c r="A5009" s="114" t="s">
        <v>1072</v>
      </c>
      <c r="B5009" s="114" t="s">
        <v>3025</v>
      </c>
      <c r="D5009" s="114" t="s">
        <v>8286</v>
      </c>
      <c r="E5009" s="114" t="s">
        <v>8287</v>
      </c>
    </row>
    <row r="5010" spans="1:5" x14ac:dyDescent="0.25">
      <c r="A5010" s="114">
        <v>2</v>
      </c>
      <c r="B5010" s="114" t="s">
        <v>3026</v>
      </c>
      <c r="D5010" s="114" t="s">
        <v>8288</v>
      </c>
      <c r="E5010" s="114" t="s">
        <v>8289</v>
      </c>
    </row>
    <row r="5011" spans="1:5" x14ac:dyDescent="0.25">
      <c r="B5011" s="114">
        <f>-66  -3087</f>
        <v>-3153</v>
      </c>
      <c r="D5011" s="114" t="s">
        <v>8290</v>
      </c>
      <c r="E5011" s="114" t="s">
        <v>8291</v>
      </c>
    </row>
    <row r="5012" spans="1:5" x14ac:dyDescent="0.25">
      <c r="B5012" s="114" t="s">
        <v>3027</v>
      </c>
      <c r="D5012" s="114" t="s">
        <v>8292</v>
      </c>
      <c r="E5012" s="114" t="s">
        <v>8293</v>
      </c>
    </row>
    <row r="5013" spans="1:5" x14ac:dyDescent="0.25">
      <c r="B5013" s="114" t="s">
        <v>1802</v>
      </c>
      <c r="D5013" s="114" t="s">
        <v>8294</v>
      </c>
      <c r="E5013" s="114" t="s">
        <v>8295</v>
      </c>
    </row>
    <row r="5014" spans="1:5" x14ac:dyDescent="0.25">
      <c r="B5014" s="114" t="s">
        <v>3028</v>
      </c>
      <c r="D5014" s="114" t="s">
        <v>8296</v>
      </c>
      <c r="E5014" s="114" t="s">
        <v>8297</v>
      </c>
    </row>
    <row r="5015" spans="1:5" x14ac:dyDescent="0.25">
      <c r="B5015" s="114" t="s">
        <v>3029</v>
      </c>
      <c r="D5015" s="114">
        <f>-680   -110</f>
        <v>-790</v>
      </c>
      <c r="E5015" s="114" t="s">
        <v>8298</v>
      </c>
    </row>
    <row r="5016" spans="1:5" x14ac:dyDescent="0.25">
      <c r="A5016" s="114">
        <v>1</v>
      </c>
      <c r="B5016" s="114" t="s">
        <v>1106</v>
      </c>
      <c r="D5016" s="114" t="s">
        <v>3707</v>
      </c>
      <c r="E5016" s="114" t="s">
        <v>3993</v>
      </c>
    </row>
    <row r="5017" spans="1:5" x14ac:dyDescent="0.25">
      <c r="B5017" s="114" t="s">
        <v>3030</v>
      </c>
      <c r="D5017" s="114" t="s">
        <v>8299</v>
      </c>
      <c r="E5017" s="114" t="s">
        <v>4002</v>
      </c>
    </row>
    <row r="5018" spans="1:5" x14ac:dyDescent="0.25">
      <c r="A5018" s="114" t="s">
        <v>1072</v>
      </c>
      <c r="B5018" s="114" t="s">
        <v>3031</v>
      </c>
      <c r="D5018" s="114" t="s">
        <v>8300</v>
      </c>
      <c r="E5018" s="114" t="s">
        <v>8301</v>
      </c>
    </row>
    <row r="5019" spans="1:5" x14ac:dyDescent="0.25">
      <c r="A5019" s="114">
        <v>5</v>
      </c>
      <c r="B5019" s="114" t="s">
        <v>1378</v>
      </c>
      <c r="D5019" s="114" t="s">
        <v>8302</v>
      </c>
      <c r="E5019" s="114" t="s">
        <v>8303</v>
      </c>
    </row>
    <row r="5020" spans="1:5" x14ac:dyDescent="0.25">
      <c r="B5020" s="114" t="s">
        <v>3032</v>
      </c>
      <c r="D5020" s="114" t="s">
        <v>8304</v>
      </c>
      <c r="E5020" s="114" t="s">
        <v>8305</v>
      </c>
    </row>
    <row r="5021" spans="1:5" x14ac:dyDescent="0.25">
      <c r="B5021" s="114" t="s">
        <v>1073</v>
      </c>
      <c r="D5021" s="114" t="s">
        <v>1073</v>
      </c>
      <c r="E5021" s="114" t="s">
        <v>8306</v>
      </c>
    </row>
    <row r="5022" spans="1:5" x14ac:dyDescent="0.25">
      <c r="A5022" s="114">
        <v>-4</v>
      </c>
      <c r="B5022" s="114" t="s">
        <v>3033</v>
      </c>
      <c r="D5022" s="114" t="s">
        <v>8307</v>
      </c>
      <c r="E5022" s="114" t="s">
        <v>8308</v>
      </c>
    </row>
    <row r="5023" spans="1:5" x14ac:dyDescent="0.25">
      <c r="B5023" s="114" t="s">
        <v>1073</v>
      </c>
      <c r="D5023" s="114" t="s">
        <v>8309</v>
      </c>
      <c r="E5023" s="114" t="s">
        <v>5199</v>
      </c>
    </row>
    <row r="5024" spans="1:5" x14ac:dyDescent="0.25">
      <c r="B5024" s="114" t="s">
        <v>1073</v>
      </c>
      <c r="D5024" s="114" t="s">
        <v>1073</v>
      </c>
      <c r="E5024" s="114" t="s">
        <v>3993</v>
      </c>
    </row>
    <row r="5025" spans="1:5" x14ac:dyDescent="0.25">
      <c r="B5025" s="114" t="s">
        <v>1189</v>
      </c>
      <c r="D5025" s="114" t="s">
        <v>1073</v>
      </c>
      <c r="E5025" s="114" t="s">
        <v>8310</v>
      </c>
    </row>
    <row r="5026" spans="1:5" x14ac:dyDescent="0.25">
      <c r="A5026" s="114">
        <v>-1</v>
      </c>
      <c r="B5026" s="114" t="s">
        <v>3034</v>
      </c>
      <c r="D5026" s="114" t="s">
        <v>8311</v>
      </c>
      <c r="E5026" s="114" t="s">
        <v>8312</v>
      </c>
    </row>
    <row r="5027" spans="1:5" x14ac:dyDescent="0.25">
      <c r="A5027" s="114" t="s">
        <v>1072</v>
      </c>
      <c r="B5027" s="114" t="s">
        <v>3035</v>
      </c>
      <c r="D5027" s="114" t="s">
        <v>8313</v>
      </c>
      <c r="E5027" s="114" t="s">
        <v>8314</v>
      </c>
    </row>
    <row r="5028" spans="1:5" x14ac:dyDescent="0.25">
      <c r="B5028" s="114" t="s">
        <v>3036</v>
      </c>
      <c r="C5028" s="114" t="s">
        <v>1072</v>
      </c>
      <c r="D5028" s="114" t="s">
        <v>8315</v>
      </c>
      <c r="E5028" s="114" t="s">
        <v>8316</v>
      </c>
    </row>
    <row r="5029" spans="1:5" x14ac:dyDescent="0.25">
      <c r="B5029" s="114">
        <f>-72   -566</f>
        <v>-638</v>
      </c>
      <c r="D5029" s="114" t="s">
        <v>8317</v>
      </c>
      <c r="E5029" s="114" t="s">
        <v>8318</v>
      </c>
    </row>
    <row r="5030" spans="1:5" x14ac:dyDescent="0.25">
      <c r="A5030" s="114">
        <v>10</v>
      </c>
      <c r="B5030" s="114" t="s">
        <v>3037</v>
      </c>
      <c r="D5030" s="114" t="s">
        <v>8319</v>
      </c>
      <c r="E5030" s="114" t="s">
        <v>8320</v>
      </c>
    </row>
    <row r="5031" spans="1:5" x14ac:dyDescent="0.25">
      <c r="B5031" s="114" t="s">
        <v>3038</v>
      </c>
      <c r="D5031" s="114" t="s">
        <v>8321</v>
      </c>
      <c r="E5031" s="114" t="s">
        <v>8322</v>
      </c>
    </row>
    <row r="5032" spans="1:5" x14ac:dyDescent="0.25">
      <c r="B5032" s="114" t="s">
        <v>1073</v>
      </c>
      <c r="D5032" s="114" t="s">
        <v>1073</v>
      </c>
      <c r="E5032" s="114" t="s">
        <v>8323</v>
      </c>
    </row>
    <row r="5033" spans="1:5" x14ac:dyDescent="0.25">
      <c r="B5033" s="114" t="s">
        <v>3039</v>
      </c>
      <c r="D5033" s="114">
        <f>-612   -178   -24</f>
        <v>-814</v>
      </c>
      <c r="E5033" s="114" t="s">
        <v>8324</v>
      </c>
    </row>
    <row r="5034" spans="1:5" x14ac:dyDescent="0.25">
      <c r="A5034" s="114">
        <v>1</v>
      </c>
      <c r="B5034" s="114" t="s">
        <v>1501</v>
      </c>
      <c r="D5034" s="114" t="s">
        <v>4799</v>
      </c>
      <c r="E5034" s="114" t="s">
        <v>4118</v>
      </c>
    </row>
    <row r="5035" spans="1:5" x14ac:dyDescent="0.25">
      <c r="B5035" s="114" t="s">
        <v>1433</v>
      </c>
      <c r="D5035" s="114" t="s">
        <v>1073</v>
      </c>
      <c r="E5035" s="114" t="s">
        <v>8325</v>
      </c>
    </row>
    <row r="5036" spans="1:5" x14ac:dyDescent="0.25">
      <c r="B5036" s="114" t="s">
        <v>3040</v>
      </c>
      <c r="D5036" s="114" t="s">
        <v>1073</v>
      </c>
      <c r="E5036" s="114" t="s">
        <v>8326</v>
      </c>
    </row>
    <row r="5037" spans="1:5" x14ac:dyDescent="0.25">
      <c r="B5037" s="114" t="s">
        <v>3041</v>
      </c>
      <c r="D5037" s="114" t="s">
        <v>8327</v>
      </c>
      <c r="E5037" s="114" t="s">
        <v>8328</v>
      </c>
    </row>
    <row r="5038" spans="1:5" x14ac:dyDescent="0.25">
      <c r="A5038" s="114" t="s">
        <v>1072</v>
      </c>
      <c r="B5038" s="114" t="s">
        <v>1374</v>
      </c>
      <c r="D5038" s="114" t="s">
        <v>1073</v>
      </c>
      <c r="E5038" s="114" t="s">
        <v>8329</v>
      </c>
    </row>
    <row r="5039" spans="1:5" x14ac:dyDescent="0.25">
      <c r="B5039" s="114">
        <f>-34   -478</f>
        <v>-512</v>
      </c>
      <c r="D5039" s="114" t="s">
        <v>8330</v>
      </c>
      <c r="E5039" s="114" t="s">
        <v>8331</v>
      </c>
    </row>
    <row r="5040" spans="1:5" x14ac:dyDescent="0.25">
      <c r="A5040" s="114" t="s">
        <v>1072</v>
      </c>
      <c r="B5040" s="114" t="s">
        <v>3042</v>
      </c>
      <c r="D5040" s="114" t="s">
        <v>8332</v>
      </c>
      <c r="E5040" s="114" t="s">
        <v>8333</v>
      </c>
    </row>
    <row r="5041" spans="1:5" x14ac:dyDescent="0.25">
      <c r="B5041" s="114" t="s">
        <v>1491</v>
      </c>
      <c r="D5041" s="114" t="s">
        <v>1073</v>
      </c>
      <c r="E5041" s="114" t="s">
        <v>8334</v>
      </c>
    </row>
    <row r="5042" spans="1:5" x14ac:dyDescent="0.25">
      <c r="B5042" s="114" t="s">
        <v>3043</v>
      </c>
      <c r="D5042" s="114" t="s">
        <v>8335</v>
      </c>
      <c r="E5042" s="114" t="s">
        <v>8336</v>
      </c>
    </row>
    <row r="5043" spans="1:5" x14ac:dyDescent="0.25">
      <c r="A5043" s="114" t="s">
        <v>1072</v>
      </c>
      <c r="B5043" s="114" t="s">
        <v>3044</v>
      </c>
      <c r="D5043" s="114" t="s">
        <v>8337</v>
      </c>
      <c r="E5043" s="114" t="s">
        <v>8338</v>
      </c>
    </row>
    <row r="5044" spans="1:5" x14ac:dyDescent="0.25">
      <c r="A5044" s="114" t="s">
        <v>1072</v>
      </c>
      <c r="B5044" s="114" t="s">
        <v>1096</v>
      </c>
      <c r="D5044" s="114" t="s">
        <v>1073</v>
      </c>
      <c r="E5044" s="114" t="s">
        <v>8339</v>
      </c>
    </row>
    <row r="5045" spans="1:5" x14ac:dyDescent="0.25">
      <c r="A5045" s="114" t="s">
        <v>1072</v>
      </c>
      <c r="B5045" s="114" t="s">
        <v>1273</v>
      </c>
      <c r="D5045" s="114" t="s">
        <v>6585</v>
      </c>
      <c r="E5045" s="114" t="s">
        <v>8340</v>
      </c>
    </row>
    <row r="5046" spans="1:5" x14ac:dyDescent="0.25">
      <c r="A5046" s="114" t="s">
        <v>1072</v>
      </c>
      <c r="B5046" s="114" t="s">
        <v>1321</v>
      </c>
      <c r="D5046" s="114" t="s">
        <v>8341</v>
      </c>
      <c r="E5046" s="114" t="s">
        <v>8342</v>
      </c>
    </row>
    <row r="5047" spans="1:5" x14ac:dyDescent="0.25">
      <c r="B5047" s="114" t="s">
        <v>1073</v>
      </c>
      <c r="D5047" s="114" t="s">
        <v>1073</v>
      </c>
      <c r="E5047" s="114" t="s">
        <v>8343</v>
      </c>
    </row>
    <row r="5048" spans="1:5" x14ac:dyDescent="0.25">
      <c r="B5048" s="114" t="s">
        <v>1073</v>
      </c>
      <c r="D5048" s="114" t="s">
        <v>1073</v>
      </c>
      <c r="E5048" s="114" t="s">
        <v>8344</v>
      </c>
    </row>
    <row r="5049" spans="1:5" x14ac:dyDescent="0.25">
      <c r="A5049" s="114">
        <v>-1</v>
      </c>
      <c r="B5049" s="114" t="s">
        <v>3045</v>
      </c>
      <c r="D5049" s="114" t="s">
        <v>1073</v>
      </c>
      <c r="E5049" s="114" t="s">
        <v>8345</v>
      </c>
    </row>
    <row r="5050" spans="1:5" x14ac:dyDescent="0.25">
      <c r="B5050" s="114" t="s">
        <v>1333</v>
      </c>
      <c r="D5050" s="114" t="s">
        <v>1073</v>
      </c>
      <c r="E5050" s="114" t="s">
        <v>8346</v>
      </c>
    </row>
    <row r="5051" spans="1:5" x14ac:dyDescent="0.25">
      <c r="A5051" s="114" t="s">
        <v>1072</v>
      </c>
      <c r="B5051" s="114" t="s">
        <v>3046</v>
      </c>
      <c r="D5051" s="114" t="s">
        <v>8347</v>
      </c>
      <c r="E5051" s="114" t="s">
        <v>3993</v>
      </c>
    </row>
    <row r="5052" spans="1:5" x14ac:dyDescent="0.25">
      <c r="B5052" s="114" t="s">
        <v>3047</v>
      </c>
      <c r="C5052" s="114" t="s">
        <v>1072</v>
      </c>
      <c r="D5052" s="114" t="s">
        <v>8348</v>
      </c>
      <c r="E5052" s="114" t="s">
        <v>8349</v>
      </c>
    </row>
    <row r="5053" spans="1:5" x14ac:dyDescent="0.25">
      <c r="B5053" s="114" t="s">
        <v>3048</v>
      </c>
      <c r="C5053" s="114">
        <v>-1</v>
      </c>
      <c r="D5053" s="114" t="s">
        <v>8350</v>
      </c>
      <c r="E5053" s="114" t="s">
        <v>8351</v>
      </c>
    </row>
    <row r="5054" spans="1:5" x14ac:dyDescent="0.25">
      <c r="B5054" s="114" t="s">
        <v>1073</v>
      </c>
      <c r="D5054" s="114" t="s">
        <v>1073</v>
      </c>
      <c r="E5054" s="114" t="s">
        <v>3993</v>
      </c>
    </row>
    <row r="5055" spans="1:5" x14ac:dyDescent="0.25">
      <c r="B5055" s="114" t="s">
        <v>1073</v>
      </c>
      <c r="D5055" s="114" t="s">
        <v>1073</v>
      </c>
      <c r="E5055" s="114" t="s">
        <v>8352</v>
      </c>
    </row>
    <row r="5056" spans="1:5" x14ac:dyDescent="0.25">
      <c r="B5056" s="114" t="s">
        <v>3049</v>
      </c>
      <c r="D5056" s="114" t="s">
        <v>8353</v>
      </c>
      <c r="E5056" s="114" t="s">
        <v>8354</v>
      </c>
    </row>
    <row r="5057" spans="1:5" x14ac:dyDescent="0.25">
      <c r="B5057" s="114" t="s">
        <v>1101</v>
      </c>
      <c r="C5057" s="114" t="s">
        <v>1072</v>
      </c>
      <c r="D5057" s="114" t="s">
        <v>8355</v>
      </c>
      <c r="E5057" s="114" t="s">
        <v>8356</v>
      </c>
    </row>
    <row r="5058" spans="1:5" x14ac:dyDescent="0.25">
      <c r="A5058" s="114">
        <v>1</v>
      </c>
      <c r="B5058" s="114" t="s">
        <v>3050</v>
      </c>
      <c r="D5058" s="114" t="s">
        <v>8357</v>
      </c>
      <c r="E5058" s="114" t="s">
        <v>8358</v>
      </c>
    </row>
    <row r="5059" spans="1:5" x14ac:dyDescent="0.25">
      <c r="A5059" s="114">
        <v>-17</v>
      </c>
      <c r="B5059" s="114" t="s">
        <v>3051</v>
      </c>
      <c r="D5059" s="114">
        <f>-450   -786   -10</f>
        <v>-1246</v>
      </c>
      <c r="E5059" s="114" t="s">
        <v>8359</v>
      </c>
    </row>
    <row r="5060" spans="1:5" x14ac:dyDescent="0.25">
      <c r="A5060" s="114">
        <v>10</v>
      </c>
      <c r="B5060" s="114" t="s">
        <v>3052</v>
      </c>
      <c r="C5060" s="114">
        <v>1</v>
      </c>
      <c r="D5060" s="114" t="s">
        <v>8360</v>
      </c>
      <c r="E5060" s="114" t="s">
        <v>8361</v>
      </c>
    </row>
    <row r="5061" spans="1:5" x14ac:dyDescent="0.25">
      <c r="A5061" s="114">
        <v>23</v>
      </c>
      <c r="B5061" s="114" t="s">
        <v>3053</v>
      </c>
      <c r="D5061" s="114">
        <f>-949   -453   -13</f>
        <v>-1415</v>
      </c>
      <c r="E5061" s="114" t="s">
        <v>8362</v>
      </c>
    </row>
    <row r="5062" spans="1:5" x14ac:dyDescent="0.25">
      <c r="B5062" s="114" t="s">
        <v>1073</v>
      </c>
      <c r="D5062" s="114" t="s">
        <v>8363</v>
      </c>
      <c r="E5062" s="114" t="s">
        <v>4077</v>
      </c>
    </row>
    <row r="5063" spans="1:5" x14ac:dyDescent="0.25">
      <c r="B5063" s="114" t="s">
        <v>1073</v>
      </c>
      <c r="D5063" s="114" t="s">
        <v>8364</v>
      </c>
      <c r="E5063" s="114" t="s">
        <v>8365</v>
      </c>
    </row>
    <row r="5064" spans="1:5" x14ac:dyDescent="0.25">
      <c r="A5064" s="114" t="s">
        <v>1072</v>
      </c>
      <c r="B5064" s="114" t="s">
        <v>3054</v>
      </c>
      <c r="D5064" s="114" t="s">
        <v>8366</v>
      </c>
      <c r="E5064" s="114" t="s">
        <v>8367</v>
      </c>
    </row>
    <row r="5065" spans="1:5" x14ac:dyDescent="0.25">
      <c r="B5065" s="114" t="s">
        <v>2317</v>
      </c>
      <c r="D5065" s="114" t="s">
        <v>1073</v>
      </c>
      <c r="E5065" s="114" t="s">
        <v>8368</v>
      </c>
    </row>
    <row r="5066" spans="1:5" x14ac:dyDescent="0.25">
      <c r="B5066" s="114" t="s">
        <v>1073</v>
      </c>
      <c r="D5066" s="114" t="s">
        <v>8369</v>
      </c>
      <c r="E5066" s="114" t="s">
        <v>8370</v>
      </c>
    </row>
    <row r="5067" spans="1:5" x14ac:dyDescent="0.25">
      <c r="B5067" s="114" t="s">
        <v>1073</v>
      </c>
      <c r="D5067" s="114" t="s">
        <v>8371</v>
      </c>
      <c r="E5067" s="114" t="s">
        <v>8372</v>
      </c>
    </row>
    <row r="5068" spans="1:5" x14ac:dyDescent="0.25">
      <c r="A5068" s="114">
        <v>1</v>
      </c>
      <c r="B5068" s="114" t="s">
        <v>3055</v>
      </c>
      <c r="D5068" s="114" t="s">
        <v>8373</v>
      </c>
      <c r="E5068" s="114" t="s">
        <v>8374</v>
      </c>
    </row>
    <row r="5069" spans="1:5" x14ac:dyDescent="0.25">
      <c r="B5069" s="114" t="s">
        <v>3056</v>
      </c>
      <c r="C5069" s="114" t="s">
        <v>1072</v>
      </c>
      <c r="D5069" s="114" t="s">
        <v>8375</v>
      </c>
      <c r="E5069" s="114" t="s">
        <v>8376</v>
      </c>
    </row>
    <row r="5070" spans="1:5" x14ac:dyDescent="0.25">
      <c r="B5070" s="114" t="s">
        <v>3057</v>
      </c>
      <c r="D5070" s="114" t="s">
        <v>8377</v>
      </c>
      <c r="E5070" s="114" t="s">
        <v>8378</v>
      </c>
    </row>
    <row r="5071" spans="1:5" x14ac:dyDescent="0.25">
      <c r="B5071" s="114" t="s">
        <v>3058</v>
      </c>
      <c r="D5071" s="114" t="s">
        <v>8379</v>
      </c>
      <c r="E5071" s="114" t="s">
        <v>8380</v>
      </c>
    </row>
    <row r="5072" spans="1:5" x14ac:dyDescent="0.25">
      <c r="B5072" s="114" t="s">
        <v>1257</v>
      </c>
      <c r="C5072" s="114" t="s">
        <v>1072</v>
      </c>
      <c r="D5072" s="114" t="s">
        <v>8381</v>
      </c>
      <c r="E5072" s="114" t="s">
        <v>8382</v>
      </c>
    </row>
    <row r="5073" spans="1:5" x14ac:dyDescent="0.25">
      <c r="B5073" s="114">
        <f>-71   -613</f>
        <v>-684</v>
      </c>
      <c r="D5073" s="114" t="s">
        <v>8383</v>
      </c>
      <c r="E5073" s="114" t="s">
        <v>8384</v>
      </c>
    </row>
    <row r="5074" spans="1:5" x14ac:dyDescent="0.25">
      <c r="B5074" s="114" t="s">
        <v>1073</v>
      </c>
      <c r="D5074" s="114" t="s">
        <v>8385</v>
      </c>
      <c r="E5074" s="114" t="s">
        <v>8386</v>
      </c>
    </row>
    <row r="5075" spans="1:5" x14ac:dyDescent="0.25">
      <c r="B5075" s="114" t="s">
        <v>3059</v>
      </c>
      <c r="C5075" s="114" t="s">
        <v>1072</v>
      </c>
      <c r="D5075" s="114" t="s">
        <v>8387</v>
      </c>
      <c r="E5075" s="114" t="s">
        <v>8388</v>
      </c>
    </row>
    <row r="5076" spans="1:5" x14ac:dyDescent="0.25">
      <c r="B5076" s="114" t="s">
        <v>3060</v>
      </c>
      <c r="D5076" s="114" t="s">
        <v>8389</v>
      </c>
      <c r="E5076" s="114" t="s">
        <v>8390</v>
      </c>
    </row>
    <row r="5077" spans="1:5" x14ac:dyDescent="0.25">
      <c r="B5077" s="114" t="s">
        <v>3061</v>
      </c>
      <c r="D5077" s="114" t="s">
        <v>2981</v>
      </c>
      <c r="E5077" s="114" t="s">
        <v>3993</v>
      </c>
    </row>
    <row r="5078" spans="1:5" x14ac:dyDescent="0.25">
      <c r="B5078" s="114" t="s">
        <v>3062</v>
      </c>
      <c r="D5078" s="114" t="s">
        <v>8391</v>
      </c>
      <c r="E5078" s="114" t="s">
        <v>8392</v>
      </c>
    </row>
    <row r="5079" spans="1:5" x14ac:dyDescent="0.25">
      <c r="B5079" s="114" t="s">
        <v>3063</v>
      </c>
      <c r="C5079" s="114" t="s">
        <v>1072</v>
      </c>
      <c r="D5079" s="114" t="s">
        <v>8393</v>
      </c>
      <c r="E5079" s="114" t="s">
        <v>8394</v>
      </c>
    </row>
    <row r="5080" spans="1:5" x14ac:dyDescent="0.25">
      <c r="B5080" s="114" t="s">
        <v>3064</v>
      </c>
      <c r="D5080" s="114" t="s">
        <v>8395</v>
      </c>
      <c r="E5080" s="114" t="s">
        <v>8396</v>
      </c>
    </row>
    <row r="5081" spans="1:5" x14ac:dyDescent="0.25">
      <c r="B5081" s="114" t="s">
        <v>1331</v>
      </c>
      <c r="C5081" s="114" t="s">
        <v>1072</v>
      </c>
      <c r="D5081" s="114" t="s">
        <v>8397</v>
      </c>
      <c r="E5081" s="114" t="s">
        <v>8398</v>
      </c>
    </row>
    <row r="5082" spans="1:5" x14ac:dyDescent="0.25">
      <c r="B5082" s="114" t="s">
        <v>1073</v>
      </c>
      <c r="D5082" s="114" t="s">
        <v>1073</v>
      </c>
      <c r="E5082" s="114" t="s">
        <v>8399</v>
      </c>
    </row>
    <row r="5083" spans="1:5" x14ac:dyDescent="0.25">
      <c r="A5083" s="114">
        <v>-1</v>
      </c>
      <c r="B5083" s="114" t="s">
        <v>3065</v>
      </c>
      <c r="D5083" s="114" t="s">
        <v>8400</v>
      </c>
      <c r="E5083" s="114" t="s">
        <v>8401</v>
      </c>
    </row>
    <row r="5084" spans="1:5" x14ac:dyDescent="0.25">
      <c r="B5084" s="114" t="s">
        <v>1073</v>
      </c>
      <c r="D5084" s="114" t="s">
        <v>8402</v>
      </c>
      <c r="E5084" s="114" t="s">
        <v>8403</v>
      </c>
    </row>
    <row r="5085" spans="1:5" x14ac:dyDescent="0.25">
      <c r="B5085" s="114" t="s">
        <v>1073</v>
      </c>
      <c r="D5085" s="114" t="s">
        <v>1073</v>
      </c>
      <c r="E5085" s="114" t="s">
        <v>3993</v>
      </c>
    </row>
    <row r="5086" spans="1:5" x14ac:dyDescent="0.25">
      <c r="B5086" s="114" t="s">
        <v>3066</v>
      </c>
      <c r="D5086" s="114" t="s">
        <v>1073</v>
      </c>
      <c r="E5086" s="114" t="s">
        <v>8404</v>
      </c>
    </row>
    <row r="5087" spans="1:5" x14ac:dyDescent="0.25">
      <c r="A5087" s="114" t="s">
        <v>1072</v>
      </c>
      <c r="B5087" s="114" t="s">
        <v>3067</v>
      </c>
      <c r="D5087" s="114" t="s">
        <v>8405</v>
      </c>
      <c r="E5087" s="114" t="s">
        <v>8406</v>
      </c>
    </row>
    <row r="5088" spans="1:5" x14ac:dyDescent="0.25">
      <c r="A5088" s="114" t="s">
        <v>1072</v>
      </c>
      <c r="B5088" s="114" t="s">
        <v>3068</v>
      </c>
      <c r="D5088" s="114" t="s">
        <v>8407</v>
      </c>
      <c r="E5088" s="114" t="s">
        <v>8408</v>
      </c>
    </row>
    <row r="5089" spans="1:5" x14ac:dyDescent="0.25">
      <c r="B5089" s="114" t="s">
        <v>3069</v>
      </c>
      <c r="D5089" s="114" t="s">
        <v>8409</v>
      </c>
      <c r="E5089" s="114" t="s">
        <v>8410</v>
      </c>
    </row>
    <row r="5090" spans="1:5" x14ac:dyDescent="0.25">
      <c r="A5090" s="114">
        <v>-12</v>
      </c>
      <c r="B5090" s="114" t="s">
        <v>3070</v>
      </c>
      <c r="C5090" s="114" t="s">
        <v>1072</v>
      </c>
      <c r="D5090" s="114" t="s">
        <v>8411</v>
      </c>
      <c r="E5090" s="114" t="s">
        <v>8412</v>
      </c>
    </row>
    <row r="5091" spans="1:5" x14ac:dyDescent="0.25">
      <c r="A5091" s="114">
        <v>15</v>
      </c>
      <c r="B5091" s="114" t="s">
        <v>3071</v>
      </c>
      <c r="C5091" s="114">
        <v>1</v>
      </c>
      <c r="D5091" s="114" t="s">
        <v>8413</v>
      </c>
      <c r="E5091" s="114" t="s">
        <v>8414</v>
      </c>
    </row>
    <row r="5092" spans="1:5" x14ac:dyDescent="0.25">
      <c r="B5092" s="114" t="s">
        <v>3072</v>
      </c>
      <c r="D5092" s="114" t="s">
        <v>8415</v>
      </c>
      <c r="E5092" s="114" t="s">
        <v>8416</v>
      </c>
    </row>
    <row r="5093" spans="1:5" x14ac:dyDescent="0.25">
      <c r="B5093" s="114">
        <f>-39   -197</f>
        <v>-236</v>
      </c>
      <c r="D5093" s="114" t="s">
        <v>1073</v>
      </c>
      <c r="E5093" s="114" t="s">
        <v>3993</v>
      </c>
    </row>
    <row r="5094" spans="1:5" x14ac:dyDescent="0.25">
      <c r="A5094" s="114">
        <v>1</v>
      </c>
      <c r="B5094" s="114" t="s">
        <v>3073</v>
      </c>
      <c r="D5094" s="114" t="s">
        <v>5133</v>
      </c>
      <c r="E5094" s="114" t="s">
        <v>8417</v>
      </c>
    </row>
    <row r="5095" spans="1:5" x14ac:dyDescent="0.25">
      <c r="B5095" s="114" t="s">
        <v>1073</v>
      </c>
      <c r="D5095" s="114" t="s">
        <v>8418</v>
      </c>
      <c r="E5095" s="114" t="s">
        <v>8419</v>
      </c>
    </row>
    <row r="5096" spans="1:5" x14ac:dyDescent="0.25">
      <c r="B5096" s="114" t="s">
        <v>1073</v>
      </c>
      <c r="D5096" s="114" t="s">
        <v>8420</v>
      </c>
      <c r="E5096" s="114" t="s">
        <v>3993</v>
      </c>
    </row>
    <row r="5097" spans="1:5" x14ac:dyDescent="0.25">
      <c r="B5097" s="114" t="s">
        <v>3074</v>
      </c>
      <c r="C5097" s="114" t="s">
        <v>1072</v>
      </c>
      <c r="D5097" s="114" t="s">
        <v>8421</v>
      </c>
      <c r="E5097" s="114" t="s">
        <v>8422</v>
      </c>
    </row>
    <row r="5098" spans="1:5" x14ac:dyDescent="0.25">
      <c r="B5098" s="114" t="s">
        <v>3075</v>
      </c>
      <c r="D5098" s="114" t="s">
        <v>6233</v>
      </c>
      <c r="E5098" s="114" t="s">
        <v>8423</v>
      </c>
    </row>
    <row r="5099" spans="1:5" x14ac:dyDescent="0.25">
      <c r="B5099" s="114" t="s">
        <v>3076</v>
      </c>
      <c r="D5099" s="114" t="s">
        <v>8424</v>
      </c>
      <c r="E5099" s="114" t="s">
        <v>8425</v>
      </c>
    </row>
    <row r="5100" spans="1:5" x14ac:dyDescent="0.25">
      <c r="A5100" s="114" t="s">
        <v>1072</v>
      </c>
      <c r="B5100" s="114" t="s">
        <v>3077</v>
      </c>
      <c r="D5100" s="114" t="s">
        <v>8426</v>
      </c>
      <c r="E5100" s="114" t="s">
        <v>8427</v>
      </c>
    </row>
    <row r="5101" spans="1:5" x14ac:dyDescent="0.25">
      <c r="A5101" s="114">
        <v>-1</v>
      </c>
      <c r="B5101" s="114" t="s">
        <v>3078</v>
      </c>
      <c r="D5101" s="114">
        <f>-659   -844  -174</f>
        <v>-1677</v>
      </c>
      <c r="E5101" s="114" t="s">
        <v>8428</v>
      </c>
    </row>
    <row r="5102" spans="1:5" x14ac:dyDescent="0.25">
      <c r="A5102" s="114" t="s">
        <v>1072</v>
      </c>
      <c r="B5102" s="114" t="s">
        <v>3079</v>
      </c>
      <c r="D5102" s="114" t="s">
        <v>8429</v>
      </c>
      <c r="E5102" s="114" t="s">
        <v>8430</v>
      </c>
    </row>
    <row r="5103" spans="1:5" x14ac:dyDescent="0.25">
      <c r="B5103" s="114" t="s">
        <v>3080</v>
      </c>
      <c r="D5103" s="114" t="s">
        <v>8431</v>
      </c>
      <c r="E5103" s="114" t="s">
        <v>8432</v>
      </c>
    </row>
    <row r="5104" spans="1:5" x14ac:dyDescent="0.25">
      <c r="A5104" s="114" t="s">
        <v>1072</v>
      </c>
      <c r="B5104" s="114" t="s">
        <v>1473</v>
      </c>
      <c r="D5104" s="114" t="s">
        <v>8433</v>
      </c>
      <c r="E5104" s="114" t="s">
        <v>8434</v>
      </c>
    </row>
    <row r="5105" spans="1:5" x14ac:dyDescent="0.25">
      <c r="B5105" s="114" t="s">
        <v>2296</v>
      </c>
      <c r="D5105" s="114" t="s">
        <v>8435</v>
      </c>
      <c r="E5105" s="114" t="s">
        <v>8436</v>
      </c>
    </row>
    <row r="5106" spans="1:5" x14ac:dyDescent="0.25">
      <c r="B5106" s="114" t="s">
        <v>3081</v>
      </c>
      <c r="C5106" s="114" t="s">
        <v>1072</v>
      </c>
      <c r="D5106" s="114" t="s">
        <v>8437</v>
      </c>
      <c r="E5106" s="114" t="s">
        <v>8438</v>
      </c>
    </row>
    <row r="5107" spans="1:5" x14ac:dyDescent="0.25">
      <c r="A5107" s="114" t="s">
        <v>1072</v>
      </c>
      <c r="B5107" s="114" t="s">
        <v>3082</v>
      </c>
      <c r="D5107" s="114" t="s">
        <v>8439</v>
      </c>
      <c r="E5107" s="114" t="s">
        <v>8440</v>
      </c>
    </row>
    <row r="5108" spans="1:5" x14ac:dyDescent="0.25">
      <c r="A5108" s="114" t="s">
        <v>1072</v>
      </c>
      <c r="B5108" s="114" t="s">
        <v>1116</v>
      </c>
      <c r="D5108" s="114" t="s">
        <v>1073</v>
      </c>
      <c r="E5108" s="114" t="s">
        <v>8441</v>
      </c>
    </row>
    <row r="5109" spans="1:5" x14ac:dyDescent="0.25">
      <c r="B5109" s="114" t="s">
        <v>3083</v>
      </c>
      <c r="D5109" s="114" t="s">
        <v>8442</v>
      </c>
      <c r="E5109" s="114" t="s">
        <v>8443</v>
      </c>
    </row>
    <row r="5110" spans="1:5" x14ac:dyDescent="0.25">
      <c r="B5110" s="114" t="s">
        <v>3084</v>
      </c>
      <c r="D5110" s="114" t="s">
        <v>8444</v>
      </c>
      <c r="E5110" s="114" t="s">
        <v>8445</v>
      </c>
    </row>
    <row r="5111" spans="1:5" x14ac:dyDescent="0.25">
      <c r="B5111" s="114" t="s">
        <v>1129</v>
      </c>
      <c r="D5111" s="114" t="s">
        <v>1913</v>
      </c>
      <c r="E5111" s="114" t="s">
        <v>8446</v>
      </c>
    </row>
    <row r="5112" spans="1:5" x14ac:dyDescent="0.25">
      <c r="A5112" s="114">
        <v>-1</v>
      </c>
      <c r="B5112" s="114" t="s">
        <v>3085</v>
      </c>
      <c r="C5112" s="114" t="s">
        <v>1072</v>
      </c>
      <c r="D5112" s="114" t="s">
        <v>8447</v>
      </c>
      <c r="E5112" s="114" t="s">
        <v>8448</v>
      </c>
    </row>
    <row r="5113" spans="1:5" x14ac:dyDescent="0.25">
      <c r="B5113" s="114" t="s">
        <v>1073</v>
      </c>
      <c r="D5113" s="114" t="s">
        <v>8449</v>
      </c>
      <c r="E5113" s="114" t="s">
        <v>8450</v>
      </c>
    </row>
    <row r="5114" spans="1:5" x14ac:dyDescent="0.25">
      <c r="B5114" s="114" t="s">
        <v>1073</v>
      </c>
      <c r="C5114" s="114" t="s">
        <v>1072</v>
      </c>
      <c r="D5114" s="114" t="s">
        <v>8451</v>
      </c>
      <c r="E5114" s="114" t="s">
        <v>8452</v>
      </c>
    </row>
    <row r="5115" spans="1:5" x14ac:dyDescent="0.25">
      <c r="B5115" s="114" t="s">
        <v>1483</v>
      </c>
      <c r="D5115" s="114" t="s">
        <v>1125</v>
      </c>
      <c r="E5115" s="114" t="s">
        <v>3993</v>
      </c>
    </row>
    <row r="5116" spans="1:5" x14ac:dyDescent="0.25">
      <c r="B5116" s="114" t="s">
        <v>1073</v>
      </c>
      <c r="D5116" s="114" t="s">
        <v>1073</v>
      </c>
      <c r="E5116" s="114" t="s">
        <v>8453</v>
      </c>
    </row>
    <row r="5117" spans="1:5" x14ac:dyDescent="0.25">
      <c r="B5117" s="114" t="s">
        <v>1073</v>
      </c>
      <c r="D5117" s="114" t="s">
        <v>8454</v>
      </c>
      <c r="E5117" s="114" t="s">
        <v>8455</v>
      </c>
    </row>
    <row r="5118" spans="1:5" x14ac:dyDescent="0.25">
      <c r="A5118" s="114">
        <v>1</v>
      </c>
      <c r="B5118" s="114" t="s">
        <v>3086</v>
      </c>
      <c r="D5118" s="114" t="s">
        <v>8456</v>
      </c>
      <c r="E5118" s="114" t="s">
        <v>8457</v>
      </c>
    </row>
    <row r="5119" spans="1:5" x14ac:dyDescent="0.25">
      <c r="B5119" s="114" t="s">
        <v>3087</v>
      </c>
      <c r="D5119" s="114" t="s">
        <v>8458</v>
      </c>
      <c r="E5119" s="114" t="s">
        <v>8459</v>
      </c>
    </row>
    <row r="5120" spans="1:5" x14ac:dyDescent="0.25">
      <c r="A5120" s="114">
        <v>-3</v>
      </c>
      <c r="B5120" s="114" t="s">
        <v>3088</v>
      </c>
      <c r="D5120" s="114" t="s">
        <v>8460</v>
      </c>
      <c r="E5120" s="114" t="s">
        <v>8461</v>
      </c>
    </row>
    <row r="5121" spans="1:5" x14ac:dyDescent="0.25">
      <c r="B5121" s="114" t="s">
        <v>3089</v>
      </c>
      <c r="C5121" s="114">
        <v>1</v>
      </c>
      <c r="D5121" s="114" t="s">
        <v>8462</v>
      </c>
      <c r="E5121" s="114" t="s">
        <v>8463</v>
      </c>
    </row>
    <row r="5122" spans="1:5" x14ac:dyDescent="0.25">
      <c r="A5122" s="114">
        <v>6</v>
      </c>
      <c r="B5122" s="114" t="s">
        <v>3090</v>
      </c>
      <c r="C5122" s="114">
        <v>3</v>
      </c>
      <c r="D5122" s="114" t="s">
        <v>8464</v>
      </c>
      <c r="E5122" s="114" t="s">
        <v>8465</v>
      </c>
    </row>
    <row r="5123" spans="1:5" x14ac:dyDescent="0.25">
      <c r="B5123" s="114" t="s">
        <v>1073</v>
      </c>
      <c r="D5123" s="114" t="s">
        <v>8466</v>
      </c>
      <c r="E5123" s="114" t="s">
        <v>8467</v>
      </c>
    </row>
    <row r="5124" spans="1:5" x14ac:dyDescent="0.25">
      <c r="B5124" s="114" t="s">
        <v>1073</v>
      </c>
      <c r="D5124" s="114" t="s">
        <v>1073</v>
      </c>
      <c r="E5124" s="114" t="s">
        <v>8468</v>
      </c>
    </row>
    <row r="5125" spans="1:5" x14ac:dyDescent="0.25">
      <c r="B5125" s="114" t="s">
        <v>1073</v>
      </c>
      <c r="D5125" s="114">
        <f>-252   -822   -10</f>
        <v>-1084</v>
      </c>
      <c r="E5125" s="114" t="s">
        <v>8469</v>
      </c>
    </row>
    <row r="5126" spans="1:5" x14ac:dyDescent="0.25">
      <c r="B5126" s="114" t="s">
        <v>3091</v>
      </c>
      <c r="D5126" s="114" t="s">
        <v>1073</v>
      </c>
      <c r="E5126" s="114" t="s">
        <v>8470</v>
      </c>
    </row>
    <row r="5127" spans="1:5" x14ac:dyDescent="0.25">
      <c r="B5127" s="114" t="s">
        <v>3092</v>
      </c>
      <c r="D5127" s="114" t="s">
        <v>1073</v>
      </c>
      <c r="E5127" s="114" t="s">
        <v>8471</v>
      </c>
    </row>
    <row r="5128" spans="1:5" x14ac:dyDescent="0.25">
      <c r="A5128" s="114" t="s">
        <v>1072</v>
      </c>
      <c r="B5128" s="114" t="s">
        <v>1119</v>
      </c>
      <c r="D5128" s="114" t="s">
        <v>1256</v>
      </c>
      <c r="E5128" s="114" t="s">
        <v>8472</v>
      </c>
    </row>
    <row r="5129" spans="1:5" x14ac:dyDescent="0.25">
      <c r="B5129" s="114" t="s">
        <v>1073</v>
      </c>
      <c r="D5129" s="114" t="s">
        <v>8473</v>
      </c>
      <c r="E5129" s="114" t="s">
        <v>8474</v>
      </c>
    </row>
    <row r="5130" spans="1:5" x14ac:dyDescent="0.25">
      <c r="B5130" s="114">
        <f>-6    -81</f>
        <v>-87</v>
      </c>
      <c r="D5130" s="114" t="s">
        <v>1073</v>
      </c>
      <c r="E5130" s="114" t="s">
        <v>8475</v>
      </c>
    </row>
    <row r="5131" spans="1:5" x14ac:dyDescent="0.25">
      <c r="A5131" s="114" t="s">
        <v>1072</v>
      </c>
      <c r="B5131" s="114" t="s">
        <v>3093</v>
      </c>
      <c r="D5131" s="114" t="s">
        <v>8476</v>
      </c>
      <c r="E5131" s="114" t="s">
        <v>8477</v>
      </c>
    </row>
    <row r="5132" spans="1:5" x14ac:dyDescent="0.25">
      <c r="A5132" s="114" t="s">
        <v>1072</v>
      </c>
      <c r="B5132" s="114" t="s">
        <v>3094</v>
      </c>
      <c r="D5132" s="114" t="s">
        <v>8478</v>
      </c>
      <c r="E5132" s="114" t="s">
        <v>8479</v>
      </c>
    </row>
    <row r="5133" spans="1:5" x14ac:dyDescent="0.25">
      <c r="A5133" s="114" t="s">
        <v>1072</v>
      </c>
      <c r="B5133" s="114" t="s">
        <v>3095</v>
      </c>
      <c r="D5133" s="114" t="s">
        <v>1073</v>
      </c>
      <c r="E5133" s="114" t="s">
        <v>8480</v>
      </c>
    </row>
    <row r="5134" spans="1:5" x14ac:dyDescent="0.25">
      <c r="A5134" s="114" t="s">
        <v>1072</v>
      </c>
      <c r="B5134" s="114" t="s">
        <v>3096</v>
      </c>
      <c r="D5134" s="114" t="s">
        <v>8481</v>
      </c>
      <c r="E5134" s="114" t="s">
        <v>8482</v>
      </c>
    </row>
    <row r="5135" spans="1:5" x14ac:dyDescent="0.25">
      <c r="B5135" s="114" t="s">
        <v>3097</v>
      </c>
      <c r="D5135" s="114" t="s">
        <v>8483</v>
      </c>
      <c r="E5135" s="114" t="s">
        <v>8484</v>
      </c>
    </row>
    <row r="5136" spans="1:5" x14ac:dyDescent="0.25">
      <c r="B5136" s="114" t="s">
        <v>3098</v>
      </c>
      <c r="D5136" s="114" t="s">
        <v>1073</v>
      </c>
      <c r="E5136" s="114" t="s">
        <v>8485</v>
      </c>
    </row>
    <row r="5137" spans="1:5" x14ac:dyDescent="0.25">
      <c r="A5137" s="114" t="s">
        <v>1072</v>
      </c>
      <c r="B5137" s="114" t="s">
        <v>3099</v>
      </c>
      <c r="D5137" s="114" t="s">
        <v>1073</v>
      </c>
      <c r="E5137" s="114" t="s">
        <v>8486</v>
      </c>
    </row>
    <row r="5138" spans="1:5" x14ac:dyDescent="0.25">
      <c r="B5138" s="114" t="s">
        <v>3100</v>
      </c>
      <c r="D5138" s="114" t="s">
        <v>5555</v>
      </c>
      <c r="E5138" s="114" t="s">
        <v>8487</v>
      </c>
    </row>
    <row r="5139" spans="1:5" x14ac:dyDescent="0.25">
      <c r="B5139" s="114" t="s">
        <v>1073</v>
      </c>
      <c r="D5139" s="114" t="s">
        <v>1073</v>
      </c>
      <c r="E5139" s="114" t="s">
        <v>8488</v>
      </c>
    </row>
    <row r="5140" spans="1:5" x14ac:dyDescent="0.25">
      <c r="A5140" s="114" t="s">
        <v>1072</v>
      </c>
      <c r="B5140" s="114" t="s">
        <v>1348</v>
      </c>
      <c r="D5140" s="114" t="s">
        <v>1073</v>
      </c>
      <c r="E5140" s="114" t="s">
        <v>8489</v>
      </c>
    </row>
    <row r="5141" spans="1:5" x14ac:dyDescent="0.25">
      <c r="B5141" s="114" t="s">
        <v>3101</v>
      </c>
      <c r="D5141" s="114" t="s">
        <v>8490</v>
      </c>
      <c r="E5141" s="114" t="s">
        <v>8491</v>
      </c>
    </row>
    <row r="5142" spans="1:5" x14ac:dyDescent="0.25">
      <c r="B5142" s="114" t="s">
        <v>1573</v>
      </c>
      <c r="D5142" s="114" t="s">
        <v>1073</v>
      </c>
      <c r="E5142" s="114" t="s">
        <v>8492</v>
      </c>
    </row>
    <row r="5143" spans="1:5" x14ac:dyDescent="0.25">
      <c r="A5143" s="114">
        <v>-4</v>
      </c>
      <c r="B5143" s="114" t="s">
        <v>3102</v>
      </c>
      <c r="D5143" s="114" t="s">
        <v>8493</v>
      </c>
      <c r="E5143" s="114" t="s">
        <v>4002</v>
      </c>
    </row>
    <row r="5144" spans="1:5" x14ac:dyDescent="0.25">
      <c r="B5144" s="114" t="s">
        <v>1073</v>
      </c>
      <c r="D5144" s="114" t="s">
        <v>8494</v>
      </c>
      <c r="E5144" s="114" t="s">
        <v>8495</v>
      </c>
    </row>
    <row r="5145" spans="1:5" x14ac:dyDescent="0.25">
      <c r="A5145" s="114">
        <v>-3</v>
      </c>
      <c r="B5145" s="114" t="s">
        <v>1509</v>
      </c>
      <c r="D5145" s="114" t="s">
        <v>8496</v>
      </c>
      <c r="E5145" s="114" t="s">
        <v>7690</v>
      </c>
    </row>
    <row r="5146" spans="1:5" x14ac:dyDescent="0.25">
      <c r="B5146" s="114" t="s">
        <v>2143</v>
      </c>
      <c r="D5146" s="114" t="s">
        <v>1073</v>
      </c>
      <c r="E5146" s="114" t="s">
        <v>3993</v>
      </c>
    </row>
    <row r="5147" spans="1:5" x14ac:dyDescent="0.25">
      <c r="B5147" s="114" t="s">
        <v>1073</v>
      </c>
      <c r="D5147" s="114" t="s">
        <v>1073</v>
      </c>
      <c r="E5147" s="114" t="s">
        <v>8497</v>
      </c>
    </row>
    <row r="5148" spans="1:5" x14ac:dyDescent="0.25">
      <c r="B5148" s="114" t="s">
        <v>1165</v>
      </c>
      <c r="D5148" s="114" t="s">
        <v>8498</v>
      </c>
      <c r="E5148" s="114" t="s">
        <v>8499</v>
      </c>
    </row>
    <row r="5149" spans="1:5" x14ac:dyDescent="0.25">
      <c r="B5149" s="114" t="s">
        <v>1073</v>
      </c>
      <c r="D5149" s="114" t="s">
        <v>8500</v>
      </c>
      <c r="E5149" s="114" t="s">
        <v>8501</v>
      </c>
    </row>
    <row r="5150" spans="1:5" x14ac:dyDescent="0.25">
      <c r="B5150" s="114" t="s">
        <v>3103</v>
      </c>
      <c r="D5150" s="114" t="s">
        <v>8502</v>
      </c>
      <c r="E5150" s="114" t="s">
        <v>8503</v>
      </c>
    </row>
    <row r="5151" spans="1:5" x14ac:dyDescent="0.25">
      <c r="B5151" s="114" t="s">
        <v>3104</v>
      </c>
      <c r="C5151" s="114" t="s">
        <v>1072</v>
      </c>
      <c r="D5151" s="114" t="s">
        <v>8504</v>
      </c>
      <c r="E5151" s="114" t="s">
        <v>8505</v>
      </c>
    </row>
    <row r="5152" spans="1:5" x14ac:dyDescent="0.25">
      <c r="A5152" s="114">
        <v>8</v>
      </c>
      <c r="B5152" s="114" t="s">
        <v>3105</v>
      </c>
      <c r="C5152" s="114">
        <v>1</v>
      </c>
      <c r="D5152" s="114" t="s">
        <v>8506</v>
      </c>
      <c r="E5152" s="114" t="s">
        <v>8507</v>
      </c>
    </row>
    <row r="5153" spans="1:5" x14ac:dyDescent="0.25">
      <c r="A5153" s="114">
        <v>26</v>
      </c>
      <c r="B5153" s="114" t="s">
        <v>3106</v>
      </c>
      <c r="C5153" s="114">
        <v>2</v>
      </c>
      <c r="D5153" s="114" t="s">
        <v>8508</v>
      </c>
      <c r="E5153" s="114" t="s">
        <v>8509</v>
      </c>
    </row>
    <row r="5154" spans="1:5" x14ac:dyDescent="0.25">
      <c r="B5154" s="114" t="s">
        <v>1140</v>
      </c>
      <c r="D5154" s="114" t="s">
        <v>8510</v>
      </c>
      <c r="E5154" s="114" t="s">
        <v>8511</v>
      </c>
    </row>
    <row r="5155" spans="1:5" x14ac:dyDescent="0.25">
      <c r="B5155" s="114" t="s">
        <v>1073</v>
      </c>
      <c r="D5155" s="114" t="s">
        <v>1073</v>
      </c>
      <c r="E5155" s="114" t="s">
        <v>8512</v>
      </c>
    </row>
    <row r="5156" spans="1:5" x14ac:dyDescent="0.25">
      <c r="B5156" s="114" t="s">
        <v>3107</v>
      </c>
      <c r="C5156" s="114" t="s">
        <v>1072</v>
      </c>
      <c r="D5156" s="114" t="s">
        <v>8513</v>
      </c>
      <c r="E5156" s="114" t="s">
        <v>8514</v>
      </c>
    </row>
    <row r="5157" spans="1:5" x14ac:dyDescent="0.25">
      <c r="A5157" s="114">
        <v>1</v>
      </c>
      <c r="B5157" s="114" t="s">
        <v>1469</v>
      </c>
      <c r="D5157" s="114" t="s">
        <v>4154</v>
      </c>
      <c r="E5157" s="114" t="s">
        <v>4088</v>
      </c>
    </row>
    <row r="5158" spans="1:5" x14ac:dyDescent="0.25">
      <c r="A5158" s="114" t="s">
        <v>1072</v>
      </c>
      <c r="B5158" s="114" t="s">
        <v>1155</v>
      </c>
      <c r="D5158" s="114" t="s">
        <v>1073</v>
      </c>
      <c r="E5158" s="114" t="s">
        <v>8515</v>
      </c>
    </row>
    <row r="5159" spans="1:5" x14ac:dyDescent="0.25">
      <c r="B5159" s="114" t="s">
        <v>3108</v>
      </c>
      <c r="D5159" s="114" t="s">
        <v>1073</v>
      </c>
      <c r="E5159" s="114" t="s">
        <v>8516</v>
      </c>
    </row>
    <row r="5160" spans="1:5" x14ac:dyDescent="0.25">
      <c r="B5160" s="114" t="s">
        <v>3109</v>
      </c>
      <c r="D5160" s="114" t="s">
        <v>8517</v>
      </c>
      <c r="E5160" s="114" t="s">
        <v>8518</v>
      </c>
    </row>
    <row r="5161" spans="1:5" x14ac:dyDescent="0.25">
      <c r="A5161" s="114" t="s">
        <v>1072</v>
      </c>
      <c r="B5161" s="114" t="s">
        <v>1347</v>
      </c>
      <c r="D5161" s="114" t="s">
        <v>1073</v>
      </c>
      <c r="E5161" s="114" t="s">
        <v>8519</v>
      </c>
    </row>
    <row r="5162" spans="1:5" x14ac:dyDescent="0.25">
      <c r="A5162" s="114">
        <v>-1</v>
      </c>
      <c r="B5162" s="114" t="s">
        <v>3110</v>
      </c>
      <c r="D5162" s="114" t="s">
        <v>8520</v>
      </c>
      <c r="E5162" s="114" t="s">
        <v>8521</v>
      </c>
    </row>
    <row r="5163" spans="1:5" x14ac:dyDescent="0.25">
      <c r="A5163" s="114">
        <v>-2</v>
      </c>
      <c r="B5163" s="114" t="s">
        <v>3111</v>
      </c>
      <c r="D5163" s="114" t="s">
        <v>4154</v>
      </c>
      <c r="E5163" s="114" t="s">
        <v>8522</v>
      </c>
    </row>
    <row r="5164" spans="1:5" x14ac:dyDescent="0.25">
      <c r="B5164" s="114" t="s">
        <v>3112</v>
      </c>
      <c r="D5164" s="114" t="s">
        <v>1073</v>
      </c>
      <c r="E5164" s="114" t="s">
        <v>8523</v>
      </c>
    </row>
    <row r="5165" spans="1:5" x14ac:dyDescent="0.25">
      <c r="B5165" s="114" t="s">
        <v>3113</v>
      </c>
      <c r="D5165" s="114" t="s">
        <v>8524</v>
      </c>
      <c r="E5165" s="114" t="s">
        <v>8525</v>
      </c>
    </row>
    <row r="5166" spans="1:5" x14ac:dyDescent="0.25">
      <c r="A5166" s="114">
        <v>-1</v>
      </c>
      <c r="B5166" s="114" t="s">
        <v>3114</v>
      </c>
      <c r="D5166" s="114" t="s">
        <v>1573</v>
      </c>
      <c r="E5166" s="114" t="s">
        <v>8526</v>
      </c>
    </row>
    <row r="5167" spans="1:5" x14ac:dyDescent="0.25">
      <c r="B5167" s="114" t="s">
        <v>1402</v>
      </c>
      <c r="D5167" s="114" t="s">
        <v>1073</v>
      </c>
      <c r="E5167" s="114" t="s">
        <v>8527</v>
      </c>
    </row>
    <row r="5168" spans="1:5" x14ac:dyDescent="0.25">
      <c r="A5168" s="114">
        <v>1</v>
      </c>
      <c r="B5168" s="114" t="s">
        <v>3115</v>
      </c>
      <c r="D5168" s="114" t="s">
        <v>8528</v>
      </c>
      <c r="E5168" s="114" t="s">
        <v>8529</v>
      </c>
    </row>
    <row r="5169" spans="1:5" x14ac:dyDescent="0.25">
      <c r="A5169" s="114" t="s">
        <v>1072</v>
      </c>
      <c r="B5169" s="114" t="s">
        <v>1339</v>
      </c>
      <c r="D5169" s="114" t="s">
        <v>1304</v>
      </c>
      <c r="E5169" s="114" t="s">
        <v>8530</v>
      </c>
    </row>
    <row r="5170" spans="1:5" x14ac:dyDescent="0.25">
      <c r="B5170" s="114" t="s">
        <v>1073</v>
      </c>
      <c r="D5170" s="114" t="s">
        <v>1073</v>
      </c>
      <c r="E5170" s="114" t="s">
        <v>8531</v>
      </c>
    </row>
    <row r="5171" spans="1:5" x14ac:dyDescent="0.25">
      <c r="B5171" s="114" t="s">
        <v>1073</v>
      </c>
      <c r="D5171" s="114" t="s">
        <v>1073</v>
      </c>
      <c r="E5171" s="114" t="s">
        <v>8532</v>
      </c>
    </row>
    <row r="5172" spans="1:5" x14ac:dyDescent="0.25">
      <c r="A5172" s="114">
        <v>-4</v>
      </c>
      <c r="B5172" s="114" t="s">
        <v>3116</v>
      </c>
      <c r="D5172" s="114" t="s">
        <v>1073</v>
      </c>
      <c r="E5172" s="114" t="s">
        <v>8533</v>
      </c>
    </row>
    <row r="5173" spans="1:5" x14ac:dyDescent="0.25">
      <c r="A5173" s="114" t="s">
        <v>1072</v>
      </c>
      <c r="B5173" s="114" t="s">
        <v>3117</v>
      </c>
      <c r="D5173" s="114" t="s">
        <v>1073</v>
      </c>
      <c r="E5173" s="114" t="s">
        <v>8534</v>
      </c>
    </row>
    <row r="5174" spans="1:5" x14ac:dyDescent="0.25">
      <c r="A5174" s="114">
        <v>-1</v>
      </c>
      <c r="B5174" s="114" t="s">
        <v>3118</v>
      </c>
      <c r="D5174" s="114" t="s">
        <v>8535</v>
      </c>
      <c r="E5174" s="114" t="s">
        <v>3993</v>
      </c>
    </row>
    <row r="5175" spans="1:5" x14ac:dyDescent="0.25">
      <c r="B5175" s="114" t="s">
        <v>1198</v>
      </c>
      <c r="D5175" s="114" t="s">
        <v>8536</v>
      </c>
      <c r="E5175" s="114" t="s">
        <v>8537</v>
      </c>
    </row>
    <row r="5176" spans="1:5" x14ac:dyDescent="0.25">
      <c r="B5176" s="114" t="s">
        <v>3119</v>
      </c>
      <c r="C5176" s="114">
        <v>-2</v>
      </c>
      <c r="D5176" s="114" t="s">
        <v>8538</v>
      </c>
      <c r="E5176" s="114" t="s">
        <v>8539</v>
      </c>
    </row>
    <row r="5177" spans="1:5" x14ac:dyDescent="0.25">
      <c r="B5177" s="114" t="s">
        <v>1073</v>
      </c>
      <c r="D5177" s="114" t="s">
        <v>1073</v>
      </c>
      <c r="E5177" s="114" t="s">
        <v>3993</v>
      </c>
    </row>
    <row r="5178" spans="1:5" x14ac:dyDescent="0.25">
      <c r="B5178" s="114" t="s">
        <v>1073</v>
      </c>
      <c r="D5178" s="114" t="s">
        <v>1073</v>
      </c>
      <c r="E5178" s="114" t="s">
        <v>8540</v>
      </c>
    </row>
    <row r="5179" spans="1:5" x14ac:dyDescent="0.25">
      <c r="B5179" s="114" t="s">
        <v>3120</v>
      </c>
      <c r="D5179" s="114" t="s">
        <v>8541</v>
      </c>
      <c r="E5179" s="114" t="s">
        <v>8542</v>
      </c>
    </row>
    <row r="5180" spans="1:5" x14ac:dyDescent="0.25">
      <c r="B5180" s="114" t="s">
        <v>2445</v>
      </c>
      <c r="D5180" s="114" t="s">
        <v>8543</v>
      </c>
      <c r="E5180" s="114" t="s">
        <v>8544</v>
      </c>
    </row>
    <row r="5181" spans="1:5" x14ac:dyDescent="0.25">
      <c r="B5181" s="114" t="s">
        <v>3121</v>
      </c>
      <c r="D5181" s="114" t="s">
        <v>8545</v>
      </c>
      <c r="E5181" s="114" t="s">
        <v>8546</v>
      </c>
    </row>
    <row r="5182" spans="1:5" x14ac:dyDescent="0.25">
      <c r="A5182" s="114" t="s">
        <v>1072</v>
      </c>
      <c r="B5182" s="114" t="s">
        <v>3122</v>
      </c>
      <c r="D5182" s="114" t="s">
        <v>8547</v>
      </c>
      <c r="E5182" s="114" t="s">
        <v>8548</v>
      </c>
    </row>
    <row r="5183" spans="1:5" x14ac:dyDescent="0.25">
      <c r="A5183" s="114">
        <v>21</v>
      </c>
      <c r="B5183" s="114" t="s">
        <v>3123</v>
      </c>
      <c r="D5183" s="114" t="s">
        <v>8549</v>
      </c>
      <c r="E5183" s="114" t="s">
        <v>8550</v>
      </c>
    </row>
    <row r="5184" spans="1:5" x14ac:dyDescent="0.25">
      <c r="A5184" s="114">
        <v>35</v>
      </c>
      <c r="B5184" s="114" t="s">
        <v>3124</v>
      </c>
      <c r="C5184" s="114">
        <v>4</v>
      </c>
      <c r="D5184" s="114" t="s">
        <v>8551</v>
      </c>
      <c r="E5184" s="114" t="s">
        <v>8552</v>
      </c>
    </row>
    <row r="5185" spans="1:5" x14ac:dyDescent="0.25">
      <c r="B5185" s="114" t="s">
        <v>2746</v>
      </c>
      <c r="D5185" s="114" t="s">
        <v>3336</v>
      </c>
      <c r="E5185" s="114" t="s">
        <v>8553</v>
      </c>
    </row>
    <row r="5186" spans="1:5" x14ac:dyDescent="0.25">
      <c r="B5186" s="114" t="s">
        <v>1073</v>
      </c>
      <c r="D5186" s="114" t="s">
        <v>1073</v>
      </c>
      <c r="E5186" s="114" t="s">
        <v>8554</v>
      </c>
    </row>
    <row r="5187" spans="1:5" x14ac:dyDescent="0.25">
      <c r="B5187" s="114" t="s">
        <v>1431</v>
      </c>
      <c r="D5187" s="114">
        <f>-898    -34   -17</f>
        <v>-949</v>
      </c>
      <c r="E5187" s="114" t="s">
        <v>8555</v>
      </c>
    </row>
    <row r="5188" spans="1:5" x14ac:dyDescent="0.25">
      <c r="A5188" s="114">
        <v>1</v>
      </c>
      <c r="B5188" s="114" t="s">
        <v>3125</v>
      </c>
      <c r="D5188" s="114" t="s">
        <v>4784</v>
      </c>
      <c r="E5188" s="114" t="s">
        <v>4014</v>
      </c>
    </row>
    <row r="5189" spans="1:5" x14ac:dyDescent="0.25">
      <c r="B5189" s="114" t="s">
        <v>1457</v>
      </c>
      <c r="D5189" s="114" t="s">
        <v>1073</v>
      </c>
      <c r="E5189" s="114" t="s">
        <v>8556</v>
      </c>
    </row>
    <row r="5190" spans="1:5" x14ac:dyDescent="0.25">
      <c r="B5190" s="114" t="s">
        <v>3126</v>
      </c>
      <c r="D5190" s="114" t="s">
        <v>1073</v>
      </c>
      <c r="E5190" s="114" t="s">
        <v>8557</v>
      </c>
    </row>
    <row r="5191" spans="1:5" x14ac:dyDescent="0.25">
      <c r="B5191" s="114" t="s">
        <v>3127</v>
      </c>
      <c r="D5191" s="114" t="s">
        <v>8558</v>
      </c>
      <c r="E5191" s="114" t="s">
        <v>8559</v>
      </c>
    </row>
    <row r="5192" spans="1:5" x14ac:dyDescent="0.25">
      <c r="A5192" s="114" t="s">
        <v>1072</v>
      </c>
      <c r="B5192" s="114" t="s">
        <v>1097</v>
      </c>
      <c r="D5192" s="114" t="s">
        <v>1073</v>
      </c>
      <c r="E5192" s="114" t="s">
        <v>8560</v>
      </c>
    </row>
    <row r="5193" spans="1:5" x14ac:dyDescent="0.25">
      <c r="B5193" s="114" t="s">
        <v>3128</v>
      </c>
      <c r="D5193" s="114" t="s">
        <v>8561</v>
      </c>
      <c r="E5193" s="114" t="s">
        <v>8562</v>
      </c>
    </row>
    <row r="5194" spans="1:5" x14ac:dyDescent="0.25">
      <c r="A5194" s="114" t="s">
        <v>1072</v>
      </c>
      <c r="B5194" s="114" t="s">
        <v>3129</v>
      </c>
      <c r="D5194" s="114" t="s">
        <v>5484</v>
      </c>
      <c r="E5194" s="114" t="s">
        <v>8563</v>
      </c>
    </row>
    <row r="5195" spans="1:5" x14ac:dyDescent="0.25">
      <c r="B5195" s="114" t="s">
        <v>3130</v>
      </c>
      <c r="D5195" s="114" t="s">
        <v>1073</v>
      </c>
      <c r="E5195" s="114" t="s">
        <v>8564</v>
      </c>
    </row>
    <row r="5196" spans="1:5" x14ac:dyDescent="0.25">
      <c r="A5196" s="114" t="s">
        <v>1072</v>
      </c>
      <c r="B5196" s="114" t="s">
        <v>3131</v>
      </c>
      <c r="D5196" s="114" t="s">
        <v>8565</v>
      </c>
      <c r="E5196" s="114" t="s">
        <v>8566</v>
      </c>
    </row>
    <row r="5197" spans="1:5" x14ac:dyDescent="0.25">
      <c r="A5197" s="114">
        <v>1</v>
      </c>
      <c r="B5197" s="114" t="s">
        <v>3132</v>
      </c>
      <c r="D5197" s="114" t="s">
        <v>3275</v>
      </c>
      <c r="E5197" s="114" t="s">
        <v>8567</v>
      </c>
    </row>
    <row r="5198" spans="1:5" x14ac:dyDescent="0.25">
      <c r="A5198" s="114" t="s">
        <v>1072</v>
      </c>
      <c r="B5198" s="114" t="s">
        <v>1253</v>
      </c>
      <c r="D5198" s="114" t="s">
        <v>1073</v>
      </c>
      <c r="E5198" s="114" t="s">
        <v>8568</v>
      </c>
    </row>
    <row r="5199" spans="1:5" x14ac:dyDescent="0.25">
      <c r="A5199" s="114" t="s">
        <v>1072</v>
      </c>
      <c r="B5199" s="114" t="s">
        <v>1366</v>
      </c>
      <c r="D5199" s="114" t="s">
        <v>8569</v>
      </c>
      <c r="E5199" s="114" t="s">
        <v>8570</v>
      </c>
    </row>
    <row r="5200" spans="1:5" x14ac:dyDescent="0.25">
      <c r="B5200" s="114" t="s">
        <v>1350</v>
      </c>
      <c r="D5200" s="114" t="s">
        <v>2900</v>
      </c>
      <c r="E5200" s="114" t="s">
        <v>8571</v>
      </c>
    </row>
    <row r="5201" spans="1:5" x14ac:dyDescent="0.25">
      <c r="B5201" s="114" t="s">
        <v>1073</v>
      </c>
      <c r="D5201" s="114" t="s">
        <v>1073</v>
      </c>
      <c r="E5201" s="114" t="s">
        <v>8572</v>
      </c>
    </row>
    <row r="5202" spans="1:5" x14ac:dyDescent="0.25">
      <c r="B5202" s="114" t="s">
        <v>1073</v>
      </c>
      <c r="D5202" s="114" t="s">
        <v>1073</v>
      </c>
      <c r="E5202" s="114" t="s">
        <v>8573</v>
      </c>
    </row>
    <row r="5203" spans="1:5" x14ac:dyDescent="0.25">
      <c r="A5203" s="114">
        <v>-1</v>
      </c>
      <c r="B5203" s="114" t="s">
        <v>3133</v>
      </c>
      <c r="D5203" s="114" t="s">
        <v>1073</v>
      </c>
      <c r="E5203" s="114" t="s">
        <v>8574</v>
      </c>
    </row>
    <row r="5204" spans="1:5" x14ac:dyDescent="0.25">
      <c r="B5204" s="114" t="s">
        <v>1273</v>
      </c>
      <c r="D5204" s="114" t="s">
        <v>1073</v>
      </c>
      <c r="E5204" s="114" t="s">
        <v>8575</v>
      </c>
    </row>
    <row r="5205" spans="1:5" x14ac:dyDescent="0.25">
      <c r="A5205" s="114">
        <v>-1</v>
      </c>
      <c r="B5205" s="114" t="s">
        <v>3134</v>
      </c>
      <c r="D5205" s="114" t="s">
        <v>8576</v>
      </c>
      <c r="E5205" s="114" t="s">
        <v>3993</v>
      </c>
    </row>
    <row r="5206" spans="1:5" x14ac:dyDescent="0.25">
      <c r="B5206" s="114" t="s">
        <v>3135</v>
      </c>
      <c r="D5206" s="114" t="s">
        <v>8577</v>
      </c>
      <c r="E5206" s="114" t="s">
        <v>8578</v>
      </c>
    </row>
    <row r="5207" spans="1:5" x14ac:dyDescent="0.25">
      <c r="B5207" s="114" t="s">
        <v>3136</v>
      </c>
      <c r="C5207" s="114">
        <v>-1</v>
      </c>
      <c r="D5207" s="114" t="s">
        <v>8579</v>
      </c>
      <c r="E5207" s="114" t="s">
        <v>8580</v>
      </c>
    </row>
    <row r="5208" spans="1:5" x14ac:dyDescent="0.25">
      <c r="B5208" s="114" t="s">
        <v>1073</v>
      </c>
      <c r="D5208" s="114" t="s">
        <v>1073</v>
      </c>
      <c r="E5208" s="114" t="s">
        <v>3993</v>
      </c>
    </row>
    <row r="5209" spans="1:5" x14ac:dyDescent="0.25">
      <c r="B5209" s="114" t="s">
        <v>1073</v>
      </c>
      <c r="D5209" s="114" t="s">
        <v>1073</v>
      </c>
      <c r="E5209" s="114" t="s">
        <v>8581</v>
      </c>
    </row>
    <row r="5210" spans="1:5" x14ac:dyDescent="0.25">
      <c r="B5210" s="114" t="s">
        <v>3137</v>
      </c>
      <c r="D5210" s="114" t="s">
        <v>8582</v>
      </c>
      <c r="E5210" s="114" t="s">
        <v>8583</v>
      </c>
    </row>
    <row r="5211" spans="1:5" x14ac:dyDescent="0.25">
      <c r="B5211" s="114" t="s">
        <v>1458</v>
      </c>
      <c r="D5211" s="114" t="s">
        <v>8584</v>
      </c>
      <c r="E5211" s="114" t="s">
        <v>8585</v>
      </c>
    </row>
    <row r="5212" spans="1:5" x14ac:dyDescent="0.25">
      <c r="B5212" s="114" t="s">
        <v>3138</v>
      </c>
      <c r="D5212" s="114" t="s">
        <v>8586</v>
      </c>
      <c r="E5212" s="114" t="s">
        <v>8587</v>
      </c>
    </row>
    <row r="5213" spans="1:5" x14ac:dyDescent="0.25">
      <c r="A5213" s="114">
        <v>1</v>
      </c>
      <c r="B5213" s="114" t="s">
        <v>3139</v>
      </c>
      <c r="D5213" s="114" t="s">
        <v>8588</v>
      </c>
      <c r="E5213" s="114" t="s">
        <v>8589</v>
      </c>
    </row>
    <row r="5214" spans="1:5" x14ac:dyDescent="0.25">
      <c r="A5214" s="114">
        <v>11</v>
      </c>
      <c r="B5214" s="114" t="s">
        <v>3140</v>
      </c>
      <c r="C5214" s="114">
        <v>2</v>
      </c>
      <c r="D5214" s="114" t="s">
        <v>8590</v>
      </c>
      <c r="E5214" s="114" t="s">
        <v>8591</v>
      </c>
    </row>
    <row r="5215" spans="1:5" x14ac:dyDescent="0.25">
      <c r="A5215" s="114">
        <v>26</v>
      </c>
      <c r="B5215" s="114" t="s">
        <v>3141</v>
      </c>
      <c r="C5215" s="114">
        <v>2</v>
      </c>
      <c r="D5215" s="114" t="s">
        <v>8592</v>
      </c>
      <c r="E5215" s="114" t="s">
        <v>8593</v>
      </c>
    </row>
    <row r="5216" spans="1:5" x14ac:dyDescent="0.25">
      <c r="B5216" s="114" t="s">
        <v>1073</v>
      </c>
      <c r="D5216" s="114" t="s">
        <v>8594</v>
      </c>
      <c r="E5216" s="114" t="s">
        <v>8595</v>
      </c>
    </row>
    <row r="5217" spans="1:5" x14ac:dyDescent="0.25">
      <c r="B5217" s="114" t="s">
        <v>1073</v>
      </c>
      <c r="D5217" s="114" t="s">
        <v>1073</v>
      </c>
      <c r="E5217" s="114" t="s">
        <v>8596</v>
      </c>
    </row>
    <row r="5218" spans="1:5" x14ac:dyDescent="0.25">
      <c r="B5218" s="114" t="s">
        <v>1073</v>
      </c>
      <c r="D5218" s="114" t="s">
        <v>8597</v>
      </c>
      <c r="E5218" s="114" t="s">
        <v>8598</v>
      </c>
    </row>
    <row r="5219" spans="1:5" x14ac:dyDescent="0.25">
      <c r="B5219" s="114" t="s">
        <v>3142</v>
      </c>
      <c r="D5219" s="114" t="s">
        <v>1073</v>
      </c>
      <c r="E5219" s="114" t="s">
        <v>8599</v>
      </c>
    </row>
    <row r="5220" spans="1:5" x14ac:dyDescent="0.25">
      <c r="B5220" s="114" t="s">
        <v>3143</v>
      </c>
      <c r="D5220" s="114" t="s">
        <v>1073</v>
      </c>
      <c r="E5220" s="114" t="s">
        <v>8600</v>
      </c>
    </row>
    <row r="5221" spans="1:5" x14ac:dyDescent="0.25">
      <c r="A5221" s="114">
        <v>-1</v>
      </c>
      <c r="B5221" s="114" t="s">
        <v>1498</v>
      </c>
      <c r="D5221" s="114" t="s">
        <v>8601</v>
      </c>
      <c r="E5221" s="114" t="s">
        <v>8602</v>
      </c>
    </row>
    <row r="5222" spans="1:5" x14ac:dyDescent="0.25">
      <c r="B5222" s="114" t="s">
        <v>1073</v>
      </c>
      <c r="D5222" s="114" t="s">
        <v>8603</v>
      </c>
      <c r="E5222" s="114" t="s">
        <v>8604</v>
      </c>
    </row>
    <row r="5223" spans="1:5" x14ac:dyDescent="0.25">
      <c r="B5223" s="114" t="s">
        <v>3144</v>
      </c>
      <c r="D5223" s="114" t="s">
        <v>1073</v>
      </c>
      <c r="E5223" s="114" t="s">
        <v>8605</v>
      </c>
    </row>
    <row r="5224" spans="1:5" x14ac:dyDescent="0.25">
      <c r="A5224" s="114" t="s">
        <v>1072</v>
      </c>
      <c r="B5224" s="114" t="s">
        <v>3145</v>
      </c>
      <c r="D5224" s="114" t="s">
        <v>8606</v>
      </c>
      <c r="E5224" s="114" t="s">
        <v>8607</v>
      </c>
    </row>
    <row r="5225" spans="1:5" x14ac:dyDescent="0.25">
      <c r="A5225" s="114" t="s">
        <v>1072</v>
      </c>
      <c r="B5225" s="114" t="s">
        <v>3146</v>
      </c>
      <c r="D5225" s="114" t="s">
        <v>8608</v>
      </c>
      <c r="E5225" s="114" t="s">
        <v>8609</v>
      </c>
    </row>
    <row r="5226" spans="1:5" x14ac:dyDescent="0.25">
      <c r="B5226" s="114">
        <f>-20    -35</f>
        <v>-55</v>
      </c>
      <c r="D5226" s="114" t="s">
        <v>1073</v>
      </c>
      <c r="E5226" s="114" t="s">
        <v>8610</v>
      </c>
    </row>
    <row r="5227" spans="1:5" x14ac:dyDescent="0.25">
      <c r="B5227" s="114" t="s">
        <v>3147</v>
      </c>
      <c r="D5227" s="114" t="s">
        <v>8611</v>
      </c>
      <c r="E5227" s="114" t="s">
        <v>8612</v>
      </c>
    </row>
    <row r="5228" spans="1:5" x14ac:dyDescent="0.25">
      <c r="B5228" s="114" t="s">
        <v>3148</v>
      </c>
      <c r="C5228" s="114" t="s">
        <v>1072</v>
      </c>
      <c r="D5228" s="114" t="s">
        <v>8613</v>
      </c>
      <c r="E5228" s="114" t="s">
        <v>8614</v>
      </c>
    </row>
    <row r="5229" spans="1:5" x14ac:dyDescent="0.25">
      <c r="A5229" s="114" t="s">
        <v>1072</v>
      </c>
      <c r="B5229" s="114" t="s">
        <v>3149</v>
      </c>
      <c r="D5229" s="114" t="s">
        <v>1073</v>
      </c>
      <c r="E5229" s="114" t="s">
        <v>8615</v>
      </c>
    </row>
    <row r="5230" spans="1:5" x14ac:dyDescent="0.25">
      <c r="A5230" s="114" t="s">
        <v>1072</v>
      </c>
      <c r="B5230" s="114" t="s">
        <v>3150</v>
      </c>
      <c r="D5230" s="114" t="s">
        <v>1073</v>
      </c>
      <c r="E5230" s="114" t="s">
        <v>8616</v>
      </c>
    </row>
    <row r="5231" spans="1:5" x14ac:dyDescent="0.25">
      <c r="B5231" s="114" t="s">
        <v>3151</v>
      </c>
      <c r="D5231" s="114" t="s">
        <v>4154</v>
      </c>
      <c r="E5231" s="114" t="s">
        <v>8617</v>
      </c>
    </row>
    <row r="5232" spans="1:5" x14ac:dyDescent="0.25">
      <c r="B5232" s="114" t="s">
        <v>1073</v>
      </c>
      <c r="D5232" s="114" t="s">
        <v>1073</v>
      </c>
      <c r="E5232" s="114" t="s">
        <v>8618</v>
      </c>
    </row>
    <row r="5233" spans="1:5" x14ac:dyDescent="0.25">
      <c r="A5233" s="114" t="s">
        <v>1072</v>
      </c>
      <c r="B5233" s="114" t="s">
        <v>1139</v>
      </c>
      <c r="D5233" s="114" t="s">
        <v>1073</v>
      </c>
      <c r="E5233" s="114" t="s">
        <v>8619</v>
      </c>
    </row>
    <row r="5234" spans="1:5" x14ac:dyDescent="0.25">
      <c r="B5234" s="114" t="s">
        <v>3152</v>
      </c>
      <c r="D5234" s="114" t="s">
        <v>8620</v>
      </c>
      <c r="E5234" s="114" t="s">
        <v>8621</v>
      </c>
    </row>
    <row r="5235" spans="1:5" x14ac:dyDescent="0.25">
      <c r="B5235" s="114" t="s">
        <v>3153</v>
      </c>
      <c r="D5235" s="114" t="s">
        <v>1073</v>
      </c>
      <c r="E5235" s="114" t="s">
        <v>8622</v>
      </c>
    </row>
    <row r="5236" spans="1:5" x14ac:dyDescent="0.25">
      <c r="A5236" s="114">
        <v>-1</v>
      </c>
      <c r="B5236" s="114" t="s">
        <v>3154</v>
      </c>
      <c r="D5236" s="114" t="s">
        <v>8623</v>
      </c>
      <c r="E5236" s="114" t="s">
        <v>4044</v>
      </c>
    </row>
    <row r="5237" spans="1:5" x14ac:dyDescent="0.25">
      <c r="B5237" s="114" t="s">
        <v>1073</v>
      </c>
      <c r="C5237" s="114" t="s">
        <v>1072</v>
      </c>
      <c r="D5237" s="114" t="s">
        <v>8624</v>
      </c>
      <c r="E5237" s="114" t="s">
        <v>8625</v>
      </c>
    </row>
    <row r="5238" spans="1:5" x14ac:dyDescent="0.25">
      <c r="B5238" s="114" t="s">
        <v>3155</v>
      </c>
      <c r="D5238" s="114" t="s">
        <v>8626</v>
      </c>
      <c r="E5238" s="114" t="s">
        <v>8627</v>
      </c>
    </row>
    <row r="5239" spans="1:5" x14ac:dyDescent="0.25">
      <c r="B5239" s="114" t="s">
        <v>1506</v>
      </c>
      <c r="D5239" s="114" t="s">
        <v>1073</v>
      </c>
      <c r="E5239" s="114" t="s">
        <v>3993</v>
      </c>
    </row>
    <row r="5240" spans="1:5" x14ac:dyDescent="0.25">
      <c r="B5240" s="114" t="s">
        <v>1073</v>
      </c>
      <c r="D5240" s="114" t="s">
        <v>1073</v>
      </c>
      <c r="E5240" s="114" t="s">
        <v>8628</v>
      </c>
    </row>
    <row r="5241" spans="1:5" x14ac:dyDescent="0.25">
      <c r="B5241" s="114" t="s">
        <v>1220</v>
      </c>
      <c r="D5241" s="114" t="s">
        <v>8629</v>
      </c>
      <c r="E5241" s="114" t="s">
        <v>8630</v>
      </c>
    </row>
    <row r="5242" spans="1:5" x14ac:dyDescent="0.25">
      <c r="B5242" s="114" t="s">
        <v>1073</v>
      </c>
      <c r="D5242" s="114" t="s">
        <v>8631</v>
      </c>
      <c r="E5242" s="114" t="s">
        <v>8632</v>
      </c>
    </row>
    <row r="5243" spans="1:5" x14ac:dyDescent="0.25">
      <c r="B5243" s="114" t="s">
        <v>3156</v>
      </c>
      <c r="D5243" s="114" t="s">
        <v>8633</v>
      </c>
      <c r="E5243" s="114" t="s">
        <v>8634</v>
      </c>
    </row>
    <row r="5244" spans="1:5" x14ac:dyDescent="0.25">
      <c r="B5244" s="114" t="s">
        <v>3157</v>
      </c>
      <c r="D5244" s="114" t="s">
        <v>8635</v>
      </c>
      <c r="E5244" s="114" t="s">
        <v>8636</v>
      </c>
    </row>
    <row r="5245" spans="1:5" x14ac:dyDescent="0.25">
      <c r="A5245" s="114">
        <v>11</v>
      </c>
      <c r="B5245" s="114" t="s">
        <v>3158</v>
      </c>
      <c r="C5245" s="114">
        <v>2</v>
      </c>
      <c r="D5245" s="114" t="s">
        <v>8637</v>
      </c>
      <c r="E5245" s="114" t="s">
        <v>8638</v>
      </c>
    </row>
    <row r="5246" spans="1:5" x14ac:dyDescent="0.25">
      <c r="A5246" s="114">
        <v>37</v>
      </c>
      <c r="B5246" s="114" t="s">
        <v>3159</v>
      </c>
      <c r="C5246" s="114">
        <v>2</v>
      </c>
      <c r="D5246" s="114" t="s">
        <v>8639</v>
      </c>
      <c r="E5246" s="114" t="s">
        <v>8640</v>
      </c>
    </row>
    <row r="5247" spans="1:5" x14ac:dyDescent="0.25">
      <c r="A5247" s="114" t="s">
        <v>1072</v>
      </c>
      <c r="B5247" s="114" t="s">
        <v>3160</v>
      </c>
      <c r="D5247" s="114" t="s">
        <v>4339</v>
      </c>
      <c r="E5247" s="114" t="s">
        <v>8641</v>
      </c>
    </row>
    <row r="5248" spans="1:5" x14ac:dyDescent="0.25">
      <c r="A5248" s="114" t="s">
        <v>1072</v>
      </c>
      <c r="B5248" s="114" t="s">
        <v>3161</v>
      </c>
      <c r="D5248" s="114" t="s">
        <v>1073</v>
      </c>
      <c r="E5248" s="114" t="s">
        <v>3993</v>
      </c>
    </row>
    <row r="5249" spans="1:5" x14ac:dyDescent="0.25">
      <c r="A5249" s="114" t="s">
        <v>1072</v>
      </c>
      <c r="B5249" s="114" t="s">
        <v>3162</v>
      </c>
      <c r="D5249" s="114" t="s">
        <v>6896</v>
      </c>
      <c r="E5249" s="114" t="s">
        <v>8642</v>
      </c>
    </row>
    <row r="5250" spans="1:5" x14ac:dyDescent="0.25">
      <c r="B5250" s="114" t="s">
        <v>1073</v>
      </c>
      <c r="D5250" s="114" t="s">
        <v>8643</v>
      </c>
      <c r="E5250" s="114" t="s">
        <v>8644</v>
      </c>
    </row>
    <row r="5251" spans="1:5" x14ac:dyDescent="0.25">
      <c r="B5251" s="114" t="s">
        <v>1073</v>
      </c>
      <c r="D5251" s="114" t="s">
        <v>8645</v>
      </c>
      <c r="E5251" s="114" t="s">
        <v>3993</v>
      </c>
    </row>
    <row r="5252" spans="1:5" x14ac:dyDescent="0.25">
      <c r="B5252" s="114" t="s">
        <v>1265</v>
      </c>
      <c r="C5252" s="114">
        <v>-3</v>
      </c>
      <c r="D5252" s="114" t="s">
        <v>8646</v>
      </c>
      <c r="E5252" s="114" t="s">
        <v>8647</v>
      </c>
    </row>
    <row r="5253" spans="1:5" x14ac:dyDescent="0.25">
      <c r="A5253" s="114" t="s">
        <v>1072</v>
      </c>
      <c r="B5253" s="114" t="s">
        <v>3163</v>
      </c>
      <c r="D5253" s="114" t="s">
        <v>7246</v>
      </c>
      <c r="E5253" s="114" t="s">
        <v>8648</v>
      </c>
    </row>
    <row r="5254" spans="1:5" x14ac:dyDescent="0.25">
      <c r="A5254" s="114" t="s">
        <v>1072</v>
      </c>
      <c r="B5254" s="114" t="s">
        <v>3164</v>
      </c>
      <c r="D5254" s="114" t="s">
        <v>8649</v>
      </c>
      <c r="E5254" s="114" t="s">
        <v>8650</v>
      </c>
    </row>
    <row r="5255" spans="1:5" x14ac:dyDescent="0.25">
      <c r="B5255" s="114">
        <f>-54  -3039</f>
        <v>-3093</v>
      </c>
      <c r="C5255" s="114">
        <v>-4</v>
      </c>
      <c r="D5255" s="114" t="s">
        <v>8651</v>
      </c>
      <c r="E5255" s="114" t="s">
        <v>8652</v>
      </c>
    </row>
    <row r="5256" spans="1:5" x14ac:dyDescent="0.25">
      <c r="B5256" s="114">
        <f>-42     -5</f>
        <v>-47</v>
      </c>
      <c r="D5256" s="114" t="s">
        <v>8653</v>
      </c>
      <c r="E5256" s="114" t="s">
        <v>8654</v>
      </c>
    </row>
    <row r="5257" spans="1:5" x14ac:dyDescent="0.25">
      <c r="A5257" s="114" t="s">
        <v>1072</v>
      </c>
      <c r="B5257" s="114" t="s">
        <v>3165</v>
      </c>
      <c r="D5257" s="114" t="s">
        <v>8655</v>
      </c>
      <c r="E5257" s="114" t="s">
        <v>8656</v>
      </c>
    </row>
    <row r="5258" spans="1:5" x14ac:dyDescent="0.25">
      <c r="B5258" s="114" t="s">
        <v>3166</v>
      </c>
      <c r="C5258" s="114">
        <v>-4</v>
      </c>
      <c r="D5258" s="114" t="s">
        <v>8657</v>
      </c>
      <c r="E5258" s="114" t="s">
        <v>8658</v>
      </c>
    </row>
    <row r="5259" spans="1:5" x14ac:dyDescent="0.25">
      <c r="A5259" s="114" t="s">
        <v>1072</v>
      </c>
      <c r="B5259" s="114" t="s">
        <v>3167</v>
      </c>
      <c r="D5259" s="114" t="s">
        <v>8659</v>
      </c>
      <c r="E5259" s="114" t="s">
        <v>8660</v>
      </c>
    </row>
    <row r="5260" spans="1:5" x14ac:dyDescent="0.25">
      <c r="B5260" s="114" t="s">
        <v>1562</v>
      </c>
      <c r="D5260" s="114" t="s">
        <v>8661</v>
      </c>
      <c r="E5260" s="114" t="s">
        <v>8662</v>
      </c>
    </row>
    <row r="5261" spans="1:5" x14ac:dyDescent="0.25">
      <c r="B5261" s="114" t="s">
        <v>3168</v>
      </c>
      <c r="C5261" s="114">
        <v>-4</v>
      </c>
      <c r="D5261" s="114" t="s">
        <v>8663</v>
      </c>
      <c r="E5261" s="114" t="s">
        <v>8664</v>
      </c>
    </row>
    <row r="5262" spans="1:5" x14ac:dyDescent="0.25">
      <c r="A5262" s="114">
        <v>-1</v>
      </c>
      <c r="B5262" s="114" t="s">
        <v>3169</v>
      </c>
      <c r="D5262" s="114" t="s">
        <v>8665</v>
      </c>
      <c r="E5262" s="114" t="s">
        <v>8666</v>
      </c>
    </row>
    <row r="5263" spans="1:5" x14ac:dyDescent="0.25">
      <c r="A5263" s="114">
        <v>-1</v>
      </c>
      <c r="B5263" s="114" t="s">
        <v>2040</v>
      </c>
      <c r="D5263" s="114" t="s">
        <v>1073</v>
      </c>
      <c r="E5263" s="114" t="s">
        <v>8667</v>
      </c>
    </row>
    <row r="5264" spans="1:5" x14ac:dyDescent="0.25">
      <c r="B5264" s="114" t="s">
        <v>3170</v>
      </c>
      <c r="C5264" s="114">
        <v>-4</v>
      </c>
      <c r="D5264" s="114" t="s">
        <v>8668</v>
      </c>
      <c r="E5264" s="114" t="s">
        <v>8669</v>
      </c>
    </row>
    <row r="5265" spans="1:5" x14ac:dyDescent="0.25">
      <c r="A5265" s="114">
        <v>-1</v>
      </c>
      <c r="B5265" s="114" t="s">
        <v>3171</v>
      </c>
      <c r="D5265" s="114" t="s">
        <v>8670</v>
      </c>
      <c r="E5265" s="114" t="s">
        <v>8671</v>
      </c>
    </row>
    <row r="5266" spans="1:5" x14ac:dyDescent="0.25">
      <c r="A5266" s="114">
        <v>-1</v>
      </c>
      <c r="B5266" s="114" t="s">
        <v>1264</v>
      </c>
      <c r="D5266" s="114" t="s">
        <v>1485</v>
      </c>
      <c r="E5266" s="114" t="s">
        <v>8672</v>
      </c>
    </row>
    <row r="5267" spans="1:5" x14ac:dyDescent="0.25">
      <c r="A5267" s="114" t="s">
        <v>1072</v>
      </c>
      <c r="B5267" s="114" t="s">
        <v>3172</v>
      </c>
      <c r="D5267" s="114" t="s">
        <v>8673</v>
      </c>
      <c r="E5267" s="114" t="s">
        <v>8674</v>
      </c>
    </row>
    <row r="5268" spans="1:5" x14ac:dyDescent="0.25">
      <c r="B5268" s="114" t="s">
        <v>1073</v>
      </c>
      <c r="D5268" s="114" t="s">
        <v>6297</v>
      </c>
      <c r="E5268" s="114" t="s">
        <v>8675</v>
      </c>
    </row>
    <row r="5269" spans="1:5" x14ac:dyDescent="0.25">
      <c r="B5269" s="114" t="s">
        <v>1073</v>
      </c>
      <c r="D5269" s="114" t="s">
        <v>8676</v>
      </c>
      <c r="E5269" s="114" t="s">
        <v>8677</v>
      </c>
    </row>
    <row r="5270" spans="1:5" x14ac:dyDescent="0.25">
      <c r="B5270" s="114" t="s">
        <v>3173</v>
      </c>
      <c r="D5270" s="114" t="s">
        <v>8678</v>
      </c>
      <c r="E5270" s="114" t="s">
        <v>3993</v>
      </c>
    </row>
    <row r="5271" spans="1:5" x14ac:dyDescent="0.25">
      <c r="B5271" s="114" t="s">
        <v>1073</v>
      </c>
      <c r="D5271" s="114" t="s">
        <v>1073</v>
      </c>
      <c r="E5271" s="114" t="s">
        <v>8679</v>
      </c>
    </row>
    <row r="5272" spans="1:5" x14ac:dyDescent="0.25">
      <c r="B5272" s="114" t="s">
        <v>1073</v>
      </c>
      <c r="D5272" s="114" t="s">
        <v>8680</v>
      </c>
      <c r="E5272" s="114" t="s">
        <v>8681</v>
      </c>
    </row>
    <row r="5273" spans="1:5" x14ac:dyDescent="0.25">
      <c r="A5273" s="114">
        <v>12</v>
      </c>
      <c r="B5273" s="114" t="s">
        <v>3174</v>
      </c>
      <c r="D5273" s="114" t="s">
        <v>8682</v>
      </c>
      <c r="E5273" s="114" t="s">
        <v>8683</v>
      </c>
    </row>
    <row r="5274" spans="1:5" x14ac:dyDescent="0.25">
      <c r="B5274" s="114" t="s">
        <v>3175</v>
      </c>
      <c r="D5274" s="114" t="s">
        <v>8684</v>
      </c>
      <c r="E5274" s="114" t="s">
        <v>8685</v>
      </c>
    </row>
    <row r="5275" spans="1:5" x14ac:dyDescent="0.25">
      <c r="B5275" s="114" t="s">
        <v>3176</v>
      </c>
      <c r="C5275" s="114" t="s">
        <v>1072</v>
      </c>
      <c r="D5275" s="114" t="s">
        <v>8686</v>
      </c>
      <c r="E5275" s="114" t="s">
        <v>8687</v>
      </c>
    </row>
    <row r="5276" spans="1:5" x14ac:dyDescent="0.25">
      <c r="A5276" s="114">
        <v>-1</v>
      </c>
      <c r="B5276" s="114" t="s">
        <v>3177</v>
      </c>
      <c r="D5276" s="114" t="s">
        <v>8688</v>
      </c>
      <c r="E5276" s="114" t="s">
        <v>8689</v>
      </c>
    </row>
    <row r="5277" spans="1:5" x14ac:dyDescent="0.25">
      <c r="B5277" s="114" t="s">
        <v>3178</v>
      </c>
      <c r="D5277" s="114" t="s">
        <v>8690</v>
      </c>
      <c r="E5277" s="114" t="s">
        <v>8691</v>
      </c>
    </row>
    <row r="5278" spans="1:5" x14ac:dyDescent="0.25">
      <c r="A5278" s="114">
        <v>1</v>
      </c>
      <c r="B5278" s="114" t="s">
        <v>3179</v>
      </c>
      <c r="C5278" s="114">
        <v>-3</v>
      </c>
      <c r="D5278" s="114" t="s">
        <v>8692</v>
      </c>
      <c r="E5278" s="114" t="s">
        <v>8693</v>
      </c>
    </row>
    <row r="5279" spans="1:5" x14ac:dyDescent="0.25">
      <c r="B5279" s="114" t="s">
        <v>1073</v>
      </c>
      <c r="D5279" s="114" t="s">
        <v>8694</v>
      </c>
      <c r="E5279" s="114" t="s">
        <v>3993</v>
      </c>
    </row>
    <row r="5280" spans="1:5" x14ac:dyDescent="0.25">
      <c r="B5280" s="114" t="s">
        <v>1073</v>
      </c>
      <c r="D5280" s="114" t="s">
        <v>8695</v>
      </c>
      <c r="E5280" s="114" t="s">
        <v>8696</v>
      </c>
    </row>
    <row r="5281" spans="1:5" x14ac:dyDescent="0.25">
      <c r="B5281" s="114">
        <f>-72   -748</f>
        <v>-820</v>
      </c>
      <c r="D5281" s="114" t="s">
        <v>8697</v>
      </c>
      <c r="E5281" s="114" t="s">
        <v>8698</v>
      </c>
    </row>
    <row r="5282" spans="1:5" x14ac:dyDescent="0.25">
      <c r="B5282" s="114" t="s">
        <v>3180</v>
      </c>
      <c r="D5282" s="114" t="s">
        <v>1073</v>
      </c>
      <c r="E5282" s="114" t="s">
        <v>8699</v>
      </c>
    </row>
    <row r="5283" spans="1:5" x14ac:dyDescent="0.25">
      <c r="B5283" s="114" t="s">
        <v>1073</v>
      </c>
      <c r="D5283" s="114" t="s">
        <v>8700</v>
      </c>
      <c r="E5283" s="114" t="s">
        <v>8701</v>
      </c>
    </row>
    <row r="5284" spans="1:5" x14ac:dyDescent="0.25">
      <c r="B5284" s="114" t="s">
        <v>1073</v>
      </c>
      <c r="D5284" s="114">
        <f>-692   -765   -37</f>
        <v>-1494</v>
      </c>
      <c r="E5284" s="114" t="s">
        <v>8702</v>
      </c>
    </row>
    <row r="5285" spans="1:5" x14ac:dyDescent="0.25">
      <c r="B5285" s="114" t="s">
        <v>3181</v>
      </c>
      <c r="D5285" s="114" t="s">
        <v>8703</v>
      </c>
      <c r="E5285" s="114" t="s">
        <v>8704</v>
      </c>
    </row>
    <row r="5286" spans="1:5" x14ac:dyDescent="0.25">
      <c r="B5286" s="114" t="s">
        <v>2092</v>
      </c>
      <c r="D5286" s="114" t="s">
        <v>8705</v>
      </c>
      <c r="E5286" s="114" t="s">
        <v>8706</v>
      </c>
    </row>
    <row r="5287" spans="1:5" x14ac:dyDescent="0.25">
      <c r="B5287" s="114" t="s">
        <v>3182</v>
      </c>
      <c r="D5287" s="114">
        <f>-896   -200   -14</f>
        <v>-1110</v>
      </c>
      <c r="E5287" s="114" t="s">
        <v>8707</v>
      </c>
    </row>
    <row r="5288" spans="1:5" x14ac:dyDescent="0.25">
      <c r="A5288" s="114" t="s">
        <v>1072</v>
      </c>
      <c r="B5288" s="114" t="s">
        <v>3183</v>
      </c>
      <c r="D5288" s="114" t="s">
        <v>8708</v>
      </c>
      <c r="E5288" s="114" t="s">
        <v>8709</v>
      </c>
    </row>
    <row r="5289" spans="1:5" x14ac:dyDescent="0.25">
      <c r="B5289" s="114" t="s">
        <v>1193</v>
      </c>
      <c r="D5289" s="114" t="s">
        <v>8710</v>
      </c>
      <c r="E5289" s="114" t="s">
        <v>8711</v>
      </c>
    </row>
    <row r="5290" spans="1:5" x14ac:dyDescent="0.25">
      <c r="B5290" s="114" t="s">
        <v>3184</v>
      </c>
      <c r="D5290" s="114" t="s">
        <v>1462</v>
      </c>
      <c r="E5290" s="114" t="s">
        <v>8712</v>
      </c>
    </row>
    <row r="5291" spans="1:5" x14ac:dyDescent="0.25">
      <c r="B5291" s="114" t="s">
        <v>1073</v>
      </c>
      <c r="D5291" s="114" t="s">
        <v>8713</v>
      </c>
      <c r="E5291" s="114" t="s">
        <v>8714</v>
      </c>
    </row>
    <row r="5292" spans="1:5" x14ac:dyDescent="0.25">
      <c r="B5292" s="114" t="s">
        <v>1206</v>
      </c>
      <c r="D5292" s="114" t="s">
        <v>8715</v>
      </c>
      <c r="E5292" s="114" t="s">
        <v>8716</v>
      </c>
    </row>
    <row r="5293" spans="1:5" x14ac:dyDescent="0.25">
      <c r="A5293" s="114" t="s">
        <v>1072</v>
      </c>
      <c r="B5293" s="114" t="s">
        <v>3185</v>
      </c>
      <c r="D5293" s="114">
        <f>-624  -1340   -88</f>
        <v>-2052</v>
      </c>
      <c r="E5293" s="114" t="s">
        <v>8717</v>
      </c>
    </row>
    <row r="5294" spans="1:5" x14ac:dyDescent="0.25">
      <c r="B5294" s="114" t="s">
        <v>3186</v>
      </c>
      <c r="D5294" s="114" t="s">
        <v>8718</v>
      </c>
      <c r="E5294" s="114" t="s">
        <v>3993</v>
      </c>
    </row>
    <row r="5295" spans="1:5" x14ac:dyDescent="0.25">
      <c r="B5295" s="114" t="s">
        <v>3187</v>
      </c>
      <c r="D5295" s="114" t="s">
        <v>8719</v>
      </c>
      <c r="E5295" s="114" t="s">
        <v>8720</v>
      </c>
    </row>
    <row r="5296" spans="1:5" x14ac:dyDescent="0.25">
      <c r="B5296" s="114" t="s">
        <v>3188</v>
      </c>
      <c r="C5296" s="114" t="s">
        <v>1072</v>
      </c>
      <c r="D5296" s="114" t="s">
        <v>8721</v>
      </c>
      <c r="E5296" s="114" t="s">
        <v>8722</v>
      </c>
    </row>
    <row r="5297" spans="1:5" x14ac:dyDescent="0.25">
      <c r="B5297" s="114" t="s">
        <v>3189</v>
      </c>
      <c r="D5297" s="114" t="s">
        <v>8723</v>
      </c>
      <c r="E5297" s="114" t="s">
        <v>8724</v>
      </c>
    </row>
    <row r="5298" spans="1:5" x14ac:dyDescent="0.25">
      <c r="B5298" s="114" t="s">
        <v>3190</v>
      </c>
      <c r="D5298" s="114" t="s">
        <v>8725</v>
      </c>
      <c r="E5298" s="114" t="s">
        <v>8726</v>
      </c>
    </row>
    <row r="5299" spans="1:5" x14ac:dyDescent="0.25">
      <c r="B5299" s="114" t="s">
        <v>1073</v>
      </c>
      <c r="D5299" s="114" t="s">
        <v>1073</v>
      </c>
      <c r="E5299" s="114" t="s">
        <v>8727</v>
      </c>
    </row>
    <row r="5300" spans="1:5" x14ac:dyDescent="0.25">
      <c r="B5300" s="114" t="s">
        <v>3191</v>
      </c>
      <c r="D5300" s="114" t="s">
        <v>1778</v>
      </c>
      <c r="E5300" s="114" t="s">
        <v>8728</v>
      </c>
    </row>
    <row r="5301" spans="1:5" x14ac:dyDescent="0.25">
      <c r="B5301" s="114" t="s">
        <v>1073</v>
      </c>
      <c r="D5301" s="114" t="s">
        <v>7736</v>
      </c>
      <c r="E5301" s="114" t="s">
        <v>8729</v>
      </c>
    </row>
    <row r="5302" spans="1:5" x14ac:dyDescent="0.25">
      <c r="B5302" s="114" t="s">
        <v>1073</v>
      </c>
      <c r="D5302" s="114" t="s">
        <v>1073</v>
      </c>
      <c r="E5302" s="114" t="s">
        <v>3993</v>
      </c>
    </row>
    <row r="5303" spans="1:5" x14ac:dyDescent="0.25">
      <c r="B5303" s="114" t="s">
        <v>3192</v>
      </c>
      <c r="D5303" s="114" t="s">
        <v>1073</v>
      </c>
      <c r="E5303" s="114" t="s">
        <v>8730</v>
      </c>
    </row>
    <row r="5304" spans="1:5" x14ac:dyDescent="0.25">
      <c r="A5304" s="114">
        <v>-18</v>
      </c>
      <c r="B5304" s="114" t="s">
        <v>3193</v>
      </c>
      <c r="C5304" s="114" t="s">
        <v>1072</v>
      </c>
      <c r="D5304" s="114" t="s">
        <v>8731</v>
      </c>
      <c r="E5304" s="114" t="s">
        <v>8732</v>
      </c>
    </row>
    <row r="5305" spans="1:5" x14ac:dyDescent="0.25">
      <c r="A5305" s="114">
        <v>-1</v>
      </c>
      <c r="B5305" s="114" t="s">
        <v>3194</v>
      </c>
      <c r="D5305" s="114" t="s">
        <v>8733</v>
      </c>
      <c r="E5305" s="114" t="s">
        <v>8734</v>
      </c>
    </row>
    <row r="5306" spans="1:5" x14ac:dyDescent="0.25">
      <c r="B5306" s="114" t="s">
        <v>3195</v>
      </c>
      <c r="D5306" s="114" t="s">
        <v>8735</v>
      </c>
      <c r="E5306" s="114" t="s">
        <v>8736</v>
      </c>
    </row>
    <row r="5307" spans="1:5" x14ac:dyDescent="0.25">
      <c r="B5307" s="114" t="s">
        <v>3196</v>
      </c>
      <c r="D5307" s="114" t="s">
        <v>8737</v>
      </c>
      <c r="E5307" s="114" t="s">
        <v>8738</v>
      </c>
    </row>
    <row r="5308" spans="1:5" x14ac:dyDescent="0.25">
      <c r="A5308" s="114" t="s">
        <v>1072</v>
      </c>
      <c r="B5308" s="114" t="s">
        <v>3197</v>
      </c>
      <c r="D5308" s="114" t="s">
        <v>8739</v>
      </c>
      <c r="E5308" s="114" t="s">
        <v>8740</v>
      </c>
    </row>
    <row r="5309" spans="1:5" x14ac:dyDescent="0.25">
      <c r="B5309" s="114" t="s">
        <v>3198</v>
      </c>
      <c r="D5309" s="114" t="s">
        <v>8741</v>
      </c>
      <c r="E5309" s="114" t="s">
        <v>8742</v>
      </c>
    </row>
    <row r="5310" spans="1:5" x14ac:dyDescent="0.25">
      <c r="B5310" s="114" t="s">
        <v>2347</v>
      </c>
      <c r="D5310" s="114" t="s">
        <v>8743</v>
      </c>
      <c r="E5310" s="114" t="s">
        <v>8744</v>
      </c>
    </row>
    <row r="5311" spans="1:5" x14ac:dyDescent="0.25">
      <c r="B5311" s="114" t="s">
        <v>1073</v>
      </c>
      <c r="D5311" s="114" t="s">
        <v>1073</v>
      </c>
      <c r="E5311" s="114" t="s">
        <v>8745</v>
      </c>
    </row>
    <row r="5312" spans="1:5" x14ac:dyDescent="0.25">
      <c r="B5312" s="114" t="s">
        <v>3199</v>
      </c>
      <c r="C5312" s="114">
        <v>-4</v>
      </c>
      <c r="D5312" s="114" t="s">
        <v>8746</v>
      </c>
      <c r="E5312" s="114" t="s">
        <v>8747</v>
      </c>
    </row>
    <row r="5313" spans="1:5" x14ac:dyDescent="0.25">
      <c r="A5313" s="114">
        <v>1</v>
      </c>
      <c r="B5313" s="114" t="s">
        <v>1365</v>
      </c>
      <c r="D5313" s="114" t="s">
        <v>5555</v>
      </c>
      <c r="E5313" s="114" t="s">
        <v>4002</v>
      </c>
    </row>
    <row r="5314" spans="1:5" x14ac:dyDescent="0.25">
      <c r="A5314" s="114" t="s">
        <v>1072</v>
      </c>
      <c r="B5314" s="114" t="s">
        <v>1424</v>
      </c>
      <c r="D5314" s="114" t="s">
        <v>1073</v>
      </c>
      <c r="E5314" s="114" t="s">
        <v>8748</v>
      </c>
    </row>
    <row r="5315" spans="1:5" x14ac:dyDescent="0.25">
      <c r="B5315" s="114" t="s">
        <v>2631</v>
      </c>
      <c r="D5315" s="114" t="s">
        <v>1073</v>
      </c>
      <c r="E5315" s="114" t="s">
        <v>8749</v>
      </c>
    </row>
    <row r="5316" spans="1:5" x14ac:dyDescent="0.25">
      <c r="B5316" s="114" t="s">
        <v>3200</v>
      </c>
      <c r="D5316" s="114" t="s">
        <v>8750</v>
      </c>
      <c r="E5316" s="114" t="s">
        <v>8751</v>
      </c>
    </row>
    <row r="5317" spans="1:5" x14ac:dyDescent="0.25">
      <c r="B5317" s="114" t="s">
        <v>1167</v>
      </c>
      <c r="D5317" s="114" t="s">
        <v>1073</v>
      </c>
      <c r="E5317" s="114" t="s">
        <v>8752</v>
      </c>
    </row>
    <row r="5318" spans="1:5" x14ac:dyDescent="0.25">
      <c r="B5318" s="114">
        <f>-39   -356</f>
        <v>-395</v>
      </c>
      <c r="D5318" s="114" t="s">
        <v>8753</v>
      </c>
      <c r="E5318" s="114" t="s">
        <v>8754</v>
      </c>
    </row>
    <row r="5319" spans="1:5" x14ac:dyDescent="0.25">
      <c r="A5319" s="114">
        <v>3</v>
      </c>
      <c r="B5319" s="114" t="s">
        <v>3201</v>
      </c>
      <c r="D5319" s="114" t="s">
        <v>5555</v>
      </c>
      <c r="E5319" s="114" t="s">
        <v>8755</v>
      </c>
    </row>
    <row r="5320" spans="1:5" x14ac:dyDescent="0.25">
      <c r="A5320" s="114" t="s">
        <v>1072</v>
      </c>
      <c r="B5320" s="114" t="s">
        <v>1950</v>
      </c>
      <c r="D5320" s="114" t="s">
        <v>1073</v>
      </c>
      <c r="E5320" s="114" t="s">
        <v>8756</v>
      </c>
    </row>
    <row r="5321" spans="1:5" x14ac:dyDescent="0.25">
      <c r="B5321" s="114" t="s">
        <v>3202</v>
      </c>
      <c r="D5321" s="114" t="s">
        <v>8757</v>
      </c>
      <c r="E5321" s="114" t="s">
        <v>8758</v>
      </c>
    </row>
    <row r="5322" spans="1:5" x14ac:dyDescent="0.25">
      <c r="A5322" s="114">
        <v>3</v>
      </c>
      <c r="B5322" s="114" t="s">
        <v>3203</v>
      </c>
      <c r="D5322" s="114" t="s">
        <v>1388</v>
      </c>
      <c r="E5322" s="114" t="s">
        <v>8759</v>
      </c>
    </row>
    <row r="5323" spans="1:5" x14ac:dyDescent="0.25">
      <c r="A5323" s="114" t="s">
        <v>1072</v>
      </c>
      <c r="B5323" s="114" t="s">
        <v>1145</v>
      </c>
      <c r="D5323" s="114" t="s">
        <v>1073</v>
      </c>
      <c r="E5323" s="114" t="s">
        <v>8760</v>
      </c>
    </row>
    <row r="5324" spans="1:5" x14ac:dyDescent="0.25">
      <c r="B5324" s="114" t="s">
        <v>1425</v>
      </c>
      <c r="D5324" s="114" t="s">
        <v>8761</v>
      </c>
      <c r="E5324" s="114" t="s">
        <v>8762</v>
      </c>
    </row>
    <row r="5325" spans="1:5" x14ac:dyDescent="0.25">
      <c r="A5325" s="114">
        <v>4</v>
      </c>
      <c r="B5325" s="114" t="s">
        <v>1505</v>
      </c>
      <c r="D5325" s="114" t="s">
        <v>3619</v>
      </c>
      <c r="E5325" s="114" t="s">
        <v>8763</v>
      </c>
    </row>
    <row r="5326" spans="1:5" x14ac:dyDescent="0.25">
      <c r="B5326" s="114" t="s">
        <v>1073</v>
      </c>
      <c r="D5326" s="114" t="s">
        <v>1073</v>
      </c>
      <c r="E5326" s="114" t="s">
        <v>8764</v>
      </c>
    </row>
    <row r="5327" spans="1:5" x14ac:dyDescent="0.25">
      <c r="B5327" s="114" t="s">
        <v>1073</v>
      </c>
      <c r="D5327" s="114" t="s">
        <v>1073</v>
      </c>
      <c r="E5327" s="114" t="s">
        <v>8765</v>
      </c>
    </row>
    <row r="5328" spans="1:5" x14ac:dyDescent="0.25">
      <c r="A5328" s="114">
        <v>1</v>
      </c>
      <c r="B5328" s="114" t="s">
        <v>3204</v>
      </c>
      <c r="D5328" s="114" t="s">
        <v>1073</v>
      </c>
      <c r="E5328" s="114" t="s">
        <v>8766</v>
      </c>
    </row>
    <row r="5329" spans="1:5" x14ac:dyDescent="0.25">
      <c r="A5329" s="114" t="s">
        <v>1072</v>
      </c>
      <c r="B5329" s="114" t="s">
        <v>3205</v>
      </c>
      <c r="D5329" s="114" t="s">
        <v>1073</v>
      </c>
      <c r="E5329" s="114" t="s">
        <v>8767</v>
      </c>
    </row>
    <row r="5330" spans="1:5" x14ac:dyDescent="0.25">
      <c r="B5330" s="114">
        <f>-27   -791</f>
        <v>-818</v>
      </c>
      <c r="D5330" s="114" t="s">
        <v>8768</v>
      </c>
      <c r="E5330" s="114" t="s">
        <v>3993</v>
      </c>
    </row>
    <row r="5331" spans="1:5" x14ac:dyDescent="0.25">
      <c r="B5331" s="114" t="s">
        <v>3206</v>
      </c>
      <c r="D5331" s="114" t="s">
        <v>8769</v>
      </c>
      <c r="E5331" s="114" t="s">
        <v>8770</v>
      </c>
    </row>
    <row r="5332" spans="1:5" x14ac:dyDescent="0.25">
      <c r="B5332" s="114" t="s">
        <v>3207</v>
      </c>
      <c r="D5332" s="114" t="s">
        <v>8771</v>
      </c>
      <c r="E5332" s="114" t="s">
        <v>8772</v>
      </c>
    </row>
    <row r="5333" spans="1:5" x14ac:dyDescent="0.25">
      <c r="B5333" s="114" t="s">
        <v>1073</v>
      </c>
      <c r="D5333" s="114" t="s">
        <v>1073</v>
      </c>
      <c r="E5333" s="114" t="s">
        <v>3993</v>
      </c>
    </row>
    <row r="5334" spans="1:5" x14ac:dyDescent="0.25">
      <c r="B5334" s="114" t="s">
        <v>1073</v>
      </c>
      <c r="D5334" s="114" t="s">
        <v>1073</v>
      </c>
      <c r="E5334" s="114" t="s">
        <v>8773</v>
      </c>
    </row>
    <row r="5335" spans="1:5" x14ac:dyDescent="0.25">
      <c r="A5335" s="114">
        <v>1</v>
      </c>
      <c r="B5335" s="114" t="s">
        <v>3208</v>
      </c>
      <c r="D5335" s="114" t="s">
        <v>8774</v>
      </c>
      <c r="E5335" s="114" t="s">
        <v>8775</v>
      </c>
    </row>
    <row r="5336" spans="1:5" x14ac:dyDescent="0.25">
      <c r="B5336" s="114" t="s">
        <v>3209</v>
      </c>
      <c r="D5336" s="114">
        <f>-898  -1701  -243</f>
        <v>-2842</v>
      </c>
      <c r="E5336" s="114" t="s">
        <v>8776</v>
      </c>
    </row>
    <row r="5337" spans="1:5" x14ac:dyDescent="0.25">
      <c r="B5337" s="114" t="s">
        <v>3210</v>
      </c>
      <c r="D5337" s="114" t="s">
        <v>8777</v>
      </c>
      <c r="E5337" s="114" t="s">
        <v>8778</v>
      </c>
    </row>
    <row r="5338" spans="1:5" x14ac:dyDescent="0.25">
      <c r="B5338" s="114" t="s">
        <v>3211</v>
      </c>
      <c r="D5338" s="114" t="s">
        <v>8779</v>
      </c>
      <c r="E5338" s="114" t="s">
        <v>8780</v>
      </c>
    </row>
    <row r="5339" spans="1:5" x14ac:dyDescent="0.25">
      <c r="A5339" s="114" t="s">
        <v>1072</v>
      </c>
      <c r="B5339" s="114" t="s">
        <v>3212</v>
      </c>
      <c r="D5339" s="114" t="s">
        <v>8781</v>
      </c>
      <c r="E5339" s="114" t="s">
        <v>8782</v>
      </c>
    </row>
    <row r="5340" spans="1:5" x14ac:dyDescent="0.25">
      <c r="B5340" s="114" t="s">
        <v>3213</v>
      </c>
      <c r="D5340" s="114" t="s">
        <v>8783</v>
      </c>
      <c r="E5340" s="114" t="s">
        <v>8784</v>
      </c>
    </row>
    <row r="5341" spans="1:5" x14ac:dyDescent="0.25">
      <c r="A5341" s="114" t="s">
        <v>1072</v>
      </c>
      <c r="B5341" s="114" t="s">
        <v>3214</v>
      </c>
      <c r="D5341" s="114" t="s">
        <v>8785</v>
      </c>
      <c r="E5341" s="114" t="s">
        <v>8786</v>
      </c>
    </row>
    <row r="5342" spans="1:5" x14ac:dyDescent="0.25">
      <c r="B5342" s="114" t="s">
        <v>1073</v>
      </c>
      <c r="D5342" s="114">
        <f>-7    -97</f>
        <v>-104</v>
      </c>
      <c r="E5342" s="114" t="s">
        <v>3993</v>
      </c>
    </row>
    <row r="5343" spans="1:5" x14ac:dyDescent="0.25">
      <c r="B5343" s="114" t="s">
        <v>1073</v>
      </c>
      <c r="D5343" s="114" t="s">
        <v>8787</v>
      </c>
      <c r="E5343" s="114" t="s">
        <v>8788</v>
      </c>
    </row>
    <row r="5344" spans="1:5" x14ac:dyDescent="0.25">
      <c r="A5344" s="114" t="s">
        <v>1072</v>
      </c>
      <c r="B5344" s="114" t="s">
        <v>3215</v>
      </c>
      <c r="D5344" s="114" t="s">
        <v>1073</v>
      </c>
      <c r="E5344" s="114" t="s">
        <v>8789</v>
      </c>
    </row>
    <row r="5345" spans="1:5" x14ac:dyDescent="0.25">
      <c r="B5345" s="114" t="s">
        <v>1073</v>
      </c>
      <c r="D5345" s="114" t="s">
        <v>1073</v>
      </c>
      <c r="E5345" s="114" t="s">
        <v>8599</v>
      </c>
    </row>
    <row r="5346" spans="1:5" x14ac:dyDescent="0.25">
      <c r="B5346" s="114" t="s">
        <v>1073</v>
      </c>
      <c r="D5346" s="114" t="s">
        <v>8790</v>
      </c>
      <c r="E5346" s="114" t="s">
        <v>8791</v>
      </c>
    </row>
    <row r="5347" spans="1:5" x14ac:dyDescent="0.25">
      <c r="B5347" s="114" t="s">
        <v>1111</v>
      </c>
      <c r="D5347" s="114">
        <f>-837   -433</f>
        <v>-1270</v>
      </c>
      <c r="E5347" s="114" t="s">
        <v>8792</v>
      </c>
    </row>
    <row r="5348" spans="1:5" x14ac:dyDescent="0.25">
      <c r="B5348" s="114" t="s">
        <v>3216</v>
      </c>
      <c r="D5348" s="114" t="s">
        <v>8793</v>
      </c>
      <c r="E5348" s="114" t="s">
        <v>8794</v>
      </c>
    </row>
    <row r="5349" spans="1:5" x14ac:dyDescent="0.25">
      <c r="B5349" s="114" t="s">
        <v>3217</v>
      </c>
      <c r="D5349" s="114" t="s">
        <v>8795</v>
      </c>
      <c r="E5349" s="114" t="s">
        <v>8796</v>
      </c>
    </row>
    <row r="5350" spans="1:5" x14ac:dyDescent="0.25">
      <c r="A5350" s="114">
        <v>-1</v>
      </c>
      <c r="B5350" s="114" t="s">
        <v>3218</v>
      </c>
      <c r="D5350" s="114" t="s">
        <v>8797</v>
      </c>
      <c r="E5350" s="114" t="s">
        <v>8798</v>
      </c>
    </row>
    <row r="5351" spans="1:5" x14ac:dyDescent="0.25">
      <c r="A5351" s="114" t="s">
        <v>1072</v>
      </c>
      <c r="B5351" s="114" t="s">
        <v>1115</v>
      </c>
      <c r="D5351" s="114" t="s">
        <v>8799</v>
      </c>
      <c r="E5351" s="114" t="s">
        <v>8800</v>
      </c>
    </row>
    <row r="5352" spans="1:5" x14ac:dyDescent="0.25">
      <c r="B5352" s="114" t="s">
        <v>3219</v>
      </c>
      <c r="D5352" s="114" t="s">
        <v>8801</v>
      </c>
      <c r="E5352" s="114" t="s">
        <v>8802</v>
      </c>
    </row>
    <row r="5353" spans="1:5" x14ac:dyDescent="0.25">
      <c r="A5353" s="114" t="s">
        <v>1072</v>
      </c>
      <c r="B5353" s="114" t="s">
        <v>3220</v>
      </c>
      <c r="D5353" s="114" t="s">
        <v>8803</v>
      </c>
      <c r="E5353" s="114" t="s">
        <v>8804</v>
      </c>
    </row>
    <row r="5354" spans="1:5" x14ac:dyDescent="0.25">
      <c r="B5354" s="114" t="s">
        <v>1560</v>
      </c>
      <c r="D5354" s="114" t="s">
        <v>8805</v>
      </c>
      <c r="E5354" s="114" t="s">
        <v>8806</v>
      </c>
    </row>
    <row r="5355" spans="1:5" x14ac:dyDescent="0.25">
      <c r="B5355" s="114" t="s">
        <v>3221</v>
      </c>
      <c r="D5355" s="114" t="s">
        <v>8807</v>
      </c>
      <c r="E5355" s="114" t="s">
        <v>8808</v>
      </c>
    </row>
    <row r="5356" spans="1:5" x14ac:dyDescent="0.25">
      <c r="A5356" s="114">
        <v>-1</v>
      </c>
      <c r="B5356" s="114" t="s">
        <v>3222</v>
      </c>
      <c r="C5356" s="114" t="s">
        <v>1072</v>
      </c>
      <c r="D5356" s="114" t="s">
        <v>8809</v>
      </c>
      <c r="E5356" s="114" t="s">
        <v>8810</v>
      </c>
    </row>
    <row r="5357" spans="1:5" x14ac:dyDescent="0.25">
      <c r="A5357" s="114" t="s">
        <v>1072</v>
      </c>
      <c r="B5357" s="114" t="s">
        <v>3223</v>
      </c>
      <c r="C5357" s="114" t="s">
        <v>1072</v>
      </c>
      <c r="D5357" s="114" t="s">
        <v>8811</v>
      </c>
      <c r="E5357" s="114" t="s">
        <v>3993</v>
      </c>
    </row>
    <row r="5358" spans="1:5" x14ac:dyDescent="0.25">
      <c r="A5358" s="114">
        <v>1</v>
      </c>
      <c r="B5358" s="114" t="s">
        <v>3224</v>
      </c>
      <c r="D5358" s="114" t="s">
        <v>8812</v>
      </c>
      <c r="E5358" s="114" t="s">
        <v>4518</v>
      </c>
    </row>
    <row r="5359" spans="1:5" x14ac:dyDescent="0.25">
      <c r="A5359" s="114">
        <v>-3</v>
      </c>
      <c r="B5359" s="114" t="s">
        <v>3225</v>
      </c>
      <c r="C5359" s="114" t="s">
        <v>1072</v>
      </c>
      <c r="D5359" s="114" t="s">
        <v>8813</v>
      </c>
      <c r="E5359" s="114" t="s">
        <v>8814</v>
      </c>
    </row>
    <row r="5360" spans="1:5" x14ac:dyDescent="0.25">
      <c r="A5360" s="114">
        <v>-1</v>
      </c>
      <c r="B5360" s="114" t="s">
        <v>3226</v>
      </c>
      <c r="C5360" s="114" t="s">
        <v>1072</v>
      </c>
      <c r="D5360" s="114" t="s">
        <v>8815</v>
      </c>
      <c r="E5360" s="114" t="s">
        <v>8816</v>
      </c>
    </row>
    <row r="5361" spans="1:5" x14ac:dyDescent="0.25">
      <c r="B5361" s="114" t="s">
        <v>3227</v>
      </c>
      <c r="C5361" s="114" t="s">
        <v>1072</v>
      </c>
      <c r="D5361" s="114" t="s">
        <v>8817</v>
      </c>
      <c r="E5361" s="114" t="s">
        <v>8818</v>
      </c>
    </row>
    <row r="5362" spans="1:5" x14ac:dyDescent="0.25">
      <c r="B5362" s="114" t="s">
        <v>1073</v>
      </c>
      <c r="D5362" s="114" t="s">
        <v>1073</v>
      </c>
      <c r="E5362" s="114" t="s">
        <v>8819</v>
      </c>
    </row>
    <row r="5363" spans="1:5" x14ac:dyDescent="0.25">
      <c r="A5363" s="114">
        <v>1</v>
      </c>
      <c r="B5363" s="114" t="s">
        <v>3228</v>
      </c>
      <c r="D5363" s="114" t="s">
        <v>8820</v>
      </c>
      <c r="E5363" s="114" t="s">
        <v>8821</v>
      </c>
    </row>
    <row r="5364" spans="1:5" x14ac:dyDescent="0.25">
      <c r="B5364" s="114" t="s">
        <v>1073</v>
      </c>
      <c r="D5364" s="114" t="s">
        <v>8822</v>
      </c>
      <c r="E5364" s="114" t="s">
        <v>4518</v>
      </c>
    </row>
    <row r="5365" spans="1:5" x14ac:dyDescent="0.25">
      <c r="B5365" s="114" t="s">
        <v>1073</v>
      </c>
      <c r="D5365" s="114" t="s">
        <v>1073</v>
      </c>
      <c r="E5365" s="114" t="s">
        <v>3993</v>
      </c>
    </row>
    <row r="5366" spans="1:5" x14ac:dyDescent="0.25">
      <c r="A5366" s="114">
        <v>-1</v>
      </c>
      <c r="B5366" s="114" t="s">
        <v>2426</v>
      </c>
      <c r="D5366" s="114" t="s">
        <v>1073</v>
      </c>
      <c r="E5366" s="114" t="s">
        <v>8823</v>
      </c>
    </row>
    <row r="5367" spans="1:5" x14ac:dyDescent="0.25">
      <c r="A5367" s="114">
        <v>-7</v>
      </c>
      <c r="B5367" s="114" t="s">
        <v>3229</v>
      </c>
      <c r="C5367" s="114">
        <v>1</v>
      </c>
      <c r="D5367" s="114" t="s">
        <v>8824</v>
      </c>
      <c r="E5367" s="114" t="s">
        <v>8825</v>
      </c>
    </row>
    <row r="5368" spans="1:5" x14ac:dyDescent="0.25">
      <c r="A5368" s="114">
        <v>-2</v>
      </c>
      <c r="B5368" s="114" t="s">
        <v>3230</v>
      </c>
      <c r="D5368" s="114" t="s">
        <v>8826</v>
      </c>
      <c r="E5368" s="114" t="s">
        <v>8827</v>
      </c>
    </row>
    <row r="5369" spans="1:5" x14ac:dyDescent="0.25">
      <c r="A5369" s="114" t="s">
        <v>1072</v>
      </c>
      <c r="B5369" s="114" t="s">
        <v>3231</v>
      </c>
      <c r="D5369" s="114" t="s">
        <v>8828</v>
      </c>
      <c r="E5369" s="114" t="s">
        <v>8829</v>
      </c>
    </row>
    <row r="5370" spans="1:5" x14ac:dyDescent="0.25">
      <c r="B5370" s="114" t="s">
        <v>3232</v>
      </c>
      <c r="D5370" s="114">
        <f>-691   -488   -28</f>
        <v>-1207</v>
      </c>
      <c r="E5370" s="114" t="s">
        <v>8830</v>
      </c>
    </row>
    <row r="5371" spans="1:5" x14ac:dyDescent="0.25">
      <c r="A5371" s="114" t="s">
        <v>1072</v>
      </c>
      <c r="B5371" s="114" t="s">
        <v>3233</v>
      </c>
      <c r="D5371" s="114" t="s">
        <v>8831</v>
      </c>
      <c r="E5371" s="114" t="s">
        <v>8832</v>
      </c>
    </row>
    <row r="5372" spans="1:5" x14ac:dyDescent="0.25">
      <c r="A5372" s="114">
        <v>1</v>
      </c>
      <c r="B5372" s="114" t="s">
        <v>3234</v>
      </c>
      <c r="D5372" s="114" t="s">
        <v>8833</v>
      </c>
      <c r="E5372" s="114" t="s">
        <v>8834</v>
      </c>
    </row>
    <row r="5373" spans="1:5" x14ac:dyDescent="0.25">
      <c r="B5373" s="114" t="s">
        <v>1073</v>
      </c>
      <c r="D5373" s="114" t="s">
        <v>8835</v>
      </c>
      <c r="E5373" s="114" t="s">
        <v>8836</v>
      </c>
    </row>
    <row r="5374" spans="1:5" x14ac:dyDescent="0.25">
      <c r="B5374" s="114" t="s">
        <v>1073</v>
      </c>
      <c r="D5374" s="114" t="s">
        <v>1073</v>
      </c>
      <c r="E5374" s="114" t="s">
        <v>8837</v>
      </c>
    </row>
    <row r="5375" spans="1:5" x14ac:dyDescent="0.25">
      <c r="B5375" s="114" t="s">
        <v>1073</v>
      </c>
      <c r="D5375" s="114" t="s">
        <v>8838</v>
      </c>
      <c r="E5375" s="114" t="s">
        <v>8839</v>
      </c>
    </row>
    <row r="5376" spans="1:5" x14ac:dyDescent="0.25">
      <c r="B5376" s="114" t="s">
        <v>1465</v>
      </c>
      <c r="D5376" s="114" t="s">
        <v>1073</v>
      </c>
      <c r="E5376" s="114" t="s">
        <v>8840</v>
      </c>
    </row>
    <row r="5377" spans="1:5" x14ac:dyDescent="0.25">
      <c r="B5377" s="114" t="s">
        <v>3235</v>
      </c>
      <c r="D5377" s="114" t="s">
        <v>1073</v>
      </c>
      <c r="E5377" s="114" t="s">
        <v>8841</v>
      </c>
    </row>
    <row r="5378" spans="1:5" x14ac:dyDescent="0.25">
      <c r="A5378" s="114">
        <v>-46</v>
      </c>
      <c r="B5378" s="114" t="s">
        <v>1393</v>
      </c>
      <c r="D5378" s="114" t="s">
        <v>1100</v>
      </c>
      <c r="E5378" s="114" t="s">
        <v>8842</v>
      </c>
    </row>
    <row r="5379" spans="1:5" x14ac:dyDescent="0.25">
      <c r="B5379" s="114" t="s">
        <v>1073</v>
      </c>
      <c r="D5379" s="114" t="s">
        <v>8843</v>
      </c>
      <c r="E5379" s="114" t="s">
        <v>8844</v>
      </c>
    </row>
    <row r="5380" spans="1:5" x14ac:dyDescent="0.25">
      <c r="B5380" s="114" t="s">
        <v>3236</v>
      </c>
      <c r="D5380" s="114" t="s">
        <v>1073</v>
      </c>
      <c r="E5380" s="114" t="s">
        <v>8845</v>
      </c>
    </row>
    <row r="5381" spans="1:5" x14ac:dyDescent="0.25">
      <c r="A5381" s="114">
        <v>-50</v>
      </c>
      <c r="B5381" s="114" t="s">
        <v>3237</v>
      </c>
      <c r="D5381" s="114">
        <f>-267   -142</f>
        <v>-409</v>
      </c>
      <c r="E5381" s="114" t="s">
        <v>8846</v>
      </c>
    </row>
    <row r="5382" spans="1:5" x14ac:dyDescent="0.25">
      <c r="B5382" s="114" t="s">
        <v>3238</v>
      </c>
      <c r="D5382" s="114" t="s">
        <v>8847</v>
      </c>
      <c r="E5382" s="114" t="s">
        <v>8848</v>
      </c>
    </row>
    <row r="5383" spans="1:5" x14ac:dyDescent="0.25">
      <c r="B5383" s="114" t="s">
        <v>3239</v>
      </c>
      <c r="D5383" s="114" t="s">
        <v>1073</v>
      </c>
      <c r="E5383" s="114" t="s">
        <v>8849</v>
      </c>
    </row>
    <row r="5384" spans="1:5" x14ac:dyDescent="0.25">
      <c r="A5384" s="114">
        <v>-51</v>
      </c>
      <c r="B5384" s="114" t="s">
        <v>3240</v>
      </c>
      <c r="D5384" s="114" t="s">
        <v>8850</v>
      </c>
      <c r="E5384" s="114" t="s">
        <v>8851</v>
      </c>
    </row>
    <row r="5385" spans="1:5" x14ac:dyDescent="0.25">
      <c r="B5385" s="114" t="s">
        <v>3241</v>
      </c>
      <c r="D5385" s="114" t="s">
        <v>8852</v>
      </c>
      <c r="E5385" s="114" t="s">
        <v>8853</v>
      </c>
    </row>
    <row r="5386" spans="1:5" x14ac:dyDescent="0.25">
      <c r="B5386" s="114" t="s">
        <v>3242</v>
      </c>
      <c r="D5386" s="114" t="s">
        <v>1073</v>
      </c>
      <c r="E5386" s="114" t="s">
        <v>8854</v>
      </c>
    </row>
    <row r="5387" spans="1:5" x14ac:dyDescent="0.25">
      <c r="A5387" s="114">
        <v>-48</v>
      </c>
      <c r="B5387" s="114" t="s">
        <v>3243</v>
      </c>
      <c r="D5387" s="114" t="s">
        <v>1073</v>
      </c>
      <c r="E5387" s="114" t="s">
        <v>8855</v>
      </c>
    </row>
    <row r="5388" spans="1:5" x14ac:dyDescent="0.25">
      <c r="B5388" s="114" t="s">
        <v>3244</v>
      </c>
      <c r="D5388" s="114" t="s">
        <v>5520</v>
      </c>
      <c r="E5388" s="114" t="s">
        <v>8856</v>
      </c>
    </row>
    <row r="5389" spans="1:5" x14ac:dyDescent="0.25">
      <c r="B5389" s="114" t="s">
        <v>1073</v>
      </c>
      <c r="D5389" s="114" t="s">
        <v>1073</v>
      </c>
      <c r="E5389" s="114" t="s">
        <v>8857</v>
      </c>
    </row>
    <row r="5390" spans="1:5" x14ac:dyDescent="0.25">
      <c r="A5390" s="114">
        <v>-57</v>
      </c>
      <c r="B5390" s="114" t="s">
        <v>3245</v>
      </c>
      <c r="D5390" s="114" t="s">
        <v>1073</v>
      </c>
      <c r="E5390" s="114" t="s">
        <v>8858</v>
      </c>
    </row>
    <row r="5391" spans="1:5" x14ac:dyDescent="0.25">
      <c r="A5391" s="114">
        <v>-1</v>
      </c>
      <c r="B5391" s="114" t="s">
        <v>3246</v>
      </c>
      <c r="D5391" s="114" t="s">
        <v>8859</v>
      </c>
      <c r="E5391" s="114" t="s">
        <v>8860</v>
      </c>
    </row>
    <row r="5392" spans="1:5" x14ac:dyDescent="0.25">
      <c r="B5392" s="114" t="s">
        <v>3247</v>
      </c>
      <c r="D5392" s="114" t="s">
        <v>1073</v>
      </c>
      <c r="E5392" s="114" t="s">
        <v>8861</v>
      </c>
    </row>
    <row r="5393" spans="1:5" x14ac:dyDescent="0.25">
      <c r="A5393" s="114">
        <v>-1</v>
      </c>
      <c r="B5393" s="114" t="s">
        <v>3248</v>
      </c>
      <c r="C5393" s="114" t="s">
        <v>1072</v>
      </c>
      <c r="D5393" s="114" t="s">
        <v>8862</v>
      </c>
      <c r="E5393" s="114" t="s">
        <v>3992</v>
      </c>
    </row>
    <row r="5394" spans="1:5" x14ac:dyDescent="0.25">
      <c r="B5394" s="114" t="s">
        <v>1073</v>
      </c>
      <c r="D5394" s="114" t="s">
        <v>8863</v>
      </c>
      <c r="E5394" s="114" t="s">
        <v>8864</v>
      </c>
    </row>
    <row r="5395" spans="1:5" x14ac:dyDescent="0.25">
      <c r="B5395" s="114" t="s">
        <v>1337</v>
      </c>
      <c r="D5395" s="114" t="s">
        <v>8865</v>
      </c>
      <c r="E5395" s="114" t="s">
        <v>8866</v>
      </c>
    </row>
    <row r="5396" spans="1:5" x14ac:dyDescent="0.25">
      <c r="B5396" s="114" t="s">
        <v>1498</v>
      </c>
      <c r="D5396" s="114" t="s">
        <v>1073</v>
      </c>
      <c r="E5396" s="114" t="s">
        <v>3993</v>
      </c>
    </row>
    <row r="5397" spans="1:5" x14ac:dyDescent="0.25">
      <c r="B5397" s="114" t="s">
        <v>1073</v>
      </c>
      <c r="D5397" s="114" t="s">
        <v>1073</v>
      </c>
      <c r="E5397" s="114" t="s">
        <v>8867</v>
      </c>
    </row>
    <row r="5398" spans="1:5" x14ac:dyDescent="0.25">
      <c r="B5398" s="114" t="s">
        <v>3249</v>
      </c>
      <c r="D5398" s="114" t="s">
        <v>8868</v>
      </c>
      <c r="E5398" s="114" t="s">
        <v>8869</v>
      </c>
    </row>
    <row r="5399" spans="1:5" x14ac:dyDescent="0.25">
      <c r="B5399" s="114" t="s">
        <v>1073</v>
      </c>
      <c r="D5399" s="114" t="s">
        <v>8870</v>
      </c>
      <c r="E5399" s="114" t="s">
        <v>8871</v>
      </c>
    </row>
    <row r="5400" spans="1:5" x14ac:dyDescent="0.25">
      <c r="A5400" s="114" t="s">
        <v>1072</v>
      </c>
      <c r="B5400" s="114" t="s">
        <v>3250</v>
      </c>
      <c r="C5400" s="114" t="s">
        <v>1072</v>
      </c>
      <c r="D5400" s="114" t="s">
        <v>8872</v>
      </c>
      <c r="E5400" s="114" t="s">
        <v>8873</v>
      </c>
    </row>
    <row r="5401" spans="1:5" x14ac:dyDescent="0.25">
      <c r="A5401" s="114">
        <v>-2</v>
      </c>
      <c r="B5401" s="114" t="s">
        <v>3251</v>
      </c>
      <c r="D5401" s="114">
        <f>-265   -292   -51</f>
        <v>-608</v>
      </c>
      <c r="E5401" s="114" t="s">
        <v>8874</v>
      </c>
    </row>
    <row r="5402" spans="1:5" x14ac:dyDescent="0.25">
      <c r="A5402" s="114" t="s">
        <v>1072</v>
      </c>
      <c r="B5402" s="114" t="s">
        <v>3252</v>
      </c>
      <c r="C5402" s="114" t="s">
        <v>1072</v>
      </c>
      <c r="D5402" s="114" t="s">
        <v>8875</v>
      </c>
      <c r="E5402" s="114" t="s">
        <v>8876</v>
      </c>
    </row>
    <row r="5403" spans="1:5" x14ac:dyDescent="0.25">
      <c r="B5403" s="114" t="s">
        <v>3253</v>
      </c>
      <c r="D5403" s="114" t="s">
        <v>8877</v>
      </c>
      <c r="E5403" s="114" t="s">
        <v>8878</v>
      </c>
    </row>
    <row r="5404" spans="1:5" x14ac:dyDescent="0.25">
      <c r="A5404" s="114">
        <v>44</v>
      </c>
      <c r="B5404" s="114" t="s">
        <v>3254</v>
      </c>
      <c r="C5404" s="114">
        <v>4</v>
      </c>
      <c r="D5404" s="114" t="s">
        <v>8879</v>
      </c>
      <c r="E5404" s="114" t="s">
        <v>8880</v>
      </c>
    </row>
    <row r="5405" spans="1:5" x14ac:dyDescent="0.25">
      <c r="B5405" s="114" t="s">
        <v>3255</v>
      </c>
      <c r="D5405" s="114" t="s">
        <v>1073</v>
      </c>
      <c r="E5405" s="114" t="s">
        <v>8881</v>
      </c>
    </row>
    <row r="5406" spans="1:5" x14ac:dyDescent="0.25">
      <c r="B5406" s="114" t="s">
        <v>1073</v>
      </c>
      <c r="D5406" s="114" t="s">
        <v>1073</v>
      </c>
      <c r="E5406" s="114" t="s">
        <v>8882</v>
      </c>
    </row>
    <row r="5407" spans="1:5" x14ac:dyDescent="0.25">
      <c r="A5407" s="114">
        <v>-23</v>
      </c>
      <c r="B5407" s="114" t="s">
        <v>3256</v>
      </c>
      <c r="D5407" s="114" t="s">
        <v>8883</v>
      </c>
      <c r="E5407" s="114" t="s">
        <v>8884</v>
      </c>
    </row>
    <row r="5408" spans="1:5" x14ac:dyDescent="0.25">
      <c r="B5408" s="114" t="s">
        <v>1073</v>
      </c>
      <c r="D5408" s="114" t="s">
        <v>8885</v>
      </c>
      <c r="E5408" s="114" t="s">
        <v>8886</v>
      </c>
    </row>
    <row r="5409" spans="1:5" x14ac:dyDescent="0.25">
      <c r="B5409" s="114" t="s">
        <v>1073</v>
      </c>
      <c r="D5409" s="114" t="s">
        <v>1073</v>
      </c>
      <c r="E5409" s="114" t="s">
        <v>8887</v>
      </c>
    </row>
    <row r="5410" spans="1:5" x14ac:dyDescent="0.25">
      <c r="B5410" s="114" t="s">
        <v>1073</v>
      </c>
      <c r="D5410" s="114" t="s">
        <v>7190</v>
      </c>
      <c r="E5410" s="114" t="s">
        <v>8888</v>
      </c>
    </row>
    <row r="5411" spans="1:5" x14ac:dyDescent="0.25">
      <c r="B5411" s="114" t="s">
        <v>3257</v>
      </c>
      <c r="D5411" s="114" t="s">
        <v>8889</v>
      </c>
      <c r="E5411" s="114" t="s">
        <v>8890</v>
      </c>
    </row>
    <row r="5412" spans="1:5" x14ac:dyDescent="0.25">
      <c r="B5412" s="114" t="s">
        <v>1073</v>
      </c>
      <c r="D5412" s="114" t="s">
        <v>8891</v>
      </c>
      <c r="E5412" s="114" t="s">
        <v>8892</v>
      </c>
    </row>
    <row r="5413" spans="1:5" x14ac:dyDescent="0.25">
      <c r="B5413" s="114" t="s">
        <v>1491</v>
      </c>
      <c r="D5413" s="114" t="s">
        <v>8893</v>
      </c>
      <c r="E5413" s="114" t="s">
        <v>8894</v>
      </c>
    </row>
    <row r="5414" spans="1:5" x14ac:dyDescent="0.25">
      <c r="B5414" s="114" t="s">
        <v>1073</v>
      </c>
      <c r="D5414" s="114">
        <f>-159   -303</f>
        <v>-462</v>
      </c>
      <c r="E5414" s="114" t="s">
        <v>8895</v>
      </c>
    </row>
    <row r="5415" spans="1:5" x14ac:dyDescent="0.25">
      <c r="B5415" s="114" t="s">
        <v>1073</v>
      </c>
      <c r="D5415" s="114" t="s">
        <v>8896</v>
      </c>
      <c r="E5415" s="114" t="s">
        <v>8897</v>
      </c>
    </row>
    <row r="5416" spans="1:5" x14ac:dyDescent="0.25">
      <c r="A5416" s="114" t="s">
        <v>1072</v>
      </c>
      <c r="B5416" s="114" t="s">
        <v>3258</v>
      </c>
      <c r="D5416" s="114" t="s">
        <v>8898</v>
      </c>
      <c r="E5416" s="114" t="s">
        <v>8899</v>
      </c>
    </row>
    <row r="5417" spans="1:5" x14ac:dyDescent="0.25">
      <c r="B5417" s="114" t="s">
        <v>1745</v>
      </c>
      <c r="D5417" s="114" t="s">
        <v>6233</v>
      </c>
      <c r="E5417" s="114" t="s">
        <v>8900</v>
      </c>
    </row>
    <row r="5418" spans="1:5" x14ac:dyDescent="0.25">
      <c r="B5418" s="114" t="s">
        <v>1073</v>
      </c>
      <c r="D5418" s="114" t="s">
        <v>8901</v>
      </c>
      <c r="E5418" s="114" t="s">
        <v>8902</v>
      </c>
    </row>
    <row r="5419" spans="1:5" x14ac:dyDescent="0.25">
      <c r="B5419" s="114" t="s">
        <v>1073</v>
      </c>
      <c r="D5419" s="114" t="s">
        <v>8903</v>
      </c>
      <c r="E5419" s="114" t="s">
        <v>8904</v>
      </c>
    </row>
    <row r="5420" spans="1:5" x14ac:dyDescent="0.25">
      <c r="B5420" s="114" t="s">
        <v>3259</v>
      </c>
      <c r="D5420" s="114" t="s">
        <v>8905</v>
      </c>
      <c r="E5420" s="114" t="s">
        <v>8906</v>
      </c>
    </row>
    <row r="5421" spans="1:5" x14ac:dyDescent="0.25">
      <c r="B5421" s="114" t="s">
        <v>1073</v>
      </c>
      <c r="D5421" s="114" t="s">
        <v>8907</v>
      </c>
      <c r="E5421" s="114" t="s">
        <v>8908</v>
      </c>
    </row>
    <row r="5422" spans="1:5" x14ac:dyDescent="0.25">
      <c r="B5422" s="114" t="s">
        <v>1073</v>
      </c>
      <c r="D5422" s="114" t="s">
        <v>8909</v>
      </c>
      <c r="E5422" s="114" t="s">
        <v>8910</v>
      </c>
    </row>
    <row r="5423" spans="1:5" x14ac:dyDescent="0.25">
      <c r="B5423" s="114" t="s">
        <v>1073</v>
      </c>
      <c r="D5423" s="114" t="s">
        <v>8911</v>
      </c>
      <c r="E5423" s="114" t="s">
        <v>8912</v>
      </c>
    </row>
    <row r="5424" spans="1:5" x14ac:dyDescent="0.25">
      <c r="B5424" s="114" t="s">
        <v>1073</v>
      </c>
      <c r="D5424" s="114" t="s">
        <v>8913</v>
      </c>
      <c r="E5424" s="114" t="s">
        <v>8914</v>
      </c>
    </row>
    <row r="5425" spans="1:5" x14ac:dyDescent="0.25">
      <c r="B5425" s="114" t="s">
        <v>3260</v>
      </c>
      <c r="D5425" s="114" t="s">
        <v>1073</v>
      </c>
      <c r="E5425" s="114" t="s">
        <v>8915</v>
      </c>
    </row>
    <row r="5426" spans="1:5" x14ac:dyDescent="0.25">
      <c r="A5426" s="114" t="s">
        <v>1072</v>
      </c>
      <c r="B5426" s="114" t="s">
        <v>3261</v>
      </c>
      <c r="D5426" s="114" t="s">
        <v>8916</v>
      </c>
      <c r="E5426" s="114" t="s">
        <v>8917</v>
      </c>
    </row>
    <row r="5427" spans="1:5" x14ac:dyDescent="0.25">
      <c r="A5427" s="114" t="s">
        <v>1072</v>
      </c>
      <c r="B5427" s="114" t="s">
        <v>1346</v>
      </c>
      <c r="D5427" s="114" t="s">
        <v>1073</v>
      </c>
      <c r="E5427" s="114" t="s">
        <v>8918</v>
      </c>
    </row>
    <row r="5428" spans="1:5" x14ac:dyDescent="0.25">
      <c r="B5428" s="114" t="s">
        <v>1073</v>
      </c>
      <c r="D5428" s="114" t="s">
        <v>1073</v>
      </c>
      <c r="E5428" s="114" t="s">
        <v>3993</v>
      </c>
    </row>
    <row r="5429" spans="1:5" x14ac:dyDescent="0.25">
      <c r="B5429" s="114" t="s">
        <v>1073</v>
      </c>
      <c r="D5429" s="114" t="s">
        <v>8919</v>
      </c>
      <c r="E5429" s="114" t="s">
        <v>8920</v>
      </c>
    </row>
    <row r="5430" spans="1:5" x14ac:dyDescent="0.25">
      <c r="B5430" s="114" t="s">
        <v>1416</v>
      </c>
      <c r="D5430" s="114">
        <f>-457   -771   -81</f>
        <v>-1309</v>
      </c>
      <c r="E5430" s="114" t="s">
        <v>8921</v>
      </c>
    </row>
    <row r="5431" spans="1:5" x14ac:dyDescent="0.25">
      <c r="A5431" s="114">
        <v>-18</v>
      </c>
      <c r="B5431" s="114" t="s">
        <v>3262</v>
      </c>
      <c r="C5431" s="114" t="s">
        <v>1072</v>
      </c>
      <c r="D5431" s="114" t="s">
        <v>8922</v>
      </c>
      <c r="E5431" s="114" t="s">
        <v>8923</v>
      </c>
    </row>
    <row r="5432" spans="1:5" x14ac:dyDescent="0.25">
      <c r="B5432" s="114" t="s">
        <v>3263</v>
      </c>
      <c r="D5432" s="114" t="s">
        <v>8924</v>
      </c>
      <c r="E5432" s="114" t="s">
        <v>8925</v>
      </c>
    </row>
    <row r="5433" spans="1:5" x14ac:dyDescent="0.25">
      <c r="B5433" s="114" t="s">
        <v>3264</v>
      </c>
      <c r="D5433" s="114" t="s">
        <v>8926</v>
      </c>
      <c r="E5433" s="114" t="s">
        <v>8927</v>
      </c>
    </row>
    <row r="5434" spans="1:5" x14ac:dyDescent="0.25">
      <c r="A5434" s="114" t="s">
        <v>1072</v>
      </c>
      <c r="B5434" s="114" t="s">
        <v>3265</v>
      </c>
      <c r="D5434" s="114" t="s">
        <v>8928</v>
      </c>
      <c r="E5434" s="114" t="s">
        <v>8929</v>
      </c>
    </row>
    <row r="5435" spans="1:5" x14ac:dyDescent="0.25">
      <c r="B5435" s="114" t="s">
        <v>3266</v>
      </c>
      <c r="D5435" s="114" t="s">
        <v>8930</v>
      </c>
      <c r="E5435" s="114" t="s">
        <v>8931</v>
      </c>
    </row>
    <row r="5436" spans="1:5" x14ac:dyDescent="0.25">
      <c r="A5436" s="114">
        <v>18</v>
      </c>
      <c r="B5436" s="114" t="s">
        <v>3267</v>
      </c>
      <c r="C5436" s="114">
        <v>-2</v>
      </c>
      <c r="D5436" s="114" t="s">
        <v>8932</v>
      </c>
      <c r="E5436" s="114" t="s">
        <v>8933</v>
      </c>
    </row>
    <row r="5437" spans="1:5" x14ac:dyDescent="0.25">
      <c r="B5437" s="114" t="s">
        <v>1073</v>
      </c>
      <c r="D5437" s="114" t="s">
        <v>8934</v>
      </c>
      <c r="E5437" s="114" t="s">
        <v>4002</v>
      </c>
    </row>
    <row r="5438" spans="1:5" x14ac:dyDescent="0.25">
      <c r="B5438" s="114" t="s">
        <v>1073</v>
      </c>
      <c r="D5438" s="114" t="s">
        <v>8935</v>
      </c>
      <c r="E5438" s="114" t="s">
        <v>8936</v>
      </c>
    </row>
    <row r="5439" spans="1:5" x14ac:dyDescent="0.25">
      <c r="A5439" s="114">
        <v>1</v>
      </c>
      <c r="B5439" s="114" t="s">
        <v>3268</v>
      </c>
      <c r="D5439" s="114" t="s">
        <v>6369</v>
      </c>
      <c r="E5439" s="114" t="s">
        <v>8937</v>
      </c>
    </row>
    <row r="5440" spans="1:5" x14ac:dyDescent="0.25">
      <c r="B5440" s="114" t="s">
        <v>1275</v>
      </c>
      <c r="D5440" s="114" t="s">
        <v>1073</v>
      </c>
      <c r="E5440" s="114" t="s">
        <v>8938</v>
      </c>
    </row>
    <row r="5441" spans="1:5" x14ac:dyDescent="0.25">
      <c r="B5441" s="114" t="s">
        <v>1073</v>
      </c>
      <c r="D5441" s="114" t="s">
        <v>8939</v>
      </c>
      <c r="E5441" s="114" t="s">
        <v>8940</v>
      </c>
    </row>
    <row r="5442" spans="1:5" x14ac:dyDescent="0.25">
      <c r="B5442" s="114" t="s">
        <v>1073</v>
      </c>
      <c r="D5442" s="114">
        <f>-882   -512   -26</f>
        <v>-1420</v>
      </c>
      <c r="E5442" s="114" t="s">
        <v>8941</v>
      </c>
    </row>
    <row r="5443" spans="1:5" x14ac:dyDescent="0.25">
      <c r="B5443" s="114" t="s">
        <v>3269</v>
      </c>
      <c r="D5443" s="114" t="s">
        <v>8942</v>
      </c>
      <c r="E5443" s="114" t="s">
        <v>8943</v>
      </c>
    </row>
    <row r="5444" spans="1:5" x14ac:dyDescent="0.25">
      <c r="B5444" s="114" t="s">
        <v>3270</v>
      </c>
      <c r="D5444" s="114" t="s">
        <v>8944</v>
      </c>
      <c r="E5444" s="114" t="s">
        <v>8945</v>
      </c>
    </row>
    <row r="5445" spans="1:5" x14ac:dyDescent="0.25">
      <c r="A5445" s="114">
        <v>2</v>
      </c>
      <c r="B5445" s="114" t="s">
        <v>3271</v>
      </c>
      <c r="D5445" s="114" t="s">
        <v>8946</v>
      </c>
      <c r="E5445" s="114" t="s">
        <v>8947</v>
      </c>
    </row>
    <row r="5446" spans="1:5" x14ac:dyDescent="0.25">
      <c r="B5446" s="114" t="s">
        <v>3272</v>
      </c>
      <c r="D5446" s="114" t="s">
        <v>8948</v>
      </c>
      <c r="E5446" s="114" t="s">
        <v>8949</v>
      </c>
    </row>
    <row r="5447" spans="1:5" x14ac:dyDescent="0.25">
      <c r="B5447" s="114" t="s">
        <v>3273</v>
      </c>
      <c r="D5447" s="114" t="s">
        <v>8950</v>
      </c>
      <c r="E5447" s="114" t="s">
        <v>8951</v>
      </c>
    </row>
    <row r="5448" spans="1:5" x14ac:dyDescent="0.25">
      <c r="B5448" s="114" t="s">
        <v>3274</v>
      </c>
      <c r="D5448" s="114" t="s">
        <v>8952</v>
      </c>
      <c r="E5448" s="114" t="s">
        <v>8953</v>
      </c>
    </row>
    <row r="5449" spans="1:5" x14ac:dyDescent="0.25">
      <c r="B5449" s="114" t="s">
        <v>1073</v>
      </c>
      <c r="D5449" s="114" t="s">
        <v>8954</v>
      </c>
      <c r="E5449" s="114" t="s">
        <v>8955</v>
      </c>
    </row>
    <row r="5450" spans="1:5" x14ac:dyDescent="0.25">
      <c r="B5450" s="114" t="s">
        <v>3275</v>
      </c>
      <c r="D5450" s="114" t="s">
        <v>8956</v>
      </c>
      <c r="E5450" s="114" t="s">
        <v>8957</v>
      </c>
    </row>
    <row r="5451" spans="1:5" x14ac:dyDescent="0.25">
      <c r="B5451" s="114" t="s">
        <v>3276</v>
      </c>
      <c r="D5451" s="114">
        <f>-171  -1078   -55</f>
        <v>-1304</v>
      </c>
      <c r="E5451" s="114" t="s">
        <v>8958</v>
      </c>
    </row>
    <row r="5452" spans="1:5" x14ac:dyDescent="0.25">
      <c r="B5452" s="114" t="s">
        <v>3277</v>
      </c>
      <c r="D5452" s="114" t="s">
        <v>8959</v>
      </c>
      <c r="E5452" s="114" t="s">
        <v>3993</v>
      </c>
    </row>
    <row r="5453" spans="1:5" x14ac:dyDescent="0.25">
      <c r="B5453" s="114" t="s">
        <v>3278</v>
      </c>
      <c r="D5453" s="114" t="s">
        <v>8960</v>
      </c>
      <c r="E5453" s="114" t="s">
        <v>8961</v>
      </c>
    </row>
    <row r="5454" spans="1:5" x14ac:dyDescent="0.25">
      <c r="B5454" s="114" t="s">
        <v>3279</v>
      </c>
      <c r="C5454" s="114" t="s">
        <v>1072</v>
      </c>
      <c r="D5454" s="114" t="s">
        <v>8962</v>
      </c>
      <c r="E5454" s="114" t="s">
        <v>8963</v>
      </c>
    </row>
    <row r="5455" spans="1:5" x14ac:dyDescent="0.25">
      <c r="B5455" s="114" t="s">
        <v>3280</v>
      </c>
      <c r="D5455" s="114" t="s">
        <v>8964</v>
      </c>
      <c r="E5455" s="114" t="s">
        <v>8965</v>
      </c>
    </row>
    <row r="5456" spans="1:5" x14ac:dyDescent="0.25">
      <c r="B5456" s="114" t="s">
        <v>3281</v>
      </c>
      <c r="D5456" s="114" t="s">
        <v>8966</v>
      </c>
      <c r="E5456" s="114" t="s">
        <v>8967</v>
      </c>
    </row>
    <row r="5457" spans="1:5" x14ac:dyDescent="0.25">
      <c r="B5457" s="114" t="s">
        <v>1073</v>
      </c>
      <c r="D5457" s="114" t="s">
        <v>1073</v>
      </c>
      <c r="E5457" s="114" t="s">
        <v>8968</v>
      </c>
    </row>
    <row r="5458" spans="1:5" x14ac:dyDescent="0.25">
      <c r="B5458" s="114" t="s">
        <v>3282</v>
      </c>
      <c r="D5458" s="114" t="s">
        <v>8969</v>
      </c>
      <c r="E5458" s="114" t="s">
        <v>8970</v>
      </c>
    </row>
    <row r="5459" spans="1:5" x14ac:dyDescent="0.25">
      <c r="B5459" s="114" t="s">
        <v>1073</v>
      </c>
      <c r="D5459" s="114" t="s">
        <v>8971</v>
      </c>
      <c r="E5459" s="114" t="s">
        <v>8972</v>
      </c>
    </row>
    <row r="5460" spans="1:5" x14ac:dyDescent="0.25">
      <c r="B5460" s="114" t="s">
        <v>1073</v>
      </c>
      <c r="D5460" s="114" t="s">
        <v>1073</v>
      </c>
      <c r="E5460" s="114" t="s">
        <v>3993</v>
      </c>
    </row>
    <row r="5461" spans="1:5" x14ac:dyDescent="0.25">
      <c r="B5461" s="114" t="s">
        <v>3283</v>
      </c>
      <c r="D5461" s="114" t="s">
        <v>1073</v>
      </c>
      <c r="E5461" s="114" t="s">
        <v>8973</v>
      </c>
    </row>
    <row r="5462" spans="1:5" x14ac:dyDescent="0.25">
      <c r="A5462" s="114">
        <v>-1</v>
      </c>
      <c r="B5462" s="114" t="s">
        <v>3284</v>
      </c>
      <c r="C5462" s="114" t="s">
        <v>1072</v>
      </c>
      <c r="D5462" s="114" t="s">
        <v>8974</v>
      </c>
      <c r="E5462" s="114" t="s">
        <v>8975</v>
      </c>
    </row>
    <row r="5463" spans="1:5" x14ac:dyDescent="0.25">
      <c r="A5463" s="114">
        <v>-7</v>
      </c>
      <c r="B5463" s="114" t="s">
        <v>3285</v>
      </c>
      <c r="C5463" s="114">
        <v>2</v>
      </c>
      <c r="D5463" s="114" t="s">
        <v>8976</v>
      </c>
      <c r="E5463" s="114" t="s">
        <v>8977</v>
      </c>
    </row>
    <row r="5464" spans="1:5" x14ac:dyDescent="0.25">
      <c r="B5464" s="114" t="s">
        <v>3286</v>
      </c>
      <c r="D5464" s="114" t="s">
        <v>8978</v>
      </c>
      <c r="E5464" s="114" t="s">
        <v>8979</v>
      </c>
    </row>
    <row r="5465" spans="1:5" x14ac:dyDescent="0.25">
      <c r="B5465" s="114" t="s">
        <v>3287</v>
      </c>
      <c r="D5465" s="114" t="s">
        <v>8980</v>
      </c>
      <c r="E5465" s="114" t="s">
        <v>8981</v>
      </c>
    </row>
    <row r="5466" spans="1:5" x14ac:dyDescent="0.25">
      <c r="B5466" s="114" t="s">
        <v>3288</v>
      </c>
      <c r="D5466" s="114" t="s">
        <v>8982</v>
      </c>
      <c r="E5466" s="114" t="s">
        <v>8983</v>
      </c>
    </row>
    <row r="5467" spans="1:5" x14ac:dyDescent="0.25">
      <c r="B5467" s="114" t="s">
        <v>3289</v>
      </c>
      <c r="D5467" s="114" t="s">
        <v>8984</v>
      </c>
      <c r="E5467" s="114" t="s">
        <v>8985</v>
      </c>
    </row>
    <row r="5468" spans="1:5" x14ac:dyDescent="0.25">
      <c r="B5468" s="114">
        <f>-70 -26273</f>
        <v>-26343</v>
      </c>
      <c r="D5468" s="114">
        <f>-608   -362</f>
        <v>-970</v>
      </c>
      <c r="E5468" s="114" t="s">
        <v>8986</v>
      </c>
    </row>
    <row r="5469" spans="1:5" x14ac:dyDescent="0.25">
      <c r="B5469" s="114" t="s">
        <v>1073</v>
      </c>
      <c r="D5469" s="114">
        <f>-20   -265</f>
        <v>-285</v>
      </c>
      <c r="E5469" s="114" t="s">
        <v>3993</v>
      </c>
    </row>
    <row r="5470" spans="1:5" x14ac:dyDescent="0.25">
      <c r="B5470" s="114" t="s">
        <v>1073</v>
      </c>
      <c r="D5470" s="114" t="s">
        <v>8987</v>
      </c>
      <c r="E5470" s="114" t="s">
        <v>8988</v>
      </c>
    </row>
    <row r="5471" spans="1:5" x14ac:dyDescent="0.25">
      <c r="A5471" s="114">
        <v>1</v>
      </c>
      <c r="B5471" s="114" t="s">
        <v>3290</v>
      </c>
      <c r="D5471" s="114" t="s">
        <v>1073</v>
      </c>
      <c r="E5471" s="114" t="s">
        <v>8989</v>
      </c>
    </row>
    <row r="5472" spans="1:5" x14ac:dyDescent="0.25">
      <c r="B5472" s="114" t="s">
        <v>1073</v>
      </c>
      <c r="D5472" s="114" t="s">
        <v>1073</v>
      </c>
      <c r="E5472" s="114" t="s">
        <v>8990</v>
      </c>
    </row>
    <row r="5473" spans="1:5" x14ac:dyDescent="0.25">
      <c r="B5473" s="114" t="s">
        <v>1073</v>
      </c>
      <c r="D5473" s="114" t="s">
        <v>8991</v>
      </c>
      <c r="E5473" s="114" t="s">
        <v>8992</v>
      </c>
    </row>
    <row r="5474" spans="1:5" x14ac:dyDescent="0.25">
      <c r="B5474" s="114" t="s">
        <v>1132</v>
      </c>
      <c r="D5474" s="114">
        <f>-576   -344</f>
        <v>-920</v>
      </c>
      <c r="E5474" s="114" t="s">
        <v>8993</v>
      </c>
    </row>
    <row r="5475" spans="1:5" x14ac:dyDescent="0.25">
      <c r="B5475" s="114" t="s">
        <v>3291</v>
      </c>
      <c r="D5475" s="114" t="s">
        <v>8994</v>
      </c>
      <c r="E5475" s="114" t="s">
        <v>8995</v>
      </c>
    </row>
    <row r="5476" spans="1:5" x14ac:dyDescent="0.25">
      <c r="B5476" s="114" t="s">
        <v>3292</v>
      </c>
      <c r="D5476" s="114" t="s">
        <v>8996</v>
      </c>
      <c r="E5476" s="114" t="s">
        <v>8997</v>
      </c>
    </row>
    <row r="5477" spans="1:5" x14ac:dyDescent="0.25">
      <c r="A5477" s="114" t="s">
        <v>1072</v>
      </c>
      <c r="B5477" s="114" t="s">
        <v>3293</v>
      </c>
      <c r="D5477" s="114" t="s">
        <v>8998</v>
      </c>
      <c r="E5477" s="114" t="s">
        <v>8999</v>
      </c>
    </row>
    <row r="5478" spans="1:5" x14ac:dyDescent="0.25">
      <c r="A5478" s="114" t="s">
        <v>1072</v>
      </c>
      <c r="B5478" s="114" t="s">
        <v>3294</v>
      </c>
      <c r="D5478" s="114" t="s">
        <v>9000</v>
      </c>
      <c r="E5478" s="114" t="s">
        <v>9001</v>
      </c>
    </row>
    <row r="5479" spans="1:5" x14ac:dyDescent="0.25">
      <c r="B5479" s="114" t="s">
        <v>3295</v>
      </c>
      <c r="D5479" s="114" t="s">
        <v>9002</v>
      </c>
      <c r="E5479" s="114" t="s">
        <v>9003</v>
      </c>
    </row>
    <row r="5480" spans="1:5" x14ac:dyDescent="0.25">
      <c r="A5480" s="114">
        <v>2</v>
      </c>
      <c r="B5480" s="114" t="s">
        <v>1435</v>
      </c>
      <c r="D5480" s="114" t="s">
        <v>9004</v>
      </c>
      <c r="E5480" s="114" t="s">
        <v>9005</v>
      </c>
    </row>
    <row r="5481" spans="1:5" x14ac:dyDescent="0.25">
      <c r="B5481" s="114" t="s">
        <v>2392</v>
      </c>
      <c r="D5481" s="114" t="s">
        <v>9006</v>
      </c>
      <c r="E5481" s="114" t="s">
        <v>9007</v>
      </c>
    </row>
    <row r="5482" spans="1:5" x14ac:dyDescent="0.25">
      <c r="B5482" s="114" t="s">
        <v>3296</v>
      </c>
      <c r="D5482" s="114" t="s">
        <v>9008</v>
      </c>
      <c r="E5482" s="114" t="s">
        <v>9009</v>
      </c>
    </row>
    <row r="5483" spans="1:5" x14ac:dyDescent="0.25">
      <c r="B5483" s="114" t="s">
        <v>3297</v>
      </c>
      <c r="C5483" s="114" t="s">
        <v>1072</v>
      </c>
      <c r="D5483" s="114" t="s">
        <v>9010</v>
      </c>
      <c r="E5483" s="114" t="s">
        <v>9011</v>
      </c>
    </row>
    <row r="5484" spans="1:5" x14ac:dyDescent="0.25">
      <c r="A5484" s="114" t="s">
        <v>1072</v>
      </c>
      <c r="B5484" s="114" t="s">
        <v>3298</v>
      </c>
      <c r="C5484" s="114" t="s">
        <v>1072</v>
      </c>
      <c r="D5484" s="114" t="s">
        <v>9012</v>
      </c>
      <c r="E5484" s="114" t="s">
        <v>3993</v>
      </c>
    </row>
    <row r="5485" spans="1:5" x14ac:dyDescent="0.25">
      <c r="A5485" s="114">
        <v>1</v>
      </c>
      <c r="B5485" s="114" t="s">
        <v>3299</v>
      </c>
      <c r="D5485" s="114" t="s">
        <v>9013</v>
      </c>
      <c r="E5485" s="114" t="s">
        <v>4044</v>
      </c>
    </row>
    <row r="5486" spans="1:5" x14ac:dyDescent="0.25">
      <c r="A5486" s="114">
        <v>-4</v>
      </c>
      <c r="B5486" s="114" t="s">
        <v>3300</v>
      </c>
      <c r="D5486" s="114" t="s">
        <v>9014</v>
      </c>
      <c r="E5486" s="114" t="s">
        <v>9015</v>
      </c>
    </row>
    <row r="5487" spans="1:5" x14ac:dyDescent="0.25">
      <c r="A5487" s="114">
        <v>-1</v>
      </c>
      <c r="B5487" s="114" t="s">
        <v>3301</v>
      </c>
      <c r="C5487" s="114" t="s">
        <v>1072</v>
      </c>
      <c r="D5487" s="114" t="s">
        <v>9016</v>
      </c>
      <c r="E5487" s="114" t="s">
        <v>9017</v>
      </c>
    </row>
    <row r="5488" spans="1:5" x14ac:dyDescent="0.25">
      <c r="A5488" s="114">
        <v>1</v>
      </c>
      <c r="B5488" s="114" t="s">
        <v>3302</v>
      </c>
      <c r="D5488" s="114" t="s">
        <v>9018</v>
      </c>
      <c r="E5488" s="114" t="s">
        <v>9019</v>
      </c>
    </row>
    <row r="5489" spans="1:5" x14ac:dyDescent="0.25">
      <c r="B5489" s="114" t="s">
        <v>1073</v>
      </c>
      <c r="D5489" s="114" t="s">
        <v>1073</v>
      </c>
      <c r="E5489" s="114" t="s">
        <v>9020</v>
      </c>
    </row>
    <row r="5490" spans="1:5" x14ac:dyDescent="0.25">
      <c r="B5490" s="114" t="s">
        <v>3303</v>
      </c>
      <c r="D5490" s="114" t="s">
        <v>9021</v>
      </c>
      <c r="E5490" s="114" t="s">
        <v>9022</v>
      </c>
    </row>
    <row r="5491" spans="1:5" x14ac:dyDescent="0.25">
      <c r="B5491" s="114" t="s">
        <v>1073</v>
      </c>
      <c r="D5491" s="114" t="s">
        <v>9023</v>
      </c>
      <c r="E5491" s="114" t="s">
        <v>4518</v>
      </c>
    </row>
    <row r="5492" spans="1:5" x14ac:dyDescent="0.25">
      <c r="B5492" s="114" t="s">
        <v>1073</v>
      </c>
      <c r="D5492" s="114" t="s">
        <v>1073</v>
      </c>
      <c r="E5492" s="114" t="s">
        <v>3993</v>
      </c>
    </row>
    <row r="5493" spans="1:5" x14ac:dyDescent="0.25">
      <c r="A5493" s="114">
        <v>-1</v>
      </c>
      <c r="B5493" s="114" t="s">
        <v>1235</v>
      </c>
      <c r="D5493" s="114" t="s">
        <v>1073</v>
      </c>
      <c r="E5493" s="114" t="s">
        <v>9024</v>
      </c>
    </row>
    <row r="5494" spans="1:5" x14ac:dyDescent="0.25">
      <c r="A5494" s="114">
        <v>-2</v>
      </c>
      <c r="B5494" s="114" t="s">
        <v>3304</v>
      </c>
      <c r="D5494" s="114" t="s">
        <v>9025</v>
      </c>
      <c r="E5494" s="114" t="s">
        <v>9026</v>
      </c>
    </row>
    <row r="5495" spans="1:5" x14ac:dyDescent="0.25">
      <c r="A5495" s="114">
        <v>-10</v>
      </c>
      <c r="B5495" s="114" t="s">
        <v>3305</v>
      </c>
      <c r="D5495" s="114" t="s">
        <v>9027</v>
      </c>
      <c r="E5495" s="114" t="s">
        <v>9028</v>
      </c>
    </row>
    <row r="5496" spans="1:5" x14ac:dyDescent="0.25">
      <c r="A5496" s="114">
        <v>-1</v>
      </c>
      <c r="B5496" s="114" t="s">
        <v>3306</v>
      </c>
      <c r="D5496" s="114" t="s">
        <v>9029</v>
      </c>
      <c r="E5496" s="114" t="s">
        <v>9030</v>
      </c>
    </row>
    <row r="5497" spans="1:5" x14ac:dyDescent="0.25">
      <c r="B5497" s="114" t="s">
        <v>3307</v>
      </c>
      <c r="C5497" s="114" t="s">
        <v>1072</v>
      </c>
      <c r="D5497" s="114" t="s">
        <v>9031</v>
      </c>
      <c r="E5497" s="114" t="s">
        <v>9032</v>
      </c>
    </row>
    <row r="5498" spans="1:5" x14ac:dyDescent="0.25">
      <c r="A5498" s="114" t="s">
        <v>1072</v>
      </c>
      <c r="B5498" s="114" t="s">
        <v>3308</v>
      </c>
      <c r="D5498" s="114" t="s">
        <v>9033</v>
      </c>
      <c r="E5498" s="114" t="s">
        <v>9034</v>
      </c>
    </row>
    <row r="5499" spans="1:5" x14ac:dyDescent="0.25">
      <c r="A5499" s="114">
        <v>1</v>
      </c>
      <c r="B5499" s="114" t="s">
        <v>3309</v>
      </c>
      <c r="D5499" s="114" t="s">
        <v>9035</v>
      </c>
      <c r="E5499" s="114" t="s">
        <v>9036</v>
      </c>
    </row>
    <row r="5500" spans="1:5" x14ac:dyDescent="0.25">
      <c r="A5500" s="114" t="s">
        <v>1072</v>
      </c>
      <c r="B5500" s="114" t="s">
        <v>3310</v>
      </c>
      <c r="D5500" s="114">
        <f>-595   -351</f>
        <v>-946</v>
      </c>
      <c r="E5500" s="114" t="s">
        <v>9037</v>
      </c>
    </row>
    <row r="5501" spans="1:5" x14ac:dyDescent="0.25">
      <c r="B5501" s="114" t="s">
        <v>1073</v>
      </c>
      <c r="D5501" s="114">
        <f>-9   -240</f>
        <v>-249</v>
      </c>
      <c r="E5501" s="114" t="s">
        <v>3993</v>
      </c>
    </row>
    <row r="5502" spans="1:5" x14ac:dyDescent="0.25">
      <c r="B5502" s="114" t="s">
        <v>1073</v>
      </c>
      <c r="D5502" s="114" t="s">
        <v>9038</v>
      </c>
      <c r="E5502" s="114" t="s">
        <v>9039</v>
      </c>
    </row>
    <row r="5503" spans="1:5" x14ac:dyDescent="0.25">
      <c r="B5503" s="114" t="s">
        <v>3311</v>
      </c>
      <c r="D5503" s="114" t="s">
        <v>1073</v>
      </c>
      <c r="E5503" s="114" t="s">
        <v>9040</v>
      </c>
    </row>
    <row r="5504" spans="1:5" x14ac:dyDescent="0.25">
      <c r="B5504" s="114" t="s">
        <v>1073</v>
      </c>
      <c r="D5504" s="114" t="s">
        <v>1073</v>
      </c>
      <c r="E5504" s="114" t="s">
        <v>9041</v>
      </c>
    </row>
    <row r="5505" spans="1:5" x14ac:dyDescent="0.25">
      <c r="B5505" s="114" t="s">
        <v>1073</v>
      </c>
      <c r="D5505" s="114" t="s">
        <v>9042</v>
      </c>
      <c r="E5505" s="114" t="s">
        <v>9043</v>
      </c>
    </row>
    <row r="5506" spans="1:5" x14ac:dyDescent="0.25">
      <c r="B5506" s="114" t="s">
        <v>3312</v>
      </c>
      <c r="D5506" s="114">
        <f>-797   -451</f>
        <v>-1248</v>
      </c>
      <c r="E5506" s="114" t="s">
        <v>9044</v>
      </c>
    </row>
    <row r="5507" spans="1:5" x14ac:dyDescent="0.25">
      <c r="B5507" s="114" t="s">
        <v>3313</v>
      </c>
      <c r="D5507" s="114" t="s">
        <v>9045</v>
      </c>
      <c r="E5507" s="114" t="s">
        <v>9046</v>
      </c>
    </row>
    <row r="5508" spans="1:5" x14ac:dyDescent="0.25">
      <c r="B5508" s="114" t="s">
        <v>3314</v>
      </c>
      <c r="D5508" s="114" t="s">
        <v>9047</v>
      </c>
      <c r="E5508" s="114" t="s">
        <v>9048</v>
      </c>
    </row>
    <row r="5509" spans="1:5" x14ac:dyDescent="0.25">
      <c r="A5509" s="114">
        <v>-2</v>
      </c>
      <c r="B5509" s="114" t="s">
        <v>3315</v>
      </c>
      <c r="D5509" s="114" t="s">
        <v>9049</v>
      </c>
      <c r="E5509" s="114" t="s">
        <v>9050</v>
      </c>
    </row>
    <row r="5510" spans="1:5" x14ac:dyDescent="0.25">
      <c r="A5510" s="114" t="s">
        <v>1072</v>
      </c>
      <c r="B5510" s="114" t="s">
        <v>1311</v>
      </c>
      <c r="D5510" s="114" t="s">
        <v>9051</v>
      </c>
      <c r="E5510" s="114" t="s">
        <v>9052</v>
      </c>
    </row>
    <row r="5511" spans="1:5" x14ac:dyDescent="0.25">
      <c r="B5511" s="114" t="s">
        <v>3316</v>
      </c>
      <c r="D5511" s="114" t="s">
        <v>9053</v>
      </c>
      <c r="E5511" s="114" t="s">
        <v>9054</v>
      </c>
    </row>
    <row r="5512" spans="1:5" x14ac:dyDescent="0.25">
      <c r="A5512" s="114">
        <v>-1</v>
      </c>
      <c r="B5512" s="114" t="s">
        <v>1192</v>
      </c>
      <c r="D5512" s="114" t="s">
        <v>9055</v>
      </c>
      <c r="E5512" s="114" t="s">
        <v>9056</v>
      </c>
    </row>
    <row r="5513" spans="1:5" x14ac:dyDescent="0.25">
      <c r="B5513" s="114" t="s">
        <v>3317</v>
      </c>
      <c r="D5513" s="114" t="s">
        <v>9057</v>
      </c>
      <c r="E5513" s="114" t="s">
        <v>9058</v>
      </c>
    </row>
    <row r="5514" spans="1:5" x14ac:dyDescent="0.25">
      <c r="B5514" s="114" t="s">
        <v>3318</v>
      </c>
      <c r="D5514" s="114" t="s">
        <v>9059</v>
      </c>
      <c r="E5514" s="114" t="s">
        <v>9060</v>
      </c>
    </row>
    <row r="5515" spans="1:5" x14ac:dyDescent="0.25">
      <c r="A5515" s="114" t="s">
        <v>1072</v>
      </c>
      <c r="B5515" s="114" t="s">
        <v>3319</v>
      </c>
      <c r="C5515" s="114" t="s">
        <v>1072</v>
      </c>
      <c r="D5515" s="114" t="s">
        <v>9061</v>
      </c>
      <c r="E5515" s="114" t="s">
        <v>9062</v>
      </c>
    </row>
    <row r="5516" spans="1:5" x14ac:dyDescent="0.25">
      <c r="A5516" s="114">
        <v>-1</v>
      </c>
      <c r="B5516" s="114" t="s">
        <v>1299</v>
      </c>
      <c r="C5516" s="114" t="s">
        <v>1072</v>
      </c>
      <c r="D5516" s="114" t="s">
        <v>9063</v>
      </c>
      <c r="E5516" s="114" t="s">
        <v>3993</v>
      </c>
    </row>
    <row r="5517" spans="1:5" x14ac:dyDescent="0.25">
      <c r="A5517" s="114">
        <v>2</v>
      </c>
      <c r="B5517" s="114" t="s">
        <v>3320</v>
      </c>
      <c r="D5517" s="114" t="s">
        <v>9064</v>
      </c>
      <c r="E5517" s="114" t="s">
        <v>3992</v>
      </c>
    </row>
    <row r="5518" spans="1:5" x14ac:dyDescent="0.25">
      <c r="A5518" s="114">
        <v>-6</v>
      </c>
      <c r="B5518" s="114" t="s">
        <v>3321</v>
      </c>
      <c r="D5518" s="114" t="s">
        <v>9065</v>
      </c>
      <c r="E5518" s="114" t="s">
        <v>9066</v>
      </c>
    </row>
    <row r="5519" spans="1:5" x14ac:dyDescent="0.25">
      <c r="A5519" s="114">
        <v>-1</v>
      </c>
      <c r="B5519" s="114" t="s">
        <v>1910</v>
      </c>
      <c r="C5519" s="114" t="s">
        <v>1072</v>
      </c>
      <c r="D5519" s="114" t="s">
        <v>9067</v>
      </c>
      <c r="E5519" s="114" t="s">
        <v>9068</v>
      </c>
    </row>
    <row r="5520" spans="1:5" x14ac:dyDescent="0.25">
      <c r="A5520" s="114">
        <v>1</v>
      </c>
      <c r="B5520" s="114" t="s">
        <v>3322</v>
      </c>
      <c r="D5520" s="114" t="s">
        <v>9069</v>
      </c>
      <c r="E5520" s="114" t="s">
        <v>9070</v>
      </c>
    </row>
    <row r="5521" spans="1:5" x14ac:dyDescent="0.25">
      <c r="B5521" s="114" t="s">
        <v>1073</v>
      </c>
      <c r="D5521" s="114" t="s">
        <v>1073</v>
      </c>
      <c r="E5521" s="114" t="s">
        <v>9071</v>
      </c>
    </row>
    <row r="5522" spans="1:5" x14ac:dyDescent="0.25">
      <c r="B5522" s="114" t="s">
        <v>3323</v>
      </c>
      <c r="D5522" s="114" t="s">
        <v>7536</v>
      </c>
      <c r="E5522" s="114" t="s">
        <v>9072</v>
      </c>
    </row>
    <row r="5523" spans="1:5" x14ac:dyDescent="0.25">
      <c r="B5523" s="114" t="s">
        <v>1073</v>
      </c>
      <c r="D5523" s="114" t="s">
        <v>9073</v>
      </c>
      <c r="E5523" s="114" t="s">
        <v>4118</v>
      </c>
    </row>
    <row r="5524" spans="1:5" x14ac:dyDescent="0.25">
      <c r="B5524" s="114" t="s">
        <v>1073</v>
      </c>
      <c r="D5524" s="114" t="s">
        <v>1073</v>
      </c>
      <c r="E5524" s="114" t="s">
        <v>3993</v>
      </c>
    </row>
    <row r="5525" spans="1:5" x14ac:dyDescent="0.25">
      <c r="A5525" s="114" t="s">
        <v>1072</v>
      </c>
      <c r="B5525" s="114" t="s">
        <v>1291</v>
      </c>
      <c r="D5525" s="114" t="s">
        <v>1073</v>
      </c>
      <c r="E5525" s="114" t="s">
        <v>9074</v>
      </c>
    </row>
    <row r="5526" spans="1:5" x14ac:dyDescent="0.25">
      <c r="A5526" s="114">
        <v>-2</v>
      </c>
      <c r="B5526" s="114" t="s">
        <v>3324</v>
      </c>
      <c r="D5526" s="114" t="s">
        <v>9075</v>
      </c>
      <c r="E5526" s="114" t="s">
        <v>9076</v>
      </c>
    </row>
    <row r="5527" spans="1:5" x14ac:dyDescent="0.25">
      <c r="A5527" s="114">
        <v>-40</v>
      </c>
      <c r="B5527" s="114" t="s">
        <v>3325</v>
      </c>
      <c r="D5527" s="114" t="s">
        <v>9077</v>
      </c>
      <c r="E5527" s="114" t="s">
        <v>9078</v>
      </c>
    </row>
    <row r="5528" spans="1:5" x14ac:dyDescent="0.25">
      <c r="A5528" s="114" t="s">
        <v>1072</v>
      </c>
      <c r="B5528" s="114" t="s">
        <v>3326</v>
      </c>
      <c r="D5528" s="114" t="s">
        <v>9079</v>
      </c>
      <c r="E5528" s="114" t="s">
        <v>9080</v>
      </c>
    </row>
    <row r="5529" spans="1:5" x14ac:dyDescent="0.25">
      <c r="A5529" s="114" t="s">
        <v>1072</v>
      </c>
      <c r="B5529" s="114" t="s">
        <v>3327</v>
      </c>
      <c r="D5529" s="114">
        <f>-893   -532   -12</f>
        <v>-1437</v>
      </c>
      <c r="E5529" s="114" t="s">
        <v>9081</v>
      </c>
    </row>
    <row r="5530" spans="1:5" x14ac:dyDescent="0.25">
      <c r="A5530" s="114">
        <v>-1</v>
      </c>
      <c r="B5530" s="114" t="s">
        <v>3328</v>
      </c>
      <c r="D5530" s="114" t="s">
        <v>9082</v>
      </c>
      <c r="E5530" s="114" t="s">
        <v>9083</v>
      </c>
    </row>
    <row r="5531" spans="1:5" x14ac:dyDescent="0.25">
      <c r="A5531" s="114">
        <v>1</v>
      </c>
      <c r="B5531" s="114" t="s">
        <v>3329</v>
      </c>
      <c r="D5531" s="114" t="s">
        <v>9084</v>
      </c>
      <c r="E5531" s="114" t="s">
        <v>9085</v>
      </c>
    </row>
    <row r="5532" spans="1:5" x14ac:dyDescent="0.25">
      <c r="A5532" s="114">
        <v>34</v>
      </c>
      <c r="B5532" s="114" t="s">
        <v>3330</v>
      </c>
      <c r="C5532" s="114">
        <v>-3</v>
      </c>
      <c r="D5532" s="114" t="s">
        <v>9086</v>
      </c>
      <c r="E5532" s="114" t="s">
        <v>9087</v>
      </c>
    </row>
    <row r="5533" spans="1:5" x14ac:dyDescent="0.25">
      <c r="B5533" s="114" t="s">
        <v>1073</v>
      </c>
      <c r="D5533" s="114" t="s">
        <v>9088</v>
      </c>
      <c r="E5533" s="114" t="s">
        <v>4077</v>
      </c>
    </row>
    <row r="5534" spans="1:5" x14ac:dyDescent="0.25">
      <c r="B5534" s="114" t="s">
        <v>1073</v>
      </c>
      <c r="D5534" s="114" t="s">
        <v>9089</v>
      </c>
      <c r="E5534" s="114" t="s">
        <v>9090</v>
      </c>
    </row>
    <row r="5535" spans="1:5" x14ac:dyDescent="0.25">
      <c r="B5535" s="114" t="s">
        <v>3331</v>
      </c>
      <c r="D5535" s="114" t="s">
        <v>9091</v>
      </c>
      <c r="E5535" s="114" t="s">
        <v>9092</v>
      </c>
    </row>
    <row r="5536" spans="1:5" x14ac:dyDescent="0.25">
      <c r="A5536" s="114" t="s">
        <v>1072</v>
      </c>
      <c r="B5536" s="114" t="s">
        <v>1380</v>
      </c>
      <c r="D5536" s="114" t="s">
        <v>1073</v>
      </c>
      <c r="E5536" s="114" t="s">
        <v>9093</v>
      </c>
    </row>
    <row r="5537" spans="1:5" x14ac:dyDescent="0.25">
      <c r="B5537" s="114" t="s">
        <v>1073</v>
      </c>
      <c r="D5537" s="114" t="s">
        <v>9094</v>
      </c>
      <c r="E5537" s="114" t="s">
        <v>9095</v>
      </c>
    </row>
    <row r="5538" spans="1:5" x14ac:dyDescent="0.25">
      <c r="B5538" s="114" t="s">
        <v>1073</v>
      </c>
      <c r="D5538" s="114">
        <f>-937   -601   -25</f>
        <v>-1563</v>
      </c>
      <c r="E5538" s="114" t="s">
        <v>9096</v>
      </c>
    </row>
    <row r="5539" spans="1:5" x14ac:dyDescent="0.25">
      <c r="B5539" s="114" t="s">
        <v>3332</v>
      </c>
      <c r="D5539" s="114">
        <f>-21   -296   -78</f>
        <v>-395</v>
      </c>
      <c r="E5539" s="114" t="s">
        <v>9097</v>
      </c>
    </row>
    <row r="5540" spans="1:5" x14ac:dyDescent="0.25">
      <c r="B5540" s="114" t="s">
        <v>1471</v>
      </c>
      <c r="D5540" s="114" t="s">
        <v>9098</v>
      </c>
      <c r="E5540" s="114" t="s">
        <v>9099</v>
      </c>
    </row>
    <row r="5541" spans="1:5" x14ac:dyDescent="0.25">
      <c r="A5541" s="114">
        <v>1</v>
      </c>
      <c r="B5541" s="114" t="s">
        <v>3333</v>
      </c>
      <c r="D5541" s="114">
        <f>-224   -134    -6</f>
        <v>-364</v>
      </c>
      <c r="E5541" s="114" t="s">
        <v>9100</v>
      </c>
    </row>
    <row r="5542" spans="1:5" x14ac:dyDescent="0.25">
      <c r="B5542" s="114">
        <f>-33   -328</f>
        <v>-361</v>
      </c>
      <c r="D5542" s="114" t="s">
        <v>9101</v>
      </c>
      <c r="E5542" s="114" t="s">
        <v>9102</v>
      </c>
    </row>
    <row r="5543" spans="1:5" x14ac:dyDescent="0.25">
      <c r="B5543" s="114" t="s">
        <v>3334</v>
      </c>
      <c r="D5543" s="114" t="s">
        <v>9103</v>
      </c>
      <c r="E5543" s="114" t="s">
        <v>9104</v>
      </c>
    </row>
    <row r="5544" spans="1:5" x14ac:dyDescent="0.25">
      <c r="B5544" s="114" t="s">
        <v>3335</v>
      </c>
      <c r="D5544" s="114" t="s">
        <v>9105</v>
      </c>
      <c r="E5544" s="114" t="s">
        <v>9106</v>
      </c>
    </row>
    <row r="5545" spans="1:5" x14ac:dyDescent="0.25">
      <c r="B5545" s="114" t="s">
        <v>1073</v>
      </c>
      <c r="D5545" s="114" t="s">
        <v>9107</v>
      </c>
      <c r="E5545" s="114" t="s">
        <v>9108</v>
      </c>
    </row>
    <row r="5546" spans="1:5" x14ac:dyDescent="0.25">
      <c r="B5546" s="114" t="s">
        <v>3336</v>
      </c>
      <c r="D5546" s="114" t="s">
        <v>9109</v>
      </c>
      <c r="E5546" s="114" t="s">
        <v>9110</v>
      </c>
    </row>
    <row r="5547" spans="1:5" x14ac:dyDescent="0.25">
      <c r="A5547" s="114">
        <v>1</v>
      </c>
      <c r="B5547" s="114" t="s">
        <v>3337</v>
      </c>
      <c r="D5547" s="114">
        <f>-207  -1202   -81</f>
        <v>-1490</v>
      </c>
      <c r="E5547" s="114" t="s">
        <v>9111</v>
      </c>
    </row>
    <row r="5548" spans="1:5" x14ac:dyDescent="0.25">
      <c r="B5548" s="114" t="s">
        <v>3338</v>
      </c>
      <c r="D5548" s="114" t="s">
        <v>9112</v>
      </c>
      <c r="E5548" s="114" t="s">
        <v>3993</v>
      </c>
    </row>
    <row r="5549" spans="1:5" x14ac:dyDescent="0.25">
      <c r="B5549" s="114" t="s">
        <v>3339</v>
      </c>
      <c r="D5549" s="114" t="s">
        <v>9113</v>
      </c>
      <c r="E5549" s="114" t="s">
        <v>9114</v>
      </c>
    </row>
    <row r="5550" spans="1:5" x14ac:dyDescent="0.25">
      <c r="B5550" s="114" t="s">
        <v>3340</v>
      </c>
      <c r="C5550" s="114" t="s">
        <v>1072</v>
      </c>
      <c r="D5550" s="114" t="s">
        <v>9115</v>
      </c>
      <c r="E5550" s="114" t="s">
        <v>9116</v>
      </c>
    </row>
    <row r="5551" spans="1:5" x14ac:dyDescent="0.25">
      <c r="B5551" s="114" t="s">
        <v>3341</v>
      </c>
      <c r="D5551" s="114" t="s">
        <v>9117</v>
      </c>
      <c r="E5551" s="114" t="s">
        <v>9118</v>
      </c>
    </row>
    <row r="5552" spans="1:5" x14ac:dyDescent="0.25">
      <c r="B5552" s="114" t="s">
        <v>3342</v>
      </c>
      <c r="D5552" s="114" t="s">
        <v>9119</v>
      </c>
      <c r="E5552" s="114" t="s">
        <v>9120</v>
      </c>
    </row>
    <row r="5553" spans="1:5" x14ac:dyDescent="0.25">
      <c r="B5553" s="114" t="s">
        <v>1073</v>
      </c>
      <c r="D5553" s="114" t="s">
        <v>1073</v>
      </c>
      <c r="E5553" s="114" t="s">
        <v>9121</v>
      </c>
    </row>
    <row r="5554" spans="1:5" x14ac:dyDescent="0.25">
      <c r="A5554" s="114" t="s">
        <v>1072</v>
      </c>
      <c r="B5554" s="114" t="s">
        <v>3343</v>
      </c>
      <c r="D5554" s="114" t="s">
        <v>9122</v>
      </c>
      <c r="E5554" s="114" t="s">
        <v>9123</v>
      </c>
    </row>
    <row r="5555" spans="1:5" x14ac:dyDescent="0.25">
      <c r="B5555" s="114" t="s">
        <v>1073</v>
      </c>
      <c r="D5555" s="114" t="s">
        <v>9124</v>
      </c>
      <c r="E5555" s="114" t="s">
        <v>9125</v>
      </c>
    </row>
    <row r="5556" spans="1:5" x14ac:dyDescent="0.25">
      <c r="B5556" s="114" t="s">
        <v>1073</v>
      </c>
      <c r="D5556" s="114" t="s">
        <v>1073</v>
      </c>
      <c r="E5556" s="114" t="s">
        <v>3993</v>
      </c>
    </row>
    <row r="5557" spans="1:5" x14ac:dyDescent="0.25">
      <c r="B5557" s="114" t="s">
        <v>1866</v>
      </c>
      <c r="D5557" s="114" t="s">
        <v>1073</v>
      </c>
      <c r="E5557" s="114" t="s">
        <v>9126</v>
      </c>
    </row>
    <row r="5558" spans="1:5" x14ac:dyDescent="0.25">
      <c r="A5558" s="114">
        <v>-2</v>
      </c>
      <c r="B5558" s="114" t="s">
        <v>3344</v>
      </c>
      <c r="C5558" s="114" t="s">
        <v>1072</v>
      </c>
      <c r="D5558" s="114" t="s">
        <v>9127</v>
      </c>
      <c r="E5558" s="114" t="s">
        <v>9128</v>
      </c>
    </row>
    <row r="5559" spans="1:5" x14ac:dyDescent="0.25">
      <c r="A5559" s="114">
        <v>-3</v>
      </c>
      <c r="B5559" s="114" t="s">
        <v>3345</v>
      </c>
      <c r="D5559" s="114" t="s">
        <v>9129</v>
      </c>
      <c r="E5559" s="114" t="s">
        <v>9130</v>
      </c>
    </row>
    <row r="5560" spans="1:5" x14ac:dyDescent="0.25">
      <c r="A5560" s="114">
        <v>-2</v>
      </c>
      <c r="B5560" s="114" t="s">
        <v>3346</v>
      </c>
      <c r="C5560" s="114" t="s">
        <v>1072</v>
      </c>
      <c r="D5560" s="114" t="s">
        <v>9131</v>
      </c>
      <c r="E5560" s="114" t="s">
        <v>9132</v>
      </c>
    </row>
    <row r="5561" spans="1:5" x14ac:dyDescent="0.25">
      <c r="A5561" s="114">
        <v>-1</v>
      </c>
      <c r="B5561" s="114" t="s">
        <v>3347</v>
      </c>
      <c r="C5561" s="114" t="s">
        <v>1072</v>
      </c>
      <c r="D5561" s="114" t="s">
        <v>9133</v>
      </c>
      <c r="E5561" s="114" t="s">
        <v>9134</v>
      </c>
    </row>
    <row r="5562" spans="1:5" x14ac:dyDescent="0.25">
      <c r="A5562" s="114" t="s">
        <v>1072</v>
      </c>
      <c r="B5562" s="114" t="s">
        <v>3348</v>
      </c>
      <c r="C5562" s="114" t="s">
        <v>1072</v>
      </c>
      <c r="D5562" s="114" t="s">
        <v>9135</v>
      </c>
      <c r="E5562" s="114" t="s">
        <v>9136</v>
      </c>
    </row>
    <row r="5563" spans="1:5" x14ac:dyDescent="0.25">
      <c r="B5563" s="114" t="s">
        <v>3349</v>
      </c>
      <c r="D5563" s="114" t="s">
        <v>9137</v>
      </c>
      <c r="E5563" s="114" t="s">
        <v>9138</v>
      </c>
    </row>
    <row r="5564" spans="1:5" x14ac:dyDescent="0.25">
      <c r="A5564" s="114">
        <v>33</v>
      </c>
      <c r="B5564" s="114" t="s">
        <v>3350</v>
      </c>
      <c r="C5564" s="114">
        <v>3</v>
      </c>
      <c r="D5564" s="114" t="s">
        <v>9139</v>
      </c>
      <c r="E5564" s="114" t="s">
        <v>9140</v>
      </c>
    </row>
    <row r="5565" spans="1:5" x14ac:dyDescent="0.25">
      <c r="B5565" s="114" t="s">
        <v>1165</v>
      </c>
      <c r="D5565" s="114" t="s">
        <v>1073</v>
      </c>
      <c r="E5565" s="114" t="s">
        <v>9141</v>
      </c>
    </row>
    <row r="5566" spans="1:5" x14ac:dyDescent="0.25">
      <c r="B5566" s="114" t="s">
        <v>1073</v>
      </c>
      <c r="D5566" s="114" t="s">
        <v>1073</v>
      </c>
      <c r="E5566" s="114" t="s">
        <v>9142</v>
      </c>
    </row>
    <row r="5567" spans="1:5" x14ac:dyDescent="0.25">
      <c r="A5567" s="114">
        <v>-39</v>
      </c>
      <c r="B5567" s="114" t="s">
        <v>1453</v>
      </c>
      <c r="D5567" s="114" t="s">
        <v>9143</v>
      </c>
      <c r="E5567" s="114" t="s">
        <v>9144</v>
      </c>
    </row>
    <row r="5568" spans="1:5" x14ac:dyDescent="0.25">
      <c r="B5568" s="114" t="s">
        <v>1073</v>
      </c>
      <c r="D5568" s="114" t="s">
        <v>7549</v>
      </c>
      <c r="E5568" s="114" t="s">
        <v>4102</v>
      </c>
    </row>
    <row r="5569" spans="1:5" x14ac:dyDescent="0.25">
      <c r="B5569" s="114" t="s">
        <v>1073</v>
      </c>
      <c r="D5569" s="114" t="s">
        <v>1073</v>
      </c>
      <c r="E5569" s="114" t="s">
        <v>9145</v>
      </c>
    </row>
    <row r="5570" spans="1:5" x14ac:dyDescent="0.25">
      <c r="B5570" s="114" t="s">
        <v>1073</v>
      </c>
      <c r="D5570" s="114" t="s">
        <v>8200</v>
      </c>
      <c r="E5570" s="114" t="s">
        <v>9146</v>
      </c>
    </row>
    <row r="5571" spans="1:5" x14ac:dyDescent="0.25">
      <c r="A5571" s="114" t="s">
        <v>1072</v>
      </c>
      <c r="B5571" s="114" t="s">
        <v>3351</v>
      </c>
      <c r="D5571" s="114" t="s">
        <v>9147</v>
      </c>
      <c r="E5571" s="114" t="s">
        <v>9148</v>
      </c>
    </row>
    <row r="5572" spans="1:5" x14ac:dyDescent="0.25">
      <c r="B5572" s="114" t="s">
        <v>1073</v>
      </c>
      <c r="D5572" s="114" t="s">
        <v>9149</v>
      </c>
      <c r="E5572" s="114" t="s">
        <v>9150</v>
      </c>
    </row>
    <row r="5573" spans="1:5" x14ac:dyDescent="0.25">
      <c r="B5573" s="114" t="s">
        <v>3352</v>
      </c>
      <c r="D5573" s="114" t="s">
        <v>9151</v>
      </c>
      <c r="E5573" s="114" t="s">
        <v>9152</v>
      </c>
    </row>
    <row r="5574" spans="1:5" x14ac:dyDescent="0.25">
      <c r="B5574" s="114" t="s">
        <v>1073</v>
      </c>
      <c r="C5574" s="114" t="s">
        <v>1072</v>
      </c>
      <c r="D5574" s="114" t="s">
        <v>9153</v>
      </c>
      <c r="E5574" s="114" t="s">
        <v>9154</v>
      </c>
    </row>
    <row r="5575" spans="1:5" x14ac:dyDescent="0.25">
      <c r="B5575" s="114" t="s">
        <v>1073</v>
      </c>
      <c r="D5575" s="114" t="s">
        <v>9155</v>
      </c>
      <c r="E5575" s="114" t="s">
        <v>9156</v>
      </c>
    </row>
    <row r="5576" spans="1:5" x14ac:dyDescent="0.25">
      <c r="B5576" s="114" t="s">
        <v>3353</v>
      </c>
      <c r="D5576" s="114" t="s">
        <v>9157</v>
      </c>
      <c r="E5576" s="114" t="s">
        <v>9158</v>
      </c>
    </row>
    <row r="5577" spans="1:5" x14ac:dyDescent="0.25">
      <c r="B5577" s="114" t="s">
        <v>1958</v>
      </c>
      <c r="D5577" s="114" t="s">
        <v>9159</v>
      </c>
      <c r="E5577" s="114" t="s">
        <v>9160</v>
      </c>
    </row>
    <row r="5578" spans="1:5" x14ac:dyDescent="0.25">
      <c r="B5578" s="114" t="s">
        <v>1073</v>
      </c>
      <c r="D5578" s="114" t="s">
        <v>9161</v>
      </c>
      <c r="E5578" s="114" t="s">
        <v>9162</v>
      </c>
    </row>
    <row r="5579" spans="1:5" x14ac:dyDescent="0.25">
      <c r="B5579" s="114" t="s">
        <v>1073</v>
      </c>
      <c r="D5579" s="114" t="s">
        <v>9163</v>
      </c>
      <c r="E5579" s="114" t="s">
        <v>9164</v>
      </c>
    </row>
    <row r="5580" spans="1:5" x14ac:dyDescent="0.25">
      <c r="B5580" s="114" t="s">
        <v>2484</v>
      </c>
      <c r="D5580" s="114" t="s">
        <v>9165</v>
      </c>
      <c r="E5580" s="114" t="s">
        <v>9166</v>
      </c>
    </row>
    <row r="5581" spans="1:5" x14ac:dyDescent="0.25">
      <c r="B5581" s="114" t="s">
        <v>1073</v>
      </c>
      <c r="D5581" s="114" t="s">
        <v>9167</v>
      </c>
      <c r="E5581" s="114" t="s">
        <v>9168</v>
      </c>
    </row>
    <row r="5582" spans="1:5" x14ac:dyDescent="0.25">
      <c r="B5582" s="114" t="s">
        <v>1073</v>
      </c>
      <c r="D5582" s="114" t="s">
        <v>9169</v>
      </c>
      <c r="E5582" s="114" t="s">
        <v>9170</v>
      </c>
    </row>
    <row r="5583" spans="1:5" x14ac:dyDescent="0.25">
      <c r="B5583" s="114" t="s">
        <v>1073</v>
      </c>
      <c r="D5583" s="114" t="s">
        <v>9171</v>
      </c>
      <c r="E5583" s="114" t="s">
        <v>9172</v>
      </c>
    </row>
    <row r="5584" spans="1:5" x14ac:dyDescent="0.25">
      <c r="B5584" s="114" t="s">
        <v>1073</v>
      </c>
      <c r="D5584" s="114" t="s">
        <v>9173</v>
      </c>
      <c r="E5584" s="114" t="s">
        <v>9174</v>
      </c>
    </row>
    <row r="5585" spans="1:5" x14ac:dyDescent="0.25">
      <c r="A5585" s="114" t="s">
        <v>1072</v>
      </c>
      <c r="B5585" s="114" t="s">
        <v>3354</v>
      </c>
      <c r="D5585" s="114" t="s">
        <v>1073</v>
      </c>
      <c r="E5585" s="114" t="s">
        <v>9175</v>
      </c>
    </row>
    <row r="5586" spans="1:5" x14ac:dyDescent="0.25">
      <c r="B5586" s="114" t="s">
        <v>3355</v>
      </c>
      <c r="D5586" s="114" t="s">
        <v>9176</v>
      </c>
      <c r="E5586" s="114" t="s">
        <v>9177</v>
      </c>
    </row>
    <row r="5587" spans="1:5" x14ac:dyDescent="0.25">
      <c r="B5587" s="114" t="s">
        <v>1175</v>
      </c>
      <c r="D5587" s="114" t="s">
        <v>1073</v>
      </c>
      <c r="E5587" s="114" t="s">
        <v>9178</v>
      </c>
    </row>
    <row r="5588" spans="1:5" x14ac:dyDescent="0.25">
      <c r="B5588" s="114" t="s">
        <v>1073</v>
      </c>
      <c r="D5588" s="114" t="s">
        <v>1073</v>
      </c>
      <c r="E5588" s="114" t="s">
        <v>3993</v>
      </c>
    </row>
    <row r="5589" spans="1:5" x14ac:dyDescent="0.25">
      <c r="B5589" s="114" t="s">
        <v>1073</v>
      </c>
      <c r="D5589" s="114" t="s">
        <v>9179</v>
      </c>
      <c r="E5589" s="114" t="s">
        <v>9180</v>
      </c>
    </row>
    <row r="5590" spans="1:5" x14ac:dyDescent="0.25">
      <c r="B5590" s="114" t="s">
        <v>3356</v>
      </c>
      <c r="C5590" s="114" t="s">
        <v>1072</v>
      </c>
      <c r="D5590" s="114" t="s">
        <v>9181</v>
      </c>
      <c r="E5590" s="114" t="s">
        <v>9182</v>
      </c>
    </row>
    <row r="5591" spans="1:5" x14ac:dyDescent="0.25">
      <c r="A5591" s="114">
        <v>7</v>
      </c>
      <c r="B5591" s="114" t="s">
        <v>3357</v>
      </c>
      <c r="D5591" s="114" t="s">
        <v>9183</v>
      </c>
      <c r="E5591" s="114" t="s">
        <v>9184</v>
      </c>
    </row>
    <row r="5592" spans="1:5" x14ac:dyDescent="0.25">
      <c r="A5592" s="114">
        <v>-2</v>
      </c>
      <c r="B5592" s="114" t="s">
        <v>3358</v>
      </c>
      <c r="D5592" s="114" t="s">
        <v>9185</v>
      </c>
      <c r="E5592" s="114" t="s">
        <v>9186</v>
      </c>
    </row>
    <row r="5593" spans="1:5" x14ac:dyDescent="0.25">
      <c r="B5593" s="114" t="s">
        <v>3359</v>
      </c>
      <c r="D5593" s="114" t="s">
        <v>9187</v>
      </c>
      <c r="E5593" s="114" t="s">
        <v>9188</v>
      </c>
    </row>
    <row r="5594" spans="1:5" x14ac:dyDescent="0.25">
      <c r="A5594" s="114" t="s">
        <v>1072</v>
      </c>
      <c r="B5594" s="114" t="s">
        <v>3360</v>
      </c>
      <c r="D5594" s="114">
        <f>-789   -697    -5</f>
        <v>-1491</v>
      </c>
      <c r="E5594" s="114" t="s">
        <v>9189</v>
      </c>
    </row>
    <row r="5595" spans="1:5" x14ac:dyDescent="0.25">
      <c r="B5595" s="114" t="s">
        <v>3361</v>
      </c>
      <c r="D5595" s="114" t="s">
        <v>9190</v>
      </c>
      <c r="E5595" s="114" t="s">
        <v>9191</v>
      </c>
    </row>
    <row r="5596" spans="1:5" x14ac:dyDescent="0.25">
      <c r="A5596" s="114">
        <v>37</v>
      </c>
      <c r="B5596" s="114" t="s">
        <v>3362</v>
      </c>
      <c r="C5596" s="114">
        <v>3</v>
      </c>
      <c r="D5596" s="114" t="s">
        <v>9192</v>
      </c>
      <c r="E5596" s="114" t="s">
        <v>9193</v>
      </c>
    </row>
    <row r="5597" spans="1:5" x14ac:dyDescent="0.25">
      <c r="B5597" s="114" t="s">
        <v>1073</v>
      </c>
      <c r="D5597" s="114" t="s">
        <v>9194</v>
      </c>
      <c r="E5597" s="114" t="s">
        <v>9195</v>
      </c>
    </row>
    <row r="5598" spans="1:5" x14ac:dyDescent="0.25">
      <c r="B5598" s="114" t="s">
        <v>1073</v>
      </c>
      <c r="D5598" s="114" t="s">
        <v>1073</v>
      </c>
      <c r="E5598" s="114" t="s">
        <v>9196</v>
      </c>
    </row>
    <row r="5599" spans="1:5" x14ac:dyDescent="0.25">
      <c r="B5599" s="114" t="s">
        <v>1073</v>
      </c>
      <c r="D5599" s="114" t="s">
        <v>9197</v>
      </c>
      <c r="E5599" s="114" t="s">
        <v>9198</v>
      </c>
    </row>
    <row r="5600" spans="1:5" x14ac:dyDescent="0.25">
      <c r="B5600" s="114" t="s">
        <v>1408</v>
      </c>
      <c r="D5600" s="114" t="s">
        <v>1073</v>
      </c>
      <c r="E5600" s="114" t="s">
        <v>6857</v>
      </c>
    </row>
    <row r="5601" spans="1:5" x14ac:dyDescent="0.25">
      <c r="B5601" s="114" t="s">
        <v>1566</v>
      </c>
      <c r="D5601" s="114" t="s">
        <v>1073</v>
      </c>
      <c r="E5601" s="114" t="s">
        <v>9199</v>
      </c>
    </row>
    <row r="5602" spans="1:5" x14ac:dyDescent="0.25">
      <c r="A5602" s="114">
        <v>-57</v>
      </c>
      <c r="B5602" s="114" t="s">
        <v>1367</v>
      </c>
      <c r="D5602" s="114" t="s">
        <v>9200</v>
      </c>
      <c r="E5602" s="114" t="s">
        <v>9201</v>
      </c>
    </row>
    <row r="5603" spans="1:5" x14ac:dyDescent="0.25">
      <c r="B5603" s="114" t="s">
        <v>1073</v>
      </c>
      <c r="C5603" s="114" t="s">
        <v>1072</v>
      </c>
      <c r="D5603" s="114" t="s">
        <v>9202</v>
      </c>
      <c r="E5603" s="114" t="s">
        <v>9203</v>
      </c>
    </row>
    <row r="5604" spans="1:5" x14ac:dyDescent="0.25">
      <c r="B5604" s="114">
        <f>-66  -1083</f>
        <v>-1149</v>
      </c>
      <c r="D5604" s="114" t="s">
        <v>1073</v>
      </c>
      <c r="E5604" s="114" t="s">
        <v>9204</v>
      </c>
    </row>
    <row r="5605" spans="1:5" x14ac:dyDescent="0.25">
      <c r="A5605" s="114">
        <v>-51</v>
      </c>
      <c r="B5605" s="114" t="s">
        <v>3363</v>
      </c>
      <c r="D5605" s="114">
        <f>-256    -58</f>
        <v>-314</v>
      </c>
      <c r="E5605" s="114" t="s">
        <v>9205</v>
      </c>
    </row>
    <row r="5606" spans="1:5" x14ac:dyDescent="0.25">
      <c r="B5606" s="114">
        <f>-10   -774</f>
        <v>-784</v>
      </c>
      <c r="D5606" s="114" t="s">
        <v>9206</v>
      </c>
      <c r="E5606" s="114" t="s">
        <v>9207</v>
      </c>
    </row>
    <row r="5607" spans="1:5" x14ac:dyDescent="0.25">
      <c r="A5607" s="114" t="s">
        <v>1072</v>
      </c>
      <c r="B5607" s="114" t="s">
        <v>3364</v>
      </c>
      <c r="D5607" s="114" t="s">
        <v>1073</v>
      </c>
      <c r="E5607" s="114" t="s">
        <v>9208</v>
      </c>
    </row>
    <row r="5608" spans="1:5" x14ac:dyDescent="0.25">
      <c r="A5608" s="114">
        <v>-54</v>
      </c>
      <c r="B5608" s="114" t="s">
        <v>3365</v>
      </c>
      <c r="D5608" s="114" t="s">
        <v>9209</v>
      </c>
      <c r="E5608" s="114" t="s">
        <v>9210</v>
      </c>
    </row>
    <row r="5609" spans="1:5" x14ac:dyDescent="0.25">
      <c r="B5609" s="114" t="s">
        <v>3366</v>
      </c>
      <c r="D5609" s="114" t="s">
        <v>9211</v>
      </c>
      <c r="E5609" s="114" t="s">
        <v>9212</v>
      </c>
    </row>
    <row r="5610" spans="1:5" x14ac:dyDescent="0.25">
      <c r="A5610" s="114">
        <v>3</v>
      </c>
      <c r="B5610" s="114" t="s">
        <v>3367</v>
      </c>
      <c r="D5610" s="114" t="s">
        <v>1073</v>
      </c>
      <c r="E5610" s="114" t="s">
        <v>9213</v>
      </c>
    </row>
    <row r="5611" spans="1:5" x14ac:dyDescent="0.25">
      <c r="A5611" s="114">
        <v>-50</v>
      </c>
      <c r="B5611" s="114" t="s">
        <v>3368</v>
      </c>
      <c r="D5611" s="114" t="s">
        <v>1073</v>
      </c>
      <c r="E5611" s="114" t="s">
        <v>9214</v>
      </c>
    </row>
    <row r="5612" spans="1:5" x14ac:dyDescent="0.25">
      <c r="B5612" s="114" t="s">
        <v>3369</v>
      </c>
      <c r="D5612" s="114" t="s">
        <v>5231</v>
      </c>
      <c r="E5612" s="114" t="s">
        <v>9215</v>
      </c>
    </row>
    <row r="5613" spans="1:5" x14ac:dyDescent="0.25">
      <c r="B5613" s="114" t="s">
        <v>1073</v>
      </c>
      <c r="D5613" s="114" t="s">
        <v>1073</v>
      </c>
      <c r="E5613" s="114" t="s">
        <v>9216</v>
      </c>
    </row>
    <row r="5614" spans="1:5" x14ac:dyDescent="0.25">
      <c r="A5614" s="114">
        <v>-54</v>
      </c>
      <c r="B5614" s="114" t="s">
        <v>1478</v>
      </c>
      <c r="D5614" s="114" t="s">
        <v>1073</v>
      </c>
      <c r="E5614" s="114" t="s">
        <v>9217</v>
      </c>
    </row>
    <row r="5615" spans="1:5" x14ac:dyDescent="0.25">
      <c r="B5615" s="114" t="s">
        <v>3370</v>
      </c>
      <c r="D5615" s="114" t="s">
        <v>9218</v>
      </c>
      <c r="E5615" s="114" t="s">
        <v>9219</v>
      </c>
    </row>
    <row r="5616" spans="1:5" x14ac:dyDescent="0.25">
      <c r="B5616" s="114" t="s">
        <v>3371</v>
      </c>
      <c r="D5616" s="114" t="s">
        <v>1073</v>
      </c>
      <c r="E5616" s="114" t="s">
        <v>9220</v>
      </c>
    </row>
    <row r="5617" spans="1:5" x14ac:dyDescent="0.25">
      <c r="B5617" s="114" t="s">
        <v>3372</v>
      </c>
      <c r="D5617" s="114" t="s">
        <v>9221</v>
      </c>
      <c r="E5617" s="114" t="s">
        <v>4118</v>
      </c>
    </row>
    <row r="5618" spans="1:5" x14ac:dyDescent="0.25">
      <c r="B5618" s="114" t="s">
        <v>1073</v>
      </c>
      <c r="C5618" s="114" t="s">
        <v>1072</v>
      </c>
      <c r="D5618" s="114" t="s">
        <v>9222</v>
      </c>
      <c r="E5618" s="114" t="s">
        <v>9223</v>
      </c>
    </row>
    <row r="5619" spans="1:5" x14ac:dyDescent="0.25">
      <c r="B5619" s="114" t="s">
        <v>1167</v>
      </c>
      <c r="D5619" s="114" t="s">
        <v>9224</v>
      </c>
      <c r="E5619" s="114" t="s">
        <v>9225</v>
      </c>
    </row>
    <row r="5620" spans="1:5" x14ac:dyDescent="0.25">
      <c r="A5620" s="114">
        <v>-1</v>
      </c>
      <c r="B5620" s="114" t="s">
        <v>1371</v>
      </c>
      <c r="D5620" s="114" t="s">
        <v>1073</v>
      </c>
      <c r="E5620" s="114" t="s">
        <v>3993</v>
      </c>
    </row>
    <row r="5621" spans="1:5" x14ac:dyDescent="0.25">
      <c r="B5621" s="114" t="s">
        <v>1073</v>
      </c>
      <c r="D5621" s="114" t="s">
        <v>1073</v>
      </c>
      <c r="E5621" s="114" t="s">
        <v>9226</v>
      </c>
    </row>
    <row r="5622" spans="1:5" x14ac:dyDescent="0.25">
      <c r="B5622" s="114" t="s">
        <v>1223</v>
      </c>
      <c r="D5622" s="114" t="s">
        <v>9227</v>
      </c>
      <c r="E5622" s="114" t="s">
        <v>9228</v>
      </c>
    </row>
    <row r="5623" spans="1:5" x14ac:dyDescent="0.25">
      <c r="B5623" s="114" t="s">
        <v>1073</v>
      </c>
      <c r="D5623" s="114" t="s">
        <v>9229</v>
      </c>
      <c r="E5623" s="114" t="s">
        <v>9230</v>
      </c>
    </row>
    <row r="5624" spans="1:5" x14ac:dyDescent="0.25">
      <c r="A5624" s="114">
        <v>3</v>
      </c>
      <c r="B5624" s="114" t="s">
        <v>3373</v>
      </c>
      <c r="D5624" s="114" t="s">
        <v>9231</v>
      </c>
      <c r="E5624" s="114" t="s">
        <v>9232</v>
      </c>
    </row>
    <row r="5625" spans="1:5" x14ac:dyDescent="0.25">
      <c r="A5625" s="114" t="s">
        <v>1072</v>
      </c>
      <c r="B5625" s="114" t="s">
        <v>3374</v>
      </c>
      <c r="D5625" s="114" t="s">
        <v>9233</v>
      </c>
      <c r="E5625" s="114" t="s">
        <v>9234</v>
      </c>
    </row>
    <row r="5626" spans="1:5" x14ac:dyDescent="0.25">
      <c r="A5626" s="114">
        <v>-1</v>
      </c>
      <c r="B5626" s="114" t="s">
        <v>3375</v>
      </c>
      <c r="D5626" s="114">
        <f>-32   -362   -45</f>
        <v>-439</v>
      </c>
      <c r="E5626" s="114" t="s">
        <v>9235</v>
      </c>
    </row>
    <row r="5627" spans="1:5" x14ac:dyDescent="0.25">
      <c r="B5627" s="114" t="s">
        <v>3376</v>
      </c>
      <c r="D5627" s="114" t="s">
        <v>9236</v>
      </c>
      <c r="E5627" s="114" t="s">
        <v>9237</v>
      </c>
    </row>
    <row r="5628" spans="1:5" x14ac:dyDescent="0.25">
      <c r="A5628" s="114">
        <v>36</v>
      </c>
      <c r="B5628" s="114" t="s">
        <v>3377</v>
      </c>
      <c r="C5628" s="114">
        <v>3</v>
      </c>
      <c r="D5628" s="114" t="s">
        <v>9238</v>
      </c>
      <c r="E5628" s="114" t="s">
        <v>9239</v>
      </c>
    </row>
    <row r="5629" spans="1:5" x14ac:dyDescent="0.25">
      <c r="B5629" s="114" t="s">
        <v>3378</v>
      </c>
      <c r="D5629" s="114" t="s">
        <v>9240</v>
      </c>
      <c r="E5629" s="114" t="s">
        <v>9241</v>
      </c>
    </row>
    <row r="5630" spans="1:5" x14ac:dyDescent="0.25">
      <c r="B5630" s="114" t="s">
        <v>1073</v>
      </c>
      <c r="D5630" s="114" t="s">
        <v>9242</v>
      </c>
      <c r="E5630" s="114" t="s">
        <v>3993</v>
      </c>
    </row>
    <row r="5631" spans="1:5" x14ac:dyDescent="0.25">
      <c r="B5631" s="114" t="s">
        <v>1073</v>
      </c>
      <c r="D5631" s="114">
        <f>-272   -153</f>
        <v>-425</v>
      </c>
      <c r="E5631" s="114" t="s">
        <v>9243</v>
      </c>
    </row>
    <row r="5632" spans="1:5" x14ac:dyDescent="0.25">
      <c r="B5632" s="114" t="s">
        <v>3379</v>
      </c>
      <c r="D5632" s="114" t="s">
        <v>1073</v>
      </c>
      <c r="E5632" s="114" t="s">
        <v>9244</v>
      </c>
    </row>
    <row r="5633" spans="1:5" x14ac:dyDescent="0.25">
      <c r="B5633" s="114" t="s">
        <v>1073</v>
      </c>
      <c r="D5633" s="114" t="s">
        <v>1073</v>
      </c>
      <c r="E5633" s="114" t="s">
        <v>9245</v>
      </c>
    </row>
    <row r="5634" spans="1:5" x14ac:dyDescent="0.25">
      <c r="B5634" s="114" t="s">
        <v>1073</v>
      </c>
      <c r="D5634" s="114" t="s">
        <v>9246</v>
      </c>
      <c r="E5634" s="114" t="s">
        <v>9247</v>
      </c>
    </row>
    <row r="5635" spans="1:5" x14ac:dyDescent="0.25">
      <c r="B5635" s="114" t="s">
        <v>1307</v>
      </c>
      <c r="D5635" s="114" t="s">
        <v>9248</v>
      </c>
      <c r="E5635" s="114" t="s">
        <v>9249</v>
      </c>
    </row>
    <row r="5636" spans="1:5" x14ac:dyDescent="0.25">
      <c r="A5636" s="114">
        <v>2</v>
      </c>
      <c r="B5636" s="114" t="s">
        <v>3380</v>
      </c>
      <c r="D5636" s="114" t="s">
        <v>9250</v>
      </c>
      <c r="E5636" s="114" t="s">
        <v>9251</v>
      </c>
    </row>
    <row r="5637" spans="1:5" x14ac:dyDescent="0.25">
      <c r="A5637" s="114">
        <v>-2</v>
      </c>
      <c r="B5637" s="114" t="s">
        <v>3381</v>
      </c>
      <c r="D5637" s="114">
        <f>-394   -510 -4937</f>
        <v>-5841</v>
      </c>
      <c r="E5637" s="114" t="s">
        <v>9252</v>
      </c>
    </row>
    <row r="5638" spans="1:5" x14ac:dyDescent="0.25">
      <c r="A5638" s="114" t="s">
        <v>1072</v>
      </c>
      <c r="B5638" s="114" t="s">
        <v>3382</v>
      </c>
      <c r="D5638" s="114" t="s">
        <v>9253</v>
      </c>
      <c r="E5638" s="114" t="s">
        <v>9254</v>
      </c>
    </row>
    <row r="5639" spans="1:5" x14ac:dyDescent="0.25">
      <c r="B5639" s="114" t="s">
        <v>2346</v>
      </c>
      <c r="D5639" s="114" t="s">
        <v>9255</v>
      </c>
      <c r="E5639" s="114" t="s">
        <v>9256</v>
      </c>
    </row>
    <row r="5640" spans="1:5" x14ac:dyDescent="0.25">
      <c r="B5640" s="114" t="s">
        <v>3383</v>
      </c>
      <c r="D5640" s="114" t="s">
        <v>9257</v>
      </c>
      <c r="E5640" s="114" t="s">
        <v>9258</v>
      </c>
    </row>
    <row r="5641" spans="1:5" x14ac:dyDescent="0.25">
      <c r="A5641" s="114" t="s">
        <v>1072</v>
      </c>
      <c r="B5641" s="114" t="s">
        <v>1499</v>
      </c>
      <c r="D5641" s="114" t="s">
        <v>1108</v>
      </c>
      <c r="E5641" s="114" t="s">
        <v>9259</v>
      </c>
    </row>
    <row r="5642" spans="1:5" x14ac:dyDescent="0.25">
      <c r="B5642" s="114" t="s">
        <v>3384</v>
      </c>
      <c r="D5642" s="114" t="s">
        <v>9260</v>
      </c>
      <c r="E5642" s="114" t="s">
        <v>9261</v>
      </c>
    </row>
    <row r="5643" spans="1:5" x14ac:dyDescent="0.25">
      <c r="B5643" s="114" t="s">
        <v>3385</v>
      </c>
      <c r="D5643" s="114" t="s">
        <v>9262</v>
      </c>
      <c r="E5643" s="114" t="s">
        <v>9263</v>
      </c>
    </row>
    <row r="5644" spans="1:5" x14ac:dyDescent="0.25">
      <c r="A5644" s="114" t="s">
        <v>1072</v>
      </c>
      <c r="B5644" s="114" t="s">
        <v>3386</v>
      </c>
      <c r="D5644" s="114" t="s">
        <v>9264</v>
      </c>
      <c r="E5644" s="114" t="s">
        <v>9265</v>
      </c>
    </row>
    <row r="5645" spans="1:5" x14ac:dyDescent="0.25">
      <c r="A5645" s="114">
        <v>-9</v>
      </c>
      <c r="B5645" s="114" t="s">
        <v>3387</v>
      </c>
      <c r="C5645" s="114" t="s">
        <v>1072</v>
      </c>
      <c r="D5645" s="114" t="s">
        <v>9266</v>
      </c>
      <c r="E5645" s="114" t="s">
        <v>3993</v>
      </c>
    </row>
    <row r="5646" spans="1:5" x14ac:dyDescent="0.25">
      <c r="A5646" s="114">
        <v>2</v>
      </c>
      <c r="B5646" s="114" t="s">
        <v>3388</v>
      </c>
      <c r="D5646" s="114" t="s">
        <v>9267</v>
      </c>
      <c r="E5646" s="114" t="s">
        <v>3993</v>
      </c>
    </row>
    <row r="5647" spans="1:5" x14ac:dyDescent="0.25">
      <c r="A5647" s="114">
        <v>-2</v>
      </c>
      <c r="B5647" s="114" t="s">
        <v>3389</v>
      </c>
      <c r="C5647" s="114" t="s">
        <v>1072</v>
      </c>
      <c r="D5647" s="114" t="s">
        <v>9268</v>
      </c>
      <c r="E5647" s="114" t="s">
        <v>9269</v>
      </c>
    </row>
    <row r="5648" spans="1:5" x14ac:dyDescent="0.25">
      <c r="A5648" s="114">
        <v>-1</v>
      </c>
      <c r="B5648" s="114" t="s">
        <v>3390</v>
      </c>
      <c r="C5648" s="114" t="s">
        <v>1072</v>
      </c>
      <c r="D5648" s="114" t="s">
        <v>9270</v>
      </c>
      <c r="E5648" s="114" t="s">
        <v>9271</v>
      </c>
    </row>
    <row r="5649" spans="1:5" x14ac:dyDescent="0.25">
      <c r="A5649" s="114">
        <v>1</v>
      </c>
      <c r="B5649" s="114" t="s">
        <v>3391</v>
      </c>
      <c r="D5649" s="114" t="s">
        <v>9272</v>
      </c>
      <c r="E5649" s="114" t="s">
        <v>9273</v>
      </c>
    </row>
    <row r="5650" spans="1:5" x14ac:dyDescent="0.25">
      <c r="B5650" s="114" t="s">
        <v>1073</v>
      </c>
      <c r="D5650" s="114" t="s">
        <v>1073</v>
      </c>
      <c r="E5650" s="114" t="s">
        <v>9274</v>
      </c>
    </row>
    <row r="5651" spans="1:5" x14ac:dyDescent="0.25">
      <c r="B5651" s="114" t="s">
        <v>3392</v>
      </c>
      <c r="D5651" s="114" t="s">
        <v>8528</v>
      </c>
      <c r="E5651" s="114" t="s">
        <v>9275</v>
      </c>
    </row>
    <row r="5652" spans="1:5" x14ac:dyDescent="0.25">
      <c r="B5652" s="114" t="s">
        <v>1073</v>
      </c>
      <c r="D5652" s="114" t="s">
        <v>9276</v>
      </c>
      <c r="E5652" s="114" t="s">
        <v>5199</v>
      </c>
    </row>
    <row r="5653" spans="1:5" x14ac:dyDescent="0.25">
      <c r="B5653" s="114" t="s">
        <v>1073</v>
      </c>
      <c r="D5653" s="114" t="s">
        <v>1073</v>
      </c>
      <c r="E5653" s="114" t="s">
        <v>3993</v>
      </c>
    </row>
    <row r="5654" spans="1:5" x14ac:dyDescent="0.25">
      <c r="A5654" s="114">
        <v>-1</v>
      </c>
      <c r="B5654" s="114" t="s">
        <v>1142</v>
      </c>
      <c r="D5654" s="114" t="s">
        <v>1073</v>
      </c>
      <c r="E5654" s="114" t="s">
        <v>9277</v>
      </c>
    </row>
    <row r="5655" spans="1:5" x14ac:dyDescent="0.25">
      <c r="A5655" s="114">
        <v>-1</v>
      </c>
      <c r="B5655" s="114" t="s">
        <v>3393</v>
      </c>
      <c r="D5655" s="114" t="s">
        <v>9278</v>
      </c>
      <c r="E5655" s="114" t="s">
        <v>9279</v>
      </c>
    </row>
    <row r="5656" spans="1:5" x14ac:dyDescent="0.25">
      <c r="A5656" s="114">
        <v>-2</v>
      </c>
      <c r="B5656" s="114" t="s">
        <v>3394</v>
      </c>
      <c r="D5656" s="114" t="s">
        <v>9280</v>
      </c>
      <c r="E5656" s="114" t="s">
        <v>9281</v>
      </c>
    </row>
    <row r="5657" spans="1:5" x14ac:dyDescent="0.25">
      <c r="A5657" s="114">
        <v>1</v>
      </c>
      <c r="B5657" s="114" t="s">
        <v>3395</v>
      </c>
      <c r="D5657" s="114" t="s">
        <v>9282</v>
      </c>
      <c r="E5657" s="114" t="s">
        <v>9283</v>
      </c>
    </row>
    <row r="5658" spans="1:5" x14ac:dyDescent="0.25">
      <c r="B5658" s="114" t="s">
        <v>3396</v>
      </c>
      <c r="D5658" s="114" t="s">
        <v>9284</v>
      </c>
      <c r="E5658" s="114" t="s">
        <v>9285</v>
      </c>
    </row>
    <row r="5659" spans="1:5" x14ac:dyDescent="0.25">
      <c r="A5659" s="114" t="s">
        <v>1072</v>
      </c>
      <c r="B5659" s="114" t="s">
        <v>3397</v>
      </c>
      <c r="D5659" s="114" t="s">
        <v>9286</v>
      </c>
      <c r="E5659" s="114" t="s">
        <v>9287</v>
      </c>
    </row>
    <row r="5660" spans="1:5" x14ac:dyDescent="0.25">
      <c r="B5660" s="114" t="s">
        <v>3398</v>
      </c>
      <c r="D5660" s="114" t="s">
        <v>9288</v>
      </c>
      <c r="E5660" s="114" t="s">
        <v>9289</v>
      </c>
    </row>
    <row r="5661" spans="1:5" x14ac:dyDescent="0.25">
      <c r="A5661" s="114">
        <v>25</v>
      </c>
      <c r="B5661" s="114" t="s">
        <v>3399</v>
      </c>
      <c r="C5661" s="114">
        <v>3</v>
      </c>
      <c r="D5661" s="114" t="s">
        <v>9290</v>
      </c>
      <c r="E5661" s="114" t="s">
        <v>9291</v>
      </c>
    </row>
    <row r="5662" spans="1:5" x14ac:dyDescent="0.25">
      <c r="B5662" s="114" t="s">
        <v>1135</v>
      </c>
      <c r="D5662" s="114" t="s">
        <v>1958</v>
      </c>
      <c r="E5662" s="114" t="s">
        <v>9292</v>
      </c>
    </row>
    <row r="5663" spans="1:5" x14ac:dyDescent="0.25">
      <c r="B5663" s="114" t="s">
        <v>1073</v>
      </c>
      <c r="D5663" s="114" t="s">
        <v>1073</v>
      </c>
      <c r="E5663" s="114" t="s">
        <v>9293</v>
      </c>
    </row>
    <row r="5664" spans="1:5" x14ac:dyDescent="0.25">
      <c r="B5664" s="114" t="s">
        <v>3400</v>
      </c>
      <c r="C5664" s="114">
        <v>-3</v>
      </c>
      <c r="D5664" s="114" t="s">
        <v>9294</v>
      </c>
      <c r="E5664" s="114" t="s">
        <v>9295</v>
      </c>
    </row>
    <row r="5665" spans="1:5" x14ac:dyDescent="0.25">
      <c r="B5665" s="114" t="s">
        <v>1442</v>
      </c>
      <c r="D5665" s="114" t="s">
        <v>5133</v>
      </c>
      <c r="E5665" s="114" t="s">
        <v>3992</v>
      </c>
    </row>
    <row r="5666" spans="1:5" x14ac:dyDescent="0.25">
      <c r="B5666" s="114" t="s">
        <v>2357</v>
      </c>
      <c r="D5666" s="114" t="s">
        <v>1073</v>
      </c>
      <c r="E5666" s="114" t="s">
        <v>9296</v>
      </c>
    </row>
    <row r="5667" spans="1:5" x14ac:dyDescent="0.25">
      <c r="B5667" s="114" t="s">
        <v>3401</v>
      </c>
      <c r="D5667" s="114" t="s">
        <v>1073</v>
      </c>
      <c r="E5667" s="114" t="s">
        <v>9297</v>
      </c>
    </row>
    <row r="5668" spans="1:5" x14ac:dyDescent="0.25">
      <c r="B5668" s="114" t="s">
        <v>1271</v>
      </c>
      <c r="D5668" s="114" t="s">
        <v>9298</v>
      </c>
      <c r="E5668" s="114" t="s">
        <v>9299</v>
      </c>
    </row>
    <row r="5669" spans="1:5" x14ac:dyDescent="0.25">
      <c r="B5669" s="114" t="s">
        <v>1160</v>
      </c>
      <c r="D5669" s="114" t="s">
        <v>1073</v>
      </c>
      <c r="E5669" s="114" t="s">
        <v>9300</v>
      </c>
    </row>
    <row r="5670" spans="1:5" x14ac:dyDescent="0.25">
      <c r="B5670" s="114" t="s">
        <v>3402</v>
      </c>
      <c r="D5670" s="114" t="s">
        <v>9301</v>
      </c>
      <c r="E5670" s="114" t="s">
        <v>9302</v>
      </c>
    </row>
    <row r="5671" spans="1:5" x14ac:dyDescent="0.25">
      <c r="A5671" s="114" t="s">
        <v>1072</v>
      </c>
      <c r="B5671" s="114" t="s">
        <v>3403</v>
      </c>
      <c r="D5671" s="114" t="s">
        <v>6297</v>
      </c>
      <c r="E5671" s="114" t="s">
        <v>9303</v>
      </c>
    </row>
    <row r="5672" spans="1:5" x14ac:dyDescent="0.25">
      <c r="A5672" s="114" t="s">
        <v>1072</v>
      </c>
      <c r="B5672" s="114" t="s">
        <v>3404</v>
      </c>
      <c r="D5672" s="114" t="s">
        <v>1073</v>
      </c>
      <c r="E5672" s="114" t="s">
        <v>9304</v>
      </c>
    </row>
    <row r="5673" spans="1:5" x14ac:dyDescent="0.25">
      <c r="B5673" s="125">
        <v>12419</v>
      </c>
      <c r="D5673" s="114" t="s">
        <v>9305</v>
      </c>
      <c r="E5673" s="114" t="s">
        <v>9306</v>
      </c>
    </row>
    <row r="5674" spans="1:5" x14ac:dyDescent="0.25">
      <c r="A5674" s="114" t="s">
        <v>1072</v>
      </c>
      <c r="B5674" s="114" t="s">
        <v>3405</v>
      </c>
      <c r="D5674" s="114" t="s">
        <v>9307</v>
      </c>
      <c r="E5674" s="114" t="s">
        <v>9308</v>
      </c>
    </row>
    <row r="5675" spans="1:5" x14ac:dyDescent="0.25">
      <c r="B5675" s="114" t="s">
        <v>1511</v>
      </c>
      <c r="D5675" s="114" t="s">
        <v>1073</v>
      </c>
      <c r="E5675" s="114" t="s">
        <v>9309</v>
      </c>
    </row>
    <row r="5676" spans="1:5" x14ac:dyDescent="0.25">
      <c r="B5676" s="114" t="s">
        <v>1365</v>
      </c>
      <c r="D5676" s="114" t="s">
        <v>4104</v>
      </c>
      <c r="E5676" s="114" t="s">
        <v>9310</v>
      </c>
    </row>
    <row r="5677" spans="1:5" x14ac:dyDescent="0.25">
      <c r="B5677" s="114" t="s">
        <v>1075</v>
      </c>
      <c r="D5677" s="114" t="s">
        <v>2539</v>
      </c>
      <c r="E5677" s="114" t="s">
        <v>9311</v>
      </c>
    </row>
    <row r="5678" spans="1:5" x14ac:dyDescent="0.25">
      <c r="B5678" s="114" t="s">
        <v>1073</v>
      </c>
      <c r="D5678" s="114" t="s">
        <v>1073</v>
      </c>
      <c r="E5678" s="114" t="s">
        <v>9312</v>
      </c>
    </row>
    <row r="5679" spans="1:5" x14ac:dyDescent="0.25">
      <c r="B5679" s="114" t="s">
        <v>1073</v>
      </c>
      <c r="D5679" s="114" t="s">
        <v>1073</v>
      </c>
      <c r="E5679" s="114" t="s">
        <v>9313</v>
      </c>
    </row>
    <row r="5680" spans="1:5" x14ac:dyDescent="0.25">
      <c r="A5680" s="114">
        <v>-3</v>
      </c>
      <c r="B5680" s="114" t="s">
        <v>3406</v>
      </c>
      <c r="D5680" s="114" t="s">
        <v>1073</v>
      </c>
      <c r="E5680" s="114" t="s">
        <v>9314</v>
      </c>
    </row>
    <row r="5681" spans="1:5" x14ac:dyDescent="0.25">
      <c r="A5681" s="114">
        <v>1</v>
      </c>
      <c r="B5681" s="114" t="s">
        <v>1087</v>
      </c>
      <c r="D5681" s="114" t="s">
        <v>1073</v>
      </c>
      <c r="E5681" s="114" t="s">
        <v>9315</v>
      </c>
    </row>
    <row r="5682" spans="1:5" x14ac:dyDescent="0.25">
      <c r="A5682" s="114">
        <v>-1</v>
      </c>
      <c r="B5682" s="114" t="s">
        <v>3407</v>
      </c>
      <c r="D5682" s="114">
        <f>-668    -66</f>
        <v>-734</v>
      </c>
      <c r="E5682" s="114" t="s">
        <v>3993</v>
      </c>
    </row>
    <row r="5683" spans="1:5" x14ac:dyDescent="0.25">
      <c r="B5683" s="114" t="s">
        <v>3408</v>
      </c>
      <c r="D5683" s="114" t="s">
        <v>9316</v>
      </c>
      <c r="E5683" s="114" t="s">
        <v>9317</v>
      </c>
    </row>
    <row r="5684" spans="1:5" x14ac:dyDescent="0.25">
      <c r="B5684" s="114" t="s">
        <v>3066</v>
      </c>
      <c r="D5684" s="114" t="s">
        <v>2875</v>
      </c>
      <c r="E5684" s="114" t="s">
        <v>9318</v>
      </c>
    </row>
    <row r="5685" spans="1:5" x14ac:dyDescent="0.25">
      <c r="B5685" s="114" t="s">
        <v>1073</v>
      </c>
      <c r="D5685" s="114" t="s">
        <v>1073</v>
      </c>
      <c r="E5685" s="114" t="s">
        <v>3993</v>
      </c>
    </row>
    <row r="5686" spans="1:5" x14ac:dyDescent="0.25">
      <c r="B5686" s="114" t="s">
        <v>1073</v>
      </c>
      <c r="D5686" s="114" t="s">
        <v>1073</v>
      </c>
      <c r="E5686" s="114" t="s">
        <v>9319</v>
      </c>
    </row>
    <row r="5687" spans="1:5" x14ac:dyDescent="0.25">
      <c r="B5687" s="114" t="s">
        <v>3409</v>
      </c>
      <c r="D5687" s="114" t="s">
        <v>9320</v>
      </c>
      <c r="E5687" s="114" t="s">
        <v>9321</v>
      </c>
    </row>
    <row r="5688" spans="1:5" x14ac:dyDescent="0.25">
      <c r="B5688" s="114" t="s">
        <v>2212</v>
      </c>
      <c r="D5688" s="114" t="s">
        <v>9322</v>
      </c>
      <c r="E5688" s="114" t="s">
        <v>9323</v>
      </c>
    </row>
    <row r="5689" spans="1:5" x14ac:dyDescent="0.25">
      <c r="A5689" s="114">
        <v>1</v>
      </c>
      <c r="B5689" s="114" t="s">
        <v>3410</v>
      </c>
      <c r="D5689" s="114" t="s">
        <v>9324</v>
      </c>
      <c r="E5689" s="114" t="s">
        <v>9325</v>
      </c>
    </row>
    <row r="5690" spans="1:5" x14ac:dyDescent="0.25">
      <c r="A5690" s="114">
        <v>2</v>
      </c>
      <c r="B5690" s="114" t="s">
        <v>3411</v>
      </c>
      <c r="D5690" s="114" t="s">
        <v>9326</v>
      </c>
      <c r="E5690" s="114" t="s">
        <v>9327</v>
      </c>
    </row>
    <row r="5691" spans="1:5" x14ac:dyDescent="0.25">
      <c r="A5691" s="114" t="s">
        <v>1072</v>
      </c>
      <c r="B5691" s="114" t="s">
        <v>3412</v>
      </c>
      <c r="D5691" s="114" t="s">
        <v>9328</v>
      </c>
      <c r="E5691" s="114" t="s">
        <v>9329</v>
      </c>
    </row>
    <row r="5692" spans="1:5" x14ac:dyDescent="0.25">
      <c r="A5692" s="114" t="s">
        <v>1072</v>
      </c>
      <c r="B5692" s="114" t="s">
        <v>3413</v>
      </c>
      <c r="D5692" s="114" t="s">
        <v>9330</v>
      </c>
      <c r="E5692" s="114" t="s">
        <v>9331</v>
      </c>
    </row>
    <row r="5693" spans="1:5" x14ac:dyDescent="0.25">
      <c r="A5693" s="114">
        <v>35</v>
      </c>
      <c r="B5693" s="114" t="s">
        <v>3414</v>
      </c>
      <c r="C5693" s="114">
        <v>3</v>
      </c>
      <c r="D5693" s="114" t="s">
        <v>9332</v>
      </c>
      <c r="E5693" s="114" t="s">
        <v>9333</v>
      </c>
    </row>
    <row r="5694" spans="1:5" x14ac:dyDescent="0.25">
      <c r="A5694" s="114">
        <v>34</v>
      </c>
      <c r="B5694" s="114" t="s">
        <v>3415</v>
      </c>
      <c r="C5694" s="114">
        <v>-3</v>
      </c>
      <c r="D5694" s="114" t="s">
        <v>9334</v>
      </c>
      <c r="E5694" s="114" t="s">
        <v>9335</v>
      </c>
    </row>
    <row r="5695" spans="1:5" x14ac:dyDescent="0.25">
      <c r="B5695" s="114" t="s">
        <v>1073</v>
      </c>
      <c r="D5695" s="114" t="s">
        <v>9336</v>
      </c>
      <c r="E5695" s="114" t="s">
        <v>3993</v>
      </c>
    </row>
    <row r="5696" spans="1:5" x14ac:dyDescent="0.25">
      <c r="B5696" s="114" t="s">
        <v>1073</v>
      </c>
      <c r="D5696" s="114" t="s">
        <v>9337</v>
      </c>
      <c r="E5696" s="114" t="s">
        <v>9338</v>
      </c>
    </row>
    <row r="5697" spans="1:5" x14ac:dyDescent="0.25">
      <c r="B5697" s="114" t="s">
        <v>3416</v>
      </c>
      <c r="D5697" s="114" t="s">
        <v>9339</v>
      </c>
      <c r="E5697" s="114" t="s">
        <v>9340</v>
      </c>
    </row>
    <row r="5698" spans="1:5" x14ac:dyDescent="0.25">
      <c r="B5698" s="114" t="s">
        <v>1086</v>
      </c>
      <c r="D5698" s="114" t="s">
        <v>1073</v>
      </c>
      <c r="E5698" s="114" t="s">
        <v>9341</v>
      </c>
    </row>
    <row r="5699" spans="1:5" x14ac:dyDescent="0.25">
      <c r="B5699" s="114" t="s">
        <v>1073</v>
      </c>
      <c r="D5699" s="114" t="s">
        <v>4284</v>
      </c>
      <c r="E5699" s="114" t="s">
        <v>9342</v>
      </c>
    </row>
    <row r="5700" spans="1:5" x14ac:dyDescent="0.25">
      <c r="B5700" s="114" t="s">
        <v>1073</v>
      </c>
      <c r="D5700" s="114" t="s">
        <v>9343</v>
      </c>
      <c r="E5700" s="114" t="s">
        <v>9344</v>
      </c>
    </row>
    <row r="5701" spans="1:5" x14ac:dyDescent="0.25">
      <c r="B5701" s="114" t="s">
        <v>3417</v>
      </c>
      <c r="D5701" s="114" t="s">
        <v>9345</v>
      </c>
      <c r="E5701" s="114" t="s">
        <v>9346</v>
      </c>
    </row>
    <row r="5702" spans="1:5" x14ac:dyDescent="0.25">
      <c r="B5702" s="114" t="s">
        <v>3418</v>
      </c>
      <c r="D5702" s="114" t="s">
        <v>9347</v>
      </c>
      <c r="E5702" s="114" t="s">
        <v>9348</v>
      </c>
    </row>
    <row r="5703" spans="1:5" x14ac:dyDescent="0.25">
      <c r="A5703" s="114">
        <v>1</v>
      </c>
      <c r="B5703" s="114" t="s">
        <v>3419</v>
      </c>
      <c r="D5703" s="114" t="s">
        <v>9349</v>
      </c>
      <c r="E5703" s="114" t="s">
        <v>9350</v>
      </c>
    </row>
    <row r="5704" spans="1:5" x14ac:dyDescent="0.25">
      <c r="A5704" s="114" t="s">
        <v>1072</v>
      </c>
      <c r="B5704" s="114" t="s">
        <v>3420</v>
      </c>
      <c r="D5704" s="114" t="s">
        <v>9351</v>
      </c>
      <c r="E5704" s="114" t="s">
        <v>9352</v>
      </c>
    </row>
    <row r="5705" spans="1:5" x14ac:dyDescent="0.25">
      <c r="B5705" s="114" t="s">
        <v>1573</v>
      </c>
      <c r="D5705" s="114" t="s">
        <v>9353</v>
      </c>
      <c r="E5705" s="114" t="s">
        <v>9354</v>
      </c>
    </row>
    <row r="5706" spans="1:5" x14ac:dyDescent="0.25">
      <c r="B5706" s="114" t="s">
        <v>3421</v>
      </c>
      <c r="D5706" s="114" t="s">
        <v>1773</v>
      </c>
      <c r="E5706" s="114" t="s">
        <v>9355</v>
      </c>
    </row>
    <row r="5707" spans="1:5" x14ac:dyDescent="0.25">
      <c r="B5707" s="114" t="s">
        <v>1073</v>
      </c>
      <c r="D5707" s="114" t="s">
        <v>9356</v>
      </c>
      <c r="E5707" s="114" t="s">
        <v>9357</v>
      </c>
    </row>
    <row r="5708" spans="1:5" x14ac:dyDescent="0.25">
      <c r="B5708" s="114" t="s">
        <v>3422</v>
      </c>
      <c r="D5708" s="114" t="s">
        <v>9358</v>
      </c>
      <c r="E5708" s="114" t="s">
        <v>9359</v>
      </c>
    </row>
    <row r="5709" spans="1:5" x14ac:dyDescent="0.25">
      <c r="A5709" s="114" t="s">
        <v>1072</v>
      </c>
      <c r="B5709" s="114" t="s">
        <v>3423</v>
      </c>
      <c r="D5709" s="114" t="s">
        <v>9360</v>
      </c>
      <c r="E5709" s="114" t="s">
        <v>9361</v>
      </c>
    </row>
    <row r="5710" spans="1:5" x14ac:dyDescent="0.25">
      <c r="B5710" s="114" t="s">
        <v>3173</v>
      </c>
      <c r="D5710" s="114" t="s">
        <v>9362</v>
      </c>
      <c r="E5710" s="114" t="s">
        <v>3993</v>
      </c>
    </row>
    <row r="5711" spans="1:5" x14ac:dyDescent="0.25">
      <c r="B5711" s="114" t="s">
        <v>3424</v>
      </c>
      <c r="D5711" s="114" t="s">
        <v>9363</v>
      </c>
      <c r="E5711" s="114" t="s">
        <v>9364</v>
      </c>
    </row>
    <row r="5712" spans="1:5" x14ac:dyDescent="0.25">
      <c r="B5712" s="114" t="s">
        <v>3425</v>
      </c>
      <c r="C5712" s="114" t="s">
        <v>1072</v>
      </c>
      <c r="D5712" s="114" t="s">
        <v>9365</v>
      </c>
      <c r="E5712" s="114" t="s">
        <v>9366</v>
      </c>
    </row>
    <row r="5713" spans="1:5" x14ac:dyDescent="0.25">
      <c r="B5713" s="114" t="s">
        <v>3426</v>
      </c>
      <c r="D5713" s="114" t="s">
        <v>2009</v>
      </c>
      <c r="E5713" s="114" t="s">
        <v>9367</v>
      </c>
    </row>
    <row r="5714" spans="1:5" x14ac:dyDescent="0.25">
      <c r="B5714" s="114" t="s">
        <v>3427</v>
      </c>
      <c r="C5714" s="114" t="s">
        <v>1072</v>
      </c>
      <c r="D5714" s="114" t="s">
        <v>9368</v>
      </c>
      <c r="E5714" s="114" t="s">
        <v>9369</v>
      </c>
    </row>
    <row r="5715" spans="1:5" x14ac:dyDescent="0.25">
      <c r="B5715" s="114" t="s">
        <v>1073</v>
      </c>
      <c r="D5715" s="114" t="s">
        <v>1073</v>
      </c>
      <c r="E5715" s="114" t="s">
        <v>9370</v>
      </c>
    </row>
    <row r="5716" spans="1:5" x14ac:dyDescent="0.25">
      <c r="A5716" s="114" t="s">
        <v>1072</v>
      </c>
      <c r="B5716" s="114" t="s">
        <v>3428</v>
      </c>
      <c r="D5716" s="114" t="s">
        <v>9371</v>
      </c>
      <c r="E5716" s="114" t="s">
        <v>9372</v>
      </c>
    </row>
    <row r="5717" spans="1:5" x14ac:dyDescent="0.25">
      <c r="B5717" s="114" t="s">
        <v>1073</v>
      </c>
      <c r="D5717" s="114" t="s">
        <v>9373</v>
      </c>
      <c r="E5717" s="114" t="s">
        <v>9374</v>
      </c>
    </row>
    <row r="5718" spans="1:5" x14ac:dyDescent="0.25">
      <c r="B5718" s="114" t="s">
        <v>1073</v>
      </c>
      <c r="D5718" s="114" t="s">
        <v>1073</v>
      </c>
      <c r="E5718" s="114" t="s">
        <v>3993</v>
      </c>
    </row>
    <row r="5719" spans="1:5" x14ac:dyDescent="0.25">
      <c r="B5719" s="114" t="s">
        <v>3429</v>
      </c>
      <c r="D5719" s="114" t="s">
        <v>1073</v>
      </c>
      <c r="E5719" s="114" t="s">
        <v>9375</v>
      </c>
    </row>
    <row r="5720" spans="1:5" x14ac:dyDescent="0.25">
      <c r="A5720" s="114">
        <v>8</v>
      </c>
      <c r="B5720" s="114" t="s">
        <v>3430</v>
      </c>
      <c r="D5720" s="114" t="s">
        <v>9376</v>
      </c>
      <c r="E5720" s="114" t="s">
        <v>9377</v>
      </c>
    </row>
    <row r="5721" spans="1:5" x14ac:dyDescent="0.25">
      <c r="A5721" s="114">
        <v>7</v>
      </c>
      <c r="B5721" s="114" t="s">
        <v>3431</v>
      </c>
      <c r="C5721" s="114" t="s">
        <v>1072</v>
      </c>
      <c r="D5721" s="114" t="s">
        <v>9378</v>
      </c>
      <c r="E5721" s="114" t="s">
        <v>9379</v>
      </c>
    </row>
    <row r="5722" spans="1:5" x14ac:dyDescent="0.25">
      <c r="A5722" s="114">
        <v>-1</v>
      </c>
      <c r="B5722" s="114" t="s">
        <v>3432</v>
      </c>
      <c r="D5722" s="114" t="s">
        <v>9380</v>
      </c>
      <c r="E5722" s="114" t="s">
        <v>9381</v>
      </c>
    </row>
    <row r="5723" spans="1:5" x14ac:dyDescent="0.25">
      <c r="B5723" s="114" t="s">
        <v>3433</v>
      </c>
      <c r="D5723" s="114" t="s">
        <v>9382</v>
      </c>
      <c r="E5723" s="114" t="s">
        <v>9383</v>
      </c>
    </row>
    <row r="5724" spans="1:5" x14ac:dyDescent="0.25">
      <c r="A5724" s="114" t="s">
        <v>1072</v>
      </c>
      <c r="B5724" s="114" t="s">
        <v>3434</v>
      </c>
      <c r="D5724" s="114" t="s">
        <v>9384</v>
      </c>
      <c r="E5724" s="114" t="s">
        <v>9385</v>
      </c>
    </row>
    <row r="5725" spans="1:5" x14ac:dyDescent="0.25">
      <c r="B5725" s="114" t="s">
        <v>3435</v>
      </c>
      <c r="D5725" s="114" t="s">
        <v>9386</v>
      </c>
      <c r="E5725" s="114" t="s">
        <v>9387</v>
      </c>
    </row>
    <row r="5726" spans="1:5" x14ac:dyDescent="0.25">
      <c r="A5726" s="114">
        <v>33</v>
      </c>
      <c r="B5726" s="114" t="s">
        <v>3436</v>
      </c>
      <c r="C5726" s="114">
        <v>3</v>
      </c>
      <c r="D5726" s="114" t="s">
        <v>9388</v>
      </c>
      <c r="E5726" s="114" t="s">
        <v>9389</v>
      </c>
    </row>
    <row r="5727" spans="1:5" x14ac:dyDescent="0.25">
      <c r="B5727" s="126">
        <v>41545</v>
      </c>
      <c r="D5727" s="114" t="s">
        <v>4765</v>
      </c>
      <c r="E5727" s="114" t="s">
        <v>9390</v>
      </c>
    </row>
    <row r="5728" spans="1:5" x14ac:dyDescent="0.25">
      <c r="B5728" s="114" t="s">
        <v>3437</v>
      </c>
      <c r="D5728" s="114" t="s">
        <v>1073</v>
      </c>
      <c r="E5728" s="114" t="s">
        <v>3993</v>
      </c>
    </row>
    <row r="5729" spans="1:5" x14ac:dyDescent="0.25">
      <c r="B5729" s="114" t="s">
        <v>3438</v>
      </c>
      <c r="D5729" s="114" t="s">
        <v>7805</v>
      </c>
      <c r="E5729" s="114" t="s">
        <v>9391</v>
      </c>
    </row>
    <row r="5730" spans="1:5" x14ac:dyDescent="0.25">
      <c r="B5730" s="114" t="s">
        <v>1073</v>
      </c>
      <c r="D5730" s="114" t="s">
        <v>2605</v>
      </c>
      <c r="E5730" s="114" t="s">
        <v>9392</v>
      </c>
    </row>
    <row r="5731" spans="1:5" x14ac:dyDescent="0.25">
      <c r="B5731" s="114" t="s">
        <v>1073</v>
      </c>
      <c r="D5731" s="114" t="s">
        <v>1195</v>
      </c>
      <c r="E5731" s="114" t="s">
        <v>3993</v>
      </c>
    </row>
    <row r="5732" spans="1:5" x14ac:dyDescent="0.25">
      <c r="B5732" s="114" t="s">
        <v>1280</v>
      </c>
      <c r="C5732" s="114">
        <v>-5</v>
      </c>
      <c r="D5732" s="114" t="s">
        <v>9393</v>
      </c>
      <c r="E5732" s="114" t="s">
        <v>9394</v>
      </c>
    </row>
    <row r="5733" spans="1:5" x14ac:dyDescent="0.25">
      <c r="B5733" s="114" t="s">
        <v>3439</v>
      </c>
      <c r="D5733" s="114" t="s">
        <v>4784</v>
      </c>
      <c r="E5733" s="114" t="s">
        <v>9395</v>
      </c>
    </row>
    <row r="5734" spans="1:5" x14ac:dyDescent="0.25">
      <c r="A5734" s="114" t="s">
        <v>1072</v>
      </c>
      <c r="B5734" s="114" t="s">
        <v>3440</v>
      </c>
      <c r="D5734" s="114">
        <f>-56   -109</f>
        <v>-165</v>
      </c>
      <c r="E5734" s="114" t="s">
        <v>9396</v>
      </c>
    </row>
    <row r="5735" spans="1:5" x14ac:dyDescent="0.25">
      <c r="B5735" s="114" t="s">
        <v>3441</v>
      </c>
      <c r="C5735" s="114">
        <v>-6</v>
      </c>
      <c r="D5735" s="114" t="s">
        <v>9397</v>
      </c>
      <c r="E5735" s="114" t="s">
        <v>9398</v>
      </c>
    </row>
    <row r="5736" spans="1:5" x14ac:dyDescent="0.25">
      <c r="A5736" s="114">
        <v>1</v>
      </c>
      <c r="B5736" s="114" t="s">
        <v>3442</v>
      </c>
      <c r="D5736" s="114" t="s">
        <v>9399</v>
      </c>
      <c r="E5736" s="114" t="s">
        <v>9400</v>
      </c>
    </row>
    <row r="5737" spans="1:5" x14ac:dyDescent="0.25">
      <c r="A5737" s="114">
        <v>1</v>
      </c>
      <c r="B5737" s="114" t="s">
        <v>3443</v>
      </c>
      <c r="D5737" s="114" t="s">
        <v>9401</v>
      </c>
      <c r="E5737" s="114" t="s">
        <v>9402</v>
      </c>
    </row>
    <row r="5738" spans="1:5" x14ac:dyDescent="0.25">
      <c r="B5738" s="114" t="s">
        <v>1397</v>
      </c>
      <c r="C5738" s="114">
        <v>-6</v>
      </c>
      <c r="D5738" s="114" t="s">
        <v>9403</v>
      </c>
      <c r="E5738" s="114" t="s">
        <v>9404</v>
      </c>
    </row>
    <row r="5739" spans="1:5" x14ac:dyDescent="0.25">
      <c r="B5739" s="114" t="s">
        <v>1260</v>
      </c>
      <c r="D5739" s="114" t="s">
        <v>9405</v>
      </c>
      <c r="E5739" s="114" t="s">
        <v>9406</v>
      </c>
    </row>
    <row r="5740" spans="1:5" x14ac:dyDescent="0.25">
      <c r="B5740" s="114" t="s">
        <v>1101</v>
      </c>
      <c r="D5740" s="114" t="s">
        <v>9407</v>
      </c>
      <c r="E5740" s="114" t="s">
        <v>9408</v>
      </c>
    </row>
    <row r="5741" spans="1:5" x14ac:dyDescent="0.25">
      <c r="B5741" s="114" t="s">
        <v>3444</v>
      </c>
      <c r="C5741" s="114">
        <v>-6</v>
      </c>
      <c r="D5741" s="114" t="s">
        <v>9409</v>
      </c>
      <c r="E5741" s="114" t="s">
        <v>9410</v>
      </c>
    </row>
    <row r="5742" spans="1:5" x14ac:dyDescent="0.25">
      <c r="A5742" s="114">
        <v>-3</v>
      </c>
      <c r="B5742" s="114" t="s">
        <v>3445</v>
      </c>
      <c r="D5742" s="114" t="s">
        <v>9411</v>
      </c>
      <c r="E5742" s="114" t="s">
        <v>9412</v>
      </c>
    </row>
    <row r="5743" spans="1:5" x14ac:dyDescent="0.25">
      <c r="A5743" s="114" t="s">
        <v>1072</v>
      </c>
      <c r="B5743" s="114" t="s">
        <v>1154</v>
      </c>
      <c r="D5743" s="114" t="s">
        <v>1073</v>
      </c>
      <c r="E5743" s="114" t="s">
        <v>9413</v>
      </c>
    </row>
    <row r="5744" spans="1:5" x14ac:dyDescent="0.25">
      <c r="B5744" s="114" t="s">
        <v>3446</v>
      </c>
      <c r="C5744" s="114">
        <v>-6</v>
      </c>
      <c r="D5744" s="114" t="s">
        <v>9414</v>
      </c>
      <c r="E5744" s="114" t="s">
        <v>9415</v>
      </c>
    </row>
    <row r="5745" spans="1:5" x14ac:dyDescent="0.25">
      <c r="A5745" s="114">
        <v>-1</v>
      </c>
      <c r="B5745" s="114" t="s">
        <v>3447</v>
      </c>
      <c r="D5745" s="114" t="s">
        <v>9416</v>
      </c>
      <c r="E5745" s="114" t="s">
        <v>9417</v>
      </c>
    </row>
    <row r="5746" spans="1:5" x14ac:dyDescent="0.25">
      <c r="A5746" s="114">
        <v>-1</v>
      </c>
      <c r="B5746" s="114" t="s">
        <v>1157</v>
      </c>
      <c r="D5746" s="114" t="s">
        <v>9418</v>
      </c>
      <c r="E5746" s="114" t="s">
        <v>9419</v>
      </c>
    </row>
    <row r="5747" spans="1:5" x14ac:dyDescent="0.25">
      <c r="A5747" s="114">
        <v>1</v>
      </c>
      <c r="B5747" s="114" t="s">
        <v>3448</v>
      </c>
      <c r="D5747" s="114" t="s">
        <v>9420</v>
      </c>
      <c r="E5747" s="114" t="s">
        <v>9421</v>
      </c>
    </row>
    <row r="5748" spans="1:5" x14ac:dyDescent="0.25">
      <c r="B5748" s="114" t="s">
        <v>1073</v>
      </c>
      <c r="D5748" s="114" t="s">
        <v>8415</v>
      </c>
      <c r="E5748" s="114" t="s">
        <v>9422</v>
      </c>
    </row>
    <row r="5749" spans="1:5" x14ac:dyDescent="0.25">
      <c r="B5749" s="114" t="s">
        <v>1073</v>
      </c>
      <c r="D5749" s="114" t="s">
        <v>9423</v>
      </c>
      <c r="E5749" s="114" t="s">
        <v>9424</v>
      </c>
    </row>
    <row r="5750" spans="1:5" x14ac:dyDescent="0.25">
      <c r="B5750" s="114" t="s">
        <v>3449</v>
      </c>
      <c r="D5750" s="114" t="s">
        <v>9425</v>
      </c>
      <c r="E5750" s="114" t="s">
        <v>3993</v>
      </c>
    </row>
    <row r="5751" spans="1:5" x14ac:dyDescent="0.25">
      <c r="B5751" s="114" t="s">
        <v>1073</v>
      </c>
      <c r="D5751" s="114" t="s">
        <v>1073</v>
      </c>
      <c r="E5751" s="114" t="s">
        <v>9426</v>
      </c>
    </row>
    <row r="5752" spans="1:5" x14ac:dyDescent="0.25">
      <c r="B5752" s="114" t="s">
        <v>1073</v>
      </c>
      <c r="D5752" s="114" t="s">
        <v>9427</v>
      </c>
      <c r="E5752" s="114" t="s">
        <v>9428</v>
      </c>
    </row>
    <row r="5753" spans="1:5" x14ac:dyDescent="0.25">
      <c r="A5753" s="114">
        <v>-2</v>
      </c>
      <c r="B5753" s="114" t="s">
        <v>3450</v>
      </c>
      <c r="D5753" s="114" t="s">
        <v>9429</v>
      </c>
      <c r="E5753" s="114" t="s">
        <v>9430</v>
      </c>
    </row>
    <row r="5754" spans="1:5" x14ac:dyDescent="0.25">
      <c r="B5754" s="114" t="s">
        <v>3451</v>
      </c>
      <c r="D5754" s="114" t="s">
        <v>9431</v>
      </c>
      <c r="E5754" s="114" t="s">
        <v>9432</v>
      </c>
    </row>
    <row r="5755" spans="1:5" x14ac:dyDescent="0.25">
      <c r="A5755" s="114">
        <v>2</v>
      </c>
      <c r="B5755" s="114" t="s">
        <v>3452</v>
      </c>
      <c r="C5755" s="114" t="s">
        <v>1072</v>
      </c>
      <c r="D5755" s="114" t="s">
        <v>9433</v>
      </c>
      <c r="E5755" s="114" t="s">
        <v>9434</v>
      </c>
    </row>
    <row r="5756" spans="1:5" x14ac:dyDescent="0.25">
      <c r="B5756" s="114" t="s">
        <v>3453</v>
      </c>
      <c r="D5756" s="114" t="s">
        <v>9435</v>
      </c>
      <c r="E5756" s="114" t="s">
        <v>9436</v>
      </c>
    </row>
    <row r="5757" spans="1:5" x14ac:dyDescent="0.25">
      <c r="A5757" s="114" t="s">
        <v>1072</v>
      </c>
      <c r="B5757" s="114" t="s">
        <v>3454</v>
      </c>
      <c r="D5757" s="114" t="s">
        <v>9437</v>
      </c>
      <c r="E5757" s="114" t="s">
        <v>9438</v>
      </c>
    </row>
    <row r="5758" spans="1:5" x14ac:dyDescent="0.25">
      <c r="B5758" s="114" t="s">
        <v>3455</v>
      </c>
      <c r="C5758" s="114">
        <v>3</v>
      </c>
      <c r="D5758" s="114" t="s">
        <v>9439</v>
      </c>
      <c r="E5758" s="114" t="s">
        <v>9440</v>
      </c>
    </row>
    <row r="5759" spans="1:5" x14ac:dyDescent="0.25">
      <c r="A5759" s="114">
        <v>40</v>
      </c>
      <c r="B5759" s="114" t="s">
        <v>3456</v>
      </c>
      <c r="C5759" s="114">
        <v>4</v>
      </c>
      <c r="D5759" s="114" t="s">
        <v>9441</v>
      </c>
      <c r="E5759" s="114" t="s">
        <v>9442</v>
      </c>
    </row>
    <row r="5760" spans="1:5" x14ac:dyDescent="0.25">
      <c r="B5760" s="114" t="s">
        <v>1073</v>
      </c>
      <c r="D5760" s="114" t="s">
        <v>9443</v>
      </c>
      <c r="E5760" s="114" t="s">
        <v>9444</v>
      </c>
    </row>
    <row r="5761" spans="1:5" x14ac:dyDescent="0.25">
      <c r="B5761" s="114" t="s">
        <v>1073</v>
      </c>
      <c r="D5761" s="114" t="s">
        <v>1073</v>
      </c>
      <c r="E5761" s="114" t="s">
        <v>9445</v>
      </c>
    </row>
    <row r="5762" spans="1:5" x14ac:dyDescent="0.25">
      <c r="B5762" s="114" t="s">
        <v>1073</v>
      </c>
      <c r="D5762" s="114" t="s">
        <v>9446</v>
      </c>
      <c r="E5762" s="114" t="s">
        <v>9447</v>
      </c>
    </row>
    <row r="5763" spans="1:5" x14ac:dyDescent="0.25">
      <c r="B5763" s="114" t="s">
        <v>3457</v>
      </c>
      <c r="D5763" s="114" t="s">
        <v>1073</v>
      </c>
      <c r="E5763" s="114" t="s">
        <v>6035</v>
      </c>
    </row>
    <row r="5764" spans="1:5" x14ac:dyDescent="0.25">
      <c r="B5764" s="114" t="s">
        <v>2347</v>
      </c>
      <c r="D5764" s="114" t="s">
        <v>1073</v>
      </c>
      <c r="E5764" s="114" t="s">
        <v>9448</v>
      </c>
    </row>
    <row r="5765" spans="1:5" x14ac:dyDescent="0.25">
      <c r="A5765" s="114">
        <v>-55</v>
      </c>
      <c r="B5765" s="114" t="s">
        <v>1077</v>
      </c>
      <c r="D5765" s="114" t="s">
        <v>1086</v>
      </c>
      <c r="E5765" s="114" t="s">
        <v>9449</v>
      </c>
    </row>
    <row r="5766" spans="1:5" x14ac:dyDescent="0.25">
      <c r="B5766" s="114" t="s">
        <v>1073</v>
      </c>
      <c r="D5766" s="114">
        <f>-9    -21</f>
        <v>-30</v>
      </c>
      <c r="E5766" s="114" t="s">
        <v>9450</v>
      </c>
    </row>
    <row r="5767" spans="1:5" x14ac:dyDescent="0.25">
      <c r="B5767" s="114">
        <f>-6    -50</f>
        <v>-56</v>
      </c>
      <c r="D5767" s="114" t="s">
        <v>1073</v>
      </c>
      <c r="E5767" s="114" t="s">
        <v>9451</v>
      </c>
    </row>
    <row r="5768" spans="1:5" x14ac:dyDescent="0.25">
      <c r="A5768" s="114">
        <v>-62</v>
      </c>
      <c r="B5768" s="114" t="s">
        <v>3458</v>
      </c>
      <c r="D5768" s="114">
        <f>-231   -483</f>
        <v>-714</v>
      </c>
      <c r="E5768" s="114" t="s">
        <v>9452</v>
      </c>
    </row>
    <row r="5769" spans="1:5" x14ac:dyDescent="0.25">
      <c r="A5769" s="114" t="s">
        <v>1072</v>
      </c>
      <c r="B5769" s="114" t="s">
        <v>3459</v>
      </c>
      <c r="D5769" s="114" t="s">
        <v>9453</v>
      </c>
      <c r="E5769" s="114" t="s">
        <v>9454</v>
      </c>
    </row>
    <row r="5770" spans="1:5" x14ac:dyDescent="0.25">
      <c r="B5770" s="114" t="s">
        <v>3460</v>
      </c>
      <c r="D5770" s="114" t="s">
        <v>1073</v>
      </c>
      <c r="E5770" s="114" t="s">
        <v>9455</v>
      </c>
    </row>
    <row r="5771" spans="1:5" x14ac:dyDescent="0.25">
      <c r="A5771" s="114">
        <v>-60</v>
      </c>
      <c r="B5771" s="114" t="s">
        <v>3461</v>
      </c>
      <c r="D5771" s="114" t="s">
        <v>9456</v>
      </c>
      <c r="E5771" s="114" t="s">
        <v>9457</v>
      </c>
    </row>
    <row r="5772" spans="1:5" x14ac:dyDescent="0.25">
      <c r="B5772" s="114" t="s">
        <v>1504</v>
      </c>
      <c r="D5772" s="114" t="s">
        <v>9458</v>
      </c>
      <c r="E5772" s="114" t="s">
        <v>9459</v>
      </c>
    </row>
    <row r="5773" spans="1:5" x14ac:dyDescent="0.25">
      <c r="B5773" s="114" t="s">
        <v>3462</v>
      </c>
      <c r="D5773" s="114" t="s">
        <v>1073</v>
      </c>
      <c r="E5773" s="114" t="s">
        <v>9460</v>
      </c>
    </row>
    <row r="5774" spans="1:5" x14ac:dyDescent="0.25">
      <c r="A5774" s="114">
        <v>-57</v>
      </c>
      <c r="B5774" s="114" t="s">
        <v>3463</v>
      </c>
      <c r="D5774" s="114" t="s">
        <v>1073</v>
      </c>
      <c r="E5774" s="114" t="s">
        <v>9461</v>
      </c>
    </row>
    <row r="5775" spans="1:5" x14ac:dyDescent="0.25">
      <c r="B5775" s="114" t="s">
        <v>3464</v>
      </c>
      <c r="D5775" s="114" t="s">
        <v>5520</v>
      </c>
      <c r="E5775" s="114" t="s">
        <v>9462</v>
      </c>
    </row>
    <row r="5776" spans="1:5" x14ac:dyDescent="0.25">
      <c r="B5776" s="114" t="s">
        <v>1073</v>
      </c>
      <c r="D5776" s="114" t="s">
        <v>1073</v>
      </c>
      <c r="E5776" s="114" t="s">
        <v>9463</v>
      </c>
    </row>
    <row r="5777" spans="1:5" x14ac:dyDescent="0.25">
      <c r="A5777" s="114">
        <v>-68</v>
      </c>
      <c r="B5777" s="114" t="s">
        <v>1202</v>
      </c>
      <c r="D5777" s="114" t="s">
        <v>1073</v>
      </c>
      <c r="E5777" s="114" t="s">
        <v>9464</v>
      </c>
    </row>
    <row r="5778" spans="1:5" x14ac:dyDescent="0.25">
      <c r="A5778" s="114" t="s">
        <v>1072</v>
      </c>
      <c r="B5778" s="114" t="s">
        <v>3465</v>
      </c>
      <c r="D5778" s="114" t="s">
        <v>9465</v>
      </c>
      <c r="E5778" s="114" t="s">
        <v>9466</v>
      </c>
    </row>
    <row r="5779" spans="1:5" x14ac:dyDescent="0.25">
      <c r="B5779" s="114" t="s">
        <v>3466</v>
      </c>
      <c r="D5779" s="114" t="s">
        <v>1073</v>
      </c>
      <c r="E5779" s="114" t="s">
        <v>9467</v>
      </c>
    </row>
    <row r="5780" spans="1:5" x14ac:dyDescent="0.25">
      <c r="A5780" s="114">
        <v>1</v>
      </c>
      <c r="B5780" s="114" t="s">
        <v>3467</v>
      </c>
      <c r="D5780" s="114" t="s">
        <v>9468</v>
      </c>
      <c r="E5780" s="114" t="s">
        <v>4044</v>
      </c>
    </row>
    <row r="5781" spans="1:5" x14ac:dyDescent="0.25">
      <c r="B5781" s="114" t="s">
        <v>1073</v>
      </c>
      <c r="D5781" s="114" t="s">
        <v>9469</v>
      </c>
      <c r="E5781" s="114" t="s">
        <v>9470</v>
      </c>
    </row>
    <row r="5782" spans="1:5" x14ac:dyDescent="0.25">
      <c r="B5782" s="114" t="s">
        <v>2786</v>
      </c>
      <c r="D5782" s="114" t="s">
        <v>9471</v>
      </c>
      <c r="E5782" s="114" t="s">
        <v>9472</v>
      </c>
    </row>
    <row r="5783" spans="1:5" x14ac:dyDescent="0.25">
      <c r="A5783" s="114">
        <v>-2</v>
      </c>
      <c r="B5783" s="114" t="s">
        <v>1440</v>
      </c>
      <c r="D5783" s="114" t="s">
        <v>1073</v>
      </c>
      <c r="E5783" s="114" t="s">
        <v>3993</v>
      </c>
    </row>
    <row r="5784" spans="1:5" x14ac:dyDescent="0.25">
      <c r="B5784" s="114" t="s">
        <v>1073</v>
      </c>
      <c r="D5784" s="114" t="s">
        <v>1073</v>
      </c>
      <c r="E5784" s="114" t="s">
        <v>9473</v>
      </c>
    </row>
    <row r="5785" spans="1:5" x14ac:dyDescent="0.25">
      <c r="B5785" s="114" t="s">
        <v>1460</v>
      </c>
      <c r="D5785" s="114" t="s">
        <v>9474</v>
      </c>
      <c r="E5785" s="114" t="s">
        <v>9475</v>
      </c>
    </row>
    <row r="5786" spans="1:5" x14ac:dyDescent="0.25">
      <c r="B5786" s="114" t="s">
        <v>1073</v>
      </c>
      <c r="D5786" s="114" t="s">
        <v>9476</v>
      </c>
      <c r="E5786" s="114" t="s">
        <v>9477</v>
      </c>
    </row>
    <row r="5787" spans="1:5" x14ac:dyDescent="0.25">
      <c r="A5787" s="114">
        <v>2</v>
      </c>
      <c r="B5787" s="114" t="s">
        <v>3468</v>
      </c>
      <c r="D5787" s="114" t="s">
        <v>9478</v>
      </c>
      <c r="E5787" s="114" t="s">
        <v>9479</v>
      </c>
    </row>
    <row r="5788" spans="1:5" x14ac:dyDescent="0.25">
      <c r="A5788" s="114" t="s">
        <v>1072</v>
      </c>
      <c r="B5788" s="114" t="s">
        <v>3469</v>
      </c>
      <c r="D5788" s="114" t="s">
        <v>9480</v>
      </c>
      <c r="E5788" s="114" t="s">
        <v>9481</v>
      </c>
    </row>
    <row r="5789" spans="1:5" x14ac:dyDescent="0.25">
      <c r="B5789" s="114" t="s">
        <v>3470</v>
      </c>
      <c r="D5789" s="114" t="s">
        <v>9482</v>
      </c>
      <c r="E5789" s="114" t="s">
        <v>9483</v>
      </c>
    </row>
    <row r="5790" spans="1:5" x14ac:dyDescent="0.25">
      <c r="B5790" s="114" t="s">
        <v>3471</v>
      </c>
      <c r="D5790" s="114" t="s">
        <v>9484</v>
      </c>
      <c r="E5790" s="114" t="s">
        <v>9485</v>
      </c>
    </row>
    <row r="5791" spans="1:5" x14ac:dyDescent="0.25">
      <c r="A5791" s="114">
        <v>42</v>
      </c>
      <c r="B5791" s="114" t="s">
        <v>3472</v>
      </c>
      <c r="C5791" s="114">
        <v>4</v>
      </c>
      <c r="D5791" s="114" t="s">
        <v>9486</v>
      </c>
      <c r="E5791" s="114" t="s">
        <v>9487</v>
      </c>
    </row>
    <row r="5792" spans="1:5" x14ac:dyDescent="0.25">
      <c r="A5792" s="114">
        <v>47</v>
      </c>
      <c r="B5792" s="114" t="s">
        <v>3473</v>
      </c>
      <c r="C5792" s="114">
        <v>4</v>
      </c>
      <c r="D5792" s="114" t="s">
        <v>9488</v>
      </c>
      <c r="E5792" s="114" t="s">
        <v>9489</v>
      </c>
    </row>
    <row r="5793" spans="1:5" x14ac:dyDescent="0.25">
      <c r="B5793" s="114" t="s">
        <v>1266</v>
      </c>
      <c r="D5793" s="114" t="s">
        <v>1221</v>
      </c>
      <c r="E5793" s="114" t="s">
        <v>9490</v>
      </c>
    </row>
    <row r="5794" spans="1:5" x14ac:dyDescent="0.25">
      <c r="B5794" s="114" t="s">
        <v>1073</v>
      </c>
      <c r="D5794" s="114" t="s">
        <v>1073</v>
      </c>
      <c r="E5794" s="114" t="s">
        <v>9491</v>
      </c>
    </row>
    <row r="5795" spans="1:5" x14ac:dyDescent="0.25">
      <c r="B5795" s="114" t="s">
        <v>3474</v>
      </c>
      <c r="C5795" s="114">
        <v>-4</v>
      </c>
      <c r="D5795" s="114" t="s">
        <v>9492</v>
      </c>
      <c r="E5795" s="114" t="s">
        <v>9493</v>
      </c>
    </row>
    <row r="5796" spans="1:5" x14ac:dyDescent="0.25">
      <c r="B5796" s="114" t="s">
        <v>1168</v>
      </c>
      <c r="D5796" s="114" t="s">
        <v>5555</v>
      </c>
      <c r="E5796" s="114" t="s">
        <v>4077</v>
      </c>
    </row>
    <row r="5797" spans="1:5" x14ac:dyDescent="0.25">
      <c r="B5797" s="114" t="s">
        <v>1396</v>
      </c>
      <c r="D5797" s="114" t="s">
        <v>1073</v>
      </c>
      <c r="E5797" s="114" t="s">
        <v>9494</v>
      </c>
    </row>
    <row r="5798" spans="1:5" x14ac:dyDescent="0.25">
      <c r="B5798" s="114" t="s">
        <v>1140</v>
      </c>
      <c r="D5798" s="114" t="s">
        <v>1073</v>
      </c>
      <c r="E5798" s="114" t="s">
        <v>9495</v>
      </c>
    </row>
    <row r="5799" spans="1:5" x14ac:dyDescent="0.25">
      <c r="B5799" s="114" t="s">
        <v>3475</v>
      </c>
      <c r="D5799" s="114" t="s">
        <v>9496</v>
      </c>
      <c r="E5799" s="114" t="s">
        <v>9497</v>
      </c>
    </row>
    <row r="5800" spans="1:5" x14ac:dyDescent="0.25">
      <c r="A5800" s="114" t="s">
        <v>1072</v>
      </c>
      <c r="B5800" s="114" t="s">
        <v>1475</v>
      </c>
      <c r="D5800" s="114" t="s">
        <v>1073</v>
      </c>
      <c r="E5800" s="114" t="s">
        <v>9498</v>
      </c>
    </row>
    <row r="5801" spans="1:5" x14ac:dyDescent="0.25">
      <c r="B5801" s="114" t="s">
        <v>3476</v>
      </c>
      <c r="D5801" s="114" t="s">
        <v>9499</v>
      </c>
      <c r="E5801" s="114" t="s">
        <v>9500</v>
      </c>
    </row>
    <row r="5802" spans="1:5" x14ac:dyDescent="0.25">
      <c r="B5802" s="114" t="s">
        <v>3477</v>
      </c>
      <c r="D5802" s="114" t="s">
        <v>6585</v>
      </c>
      <c r="E5802" s="114" t="s">
        <v>9501</v>
      </c>
    </row>
    <row r="5803" spans="1:5" x14ac:dyDescent="0.25">
      <c r="B5803" s="114" t="s">
        <v>1229</v>
      </c>
      <c r="D5803" s="114" t="s">
        <v>1073</v>
      </c>
      <c r="E5803" s="114" t="s">
        <v>9502</v>
      </c>
    </row>
    <row r="5804" spans="1:5" x14ac:dyDescent="0.25">
      <c r="B5804" s="114" t="s">
        <v>3478</v>
      </c>
      <c r="D5804" s="114" t="s">
        <v>9503</v>
      </c>
      <c r="E5804" s="114" t="s">
        <v>9504</v>
      </c>
    </row>
    <row r="5805" spans="1:5" x14ac:dyDescent="0.25">
      <c r="A5805" s="114">
        <v>2</v>
      </c>
      <c r="B5805" s="114" t="s">
        <v>3479</v>
      </c>
      <c r="D5805" s="114" t="s">
        <v>6793</v>
      </c>
      <c r="E5805" s="114" t="s">
        <v>9505</v>
      </c>
    </row>
    <row r="5806" spans="1:5" x14ac:dyDescent="0.25">
      <c r="A5806" s="114" t="s">
        <v>1072</v>
      </c>
      <c r="B5806" s="114" t="s">
        <v>1303</v>
      </c>
      <c r="D5806" s="114" t="s">
        <v>1073</v>
      </c>
      <c r="E5806" s="114" t="s">
        <v>9506</v>
      </c>
    </row>
    <row r="5807" spans="1:5" x14ac:dyDescent="0.25">
      <c r="A5807" s="114" t="s">
        <v>1072</v>
      </c>
      <c r="B5807" s="114" t="s">
        <v>1213</v>
      </c>
      <c r="D5807" s="114" t="s">
        <v>9507</v>
      </c>
      <c r="E5807" s="114" t="s">
        <v>9508</v>
      </c>
    </row>
    <row r="5808" spans="1:5" x14ac:dyDescent="0.25">
      <c r="A5808" s="114">
        <v>1</v>
      </c>
      <c r="B5808" s="114" t="s">
        <v>1422</v>
      </c>
      <c r="D5808" s="114" t="s">
        <v>9509</v>
      </c>
      <c r="E5808" s="114" t="s">
        <v>9510</v>
      </c>
    </row>
    <row r="5809" spans="1:5" x14ac:dyDescent="0.25">
      <c r="B5809" s="114" t="s">
        <v>1073</v>
      </c>
      <c r="D5809" s="114" t="s">
        <v>1073</v>
      </c>
      <c r="E5809" s="114" t="s">
        <v>9511</v>
      </c>
    </row>
    <row r="5810" spans="1:5" x14ac:dyDescent="0.25">
      <c r="B5810" s="114" t="s">
        <v>1073</v>
      </c>
      <c r="D5810" s="114" t="s">
        <v>1073</v>
      </c>
      <c r="E5810" s="114" t="s">
        <v>9512</v>
      </c>
    </row>
    <row r="5811" spans="1:5" x14ac:dyDescent="0.25">
      <c r="A5811" s="114">
        <v>-1</v>
      </c>
      <c r="B5811" s="114" t="s">
        <v>3480</v>
      </c>
      <c r="D5811" s="114" t="s">
        <v>1073</v>
      </c>
      <c r="E5811" s="114" t="s">
        <v>9513</v>
      </c>
    </row>
    <row r="5812" spans="1:5" x14ac:dyDescent="0.25">
      <c r="A5812" s="114" t="s">
        <v>1072</v>
      </c>
      <c r="B5812" s="114" t="s">
        <v>1163</v>
      </c>
      <c r="D5812" s="114" t="s">
        <v>1073</v>
      </c>
      <c r="E5812" s="114" t="s">
        <v>9514</v>
      </c>
    </row>
    <row r="5813" spans="1:5" x14ac:dyDescent="0.25">
      <c r="B5813" s="114" t="s">
        <v>3481</v>
      </c>
      <c r="D5813" s="114" t="s">
        <v>9515</v>
      </c>
      <c r="E5813" s="114" t="s">
        <v>3993</v>
      </c>
    </row>
    <row r="5814" spans="1:5" x14ac:dyDescent="0.25">
      <c r="B5814" s="114" t="s">
        <v>3482</v>
      </c>
      <c r="D5814" s="114" t="s">
        <v>9516</v>
      </c>
      <c r="E5814" s="114" t="s">
        <v>9517</v>
      </c>
    </row>
    <row r="5815" spans="1:5" x14ac:dyDescent="0.25">
      <c r="B5815" s="114" t="s">
        <v>3483</v>
      </c>
      <c r="D5815" s="114" t="s">
        <v>9518</v>
      </c>
      <c r="E5815" s="114" t="s">
        <v>9519</v>
      </c>
    </row>
    <row r="5816" spans="1:5" x14ac:dyDescent="0.25">
      <c r="B5816" s="114" t="s">
        <v>1073</v>
      </c>
      <c r="D5816" s="114" t="s">
        <v>1073</v>
      </c>
      <c r="E5816" s="114" t="s">
        <v>3993</v>
      </c>
    </row>
    <row r="5817" spans="1:5" x14ac:dyDescent="0.25">
      <c r="B5817" s="114" t="s">
        <v>1073</v>
      </c>
      <c r="D5817" s="114" t="s">
        <v>1073</v>
      </c>
      <c r="E5817" s="114" t="s">
        <v>9520</v>
      </c>
    </row>
    <row r="5818" spans="1:5" x14ac:dyDescent="0.25">
      <c r="B5818" s="114" t="s">
        <v>3484</v>
      </c>
      <c r="D5818" s="114" t="s">
        <v>9521</v>
      </c>
      <c r="E5818" s="114" t="s">
        <v>9522</v>
      </c>
    </row>
    <row r="5819" spans="1:5" x14ac:dyDescent="0.25">
      <c r="B5819" s="114" t="s">
        <v>1278</v>
      </c>
      <c r="D5819" s="114" t="s">
        <v>9523</v>
      </c>
      <c r="E5819" s="114" t="s">
        <v>9524</v>
      </c>
    </row>
    <row r="5820" spans="1:5" x14ac:dyDescent="0.25">
      <c r="A5820" s="114">
        <v>1</v>
      </c>
      <c r="B5820" s="114" t="s">
        <v>3485</v>
      </c>
      <c r="D5820" s="114" t="s">
        <v>9525</v>
      </c>
      <c r="E5820" s="114" t="s">
        <v>9526</v>
      </c>
    </row>
    <row r="5821" spans="1:5" x14ac:dyDescent="0.25">
      <c r="B5821" s="114" t="s">
        <v>3486</v>
      </c>
      <c r="D5821" s="114" t="s">
        <v>9527</v>
      </c>
      <c r="E5821" s="114" t="s">
        <v>9528</v>
      </c>
    </row>
    <row r="5822" spans="1:5" x14ac:dyDescent="0.25">
      <c r="B5822" s="114" t="s">
        <v>3487</v>
      </c>
      <c r="D5822" s="114">
        <f>-358   -857    -7</f>
        <v>-1222</v>
      </c>
      <c r="E5822" s="114" t="s">
        <v>9529</v>
      </c>
    </row>
    <row r="5823" spans="1:5" x14ac:dyDescent="0.25">
      <c r="B5823" s="114" t="s">
        <v>3488</v>
      </c>
      <c r="D5823" s="114" t="s">
        <v>9530</v>
      </c>
      <c r="E5823" s="114" t="s">
        <v>9531</v>
      </c>
    </row>
    <row r="5824" spans="1:5" x14ac:dyDescent="0.25">
      <c r="A5824" s="114">
        <v>38</v>
      </c>
      <c r="B5824" s="114" t="s">
        <v>3489</v>
      </c>
      <c r="C5824" s="114">
        <v>4</v>
      </c>
      <c r="D5824" s="114" t="s">
        <v>9532</v>
      </c>
      <c r="E5824" s="114" t="s">
        <v>9533</v>
      </c>
    </row>
    <row r="5825" spans="1:5" x14ac:dyDescent="0.25">
      <c r="A5825" s="114">
        <v>46</v>
      </c>
      <c r="B5825" s="114" t="s">
        <v>3490</v>
      </c>
      <c r="C5825" s="114">
        <v>5</v>
      </c>
      <c r="D5825" s="114" t="s">
        <v>9534</v>
      </c>
      <c r="E5825" s="114" t="s">
        <v>9535</v>
      </c>
    </row>
    <row r="5826" spans="1:5" x14ac:dyDescent="0.25">
      <c r="B5826" s="114" t="s">
        <v>1449</v>
      </c>
      <c r="D5826" s="114" t="s">
        <v>9536</v>
      </c>
      <c r="E5826" s="114" t="s">
        <v>9537</v>
      </c>
    </row>
    <row r="5827" spans="1:5" x14ac:dyDescent="0.25">
      <c r="B5827" s="114" t="s">
        <v>1073</v>
      </c>
      <c r="D5827" s="114" t="s">
        <v>1073</v>
      </c>
      <c r="E5827" s="114" t="s">
        <v>9538</v>
      </c>
    </row>
    <row r="5828" spans="1:5" x14ac:dyDescent="0.25">
      <c r="B5828" s="114" t="s">
        <v>1504</v>
      </c>
      <c r="C5828" s="114">
        <v>-4</v>
      </c>
      <c r="D5828" s="152">
        <v>1527201</v>
      </c>
      <c r="E5828" s="114" t="s">
        <v>9539</v>
      </c>
    </row>
    <row r="5829" spans="1:5" x14ac:dyDescent="0.25">
      <c r="B5829" s="114" t="s">
        <v>1442</v>
      </c>
      <c r="D5829" s="114" t="s">
        <v>4339</v>
      </c>
      <c r="E5829" s="114" t="s">
        <v>4088</v>
      </c>
    </row>
    <row r="5830" spans="1:5" x14ac:dyDescent="0.25">
      <c r="B5830" s="114" t="s">
        <v>3491</v>
      </c>
      <c r="D5830" s="114" t="s">
        <v>1073</v>
      </c>
      <c r="E5830" s="114" t="s">
        <v>9540</v>
      </c>
    </row>
    <row r="5831" spans="1:5" x14ac:dyDescent="0.25">
      <c r="B5831" s="114" t="s">
        <v>1266</v>
      </c>
      <c r="D5831" s="114" t="s">
        <v>1073</v>
      </c>
      <c r="E5831" s="114" t="s">
        <v>9541</v>
      </c>
    </row>
    <row r="5832" spans="1:5" x14ac:dyDescent="0.25">
      <c r="B5832" s="114" t="s">
        <v>1183</v>
      </c>
      <c r="D5832" s="114" t="s">
        <v>9542</v>
      </c>
      <c r="E5832" s="114" t="s">
        <v>9543</v>
      </c>
    </row>
    <row r="5833" spans="1:5" x14ac:dyDescent="0.25">
      <c r="B5833" s="114" t="s">
        <v>3492</v>
      </c>
      <c r="D5833" s="114" t="s">
        <v>1073</v>
      </c>
      <c r="E5833" s="114" t="s">
        <v>9544</v>
      </c>
    </row>
    <row r="5834" spans="1:5" x14ac:dyDescent="0.25">
      <c r="A5834" s="114" t="s">
        <v>1072</v>
      </c>
      <c r="B5834" s="114" t="s">
        <v>3493</v>
      </c>
      <c r="D5834" s="114" t="s">
        <v>9545</v>
      </c>
      <c r="E5834" s="114" t="s">
        <v>9546</v>
      </c>
    </row>
    <row r="5835" spans="1:5" x14ac:dyDescent="0.25">
      <c r="A5835" s="114" t="s">
        <v>1072</v>
      </c>
      <c r="B5835" s="114" t="s">
        <v>3494</v>
      </c>
      <c r="D5835" s="114" t="s">
        <v>5032</v>
      </c>
      <c r="E5835" s="114" t="s">
        <v>9547</v>
      </c>
    </row>
    <row r="5836" spans="1:5" x14ac:dyDescent="0.25">
      <c r="B5836" s="114" t="s">
        <v>3495</v>
      </c>
      <c r="D5836" s="114" t="s">
        <v>1073</v>
      </c>
      <c r="E5836" s="114" t="s">
        <v>9548</v>
      </c>
    </row>
    <row r="5837" spans="1:5" x14ac:dyDescent="0.25">
      <c r="A5837" s="114" t="s">
        <v>1072</v>
      </c>
      <c r="B5837" s="114" t="s">
        <v>3496</v>
      </c>
      <c r="D5837" s="114" t="s">
        <v>9549</v>
      </c>
      <c r="E5837" s="114" t="s">
        <v>9550</v>
      </c>
    </row>
    <row r="5838" spans="1:5" x14ac:dyDescent="0.25">
      <c r="A5838" s="114">
        <v>-1</v>
      </c>
      <c r="B5838" s="114" t="s">
        <v>3497</v>
      </c>
      <c r="D5838" s="114" t="s">
        <v>2347</v>
      </c>
      <c r="E5838" s="114" t="s">
        <v>9551</v>
      </c>
    </row>
    <row r="5839" spans="1:5" x14ac:dyDescent="0.25">
      <c r="B5839" s="114" t="s">
        <v>2940</v>
      </c>
      <c r="D5839" s="114" t="s">
        <v>1073</v>
      </c>
      <c r="E5839" s="114" t="s">
        <v>9552</v>
      </c>
    </row>
    <row r="5840" spans="1:5" x14ac:dyDescent="0.25">
      <c r="B5840" s="114" t="s">
        <v>1242</v>
      </c>
      <c r="D5840" s="114" t="s">
        <v>9553</v>
      </c>
      <c r="E5840" s="114" t="s">
        <v>9554</v>
      </c>
    </row>
    <row r="5841" spans="1:5" x14ac:dyDescent="0.25">
      <c r="A5841" s="114">
        <v>1</v>
      </c>
      <c r="B5841" s="114" t="s">
        <v>1256</v>
      </c>
      <c r="D5841" s="114" t="s">
        <v>9555</v>
      </c>
      <c r="E5841" s="114" t="s">
        <v>9556</v>
      </c>
    </row>
    <row r="5842" spans="1:5" x14ac:dyDescent="0.25">
      <c r="B5842" s="114" t="s">
        <v>1073</v>
      </c>
      <c r="D5842" s="114" t="s">
        <v>1073</v>
      </c>
      <c r="E5842" s="114" t="s">
        <v>9557</v>
      </c>
    </row>
    <row r="5843" spans="1:5" x14ac:dyDescent="0.25">
      <c r="B5843" s="114" t="s">
        <v>1073</v>
      </c>
      <c r="D5843" s="114" t="s">
        <v>1073</v>
      </c>
      <c r="E5843" s="114" t="s">
        <v>9558</v>
      </c>
    </row>
    <row r="5844" spans="1:5" x14ac:dyDescent="0.25">
      <c r="A5844" s="114">
        <v>-1</v>
      </c>
      <c r="B5844" s="114" t="s">
        <v>3498</v>
      </c>
      <c r="D5844" s="114" t="s">
        <v>1073</v>
      </c>
      <c r="E5844" s="114" t="s">
        <v>9559</v>
      </c>
    </row>
    <row r="5845" spans="1:5" x14ac:dyDescent="0.25">
      <c r="A5845" s="114">
        <v>-1</v>
      </c>
      <c r="B5845" s="114" t="s">
        <v>3499</v>
      </c>
      <c r="D5845" s="114" t="s">
        <v>1073</v>
      </c>
      <c r="E5845" s="114" t="s">
        <v>9560</v>
      </c>
    </row>
    <row r="5846" spans="1:5" x14ac:dyDescent="0.25">
      <c r="A5846" s="114">
        <v>1</v>
      </c>
      <c r="B5846" s="114" t="s">
        <v>3500</v>
      </c>
      <c r="D5846" s="114" t="s">
        <v>9561</v>
      </c>
      <c r="E5846" s="114" t="s">
        <v>3993</v>
      </c>
    </row>
    <row r="5847" spans="1:5" x14ac:dyDescent="0.25">
      <c r="B5847" s="114" t="s">
        <v>1185</v>
      </c>
      <c r="D5847" s="114" t="s">
        <v>9562</v>
      </c>
      <c r="E5847" s="114" t="s">
        <v>9563</v>
      </c>
    </row>
    <row r="5848" spans="1:5" x14ac:dyDescent="0.25">
      <c r="B5848" s="114" t="s">
        <v>1404</v>
      </c>
      <c r="D5848" s="114" t="s">
        <v>9564</v>
      </c>
      <c r="E5848" s="114" t="s">
        <v>9565</v>
      </c>
    </row>
    <row r="5849" spans="1:5" x14ac:dyDescent="0.25">
      <c r="B5849" s="114" t="s">
        <v>1073</v>
      </c>
      <c r="D5849" s="114" t="s">
        <v>1073</v>
      </c>
      <c r="E5849" s="114" t="s">
        <v>3993</v>
      </c>
    </row>
    <row r="5850" spans="1:5" x14ac:dyDescent="0.25">
      <c r="B5850" s="114" t="s">
        <v>1073</v>
      </c>
      <c r="D5850" s="114" t="s">
        <v>1073</v>
      </c>
      <c r="E5850" s="114" t="s">
        <v>9566</v>
      </c>
    </row>
    <row r="5851" spans="1:5" x14ac:dyDescent="0.25">
      <c r="B5851" s="114" t="s">
        <v>3501</v>
      </c>
      <c r="D5851" s="114" t="s">
        <v>9567</v>
      </c>
      <c r="E5851" s="114" t="s">
        <v>9568</v>
      </c>
    </row>
    <row r="5852" spans="1:5" x14ac:dyDescent="0.25">
      <c r="B5852" s="114" t="s">
        <v>1232</v>
      </c>
      <c r="D5852" s="114" t="s">
        <v>9569</v>
      </c>
      <c r="E5852" s="114" t="s">
        <v>9570</v>
      </c>
    </row>
    <row r="5853" spans="1:5" x14ac:dyDescent="0.25">
      <c r="A5853" s="114">
        <v>1</v>
      </c>
      <c r="B5853" s="114" t="s">
        <v>3502</v>
      </c>
      <c r="D5853" s="114" t="s">
        <v>9571</v>
      </c>
      <c r="E5853" s="114" t="s">
        <v>9572</v>
      </c>
    </row>
    <row r="5854" spans="1:5" x14ac:dyDescent="0.25">
      <c r="B5854" s="114" t="s">
        <v>3503</v>
      </c>
      <c r="D5854" s="114" t="s">
        <v>9573</v>
      </c>
      <c r="E5854" s="114" t="s">
        <v>9574</v>
      </c>
    </row>
    <row r="5855" spans="1:5" x14ac:dyDescent="0.25">
      <c r="B5855" s="114" t="s">
        <v>3504</v>
      </c>
      <c r="D5855" s="114">
        <f>-1  -1574   -12</f>
        <v>-1587</v>
      </c>
      <c r="E5855" s="114" t="s">
        <v>9575</v>
      </c>
    </row>
    <row r="5856" spans="1:5" x14ac:dyDescent="0.25">
      <c r="B5856" s="114" t="s">
        <v>3505</v>
      </c>
      <c r="D5856" s="114" t="s">
        <v>9576</v>
      </c>
      <c r="E5856" s="114" t="s">
        <v>9577</v>
      </c>
    </row>
    <row r="5857" spans="1:5" x14ac:dyDescent="0.25">
      <c r="A5857" s="114">
        <v>43</v>
      </c>
      <c r="B5857" s="114" t="s">
        <v>3506</v>
      </c>
      <c r="C5857" s="114">
        <v>4</v>
      </c>
      <c r="D5857" s="114" t="s">
        <v>9578</v>
      </c>
      <c r="E5857" s="114" t="s">
        <v>9579</v>
      </c>
    </row>
    <row r="5858" spans="1:5" x14ac:dyDescent="0.25">
      <c r="A5858" s="114">
        <v>43</v>
      </c>
      <c r="B5858" s="114" t="s">
        <v>3507</v>
      </c>
      <c r="C5858" s="114">
        <v>5</v>
      </c>
      <c r="D5858" s="114" t="s">
        <v>9580</v>
      </c>
      <c r="E5858" s="114" t="s">
        <v>9581</v>
      </c>
    </row>
    <row r="5859" spans="1:5" x14ac:dyDescent="0.25">
      <c r="B5859" s="114" t="s">
        <v>1073</v>
      </c>
      <c r="D5859" s="114" t="s">
        <v>9582</v>
      </c>
      <c r="E5859" s="114" t="s">
        <v>9583</v>
      </c>
    </row>
    <row r="5860" spans="1:5" x14ac:dyDescent="0.25">
      <c r="B5860" s="114" t="s">
        <v>1073</v>
      </c>
      <c r="D5860" s="114" t="s">
        <v>1073</v>
      </c>
      <c r="E5860" s="114" t="s">
        <v>9584</v>
      </c>
    </row>
    <row r="5861" spans="1:5" x14ac:dyDescent="0.25">
      <c r="B5861" s="114" t="s">
        <v>1073</v>
      </c>
      <c r="C5861" s="114" t="s">
        <v>1072</v>
      </c>
      <c r="D5861" s="114" t="s">
        <v>9585</v>
      </c>
      <c r="E5861" s="114" t="s">
        <v>9586</v>
      </c>
    </row>
    <row r="5862" spans="1:5" x14ac:dyDescent="0.25">
      <c r="B5862" s="114" t="s">
        <v>3508</v>
      </c>
      <c r="D5862" s="114" t="s">
        <v>1073</v>
      </c>
      <c r="E5862" s="114" t="s">
        <v>9587</v>
      </c>
    </row>
    <row r="5863" spans="1:5" x14ac:dyDescent="0.25">
      <c r="B5863" s="114" t="s">
        <v>3509</v>
      </c>
      <c r="D5863" s="114" t="s">
        <v>1073</v>
      </c>
      <c r="E5863" s="114" t="s">
        <v>9588</v>
      </c>
    </row>
    <row r="5864" spans="1:5" x14ac:dyDescent="0.25">
      <c r="A5864" s="114">
        <v>-78</v>
      </c>
      <c r="B5864" s="114" t="s">
        <v>3510</v>
      </c>
      <c r="D5864" s="114" t="s">
        <v>9589</v>
      </c>
      <c r="E5864" s="114" t="s">
        <v>9590</v>
      </c>
    </row>
    <row r="5865" spans="1:5" x14ac:dyDescent="0.25">
      <c r="B5865" s="114" t="s">
        <v>1073</v>
      </c>
      <c r="D5865" s="114" t="s">
        <v>9591</v>
      </c>
      <c r="E5865" s="114" t="s">
        <v>9592</v>
      </c>
    </row>
    <row r="5866" spans="1:5" x14ac:dyDescent="0.25">
      <c r="B5866" s="114" t="s">
        <v>3511</v>
      </c>
      <c r="D5866" s="114" t="s">
        <v>1073</v>
      </c>
      <c r="E5866" s="114" t="s">
        <v>9593</v>
      </c>
    </row>
    <row r="5867" spans="1:5" x14ac:dyDescent="0.25">
      <c r="A5867" s="114">
        <v>-85</v>
      </c>
      <c r="B5867" s="114" t="s">
        <v>3512</v>
      </c>
      <c r="D5867" s="114">
        <f>-363    -90</f>
        <v>-453</v>
      </c>
      <c r="E5867" s="114" t="s">
        <v>9594</v>
      </c>
    </row>
    <row r="5868" spans="1:5" x14ac:dyDescent="0.25">
      <c r="B5868" s="114" t="s">
        <v>3513</v>
      </c>
      <c r="D5868" s="114" t="s">
        <v>9595</v>
      </c>
      <c r="E5868" s="114" t="s">
        <v>9596</v>
      </c>
    </row>
    <row r="5869" spans="1:5" x14ac:dyDescent="0.25">
      <c r="B5869" s="114" t="s">
        <v>3514</v>
      </c>
      <c r="D5869" s="114" t="s">
        <v>1073</v>
      </c>
      <c r="E5869" s="114" t="s">
        <v>9597</v>
      </c>
    </row>
    <row r="5870" spans="1:5" x14ac:dyDescent="0.25">
      <c r="A5870" s="114">
        <v>-87</v>
      </c>
      <c r="B5870" s="114" t="s">
        <v>3515</v>
      </c>
      <c r="D5870" s="114" t="s">
        <v>9598</v>
      </c>
      <c r="E5870" s="114" t="s">
        <v>9599</v>
      </c>
    </row>
    <row r="5871" spans="1:5" x14ac:dyDescent="0.25">
      <c r="B5871" s="114" t="s">
        <v>3516</v>
      </c>
      <c r="D5871" s="114" t="s">
        <v>9600</v>
      </c>
      <c r="E5871" s="114" t="s">
        <v>9601</v>
      </c>
    </row>
    <row r="5872" spans="1:5" x14ac:dyDescent="0.25">
      <c r="A5872" s="114">
        <v>1</v>
      </c>
      <c r="B5872" s="114" t="s">
        <v>3517</v>
      </c>
      <c r="D5872" s="114" t="s">
        <v>1073</v>
      </c>
      <c r="E5872" s="114" t="s">
        <v>9602</v>
      </c>
    </row>
    <row r="5873" spans="1:5" x14ac:dyDescent="0.25">
      <c r="A5873" s="114">
        <v>-83</v>
      </c>
      <c r="B5873" s="114" t="s">
        <v>3518</v>
      </c>
      <c r="D5873" s="114" t="s">
        <v>1073</v>
      </c>
      <c r="E5873" s="114" t="s">
        <v>9603</v>
      </c>
    </row>
    <row r="5874" spans="1:5" x14ac:dyDescent="0.25">
      <c r="B5874" s="114" t="s">
        <v>3519</v>
      </c>
      <c r="D5874" s="114" t="s">
        <v>4598</v>
      </c>
      <c r="E5874" s="114" t="s">
        <v>9604</v>
      </c>
    </row>
    <row r="5875" spans="1:5" x14ac:dyDescent="0.25">
      <c r="B5875" s="114" t="s">
        <v>1073</v>
      </c>
      <c r="D5875" s="114" t="s">
        <v>1073</v>
      </c>
      <c r="E5875" s="114" t="s">
        <v>9605</v>
      </c>
    </row>
    <row r="5876" spans="1:5" x14ac:dyDescent="0.25">
      <c r="A5876" s="114">
        <v>-91</v>
      </c>
      <c r="B5876" s="114" t="s">
        <v>2902</v>
      </c>
      <c r="D5876" s="114" t="s">
        <v>1073</v>
      </c>
      <c r="E5876" s="114" t="s">
        <v>9606</v>
      </c>
    </row>
    <row r="5877" spans="1:5" x14ac:dyDescent="0.25">
      <c r="B5877" s="114" t="s">
        <v>3520</v>
      </c>
      <c r="D5877" s="114" t="s">
        <v>9607</v>
      </c>
      <c r="E5877" s="114" t="s">
        <v>9608</v>
      </c>
    </row>
    <row r="5878" spans="1:5" x14ac:dyDescent="0.25">
      <c r="B5878" s="114" t="s">
        <v>3521</v>
      </c>
      <c r="D5878" s="114" t="s">
        <v>1073</v>
      </c>
      <c r="E5878" s="114" t="s">
        <v>9609</v>
      </c>
    </row>
    <row r="5879" spans="1:5" x14ac:dyDescent="0.25">
      <c r="B5879" s="114" t="s">
        <v>3522</v>
      </c>
      <c r="D5879" s="114" t="s">
        <v>9610</v>
      </c>
      <c r="E5879" s="114" t="s">
        <v>4077</v>
      </c>
    </row>
    <row r="5880" spans="1:5" x14ac:dyDescent="0.25">
      <c r="B5880" s="114" t="s">
        <v>1073</v>
      </c>
      <c r="D5880" s="114" t="s">
        <v>9611</v>
      </c>
      <c r="E5880" s="114" t="s">
        <v>9612</v>
      </c>
    </row>
    <row r="5881" spans="1:5" x14ac:dyDescent="0.25">
      <c r="B5881" s="114" t="s">
        <v>1423</v>
      </c>
      <c r="D5881" s="114" t="s">
        <v>9613</v>
      </c>
      <c r="E5881" s="114" t="s">
        <v>9614</v>
      </c>
    </row>
    <row r="5882" spans="1:5" x14ac:dyDescent="0.25">
      <c r="A5882" s="114" t="s">
        <v>1072</v>
      </c>
      <c r="B5882" s="114" t="s">
        <v>1188</v>
      </c>
      <c r="D5882" s="114" t="s">
        <v>1073</v>
      </c>
      <c r="E5882" s="114" t="s">
        <v>3993</v>
      </c>
    </row>
    <row r="5883" spans="1:5" x14ac:dyDescent="0.25">
      <c r="B5883" s="114" t="s">
        <v>1073</v>
      </c>
      <c r="D5883" s="114" t="s">
        <v>1073</v>
      </c>
      <c r="E5883" s="114" t="s">
        <v>9615</v>
      </c>
    </row>
    <row r="5884" spans="1:5" x14ac:dyDescent="0.25">
      <c r="B5884" s="114" t="s">
        <v>3523</v>
      </c>
      <c r="D5884" s="114" t="s">
        <v>9616</v>
      </c>
      <c r="E5884" s="114" t="s">
        <v>9617</v>
      </c>
    </row>
    <row r="5885" spans="1:5" x14ac:dyDescent="0.25">
      <c r="B5885" s="114" t="s">
        <v>1073</v>
      </c>
      <c r="D5885" s="114" t="s">
        <v>9618</v>
      </c>
      <c r="E5885" s="114" t="s">
        <v>9619</v>
      </c>
    </row>
    <row r="5886" spans="1:5" x14ac:dyDescent="0.25">
      <c r="B5886" s="114" t="s">
        <v>3524</v>
      </c>
      <c r="C5886" s="114" t="s">
        <v>1072</v>
      </c>
      <c r="D5886" s="114" t="s">
        <v>9620</v>
      </c>
      <c r="E5886" s="114" t="s">
        <v>9621</v>
      </c>
    </row>
    <row r="5887" spans="1:5" x14ac:dyDescent="0.25">
      <c r="A5887" s="114">
        <v>-1</v>
      </c>
      <c r="B5887" s="114" t="s">
        <v>3525</v>
      </c>
      <c r="D5887" s="114" t="s">
        <v>9622</v>
      </c>
      <c r="E5887" s="114" t="s">
        <v>9623</v>
      </c>
    </row>
    <row r="5888" spans="1:5" x14ac:dyDescent="0.25">
      <c r="A5888" s="114" t="s">
        <v>1072</v>
      </c>
      <c r="B5888" s="114" t="s">
        <v>3526</v>
      </c>
      <c r="D5888" s="114" t="s">
        <v>9624</v>
      </c>
      <c r="E5888" s="114" t="s">
        <v>9625</v>
      </c>
    </row>
    <row r="5889" spans="1:5" x14ac:dyDescent="0.25">
      <c r="B5889" s="114" t="s">
        <v>3527</v>
      </c>
      <c r="D5889" s="114" t="s">
        <v>9626</v>
      </c>
      <c r="E5889" s="114" t="s">
        <v>9627</v>
      </c>
    </row>
    <row r="5890" spans="1:5" x14ac:dyDescent="0.25">
      <c r="A5890" s="114">
        <v>58</v>
      </c>
      <c r="B5890" s="114" t="s">
        <v>3528</v>
      </c>
      <c r="C5890" s="114">
        <v>6</v>
      </c>
      <c r="D5890" s="114" t="s">
        <v>9628</v>
      </c>
      <c r="E5890" s="114" t="s">
        <v>9629</v>
      </c>
    </row>
    <row r="5891" spans="1:5" x14ac:dyDescent="0.25">
      <c r="A5891" s="114">
        <v>53</v>
      </c>
      <c r="B5891" s="114" t="s">
        <v>3529</v>
      </c>
      <c r="C5891" s="114">
        <v>5</v>
      </c>
      <c r="D5891" s="114" t="s">
        <v>9630</v>
      </c>
      <c r="E5891" s="114" t="s">
        <v>9631</v>
      </c>
    </row>
    <row r="5892" spans="1:5" x14ac:dyDescent="0.25">
      <c r="A5892" s="114" t="s">
        <v>1072</v>
      </c>
      <c r="B5892" s="114" t="s">
        <v>3530</v>
      </c>
      <c r="D5892" s="114" t="s">
        <v>4339</v>
      </c>
      <c r="E5892" s="114" t="s">
        <v>9632</v>
      </c>
    </row>
    <row r="5893" spans="1:5" x14ac:dyDescent="0.25">
      <c r="B5893" s="114">
        <f>-8   -434</f>
        <v>-442</v>
      </c>
      <c r="D5893" s="114" t="s">
        <v>1073</v>
      </c>
      <c r="E5893" s="114" t="s">
        <v>3993</v>
      </c>
    </row>
    <row r="5894" spans="1:5" x14ac:dyDescent="0.25">
      <c r="A5894" s="114" t="s">
        <v>1072</v>
      </c>
      <c r="B5894" s="114" t="s">
        <v>3531</v>
      </c>
      <c r="D5894" s="114" t="s">
        <v>9633</v>
      </c>
      <c r="E5894" s="114" t="s">
        <v>9634</v>
      </c>
    </row>
    <row r="5895" spans="1:5" x14ac:dyDescent="0.25">
      <c r="B5895" s="114" t="s">
        <v>1073</v>
      </c>
      <c r="D5895" s="114" t="s">
        <v>9635</v>
      </c>
      <c r="E5895" s="114" t="s">
        <v>9636</v>
      </c>
    </row>
    <row r="5896" spans="1:5" x14ac:dyDescent="0.25">
      <c r="B5896" s="114" t="s">
        <v>1073</v>
      </c>
      <c r="D5896" s="114" t="s">
        <v>9637</v>
      </c>
      <c r="E5896" s="114" t="s">
        <v>3993</v>
      </c>
    </row>
    <row r="5897" spans="1:5" x14ac:dyDescent="0.25">
      <c r="B5897" s="114" t="s">
        <v>3532</v>
      </c>
      <c r="C5897" s="114">
        <v>-8</v>
      </c>
      <c r="D5897" s="114" t="s">
        <v>9638</v>
      </c>
      <c r="E5897" s="114" t="s">
        <v>9639</v>
      </c>
    </row>
    <row r="5898" spans="1:5" x14ac:dyDescent="0.25">
      <c r="A5898" s="114" t="s">
        <v>1072</v>
      </c>
      <c r="B5898" s="114" t="s">
        <v>3533</v>
      </c>
      <c r="D5898" s="114" t="s">
        <v>9640</v>
      </c>
      <c r="E5898" s="114" t="s">
        <v>9641</v>
      </c>
    </row>
    <row r="5899" spans="1:5" x14ac:dyDescent="0.25">
      <c r="A5899" s="114" t="s">
        <v>1072</v>
      </c>
      <c r="B5899" s="114" t="s">
        <v>3534</v>
      </c>
      <c r="D5899" s="114" t="s">
        <v>9642</v>
      </c>
      <c r="E5899" s="114" t="s">
        <v>9643</v>
      </c>
    </row>
    <row r="5900" spans="1:5" x14ac:dyDescent="0.25">
      <c r="B5900" s="114" t="s">
        <v>3535</v>
      </c>
      <c r="C5900" s="114">
        <v>-8</v>
      </c>
      <c r="D5900" s="114" t="s">
        <v>9644</v>
      </c>
      <c r="E5900" s="114" t="s">
        <v>9645</v>
      </c>
    </row>
    <row r="5901" spans="1:5" x14ac:dyDescent="0.25">
      <c r="B5901" s="114" t="s">
        <v>3536</v>
      </c>
      <c r="D5901" s="114" t="s">
        <v>9646</v>
      </c>
      <c r="E5901" s="114" t="s">
        <v>9647</v>
      </c>
    </row>
    <row r="5902" spans="1:5" x14ac:dyDescent="0.25">
      <c r="A5902" s="114" t="s">
        <v>1072</v>
      </c>
      <c r="B5902" s="114" t="s">
        <v>3537</v>
      </c>
      <c r="D5902" s="114" t="s">
        <v>9648</v>
      </c>
      <c r="E5902" s="114" t="s">
        <v>9649</v>
      </c>
    </row>
    <row r="5903" spans="1:5" x14ac:dyDescent="0.25">
      <c r="B5903" s="114" t="s">
        <v>3538</v>
      </c>
      <c r="C5903" s="114">
        <v>-8</v>
      </c>
      <c r="D5903" s="114" t="s">
        <v>9650</v>
      </c>
      <c r="E5903" s="114" t="s">
        <v>9651</v>
      </c>
    </row>
    <row r="5904" spans="1:5" x14ac:dyDescent="0.25">
      <c r="A5904" s="114" t="s">
        <v>1072</v>
      </c>
      <c r="B5904" s="114" t="s">
        <v>1204</v>
      </c>
      <c r="D5904" s="114" t="s">
        <v>9652</v>
      </c>
      <c r="E5904" s="114" t="s">
        <v>9653</v>
      </c>
    </row>
    <row r="5905" spans="1:5" x14ac:dyDescent="0.25">
      <c r="B5905" s="114" t="s">
        <v>3539</v>
      </c>
      <c r="D5905" s="114" t="s">
        <v>9654</v>
      </c>
      <c r="E5905" s="114" t="s">
        <v>9655</v>
      </c>
    </row>
    <row r="5906" spans="1:5" x14ac:dyDescent="0.25">
      <c r="B5906" s="114" t="s">
        <v>3540</v>
      </c>
      <c r="C5906" s="114">
        <v>-8</v>
      </c>
      <c r="D5906" s="114" t="s">
        <v>9656</v>
      </c>
      <c r="E5906" s="114" t="s">
        <v>9657</v>
      </c>
    </row>
    <row r="5907" spans="1:5" x14ac:dyDescent="0.25">
      <c r="A5907" s="114">
        <v>-1</v>
      </c>
      <c r="B5907" s="114" t="s">
        <v>3541</v>
      </c>
      <c r="D5907" s="114" t="s">
        <v>9658</v>
      </c>
      <c r="E5907" s="114" t="s">
        <v>9659</v>
      </c>
    </row>
    <row r="5908" spans="1:5" x14ac:dyDescent="0.25">
      <c r="A5908" s="114">
        <v>-2</v>
      </c>
      <c r="B5908" s="114" t="s">
        <v>2327</v>
      </c>
      <c r="D5908" s="114" t="s">
        <v>1073</v>
      </c>
      <c r="E5908" s="114" t="s">
        <v>9660</v>
      </c>
    </row>
    <row r="5909" spans="1:5" x14ac:dyDescent="0.25">
      <c r="B5909" s="114" t="s">
        <v>2352</v>
      </c>
      <c r="C5909" s="114">
        <v>-9</v>
      </c>
      <c r="D5909" s="114" t="s">
        <v>9661</v>
      </c>
      <c r="E5909" s="114" t="s">
        <v>9662</v>
      </c>
    </row>
    <row r="5910" spans="1:5" x14ac:dyDescent="0.25">
      <c r="A5910" s="114">
        <v>-1</v>
      </c>
      <c r="B5910" s="114" t="s">
        <v>3542</v>
      </c>
      <c r="D5910" s="114" t="s">
        <v>9663</v>
      </c>
      <c r="E5910" s="114" t="s">
        <v>9664</v>
      </c>
    </row>
    <row r="5911" spans="1:5" x14ac:dyDescent="0.25">
      <c r="A5911" s="114">
        <v>-2</v>
      </c>
      <c r="B5911" s="114" t="s">
        <v>1514</v>
      </c>
      <c r="D5911" s="114" t="s">
        <v>9665</v>
      </c>
      <c r="E5911" s="114" t="s">
        <v>9666</v>
      </c>
    </row>
    <row r="5912" spans="1:5" x14ac:dyDescent="0.25">
      <c r="A5912" s="114">
        <v>1</v>
      </c>
      <c r="B5912" s="114" t="s">
        <v>3543</v>
      </c>
      <c r="D5912" s="114" t="s">
        <v>9667</v>
      </c>
      <c r="E5912" s="114" t="s">
        <v>9668</v>
      </c>
    </row>
    <row r="5913" spans="1:5" x14ac:dyDescent="0.25">
      <c r="B5913" s="114" t="s">
        <v>1073</v>
      </c>
      <c r="D5913" s="114" t="s">
        <v>4856</v>
      </c>
      <c r="E5913" s="114" t="s">
        <v>9669</v>
      </c>
    </row>
    <row r="5914" spans="1:5" x14ac:dyDescent="0.25">
      <c r="B5914" s="114" t="s">
        <v>1073</v>
      </c>
      <c r="D5914" s="114" t="s">
        <v>9670</v>
      </c>
      <c r="E5914" s="114" t="s">
        <v>9671</v>
      </c>
    </row>
    <row r="5915" spans="1:5" x14ac:dyDescent="0.25">
      <c r="B5915" s="114" t="s">
        <v>3544</v>
      </c>
      <c r="C5915" s="114" t="s">
        <v>1072</v>
      </c>
      <c r="D5915" s="114" t="s">
        <v>9672</v>
      </c>
      <c r="E5915" s="114" t="s">
        <v>3993</v>
      </c>
    </row>
    <row r="5916" spans="1:5" x14ac:dyDescent="0.25">
      <c r="B5916" s="114" t="s">
        <v>1073</v>
      </c>
      <c r="D5916" s="114" t="s">
        <v>1073</v>
      </c>
      <c r="E5916" s="114" t="s">
        <v>9673</v>
      </c>
    </row>
    <row r="5917" spans="1:5" x14ac:dyDescent="0.25">
      <c r="B5917" s="114" t="s">
        <v>1073</v>
      </c>
      <c r="D5917" s="114" t="s">
        <v>9674</v>
      </c>
      <c r="E5917" s="114" t="s">
        <v>9675</v>
      </c>
    </row>
    <row r="5918" spans="1:5" x14ac:dyDescent="0.25">
      <c r="A5918" s="114">
        <v>2</v>
      </c>
      <c r="B5918" s="114" t="s">
        <v>3545</v>
      </c>
      <c r="D5918" s="114" t="s">
        <v>7813</v>
      </c>
      <c r="E5918" s="114" t="s">
        <v>9676</v>
      </c>
    </row>
    <row r="5919" spans="1:5" x14ac:dyDescent="0.25">
      <c r="B5919" s="114" t="s">
        <v>3546</v>
      </c>
      <c r="D5919" s="114" t="s">
        <v>9677</v>
      </c>
      <c r="E5919" s="114" t="s">
        <v>9678</v>
      </c>
    </row>
    <row r="5920" spans="1:5" x14ac:dyDescent="0.25">
      <c r="B5920" s="114" t="s">
        <v>3547</v>
      </c>
      <c r="C5920" s="114" t="s">
        <v>1072</v>
      </c>
      <c r="D5920" s="114" t="s">
        <v>9679</v>
      </c>
      <c r="E5920" s="114" t="s">
        <v>9680</v>
      </c>
    </row>
    <row r="5921" spans="1:5" x14ac:dyDescent="0.25">
      <c r="A5921" s="114">
        <v>-1</v>
      </c>
      <c r="B5921" s="114" t="s">
        <v>3548</v>
      </c>
      <c r="D5921" s="114">
        <f>-253   -184   -18</f>
        <v>-455</v>
      </c>
      <c r="E5921" s="114" t="s">
        <v>9681</v>
      </c>
    </row>
    <row r="5922" spans="1:5" x14ac:dyDescent="0.25">
      <c r="B5922" s="114" t="s">
        <v>3549</v>
      </c>
      <c r="D5922" s="114" t="s">
        <v>9682</v>
      </c>
      <c r="E5922" s="114" t="s">
        <v>9683</v>
      </c>
    </row>
    <row r="5923" spans="1:5" x14ac:dyDescent="0.25">
      <c r="B5923" s="114" t="s">
        <v>3550</v>
      </c>
      <c r="C5923" s="114">
        <v>5</v>
      </c>
      <c r="D5923" s="114" t="s">
        <v>9684</v>
      </c>
      <c r="E5923" s="114" t="s">
        <v>9685</v>
      </c>
    </row>
    <row r="5924" spans="1:5" x14ac:dyDescent="0.25">
      <c r="A5924" s="114">
        <v>54</v>
      </c>
      <c r="B5924" s="114" t="s">
        <v>3551</v>
      </c>
      <c r="C5924" s="114">
        <v>5</v>
      </c>
      <c r="D5924" s="114" t="s">
        <v>9686</v>
      </c>
      <c r="E5924" s="114" t="s">
        <v>9687</v>
      </c>
    </row>
    <row r="5925" spans="1:5" x14ac:dyDescent="0.25">
      <c r="A5925" s="114">
        <v>98</v>
      </c>
      <c r="B5925" s="114" t="s">
        <v>3552</v>
      </c>
      <c r="C5925" s="114">
        <v>-5</v>
      </c>
      <c r="D5925" s="114" t="s">
        <v>9688</v>
      </c>
      <c r="E5925" s="114" t="s">
        <v>9689</v>
      </c>
    </row>
    <row r="5926" spans="1:5" x14ac:dyDescent="0.25">
      <c r="B5926" s="114" t="s">
        <v>1073</v>
      </c>
      <c r="D5926" s="114" t="s">
        <v>9690</v>
      </c>
      <c r="E5926" s="114" t="s">
        <v>3993</v>
      </c>
    </row>
    <row r="5927" spans="1:5" x14ac:dyDescent="0.25">
      <c r="B5927" s="114" t="s">
        <v>1073</v>
      </c>
      <c r="D5927" s="114" t="s">
        <v>9691</v>
      </c>
      <c r="E5927" s="114" t="s">
        <v>9692</v>
      </c>
    </row>
    <row r="5928" spans="1:5" x14ac:dyDescent="0.25">
      <c r="B5928" s="114" t="s">
        <v>3553</v>
      </c>
      <c r="D5928" s="114" t="s">
        <v>9693</v>
      </c>
      <c r="E5928" s="114" t="s">
        <v>9694</v>
      </c>
    </row>
    <row r="5929" spans="1:5" x14ac:dyDescent="0.25">
      <c r="B5929" s="114" t="s">
        <v>3554</v>
      </c>
      <c r="D5929" s="114" t="s">
        <v>1073</v>
      </c>
      <c r="E5929" s="114" t="s">
        <v>9695</v>
      </c>
    </row>
    <row r="5930" spans="1:5" x14ac:dyDescent="0.25">
      <c r="B5930" s="114" t="s">
        <v>1073</v>
      </c>
      <c r="D5930" s="114" t="s">
        <v>9696</v>
      </c>
      <c r="E5930" s="114" t="s">
        <v>9697</v>
      </c>
    </row>
    <row r="5931" spans="1:5" x14ac:dyDescent="0.25">
      <c r="B5931" s="114" t="s">
        <v>1073</v>
      </c>
      <c r="D5931" s="114">
        <f>-504   -633   -28</f>
        <v>-1165</v>
      </c>
      <c r="E5931" s="114" t="s">
        <v>9698</v>
      </c>
    </row>
    <row r="5932" spans="1:5" x14ac:dyDescent="0.25">
      <c r="B5932" s="114" t="s">
        <v>3555</v>
      </c>
      <c r="D5932" s="114" t="s">
        <v>9699</v>
      </c>
      <c r="E5932" s="114" t="s">
        <v>9700</v>
      </c>
    </row>
    <row r="5933" spans="1:5" x14ac:dyDescent="0.25">
      <c r="B5933" s="114" t="s">
        <v>3556</v>
      </c>
      <c r="D5933" s="114" t="s">
        <v>9701</v>
      </c>
      <c r="E5933" s="114" t="s">
        <v>9702</v>
      </c>
    </row>
    <row r="5934" spans="1:5" x14ac:dyDescent="0.25">
      <c r="B5934" s="114" t="s">
        <v>3557</v>
      </c>
      <c r="D5934" s="114" t="s">
        <v>9703</v>
      </c>
      <c r="E5934" s="114" t="s">
        <v>9704</v>
      </c>
    </row>
    <row r="5935" spans="1:5" x14ac:dyDescent="0.25">
      <c r="B5935" s="114">
        <f>-47   -622</f>
        <v>-669</v>
      </c>
      <c r="D5935" s="114" t="s">
        <v>9705</v>
      </c>
      <c r="E5935" s="114" t="s">
        <v>9706</v>
      </c>
    </row>
    <row r="5936" spans="1:5" x14ac:dyDescent="0.25">
      <c r="B5936" s="114" t="s">
        <v>3558</v>
      </c>
      <c r="D5936" s="114" t="s">
        <v>9707</v>
      </c>
      <c r="E5936" s="114" t="s">
        <v>9708</v>
      </c>
    </row>
    <row r="5937" spans="1:5" x14ac:dyDescent="0.25">
      <c r="B5937" s="114" t="s">
        <v>3559</v>
      </c>
      <c r="D5937" s="114" t="s">
        <v>1274</v>
      </c>
      <c r="E5937" s="114" t="s">
        <v>9709</v>
      </c>
    </row>
    <row r="5938" spans="1:5" x14ac:dyDescent="0.25">
      <c r="B5938" s="114" t="s">
        <v>1073</v>
      </c>
      <c r="D5938" s="114" t="s">
        <v>9710</v>
      </c>
      <c r="E5938" s="114" t="s">
        <v>9711</v>
      </c>
    </row>
    <row r="5939" spans="1:5" x14ac:dyDescent="0.25">
      <c r="B5939" s="114" t="s">
        <v>3560</v>
      </c>
      <c r="D5939" s="114" t="s">
        <v>9712</v>
      </c>
      <c r="E5939" s="114" t="s">
        <v>9713</v>
      </c>
    </row>
    <row r="5940" spans="1:5" x14ac:dyDescent="0.25">
      <c r="A5940" s="114" t="s">
        <v>1072</v>
      </c>
      <c r="B5940" s="114" t="s">
        <v>3561</v>
      </c>
      <c r="D5940" s="114">
        <f>-74  -1787  -103</f>
        <v>-1964</v>
      </c>
      <c r="E5940" s="114" t="s">
        <v>9714</v>
      </c>
    </row>
    <row r="5941" spans="1:5" x14ac:dyDescent="0.25">
      <c r="B5941" s="114" t="s">
        <v>3562</v>
      </c>
      <c r="D5941" s="114" t="s">
        <v>9715</v>
      </c>
      <c r="E5941" s="114" t="s">
        <v>3993</v>
      </c>
    </row>
    <row r="5942" spans="1:5" x14ac:dyDescent="0.25">
      <c r="B5942" s="114" t="s">
        <v>3563</v>
      </c>
      <c r="D5942" s="114" t="s">
        <v>9716</v>
      </c>
      <c r="E5942" s="114" t="s">
        <v>9717</v>
      </c>
    </row>
    <row r="5943" spans="1:5" x14ac:dyDescent="0.25">
      <c r="B5943" s="114" t="s">
        <v>3564</v>
      </c>
      <c r="C5943" s="114" t="s">
        <v>1072</v>
      </c>
      <c r="D5943" s="114" t="s">
        <v>9718</v>
      </c>
      <c r="E5943" s="114" t="s">
        <v>9719</v>
      </c>
    </row>
    <row r="5944" spans="1:5" x14ac:dyDescent="0.25">
      <c r="B5944" s="114" t="s">
        <v>3565</v>
      </c>
      <c r="D5944" s="114" t="s">
        <v>9720</v>
      </c>
      <c r="E5944" s="114" t="s">
        <v>9721</v>
      </c>
    </row>
    <row r="5945" spans="1:5" x14ac:dyDescent="0.25">
      <c r="B5945" s="114" t="s">
        <v>3566</v>
      </c>
      <c r="C5945" s="114" t="s">
        <v>1072</v>
      </c>
      <c r="D5945" s="114" t="s">
        <v>9722</v>
      </c>
      <c r="E5945" s="114" t="s">
        <v>9723</v>
      </c>
    </row>
    <row r="5946" spans="1:5" x14ac:dyDescent="0.25">
      <c r="B5946" s="114" t="s">
        <v>1073</v>
      </c>
      <c r="D5946" s="114" t="s">
        <v>1073</v>
      </c>
      <c r="E5946" s="114" t="s">
        <v>9724</v>
      </c>
    </row>
    <row r="5947" spans="1:5" x14ac:dyDescent="0.25">
      <c r="B5947" s="114" t="s">
        <v>3004</v>
      </c>
      <c r="D5947" s="114" t="s">
        <v>4261</v>
      </c>
      <c r="E5947" s="114" t="s">
        <v>9725</v>
      </c>
    </row>
    <row r="5948" spans="1:5" x14ac:dyDescent="0.25">
      <c r="B5948" s="114" t="s">
        <v>1073</v>
      </c>
      <c r="D5948" s="114" t="s">
        <v>9726</v>
      </c>
      <c r="E5948" s="114" t="s">
        <v>9727</v>
      </c>
    </row>
    <row r="5949" spans="1:5" x14ac:dyDescent="0.25">
      <c r="B5949" s="114" t="s">
        <v>1073</v>
      </c>
      <c r="D5949" s="114" t="s">
        <v>1073</v>
      </c>
      <c r="E5949" s="114" t="s">
        <v>3993</v>
      </c>
    </row>
    <row r="5950" spans="1:5" x14ac:dyDescent="0.25">
      <c r="B5950" s="114" t="s">
        <v>3567</v>
      </c>
      <c r="D5950" s="114" t="s">
        <v>1073</v>
      </c>
      <c r="E5950" s="114" t="s">
        <v>9728</v>
      </c>
    </row>
    <row r="5951" spans="1:5" x14ac:dyDescent="0.25">
      <c r="A5951" s="114">
        <v>1</v>
      </c>
      <c r="B5951" s="114" t="s">
        <v>3568</v>
      </c>
      <c r="C5951" s="114" t="s">
        <v>1072</v>
      </c>
      <c r="D5951" s="114" t="s">
        <v>9729</v>
      </c>
      <c r="E5951" s="114" t="s">
        <v>9730</v>
      </c>
    </row>
    <row r="5952" spans="1:5" x14ac:dyDescent="0.25">
      <c r="A5952" s="114">
        <v>1</v>
      </c>
      <c r="B5952" s="114" t="s">
        <v>3569</v>
      </c>
      <c r="C5952" s="114" t="s">
        <v>1072</v>
      </c>
      <c r="D5952" s="114" t="s">
        <v>9731</v>
      </c>
      <c r="E5952" s="114" t="s">
        <v>9732</v>
      </c>
    </row>
    <row r="5953" spans="1:5" x14ac:dyDescent="0.25">
      <c r="B5953" s="114" t="s">
        <v>3570</v>
      </c>
      <c r="D5953" s="114" t="s">
        <v>9733</v>
      </c>
      <c r="E5953" s="114" t="s">
        <v>9734</v>
      </c>
    </row>
    <row r="5954" spans="1:5" x14ac:dyDescent="0.25">
      <c r="B5954" s="114" t="s">
        <v>3571</v>
      </c>
      <c r="D5954" s="114" t="s">
        <v>9735</v>
      </c>
      <c r="E5954" s="114" t="s">
        <v>9736</v>
      </c>
    </row>
    <row r="5955" spans="1:5" x14ac:dyDescent="0.25">
      <c r="A5955" s="114" t="s">
        <v>1072</v>
      </c>
      <c r="B5955" s="114" t="s">
        <v>3572</v>
      </c>
      <c r="D5955" s="114" t="s">
        <v>9737</v>
      </c>
      <c r="E5955" s="114" t="s">
        <v>9738</v>
      </c>
    </row>
    <row r="5956" spans="1:5" x14ac:dyDescent="0.25">
      <c r="B5956" s="114" t="s">
        <v>3573</v>
      </c>
      <c r="D5956" s="114" t="s">
        <v>9739</v>
      </c>
      <c r="E5956" s="114" t="s">
        <v>9740</v>
      </c>
    </row>
    <row r="5957" spans="1:5" x14ac:dyDescent="0.25">
      <c r="A5957" s="114">
        <v>40</v>
      </c>
      <c r="B5957" s="114" t="s">
        <v>3574</v>
      </c>
      <c r="C5957" s="114">
        <v>4</v>
      </c>
      <c r="D5957" s="114" t="s">
        <v>9741</v>
      </c>
      <c r="E5957" s="114" t="s">
        <v>9742</v>
      </c>
    </row>
    <row r="5958" spans="1:5" x14ac:dyDescent="0.25">
      <c r="A5958" s="114">
        <v>57</v>
      </c>
      <c r="B5958" s="114" t="s">
        <v>3575</v>
      </c>
      <c r="C5958" s="114">
        <v>5</v>
      </c>
      <c r="D5958" s="114" t="s">
        <v>9743</v>
      </c>
      <c r="E5958" s="114" t="s">
        <v>9744</v>
      </c>
    </row>
    <row r="5959" spans="1:5" x14ac:dyDescent="0.25">
      <c r="B5959" s="114" t="s">
        <v>3576</v>
      </c>
      <c r="D5959" s="114" t="s">
        <v>9745</v>
      </c>
      <c r="E5959" s="114" t="s">
        <v>9746</v>
      </c>
    </row>
    <row r="5960" spans="1:5" x14ac:dyDescent="0.25">
      <c r="B5960" s="114" t="s">
        <v>1073</v>
      </c>
      <c r="D5960" s="114" t="s">
        <v>1073</v>
      </c>
      <c r="E5960" s="114" t="s">
        <v>9747</v>
      </c>
    </row>
    <row r="5961" spans="1:5" x14ac:dyDescent="0.25">
      <c r="B5961" s="114" t="s">
        <v>2246</v>
      </c>
      <c r="C5961" s="114">
        <v>-7</v>
      </c>
      <c r="D5961" s="114" t="s">
        <v>9748</v>
      </c>
      <c r="E5961" s="114" t="s">
        <v>9749</v>
      </c>
    </row>
    <row r="5962" spans="1:5" x14ac:dyDescent="0.25">
      <c r="A5962" s="114">
        <v>2</v>
      </c>
      <c r="B5962" s="114" t="s">
        <v>1297</v>
      </c>
      <c r="D5962" s="114" t="s">
        <v>8402</v>
      </c>
      <c r="E5962" s="114" t="s">
        <v>3992</v>
      </c>
    </row>
    <row r="5963" spans="1:5" x14ac:dyDescent="0.25">
      <c r="A5963" s="114" t="s">
        <v>1072</v>
      </c>
      <c r="B5963" s="114" t="s">
        <v>1154</v>
      </c>
      <c r="D5963" s="114" t="s">
        <v>1073</v>
      </c>
      <c r="E5963" s="114" t="s">
        <v>9750</v>
      </c>
    </row>
    <row r="5964" spans="1:5" x14ac:dyDescent="0.25">
      <c r="B5964" s="114" t="s">
        <v>1931</v>
      </c>
      <c r="D5964" s="114" t="s">
        <v>1073</v>
      </c>
      <c r="E5964" s="114" t="s">
        <v>9751</v>
      </c>
    </row>
    <row r="5965" spans="1:5" x14ac:dyDescent="0.25">
      <c r="B5965" s="114" t="s">
        <v>3577</v>
      </c>
      <c r="D5965" s="114" t="s">
        <v>9752</v>
      </c>
      <c r="E5965" s="114" t="s">
        <v>9753</v>
      </c>
    </row>
    <row r="5966" spans="1:5" x14ac:dyDescent="0.25">
      <c r="B5966" s="114" t="s">
        <v>1187</v>
      </c>
      <c r="D5966" s="114" t="s">
        <v>1073</v>
      </c>
      <c r="E5966" s="114" t="s">
        <v>9754</v>
      </c>
    </row>
    <row r="5967" spans="1:5" x14ac:dyDescent="0.25">
      <c r="A5967" s="114" t="s">
        <v>1072</v>
      </c>
      <c r="B5967" s="114" t="s">
        <v>3578</v>
      </c>
      <c r="D5967" s="114" t="s">
        <v>9755</v>
      </c>
      <c r="E5967" s="114" t="s">
        <v>9756</v>
      </c>
    </row>
    <row r="5968" spans="1:5" x14ac:dyDescent="0.25">
      <c r="A5968" s="114">
        <v>5</v>
      </c>
      <c r="B5968" s="114" t="s">
        <v>3579</v>
      </c>
      <c r="D5968" s="114" t="s">
        <v>5231</v>
      </c>
      <c r="E5968" s="114" t="s">
        <v>9757</v>
      </c>
    </row>
    <row r="5969" spans="1:5" x14ac:dyDescent="0.25">
      <c r="A5969" s="114" t="s">
        <v>1072</v>
      </c>
      <c r="B5969" s="114" t="s">
        <v>3580</v>
      </c>
      <c r="D5969" s="114" t="s">
        <v>1073</v>
      </c>
      <c r="E5969" s="114" t="s">
        <v>9758</v>
      </c>
    </row>
    <row r="5970" spans="1:5" x14ac:dyDescent="0.25">
      <c r="A5970" s="114" t="s">
        <v>1072</v>
      </c>
      <c r="B5970" s="114" t="s">
        <v>3581</v>
      </c>
      <c r="D5970" s="114" t="s">
        <v>9759</v>
      </c>
      <c r="E5970" s="114" t="s">
        <v>9760</v>
      </c>
    </row>
    <row r="5971" spans="1:5" x14ac:dyDescent="0.25">
      <c r="A5971" s="114">
        <v>5</v>
      </c>
      <c r="B5971" s="114" t="s">
        <v>3582</v>
      </c>
      <c r="D5971" s="114" t="s">
        <v>9761</v>
      </c>
      <c r="E5971" s="114" t="s">
        <v>9762</v>
      </c>
    </row>
    <row r="5972" spans="1:5" x14ac:dyDescent="0.25">
      <c r="A5972" s="114" t="s">
        <v>1072</v>
      </c>
      <c r="B5972" s="114" t="s">
        <v>1100</v>
      </c>
      <c r="D5972" s="114" t="s">
        <v>1073</v>
      </c>
      <c r="E5972" s="114" t="s">
        <v>9763</v>
      </c>
    </row>
    <row r="5973" spans="1:5" x14ac:dyDescent="0.25">
      <c r="B5973" s="114" t="s">
        <v>1489</v>
      </c>
      <c r="D5973" s="114" t="s">
        <v>9764</v>
      </c>
      <c r="E5973" s="114" t="s">
        <v>9765</v>
      </c>
    </row>
    <row r="5974" spans="1:5" x14ac:dyDescent="0.25">
      <c r="A5974" s="114">
        <v>7</v>
      </c>
      <c r="B5974" s="114" t="s">
        <v>3583</v>
      </c>
      <c r="D5974" s="114" t="s">
        <v>9766</v>
      </c>
      <c r="E5974" s="114" t="s">
        <v>9767</v>
      </c>
    </row>
    <row r="5975" spans="1:5" x14ac:dyDescent="0.25">
      <c r="B5975" s="114" t="s">
        <v>1073</v>
      </c>
      <c r="D5975" s="114" t="s">
        <v>1073</v>
      </c>
      <c r="E5975" s="114" t="s">
        <v>9768</v>
      </c>
    </row>
    <row r="5976" spans="1:5" x14ac:dyDescent="0.25">
      <c r="B5976" s="114" t="s">
        <v>1073</v>
      </c>
      <c r="D5976" s="114" t="s">
        <v>1073</v>
      </c>
      <c r="E5976" s="114" t="s">
        <v>9769</v>
      </c>
    </row>
    <row r="5977" spans="1:5" x14ac:dyDescent="0.25">
      <c r="A5977" s="114">
        <v>3</v>
      </c>
      <c r="B5977" s="114" t="s">
        <v>3584</v>
      </c>
      <c r="D5977" s="114" t="s">
        <v>1073</v>
      </c>
      <c r="E5977" s="114" t="s">
        <v>9770</v>
      </c>
    </row>
    <row r="5978" spans="1:5" x14ac:dyDescent="0.25">
      <c r="A5978" s="114" t="s">
        <v>1072</v>
      </c>
      <c r="B5978" s="114" t="s">
        <v>3499</v>
      </c>
      <c r="D5978" s="114" t="s">
        <v>1073</v>
      </c>
      <c r="E5978" s="114" t="s">
        <v>9771</v>
      </c>
    </row>
    <row r="5979" spans="1:5" x14ac:dyDescent="0.25">
      <c r="A5979" s="114">
        <v>1</v>
      </c>
      <c r="B5979" s="114" t="s">
        <v>3585</v>
      </c>
      <c r="D5979" s="114" t="s">
        <v>9772</v>
      </c>
      <c r="E5979" s="114" t="s">
        <v>3993</v>
      </c>
    </row>
    <row r="5980" spans="1:5" x14ac:dyDescent="0.25">
      <c r="B5980" s="114" t="s">
        <v>3586</v>
      </c>
      <c r="D5980" s="114" t="s">
        <v>9773</v>
      </c>
      <c r="E5980" s="114" t="s">
        <v>9774</v>
      </c>
    </row>
    <row r="5981" spans="1:5" x14ac:dyDescent="0.25">
      <c r="B5981" s="114" t="s">
        <v>3587</v>
      </c>
      <c r="C5981" s="114" t="s">
        <v>1072</v>
      </c>
      <c r="D5981" s="114" t="s">
        <v>9775</v>
      </c>
      <c r="E5981" s="114" t="s">
        <v>9776</v>
      </c>
    </row>
    <row r="5982" spans="1:5" x14ac:dyDescent="0.25">
      <c r="B5982" s="114" t="s">
        <v>1073</v>
      </c>
      <c r="D5982" s="114" t="s">
        <v>1073</v>
      </c>
      <c r="E5982" s="114" t="s">
        <v>3993</v>
      </c>
    </row>
    <row r="5983" spans="1:5" x14ac:dyDescent="0.25">
      <c r="B5983" s="114" t="s">
        <v>1073</v>
      </c>
      <c r="D5983" s="114" t="s">
        <v>1073</v>
      </c>
      <c r="E5983" s="114" t="s">
        <v>9777</v>
      </c>
    </row>
    <row r="5984" spans="1:5" x14ac:dyDescent="0.25">
      <c r="A5984" s="114">
        <v>3</v>
      </c>
      <c r="B5984" s="114" t="s">
        <v>3588</v>
      </c>
      <c r="D5984" s="114" t="s">
        <v>9778</v>
      </c>
      <c r="E5984" s="114" t="s">
        <v>9779</v>
      </c>
    </row>
    <row r="5985" spans="1:5" x14ac:dyDescent="0.25">
      <c r="B5985" s="114" t="s">
        <v>3589</v>
      </c>
      <c r="C5985" s="114" t="s">
        <v>1072</v>
      </c>
      <c r="D5985" s="114" t="s">
        <v>9780</v>
      </c>
      <c r="E5985" s="114" t="s">
        <v>9781</v>
      </c>
    </row>
    <row r="5986" spans="1:5" x14ac:dyDescent="0.25">
      <c r="A5986" s="114">
        <v>-6</v>
      </c>
      <c r="B5986" s="114" t="s">
        <v>3590</v>
      </c>
      <c r="C5986" s="114" t="s">
        <v>1072</v>
      </c>
      <c r="D5986" s="114" t="s">
        <v>9782</v>
      </c>
      <c r="E5986" s="114" t="s">
        <v>9783</v>
      </c>
    </row>
    <row r="5987" spans="1:5" x14ac:dyDescent="0.25">
      <c r="A5987" s="114">
        <v>-3</v>
      </c>
      <c r="B5987" s="114" t="s">
        <v>3591</v>
      </c>
      <c r="C5987" s="114" t="s">
        <v>1072</v>
      </c>
      <c r="D5987" s="114" t="s">
        <v>9784</v>
      </c>
      <c r="E5987" s="114" t="s">
        <v>9785</v>
      </c>
    </row>
    <row r="5988" spans="1:5" x14ac:dyDescent="0.25">
      <c r="A5988" s="114">
        <v>1</v>
      </c>
      <c r="B5988" s="114" t="s">
        <v>3592</v>
      </c>
      <c r="D5988" s="114" t="s">
        <v>9786</v>
      </c>
      <c r="E5988" s="114" t="s">
        <v>9787</v>
      </c>
    </row>
    <row r="5989" spans="1:5" x14ac:dyDescent="0.25">
      <c r="A5989" s="114">
        <v>1</v>
      </c>
      <c r="B5989" s="114" t="s">
        <v>3593</v>
      </c>
      <c r="D5989" s="114" t="s">
        <v>9788</v>
      </c>
      <c r="E5989" s="114" t="s">
        <v>9789</v>
      </c>
    </row>
    <row r="5990" spans="1:5" x14ac:dyDescent="0.25">
      <c r="A5990" s="114">
        <v>59</v>
      </c>
      <c r="B5990" s="114" t="s">
        <v>3594</v>
      </c>
      <c r="C5990" s="114">
        <v>5</v>
      </c>
      <c r="D5990" s="114" t="s">
        <v>9790</v>
      </c>
      <c r="E5990" s="114" t="s">
        <v>9791</v>
      </c>
    </row>
    <row r="5991" spans="1:5" x14ac:dyDescent="0.25">
      <c r="A5991" s="114">
        <v>49</v>
      </c>
      <c r="B5991" s="114" t="s">
        <v>3595</v>
      </c>
      <c r="C5991" s="114">
        <v>6</v>
      </c>
      <c r="D5991" s="114" t="s">
        <v>9792</v>
      </c>
      <c r="E5991" s="114" t="s">
        <v>9793</v>
      </c>
    </row>
    <row r="5992" spans="1:5" x14ac:dyDescent="0.25">
      <c r="A5992" s="114" t="s">
        <v>1072</v>
      </c>
      <c r="B5992" s="114" t="s">
        <v>3596</v>
      </c>
      <c r="D5992" s="114">
        <f>-811   -155</f>
        <v>-966</v>
      </c>
      <c r="E5992" s="114" t="s">
        <v>9794</v>
      </c>
    </row>
    <row r="5993" spans="1:5" x14ac:dyDescent="0.25">
      <c r="B5993" s="114" t="s">
        <v>1073</v>
      </c>
      <c r="D5993" s="114">
        <f>-19   -480</f>
        <v>-499</v>
      </c>
      <c r="E5993" s="114" t="s">
        <v>3993</v>
      </c>
    </row>
    <row r="5994" spans="1:5" x14ac:dyDescent="0.25">
      <c r="B5994" s="114" t="s">
        <v>1073</v>
      </c>
      <c r="D5994" s="114" t="s">
        <v>9795</v>
      </c>
      <c r="E5994" s="114" t="s">
        <v>9796</v>
      </c>
    </row>
    <row r="5995" spans="1:5" x14ac:dyDescent="0.25">
      <c r="A5995" s="114" t="s">
        <v>1072</v>
      </c>
      <c r="B5995" s="114" t="s">
        <v>3597</v>
      </c>
      <c r="D5995" s="114" t="s">
        <v>1073</v>
      </c>
      <c r="E5995" s="114" t="s">
        <v>9797</v>
      </c>
    </row>
    <row r="5996" spans="1:5" x14ac:dyDescent="0.25">
      <c r="B5996" s="114" t="s">
        <v>1073</v>
      </c>
      <c r="D5996" s="114" t="s">
        <v>1073</v>
      </c>
      <c r="E5996" s="114" t="s">
        <v>9798</v>
      </c>
    </row>
    <row r="5997" spans="1:5" x14ac:dyDescent="0.25">
      <c r="B5997" s="114" t="s">
        <v>1073</v>
      </c>
      <c r="D5997" s="114" t="s">
        <v>9799</v>
      </c>
      <c r="E5997" s="114" t="s">
        <v>9800</v>
      </c>
    </row>
    <row r="5998" spans="1:5" x14ac:dyDescent="0.25">
      <c r="B5998" s="114" t="s">
        <v>3598</v>
      </c>
      <c r="D5998" s="114">
        <f>-859   -407</f>
        <v>-1266</v>
      </c>
      <c r="E5998" s="114" t="s">
        <v>9801</v>
      </c>
    </row>
    <row r="5999" spans="1:5" x14ac:dyDescent="0.25">
      <c r="A5999" s="114" t="s">
        <v>1072</v>
      </c>
      <c r="B5999" s="114" t="s">
        <v>3599</v>
      </c>
      <c r="D5999" s="114" t="s">
        <v>9802</v>
      </c>
      <c r="E5999" s="114" t="s">
        <v>9803</v>
      </c>
    </row>
    <row r="6000" spans="1:5" x14ac:dyDescent="0.25">
      <c r="B6000" s="114" t="s">
        <v>3600</v>
      </c>
      <c r="D6000" s="114" t="s">
        <v>9804</v>
      </c>
      <c r="E6000" s="114" t="s">
        <v>9805</v>
      </c>
    </row>
    <row r="6001" spans="1:5" x14ac:dyDescent="0.25">
      <c r="A6001" s="114" t="s">
        <v>1072</v>
      </c>
      <c r="B6001" s="114" t="s">
        <v>3601</v>
      </c>
      <c r="D6001" s="114" t="s">
        <v>9806</v>
      </c>
      <c r="E6001" s="114" t="s">
        <v>9807</v>
      </c>
    </row>
    <row r="6002" spans="1:5" x14ac:dyDescent="0.25">
      <c r="A6002" s="114" t="s">
        <v>1072</v>
      </c>
      <c r="B6002" s="114" t="s">
        <v>2877</v>
      </c>
      <c r="D6002" s="114" t="s">
        <v>9808</v>
      </c>
      <c r="E6002" s="114" t="s">
        <v>9809</v>
      </c>
    </row>
    <row r="6003" spans="1:5" x14ac:dyDescent="0.25">
      <c r="B6003" s="114" t="s">
        <v>3602</v>
      </c>
      <c r="D6003" s="114" t="s">
        <v>9810</v>
      </c>
      <c r="E6003" s="114" t="s">
        <v>9811</v>
      </c>
    </row>
    <row r="6004" spans="1:5" x14ac:dyDescent="0.25">
      <c r="B6004" s="114" t="s">
        <v>1258</v>
      </c>
      <c r="D6004" s="114" t="s">
        <v>9812</v>
      </c>
      <c r="E6004" s="114" t="s">
        <v>9813</v>
      </c>
    </row>
    <row r="6005" spans="1:5" x14ac:dyDescent="0.25">
      <c r="B6005" s="114" t="s">
        <v>3603</v>
      </c>
      <c r="D6005" s="114" t="s">
        <v>9814</v>
      </c>
      <c r="E6005" s="114" t="s">
        <v>4312</v>
      </c>
    </row>
    <row r="6006" spans="1:5" x14ac:dyDescent="0.25">
      <c r="B6006" s="114" t="s">
        <v>3604</v>
      </c>
      <c r="D6006" s="114" t="s">
        <v>9815</v>
      </c>
      <c r="E6006" s="114" t="s">
        <v>9816</v>
      </c>
    </row>
    <row r="6007" spans="1:5" x14ac:dyDescent="0.25">
      <c r="A6007" s="114" t="s">
        <v>1072</v>
      </c>
      <c r="B6007" s="114" t="s">
        <v>3605</v>
      </c>
      <c r="C6007" s="114" t="s">
        <v>1072</v>
      </c>
      <c r="D6007" s="114" t="s">
        <v>9817</v>
      </c>
      <c r="E6007" s="114" t="s">
        <v>9818</v>
      </c>
    </row>
    <row r="6008" spans="1:5" x14ac:dyDescent="0.25">
      <c r="A6008" s="114">
        <v>-1</v>
      </c>
      <c r="B6008" s="114" t="s">
        <v>1421</v>
      </c>
      <c r="C6008" s="114" t="s">
        <v>1072</v>
      </c>
      <c r="D6008" s="114" t="s">
        <v>9819</v>
      </c>
      <c r="E6008" s="114" t="s">
        <v>3993</v>
      </c>
    </row>
    <row r="6009" spans="1:5" x14ac:dyDescent="0.25">
      <c r="A6009" s="114">
        <v>2</v>
      </c>
      <c r="B6009" s="114" t="s">
        <v>3606</v>
      </c>
      <c r="D6009" s="114" t="s">
        <v>9820</v>
      </c>
      <c r="E6009" s="114" t="s">
        <v>3992</v>
      </c>
    </row>
    <row r="6010" spans="1:5" x14ac:dyDescent="0.25">
      <c r="A6010" s="114">
        <v>-3</v>
      </c>
      <c r="B6010" s="114" t="s">
        <v>3607</v>
      </c>
      <c r="D6010" s="114" t="s">
        <v>9821</v>
      </c>
      <c r="E6010" s="114" t="s">
        <v>9822</v>
      </c>
    </row>
    <row r="6011" spans="1:5" x14ac:dyDescent="0.25">
      <c r="A6011" s="114">
        <v>-2</v>
      </c>
      <c r="B6011" s="114" t="s">
        <v>1445</v>
      </c>
      <c r="C6011" s="114" t="s">
        <v>1072</v>
      </c>
      <c r="D6011" s="114" t="s">
        <v>9823</v>
      </c>
      <c r="E6011" s="114" t="s">
        <v>9824</v>
      </c>
    </row>
    <row r="6012" spans="1:5" x14ac:dyDescent="0.25">
      <c r="A6012" s="114">
        <v>2</v>
      </c>
      <c r="B6012" s="114" t="s">
        <v>3608</v>
      </c>
      <c r="D6012" s="114" t="s">
        <v>9825</v>
      </c>
      <c r="E6012" s="114" t="s">
        <v>9826</v>
      </c>
    </row>
    <row r="6013" spans="1:5" x14ac:dyDescent="0.25">
      <c r="B6013" s="114" t="s">
        <v>1073</v>
      </c>
      <c r="D6013" s="114" t="s">
        <v>1073</v>
      </c>
      <c r="E6013" s="114" t="s">
        <v>9827</v>
      </c>
    </row>
    <row r="6014" spans="1:5" x14ac:dyDescent="0.25">
      <c r="A6014" s="114">
        <v>1</v>
      </c>
      <c r="B6014" s="114" t="s">
        <v>3609</v>
      </c>
      <c r="D6014" s="114" t="s">
        <v>7454</v>
      </c>
      <c r="E6014" s="114" t="s">
        <v>9828</v>
      </c>
    </row>
    <row r="6015" spans="1:5" x14ac:dyDescent="0.25">
      <c r="B6015" s="114" t="s">
        <v>1073</v>
      </c>
      <c r="D6015" s="114" t="s">
        <v>9829</v>
      </c>
      <c r="E6015" s="114" t="s">
        <v>4002</v>
      </c>
    </row>
    <row r="6016" spans="1:5" x14ac:dyDescent="0.25">
      <c r="B6016" s="114" t="s">
        <v>1073</v>
      </c>
      <c r="D6016" s="114" t="s">
        <v>1073</v>
      </c>
      <c r="E6016" s="114" t="s">
        <v>3993</v>
      </c>
    </row>
    <row r="6017" spans="1:5" x14ac:dyDescent="0.25">
      <c r="A6017" s="114">
        <v>-1</v>
      </c>
      <c r="B6017" s="114" t="s">
        <v>1325</v>
      </c>
      <c r="D6017" s="114" t="s">
        <v>1073</v>
      </c>
      <c r="E6017" s="114" t="s">
        <v>9830</v>
      </c>
    </row>
    <row r="6018" spans="1:5" x14ac:dyDescent="0.25">
      <c r="A6018" s="114">
        <v>-6</v>
      </c>
      <c r="B6018" s="114" t="s">
        <v>3610</v>
      </c>
      <c r="D6018" s="114" t="s">
        <v>9831</v>
      </c>
      <c r="E6018" s="114" t="s">
        <v>9832</v>
      </c>
    </row>
    <row r="6019" spans="1:5" x14ac:dyDescent="0.25">
      <c r="A6019" s="114">
        <v>-7</v>
      </c>
      <c r="B6019" s="114" t="s">
        <v>3611</v>
      </c>
      <c r="D6019" s="114" t="s">
        <v>9833</v>
      </c>
      <c r="E6019" s="114" t="s">
        <v>9834</v>
      </c>
    </row>
    <row r="6020" spans="1:5" x14ac:dyDescent="0.25">
      <c r="A6020" s="114">
        <v>-10</v>
      </c>
      <c r="B6020" s="114" t="s">
        <v>3612</v>
      </c>
      <c r="C6020" s="114" t="s">
        <v>1072</v>
      </c>
      <c r="D6020" s="114" t="s">
        <v>9835</v>
      </c>
      <c r="E6020" s="114" t="s">
        <v>9836</v>
      </c>
    </row>
    <row r="6021" spans="1:5" x14ac:dyDescent="0.25">
      <c r="A6021" s="114">
        <v>-9</v>
      </c>
      <c r="B6021" s="114" t="s">
        <v>3613</v>
      </c>
      <c r="C6021" s="114">
        <v>-1</v>
      </c>
      <c r="D6021" s="114" t="s">
        <v>9837</v>
      </c>
      <c r="E6021" s="114" t="s">
        <v>9838</v>
      </c>
    </row>
    <row r="6022" spans="1:5" x14ac:dyDescent="0.25">
      <c r="A6022" s="114" t="s">
        <v>1072</v>
      </c>
      <c r="B6022" s="114" t="s">
        <v>3614</v>
      </c>
      <c r="D6022" s="114" t="s">
        <v>9839</v>
      </c>
      <c r="E6022" s="114" t="s">
        <v>9840</v>
      </c>
    </row>
    <row r="6023" spans="1:5" x14ac:dyDescent="0.25">
      <c r="A6023" s="114">
        <v>1</v>
      </c>
      <c r="B6023" s="114" t="s">
        <v>3615</v>
      </c>
      <c r="D6023" s="114" t="s">
        <v>9841</v>
      </c>
      <c r="E6023" s="114" t="s">
        <v>9842</v>
      </c>
    </row>
    <row r="6024" spans="1:5" x14ac:dyDescent="0.25">
      <c r="A6024" s="114">
        <v>42</v>
      </c>
      <c r="B6024" s="114" t="s">
        <v>3616</v>
      </c>
      <c r="C6024" s="114">
        <v>5</v>
      </c>
      <c r="D6024" s="114" t="s">
        <v>9843</v>
      </c>
      <c r="E6024" s="114" t="s">
        <v>9844</v>
      </c>
    </row>
    <row r="6025" spans="1:5" x14ac:dyDescent="0.25">
      <c r="A6025" s="114">
        <v>59</v>
      </c>
      <c r="B6025" s="114" t="s">
        <v>3617</v>
      </c>
      <c r="C6025" s="114">
        <v>9</v>
      </c>
      <c r="D6025" s="114" t="s">
        <v>9845</v>
      </c>
      <c r="E6025" s="114" t="s">
        <v>9846</v>
      </c>
    </row>
    <row r="6026" spans="1:5" x14ac:dyDescent="0.25">
      <c r="B6026" s="114" t="s">
        <v>1073</v>
      </c>
      <c r="D6026" s="114" t="s">
        <v>9847</v>
      </c>
      <c r="E6026" s="114" t="s">
        <v>9848</v>
      </c>
    </row>
    <row r="6027" spans="1:5" x14ac:dyDescent="0.25">
      <c r="B6027" s="114" t="s">
        <v>1073</v>
      </c>
      <c r="D6027" s="114" t="s">
        <v>1073</v>
      </c>
      <c r="E6027" s="114" t="s">
        <v>9849</v>
      </c>
    </row>
    <row r="6028" spans="1:5" x14ac:dyDescent="0.25">
      <c r="B6028" s="114" t="s">
        <v>1073</v>
      </c>
      <c r="D6028" s="114" t="s">
        <v>9850</v>
      </c>
      <c r="E6028" s="114" t="s">
        <v>9851</v>
      </c>
    </row>
    <row r="6029" spans="1:5" x14ac:dyDescent="0.25">
      <c r="B6029" s="114" t="s">
        <v>3618</v>
      </c>
      <c r="D6029" s="114" t="s">
        <v>1073</v>
      </c>
      <c r="E6029" s="114" t="s">
        <v>9852</v>
      </c>
    </row>
    <row r="6030" spans="1:5" x14ac:dyDescent="0.25">
      <c r="B6030" s="114" t="s">
        <v>3619</v>
      </c>
      <c r="D6030" s="114" t="s">
        <v>1073</v>
      </c>
      <c r="E6030" s="114" t="s">
        <v>9853</v>
      </c>
    </row>
    <row r="6031" spans="1:5" x14ac:dyDescent="0.25">
      <c r="A6031" s="114">
        <v>-73</v>
      </c>
      <c r="B6031" s="114" t="s">
        <v>1372</v>
      </c>
      <c r="D6031" s="114" t="s">
        <v>9854</v>
      </c>
      <c r="E6031" s="114" t="s">
        <v>9855</v>
      </c>
    </row>
    <row r="6032" spans="1:5" x14ac:dyDescent="0.25">
      <c r="B6032" s="114" t="s">
        <v>1073</v>
      </c>
      <c r="D6032" s="114" t="s">
        <v>9856</v>
      </c>
      <c r="E6032" s="114" t="s">
        <v>9857</v>
      </c>
    </row>
    <row r="6033" spans="1:5" x14ac:dyDescent="0.25">
      <c r="B6033" s="114" t="s">
        <v>3620</v>
      </c>
      <c r="D6033" s="114" t="s">
        <v>1073</v>
      </c>
      <c r="E6033" s="114" t="s">
        <v>9858</v>
      </c>
    </row>
    <row r="6034" spans="1:5" x14ac:dyDescent="0.25">
      <c r="A6034" s="114">
        <v>-80</v>
      </c>
      <c r="B6034" s="114" t="s">
        <v>3621</v>
      </c>
      <c r="D6034" s="114">
        <f>-328   -155</f>
        <v>-483</v>
      </c>
      <c r="E6034" s="114" t="s">
        <v>9859</v>
      </c>
    </row>
    <row r="6035" spans="1:5" x14ac:dyDescent="0.25">
      <c r="B6035" s="114" t="s">
        <v>3622</v>
      </c>
      <c r="D6035" s="114" t="s">
        <v>9860</v>
      </c>
      <c r="E6035" s="114" t="s">
        <v>9861</v>
      </c>
    </row>
    <row r="6036" spans="1:5" x14ac:dyDescent="0.25">
      <c r="B6036" s="114" t="s">
        <v>3623</v>
      </c>
      <c r="D6036" s="114" t="s">
        <v>1073</v>
      </c>
      <c r="E6036" s="114" t="s">
        <v>9862</v>
      </c>
    </row>
    <row r="6037" spans="1:5" x14ac:dyDescent="0.25">
      <c r="A6037" s="114">
        <v>-82</v>
      </c>
      <c r="B6037" s="114" t="s">
        <v>3624</v>
      </c>
      <c r="D6037" s="114" t="s">
        <v>9863</v>
      </c>
      <c r="E6037" s="114" t="s">
        <v>9864</v>
      </c>
    </row>
    <row r="6038" spans="1:5" x14ac:dyDescent="0.25">
      <c r="B6038" s="114" t="s">
        <v>3625</v>
      </c>
      <c r="D6038" s="114" t="s">
        <v>9865</v>
      </c>
      <c r="E6038" s="114" t="s">
        <v>9866</v>
      </c>
    </row>
    <row r="6039" spans="1:5" x14ac:dyDescent="0.25">
      <c r="B6039" s="125" t="s">
        <v>3626</v>
      </c>
      <c r="D6039" s="114" t="s">
        <v>1073</v>
      </c>
      <c r="E6039" s="114" t="s">
        <v>9867</v>
      </c>
    </row>
    <row r="6040" spans="1:5" x14ac:dyDescent="0.25">
      <c r="A6040" s="114">
        <v>-78</v>
      </c>
      <c r="B6040" s="114" t="s">
        <v>3627</v>
      </c>
      <c r="D6040" s="114" t="s">
        <v>1073</v>
      </c>
      <c r="E6040" s="114" t="s">
        <v>9868</v>
      </c>
    </row>
    <row r="6041" spans="1:5" x14ac:dyDescent="0.25">
      <c r="B6041" s="114" t="s">
        <v>3628</v>
      </c>
      <c r="D6041" s="114" t="s">
        <v>4598</v>
      </c>
      <c r="E6041" s="114" t="s">
        <v>9869</v>
      </c>
    </row>
    <row r="6042" spans="1:5" x14ac:dyDescent="0.25">
      <c r="B6042" s="114" t="s">
        <v>1073</v>
      </c>
      <c r="D6042" s="114" t="s">
        <v>1073</v>
      </c>
      <c r="E6042" s="114" t="s">
        <v>9870</v>
      </c>
    </row>
    <row r="6043" spans="1:5" x14ac:dyDescent="0.25">
      <c r="A6043" s="114">
        <v>-93</v>
      </c>
      <c r="B6043" s="114" t="s">
        <v>3629</v>
      </c>
      <c r="D6043" s="114" t="s">
        <v>1073</v>
      </c>
      <c r="E6043" s="114" t="s">
        <v>9871</v>
      </c>
    </row>
    <row r="6044" spans="1:5" x14ac:dyDescent="0.25">
      <c r="A6044" s="114">
        <v>2</v>
      </c>
      <c r="B6044" s="114" t="s">
        <v>3630</v>
      </c>
      <c r="D6044" s="114" t="s">
        <v>9872</v>
      </c>
      <c r="E6044" s="114" t="s">
        <v>9873</v>
      </c>
    </row>
    <row r="6045" spans="1:5" x14ac:dyDescent="0.25">
      <c r="B6045" s="114" t="s">
        <v>3631</v>
      </c>
      <c r="D6045" s="114" t="s">
        <v>1073</v>
      </c>
      <c r="E6045" s="114" t="s">
        <v>9874</v>
      </c>
    </row>
    <row r="6046" spans="1:5" x14ac:dyDescent="0.25">
      <c r="B6046" s="114" t="s">
        <v>3632</v>
      </c>
      <c r="D6046" s="114" t="s">
        <v>9875</v>
      </c>
      <c r="E6046" s="114" t="s">
        <v>4118</v>
      </c>
    </row>
    <row r="6047" spans="1:5" x14ac:dyDescent="0.25">
      <c r="B6047" s="114" t="s">
        <v>1073</v>
      </c>
      <c r="D6047" s="114" t="s">
        <v>9876</v>
      </c>
      <c r="E6047" s="114" t="s">
        <v>9877</v>
      </c>
    </row>
    <row r="6048" spans="1:5" x14ac:dyDescent="0.25">
      <c r="B6048" s="114" t="s">
        <v>3633</v>
      </c>
      <c r="D6048" s="114" t="s">
        <v>9878</v>
      </c>
      <c r="E6048" s="114" t="s">
        <v>9879</v>
      </c>
    </row>
    <row r="6049" spans="1:5" x14ac:dyDescent="0.25">
      <c r="A6049" s="114">
        <v>-2</v>
      </c>
      <c r="B6049" s="114" t="s">
        <v>1137</v>
      </c>
      <c r="D6049" s="114" t="s">
        <v>1073</v>
      </c>
      <c r="E6049" s="114" t="s">
        <v>3993</v>
      </c>
    </row>
    <row r="6050" spans="1:5" x14ac:dyDescent="0.25">
      <c r="B6050" s="114" t="s">
        <v>1073</v>
      </c>
      <c r="D6050" s="114" t="s">
        <v>1073</v>
      </c>
      <c r="E6050" s="114" t="s">
        <v>9880</v>
      </c>
    </row>
    <row r="6051" spans="1:5" x14ac:dyDescent="0.25">
      <c r="B6051" s="114" t="s">
        <v>3634</v>
      </c>
      <c r="D6051" s="114" t="s">
        <v>9881</v>
      </c>
      <c r="E6051" s="114" t="s">
        <v>9882</v>
      </c>
    </row>
    <row r="6052" spans="1:5" x14ac:dyDescent="0.25">
      <c r="B6052" s="114" t="s">
        <v>1073</v>
      </c>
      <c r="D6052" s="114" t="s">
        <v>9883</v>
      </c>
      <c r="E6052" s="114" t="s">
        <v>9884</v>
      </c>
    </row>
    <row r="6053" spans="1:5" x14ac:dyDescent="0.25">
      <c r="A6053" s="114">
        <v>-8</v>
      </c>
      <c r="B6053" s="114" t="s">
        <v>3635</v>
      </c>
      <c r="C6053" s="114">
        <v>-1</v>
      </c>
      <c r="D6053" s="114" t="s">
        <v>9885</v>
      </c>
      <c r="E6053" s="114" t="s">
        <v>9886</v>
      </c>
    </row>
    <row r="6054" spans="1:5" x14ac:dyDescent="0.25">
      <c r="A6054" s="114">
        <v>-12</v>
      </c>
      <c r="B6054" s="114" t="s">
        <v>3636</v>
      </c>
      <c r="C6054" s="114" t="s">
        <v>1072</v>
      </c>
      <c r="D6054" s="114" t="s">
        <v>9887</v>
      </c>
      <c r="E6054" s="114" t="s">
        <v>9888</v>
      </c>
    </row>
    <row r="6055" spans="1:5" x14ac:dyDescent="0.25">
      <c r="B6055" s="114">
        <f>-50    -27</f>
        <v>-77</v>
      </c>
      <c r="D6055" s="114">
        <f>-1   -239  -146</f>
        <v>-386</v>
      </c>
      <c r="E6055" s="114" t="s">
        <v>9889</v>
      </c>
    </row>
    <row r="6056" spans="1:5" x14ac:dyDescent="0.25">
      <c r="A6056" s="114">
        <v>1</v>
      </c>
      <c r="B6056" s="114" t="s">
        <v>3637</v>
      </c>
      <c r="D6056" s="114" t="s">
        <v>9890</v>
      </c>
      <c r="E6056" s="114" t="s">
        <v>9891</v>
      </c>
    </row>
    <row r="6057" spans="1:5" x14ac:dyDescent="0.25">
      <c r="A6057" s="114">
        <v>51</v>
      </c>
      <c r="B6057" s="114" t="s">
        <v>3638</v>
      </c>
      <c r="C6057" s="114">
        <v>5</v>
      </c>
      <c r="D6057" s="114" t="s">
        <v>9892</v>
      </c>
      <c r="E6057" s="114" t="s">
        <v>9893</v>
      </c>
    </row>
    <row r="6058" spans="1:5" x14ac:dyDescent="0.25">
      <c r="A6058" s="114">
        <v>48</v>
      </c>
      <c r="B6058" s="114" t="s">
        <v>3639</v>
      </c>
      <c r="C6058" s="114">
        <v>4</v>
      </c>
      <c r="D6058" s="114" t="s">
        <v>9894</v>
      </c>
      <c r="E6058" s="114" t="s">
        <v>9895</v>
      </c>
    </row>
    <row r="6059" spans="1:5" x14ac:dyDescent="0.25">
      <c r="A6059" s="114">
        <v>96</v>
      </c>
      <c r="B6059" s="114" t="s">
        <v>3640</v>
      </c>
      <c r="C6059" s="114">
        <v>9</v>
      </c>
      <c r="D6059" s="114" t="s">
        <v>9896</v>
      </c>
      <c r="E6059" s="114" t="s">
        <v>9897</v>
      </c>
    </row>
    <row r="6060" spans="1:5" x14ac:dyDescent="0.25">
      <c r="B6060" s="114" t="s">
        <v>1285</v>
      </c>
      <c r="D6060" s="114" t="s">
        <v>1073</v>
      </c>
      <c r="E6060" s="114" t="s">
        <v>9898</v>
      </c>
    </row>
    <row r="6061" spans="1:5" x14ac:dyDescent="0.25">
      <c r="B6061" s="114" t="s">
        <v>1073</v>
      </c>
      <c r="D6061" s="114" t="s">
        <v>1073</v>
      </c>
      <c r="E6061" s="114" t="s">
        <v>9899</v>
      </c>
    </row>
    <row r="6062" spans="1:5" x14ac:dyDescent="0.25">
      <c r="A6062" s="114">
        <v>-65</v>
      </c>
      <c r="B6062" s="114" t="s">
        <v>3641</v>
      </c>
      <c r="D6062" s="114">
        <f>-97   -874   -10</f>
        <v>-981</v>
      </c>
      <c r="E6062" s="114" t="s">
        <v>9900</v>
      </c>
    </row>
    <row r="6063" spans="1:5" x14ac:dyDescent="0.25">
      <c r="B6063" s="114" t="s">
        <v>1073</v>
      </c>
      <c r="D6063" s="114" t="s">
        <v>9901</v>
      </c>
      <c r="E6063" s="114" t="s">
        <v>9902</v>
      </c>
    </row>
    <row r="6064" spans="1:5" x14ac:dyDescent="0.25">
      <c r="B6064" s="114" t="s">
        <v>1073</v>
      </c>
      <c r="D6064" s="114" t="s">
        <v>1073</v>
      </c>
      <c r="E6064" s="114" t="s">
        <v>9903</v>
      </c>
    </row>
    <row r="6065" spans="1:5" x14ac:dyDescent="0.25">
      <c r="B6065" s="114" t="s">
        <v>1073</v>
      </c>
      <c r="D6065" s="114" t="s">
        <v>9904</v>
      </c>
      <c r="E6065" s="114" t="s">
        <v>9905</v>
      </c>
    </row>
    <row r="6066" spans="1:5" x14ac:dyDescent="0.25">
      <c r="A6066" s="114" t="s">
        <v>1072</v>
      </c>
      <c r="B6066" s="114" t="s">
        <v>1167</v>
      </c>
      <c r="D6066" s="114">
        <f>-22   -422    -2</f>
        <v>-446</v>
      </c>
      <c r="E6066" s="114" t="s">
        <v>9906</v>
      </c>
    </row>
    <row r="6067" spans="1:5" x14ac:dyDescent="0.25">
      <c r="B6067" s="114" t="s">
        <v>1073</v>
      </c>
      <c r="D6067" s="114" t="s">
        <v>9907</v>
      </c>
      <c r="E6067" s="114" t="s">
        <v>9908</v>
      </c>
    </row>
    <row r="6068" spans="1:5" x14ac:dyDescent="0.25">
      <c r="A6068" s="114" t="s">
        <v>1072</v>
      </c>
      <c r="B6068" s="114" t="s">
        <v>1335</v>
      </c>
      <c r="D6068" s="114" t="s">
        <v>9909</v>
      </c>
      <c r="E6068" s="114" t="s">
        <v>9910</v>
      </c>
    </row>
    <row r="6069" spans="1:5" x14ac:dyDescent="0.25">
      <c r="B6069" s="114" t="s">
        <v>1073</v>
      </c>
      <c r="D6069" s="114">
        <f>-218   -849</f>
        <v>-1067</v>
      </c>
      <c r="E6069" s="114" t="s">
        <v>9911</v>
      </c>
    </row>
    <row r="6070" spans="1:5" x14ac:dyDescent="0.25">
      <c r="B6070" s="114" t="s">
        <v>1073</v>
      </c>
      <c r="D6070" s="114" t="s">
        <v>9912</v>
      </c>
      <c r="E6070" s="114" t="s">
        <v>9913</v>
      </c>
    </row>
    <row r="6071" spans="1:5" x14ac:dyDescent="0.25">
      <c r="A6071" s="114" t="s">
        <v>1072</v>
      </c>
      <c r="B6071" s="114" t="s">
        <v>3642</v>
      </c>
      <c r="D6071" s="114" t="s">
        <v>9914</v>
      </c>
      <c r="E6071" s="114" t="s">
        <v>9915</v>
      </c>
    </row>
    <row r="6072" spans="1:5" x14ac:dyDescent="0.25">
      <c r="B6072" s="114" t="s">
        <v>1388</v>
      </c>
      <c r="D6072" s="114" t="s">
        <v>9916</v>
      </c>
      <c r="E6072" s="114" t="s">
        <v>9917</v>
      </c>
    </row>
    <row r="6073" spans="1:5" x14ac:dyDescent="0.25">
      <c r="B6073" s="114" t="s">
        <v>1073</v>
      </c>
      <c r="D6073" s="114" t="s">
        <v>9918</v>
      </c>
      <c r="E6073" s="114" t="s">
        <v>9919</v>
      </c>
    </row>
    <row r="6074" spans="1:5" x14ac:dyDescent="0.25">
      <c r="B6074" s="114" t="s">
        <v>1073</v>
      </c>
      <c r="D6074" s="114">
        <f>-636  -1000   -15</f>
        <v>-1651</v>
      </c>
      <c r="E6074" s="114" t="s">
        <v>9920</v>
      </c>
    </row>
    <row r="6075" spans="1:5" x14ac:dyDescent="0.25">
      <c r="B6075" s="114" t="s">
        <v>3643</v>
      </c>
      <c r="D6075" s="114" t="s">
        <v>9921</v>
      </c>
      <c r="E6075" s="114" t="s">
        <v>9922</v>
      </c>
    </row>
    <row r="6076" spans="1:5" x14ac:dyDescent="0.25">
      <c r="B6076" s="114" t="s">
        <v>1073</v>
      </c>
      <c r="D6076" s="114" t="s">
        <v>9923</v>
      </c>
      <c r="E6076" s="114" t="s">
        <v>9924</v>
      </c>
    </row>
    <row r="6077" spans="1:5" x14ac:dyDescent="0.25">
      <c r="B6077" s="114" t="s">
        <v>1073</v>
      </c>
      <c r="D6077" s="114" t="s">
        <v>9925</v>
      </c>
      <c r="E6077" s="114" t="s">
        <v>9926</v>
      </c>
    </row>
    <row r="6078" spans="1:5" x14ac:dyDescent="0.25">
      <c r="B6078" s="114" t="s">
        <v>1073</v>
      </c>
      <c r="D6078" s="114" t="s">
        <v>9927</v>
      </c>
      <c r="E6078" s="114" t="s">
        <v>9928</v>
      </c>
    </row>
    <row r="6079" spans="1:5" x14ac:dyDescent="0.25">
      <c r="B6079" s="114" t="s">
        <v>1073</v>
      </c>
      <c r="D6079" s="114" t="s">
        <v>9929</v>
      </c>
      <c r="E6079" s="114" t="s">
        <v>9930</v>
      </c>
    </row>
    <row r="6080" spans="1:5" x14ac:dyDescent="0.25">
      <c r="A6080" s="114">
        <v>1</v>
      </c>
      <c r="B6080" s="114" t="s">
        <v>3644</v>
      </c>
      <c r="D6080" s="114" t="s">
        <v>1073</v>
      </c>
      <c r="E6080" s="114" t="s">
        <v>9931</v>
      </c>
    </row>
    <row r="6081" spans="1:5" x14ac:dyDescent="0.25">
      <c r="B6081" s="114" t="s">
        <v>3645</v>
      </c>
      <c r="D6081" s="114" t="s">
        <v>9932</v>
      </c>
      <c r="E6081" s="114" t="s">
        <v>9933</v>
      </c>
    </row>
    <row r="6082" spans="1:5" x14ac:dyDescent="0.25">
      <c r="A6082" s="114">
        <v>10</v>
      </c>
      <c r="B6082" s="114" t="s">
        <v>1486</v>
      </c>
      <c r="D6082" s="114" t="s">
        <v>1073</v>
      </c>
      <c r="E6082" s="114" t="s">
        <v>9934</v>
      </c>
    </row>
    <row r="6083" spans="1:5" x14ac:dyDescent="0.25">
      <c r="B6083" s="114" t="s">
        <v>1073</v>
      </c>
      <c r="D6083" s="114" t="s">
        <v>1073</v>
      </c>
      <c r="E6083" s="114" t="s">
        <v>3993</v>
      </c>
    </row>
    <row r="6084" spans="1:5" x14ac:dyDescent="0.25">
      <c r="B6084" s="114" t="s">
        <v>1073</v>
      </c>
      <c r="D6084" s="114" t="s">
        <v>9935</v>
      </c>
      <c r="E6084" s="114" t="s">
        <v>9936</v>
      </c>
    </row>
    <row r="6085" spans="1:5" x14ac:dyDescent="0.25">
      <c r="B6085" s="114" t="s">
        <v>3646</v>
      </c>
      <c r="C6085" s="114">
        <v>-1</v>
      </c>
      <c r="D6085" s="114" t="s">
        <v>9937</v>
      </c>
      <c r="E6085" s="114" t="s">
        <v>9938</v>
      </c>
    </row>
    <row r="6086" spans="1:5" x14ac:dyDescent="0.25">
      <c r="A6086" s="114">
        <v>-6</v>
      </c>
      <c r="B6086" s="114" t="s">
        <v>3647</v>
      </c>
      <c r="C6086" s="114" t="s">
        <v>1072</v>
      </c>
      <c r="D6086" s="114" t="s">
        <v>9939</v>
      </c>
      <c r="E6086" s="114" t="s">
        <v>9940</v>
      </c>
    </row>
    <row r="6087" spans="1:5" x14ac:dyDescent="0.25">
      <c r="A6087" s="114">
        <v>-8</v>
      </c>
      <c r="B6087" s="114" t="s">
        <v>3648</v>
      </c>
      <c r="C6087" s="114">
        <v>-1</v>
      </c>
      <c r="D6087" s="114" t="s">
        <v>9941</v>
      </c>
      <c r="E6087" s="114" t="s">
        <v>9942</v>
      </c>
    </row>
    <row r="6088" spans="1:5" x14ac:dyDescent="0.25">
      <c r="A6088" s="114">
        <v>-12</v>
      </c>
      <c r="B6088" s="114" t="s">
        <v>3649</v>
      </c>
      <c r="C6088" s="114">
        <v>-1</v>
      </c>
      <c r="D6088" s="114" t="s">
        <v>9943</v>
      </c>
      <c r="E6088" s="114" t="s">
        <v>9944</v>
      </c>
    </row>
    <row r="6089" spans="1:5" x14ac:dyDescent="0.25">
      <c r="A6089" s="114">
        <v>-11</v>
      </c>
      <c r="B6089" s="114" t="s">
        <v>3650</v>
      </c>
      <c r="C6089" s="114" t="s">
        <v>1072</v>
      </c>
      <c r="D6089" s="114" t="s">
        <v>9945</v>
      </c>
      <c r="E6089" s="114" t="s">
        <v>9946</v>
      </c>
    </row>
    <row r="6090" spans="1:5" x14ac:dyDescent="0.25">
      <c r="A6090" s="114">
        <v>-7</v>
      </c>
      <c r="B6090" s="114" t="s">
        <v>3651</v>
      </c>
      <c r="C6090" s="114" t="s">
        <v>1072</v>
      </c>
      <c r="D6090" s="114" t="s">
        <v>9947</v>
      </c>
      <c r="E6090" s="114" t="s">
        <v>9948</v>
      </c>
    </row>
    <row r="6091" spans="1:5" x14ac:dyDescent="0.25">
      <c r="A6091" s="114">
        <v>54</v>
      </c>
      <c r="B6091" s="114" t="s">
        <v>3652</v>
      </c>
      <c r="C6091" s="114">
        <v>4</v>
      </c>
      <c r="D6091" s="114" t="s">
        <v>9949</v>
      </c>
      <c r="E6091" s="114" t="s">
        <v>9950</v>
      </c>
    </row>
    <row r="6092" spans="1:5" x14ac:dyDescent="0.25">
      <c r="A6092" s="114">
        <v>57</v>
      </c>
      <c r="B6092" s="114" t="s">
        <v>3653</v>
      </c>
      <c r="C6092" s="114">
        <v>5</v>
      </c>
      <c r="D6092" s="114" t="s">
        <v>9951</v>
      </c>
      <c r="E6092" s="114" t="s">
        <v>9952</v>
      </c>
    </row>
    <row r="6093" spans="1:5" x14ac:dyDescent="0.25">
      <c r="A6093" s="114">
        <v>89</v>
      </c>
      <c r="B6093" s="114" t="s">
        <v>3654</v>
      </c>
      <c r="C6093" s="114">
        <v>-4</v>
      </c>
      <c r="D6093" s="114" t="s">
        <v>9953</v>
      </c>
      <c r="E6093" s="114" t="s">
        <v>9954</v>
      </c>
    </row>
    <row r="6094" spans="1:5" x14ac:dyDescent="0.25">
      <c r="B6094" s="114" t="s">
        <v>1073</v>
      </c>
      <c r="D6094" s="114" t="s">
        <v>9955</v>
      </c>
      <c r="E6094" s="114" t="s">
        <v>4044</v>
      </c>
    </row>
    <row r="6095" spans="1:5" x14ac:dyDescent="0.25">
      <c r="B6095" s="114" t="s">
        <v>1073</v>
      </c>
      <c r="D6095" s="114" t="s">
        <v>9956</v>
      </c>
      <c r="E6095" s="114" t="s">
        <v>9957</v>
      </c>
    </row>
    <row r="6096" spans="1:5" x14ac:dyDescent="0.25">
      <c r="B6096" s="114" t="s">
        <v>3655</v>
      </c>
      <c r="D6096" s="114" t="s">
        <v>9958</v>
      </c>
      <c r="E6096" s="114" t="s">
        <v>9959</v>
      </c>
    </row>
    <row r="6097" spans="1:5" x14ac:dyDescent="0.25">
      <c r="B6097" s="114" t="s">
        <v>1353</v>
      </c>
      <c r="D6097" s="114" t="s">
        <v>1073</v>
      </c>
      <c r="E6097" s="114" t="s">
        <v>9960</v>
      </c>
    </row>
    <row r="6098" spans="1:5" x14ac:dyDescent="0.25">
      <c r="B6098" s="114" t="s">
        <v>1073</v>
      </c>
      <c r="D6098" s="114" t="s">
        <v>9961</v>
      </c>
      <c r="E6098" s="114" t="s">
        <v>9962</v>
      </c>
    </row>
    <row r="6099" spans="1:5" x14ac:dyDescent="0.25">
      <c r="B6099" s="114" t="s">
        <v>1073</v>
      </c>
      <c r="D6099" s="114" t="s">
        <v>9963</v>
      </c>
      <c r="E6099" s="114" t="s">
        <v>9964</v>
      </c>
    </row>
    <row r="6100" spans="1:5" x14ac:dyDescent="0.25">
      <c r="B6100" s="114">
        <f>-29   -446</f>
        <v>-475</v>
      </c>
      <c r="D6100" s="114">
        <f>-85   -272   -37</f>
        <v>-394</v>
      </c>
      <c r="E6100" s="114" t="s">
        <v>9965</v>
      </c>
    </row>
    <row r="6101" spans="1:5" x14ac:dyDescent="0.25">
      <c r="B6101" s="114" t="s">
        <v>1430</v>
      </c>
      <c r="D6101" s="114" t="s">
        <v>9966</v>
      </c>
      <c r="E6101" s="114" t="s">
        <v>9967</v>
      </c>
    </row>
    <row r="6102" spans="1:5" x14ac:dyDescent="0.25">
      <c r="B6102" s="114" t="s">
        <v>3656</v>
      </c>
      <c r="D6102" s="114">
        <f>-544   -102    -7</f>
        <v>-653</v>
      </c>
      <c r="E6102" s="114" t="s">
        <v>9968</v>
      </c>
    </row>
    <row r="6103" spans="1:5" x14ac:dyDescent="0.25">
      <c r="A6103" s="114" t="s">
        <v>1072</v>
      </c>
      <c r="B6103" s="114" t="s">
        <v>3657</v>
      </c>
      <c r="D6103" s="114" t="s">
        <v>9969</v>
      </c>
      <c r="E6103" s="114" t="s">
        <v>9970</v>
      </c>
    </row>
    <row r="6104" spans="1:5" x14ac:dyDescent="0.25">
      <c r="B6104" s="114" t="s">
        <v>3658</v>
      </c>
      <c r="D6104" s="114" t="s">
        <v>9971</v>
      </c>
      <c r="E6104" s="114" t="s">
        <v>9972</v>
      </c>
    </row>
    <row r="6105" spans="1:5" x14ac:dyDescent="0.25">
      <c r="B6105" s="114" t="s">
        <v>3659</v>
      </c>
      <c r="D6105" s="114" t="s">
        <v>2420</v>
      </c>
      <c r="E6105" s="114" t="s">
        <v>9973</v>
      </c>
    </row>
    <row r="6106" spans="1:5" x14ac:dyDescent="0.25">
      <c r="B6106" s="114" t="s">
        <v>1073</v>
      </c>
      <c r="D6106" s="114" t="s">
        <v>9974</v>
      </c>
      <c r="E6106" s="114" t="s">
        <v>9975</v>
      </c>
    </row>
    <row r="6107" spans="1:5" x14ac:dyDescent="0.25">
      <c r="B6107" s="114" t="s">
        <v>1182</v>
      </c>
      <c r="C6107" s="114" t="s">
        <v>1072</v>
      </c>
      <c r="D6107" s="114" t="s">
        <v>9976</v>
      </c>
      <c r="E6107" s="114" t="s">
        <v>9977</v>
      </c>
    </row>
    <row r="6108" spans="1:5" x14ac:dyDescent="0.25">
      <c r="A6108" s="114" t="s">
        <v>1072</v>
      </c>
      <c r="B6108" s="114" t="s">
        <v>3660</v>
      </c>
      <c r="D6108" s="114">
        <f>-27  -1590  -106</f>
        <v>-1723</v>
      </c>
      <c r="E6108" s="114" t="s">
        <v>9978</v>
      </c>
    </row>
    <row r="6109" spans="1:5" x14ac:dyDescent="0.25">
      <c r="B6109" s="114" t="s">
        <v>3661</v>
      </c>
      <c r="D6109" s="114" t="s">
        <v>9979</v>
      </c>
      <c r="E6109" s="114" t="s">
        <v>3993</v>
      </c>
    </row>
    <row r="6110" spans="1:5" x14ac:dyDescent="0.25">
      <c r="B6110" s="114" t="s">
        <v>3662</v>
      </c>
      <c r="C6110" s="114" t="s">
        <v>1072</v>
      </c>
      <c r="D6110" s="114" t="s">
        <v>9980</v>
      </c>
      <c r="E6110" s="114" t="s">
        <v>9981</v>
      </c>
    </row>
    <row r="6111" spans="1:5" x14ac:dyDescent="0.25">
      <c r="B6111" s="114" t="s">
        <v>2485</v>
      </c>
      <c r="D6111" s="114" t="s">
        <v>9982</v>
      </c>
      <c r="E6111" s="114" t="s">
        <v>9983</v>
      </c>
    </row>
    <row r="6112" spans="1:5" x14ac:dyDescent="0.25">
      <c r="B6112" s="114" t="s">
        <v>3663</v>
      </c>
      <c r="D6112" s="114" t="s">
        <v>9984</v>
      </c>
      <c r="E6112" s="114" t="s">
        <v>9985</v>
      </c>
    </row>
    <row r="6113" spans="1:5" x14ac:dyDescent="0.25">
      <c r="B6113" s="114" t="s">
        <v>3664</v>
      </c>
      <c r="C6113" s="114" t="s">
        <v>1072</v>
      </c>
      <c r="D6113" s="114" t="s">
        <v>9986</v>
      </c>
      <c r="E6113" s="114" t="s">
        <v>9987</v>
      </c>
    </row>
    <row r="6114" spans="1:5" x14ac:dyDescent="0.25">
      <c r="B6114" s="114" t="s">
        <v>1073</v>
      </c>
      <c r="D6114" s="114" t="s">
        <v>1073</v>
      </c>
      <c r="E6114" s="114" t="s">
        <v>9988</v>
      </c>
    </row>
    <row r="6115" spans="1:5" x14ac:dyDescent="0.25">
      <c r="B6115" s="114" t="s">
        <v>3665</v>
      </c>
      <c r="D6115" s="114" t="s">
        <v>9989</v>
      </c>
      <c r="E6115" s="114" t="s">
        <v>9990</v>
      </c>
    </row>
    <row r="6116" spans="1:5" x14ac:dyDescent="0.25">
      <c r="B6116" s="114" t="s">
        <v>1073</v>
      </c>
      <c r="D6116" s="114" t="s">
        <v>9991</v>
      </c>
      <c r="E6116" s="114" t="s">
        <v>9992</v>
      </c>
    </row>
    <row r="6117" spans="1:5" x14ac:dyDescent="0.25">
      <c r="B6117" s="114" t="s">
        <v>1073</v>
      </c>
      <c r="D6117" s="114" t="s">
        <v>1073</v>
      </c>
      <c r="E6117" s="114" t="s">
        <v>3993</v>
      </c>
    </row>
    <row r="6118" spans="1:5" x14ac:dyDescent="0.25">
      <c r="B6118" s="114" t="s">
        <v>1249</v>
      </c>
      <c r="D6118" s="114" t="s">
        <v>1073</v>
      </c>
      <c r="E6118" s="114" t="s">
        <v>9993</v>
      </c>
    </row>
    <row r="6119" spans="1:5" x14ac:dyDescent="0.25">
      <c r="A6119" s="114">
        <v>-14</v>
      </c>
      <c r="B6119" s="114" t="s">
        <v>3666</v>
      </c>
      <c r="C6119" s="114">
        <v>-1</v>
      </c>
      <c r="D6119" s="114" t="s">
        <v>9994</v>
      </c>
      <c r="E6119" s="114" t="s">
        <v>9995</v>
      </c>
    </row>
    <row r="6120" spans="1:5" x14ac:dyDescent="0.25">
      <c r="A6120" s="114">
        <v>-11</v>
      </c>
      <c r="B6120" s="114" t="s">
        <v>3667</v>
      </c>
      <c r="C6120" s="114" t="s">
        <v>1072</v>
      </c>
      <c r="D6120" s="114" t="s">
        <v>9996</v>
      </c>
      <c r="E6120" s="114" t="s">
        <v>9997</v>
      </c>
    </row>
    <row r="6121" spans="1:5" x14ac:dyDescent="0.25">
      <c r="A6121" s="114">
        <v>-19</v>
      </c>
      <c r="B6121" s="114" t="s">
        <v>3668</v>
      </c>
      <c r="C6121" s="114">
        <v>-1</v>
      </c>
      <c r="D6121" s="114" t="s">
        <v>9998</v>
      </c>
      <c r="E6121" s="114" t="s">
        <v>9999</v>
      </c>
    </row>
    <row r="6122" spans="1:5" x14ac:dyDescent="0.25">
      <c r="A6122" s="114">
        <v>-13</v>
      </c>
      <c r="B6122" s="114" t="s">
        <v>3669</v>
      </c>
      <c r="C6122" s="114">
        <v>-2</v>
      </c>
      <c r="D6122" s="114" t="s">
        <v>10000</v>
      </c>
      <c r="E6122" s="114" t="s">
        <v>10001</v>
      </c>
    </row>
    <row r="6123" spans="1:5" x14ac:dyDescent="0.25">
      <c r="A6123" s="114">
        <v>-5</v>
      </c>
      <c r="B6123" s="114" t="s">
        <v>3670</v>
      </c>
      <c r="C6123" s="114" t="s">
        <v>1072</v>
      </c>
      <c r="D6123" s="114" t="s">
        <v>10002</v>
      </c>
      <c r="E6123" s="114" t="s">
        <v>10003</v>
      </c>
    </row>
    <row r="6124" spans="1:5" x14ac:dyDescent="0.25">
      <c r="A6124" s="114">
        <v>-3</v>
      </c>
      <c r="B6124" s="114" t="s">
        <v>3671</v>
      </c>
      <c r="C6124" s="114" t="s">
        <v>1072</v>
      </c>
      <c r="D6124" s="114" t="s">
        <v>10004</v>
      </c>
      <c r="E6124" s="114" t="s">
        <v>10005</v>
      </c>
    </row>
    <row r="6125" spans="1:5" x14ac:dyDescent="0.25">
      <c r="A6125" s="114">
        <v>40</v>
      </c>
      <c r="B6125" s="114" t="s">
        <v>3672</v>
      </c>
      <c r="C6125" s="114">
        <v>4</v>
      </c>
      <c r="D6125" s="114" t="s">
        <v>10006</v>
      </c>
      <c r="E6125" s="114" t="s">
        <v>10007</v>
      </c>
    </row>
    <row r="6126" spans="1:5" x14ac:dyDescent="0.25">
      <c r="A6126" s="114">
        <v>55</v>
      </c>
      <c r="B6126" s="114" t="s">
        <v>3673</v>
      </c>
      <c r="C6126" s="114">
        <v>5</v>
      </c>
      <c r="D6126" s="114" t="s">
        <v>10008</v>
      </c>
      <c r="E6126" s="114" t="s">
        <v>10009</v>
      </c>
    </row>
    <row r="6127" spans="1:5" x14ac:dyDescent="0.25">
      <c r="A6127" s="114">
        <v>-6</v>
      </c>
      <c r="B6127" s="114" t="s">
        <v>3674</v>
      </c>
      <c r="D6127" s="114">
        <f>-936   -373</f>
        <v>-1309</v>
      </c>
      <c r="E6127" s="114" t="s">
        <v>10010</v>
      </c>
    </row>
    <row r="6128" spans="1:5" x14ac:dyDescent="0.25">
      <c r="B6128" s="114" t="s">
        <v>1073</v>
      </c>
      <c r="D6128" s="114" t="s">
        <v>10011</v>
      </c>
      <c r="E6128" s="114" t="s">
        <v>3993</v>
      </c>
    </row>
    <row r="6129" spans="1:5" x14ac:dyDescent="0.25">
      <c r="B6129" s="114" t="s">
        <v>1073</v>
      </c>
      <c r="D6129" s="114" t="s">
        <v>10012</v>
      </c>
      <c r="E6129" s="114" t="s">
        <v>10013</v>
      </c>
    </row>
    <row r="6130" spans="1:5" x14ac:dyDescent="0.25">
      <c r="A6130" s="114">
        <v>1</v>
      </c>
      <c r="B6130" s="114" t="s">
        <v>3675</v>
      </c>
      <c r="D6130" s="114" t="s">
        <v>1073</v>
      </c>
      <c r="E6130" s="114" t="s">
        <v>10014</v>
      </c>
    </row>
    <row r="6131" spans="1:5" x14ac:dyDescent="0.25">
      <c r="B6131" s="114" t="s">
        <v>1073</v>
      </c>
      <c r="D6131" s="114" t="s">
        <v>1073</v>
      </c>
      <c r="E6131" s="114" t="s">
        <v>10015</v>
      </c>
    </row>
    <row r="6132" spans="1:5" x14ac:dyDescent="0.25">
      <c r="B6132" s="114" t="s">
        <v>1073</v>
      </c>
      <c r="D6132" s="114" t="s">
        <v>10016</v>
      </c>
      <c r="E6132" s="114" t="s">
        <v>10017</v>
      </c>
    </row>
    <row r="6133" spans="1:5" x14ac:dyDescent="0.25">
      <c r="B6133" s="114" t="s">
        <v>3676</v>
      </c>
      <c r="D6133" s="114" t="s">
        <v>10018</v>
      </c>
      <c r="E6133" s="114" t="s">
        <v>10019</v>
      </c>
    </row>
    <row r="6134" spans="1:5" x14ac:dyDescent="0.25">
      <c r="B6134" s="114" t="s">
        <v>3677</v>
      </c>
      <c r="D6134" s="114" t="s">
        <v>10020</v>
      </c>
      <c r="E6134" s="114" t="s">
        <v>10021</v>
      </c>
    </row>
    <row r="6135" spans="1:5" x14ac:dyDescent="0.25">
      <c r="A6135" s="114">
        <v>2</v>
      </c>
      <c r="B6135" s="114" t="s">
        <v>3678</v>
      </c>
      <c r="D6135" s="114" t="s">
        <v>10022</v>
      </c>
      <c r="E6135" s="114" t="s">
        <v>10023</v>
      </c>
    </row>
    <row r="6136" spans="1:5" x14ac:dyDescent="0.25">
      <c r="A6136" s="114">
        <v>2</v>
      </c>
      <c r="B6136" s="114" t="s">
        <v>3679</v>
      </c>
      <c r="D6136" s="114">
        <f>-81   -451   -12</f>
        <v>-544</v>
      </c>
      <c r="E6136" s="114" t="s">
        <v>10024</v>
      </c>
    </row>
    <row r="6137" spans="1:5" x14ac:dyDescent="0.25">
      <c r="B6137" s="114" t="s">
        <v>3680</v>
      </c>
      <c r="D6137" s="114" t="s">
        <v>10025</v>
      </c>
      <c r="E6137" s="114" t="s">
        <v>10026</v>
      </c>
    </row>
    <row r="6138" spans="1:5" x14ac:dyDescent="0.25">
      <c r="A6138" s="114">
        <v>-1</v>
      </c>
      <c r="B6138" s="114" t="s">
        <v>3681</v>
      </c>
      <c r="D6138" s="114" t="s">
        <v>10027</v>
      </c>
      <c r="E6138" s="114" t="s">
        <v>10028</v>
      </c>
    </row>
    <row r="6139" spans="1:5" x14ac:dyDescent="0.25">
      <c r="A6139" s="114">
        <v>3</v>
      </c>
      <c r="B6139" s="114" t="s">
        <v>1383</v>
      </c>
      <c r="D6139" s="114" t="s">
        <v>1371</v>
      </c>
      <c r="E6139" s="114" t="s">
        <v>10029</v>
      </c>
    </row>
    <row r="6140" spans="1:5" x14ac:dyDescent="0.25">
      <c r="B6140" s="114" t="s">
        <v>1446</v>
      </c>
      <c r="D6140" s="114" t="s">
        <v>10030</v>
      </c>
      <c r="E6140" s="114" t="s">
        <v>10031</v>
      </c>
    </row>
    <row r="6141" spans="1:5" x14ac:dyDescent="0.25">
      <c r="A6141" s="114">
        <v>-1</v>
      </c>
      <c r="B6141" s="114" t="s">
        <v>3682</v>
      </c>
      <c r="D6141" s="114" t="s">
        <v>10032</v>
      </c>
      <c r="E6141" s="114" t="s">
        <v>10033</v>
      </c>
    </row>
    <row r="6142" spans="1:5" x14ac:dyDescent="0.25">
      <c r="A6142" s="114">
        <v>1</v>
      </c>
      <c r="B6142" s="114" t="s">
        <v>3683</v>
      </c>
      <c r="D6142" s="114">
        <f>-928   -536</f>
        <v>-1464</v>
      </c>
      <c r="E6142" s="114" t="s">
        <v>10034</v>
      </c>
    </row>
    <row r="6143" spans="1:5" x14ac:dyDescent="0.25">
      <c r="B6143" s="114" t="s">
        <v>1411</v>
      </c>
      <c r="D6143" s="114" t="s">
        <v>1085</v>
      </c>
      <c r="E6143" s="114" t="s">
        <v>3993</v>
      </c>
    </row>
    <row r="6144" spans="1:5" x14ac:dyDescent="0.25">
      <c r="B6144" s="114" t="s">
        <v>3684</v>
      </c>
      <c r="D6144" s="114" t="s">
        <v>10035</v>
      </c>
      <c r="E6144" s="114" t="s">
        <v>3993</v>
      </c>
    </row>
    <row r="6145" spans="1:5" x14ac:dyDescent="0.25">
      <c r="A6145" s="114">
        <v>6</v>
      </c>
      <c r="B6145" s="114" t="s">
        <v>3685</v>
      </c>
      <c r="D6145" s="114" t="s">
        <v>10036</v>
      </c>
      <c r="E6145" s="114" t="s">
        <v>10037</v>
      </c>
    </row>
    <row r="6146" spans="1:5" x14ac:dyDescent="0.25">
      <c r="A6146" s="114">
        <v>2</v>
      </c>
      <c r="B6146" s="114" t="s">
        <v>3686</v>
      </c>
      <c r="D6146" s="114" t="s">
        <v>10038</v>
      </c>
      <c r="E6146" s="114" t="s">
        <v>10039</v>
      </c>
    </row>
    <row r="6147" spans="1:5" x14ac:dyDescent="0.25">
      <c r="A6147" s="114">
        <v>1</v>
      </c>
      <c r="B6147" s="114" t="s">
        <v>3687</v>
      </c>
      <c r="D6147" s="114" t="s">
        <v>10040</v>
      </c>
      <c r="E6147" s="114" t="s">
        <v>10041</v>
      </c>
    </row>
    <row r="6148" spans="1:5" x14ac:dyDescent="0.25">
      <c r="B6148" s="114" t="s">
        <v>1073</v>
      </c>
      <c r="D6148" s="114" t="s">
        <v>1073</v>
      </c>
      <c r="E6148" s="114" t="s">
        <v>10042</v>
      </c>
    </row>
    <row r="6149" spans="1:5" x14ac:dyDescent="0.25">
      <c r="A6149" s="114">
        <v>-1</v>
      </c>
      <c r="B6149" s="114" t="s">
        <v>3688</v>
      </c>
      <c r="D6149" s="114" t="s">
        <v>4548</v>
      </c>
      <c r="E6149" s="114" t="s">
        <v>10043</v>
      </c>
    </row>
    <row r="6150" spans="1:5" x14ac:dyDescent="0.25">
      <c r="B6150" s="114" t="s">
        <v>1073</v>
      </c>
      <c r="D6150" s="114" t="s">
        <v>10044</v>
      </c>
      <c r="E6150" s="114" t="s">
        <v>4044</v>
      </c>
    </row>
    <row r="6151" spans="1:5" x14ac:dyDescent="0.25">
      <c r="B6151" s="114" t="s">
        <v>1073</v>
      </c>
      <c r="D6151" s="114" t="s">
        <v>1073</v>
      </c>
      <c r="E6151" s="114" t="s">
        <v>3993</v>
      </c>
    </row>
    <row r="6152" spans="1:5" x14ac:dyDescent="0.25">
      <c r="B6152" s="114" t="s">
        <v>1095</v>
      </c>
      <c r="D6152" s="114" t="s">
        <v>1073</v>
      </c>
      <c r="E6152" s="114" t="s">
        <v>10045</v>
      </c>
    </row>
    <row r="6153" spans="1:5" x14ac:dyDescent="0.25">
      <c r="A6153" s="114">
        <v>2</v>
      </c>
      <c r="B6153" s="114" t="s">
        <v>3689</v>
      </c>
      <c r="D6153" s="114" t="s">
        <v>10046</v>
      </c>
      <c r="E6153" s="114" t="s">
        <v>10047</v>
      </c>
    </row>
    <row r="6154" spans="1:5" x14ac:dyDescent="0.25">
      <c r="B6154" s="114" t="s">
        <v>3690</v>
      </c>
      <c r="D6154" s="114" t="s">
        <v>10048</v>
      </c>
      <c r="E6154" s="114" t="s">
        <v>10049</v>
      </c>
    </row>
    <row r="6155" spans="1:5" x14ac:dyDescent="0.25">
      <c r="A6155" s="114">
        <v>3</v>
      </c>
      <c r="B6155" s="114" t="s">
        <v>3691</v>
      </c>
      <c r="D6155" s="114" t="s">
        <v>10050</v>
      </c>
      <c r="E6155" s="114" t="s">
        <v>10051</v>
      </c>
    </row>
    <row r="6156" spans="1:5" x14ac:dyDescent="0.25">
      <c r="A6156" s="114">
        <v>3</v>
      </c>
      <c r="B6156" s="114" t="s">
        <v>3692</v>
      </c>
      <c r="D6156" s="114" t="s">
        <v>10052</v>
      </c>
      <c r="E6156" s="114" t="s">
        <v>10053</v>
      </c>
    </row>
    <row r="6157" spans="1:5" x14ac:dyDescent="0.25">
      <c r="A6157" s="114">
        <v>1</v>
      </c>
      <c r="B6157" s="114" t="s">
        <v>3693</v>
      </c>
      <c r="D6157" s="114" t="s">
        <v>10054</v>
      </c>
      <c r="E6157" s="114" t="s">
        <v>10055</v>
      </c>
    </row>
    <row r="6158" spans="1:5" x14ac:dyDescent="0.25">
      <c r="A6158" s="114">
        <v>4</v>
      </c>
      <c r="B6158" s="114" t="s">
        <v>3694</v>
      </c>
      <c r="D6158" s="114" t="s">
        <v>10056</v>
      </c>
      <c r="E6158" s="114" t="s">
        <v>10057</v>
      </c>
    </row>
    <row r="6159" spans="1:5" x14ac:dyDescent="0.25">
      <c r="A6159" s="114">
        <v>-1</v>
      </c>
      <c r="B6159" s="114" t="s">
        <v>3695</v>
      </c>
      <c r="D6159" s="114" t="s">
        <v>10058</v>
      </c>
      <c r="E6159" s="114" t="s">
        <v>10059</v>
      </c>
    </row>
    <row r="6160" spans="1:5" x14ac:dyDescent="0.25">
      <c r="A6160" s="114" t="s">
        <v>1072</v>
      </c>
      <c r="B6160" s="114" t="s">
        <v>3696</v>
      </c>
      <c r="C6160" s="114" t="s">
        <v>1072</v>
      </c>
      <c r="D6160" s="114" t="s">
        <v>10060</v>
      </c>
      <c r="E6160" s="114" t="s">
        <v>10061</v>
      </c>
    </row>
    <row r="6161" spans="1:5" x14ac:dyDescent="0.25">
      <c r="A6161" s="114" t="s">
        <v>1072</v>
      </c>
      <c r="B6161" s="114" t="s">
        <v>3697</v>
      </c>
      <c r="D6161" s="114" t="s">
        <v>10062</v>
      </c>
      <c r="E6161" s="114" t="s">
        <v>10063</v>
      </c>
    </row>
    <row r="6162" spans="1:5" x14ac:dyDescent="0.25">
      <c r="B6162" s="114" t="s">
        <v>1073</v>
      </c>
      <c r="D6162" s="114">
        <f>-165    -44</f>
        <v>-209</v>
      </c>
      <c r="E6162" s="114" t="s">
        <v>3993</v>
      </c>
    </row>
    <row r="6163" spans="1:5" x14ac:dyDescent="0.25">
      <c r="B6163" s="114" t="s">
        <v>1073</v>
      </c>
      <c r="D6163" s="114" t="s">
        <v>10064</v>
      </c>
      <c r="E6163" s="114" t="s">
        <v>10065</v>
      </c>
    </row>
    <row r="6164" spans="1:5" x14ac:dyDescent="0.25">
      <c r="B6164" s="114" t="s">
        <v>3698</v>
      </c>
      <c r="D6164" s="114" t="s">
        <v>1073</v>
      </c>
      <c r="E6164" s="114" t="s">
        <v>10066</v>
      </c>
    </row>
    <row r="6165" spans="1:5" x14ac:dyDescent="0.25">
      <c r="B6165" s="114" t="s">
        <v>1073</v>
      </c>
      <c r="D6165" s="114" t="s">
        <v>1073</v>
      </c>
      <c r="E6165" s="114" t="s">
        <v>7897</v>
      </c>
    </row>
    <row r="6166" spans="1:5" x14ac:dyDescent="0.25">
      <c r="B6166" s="114" t="s">
        <v>1073</v>
      </c>
      <c r="D6166" s="114" t="s">
        <v>10067</v>
      </c>
      <c r="E6166" s="114" t="s">
        <v>10068</v>
      </c>
    </row>
    <row r="6167" spans="1:5" x14ac:dyDescent="0.25">
      <c r="B6167" s="114" t="s">
        <v>2721</v>
      </c>
      <c r="D6167" s="114" t="s">
        <v>10069</v>
      </c>
      <c r="E6167" s="114" t="s">
        <v>10070</v>
      </c>
    </row>
    <row r="6168" spans="1:5" x14ac:dyDescent="0.25">
      <c r="B6168" s="114" t="s">
        <v>3699</v>
      </c>
      <c r="D6168" s="114" t="s">
        <v>10071</v>
      </c>
      <c r="E6168" s="114" t="s">
        <v>10072</v>
      </c>
    </row>
    <row r="6169" spans="1:5" x14ac:dyDescent="0.25">
      <c r="B6169" s="114" t="s">
        <v>3700</v>
      </c>
      <c r="D6169" s="114">
        <f>-557  -1376   -65</f>
        <v>-1998</v>
      </c>
      <c r="E6169" s="114" t="s">
        <v>10073</v>
      </c>
    </row>
    <row r="6170" spans="1:5" x14ac:dyDescent="0.25">
      <c r="B6170" s="114" t="s">
        <v>3701</v>
      </c>
      <c r="D6170" s="114">
        <f>-506   -533   -26</f>
        <v>-1065</v>
      </c>
      <c r="E6170" s="114" t="s">
        <v>10074</v>
      </c>
    </row>
    <row r="6171" spans="1:5" x14ac:dyDescent="0.25">
      <c r="B6171" s="114" t="s">
        <v>1113</v>
      </c>
      <c r="D6171" s="114" t="s">
        <v>10075</v>
      </c>
      <c r="E6171" s="114" t="s">
        <v>10076</v>
      </c>
    </row>
    <row r="6172" spans="1:5" x14ac:dyDescent="0.25">
      <c r="B6172" s="114" t="s">
        <v>3702</v>
      </c>
      <c r="D6172" s="114" t="s">
        <v>10077</v>
      </c>
      <c r="E6172" s="114" t="s">
        <v>10078</v>
      </c>
    </row>
    <row r="6173" spans="1:5" x14ac:dyDescent="0.25">
      <c r="B6173" s="114" t="s">
        <v>3703</v>
      </c>
      <c r="D6173" s="114" t="s">
        <v>1457</v>
      </c>
      <c r="E6173" s="114" t="s">
        <v>10079</v>
      </c>
    </row>
    <row r="6174" spans="1:5" x14ac:dyDescent="0.25">
      <c r="B6174" s="114" t="s">
        <v>3704</v>
      </c>
      <c r="D6174" s="114" t="s">
        <v>10080</v>
      </c>
      <c r="E6174" s="114" t="s">
        <v>10081</v>
      </c>
    </row>
    <row r="6175" spans="1:5" x14ac:dyDescent="0.25">
      <c r="B6175" s="114" t="s">
        <v>3705</v>
      </c>
      <c r="D6175" s="114" t="s">
        <v>10082</v>
      </c>
      <c r="E6175" s="114" t="s">
        <v>10083</v>
      </c>
    </row>
    <row r="6176" spans="1:5" x14ac:dyDescent="0.25">
      <c r="B6176" s="114" t="s">
        <v>3706</v>
      </c>
      <c r="D6176" s="114" t="s">
        <v>10084</v>
      </c>
      <c r="E6176" s="114" t="s">
        <v>10085</v>
      </c>
    </row>
    <row r="6177" spans="1:5" x14ac:dyDescent="0.25">
      <c r="B6177" s="114" t="s">
        <v>3707</v>
      </c>
      <c r="D6177" s="114" t="s">
        <v>2709</v>
      </c>
      <c r="E6177" s="114" t="s">
        <v>3993</v>
      </c>
    </row>
    <row r="6178" spans="1:5" x14ac:dyDescent="0.25">
      <c r="B6178" s="114" t="s">
        <v>3708</v>
      </c>
      <c r="D6178" s="114" t="s">
        <v>10086</v>
      </c>
      <c r="E6178" s="114" t="s">
        <v>4088</v>
      </c>
    </row>
    <row r="6179" spans="1:5" x14ac:dyDescent="0.25">
      <c r="A6179" s="114" t="s">
        <v>1072</v>
      </c>
      <c r="B6179" s="114" t="s">
        <v>3709</v>
      </c>
      <c r="D6179" s="114">
        <f>-80    -57    -3</f>
        <v>-140</v>
      </c>
      <c r="E6179" s="114" t="s">
        <v>10087</v>
      </c>
    </row>
    <row r="6180" spans="1:5" x14ac:dyDescent="0.25">
      <c r="B6180" s="114" t="s">
        <v>1172</v>
      </c>
      <c r="D6180" s="114" t="s">
        <v>1442</v>
      </c>
      <c r="E6180" s="114" t="s">
        <v>10088</v>
      </c>
    </row>
    <row r="6181" spans="1:5" x14ac:dyDescent="0.25">
      <c r="B6181" s="114" t="s">
        <v>3710</v>
      </c>
      <c r="D6181" s="114" t="s">
        <v>10089</v>
      </c>
      <c r="E6181" s="114" t="s">
        <v>10090</v>
      </c>
    </row>
    <row r="6182" spans="1:5" x14ac:dyDescent="0.25">
      <c r="B6182" s="114" t="s">
        <v>1073</v>
      </c>
      <c r="D6182" s="114" t="s">
        <v>1073</v>
      </c>
      <c r="E6182" s="114" t="s">
        <v>10091</v>
      </c>
    </row>
    <row r="6183" spans="1:5" x14ac:dyDescent="0.25">
      <c r="A6183" s="114" t="s">
        <v>1072</v>
      </c>
      <c r="B6183" s="114" t="s">
        <v>3711</v>
      </c>
      <c r="D6183" s="114" t="s">
        <v>10092</v>
      </c>
      <c r="E6183" s="114" t="s">
        <v>10093</v>
      </c>
    </row>
    <row r="6184" spans="1:5" x14ac:dyDescent="0.25">
      <c r="B6184" s="114" t="s">
        <v>1073</v>
      </c>
      <c r="D6184" s="114" t="s">
        <v>10094</v>
      </c>
      <c r="E6184" s="114" t="s">
        <v>4002</v>
      </c>
    </row>
    <row r="6185" spans="1:5" x14ac:dyDescent="0.25">
      <c r="B6185" s="114" t="s">
        <v>1073</v>
      </c>
      <c r="D6185" s="114" t="s">
        <v>1073</v>
      </c>
      <c r="E6185" s="114" t="s">
        <v>3993</v>
      </c>
    </row>
    <row r="6186" spans="1:5" x14ac:dyDescent="0.25">
      <c r="A6186" s="114">
        <v>5</v>
      </c>
      <c r="B6186" s="114" t="s">
        <v>1250</v>
      </c>
      <c r="D6186" s="114" t="s">
        <v>1073</v>
      </c>
      <c r="E6186" s="114" t="s">
        <v>10095</v>
      </c>
    </row>
    <row r="6187" spans="1:5" x14ac:dyDescent="0.25">
      <c r="A6187" s="114">
        <v>1</v>
      </c>
      <c r="B6187" s="114" t="s">
        <v>3712</v>
      </c>
      <c r="D6187" s="114" t="s">
        <v>10096</v>
      </c>
      <c r="E6187" s="114" t="s">
        <v>10097</v>
      </c>
    </row>
    <row r="6188" spans="1:5" x14ac:dyDescent="0.25">
      <c r="B6188" s="114" t="s">
        <v>3713</v>
      </c>
      <c r="D6188" s="114" t="s">
        <v>10098</v>
      </c>
      <c r="E6188" s="114" t="s">
        <v>10099</v>
      </c>
    </row>
    <row r="6189" spans="1:5" x14ac:dyDescent="0.25">
      <c r="B6189" s="114" t="s">
        <v>3714</v>
      </c>
      <c r="D6189" s="114" t="s">
        <v>10100</v>
      </c>
      <c r="E6189" s="114" t="s">
        <v>10101</v>
      </c>
    </row>
    <row r="6190" spans="1:5" x14ac:dyDescent="0.25">
      <c r="B6190" s="114" t="s">
        <v>3715</v>
      </c>
      <c r="D6190" s="114" t="s">
        <v>10102</v>
      </c>
      <c r="E6190" s="114" t="s">
        <v>10103</v>
      </c>
    </row>
    <row r="6191" spans="1:5" x14ac:dyDescent="0.25">
      <c r="B6191" s="114" t="s">
        <v>3716</v>
      </c>
      <c r="D6191" s="114" t="s">
        <v>10104</v>
      </c>
      <c r="E6191" s="114" t="s">
        <v>10105</v>
      </c>
    </row>
    <row r="6192" spans="1:5" x14ac:dyDescent="0.25">
      <c r="B6192" s="114" t="s">
        <v>3717</v>
      </c>
      <c r="D6192" s="114" t="s">
        <v>10106</v>
      </c>
      <c r="E6192" s="114" t="s">
        <v>10107</v>
      </c>
    </row>
    <row r="6193" spans="1:5" x14ac:dyDescent="0.25">
      <c r="B6193" s="114" t="s">
        <v>3718</v>
      </c>
      <c r="D6193" s="114">
        <f>-155    -88    -7</f>
        <v>-250</v>
      </c>
      <c r="E6193" s="114" t="s">
        <v>10108</v>
      </c>
    </row>
    <row r="6194" spans="1:5" x14ac:dyDescent="0.25">
      <c r="B6194" s="114" t="s">
        <v>3719</v>
      </c>
      <c r="D6194" s="114" t="s">
        <v>10109</v>
      </c>
      <c r="E6194" s="114" t="s">
        <v>10110</v>
      </c>
    </row>
    <row r="6195" spans="1:5" x14ac:dyDescent="0.25">
      <c r="A6195" s="114">
        <v>-1</v>
      </c>
      <c r="B6195" s="114" t="s">
        <v>3720</v>
      </c>
      <c r="D6195" s="114" t="s">
        <v>10111</v>
      </c>
      <c r="E6195" s="114" t="s">
        <v>10112</v>
      </c>
    </row>
    <row r="6196" spans="1:5" x14ac:dyDescent="0.25">
      <c r="B6196" s="114" t="s">
        <v>1073</v>
      </c>
      <c r="D6196" s="114" t="s">
        <v>10113</v>
      </c>
      <c r="E6196" s="114" t="s">
        <v>3993</v>
      </c>
    </row>
    <row r="6197" spans="1:5" x14ac:dyDescent="0.25">
      <c r="B6197" s="114" t="s">
        <v>1073</v>
      </c>
      <c r="D6197" s="114" t="s">
        <v>10114</v>
      </c>
      <c r="E6197" s="114" t="s">
        <v>10115</v>
      </c>
    </row>
    <row r="6198" spans="1:5" x14ac:dyDescent="0.25">
      <c r="A6198" s="114" t="s">
        <v>1072</v>
      </c>
      <c r="B6198" s="114" t="s">
        <v>3721</v>
      </c>
      <c r="D6198" s="114" t="s">
        <v>1256</v>
      </c>
      <c r="E6198" s="114" t="s">
        <v>10116</v>
      </c>
    </row>
    <row r="6199" spans="1:5" x14ac:dyDescent="0.25">
      <c r="A6199" s="114" t="s">
        <v>1072</v>
      </c>
      <c r="B6199" s="114" t="s">
        <v>3722</v>
      </c>
      <c r="D6199" s="114" t="s">
        <v>1073</v>
      </c>
      <c r="E6199" s="114" t="s">
        <v>10117</v>
      </c>
    </row>
    <row r="6200" spans="1:5" x14ac:dyDescent="0.25">
      <c r="B6200" s="114" t="s">
        <v>1073</v>
      </c>
      <c r="D6200" s="114" t="s">
        <v>6401</v>
      </c>
      <c r="E6200" s="114" t="s">
        <v>10118</v>
      </c>
    </row>
    <row r="6201" spans="1:5" x14ac:dyDescent="0.25">
      <c r="B6201" s="114" t="s">
        <v>1073</v>
      </c>
      <c r="C6201" s="114" t="s">
        <v>1072</v>
      </c>
      <c r="D6201" s="114" t="s">
        <v>10119</v>
      </c>
      <c r="E6201" s="114" t="s">
        <v>10120</v>
      </c>
    </row>
    <row r="6202" spans="1:5" x14ac:dyDescent="0.25">
      <c r="B6202" s="114" t="s">
        <v>3723</v>
      </c>
      <c r="D6202" s="114" t="s">
        <v>10121</v>
      </c>
      <c r="E6202" s="114" t="s">
        <v>10122</v>
      </c>
    </row>
    <row r="6203" spans="1:5" x14ac:dyDescent="0.25">
      <c r="B6203" s="114" t="s">
        <v>3724</v>
      </c>
      <c r="D6203" s="114" t="s">
        <v>10123</v>
      </c>
      <c r="E6203" s="114" t="s">
        <v>10124</v>
      </c>
    </row>
    <row r="6204" spans="1:5" x14ac:dyDescent="0.25">
      <c r="B6204" s="114" t="s">
        <v>3725</v>
      </c>
      <c r="C6204" s="114" t="s">
        <v>1072</v>
      </c>
      <c r="D6204" s="114" t="s">
        <v>10125</v>
      </c>
      <c r="E6204" s="114" t="s">
        <v>10126</v>
      </c>
    </row>
    <row r="6205" spans="1:5" x14ac:dyDescent="0.25">
      <c r="B6205" s="114">
        <f>-79   -119</f>
        <v>-198</v>
      </c>
      <c r="D6205" s="114" t="s">
        <v>10127</v>
      </c>
      <c r="E6205" s="114" t="s">
        <v>10128</v>
      </c>
    </row>
    <row r="6206" spans="1:5" x14ac:dyDescent="0.25">
      <c r="B6206" s="114" t="s">
        <v>1201</v>
      </c>
      <c r="C6206" s="114" t="s">
        <v>1072</v>
      </c>
      <c r="D6206" s="114" t="s">
        <v>10129</v>
      </c>
      <c r="E6206" s="114" t="s">
        <v>10130</v>
      </c>
    </row>
    <row r="6207" spans="1:5" x14ac:dyDescent="0.25">
      <c r="B6207" s="114" t="s">
        <v>3726</v>
      </c>
      <c r="D6207" s="114" t="s">
        <v>10131</v>
      </c>
      <c r="E6207" s="114" t="s">
        <v>10132</v>
      </c>
    </row>
    <row r="6208" spans="1:5" x14ac:dyDescent="0.25">
      <c r="B6208" s="114" t="s">
        <v>1073</v>
      </c>
      <c r="D6208" s="114" t="s">
        <v>10133</v>
      </c>
      <c r="E6208" s="114" t="s">
        <v>10134</v>
      </c>
    </row>
    <row r="6209" spans="1:5" x14ac:dyDescent="0.25">
      <c r="B6209" s="114" t="s">
        <v>1853</v>
      </c>
      <c r="D6209" s="114" t="s">
        <v>10135</v>
      </c>
      <c r="E6209" s="114" t="s">
        <v>10136</v>
      </c>
    </row>
    <row r="6210" spans="1:5" x14ac:dyDescent="0.25">
      <c r="B6210" s="114" t="s">
        <v>3727</v>
      </c>
      <c r="D6210" s="114">
        <f>-353   -597   -48</f>
        <v>-998</v>
      </c>
      <c r="E6210" s="114" t="s">
        <v>10137</v>
      </c>
    </row>
    <row r="6211" spans="1:5" x14ac:dyDescent="0.25">
      <c r="B6211" s="114" t="s">
        <v>1217</v>
      </c>
      <c r="D6211" s="114" t="s">
        <v>10138</v>
      </c>
      <c r="E6211" s="114" t="s">
        <v>3993</v>
      </c>
    </row>
    <row r="6212" spans="1:5" x14ac:dyDescent="0.25">
      <c r="B6212" s="114" t="s">
        <v>1219</v>
      </c>
      <c r="C6212" s="114" t="s">
        <v>1072</v>
      </c>
      <c r="D6212" s="114" t="s">
        <v>10139</v>
      </c>
      <c r="E6212" s="114" t="s">
        <v>10140</v>
      </c>
    </row>
    <row r="6213" spans="1:5" x14ac:dyDescent="0.25">
      <c r="B6213" s="114" t="s">
        <v>3728</v>
      </c>
      <c r="C6213" s="114" t="s">
        <v>1072</v>
      </c>
      <c r="D6213" s="114" t="s">
        <v>10141</v>
      </c>
      <c r="E6213" s="114" t="s">
        <v>10142</v>
      </c>
    </row>
    <row r="6214" spans="1:5" x14ac:dyDescent="0.25">
      <c r="B6214" s="114" t="s">
        <v>3729</v>
      </c>
      <c r="D6214" s="114" t="s">
        <v>2656</v>
      </c>
      <c r="E6214" s="114" t="s">
        <v>10143</v>
      </c>
    </row>
    <row r="6215" spans="1:5" x14ac:dyDescent="0.25">
      <c r="B6215" s="114" t="s">
        <v>3730</v>
      </c>
      <c r="D6215" s="114" t="s">
        <v>10144</v>
      </c>
      <c r="E6215" s="114" t="s">
        <v>10145</v>
      </c>
    </row>
    <row r="6216" spans="1:5" x14ac:dyDescent="0.25">
      <c r="B6216" s="114" t="s">
        <v>1073</v>
      </c>
      <c r="D6216" s="114" t="s">
        <v>1073</v>
      </c>
      <c r="E6216" s="114" t="s">
        <v>10146</v>
      </c>
    </row>
    <row r="6217" spans="1:5" x14ac:dyDescent="0.25">
      <c r="A6217" s="114" t="s">
        <v>1072</v>
      </c>
      <c r="B6217" s="114" t="s">
        <v>3731</v>
      </c>
      <c r="D6217" s="114" t="s">
        <v>10147</v>
      </c>
      <c r="E6217" s="114" t="s">
        <v>10148</v>
      </c>
    </row>
    <row r="6218" spans="1:5" x14ac:dyDescent="0.25">
      <c r="B6218" s="114" t="s">
        <v>1073</v>
      </c>
      <c r="D6218" s="114" t="s">
        <v>10149</v>
      </c>
      <c r="E6218" s="114" t="s">
        <v>10150</v>
      </c>
    </row>
    <row r="6219" spans="1:5" x14ac:dyDescent="0.25">
      <c r="B6219" s="114" t="s">
        <v>1073</v>
      </c>
      <c r="D6219" s="114" t="s">
        <v>1073</v>
      </c>
      <c r="E6219" s="114" t="s">
        <v>3993</v>
      </c>
    </row>
    <row r="6220" spans="1:5" x14ac:dyDescent="0.25">
      <c r="B6220" s="114" t="s">
        <v>3704</v>
      </c>
      <c r="D6220" s="114" t="s">
        <v>1073</v>
      </c>
      <c r="E6220" s="114" t="s">
        <v>10151</v>
      </c>
    </row>
    <row r="6221" spans="1:5" x14ac:dyDescent="0.25">
      <c r="A6221" s="114" t="s">
        <v>1072</v>
      </c>
      <c r="B6221" s="114" t="s">
        <v>3732</v>
      </c>
      <c r="D6221" s="114" t="s">
        <v>10152</v>
      </c>
      <c r="E6221" s="114" t="s">
        <v>10153</v>
      </c>
    </row>
    <row r="6222" spans="1:5" x14ac:dyDescent="0.25">
      <c r="B6222" s="114" t="s">
        <v>3733</v>
      </c>
      <c r="D6222" s="114" t="s">
        <v>10154</v>
      </c>
      <c r="E6222" s="114" t="s">
        <v>10155</v>
      </c>
    </row>
    <row r="6223" spans="1:5" x14ac:dyDescent="0.25">
      <c r="B6223" s="114" t="s">
        <v>3734</v>
      </c>
      <c r="D6223" s="114" t="s">
        <v>10156</v>
      </c>
      <c r="E6223" s="114" t="s">
        <v>10157</v>
      </c>
    </row>
    <row r="6224" spans="1:5" x14ac:dyDescent="0.25">
      <c r="B6224" s="114" t="s">
        <v>3735</v>
      </c>
      <c r="D6224" s="114" t="s">
        <v>10158</v>
      </c>
      <c r="E6224" s="114" t="s">
        <v>10159</v>
      </c>
    </row>
    <row r="6225" spans="1:5" x14ac:dyDescent="0.25">
      <c r="A6225" s="114">
        <v>-1</v>
      </c>
      <c r="B6225" s="114" t="s">
        <v>3736</v>
      </c>
      <c r="D6225" s="114" t="s">
        <v>10160</v>
      </c>
      <c r="E6225" s="114" t="s">
        <v>10161</v>
      </c>
    </row>
    <row r="6226" spans="1:5" x14ac:dyDescent="0.25">
      <c r="A6226" s="114">
        <v>-1</v>
      </c>
      <c r="B6226" s="114" t="s">
        <v>3737</v>
      </c>
      <c r="C6226" s="114" t="s">
        <v>1072</v>
      </c>
      <c r="D6226" s="114" t="s">
        <v>10162</v>
      </c>
      <c r="E6226" s="114" t="s">
        <v>10163</v>
      </c>
    </row>
    <row r="6227" spans="1:5" x14ac:dyDescent="0.25">
      <c r="B6227" s="114">
        <f>-70   -298</f>
        <v>-368</v>
      </c>
      <c r="D6227" s="114" t="s">
        <v>10164</v>
      </c>
      <c r="E6227" s="114" t="s">
        <v>10165</v>
      </c>
    </row>
    <row r="6228" spans="1:5" x14ac:dyDescent="0.25">
      <c r="B6228" s="114">
        <f>-7    -79</f>
        <v>-86</v>
      </c>
      <c r="D6228" s="114">
        <f>-48  -1070   -77</f>
        <v>-1195</v>
      </c>
      <c r="E6228" s="114" t="s">
        <v>10166</v>
      </c>
    </row>
    <row r="6229" spans="1:5" x14ac:dyDescent="0.25">
      <c r="A6229" s="114" t="s">
        <v>1072</v>
      </c>
      <c r="B6229" s="114" t="s">
        <v>3738</v>
      </c>
      <c r="D6229" s="114">
        <f>-791  -1111   -92</f>
        <v>-1994</v>
      </c>
      <c r="E6229" s="114" t="s">
        <v>10167</v>
      </c>
    </row>
    <row r="6230" spans="1:5" x14ac:dyDescent="0.25">
      <c r="B6230" s="114" t="s">
        <v>3739</v>
      </c>
      <c r="D6230" s="114" t="s">
        <v>1073</v>
      </c>
      <c r="E6230" s="114" t="s">
        <v>10168</v>
      </c>
    </row>
    <row r="6231" spans="1:5" x14ac:dyDescent="0.25">
      <c r="B6231" s="114" t="s">
        <v>1073</v>
      </c>
      <c r="D6231" s="114" t="s">
        <v>1073</v>
      </c>
      <c r="E6231" s="114" t="s">
        <v>10169</v>
      </c>
    </row>
    <row r="6232" spans="1:5" x14ac:dyDescent="0.25">
      <c r="A6232" s="114" t="s">
        <v>1072</v>
      </c>
      <c r="B6232" s="114" t="s">
        <v>3740</v>
      </c>
      <c r="D6232" s="114" t="s">
        <v>10170</v>
      </c>
      <c r="E6232" s="114" t="s">
        <v>10171</v>
      </c>
    </row>
    <row r="6233" spans="1:5" x14ac:dyDescent="0.25">
      <c r="B6233" s="114" t="s">
        <v>1073</v>
      </c>
      <c r="D6233" s="114" t="s">
        <v>1365</v>
      </c>
      <c r="E6233" s="114" t="s">
        <v>10172</v>
      </c>
    </row>
    <row r="6234" spans="1:5" x14ac:dyDescent="0.25">
      <c r="B6234" s="114" t="s">
        <v>1073</v>
      </c>
      <c r="D6234" s="114" t="s">
        <v>1073</v>
      </c>
      <c r="E6234" s="114" t="s">
        <v>10173</v>
      </c>
    </row>
    <row r="6235" spans="1:5" x14ac:dyDescent="0.25">
      <c r="B6235" s="114" t="s">
        <v>1073</v>
      </c>
      <c r="D6235" s="114" t="s">
        <v>10174</v>
      </c>
      <c r="E6235" s="114" t="s">
        <v>10175</v>
      </c>
    </row>
    <row r="6236" spans="1:5" x14ac:dyDescent="0.25">
      <c r="A6236" s="114" t="s">
        <v>1072</v>
      </c>
      <c r="B6236" s="114" t="s">
        <v>3741</v>
      </c>
      <c r="D6236" s="114" t="s">
        <v>10176</v>
      </c>
      <c r="E6236" s="114" t="s">
        <v>10177</v>
      </c>
    </row>
    <row r="6237" spans="1:5" x14ac:dyDescent="0.25">
      <c r="B6237" s="114" t="s">
        <v>1073</v>
      </c>
      <c r="D6237" s="114" t="s">
        <v>10178</v>
      </c>
      <c r="E6237" s="114" t="s">
        <v>10179</v>
      </c>
    </row>
    <row r="6238" spans="1:5" x14ac:dyDescent="0.25">
      <c r="A6238" s="114">
        <v>1</v>
      </c>
      <c r="B6238" s="114" t="s">
        <v>1269</v>
      </c>
      <c r="C6238" s="114" t="s">
        <v>1072</v>
      </c>
      <c r="D6238" s="114" t="s">
        <v>10180</v>
      </c>
      <c r="E6238" s="114" t="s">
        <v>10181</v>
      </c>
    </row>
    <row r="6239" spans="1:5" x14ac:dyDescent="0.25">
      <c r="B6239" s="114" t="s">
        <v>1073</v>
      </c>
      <c r="D6239" s="114">
        <f>-106   -397</f>
        <v>-503</v>
      </c>
      <c r="E6239" s="114" t="s">
        <v>10182</v>
      </c>
    </row>
    <row r="6240" spans="1:5" x14ac:dyDescent="0.25">
      <c r="B6240" s="114" t="s">
        <v>1073</v>
      </c>
      <c r="D6240" s="114" t="s">
        <v>10183</v>
      </c>
      <c r="E6240" s="114" t="s">
        <v>10184</v>
      </c>
    </row>
    <row r="6241" spans="1:5" x14ac:dyDescent="0.25">
      <c r="B6241" s="114" t="s">
        <v>3742</v>
      </c>
      <c r="D6241" s="114">
        <f>-849 -13444</f>
        <v>-14293</v>
      </c>
      <c r="E6241" s="114" t="s">
        <v>10185</v>
      </c>
    </row>
    <row r="6242" spans="1:5" x14ac:dyDescent="0.25">
      <c r="B6242" s="114" t="s">
        <v>1220</v>
      </c>
      <c r="D6242" s="114" t="s">
        <v>5566</v>
      </c>
      <c r="E6242" s="114" t="s">
        <v>10186</v>
      </c>
    </row>
    <row r="6243" spans="1:5" x14ac:dyDescent="0.25">
      <c r="B6243" s="114" t="s">
        <v>1073</v>
      </c>
      <c r="D6243" s="114" t="s">
        <v>10187</v>
      </c>
      <c r="E6243" s="114" t="s">
        <v>10188</v>
      </c>
    </row>
    <row r="6244" spans="1:5" x14ac:dyDescent="0.25">
      <c r="B6244" s="114" t="s">
        <v>1073</v>
      </c>
      <c r="D6244" s="114">
        <f>-471 -10272    -9</f>
        <v>-10752</v>
      </c>
      <c r="E6244" s="114" t="s">
        <v>10189</v>
      </c>
    </row>
    <row r="6245" spans="1:5" x14ac:dyDescent="0.25">
      <c r="B6245" s="114" t="s">
        <v>3743</v>
      </c>
      <c r="D6245" s="114" t="s">
        <v>10190</v>
      </c>
      <c r="E6245" s="114" t="s">
        <v>10191</v>
      </c>
    </row>
    <row r="6246" spans="1:5" x14ac:dyDescent="0.25">
      <c r="B6246" s="114" t="s">
        <v>1073</v>
      </c>
      <c r="D6246" s="114" t="s">
        <v>10192</v>
      </c>
      <c r="E6246" s="114" t="s">
        <v>10193</v>
      </c>
    </row>
    <row r="6247" spans="1:5" x14ac:dyDescent="0.25">
      <c r="B6247" s="114" t="s">
        <v>1073</v>
      </c>
      <c r="D6247" s="114" t="s">
        <v>10194</v>
      </c>
      <c r="E6247" s="114" t="s">
        <v>10195</v>
      </c>
    </row>
    <row r="6248" spans="1:5" x14ac:dyDescent="0.25">
      <c r="B6248" s="114" t="s">
        <v>1073</v>
      </c>
      <c r="D6248" s="114" t="s">
        <v>10196</v>
      </c>
      <c r="E6248" s="114" t="s">
        <v>10197</v>
      </c>
    </row>
    <row r="6249" spans="1:5" x14ac:dyDescent="0.25">
      <c r="B6249" s="114" t="s">
        <v>1073</v>
      </c>
      <c r="D6249" s="114" t="s">
        <v>10198</v>
      </c>
      <c r="E6249" s="114" t="s">
        <v>10199</v>
      </c>
    </row>
    <row r="6250" spans="1:5" x14ac:dyDescent="0.25">
      <c r="A6250" s="114">
        <v>1</v>
      </c>
      <c r="B6250" s="114" t="s">
        <v>3744</v>
      </c>
      <c r="D6250" s="114" t="s">
        <v>1073</v>
      </c>
      <c r="E6250" s="114" t="s">
        <v>10200</v>
      </c>
    </row>
    <row r="6251" spans="1:5" x14ac:dyDescent="0.25">
      <c r="A6251" s="114" t="s">
        <v>1072</v>
      </c>
      <c r="B6251" s="114" t="s">
        <v>3745</v>
      </c>
      <c r="D6251" s="114" t="s">
        <v>10201</v>
      </c>
      <c r="E6251" s="114" t="s">
        <v>10202</v>
      </c>
    </row>
    <row r="6252" spans="1:5" x14ac:dyDescent="0.25">
      <c r="A6252" s="114">
        <v>-3</v>
      </c>
      <c r="B6252" s="114" t="s">
        <v>1514</v>
      </c>
      <c r="D6252" s="114" t="s">
        <v>1073</v>
      </c>
      <c r="E6252" s="114" t="s">
        <v>10203</v>
      </c>
    </row>
    <row r="6253" spans="1:5" x14ac:dyDescent="0.25">
      <c r="B6253" s="114" t="s">
        <v>1073</v>
      </c>
      <c r="D6253" s="114" t="s">
        <v>1073</v>
      </c>
      <c r="E6253" s="114" t="s">
        <v>3993</v>
      </c>
    </row>
    <row r="6254" spans="1:5" x14ac:dyDescent="0.25">
      <c r="B6254" s="114" t="s">
        <v>1073</v>
      </c>
      <c r="D6254" s="114" t="s">
        <v>1458</v>
      </c>
      <c r="E6254" s="114" t="s">
        <v>10204</v>
      </c>
    </row>
    <row r="6255" spans="1:5" x14ac:dyDescent="0.25">
      <c r="B6255" s="114" t="s">
        <v>1516</v>
      </c>
      <c r="D6255" s="114" t="s">
        <v>10205</v>
      </c>
      <c r="E6255" s="114" t="s">
        <v>10206</v>
      </c>
    </row>
    <row r="6256" spans="1:5" x14ac:dyDescent="0.25">
      <c r="A6256" s="114">
        <v>-2</v>
      </c>
      <c r="B6256" s="114" t="s">
        <v>3746</v>
      </c>
      <c r="D6256" s="114" t="s">
        <v>10207</v>
      </c>
      <c r="E6256" s="114" t="s">
        <v>10208</v>
      </c>
    </row>
    <row r="6257" spans="1:5" x14ac:dyDescent="0.25">
      <c r="B6257" s="114" t="s">
        <v>3747</v>
      </c>
      <c r="D6257" s="114" t="s">
        <v>10209</v>
      </c>
      <c r="E6257" s="114" t="s">
        <v>10210</v>
      </c>
    </row>
    <row r="6258" spans="1:5" x14ac:dyDescent="0.25">
      <c r="A6258" s="114" t="s">
        <v>1072</v>
      </c>
      <c r="B6258" s="114" t="s">
        <v>3748</v>
      </c>
      <c r="D6258" s="114" t="s">
        <v>10211</v>
      </c>
      <c r="E6258" s="114" t="s">
        <v>10212</v>
      </c>
    </row>
    <row r="6259" spans="1:5" x14ac:dyDescent="0.25">
      <c r="A6259" s="114">
        <v>3</v>
      </c>
      <c r="B6259" s="114" t="s">
        <v>3749</v>
      </c>
      <c r="C6259" s="114" t="s">
        <v>1072</v>
      </c>
      <c r="D6259" s="114" t="s">
        <v>10213</v>
      </c>
      <c r="E6259" s="114" t="s">
        <v>10214</v>
      </c>
    </row>
    <row r="6260" spans="1:5" x14ac:dyDescent="0.25">
      <c r="A6260" s="114">
        <v>3</v>
      </c>
      <c r="B6260" s="114" t="s">
        <v>3750</v>
      </c>
      <c r="D6260" s="114" t="s">
        <v>10215</v>
      </c>
      <c r="E6260" s="114" t="s">
        <v>10216</v>
      </c>
    </row>
    <row r="6261" spans="1:5" x14ac:dyDescent="0.25">
      <c r="B6261" s="114" t="s">
        <v>3751</v>
      </c>
      <c r="D6261" s="114" t="s">
        <v>10217</v>
      </c>
      <c r="E6261" s="114" t="s">
        <v>10218</v>
      </c>
    </row>
    <row r="6262" spans="1:5" x14ac:dyDescent="0.25">
      <c r="B6262" s="114" t="s">
        <v>3752</v>
      </c>
      <c r="D6262" s="114" t="s">
        <v>10219</v>
      </c>
      <c r="E6262" s="114" t="s">
        <v>10220</v>
      </c>
    </row>
    <row r="6263" spans="1:5" x14ac:dyDescent="0.25">
      <c r="A6263" s="114">
        <v>1</v>
      </c>
      <c r="B6263" s="114" t="s">
        <v>3753</v>
      </c>
      <c r="D6263" s="114" t="s">
        <v>10221</v>
      </c>
      <c r="E6263" s="114" t="s">
        <v>10222</v>
      </c>
    </row>
    <row r="6264" spans="1:5" x14ac:dyDescent="0.25">
      <c r="B6264" s="114" t="s">
        <v>1073</v>
      </c>
      <c r="C6264" s="114" t="s">
        <v>1072</v>
      </c>
      <c r="D6264" s="114" t="s">
        <v>10223</v>
      </c>
      <c r="E6264" s="114" t="s">
        <v>10224</v>
      </c>
    </row>
    <row r="6265" spans="1:5" x14ac:dyDescent="0.25">
      <c r="B6265" s="114" t="s">
        <v>1073</v>
      </c>
      <c r="D6265" s="114" t="s">
        <v>1073</v>
      </c>
      <c r="E6265" s="114" t="s">
        <v>10225</v>
      </c>
    </row>
    <row r="6266" spans="1:5" x14ac:dyDescent="0.25">
      <c r="B6266" s="114" t="s">
        <v>1073</v>
      </c>
      <c r="D6266" s="114" t="s">
        <v>10226</v>
      </c>
      <c r="E6266" s="114" t="s">
        <v>10227</v>
      </c>
    </row>
    <row r="6267" spans="1:5" x14ac:dyDescent="0.25">
      <c r="B6267" s="114" t="s">
        <v>3754</v>
      </c>
      <c r="D6267" s="114" t="s">
        <v>1073</v>
      </c>
      <c r="E6267" s="114" t="s">
        <v>10228</v>
      </c>
    </row>
    <row r="6268" spans="1:5" x14ac:dyDescent="0.25">
      <c r="B6268" s="114" t="s">
        <v>1831</v>
      </c>
      <c r="D6268" s="114" t="s">
        <v>1073</v>
      </c>
      <c r="E6268" s="114" t="s">
        <v>10229</v>
      </c>
    </row>
    <row r="6269" spans="1:5" x14ac:dyDescent="0.25">
      <c r="A6269" s="114" t="s">
        <v>1072</v>
      </c>
      <c r="B6269" s="114" t="s">
        <v>3755</v>
      </c>
      <c r="C6269" s="114" t="s">
        <v>1072</v>
      </c>
      <c r="D6269" s="114" t="s">
        <v>10230</v>
      </c>
      <c r="E6269" s="114" t="s">
        <v>10231</v>
      </c>
    </row>
    <row r="6270" spans="1:5" x14ac:dyDescent="0.25">
      <c r="B6270" s="114" t="s">
        <v>1073</v>
      </c>
      <c r="D6270" s="114" t="s">
        <v>10232</v>
      </c>
      <c r="E6270" s="114" t="s">
        <v>10233</v>
      </c>
    </row>
    <row r="6271" spans="1:5" x14ac:dyDescent="0.25">
      <c r="A6271" s="114" t="s">
        <v>1072</v>
      </c>
      <c r="B6271" s="114" t="s">
        <v>3756</v>
      </c>
      <c r="D6271" s="114" t="s">
        <v>1073</v>
      </c>
      <c r="E6271" s="114" t="s">
        <v>10234</v>
      </c>
    </row>
    <row r="6272" spans="1:5" x14ac:dyDescent="0.25">
      <c r="A6272" s="114">
        <v>-2</v>
      </c>
      <c r="B6272" s="114" t="s">
        <v>3757</v>
      </c>
      <c r="C6272" s="114" t="s">
        <v>1072</v>
      </c>
      <c r="D6272" s="114" t="s">
        <v>10235</v>
      </c>
      <c r="E6272" s="114" t="s">
        <v>10236</v>
      </c>
    </row>
    <row r="6273" spans="1:5" x14ac:dyDescent="0.25">
      <c r="B6273" s="114" t="s">
        <v>3758</v>
      </c>
      <c r="D6273" s="114" t="s">
        <v>10237</v>
      </c>
      <c r="E6273" s="114" t="s">
        <v>10238</v>
      </c>
    </row>
    <row r="6274" spans="1:5" x14ac:dyDescent="0.25">
      <c r="B6274" s="114" t="s">
        <v>3759</v>
      </c>
      <c r="D6274" s="114" t="s">
        <v>1073</v>
      </c>
      <c r="E6274" s="114" t="s">
        <v>10239</v>
      </c>
    </row>
    <row r="6275" spans="1:5" x14ac:dyDescent="0.25">
      <c r="A6275" s="114">
        <v>-2</v>
      </c>
      <c r="B6275" s="114" t="s">
        <v>3760</v>
      </c>
      <c r="C6275" s="114" t="s">
        <v>1072</v>
      </c>
      <c r="D6275" s="114" t="s">
        <v>10240</v>
      </c>
      <c r="E6275" s="114" t="s">
        <v>10241</v>
      </c>
    </row>
    <row r="6276" spans="1:5" x14ac:dyDescent="0.25">
      <c r="B6276" s="114" t="s">
        <v>3761</v>
      </c>
      <c r="D6276" s="114" t="s">
        <v>10242</v>
      </c>
      <c r="E6276" s="114" t="s">
        <v>10243</v>
      </c>
    </row>
    <row r="6277" spans="1:5" x14ac:dyDescent="0.25">
      <c r="B6277" s="114" t="s">
        <v>3762</v>
      </c>
      <c r="D6277" s="114" t="s">
        <v>1073</v>
      </c>
      <c r="E6277" s="114" t="s">
        <v>10244</v>
      </c>
    </row>
    <row r="6278" spans="1:5" x14ac:dyDescent="0.25">
      <c r="A6278" s="114">
        <v>-1</v>
      </c>
      <c r="B6278" s="114" t="s">
        <v>3763</v>
      </c>
      <c r="D6278" s="114" t="s">
        <v>1073</v>
      </c>
      <c r="E6278" s="114" t="s">
        <v>10245</v>
      </c>
    </row>
    <row r="6279" spans="1:5" x14ac:dyDescent="0.25">
      <c r="B6279" s="114" t="s">
        <v>3764</v>
      </c>
      <c r="D6279" s="114" t="s">
        <v>7496</v>
      </c>
      <c r="E6279" s="114" t="s">
        <v>10246</v>
      </c>
    </row>
    <row r="6280" spans="1:5" x14ac:dyDescent="0.25">
      <c r="B6280" s="114" t="s">
        <v>1073</v>
      </c>
      <c r="D6280" s="114" t="s">
        <v>1073</v>
      </c>
      <c r="E6280" s="114" t="s">
        <v>10247</v>
      </c>
    </row>
    <row r="6281" spans="1:5" x14ac:dyDescent="0.25">
      <c r="A6281" s="114">
        <v>-2</v>
      </c>
      <c r="B6281" s="114" t="s">
        <v>3765</v>
      </c>
      <c r="D6281" s="114" t="s">
        <v>1073</v>
      </c>
      <c r="E6281" s="114" t="s">
        <v>10248</v>
      </c>
    </row>
    <row r="6282" spans="1:5" x14ac:dyDescent="0.25">
      <c r="A6282" s="114">
        <v>-1</v>
      </c>
      <c r="B6282" s="114" t="s">
        <v>3766</v>
      </c>
      <c r="D6282" s="114" t="s">
        <v>10249</v>
      </c>
      <c r="E6282" s="114" t="s">
        <v>10250</v>
      </c>
    </row>
    <row r="6283" spans="1:5" x14ac:dyDescent="0.25">
      <c r="B6283" s="114" t="s">
        <v>3767</v>
      </c>
      <c r="D6283" s="114" t="s">
        <v>1073</v>
      </c>
      <c r="E6283" s="114" t="s">
        <v>10251</v>
      </c>
    </row>
    <row r="6284" spans="1:5" x14ac:dyDescent="0.25">
      <c r="A6284" s="114">
        <v>8</v>
      </c>
      <c r="B6284" s="114" t="s">
        <v>3768</v>
      </c>
      <c r="D6284" s="114" t="s">
        <v>10252</v>
      </c>
      <c r="E6284" s="114" t="s">
        <v>4518</v>
      </c>
    </row>
    <row r="6285" spans="1:5" x14ac:dyDescent="0.25">
      <c r="B6285" s="114" t="s">
        <v>1073</v>
      </c>
      <c r="D6285" s="114" t="s">
        <v>10253</v>
      </c>
      <c r="E6285" s="114" t="s">
        <v>10254</v>
      </c>
    </row>
    <row r="6286" spans="1:5" x14ac:dyDescent="0.25">
      <c r="B6286" s="114" t="s">
        <v>3769</v>
      </c>
      <c r="D6286" s="114" t="s">
        <v>10255</v>
      </c>
      <c r="E6286" s="114" t="s">
        <v>10256</v>
      </c>
    </row>
    <row r="6287" spans="1:5" x14ac:dyDescent="0.25">
      <c r="A6287" s="114">
        <v>1</v>
      </c>
      <c r="B6287" s="114" t="s">
        <v>1484</v>
      </c>
      <c r="D6287" s="114" t="s">
        <v>1073</v>
      </c>
      <c r="E6287" s="114" t="s">
        <v>3993</v>
      </c>
    </row>
    <row r="6288" spans="1:5" x14ac:dyDescent="0.25">
      <c r="B6288" s="114" t="s">
        <v>1073</v>
      </c>
      <c r="D6288" s="114" t="s">
        <v>1073</v>
      </c>
      <c r="E6288" s="114" t="s">
        <v>10257</v>
      </c>
    </row>
    <row r="6289" spans="1:5" x14ac:dyDescent="0.25">
      <c r="B6289" s="114" t="s">
        <v>3770</v>
      </c>
      <c r="D6289" s="114" t="s">
        <v>10258</v>
      </c>
      <c r="E6289" s="114" t="s">
        <v>10259</v>
      </c>
    </row>
    <row r="6290" spans="1:5" x14ac:dyDescent="0.25">
      <c r="B6290" s="114" t="s">
        <v>1073</v>
      </c>
      <c r="D6290" s="114">
        <f>-622  -1757  -130</f>
        <v>-2509</v>
      </c>
      <c r="E6290" s="114" t="s">
        <v>10260</v>
      </c>
    </row>
    <row r="6291" spans="1:5" x14ac:dyDescent="0.25">
      <c r="B6291" s="114">
        <f>-23   -112</f>
        <v>-135</v>
      </c>
      <c r="D6291" s="114" t="s">
        <v>10261</v>
      </c>
      <c r="E6291" s="114" t="s">
        <v>10262</v>
      </c>
    </row>
    <row r="6292" spans="1:5" x14ac:dyDescent="0.25">
      <c r="A6292" s="114" t="s">
        <v>1072</v>
      </c>
      <c r="B6292" s="114" t="s">
        <v>3771</v>
      </c>
      <c r="D6292" s="114" t="s">
        <v>10263</v>
      </c>
      <c r="E6292" s="114" t="s">
        <v>10264</v>
      </c>
    </row>
    <row r="6293" spans="1:5" x14ac:dyDescent="0.25">
      <c r="A6293" s="114">
        <v>-12</v>
      </c>
      <c r="B6293" s="114" t="s">
        <v>3772</v>
      </c>
      <c r="C6293" s="114">
        <v>-1</v>
      </c>
      <c r="D6293" s="114" t="s">
        <v>10265</v>
      </c>
      <c r="E6293" s="114" t="s">
        <v>10266</v>
      </c>
    </row>
    <row r="6294" spans="1:5" x14ac:dyDescent="0.25">
      <c r="A6294" s="114">
        <v>23</v>
      </c>
      <c r="B6294" s="114" t="s">
        <v>3773</v>
      </c>
      <c r="C6294" s="114">
        <v>1</v>
      </c>
      <c r="D6294" s="114" t="s">
        <v>10267</v>
      </c>
      <c r="E6294" s="114" t="s">
        <v>10268</v>
      </c>
    </row>
    <row r="6295" spans="1:5" x14ac:dyDescent="0.25">
      <c r="A6295" s="114">
        <v>2</v>
      </c>
      <c r="B6295" s="114" t="s">
        <v>3774</v>
      </c>
      <c r="D6295" s="114" t="s">
        <v>10269</v>
      </c>
      <c r="E6295" s="114" t="s">
        <v>10270</v>
      </c>
    </row>
    <row r="6296" spans="1:5" x14ac:dyDescent="0.25">
      <c r="B6296" s="114" t="s">
        <v>3775</v>
      </c>
      <c r="D6296" s="114" t="s">
        <v>10271</v>
      </c>
      <c r="E6296" s="114" t="s">
        <v>10272</v>
      </c>
    </row>
    <row r="6297" spans="1:5" x14ac:dyDescent="0.25">
      <c r="A6297" s="114">
        <v>2</v>
      </c>
      <c r="B6297" s="114" t="s">
        <v>3776</v>
      </c>
      <c r="D6297" s="114" t="s">
        <v>10273</v>
      </c>
      <c r="E6297" s="114" t="s">
        <v>10274</v>
      </c>
    </row>
    <row r="6298" spans="1:5" x14ac:dyDescent="0.25">
      <c r="A6298" s="114">
        <v>8</v>
      </c>
      <c r="B6298" s="114" t="s">
        <v>3777</v>
      </c>
      <c r="D6298" s="114">
        <f>-551    -69</f>
        <v>-620</v>
      </c>
      <c r="E6298" s="114" t="s">
        <v>10275</v>
      </c>
    </row>
    <row r="6299" spans="1:5" x14ac:dyDescent="0.25">
      <c r="B6299" s="114" t="s">
        <v>1073</v>
      </c>
      <c r="D6299" s="114">
        <f>-129   -201</f>
        <v>-330</v>
      </c>
      <c r="E6299" s="114" t="s">
        <v>3993</v>
      </c>
    </row>
    <row r="6300" spans="1:5" x14ac:dyDescent="0.25">
      <c r="B6300" s="114" t="s">
        <v>1073</v>
      </c>
      <c r="D6300" s="114" t="s">
        <v>10276</v>
      </c>
      <c r="E6300" s="114" t="s">
        <v>10277</v>
      </c>
    </row>
    <row r="6301" spans="1:5" x14ac:dyDescent="0.25">
      <c r="A6301" s="114">
        <v>1</v>
      </c>
      <c r="B6301" s="114" t="s">
        <v>3778</v>
      </c>
      <c r="D6301" s="114" t="s">
        <v>1073</v>
      </c>
      <c r="E6301" s="114" t="s">
        <v>10278</v>
      </c>
    </row>
    <row r="6302" spans="1:5" x14ac:dyDescent="0.25">
      <c r="B6302" s="114" t="s">
        <v>1073</v>
      </c>
      <c r="D6302" s="114" t="s">
        <v>1073</v>
      </c>
      <c r="E6302" s="114" t="s">
        <v>4312</v>
      </c>
    </row>
    <row r="6303" spans="1:5" x14ac:dyDescent="0.25">
      <c r="B6303" s="114" t="s">
        <v>1073</v>
      </c>
      <c r="D6303" s="114" t="s">
        <v>10279</v>
      </c>
      <c r="E6303" s="114" t="s">
        <v>10280</v>
      </c>
    </row>
    <row r="6304" spans="1:5" x14ac:dyDescent="0.25">
      <c r="B6304" s="114" t="s">
        <v>3779</v>
      </c>
      <c r="D6304" s="114" t="s">
        <v>10281</v>
      </c>
      <c r="E6304" s="114" t="s">
        <v>10282</v>
      </c>
    </row>
    <row r="6305" spans="1:5" x14ac:dyDescent="0.25">
      <c r="A6305" s="114" t="s">
        <v>1072</v>
      </c>
      <c r="B6305" s="114" t="s">
        <v>3780</v>
      </c>
      <c r="C6305" s="114" t="s">
        <v>1072</v>
      </c>
      <c r="D6305" s="114" t="s">
        <v>10283</v>
      </c>
      <c r="E6305" s="114" t="s">
        <v>10284</v>
      </c>
    </row>
    <row r="6306" spans="1:5" x14ac:dyDescent="0.25">
      <c r="A6306" s="114">
        <v>5</v>
      </c>
      <c r="B6306" s="114" t="s">
        <v>3781</v>
      </c>
      <c r="D6306" s="114" t="s">
        <v>10285</v>
      </c>
      <c r="E6306" s="114" t="s">
        <v>10286</v>
      </c>
    </row>
    <row r="6307" spans="1:5" x14ac:dyDescent="0.25">
      <c r="A6307" s="114">
        <v>1</v>
      </c>
      <c r="B6307" s="114" t="s">
        <v>3782</v>
      </c>
      <c r="D6307" s="114" t="s">
        <v>10287</v>
      </c>
      <c r="E6307" s="114" t="s">
        <v>10288</v>
      </c>
    </row>
    <row r="6308" spans="1:5" x14ac:dyDescent="0.25">
      <c r="B6308" s="114" t="s">
        <v>1241</v>
      </c>
      <c r="D6308" s="114" t="s">
        <v>10289</v>
      </c>
      <c r="E6308" s="114" t="s">
        <v>10290</v>
      </c>
    </row>
    <row r="6309" spans="1:5" x14ac:dyDescent="0.25">
      <c r="B6309" s="114" t="s">
        <v>3783</v>
      </c>
      <c r="D6309" s="114" t="s">
        <v>10291</v>
      </c>
      <c r="E6309" s="114" t="s">
        <v>10292</v>
      </c>
    </row>
    <row r="6310" spans="1:5" x14ac:dyDescent="0.25">
      <c r="A6310" s="114">
        <v>3</v>
      </c>
      <c r="B6310" s="114" t="s">
        <v>1226</v>
      </c>
      <c r="D6310" s="114" t="s">
        <v>10293</v>
      </c>
      <c r="E6310" s="114" t="s">
        <v>10294</v>
      </c>
    </row>
    <row r="6311" spans="1:5" x14ac:dyDescent="0.25">
      <c r="B6311" s="114" t="s">
        <v>1745</v>
      </c>
      <c r="D6311" s="114" t="s">
        <v>10295</v>
      </c>
      <c r="E6311" s="114" t="s">
        <v>10296</v>
      </c>
    </row>
    <row r="6312" spans="1:5" x14ac:dyDescent="0.25">
      <c r="B6312" s="114" t="s">
        <v>3784</v>
      </c>
      <c r="D6312" s="114" t="s">
        <v>10297</v>
      </c>
      <c r="E6312" s="114" t="s">
        <v>10298</v>
      </c>
    </row>
    <row r="6313" spans="1:5" x14ac:dyDescent="0.25">
      <c r="A6313" s="114">
        <v>1</v>
      </c>
      <c r="B6313" s="114" t="s">
        <v>3785</v>
      </c>
      <c r="C6313" s="114" t="s">
        <v>1072</v>
      </c>
      <c r="D6313" s="114" t="s">
        <v>10299</v>
      </c>
      <c r="E6313" s="114" t="s">
        <v>10300</v>
      </c>
    </row>
    <row r="6314" spans="1:5" x14ac:dyDescent="0.25">
      <c r="B6314" s="114" t="s">
        <v>1355</v>
      </c>
      <c r="D6314" s="114" t="s">
        <v>2021</v>
      </c>
      <c r="E6314" s="114" t="s">
        <v>3993</v>
      </c>
    </row>
    <row r="6315" spans="1:5" x14ac:dyDescent="0.25">
      <c r="B6315" s="114" t="s">
        <v>3786</v>
      </c>
      <c r="D6315" s="114" t="s">
        <v>10301</v>
      </c>
      <c r="E6315" s="114" t="s">
        <v>4518</v>
      </c>
    </row>
    <row r="6316" spans="1:5" x14ac:dyDescent="0.25">
      <c r="A6316" s="114">
        <v>2</v>
      </c>
      <c r="B6316" s="114" t="s">
        <v>3787</v>
      </c>
      <c r="D6316" s="114" t="s">
        <v>10302</v>
      </c>
      <c r="E6316" s="114" t="s">
        <v>10303</v>
      </c>
    </row>
    <row r="6317" spans="1:5" x14ac:dyDescent="0.25">
      <c r="A6317" s="114">
        <v>1</v>
      </c>
      <c r="B6317" s="114" t="s">
        <v>1326</v>
      </c>
      <c r="D6317" s="114" t="s">
        <v>1202</v>
      </c>
      <c r="E6317" s="114" t="s">
        <v>10304</v>
      </c>
    </row>
    <row r="6318" spans="1:5" x14ac:dyDescent="0.25">
      <c r="A6318" s="114">
        <v>1</v>
      </c>
      <c r="B6318" s="114" t="s">
        <v>3788</v>
      </c>
      <c r="D6318" s="114" t="s">
        <v>10305</v>
      </c>
      <c r="E6318" s="114" t="s">
        <v>10306</v>
      </c>
    </row>
    <row r="6319" spans="1:5" x14ac:dyDescent="0.25">
      <c r="B6319" s="114" t="s">
        <v>1073</v>
      </c>
      <c r="D6319" s="114" t="s">
        <v>1073</v>
      </c>
      <c r="E6319" s="114" t="s">
        <v>10307</v>
      </c>
    </row>
    <row r="6320" spans="1:5" x14ac:dyDescent="0.25">
      <c r="A6320" s="114" t="s">
        <v>1072</v>
      </c>
      <c r="B6320" s="114" t="s">
        <v>3789</v>
      </c>
      <c r="D6320" s="114" t="s">
        <v>10308</v>
      </c>
      <c r="E6320" s="114" t="s">
        <v>10309</v>
      </c>
    </row>
    <row r="6321" spans="1:5" x14ac:dyDescent="0.25">
      <c r="B6321" s="114" t="s">
        <v>1073</v>
      </c>
      <c r="D6321" s="114" t="s">
        <v>10310</v>
      </c>
      <c r="E6321" s="114" t="s">
        <v>4518</v>
      </c>
    </row>
    <row r="6322" spans="1:5" x14ac:dyDescent="0.25">
      <c r="B6322" s="114" t="s">
        <v>1073</v>
      </c>
      <c r="D6322" s="114" t="s">
        <v>1073</v>
      </c>
      <c r="E6322" s="114" t="s">
        <v>3993</v>
      </c>
    </row>
    <row r="6323" spans="1:5" x14ac:dyDescent="0.25">
      <c r="B6323" s="114" t="s">
        <v>1320</v>
      </c>
      <c r="D6323" s="114" t="s">
        <v>1073</v>
      </c>
      <c r="E6323" s="114" t="s">
        <v>10311</v>
      </c>
    </row>
    <row r="6324" spans="1:5" x14ac:dyDescent="0.25">
      <c r="B6324" s="114" t="s">
        <v>3790</v>
      </c>
      <c r="D6324" s="114" t="s">
        <v>10312</v>
      </c>
      <c r="E6324" s="114" t="s">
        <v>10313</v>
      </c>
    </row>
    <row r="6325" spans="1:5" x14ac:dyDescent="0.25">
      <c r="A6325" s="114" t="s">
        <v>1072</v>
      </c>
      <c r="B6325" s="114" t="s">
        <v>3791</v>
      </c>
      <c r="D6325" s="114" t="s">
        <v>10314</v>
      </c>
      <c r="E6325" s="114" t="s">
        <v>10315</v>
      </c>
    </row>
    <row r="6326" spans="1:5" x14ac:dyDescent="0.25">
      <c r="A6326" s="114">
        <v>1</v>
      </c>
      <c r="B6326" s="114" t="s">
        <v>3792</v>
      </c>
      <c r="D6326" s="114" t="s">
        <v>10316</v>
      </c>
      <c r="E6326" s="114" t="s">
        <v>10317</v>
      </c>
    </row>
    <row r="6327" spans="1:5" x14ac:dyDescent="0.25">
      <c r="A6327" s="114">
        <v>2</v>
      </c>
      <c r="B6327" s="114" t="s">
        <v>3793</v>
      </c>
      <c r="D6327" s="114" t="s">
        <v>10318</v>
      </c>
      <c r="E6327" s="114" t="s">
        <v>10319</v>
      </c>
    </row>
    <row r="6328" spans="1:5" x14ac:dyDescent="0.25">
      <c r="A6328" s="114" t="s">
        <v>1072</v>
      </c>
      <c r="B6328" s="114" t="s">
        <v>3794</v>
      </c>
      <c r="D6328" s="114" t="s">
        <v>10320</v>
      </c>
      <c r="E6328" s="114" t="s">
        <v>10321</v>
      </c>
    </row>
    <row r="6329" spans="1:5" x14ac:dyDescent="0.25">
      <c r="A6329" s="114">
        <v>1</v>
      </c>
      <c r="B6329" s="114" t="s">
        <v>3795</v>
      </c>
      <c r="D6329" s="114" t="s">
        <v>10322</v>
      </c>
      <c r="E6329" s="114" t="s">
        <v>10323</v>
      </c>
    </row>
    <row r="6330" spans="1:5" x14ac:dyDescent="0.25">
      <c r="A6330" s="114">
        <v>-3</v>
      </c>
      <c r="B6330" s="114" t="s">
        <v>3796</v>
      </c>
      <c r="C6330" s="114" t="s">
        <v>1072</v>
      </c>
      <c r="D6330" s="114" t="s">
        <v>10324</v>
      </c>
      <c r="E6330" s="114" t="s">
        <v>10325</v>
      </c>
    </row>
    <row r="6331" spans="1:5" x14ac:dyDescent="0.25">
      <c r="A6331" s="114">
        <v>-1</v>
      </c>
      <c r="B6331" s="114" t="s">
        <v>3797</v>
      </c>
      <c r="C6331" s="114" t="s">
        <v>1072</v>
      </c>
      <c r="D6331" s="114" t="s">
        <v>10326</v>
      </c>
      <c r="E6331" s="114" t="s">
        <v>10327</v>
      </c>
    </row>
    <row r="6332" spans="1:5" x14ac:dyDescent="0.25">
      <c r="A6332" s="114">
        <v>19</v>
      </c>
      <c r="B6332" s="114" t="s">
        <v>3798</v>
      </c>
      <c r="C6332" s="114" t="s">
        <v>1072</v>
      </c>
      <c r="D6332" s="114" t="s">
        <v>10328</v>
      </c>
      <c r="E6332" s="114" t="s">
        <v>10329</v>
      </c>
    </row>
    <row r="6333" spans="1:5" x14ac:dyDescent="0.25">
      <c r="B6333" s="114" t="s">
        <v>3799</v>
      </c>
      <c r="D6333" s="114" t="s">
        <v>10330</v>
      </c>
      <c r="E6333" s="114" t="s">
        <v>10331</v>
      </c>
    </row>
    <row r="6334" spans="1:5" x14ac:dyDescent="0.25">
      <c r="B6334" s="114" t="s">
        <v>1073</v>
      </c>
      <c r="D6334" s="114" t="s">
        <v>1073</v>
      </c>
      <c r="E6334" s="114" t="s">
        <v>10332</v>
      </c>
    </row>
    <row r="6335" spans="1:5" x14ac:dyDescent="0.25">
      <c r="B6335" s="114" t="s">
        <v>1994</v>
      </c>
      <c r="D6335" s="114" t="s">
        <v>10333</v>
      </c>
      <c r="E6335" s="114" t="s">
        <v>10334</v>
      </c>
    </row>
    <row r="6336" spans="1:5" x14ac:dyDescent="0.25">
      <c r="A6336" s="114" t="s">
        <v>1072</v>
      </c>
      <c r="B6336" s="114" t="s">
        <v>1234</v>
      </c>
      <c r="D6336" s="114" t="s">
        <v>4808</v>
      </c>
      <c r="E6336" s="114" t="s">
        <v>4518</v>
      </c>
    </row>
    <row r="6337" spans="1:5" x14ac:dyDescent="0.25">
      <c r="B6337" s="114" t="s">
        <v>1090</v>
      </c>
      <c r="D6337" s="114" t="s">
        <v>1073</v>
      </c>
      <c r="E6337" s="114" t="s">
        <v>10335</v>
      </c>
    </row>
    <row r="6338" spans="1:5" x14ac:dyDescent="0.25">
      <c r="B6338" s="114" t="s">
        <v>1497</v>
      </c>
      <c r="D6338" s="114" t="s">
        <v>1073</v>
      </c>
      <c r="E6338" s="114" t="s">
        <v>10336</v>
      </c>
    </row>
    <row r="6339" spans="1:5" x14ac:dyDescent="0.25">
      <c r="B6339" s="114" t="s">
        <v>1429</v>
      </c>
      <c r="D6339" s="114" t="s">
        <v>10337</v>
      </c>
      <c r="E6339" s="114" t="s">
        <v>10338</v>
      </c>
    </row>
    <row r="6340" spans="1:5" x14ac:dyDescent="0.25">
      <c r="B6340" s="114" t="s">
        <v>1329</v>
      </c>
      <c r="D6340" s="114" t="s">
        <v>1073</v>
      </c>
      <c r="E6340" s="114" t="s">
        <v>10339</v>
      </c>
    </row>
    <row r="6341" spans="1:5" x14ac:dyDescent="0.25">
      <c r="A6341" s="114" t="s">
        <v>1072</v>
      </c>
      <c r="B6341" s="114" t="s">
        <v>3800</v>
      </c>
      <c r="D6341" s="114" t="s">
        <v>10340</v>
      </c>
      <c r="E6341" s="114" t="s">
        <v>10341</v>
      </c>
    </row>
    <row r="6342" spans="1:5" x14ac:dyDescent="0.25">
      <c r="B6342" s="114" t="s">
        <v>3801</v>
      </c>
      <c r="D6342" s="114" t="s">
        <v>7821</v>
      </c>
      <c r="E6342" s="114" t="s">
        <v>10342</v>
      </c>
    </row>
    <row r="6343" spans="1:5" x14ac:dyDescent="0.25">
      <c r="B6343" s="114" t="s">
        <v>1488</v>
      </c>
      <c r="D6343" s="114" t="s">
        <v>1073</v>
      </c>
      <c r="E6343" s="114" t="s">
        <v>10343</v>
      </c>
    </row>
    <row r="6344" spans="1:5" x14ac:dyDescent="0.25">
      <c r="A6344" s="114" t="s">
        <v>1072</v>
      </c>
      <c r="B6344" s="114" t="s">
        <v>3802</v>
      </c>
      <c r="D6344" s="114" t="s">
        <v>10344</v>
      </c>
      <c r="E6344" s="114" t="s">
        <v>10345</v>
      </c>
    </row>
    <row r="6345" spans="1:5" x14ac:dyDescent="0.25">
      <c r="B6345" s="114" t="s">
        <v>3803</v>
      </c>
      <c r="D6345" s="114" t="s">
        <v>10346</v>
      </c>
      <c r="E6345" s="114" t="s">
        <v>10347</v>
      </c>
    </row>
    <row r="6346" spans="1:5" x14ac:dyDescent="0.25">
      <c r="B6346" s="114" t="s">
        <v>1239</v>
      </c>
      <c r="D6346" s="114" t="s">
        <v>1073</v>
      </c>
      <c r="E6346" s="114" t="s">
        <v>10348</v>
      </c>
    </row>
    <row r="6347" spans="1:5" x14ac:dyDescent="0.25">
      <c r="B6347" s="114" t="s">
        <v>1209</v>
      </c>
      <c r="D6347" s="114" t="s">
        <v>7821</v>
      </c>
      <c r="E6347" s="114" t="s">
        <v>10349</v>
      </c>
    </row>
    <row r="6348" spans="1:5" x14ac:dyDescent="0.25">
      <c r="B6348" s="114" t="s">
        <v>1184</v>
      </c>
      <c r="D6348" s="114" t="s">
        <v>3724</v>
      </c>
      <c r="E6348" s="114" t="s">
        <v>10350</v>
      </c>
    </row>
    <row r="6349" spans="1:5" x14ac:dyDescent="0.25">
      <c r="B6349" s="114" t="s">
        <v>1073</v>
      </c>
      <c r="D6349" s="114" t="s">
        <v>1073</v>
      </c>
      <c r="E6349" s="114" t="s">
        <v>10351</v>
      </c>
    </row>
    <row r="6350" spans="1:5" x14ac:dyDescent="0.25">
      <c r="B6350" s="114" t="s">
        <v>1073</v>
      </c>
      <c r="D6350" s="114" t="s">
        <v>1073</v>
      </c>
      <c r="E6350" s="114" t="s">
        <v>10352</v>
      </c>
    </row>
    <row r="6351" spans="1:5" x14ac:dyDescent="0.25">
      <c r="B6351" s="114" t="s">
        <v>3804</v>
      </c>
      <c r="D6351" s="114" t="s">
        <v>1073</v>
      </c>
      <c r="E6351" s="114" t="s">
        <v>10353</v>
      </c>
    </row>
    <row r="6352" spans="1:5" x14ac:dyDescent="0.25">
      <c r="B6352" s="114" t="s">
        <v>1775</v>
      </c>
      <c r="D6352" s="114" t="s">
        <v>1073</v>
      </c>
      <c r="E6352" s="114" t="s">
        <v>10354</v>
      </c>
    </row>
    <row r="6353" spans="1:5" x14ac:dyDescent="0.25">
      <c r="B6353" s="114" t="s">
        <v>3805</v>
      </c>
      <c r="D6353" s="114">
        <f>-173   -194</f>
        <v>-367</v>
      </c>
      <c r="E6353" s="114" t="s">
        <v>3993</v>
      </c>
    </row>
    <row r="6354" spans="1:5" x14ac:dyDescent="0.25">
      <c r="B6354" s="114" t="s">
        <v>1387</v>
      </c>
      <c r="D6354" s="114" t="s">
        <v>10355</v>
      </c>
      <c r="E6354" s="114" t="s">
        <v>10356</v>
      </c>
    </row>
    <row r="6355" spans="1:5" x14ac:dyDescent="0.25">
      <c r="B6355" s="114" t="s">
        <v>1497</v>
      </c>
      <c r="D6355" s="114" t="s">
        <v>1301</v>
      </c>
      <c r="E6355" s="114" t="s">
        <v>10357</v>
      </c>
    </row>
    <row r="6356" spans="1:5" x14ac:dyDescent="0.25">
      <c r="B6356" s="114" t="s">
        <v>1073</v>
      </c>
      <c r="D6356" s="114" t="s">
        <v>1073</v>
      </c>
      <c r="E6356" s="114" t="s">
        <v>3993</v>
      </c>
    </row>
    <row r="6357" spans="1:5" x14ac:dyDescent="0.25">
      <c r="B6357" s="114" t="s">
        <v>1073</v>
      </c>
      <c r="D6357" s="114" t="s">
        <v>1073</v>
      </c>
      <c r="E6357" s="114" t="s">
        <v>10358</v>
      </c>
    </row>
    <row r="6358" spans="1:5" x14ac:dyDescent="0.25">
      <c r="B6358" s="114">
        <f>-75   -203</f>
        <v>-278</v>
      </c>
      <c r="D6358" s="114" t="s">
        <v>10359</v>
      </c>
      <c r="E6358" s="114" t="s">
        <v>10360</v>
      </c>
    </row>
    <row r="6359" spans="1:5" x14ac:dyDescent="0.25">
      <c r="B6359" s="114" t="s">
        <v>3806</v>
      </c>
      <c r="D6359" s="114" t="s">
        <v>10361</v>
      </c>
      <c r="E6359" s="114" t="s">
        <v>10362</v>
      </c>
    </row>
    <row r="6360" spans="1:5" x14ac:dyDescent="0.25">
      <c r="B6360" s="114" t="s">
        <v>3807</v>
      </c>
      <c r="D6360" s="114" t="s">
        <v>10363</v>
      </c>
      <c r="E6360" s="114" t="s">
        <v>10364</v>
      </c>
    </row>
    <row r="6361" spans="1:5" x14ac:dyDescent="0.25">
      <c r="B6361" s="114" t="s">
        <v>3808</v>
      </c>
      <c r="D6361" s="114" t="s">
        <v>10365</v>
      </c>
      <c r="E6361" s="114" t="s">
        <v>10366</v>
      </c>
    </row>
    <row r="6362" spans="1:5" x14ac:dyDescent="0.25">
      <c r="B6362" s="114" t="s">
        <v>3809</v>
      </c>
      <c r="D6362" s="114" t="s">
        <v>10367</v>
      </c>
      <c r="E6362" s="114" t="s">
        <v>10368</v>
      </c>
    </row>
    <row r="6363" spans="1:5" x14ac:dyDescent="0.25">
      <c r="A6363" s="114" t="s">
        <v>1072</v>
      </c>
      <c r="B6363" s="114" t="s">
        <v>3810</v>
      </c>
      <c r="D6363" s="114">
        <f>-112   -282   -19</f>
        <v>-413</v>
      </c>
      <c r="E6363" s="114" t="s">
        <v>10369</v>
      </c>
    </row>
    <row r="6364" spans="1:5" x14ac:dyDescent="0.25">
      <c r="B6364" s="114" t="s">
        <v>3811</v>
      </c>
      <c r="D6364" s="114" t="s">
        <v>10370</v>
      </c>
      <c r="E6364" s="114" t="s">
        <v>10371</v>
      </c>
    </row>
    <row r="6365" spans="1:5" x14ac:dyDescent="0.25">
      <c r="B6365" s="114" t="s">
        <v>3812</v>
      </c>
      <c r="D6365" s="114" t="s">
        <v>10372</v>
      </c>
      <c r="E6365" s="114" t="s">
        <v>10373</v>
      </c>
    </row>
    <row r="6366" spans="1:5" x14ac:dyDescent="0.25">
      <c r="A6366" s="114" t="s">
        <v>1072</v>
      </c>
      <c r="B6366" s="114" t="s">
        <v>3813</v>
      </c>
      <c r="D6366" s="114" t="s">
        <v>10374</v>
      </c>
      <c r="E6366" s="114" t="s">
        <v>10375</v>
      </c>
    </row>
    <row r="6367" spans="1:5" x14ac:dyDescent="0.25">
      <c r="A6367" s="114">
        <v>-1</v>
      </c>
      <c r="B6367" s="114" t="s">
        <v>3814</v>
      </c>
      <c r="C6367" s="114" t="s">
        <v>1072</v>
      </c>
      <c r="D6367" s="114" t="s">
        <v>10376</v>
      </c>
      <c r="E6367" s="114" t="s">
        <v>10377</v>
      </c>
    </row>
    <row r="6368" spans="1:5" x14ac:dyDescent="0.25">
      <c r="B6368" s="114" t="s">
        <v>1073</v>
      </c>
      <c r="D6368" s="114" t="s">
        <v>10378</v>
      </c>
      <c r="E6368" s="114" t="s">
        <v>3993</v>
      </c>
    </row>
    <row r="6369" spans="1:5" x14ac:dyDescent="0.25">
      <c r="B6369" s="114" t="s">
        <v>1073</v>
      </c>
      <c r="D6369" s="114" t="s">
        <v>10379</v>
      </c>
      <c r="E6369" s="114" t="s">
        <v>10380</v>
      </c>
    </row>
    <row r="6370" spans="1:5" x14ac:dyDescent="0.25">
      <c r="B6370" s="114" t="s">
        <v>3815</v>
      </c>
      <c r="D6370" s="114" t="s">
        <v>10381</v>
      </c>
      <c r="E6370" s="114" t="s">
        <v>10382</v>
      </c>
    </row>
    <row r="6371" spans="1:5" x14ac:dyDescent="0.25">
      <c r="B6371" s="114" t="s">
        <v>3816</v>
      </c>
      <c r="D6371" s="114" t="s">
        <v>1073</v>
      </c>
      <c r="E6371" s="114" t="s">
        <v>10383</v>
      </c>
    </row>
    <row r="6372" spans="1:5" x14ac:dyDescent="0.25">
      <c r="B6372" s="114" t="s">
        <v>1073</v>
      </c>
      <c r="D6372" s="114" t="s">
        <v>10384</v>
      </c>
      <c r="E6372" s="114" t="s">
        <v>10385</v>
      </c>
    </row>
    <row r="6373" spans="1:5" x14ac:dyDescent="0.25">
      <c r="B6373" s="114" t="s">
        <v>1073</v>
      </c>
      <c r="C6373" s="114" t="s">
        <v>1072</v>
      </c>
      <c r="D6373" s="114" t="s">
        <v>10386</v>
      </c>
      <c r="E6373" s="114" t="s">
        <v>10387</v>
      </c>
    </row>
    <row r="6374" spans="1:5" x14ac:dyDescent="0.25">
      <c r="B6374" s="114" t="s">
        <v>3817</v>
      </c>
      <c r="D6374" s="114" t="s">
        <v>10388</v>
      </c>
      <c r="E6374" s="114" t="s">
        <v>10389</v>
      </c>
    </row>
    <row r="6375" spans="1:5" x14ac:dyDescent="0.25">
      <c r="B6375" s="114" t="s">
        <v>3818</v>
      </c>
      <c r="D6375" s="114" t="s">
        <v>10390</v>
      </c>
      <c r="E6375" s="114" t="s">
        <v>10391</v>
      </c>
    </row>
    <row r="6376" spans="1:5" x14ac:dyDescent="0.25">
      <c r="B6376" s="114" t="s">
        <v>3819</v>
      </c>
      <c r="C6376" s="114" t="s">
        <v>1072</v>
      </c>
      <c r="D6376" s="114" t="s">
        <v>10392</v>
      </c>
      <c r="E6376" s="114" t="s">
        <v>10393</v>
      </c>
    </row>
    <row r="6377" spans="1:5" x14ac:dyDescent="0.25">
      <c r="B6377" s="114" t="s">
        <v>3820</v>
      </c>
      <c r="D6377" s="114" t="s">
        <v>10394</v>
      </c>
      <c r="E6377" s="114" t="s">
        <v>10395</v>
      </c>
    </row>
    <row r="6378" spans="1:5" x14ac:dyDescent="0.25">
      <c r="B6378" s="114" t="s">
        <v>3821</v>
      </c>
      <c r="D6378" s="114" t="s">
        <v>10396</v>
      </c>
      <c r="E6378" s="114" t="s">
        <v>10397</v>
      </c>
    </row>
    <row r="6379" spans="1:5" x14ac:dyDescent="0.25">
      <c r="B6379" s="114" t="s">
        <v>3822</v>
      </c>
      <c r="D6379" s="114" t="s">
        <v>10398</v>
      </c>
      <c r="E6379" s="114" t="s">
        <v>10399</v>
      </c>
    </row>
    <row r="6380" spans="1:5" x14ac:dyDescent="0.25">
      <c r="B6380" s="114" t="s">
        <v>1073</v>
      </c>
      <c r="D6380" s="114" t="s">
        <v>10400</v>
      </c>
      <c r="E6380" s="114" t="s">
        <v>10401</v>
      </c>
    </row>
    <row r="6381" spans="1:5" x14ac:dyDescent="0.25">
      <c r="B6381" s="114" t="s">
        <v>3823</v>
      </c>
      <c r="D6381" s="114" t="s">
        <v>10402</v>
      </c>
      <c r="E6381" s="114" t="s">
        <v>10403</v>
      </c>
    </row>
    <row r="6382" spans="1:5" x14ac:dyDescent="0.25">
      <c r="A6382" s="114">
        <v>1</v>
      </c>
      <c r="B6382" s="114" t="s">
        <v>3824</v>
      </c>
      <c r="C6382" s="114" t="s">
        <v>1072</v>
      </c>
      <c r="D6382" s="114" t="s">
        <v>10404</v>
      </c>
      <c r="E6382" s="114" t="s">
        <v>10405</v>
      </c>
    </row>
    <row r="6383" spans="1:5" x14ac:dyDescent="0.25">
      <c r="B6383" s="114" t="s">
        <v>3825</v>
      </c>
      <c r="D6383" s="114" t="s">
        <v>10406</v>
      </c>
      <c r="E6383" s="114" t="s">
        <v>3993</v>
      </c>
    </row>
    <row r="6384" spans="1:5" x14ac:dyDescent="0.25">
      <c r="B6384" s="114" t="s">
        <v>3826</v>
      </c>
      <c r="D6384" s="114" t="s">
        <v>10407</v>
      </c>
      <c r="E6384" s="114" t="s">
        <v>10408</v>
      </c>
    </row>
    <row r="6385" spans="1:5" x14ac:dyDescent="0.25">
      <c r="B6385" s="114" t="s">
        <v>3827</v>
      </c>
      <c r="C6385" s="114" t="s">
        <v>1072</v>
      </c>
      <c r="D6385" s="114" t="s">
        <v>10409</v>
      </c>
      <c r="E6385" s="114" t="s">
        <v>10410</v>
      </c>
    </row>
    <row r="6386" spans="1:5" x14ac:dyDescent="0.25">
      <c r="B6386" s="114" t="s">
        <v>3828</v>
      </c>
      <c r="D6386" s="114" t="s">
        <v>10411</v>
      </c>
      <c r="E6386" s="114" t="s">
        <v>10412</v>
      </c>
    </row>
    <row r="6387" spans="1:5" x14ac:dyDescent="0.25">
      <c r="B6387" s="114" t="s">
        <v>3829</v>
      </c>
      <c r="D6387" s="114" t="s">
        <v>10413</v>
      </c>
      <c r="E6387" s="114" t="s">
        <v>10414</v>
      </c>
    </row>
    <row r="6388" spans="1:5" x14ac:dyDescent="0.25">
      <c r="B6388" s="114" t="s">
        <v>1073</v>
      </c>
      <c r="D6388" s="114" t="s">
        <v>1073</v>
      </c>
      <c r="E6388" s="114" t="s">
        <v>10415</v>
      </c>
    </row>
    <row r="6389" spans="1:5" x14ac:dyDescent="0.25">
      <c r="B6389" s="114">
        <f>-99  -1620</f>
        <v>-1719</v>
      </c>
      <c r="D6389" s="114" t="s">
        <v>10416</v>
      </c>
      <c r="E6389" s="114" t="s">
        <v>10417</v>
      </c>
    </row>
    <row r="6390" spans="1:5" x14ac:dyDescent="0.25">
      <c r="B6390" s="114" t="s">
        <v>1073</v>
      </c>
      <c r="D6390" s="114" t="s">
        <v>10418</v>
      </c>
      <c r="E6390" s="114" t="s">
        <v>10419</v>
      </c>
    </row>
    <row r="6391" spans="1:5" x14ac:dyDescent="0.25">
      <c r="B6391" s="114" t="s">
        <v>1073</v>
      </c>
      <c r="D6391" s="114" t="s">
        <v>1073</v>
      </c>
      <c r="E6391" s="114" t="s">
        <v>3993</v>
      </c>
    </row>
    <row r="6392" spans="1:5" x14ac:dyDescent="0.25">
      <c r="B6392" s="114" t="s">
        <v>3830</v>
      </c>
      <c r="D6392" s="114" t="s">
        <v>1073</v>
      </c>
      <c r="E6392" s="114" t="s">
        <v>10420</v>
      </c>
    </row>
    <row r="6393" spans="1:5" x14ac:dyDescent="0.25">
      <c r="B6393" s="114" t="s">
        <v>3831</v>
      </c>
      <c r="D6393" s="114" t="s">
        <v>10421</v>
      </c>
      <c r="E6393" s="114" t="s">
        <v>10422</v>
      </c>
    </row>
    <row r="6394" spans="1:5" x14ac:dyDescent="0.25">
      <c r="A6394" s="114" t="s">
        <v>1072</v>
      </c>
      <c r="B6394" s="114" t="s">
        <v>3832</v>
      </c>
      <c r="D6394" s="114" t="s">
        <v>10423</v>
      </c>
      <c r="E6394" s="114" t="s">
        <v>10424</v>
      </c>
    </row>
    <row r="6395" spans="1:5" x14ac:dyDescent="0.25">
      <c r="A6395" s="114" t="s">
        <v>1072</v>
      </c>
      <c r="B6395" s="114" t="s">
        <v>3833</v>
      </c>
      <c r="D6395" s="114">
        <f>-345   -440  -120</f>
        <v>-905</v>
      </c>
      <c r="E6395" s="114" t="s">
        <v>10425</v>
      </c>
    </row>
    <row r="6396" spans="1:5" x14ac:dyDescent="0.25">
      <c r="A6396" s="114" t="s">
        <v>1072</v>
      </c>
      <c r="B6396" s="114" t="s">
        <v>3834</v>
      </c>
      <c r="D6396" s="114" t="s">
        <v>10426</v>
      </c>
      <c r="E6396" s="114" t="s">
        <v>10427</v>
      </c>
    </row>
    <row r="6397" spans="1:5" x14ac:dyDescent="0.25">
      <c r="A6397" s="114">
        <v>1</v>
      </c>
      <c r="B6397" s="114" t="s">
        <v>3835</v>
      </c>
      <c r="D6397" s="114" t="s">
        <v>10428</v>
      </c>
      <c r="E6397" s="114" t="s">
        <v>10429</v>
      </c>
    </row>
    <row r="6398" spans="1:5" x14ac:dyDescent="0.25">
      <c r="B6398" s="114" t="s">
        <v>3836</v>
      </c>
      <c r="D6398" s="114" t="s">
        <v>10430</v>
      </c>
      <c r="E6398" s="114" t="s">
        <v>10431</v>
      </c>
    </row>
    <row r="6399" spans="1:5" x14ac:dyDescent="0.25">
      <c r="A6399" s="114">
        <v>2</v>
      </c>
      <c r="B6399" s="114" t="s">
        <v>3837</v>
      </c>
      <c r="D6399" s="114" t="s">
        <v>10432</v>
      </c>
      <c r="E6399" s="114" t="s">
        <v>10433</v>
      </c>
    </row>
    <row r="6400" spans="1:5" x14ac:dyDescent="0.25">
      <c r="B6400" s="114" t="s">
        <v>3838</v>
      </c>
      <c r="D6400" s="114" t="s">
        <v>10434</v>
      </c>
      <c r="E6400" s="114" t="s">
        <v>10435</v>
      </c>
    </row>
    <row r="6401" spans="1:5" x14ac:dyDescent="0.25">
      <c r="A6401" s="114">
        <v>3</v>
      </c>
      <c r="B6401" s="114" t="s">
        <v>3839</v>
      </c>
      <c r="D6401" s="114" t="s">
        <v>10436</v>
      </c>
      <c r="E6401" s="114" t="s">
        <v>10437</v>
      </c>
    </row>
    <row r="6402" spans="1:5" x14ac:dyDescent="0.25">
      <c r="B6402" s="114" t="s">
        <v>3840</v>
      </c>
      <c r="D6402" s="114" t="s">
        <v>10438</v>
      </c>
      <c r="E6402" s="114" t="s">
        <v>10439</v>
      </c>
    </row>
    <row r="6403" spans="1:5" x14ac:dyDescent="0.25">
      <c r="A6403" s="114" t="s">
        <v>1072</v>
      </c>
      <c r="B6403" s="114" t="s">
        <v>3841</v>
      </c>
      <c r="D6403" s="114" t="s">
        <v>1073</v>
      </c>
      <c r="E6403" s="114" t="s">
        <v>3993</v>
      </c>
    </row>
    <row r="6404" spans="1:5" x14ac:dyDescent="0.25">
      <c r="A6404" s="114" t="s">
        <v>1072</v>
      </c>
      <c r="B6404" s="114" t="s">
        <v>3842</v>
      </c>
      <c r="D6404" s="114" t="s">
        <v>10440</v>
      </c>
      <c r="E6404" s="114" t="s">
        <v>10441</v>
      </c>
    </row>
    <row r="6405" spans="1:5" x14ac:dyDescent="0.25">
      <c r="B6405" s="114" t="s">
        <v>1073</v>
      </c>
      <c r="D6405" s="114" t="s">
        <v>10442</v>
      </c>
      <c r="E6405" s="114" t="s">
        <v>10443</v>
      </c>
    </row>
    <row r="6406" spans="1:5" x14ac:dyDescent="0.25">
      <c r="B6406" s="114" t="s">
        <v>1073</v>
      </c>
      <c r="D6406" s="114" t="s">
        <v>2288</v>
      </c>
      <c r="E6406" s="114" t="s">
        <v>3993</v>
      </c>
    </row>
    <row r="6407" spans="1:5" x14ac:dyDescent="0.25">
      <c r="B6407" s="114" t="s">
        <v>3843</v>
      </c>
      <c r="C6407" s="114" t="s">
        <v>1072</v>
      </c>
      <c r="D6407" s="114" t="s">
        <v>10444</v>
      </c>
      <c r="E6407" s="114" t="s">
        <v>10445</v>
      </c>
    </row>
    <row r="6408" spans="1:5" x14ac:dyDescent="0.25">
      <c r="A6408" s="114">
        <v>-1</v>
      </c>
      <c r="B6408" s="114" t="s">
        <v>3844</v>
      </c>
      <c r="D6408" s="114" t="s">
        <v>10446</v>
      </c>
      <c r="E6408" s="114" t="s">
        <v>10447</v>
      </c>
    </row>
    <row r="6409" spans="1:5" x14ac:dyDescent="0.25">
      <c r="A6409" s="114">
        <v>2</v>
      </c>
      <c r="B6409" s="114" t="s">
        <v>3845</v>
      </c>
      <c r="D6409" s="114" t="s">
        <v>10448</v>
      </c>
      <c r="E6409" s="114" t="s">
        <v>10449</v>
      </c>
    </row>
    <row r="6410" spans="1:5" x14ac:dyDescent="0.25">
      <c r="A6410" s="114">
        <v>2</v>
      </c>
      <c r="B6410" s="114" t="s">
        <v>3846</v>
      </c>
      <c r="D6410" s="114" t="s">
        <v>10450</v>
      </c>
      <c r="E6410" s="114" t="s">
        <v>10451</v>
      </c>
    </row>
    <row r="6411" spans="1:5" x14ac:dyDescent="0.25">
      <c r="A6411" s="114" t="s">
        <v>1072</v>
      </c>
      <c r="B6411" s="114" t="s">
        <v>3847</v>
      </c>
      <c r="D6411" s="114" t="s">
        <v>10452</v>
      </c>
      <c r="E6411" s="114" t="s">
        <v>10453</v>
      </c>
    </row>
    <row r="6412" spans="1:5" x14ac:dyDescent="0.25">
      <c r="A6412" s="114" t="s">
        <v>1072</v>
      </c>
      <c r="B6412" s="114" t="s">
        <v>3848</v>
      </c>
      <c r="D6412" s="114" t="s">
        <v>10454</v>
      </c>
      <c r="E6412" s="114" t="s">
        <v>10455</v>
      </c>
    </row>
    <row r="6413" spans="1:5" x14ac:dyDescent="0.25">
      <c r="B6413" s="114" t="s">
        <v>3849</v>
      </c>
      <c r="D6413" s="114" t="s">
        <v>10456</v>
      </c>
      <c r="E6413" s="114" t="s">
        <v>10457</v>
      </c>
    </row>
    <row r="6414" spans="1:5" x14ac:dyDescent="0.25">
      <c r="B6414" s="114" t="s">
        <v>3850</v>
      </c>
      <c r="D6414" s="114" t="s">
        <v>10458</v>
      </c>
      <c r="E6414" s="114" t="s">
        <v>10459</v>
      </c>
    </row>
    <row r="6415" spans="1:5" x14ac:dyDescent="0.25">
      <c r="B6415" s="114" t="s">
        <v>3851</v>
      </c>
      <c r="D6415" s="114" t="s">
        <v>10460</v>
      </c>
      <c r="E6415" s="114" t="s">
        <v>10461</v>
      </c>
    </row>
    <row r="6416" spans="1:5" x14ac:dyDescent="0.25">
      <c r="B6416" s="114" t="s">
        <v>3852</v>
      </c>
      <c r="D6416" s="114" t="s">
        <v>10462</v>
      </c>
      <c r="E6416" s="114" t="s">
        <v>10463</v>
      </c>
    </row>
    <row r="6417" spans="1:5" x14ac:dyDescent="0.25">
      <c r="B6417" s="114" t="s">
        <v>3853</v>
      </c>
      <c r="D6417" s="114" t="s">
        <v>10464</v>
      </c>
      <c r="E6417" s="114" t="s">
        <v>10465</v>
      </c>
    </row>
    <row r="6418" spans="1:5" x14ac:dyDescent="0.25">
      <c r="A6418" s="114" t="s">
        <v>1072</v>
      </c>
      <c r="B6418" s="114" t="s">
        <v>2890</v>
      </c>
      <c r="D6418" s="114" t="s">
        <v>1073</v>
      </c>
      <c r="E6418" s="114" t="s">
        <v>10466</v>
      </c>
    </row>
    <row r="6419" spans="1:5" x14ac:dyDescent="0.25">
      <c r="B6419" s="114" t="s">
        <v>3854</v>
      </c>
      <c r="D6419" s="114" t="s">
        <v>2385</v>
      </c>
      <c r="E6419" s="114" t="s">
        <v>10467</v>
      </c>
    </row>
    <row r="6420" spans="1:5" x14ac:dyDescent="0.25">
      <c r="A6420" s="114">
        <v>-1</v>
      </c>
      <c r="B6420" s="114" t="s">
        <v>3855</v>
      </c>
      <c r="D6420" s="114" t="s">
        <v>10468</v>
      </c>
      <c r="E6420" s="114" t="s">
        <v>10469</v>
      </c>
    </row>
    <row r="6421" spans="1:5" x14ac:dyDescent="0.25">
      <c r="A6421" s="114" t="s">
        <v>1072</v>
      </c>
      <c r="B6421" s="114" t="s">
        <v>1240</v>
      </c>
      <c r="D6421" s="114" t="s">
        <v>10470</v>
      </c>
      <c r="E6421" s="114" t="s">
        <v>10471</v>
      </c>
    </row>
    <row r="6422" spans="1:5" x14ac:dyDescent="0.25">
      <c r="A6422" s="114">
        <v>-2</v>
      </c>
      <c r="B6422" s="114" t="s">
        <v>3856</v>
      </c>
      <c r="D6422" s="114" t="s">
        <v>10472</v>
      </c>
      <c r="E6422" s="114" t="s">
        <v>10473</v>
      </c>
    </row>
    <row r="6423" spans="1:5" x14ac:dyDescent="0.25">
      <c r="B6423" s="114" t="s">
        <v>1073</v>
      </c>
      <c r="D6423" s="114" t="s">
        <v>8070</v>
      </c>
      <c r="E6423" s="114" t="s">
        <v>10474</v>
      </c>
    </row>
    <row r="6424" spans="1:5" x14ac:dyDescent="0.25">
      <c r="B6424" s="114" t="s">
        <v>1073</v>
      </c>
      <c r="D6424" s="114" t="s">
        <v>10475</v>
      </c>
      <c r="E6424" s="114" t="s">
        <v>10476</v>
      </c>
    </row>
    <row r="6425" spans="1:5" x14ac:dyDescent="0.25">
      <c r="B6425" s="114" t="s">
        <v>3857</v>
      </c>
      <c r="C6425" s="114" t="s">
        <v>1072</v>
      </c>
      <c r="D6425" s="114" t="s">
        <v>10477</v>
      </c>
      <c r="E6425" s="114" t="s">
        <v>3993</v>
      </c>
    </row>
    <row r="6426" spans="1:5" x14ac:dyDescent="0.25">
      <c r="B6426" s="114" t="s">
        <v>1073</v>
      </c>
      <c r="D6426" s="114" t="s">
        <v>1073</v>
      </c>
      <c r="E6426" s="114" t="s">
        <v>10478</v>
      </c>
    </row>
    <row r="6427" spans="1:5" x14ac:dyDescent="0.25">
      <c r="B6427" s="114" t="s">
        <v>1073</v>
      </c>
      <c r="D6427" s="114" t="s">
        <v>10479</v>
      </c>
      <c r="E6427" s="114" t="s">
        <v>10480</v>
      </c>
    </row>
    <row r="6428" spans="1:5" x14ac:dyDescent="0.25">
      <c r="A6428" s="114">
        <v>3</v>
      </c>
      <c r="B6428" s="114" t="s">
        <v>3858</v>
      </c>
      <c r="D6428" s="114" t="s">
        <v>10481</v>
      </c>
      <c r="E6428" s="114" t="s">
        <v>10482</v>
      </c>
    </row>
    <row r="6429" spans="1:5" x14ac:dyDescent="0.25">
      <c r="B6429" s="114" t="s">
        <v>3859</v>
      </c>
      <c r="D6429" s="114" t="s">
        <v>10483</v>
      </c>
      <c r="E6429" s="114" t="s">
        <v>10484</v>
      </c>
    </row>
    <row r="6430" spans="1:5" x14ac:dyDescent="0.25">
      <c r="A6430" s="114">
        <v>1</v>
      </c>
      <c r="B6430" s="114" t="s">
        <v>3860</v>
      </c>
      <c r="D6430" s="114" t="s">
        <v>10485</v>
      </c>
      <c r="E6430" s="114" t="s">
        <v>10486</v>
      </c>
    </row>
    <row r="6431" spans="1:5" x14ac:dyDescent="0.25">
      <c r="B6431" s="114" t="s">
        <v>3861</v>
      </c>
      <c r="D6431" s="114">
        <f>-26   -750   -34</f>
        <v>-810</v>
      </c>
      <c r="E6431" s="114" t="s">
        <v>10487</v>
      </c>
    </row>
    <row r="6432" spans="1:5" x14ac:dyDescent="0.25">
      <c r="A6432" s="114">
        <v>1</v>
      </c>
      <c r="B6432" s="114" t="s">
        <v>3862</v>
      </c>
      <c r="D6432" s="114" t="s">
        <v>10488</v>
      </c>
      <c r="E6432" s="114" t="s">
        <v>10489</v>
      </c>
    </row>
    <row r="6433" spans="1:5" x14ac:dyDescent="0.25">
      <c r="A6433" s="114" t="s">
        <v>1072</v>
      </c>
      <c r="B6433" s="114" t="s">
        <v>3863</v>
      </c>
      <c r="D6433" s="114" t="s">
        <v>10490</v>
      </c>
      <c r="E6433" s="114" t="s">
        <v>10491</v>
      </c>
    </row>
    <row r="6434" spans="1:5" x14ac:dyDescent="0.25">
      <c r="A6434" s="114">
        <v>-3</v>
      </c>
      <c r="B6434" s="114" t="s">
        <v>3864</v>
      </c>
      <c r="D6434" s="114" t="s">
        <v>10492</v>
      </c>
      <c r="E6434" s="114" t="s">
        <v>10493</v>
      </c>
    </row>
    <row r="6435" spans="1:5" x14ac:dyDescent="0.25">
      <c r="A6435" s="114" t="s">
        <v>1072</v>
      </c>
      <c r="B6435" s="114" t="s">
        <v>3865</v>
      </c>
      <c r="D6435" s="114">
        <f>-413  -1154   -83</f>
        <v>-1650</v>
      </c>
      <c r="E6435" s="114" t="s">
        <v>10494</v>
      </c>
    </row>
    <row r="6436" spans="1:5" x14ac:dyDescent="0.25">
      <c r="A6436" s="114">
        <v>1</v>
      </c>
      <c r="B6436" s="114" t="s">
        <v>3866</v>
      </c>
      <c r="D6436" s="114" t="s">
        <v>10495</v>
      </c>
      <c r="E6436" s="114" t="s">
        <v>10496</v>
      </c>
    </row>
    <row r="6437" spans="1:5" x14ac:dyDescent="0.25">
      <c r="B6437" s="114" t="s">
        <v>1073</v>
      </c>
      <c r="D6437" s="114" t="s">
        <v>10497</v>
      </c>
      <c r="E6437" s="114" t="s">
        <v>10498</v>
      </c>
    </row>
    <row r="6438" spans="1:5" x14ac:dyDescent="0.25">
      <c r="B6438" s="114" t="s">
        <v>1073</v>
      </c>
      <c r="D6438" s="114" t="s">
        <v>1073</v>
      </c>
      <c r="E6438" s="114" t="s">
        <v>10499</v>
      </c>
    </row>
    <row r="6439" spans="1:5" x14ac:dyDescent="0.25">
      <c r="B6439" s="114" t="s">
        <v>1073</v>
      </c>
      <c r="D6439" s="114" t="s">
        <v>10500</v>
      </c>
      <c r="E6439" s="114" t="s">
        <v>10501</v>
      </c>
    </row>
    <row r="6440" spans="1:5" x14ac:dyDescent="0.25">
      <c r="B6440" s="114" t="s">
        <v>2656</v>
      </c>
      <c r="D6440" s="114" t="s">
        <v>1073</v>
      </c>
      <c r="E6440" s="114" t="s">
        <v>10502</v>
      </c>
    </row>
    <row r="6441" spans="1:5" x14ac:dyDescent="0.25">
      <c r="B6441" s="114" t="s">
        <v>3867</v>
      </c>
      <c r="D6441" s="114" t="s">
        <v>1073</v>
      </c>
      <c r="E6441" s="114" t="s">
        <v>10503</v>
      </c>
    </row>
    <row r="6442" spans="1:5" x14ac:dyDescent="0.25">
      <c r="A6442" s="114">
        <v>7</v>
      </c>
      <c r="B6442" s="114" t="s">
        <v>3868</v>
      </c>
      <c r="D6442" s="114" t="s">
        <v>4884</v>
      </c>
      <c r="E6442" s="114" t="s">
        <v>10504</v>
      </c>
    </row>
    <row r="6443" spans="1:5" x14ac:dyDescent="0.25">
      <c r="B6443" s="114" t="s">
        <v>1073</v>
      </c>
      <c r="D6443" s="114" t="s">
        <v>10505</v>
      </c>
      <c r="E6443" s="114" t="s">
        <v>10506</v>
      </c>
    </row>
    <row r="6444" spans="1:5" x14ac:dyDescent="0.25">
      <c r="A6444" s="114">
        <v>-1</v>
      </c>
      <c r="B6444" s="114" t="s">
        <v>3869</v>
      </c>
      <c r="D6444" s="114" t="s">
        <v>1073</v>
      </c>
      <c r="E6444" s="114" t="s">
        <v>10507</v>
      </c>
    </row>
    <row r="6445" spans="1:5" x14ac:dyDescent="0.25">
      <c r="A6445" s="114">
        <v>6</v>
      </c>
      <c r="B6445" s="114" t="s">
        <v>3870</v>
      </c>
      <c r="D6445" s="114" t="s">
        <v>10508</v>
      </c>
      <c r="E6445" s="114" t="s">
        <v>10509</v>
      </c>
    </row>
    <row r="6446" spans="1:5" x14ac:dyDescent="0.25">
      <c r="A6446" s="114" t="s">
        <v>1072</v>
      </c>
      <c r="B6446" s="114" t="s">
        <v>3871</v>
      </c>
      <c r="D6446" s="114" t="s">
        <v>10510</v>
      </c>
      <c r="E6446" s="114" t="s">
        <v>10511</v>
      </c>
    </row>
    <row r="6447" spans="1:5" x14ac:dyDescent="0.25">
      <c r="A6447" s="114" t="s">
        <v>1072</v>
      </c>
      <c r="B6447" s="114" t="s">
        <v>3872</v>
      </c>
      <c r="D6447" s="114" t="s">
        <v>1073</v>
      </c>
      <c r="E6447" s="114" t="s">
        <v>10512</v>
      </c>
    </row>
    <row r="6448" spans="1:5" x14ac:dyDescent="0.25">
      <c r="A6448" s="114">
        <v>6</v>
      </c>
      <c r="B6448" s="114" t="s">
        <v>3873</v>
      </c>
      <c r="D6448" s="114">
        <f>-242   -593   -60</f>
        <v>-895</v>
      </c>
      <c r="E6448" s="114" t="s">
        <v>10513</v>
      </c>
    </row>
    <row r="6449" spans="1:5" x14ac:dyDescent="0.25">
      <c r="B6449" s="114" t="s">
        <v>3874</v>
      </c>
      <c r="D6449" s="114" t="s">
        <v>10514</v>
      </c>
      <c r="E6449" s="114" t="s">
        <v>10515</v>
      </c>
    </row>
    <row r="6450" spans="1:5" x14ac:dyDescent="0.25">
      <c r="A6450" s="114">
        <v>-1</v>
      </c>
      <c r="B6450" s="114" t="s">
        <v>3875</v>
      </c>
      <c r="D6450" s="114" t="s">
        <v>1073</v>
      </c>
      <c r="E6450" s="114" t="s">
        <v>10516</v>
      </c>
    </row>
    <row r="6451" spans="1:5" x14ac:dyDescent="0.25">
      <c r="A6451" s="114">
        <v>5</v>
      </c>
      <c r="B6451" s="114" t="s">
        <v>3876</v>
      </c>
      <c r="D6451" s="114" t="s">
        <v>1073</v>
      </c>
      <c r="E6451" s="114" t="s">
        <v>10517</v>
      </c>
    </row>
    <row r="6452" spans="1:5" x14ac:dyDescent="0.25">
      <c r="B6452" s="114" t="s">
        <v>3877</v>
      </c>
      <c r="D6452" s="114" t="s">
        <v>6864</v>
      </c>
      <c r="E6452" s="114" t="s">
        <v>10518</v>
      </c>
    </row>
    <row r="6453" spans="1:5" x14ac:dyDescent="0.25">
      <c r="B6453" s="114" t="s">
        <v>1073</v>
      </c>
      <c r="D6453" s="114" t="s">
        <v>1073</v>
      </c>
      <c r="E6453" s="114" t="s">
        <v>10519</v>
      </c>
    </row>
    <row r="6454" spans="1:5" x14ac:dyDescent="0.25">
      <c r="A6454" s="114">
        <v>10</v>
      </c>
      <c r="B6454" s="114" t="s">
        <v>3878</v>
      </c>
      <c r="D6454" s="114" t="s">
        <v>1073</v>
      </c>
      <c r="E6454" s="114" t="s">
        <v>10520</v>
      </c>
    </row>
    <row r="6455" spans="1:5" x14ac:dyDescent="0.25">
      <c r="A6455" s="114" t="s">
        <v>1072</v>
      </c>
      <c r="B6455" s="114" t="s">
        <v>3879</v>
      </c>
      <c r="D6455" s="114" t="s">
        <v>10521</v>
      </c>
      <c r="E6455" s="114" t="s">
        <v>10522</v>
      </c>
    </row>
    <row r="6456" spans="1:5" x14ac:dyDescent="0.25">
      <c r="B6456" s="114" t="s">
        <v>1392</v>
      </c>
      <c r="D6456" s="114" t="s">
        <v>1073</v>
      </c>
      <c r="E6456" s="114" t="s">
        <v>10523</v>
      </c>
    </row>
    <row r="6457" spans="1:5" x14ac:dyDescent="0.25">
      <c r="A6457" s="114" t="s">
        <v>1072</v>
      </c>
      <c r="B6457" s="114" t="s">
        <v>3880</v>
      </c>
      <c r="D6457" s="114" t="s">
        <v>10524</v>
      </c>
      <c r="E6457" s="114" t="s">
        <v>4044</v>
      </c>
    </row>
    <row r="6458" spans="1:5" x14ac:dyDescent="0.25">
      <c r="B6458" s="114" t="s">
        <v>1073</v>
      </c>
      <c r="D6458" s="114" t="s">
        <v>10525</v>
      </c>
      <c r="E6458" s="114" t="s">
        <v>10526</v>
      </c>
    </row>
    <row r="6459" spans="1:5" x14ac:dyDescent="0.25">
      <c r="A6459" s="114" t="s">
        <v>1072</v>
      </c>
      <c r="B6459" s="114" t="s">
        <v>1211</v>
      </c>
      <c r="D6459" s="114" t="s">
        <v>10527</v>
      </c>
      <c r="E6459" s="114" t="s">
        <v>10528</v>
      </c>
    </row>
    <row r="6460" spans="1:5" x14ac:dyDescent="0.25">
      <c r="A6460" s="114">
        <v>-2</v>
      </c>
      <c r="B6460" s="114" t="s">
        <v>3881</v>
      </c>
      <c r="D6460" s="114" t="s">
        <v>1073</v>
      </c>
      <c r="E6460" s="114" t="s">
        <v>3993</v>
      </c>
    </row>
    <row r="6461" spans="1:5" x14ac:dyDescent="0.25">
      <c r="B6461" s="114" t="s">
        <v>1073</v>
      </c>
      <c r="D6461" s="114" t="s">
        <v>1073</v>
      </c>
      <c r="E6461" s="114" t="s">
        <v>10529</v>
      </c>
    </row>
    <row r="6462" spans="1:5" x14ac:dyDescent="0.25">
      <c r="B6462" s="114" t="s">
        <v>3882</v>
      </c>
      <c r="D6462" s="114" t="s">
        <v>10530</v>
      </c>
      <c r="E6462" s="114" t="s">
        <v>10531</v>
      </c>
    </row>
    <row r="6463" spans="1:5" x14ac:dyDescent="0.25">
      <c r="B6463" s="114" t="s">
        <v>1073</v>
      </c>
      <c r="D6463" s="114" t="s">
        <v>10532</v>
      </c>
      <c r="E6463" s="114" t="s">
        <v>10533</v>
      </c>
    </row>
    <row r="6464" spans="1:5" x14ac:dyDescent="0.25">
      <c r="B6464" s="114" t="s">
        <v>3883</v>
      </c>
      <c r="D6464" s="114" t="s">
        <v>10534</v>
      </c>
      <c r="E6464" s="114" t="s">
        <v>10535</v>
      </c>
    </row>
    <row r="6465" spans="1:5" x14ac:dyDescent="0.25">
      <c r="B6465" s="114" t="s">
        <v>3884</v>
      </c>
      <c r="D6465" s="114" t="s">
        <v>10536</v>
      </c>
      <c r="E6465" s="114" t="s">
        <v>10537</v>
      </c>
    </row>
    <row r="6466" spans="1:5" x14ac:dyDescent="0.25">
      <c r="A6466" s="114">
        <v>1</v>
      </c>
      <c r="B6466" s="114" t="s">
        <v>3885</v>
      </c>
      <c r="D6466" s="114" t="s">
        <v>10538</v>
      </c>
      <c r="E6466" s="114" t="s">
        <v>10539</v>
      </c>
    </row>
    <row r="6467" spans="1:5" x14ac:dyDescent="0.25">
      <c r="A6467" s="114">
        <v>-1</v>
      </c>
      <c r="B6467" s="114" t="s">
        <v>3886</v>
      </c>
      <c r="C6467" s="114" t="s">
        <v>1072</v>
      </c>
      <c r="D6467" s="114" t="s">
        <v>10540</v>
      </c>
      <c r="E6467" s="114" t="s">
        <v>10541</v>
      </c>
    </row>
    <row r="6468" spans="1:5" x14ac:dyDescent="0.25">
      <c r="A6468" s="114">
        <v>-26</v>
      </c>
      <c r="B6468" s="114" t="s">
        <v>3887</v>
      </c>
      <c r="C6468" s="114">
        <v>-2</v>
      </c>
      <c r="D6468" s="114" t="s">
        <v>10542</v>
      </c>
      <c r="E6468" s="114" t="s">
        <v>10543</v>
      </c>
    </row>
    <row r="6469" spans="1:5" x14ac:dyDescent="0.25">
      <c r="A6469" s="114">
        <v>-2</v>
      </c>
      <c r="B6469" s="114" t="s">
        <v>3888</v>
      </c>
      <c r="C6469" s="114" t="s">
        <v>1072</v>
      </c>
      <c r="D6469" s="114" t="s">
        <v>10544</v>
      </c>
      <c r="E6469" s="114" t="s">
        <v>10545</v>
      </c>
    </row>
    <row r="6470" spans="1:5" x14ac:dyDescent="0.25">
      <c r="A6470" s="114">
        <v>-21</v>
      </c>
      <c r="B6470" s="114" t="s">
        <v>3889</v>
      </c>
      <c r="C6470" s="114">
        <v>-2</v>
      </c>
      <c r="D6470" s="114" t="s">
        <v>10546</v>
      </c>
      <c r="E6470" s="114" t="s">
        <v>10547</v>
      </c>
    </row>
    <row r="6471" spans="1:5" x14ac:dyDescent="0.25">
      <c r="A6471" s="114">
        <v>-11</v>
      </c>
      <c r="B6471" s="114" t="s">
        <v>3890</v>
      </c>
      <c r="D6471" s="114" t="s">
        <v>10548</v>
      </c>
      <c r="E6471" s="114">
        <v>6</v>
      </c>
    </row>
    <row r="6691" spans="2:2" x14ac:dyDescent="0.25">
      <c r="B6691" s="125"/>
    </row>
    <row r="6811" spans="2:2" x14ac:dyDescent="0.25">
      <c r="B6811" s="125"/>
    </row>
    <row r="7294" spans="2:2" x14ac:dyDescent="0.25">
      <c r="B7294" s="126"/>
    </row>
  </sheetData>
  <pageMargins bottom="0.75" footer="0.3" header="0.3" left="0.7" right="0.7" top="0.75"/>
  <pageSetup orientation="portrait" r:id="rId1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M40"/>
  <sheetViews>
    <sheetView workbookViewId="0">
      <selection activeCell="N26" sqref="N26"/>
    </sheetView>
  </sheetViews>
  <sheetFormatPr defaultRowHeight="12.75" x14ac:dyDescent="0.2"/>
  <sheetData>
    <row ht="15" r="1" spans="1:13" x14ac:dyDescent="0.25">
      <c r="A1" s="172" t="s">
        <v>1022</v>
      </c>
      <c r="B1" s="173"/>
      <c r="C1" s="173"/>
      <c r="D1" s="173"/>
      <c r="E1" s="173"/>
      <c r="F1" s="173"/>
      <c r="G1" s="173"/>
      <c r="H1" s="173" t="s">
        <v>1023</v>
      </c>
      <c r="I1" s="173"/>
      <c r="J1" s="173"/>
      <c r="K1" s="181"/>
    </row>
    <row ht="15" r="2" spans="1:13" x14ac:dyDescent="0.25">
      <c r="A2" s="175">
        <v>1</v>
      </c>
      <c r="B2" s="176" t="s">
        <v>3892</v>
      </c>
      <c r="C2" s="176"/>
      <c r="D2" s="176"/>
      <c r="E2" s="176"/>
      <c r="F2" s="176"/>
      <c r="G2" s="176"/>
      <c r="H2" s="176"/>
      <c r="I2" s="176"/>
      <c r="J2" s="176"/>
      <c r="K2" s="182"/>
    </row>
    <row ht="15" r="3" spans="1:13" x14ac:dyDescent="0.25">
      <c r="A3" s="175">
        <v>2</v>
      </c>
      <c r="B3" s="176" t="s">
        <v>1024</v>
      </c>
      <c r="C3" s="176"/>
      <c r="D3" s="176"/>
      <c r="E3" s="176"/>
      <c r="F3" s="176"/>
      <c r="G3" s="176"/>
      <c r="H3" s="176"/>
      <c r="I3" s="176"/>
      <c r="J3" s="176"/>
      <c r="K3" s="182"/>
    </row>
    <row ht="15" r="4" spans="1:13" x14ac:dyDescent="0.25">
      <c r="A4" s="175">
        <v>3</v>
      </c>
      <c r="B4" s="176" t="s">
        <v>1025</v>
      </c>
      <c r="C4" s="176"/>
      <c r="D4" s="176"/>
      <c r="E4" s="176"/>
      <c r="F4" s="176"/>
      <c r="G4" s="176"/>
      <c r="H4" s="176"/>
      <c r="I4" s="176"/>
      <c r="J4" s="176"/>
      <c r="K4" s="182"/>
    </row>
    <row ht="15" r="5" spans="1:13" x14ac:dyDescent="0.25">
      <c r="A5" s="175">
        <v>4</v>
      </c>
      <c r="B5" s="176" t="s">
        <v>1521</v>
      </c>
      <c r="C5" s="176"/>
      <c r="D5" s="176"/>
      <c r="E5" s="176"/>
      <c r="F5" s="176"/>
      <c r="G5" s="176"/>
      <c r="H5" s="176"/>
      <c r="I5" s="176"/>
      <c r="J5" s="176"/>
      <c r="K5" s="182"/>
    </row>
    <row ht="15" r="6" spans="1:13" x14ac:dyDescent="0.25">
      <c r="A6" s="183"/>
      <c r="B6" s="178"/>
      <c r="C6" s="178"/>
      <c r="D6" s="178"/>
      <c r="E6" s="178"/>
      <c r="F6" s="178"/>
      <c r="G6" s="178"/>
      <c r="H6" s="178"/>
      <c r="I6" s="178"/>
      <c r="J6" s="178"/>
      <c r="K6" s="179"/>
      <c r="L6" s="114"/>
      <c r="M6" s="114"/>
    </row>
    <row ht="15" r="7" spans="1:13" x14ac:dyDescent="0.25">
      <c r="A7" s="114"/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</row>
    <row ht="15" r="8" spans="1:13" x14ac:dyDescent="0.25">
      <c r="A8" s="114" t="s">
        <v>210</v>
      </c>
      <c r="B8" s="114" t="s">
        <v>1056</v>
      </c>
      <c r="C8" s="114" t="s">
        <v>1057</v>
      </c>
      <c r="D8" s="114" t="s">
        <v>1058</v>
      </c>
      <c r="E8" s="114" t="s">
        <v>1059</v>
      </c>
      <c r="F8" s="114" t="s">
        <v>44</v>
      </c>
      <c r="G8" s="114" t="s">
        <v>1060</v>
      </c>
      <c r="H8" s="114"/>
      <c r="I8" s="114"/>
      <c r="J8" s="114"/>
      <c r="K8" s="114"/>
      <c r="L8" s="114"/>
      <c r="M8" s="114"/>
    </row>
    <row ht="15" r="9" spans="1:13" x14ac:dyDescent="0.25">
      <c r="A9" s="114" t="s">
        <v>1061</v>
      </c>
      <c r="B9" s="114" t="s">
        <v>1062</v>
      </c>
      <c r="C9" s="114" t="s">
        <v>1063</v>
      </c>
      <c r="D9" s="114" t="s">
        <v>1064</v>
      </c>
      <c r="E9" s="114">
        <v>4</v>
      </c>
      <c r="F9" s="115">
        <v>0.46486111111111111</v>
      </c>
      <c r="G9" s="114" t="s">
        <v>1065</v>
      </c>
      <c r="H9" s="114">
        <v>10</v>
      </c>
      <c r="I9" s="114" t="s">
        <v>3950</v>
      </c>
      <c r="J9" s="114">
        <v>17</v>
      </c>
      <c r="K9" s="114"/>
      <c r="L9" s="114"/>
      <c r="M9" s="114"/>
    </row>
    <row ht="15" r="10" spans="1:13" x14ac:dyDescent="0.25">
      <c r="A10" s="114" t="s">
        <v>316</v>
      </c>
      <c r="B10" s="114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</row>
    <row ht="15" r="11" spans="1:13" x14ac:dyDescent="0.25">
      <c r="A11" s="114"/>
      <c r="B11" s="114">
        <v>1</v>
      </c>
      <c r="C11" s="114" t="s">
        <v>1041</v>
      </c>
      <c r="D11" s="114" t="s">
        <v>322</v>
      </c>
      <c r="E11" s="114">
        <v>-1.391183801545</v>
      </c>
      <c r="F11" s="114">
        <v>0.36954751315000001</v>
      </c>
      <c r="G11" s="114"/>
      <c r="H11" s="114"/>
      <c r="I11" s="114"/>
      <c r="J11" s="114"/>
      <c r="K11" s="114"/>
      <c r="L11" s="114"/>
      <c r="M11" s="114"/>
    </row>
    <row ht="15" r="12" spans="1:13" x14ac:dyDescent="0.25">
      <c r="A12" s="114"/>
      <c r="B12" s="114">
        <v>3</v>
      </c>
      <c r="C12" s="114" t="s">
        <v>1042</v>
      </c>
      <c r="D12" s="114" t="s">
        <v>322</v>
      </c>
      <c r="E12" s="114">
        <v>-1.5751269665259999</v>
      </c>
      <c r="F12" s="114">
        <v>1.0224625381200001</v>
      </c>
      <c r="G12" s="114"/>
      <c r="H12" s="114"/>
      <c r="I12" s="114"/>
      <c r="J12" s="114"/>
      <c r="K12" s="114"/>
      <c r="L12" s="114"/>
      <c r="M12" s="114"/>
    </row>
    <row ht="15" r="13" spans="1:13" x14ac:dyDescent="0.25">
      <c r="A13" s="114"/>
      <c r="B13" s="114">
        <v>4</v>
      </c>
      <c r="C13" s="114" t="s">
        <v>1043</v>
      </c>
      <c r="D13" s="114" t="s">
        <v>322</v>
      </c>
      <c r="E13" s="114">
        <v>-3.4954013260769998</v>
      </c>
      <c r="F13" s="114">
        <v>0.81389760876799999</v>
      </c>
      <c r="G13" s="114"/>
      <c r="H13" s="114"/>
      <c r="I13" s="114"/>
      <c r="J13" s="114"/>
      <c r="K13" s="114"/>
      <c r="L13" s="114"/>
      <c r="M13" s="114"/>
    </row>
    <row ht="15" r="14" spans="1:13" x14ac:dyDescent="0.25">
      <c r="A14" s="114"/>
      <c r="B14" s="114">
        <v>6</v>
      </c>
      <c r="C14" s="114" t="s">
        <v>1044</v>
      </c>
      <c r="D14" s="114" t="s">
        <v>322</v>
      </c>
      <c r="E14" s="114">
        <v>-2.541930043087</v>
      </c>
      <c r="F14" s="114">
        <v>0.44820019026000002</v>
      </c>
      <c r="G14" s="114"/>
      <c r="H14" s="114"/>
      <c r="I14" s="114"/>
      <c r="J14" s="114"/>
      <c r="K14" s="114"/>
      <c r="L14" s="114"/>
      <c r="M14" s="114"/>
    </row>
    <row ht="15" r="15" spans="1:13" x14ac:dyDescent="0.25">
      <c r="A15" s="114"/>
      <c r="B15" s="114">
        <v>8</v>
      </c>
      <c r="C15" s="114" t="s">
        <v>1045</v>
      </c>
      <c r="D15" s="114" t="s">
        <v>322</v>
      </c>
      <c r="E15" s="114">
        <v>-3.0508954731109998</v>
      </c>
      <c r="F15" s="114">
        <v>0.44031202244399997</v>
      </c>
      <c r="G15" s="114"/>
      <c r="H15" s="114"/>
      <c r="I15" s="114"/>
      <c r="J15" s="114"/>
      <c r="K15" s="114"/>
      <c r="L15" s="114"/>
      <c r="M15" s="114"/>
    </row>
    <row ht="15" r="16" spans="1:13" x14ac:dyDescent="0.25">
      <c r="A16" s="114"/>
      <c r="B16" s="114">
        <v>10</v>
      </c>
      <c r="C16" s="114" t="s">
        <v>1046</v>
      </c>
      <c r="D16" s="114" t="s">
        <v>322</v>
      </c>
      <c r="E16" s="114">
        <v>-1.1916103537930001</v>
      </c>
      <c r="F16" s="114">
        <v>0.35620018074900001</v>
      </c>
      <c r="G16" s="114"/>
      <c r="H16" s="114"/>
      <c r="I16" s="114"/>
      <c r="J16" s="114"/>
      <c r="K16" s="114"/>
      <c r="L16" s="114"/>
      <c r="M16" s="114"/>
    </row>
    <row ht="15" r="17" spans="1:13" x14ac:dyDescent="0.25">
      <c r="A17" s="114"/>
      <c r="B17" s="114">
        <v>13</v>
      </c>
      <c r="C17" s="114" t="s">
        <v>1047</v>
      </c>
      <c r="D17" s="114" t="s">
        <v>322</v>
      </c>
      <c r="E17" s="114">
        <v>-2.2830182078669998</v>
      </c>
      <c r="F17" s="114">
        <v>0.42855082411500001</v>
      </c>
      <c r="G17" s="114"/>
      <c r="H17" s="114"/>
      <c r="I17" s="114"/>
      <c r="J17" s="114"/>
      <c r="K17" s="114"/>
      <c r="L17" s="114"/>
      <c r="M17" s="114"/>
    </row>
    <row ht="15" r="18" spans="1:13" x14ac:dyDescent="0.25">
      <c r="A18" s="114"/>
      <c r="B18" s="114">
        <v>15</v>
      </c>
      <c r="C18" s="114" t="s">
        <v>1048</v>
      </c>
      <c r="D18" s="114" t="s">
        <v>322</v>
      </c>
      <c r="E18" s="114">
        <v>1.1065849107500001</v>
      </c>
      <c r="F18" s="114">
        <v>0.246194541401</v>
      </c>
      <c r="G18" s="114"/>
      <c r="H18" s="114"/>
      <c r="I18" s="114"/>
      <c r="J18" s="114"/>
      <c r="K18" s="114"/>
      <c r="L18" s="114"/>
      <c r="M18" s="114"/>
    </row>
    <row ht="15" r="19" spans="1:13" x14ac:dyDescent="0.25">
      <c r="A19" s="114"/>
      <c r="B19" s="114">
        <v>16</v>
      </c>
      <c r="C19" s="114" t="s">
        <v>1049</v>
      </c>
      <c r="D19" s="114" t="s">
        <v>322</v>
      </c>
      <c r="E19" s="114">
        <v>0.44851324548400001</v>
      </c>
      <c r="F19" s="114">
        <v>0.210310828664</v>
      </c>
      <c r="G19" s="114"/>
      <c r="H19" s="114"/>
      <c r="I19" s="114"/>
      <c r="J19" s="114"/>
      <c r="K19" s="114"/>
      <c r="L19" s="114"/>
      <c r="M19" s="114"/>
    </row>
    <row ht="15" r="20" spans="1:13" x14ac:dyDescent="0.25">
      <c r="A20" s="114"/>
      <c r="B20" s="114">
        <v>18</v>
      </c>
      <c r="C20" s="114" t="s">
        <v>1050</v>
      </c>
      <c r="D20" s="114" t="s">
        <v>322</v>
      </c>
      <c r="E20" s="114">
        <v>0.58898952347099998</v>
      </c>
      <c r="F20" s="114">
        <v>0.42036688814200002</v>
      </c>
      <c r="G20" s="114"/>
      <c r="H20" s="114"/>
      <c r="I20" s="114"/>
      <c r="J20" s="114"/>
      <c r="K20" s="114"/>
      <c r="L20" s="114"/>
      <c r="M20" s="114"/>
    </row>
    <row ht="15" r="21" spans="1:13" x14ac:dyDescent="0.25">
      <c r="A21" s="114"/>
      <c r="B21" s="114">
        <v>22</v>
      </c>
      <c r="C21" s="114" t="s">
        <v>1051</v>
      </c>
      <c r="D21" s="114" t="s">
        <v>322</v>
      </c>
      <c r="E21" s="116">
        <v>-0.41156432825900002</v>
      </c>
      <c r="F21" s="114">
        <v>0.31155469788099999</v>
      </c>
      <c r="G21" s="114"/>
      <c r="H21" s="114"/>
      <c r="I21" s="114"/>
      <c r="J21" s="114"/>
      <c r="K21" s="114"/>
      <c r="L21" s="114"/>
      <c r="M21" s="114"/>
    </row>
    <row ht="15" r="22" spans="1:13" x14ac:dyDescent="0.25">
      <c r="A22" s="114"/>
      <c r="B22" s="114">
        <v>23</v>
      </c>
      <c r="C22" s="114" t="s">
        <v>1052</v>
      </c>
      <c r="D22" s="114" t="s">
        <v>322</v>
      </c>
      <c r="E22" s="116">
        <v>-0.11610512890999999</v>
      </c>
      <c r="F22" s="114">
        <v>0.16851719964100001</v>
      </c>
      <c r="G22" s="114"/>
      <c r="H22" s="114"/>
      <c r="I22" s="114"/>
      <c r="J22" s="114"/>
      <c r="K22" s="114"/>
      <c r="L22" s="114"/>
      <c r="M22" s="114"/>
    </row>
    <row ht="15" r="23" spans="1:13" x14ac:dyDescent="0.25">
      <c r="A23" s="114"/>
      <c r="B23" s="114">
        <v>32</v>
      </c>
      <c r="C23" s="114" t="s">
        <v>1053</v>
      </c>
      <c r="D23" s="114" t="s">
        <v>322</v>
      </c>
      <c r="E23" s="116">
        <v>-1.7161872753999999E-2</v>
      </c>
      <c r="F23" s="116">
        <v>4.65827033403E-2</v>
      </c>
      <c r="G23" s="114"/>
      <c r="H23" s="114"/>
      <c r="I23" s="114"/>
      <c r="J23" s="114"/>
      <c r="K23" s="114"/>
      <c r="L23" s="114"/>
      <c r="M23" s="114"/>
    </row>
    <row ht="15" r="24" spans="1:13" x14ac:dyDescent="0.25">
      <c r="A24" s="114"/>
      <c r="B24" s="114">
        <v>39</v>
      </c>
      <c r="C24" s="114" t="s">
        <v>1054</v>
      </c>
      <c r="D24" s="114" t="s">
        <v>322</v>
      </c>
      <c r="E24" s="114">
        <v>6.8050871158000001E-2</v>
      </c>
      <c r="F24" s="116">
        <v>0.18794712887000001</v>
      </c>
      <c r="G24" s="114"/>
      <c r="H24" s="114"/>
      <c r="I24" s="114"/>
      <c r="J24" s="114"/>
      <c r="K24" s="114"/>
      <c r="L24" s="114"/>
      <c r="M24" s="114"/>
    </row>
    <row ht="15" r="25" spans="1:13" x14ac:dyDescent="0.25">
      <c r="A25" s="114"/>
      <c r="B25" s="114">
        <v>50</v>
      </c>
      <c r="C25" s="114" t="s">
        <v>1055</v>
      </c>
      <c r="D25" s="114" t="s">
        <v>322</v>
      </c>
      <c r="E25" s="114">
        <v>1.27201347144</v>
      </c>
      <c r="F25" s="116">
        <v>0.18586224660699999</v>
      </c>
      <c r="G25" s="114"/>
      <c r="H25" s="114"/>
      <c r="I25" s="114"/>
      <c r="J25" s="114"/>
      <c r="K25" s="114"/>
      <c r="L25" s="114"/>
      <c r="M25" s="114"/>
    </row>
    <row ht="15" r="26" spans="1:13" x14ac:dyDescent="0.25">
      <c r="A26" s="114"/>
      <c r="B26" s="114">
        <v>-1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</row>
    <row ht="15" r="27" spans="1:13" x14ac:dyDescent="0.25">
      <c r="A27" s="114"/>
      <c r="B27" s="114">
        <v>1062</v>
      </c>
      <c r="C27" s="116">
        <v>-531.00984216200004</v>
      </c>
      <c r="D27" s="116">
        <v>-1002.25059631</v>
      </c>
      <c r="E27" s="116">
        <v>-500.17868970199999</v>
      </c>
      <c r="F27" s="114"/>
      <c r="G27" s="114"/>
      <c r="H27" s="114"/>
      <c r="I27" s="114"/>
      <c r="J27" s="114"/>
      <c r="K27" s="114"/>
      <c r="L27" s="114"/>
      <c r="M27" s="114"/>
    </row>
    <row ht="15" r="28" spans="1:13" x14ac:dyDescent="0.25">
      <c r="A28" s="114"/>
      <c r="B28" s="114">
        <v>16</v>
      </c>
      <c r="C28" s="114" t="s">
        <v>3951</v>
      </c>
      <c r="D28" s="114" t="s">
        <v>1065</v>
      </c>
      <c r="E28" s="114">
        <v>10</v>
      </c>
      <c r="F28" s="114" t="s">
        <v>3950</v>
      </c>
      <c r="G28" s="114">
        <v>17</v>
      </c>
      <c r="H28" s="114"/>
      <c r="I28" s="114"/>
      <c r="J28" s="114"/>
      <c r="K28" s="114"/>
      <c r="L28" s="114"/>
      <c r="M28" s="114"/>
    </row>
    <row ht="15" r="29" spans="1:13" x14ac:dyDescent="0.25">
      <c r="A29" s="114"/>
      <c r="B29" s="114">
        <v>38155</v>
      </c>
      <c r="C29" s="114">
        <v>46734</v>
      </c>
      <c r="D29" s="114">
        <v>25119</v>
      </c>
      <c r="E29" s="114">
        <v>76404</v>
      </c>
      <c r="F29" s="114">
        <v>38178</v>
      </c>
      <c r="G29" s="114">
        <v>50055</v>
      </c>
      <c r="H29" s="114">
        <v>78402</v>
      </c>
      <c r="I29" s="114">
        <v>40233</v>
      </c>
      <c r="J29" s="114">
        <v>51906</v>
      </c>
      <c r="K29" s="114">
        <v>80070</v>
      </c>
      <c r="L29" s="114"/>
      <c r="M29" s="114"/>
    </row>
    <row ht="15" r="30" spans="1:13" x14ac:dyDescent="0.25">
      <c r="A30" s="114"/>
      <c r="B30" s="114">
        <v>86203</v>
      </c>
      <c r="C30" s="114">
        <v>39304</v>
      </c>
      <c r="D30" s="114">
        <v>47303</v>
      </c>
      <c r="E30" s="114">
        <v>78640</v>
      </c>
      <c r="F30" s="114">
        <v>80518</v>
      </c>
      <c r="G30" s="114">
        <v>78792</v>
      </c>
      <c r="H30" s="114">
        <v>38473</v>
      </c>
      <c r="I30" s="114">
        <v>48535</v>
      </c>
      <c r="J30" s="114">
        <v>76795</v>
      </c>
      <c r="K30" s="114">
        <v>79269</v>
      </c>
      <c r="L30" s="114"/>
      <c r="M30" s="114"/>
    </row>
    <row ht="15" r="31" spans="1:13" x14ac:dyDescent="0.25">
      <c r="A31" s="114"/>
      <c r="B31" s="114">
        <v>81562</v>
      </c>
      <c r="C31" s="114">
        <v>-10687</v>
      </c>
      <c r="D31" s="114">
        <v>-12428</v>
      </c>
      <c r="E31" s="114">
        <v>-22011</v>
      </c>
      <c r="F31" s="114">
        <v>-25142</v>
      </c>
      <c r="G31" s="114">
        <v>-27769</v>
      </c>
      <c r="H31" s="114">
        <v>-7149</v>
      </c>
      <c r="I31" s="114">
        <v>-19612</v>
      </c>
      <c r="J31" s="114">
        <v>5217</v>
      </c>
      <c r="K31" s="114">
        <v>-855</v>
      </c>
      <c r="L31" s="114"/>
      <c r="M31" s="114"/>
    </row>
    <row ht="15" r="32" spans="1:13" x14ac:dyDescent="0.25">
      <c r="A32" s="114"/>
      <c r="B32" s="114">
        <v>-5190</v>
      </c>
      <c r="C32" s="114">
        <v>-881</v>
      </c>
      <c r="D32" s="114">
        <v>-2438</v>
      </c>
      <c r="E32" s="114">
        <v>6994</v>
      </c>
      <c r="F32" s="114">
        <v>-816</v>
      </c>
      <c r="G32" s="114">
        <v>17402</v>
      </c>
      <c r="H32" s="114">
        <v>-3465</v>
      </c>
      <c r="I32" s="114">
        <v>-5172</v>
      </c>
      <c r="J32" s="114">
        <v>-9186</v>
      </c>
      <c r="K32" s="114">
        <v>-9460</v>
      </c>
      <c r="L32" s="114"/>
      <c r="M32" s="114"/>
    </row>
    <row ht="15" r="33" spans="1:13" x14ac:dyDescent="0.25">
      <c r="A33" s="114"/>
      <c r="B33" s="114">
        <v>-11020</v>
      </c>
      <c r="C33" s="114">
        <v>-3198</v>
      </c>
      <c r="D33" s="114">
        <v>-8052</v>
      </c>
      <c r="E33" s="114">
        <v>13465</v>
      </c>
      <c r="F33" s="114">
        <v>-28695</v>
      </c>
      <c r="G33" s="114">
        <v>43303</v>
      </c>
      <c r="H33" s="114">
        <v>25675</v>
      </c>
      <c r="I33" s="114">
        <v>25830</v>
      </c>
      <c r="J33" s="114">
        <v>44308</v>
      </c>
      <c r="K33" s="114">
        <v>45894</v>
      </c>
      <c r="L33" s="114"/>
      <c r="M33" s="114"/>
    </row>
    <row ht="15" r="34" spans="1:13" x14ac:dyDescent="0.25">
      <c r="A34" s="114"/>
      <c r="B34" s="114">
        <v>49923</v>
      </c>
      <c r="C34" s="114">
        <v>43688</v>
      </c>
      <c r="D34" s="114">
        <v>-16759</v>
      </c>
      <c r="E34" s="114">
        <v>-4230</v>
      </c>
      <c r="F34" s="114">
        <v>-499</v>
      </c>
      <c r="G34" s="114">
        <v>29805</v>
      </c>
      <c r="H34" s="114">
        <v>17995</v>
      </c>
      <c r="I34" s="114">
        <v>17743</v>
      </c>
      <c r="J34" s="114">
        <v>29492</v>
      </c>
      <c r="K34" s="114">
        <v>29365</v>
      </c>
      <c r="L34" s="114"/>
      <c r="M34" s="114"/>
    </row>
    <row ht="15" r="35" spans="1:13" x14ac:dyDescent="0.25">
      <c r="A35" s="114"/>
      <c r="B35" s="114">
        <v>31224</v>
      </c>
      <c r="C35" s="114">
        <v>27823</v>
      </c>
      <c r="D35" s="114">
        <v>-7690</v>
      </c>
      <c r="E35" s="114">
        <v>-8792</v>
      </c>
      <c r="F35" s="114">
        <v>-2780</v>
      </c>
      <c r="G35" s="114">
        <v>24041</v>
      </c>
      <c r="H35" s="114">
        <v>86803</v>
      </c>
      <c r="I35" s="114">
        <v>36799</v>
      </c>
      <c r="J35" s="114">
        <v>43218</v>
      </c>
      <c r="K35" s="114">
        <v>74652</v>
      </c>
      <c r="L35" s="114"/>
      <c r="M35" s="114"/>
    </row>
    <row ht="15" r="36" spans="1:13" x14ac:dyDescent="0.25">
      <c r="A36" s="114"/>
      <c r="B36" s="114">
        <v>76036</v>
      </c>
      <c r="C36" s="114">
        <v>90725</v>
      </c>
      <c r="D36" s="114">
        <v>80084</v>
      </c>
      <c r="E36" s="114">
        <v>-8039</v>
      </c>
      <c r="F36" s="114">
        <v>337</v>
      </c>
      <c r="G36" s="114">
        <v>556</v>
      </c>
      <c r="H36" s="114">
        <v>41609</v>
      </c>
      <c r="I36" s="114">
        <v>21501</v>
      </c>
      <c r="J36" s="114">
        <v>-3417</v>
      </c>
      <c r="K36" s="114">
        <v>-2006</v>
      </c>
      <c r="L36" s="114"/>
      <c r="M36" s="114"/>
    </row>
    <row ht="15" r="37" spans="1:13" x14ac:dyDescent="0.25">
      <c r="A37" s="114"/>
      <c r="B37" s="114">
        <v>-49316</v>
      </c>
      <c r="C37" s="114">
        <v>-4243</v>
      </c>
      <c r="D37" s="114">
        <v>-4283</v>
      </c>
      <c r="E37" s="114">
        <v>-2910</v>
      </c>
      <c r="F37" s="114">
        <v>-3600</v>
      </c>
      <c r="G37" s="114">
        <v>3865</v>
      </c>
      <c r="H37" s="114">
        <v>2999</v>
      </c>
      <c r="I37" s="114">
        <v>646</v>
      </c>
      <c r="J37" s="114">
        <v>-1157</v>
      </c>
      <c r="K37" s="114">
        <v>1306</v>
      </c>
      <c r="L37" s="114"/>
      <c r="M37" s="114"/>
    </row>
    <row ht="15" r="38" spans="1:13" x14ac:dyDescent="0.25">
      <c r="A38" s="114"/>
      <c r="B38" s="114">
        <v>-2466</v>
      </c>
      <c r="C38" s="114">
        <v>29962</v>
      </c>
      <c r="D38" s="114">
        <v>25644</v>
      </c>
      <c r="E38" s="114">
        <v>43317</v>
      </c>
      <c r="F38" s="114">
        <v>51763</v>
      </c>
      <c r="G38" s="114">
        <v>56487</v>
      </c>
      <c r="H38" s="114">
        <v>27407</v>
      </c>
      <c r="I38" s="114">
        <v>43273</v>
      </c>
      <c r="J38" s="114">
        <v>-51756</v>
      </c>
      <c r="K38" s="114">
        <v>-24163</v>
      </c>
      <c r="L38" s="114"/>
      <c r="M38" s="114"/>
    </row>
    <row ht="15" r="39" spans="1:13" x14ac:dyDescent="0.25">
      <c r="A39" s="114"/>
      <c r="B39" s="114">
        <v>-21289</v>
      </c>
      <c r="C39" s="114">
        <v>23591</v>
      </c>
      <c r="D39" s="114">
        <v>10081</v>
      </c>
      <c r="E39" s="114">
        <v>10876</v>
      </c>
      <c r="F39" s="114">
        <v>-6802</v>
      </c>
      <c r="G39" s="114"/>
      <c r="H39" s="114"/>
      <c r="I39" s="114"/>
      <c r="J39" s="114"/>
      <c r="K39" s="114"/>
      <c r="L39" s="114"/>
      <c r="M39" s="114"/>
    </row>
    <row ht="15" r="40" spans="1:13" x14ac:dyDescent="0.25">
      <c r="A40" s="114"/>
      <c r="B40" s="114"/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</row>
  </sheetData>
  <pageMargins bottom="0.75" footer="0.3" header="0.3" left="0.7" right="0.7" top="0.75"/>
</worksheet>
</file>

<file path=xl/worksheets/sheet1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D398"/>
  <sheetViews>
    <sheetView topLeftCell="A133" workbookViewId="0" zoomScaleNormal="100">
      <selection activeCell="I158" sqref="I158"/>
    </sheetView>
  </sheetViews>
  <sheetFormatPr defaultRowHeight="15" x14ac:dyDescent="0.25"/>
  <cols>
    <col min="1" max="2" style="114" width="9.0" collapsed="true"/>
    <col min="3" max="3" bestFit="true" customWidth="true" style="114" width="12.375" collapsed="true"/>
    <col min="4" max="4" customWidth="true" style="114" width="10.375" collapsed="true"/>
    <col min="5" max="5" bestFit="true" customWidth="true" style="114" width="9.25" collapsed="true"/>
    <col min="6" max="6" bestFit="true" customWidth="true" style="114" width="10.125" collapsed="true"/>
    <col min="7" max="7" customWidth="true" style="114" width="9.0" collapsed="true"/>
    <col min="8" max="8" bestFit="true" customWidth="true" style="114" width="9.25" collapsed="true"/>
    <col min="9" max="9" customWidth="true" style="114" width="12.625" collapsed="true"/>
    <col min="10" max="10" customWidth="true" style="114" width="9.0" collapsed="true"/>
    <col min="11" max="12" customWidth="true" style="114" width="12.5" collapsed="true"/>
    <col min="13" max="13" customWidth="true" style="114" width="12.75" collapsed="true"/>
    <col min="14" max="14" customWidth="true" style="114" width="11.5" collapsed="true"/>
    <col min="15" max="16" customWidth="true" style="114" width="9.0" collapsed="true"/>
    <col min="17" max="17" customWidth="true" style="114" width="10.75" collapsed="true"/>
    <col min="18" max="20" style="114" width="9.0" collapsed="true"/>
    <col min="21" max="21" customWidth="true" style="114" width="8.25" collapsed="true"/>
    <col min="22" max="23" style="114" width="9.0" collapsed="true"/>
    <col min="24" max="25" bestFit="true" customWidth="true" style="114" width="12.5" collapsed="true"/>
    <col min="26" max="28" style="114" width="9.0" collapsed="true"/>
    <col min="29" max="30" bestFit="true" customWidth="true" style="114" width="13.5" collapsed="true"/>
    <col min="31" max="16384" style="114" width="9.0" collapsed="true"/>
  </cols>
  <sheetData>
    <row r="1" spans="2:30" x14ac:dyDescent="0.25">
      <c r="M1"/>
      <c r="P1" s="127" t="s">
        <v>3898</v>
      </c>
      <c r="V1" s="127" t="s">
        <v>3898</v>
      </c>
      <c r="AA1" s="127" t="s">
        <v>3960</v>
      </c>
    </row>
    <row r="2" spans="2:30" x14ac:dyDescent="0.25">
      <c r="B2" s="127" t="s">
        <v>1026</v>
      </c>
      <c r="G2" s="209" t="s">
        <v>1026</v>
      </c>
      <c r="H2" s="210" t="s">
        <v>1067</v>
      </c>
      <c r="I2" s="266">
        <v>0</v>
      </c>
      <c r="J2" s="211"/>
      <c r="K2" s="211"/>
      <c r="L2" s="211"/>
      <c r="M2" s="212"/>
      <c r="N2" s="211"/>
      <c r="Q2" s="113" t="s">
        <v>3907</v>
      </c>
      <c r="X2" s="161" t="s">
        <v>1033</v>
      </c>
      <c r="Y2" s="161" t="s">
        <v>1034</v>
      </c>
      <c r="AC2" s="161" t="s">
        <v>1033</v>
      </c>
      <c r="AD2" s="161" t="s">
        <v>1034</v>
      </c>
    </row>
    <row ht="15.75" r="3" spans="2:30" thickBot="1" x14ac:dyDescent="0.3">
      <c r="B3" s="123"/>
      <c r="C3" s="123"/>
      <c r="D3" s="123"/>
      <c r="E3" s="123"/>
      <c r="F3" s="122"/>
      <c r="G3" s="213" t="s">
        <v>1035</v>
      </c>
      <c r="H3" s="214"/>
      <c r="I3" s="214"/>
      <c r="J3" s="215"/>
      <c r="K3" s="214"/>
      <c r="L3" s="214"/>
      <c r="M3" s="214"/>
      <c r="N3" s="214"/>
      <c r="P3" s="114">
        <v>1</v>
      </c>
      <c r="Q3" s="114" t="s">
        <v>3913</v>
      </c>
      <c r="V3" s="136">
        <f>DayPatternCoefficients!A11</f>
        <v>100</v>
      </c>
      <c r="W3" s="136" t="str">
        <f>DayPatternCoefficients!B11</f>
        <v>W-TASC</v>
      </c>
      <c r="X3" s="137">
        <f>DayPatternCoefficients!D11</f>
        <v>4.2457928319700002</v>
      </c>
      <c r="Y3" s="163">
        <f ref="Y3:Y29" si="0" t="shared">_xlfn.IFNA(VLOOKUP(V3,$L$63:$N$111,3,FALSE),_xlfn.IFNA(VLOOKUP(V3,$G$5:$K$11,5,FALSE),_xlfn.IFNA(VLOOKUP(V3,$G$19:$K$25,5,FALSE),X3)))</f>
        <v>4.2457928319700002</v>
      </c>
      <c r="AA3" s="143">
        <v>1</v>
      </c>
      <c r="AB3" s="143" t="s">
        <v>1041</v>
      </c>
      <c r="AC3" s="150">
        <f>WorkbasedSubtourGenerationCoeff!E11</f>
        <v>-1.391183801545</v>
      </c>
      <c r="AD3" s="162">
        <f ref="AD3:AD9" si="1" t="shared">K143</f>
        <v>-1.391183801545</v>
      </c>
    </row>
    <row r="4" spans="2:30" x14ac:dyDescent="0.25">
      <c r="B4" s="119" t="str">
        <f>Summary!A32</f>
        <v>Purpose</v>
      </c>
      <c r="C4" s="155" t="str">
        <f>Summary!B32</f>
        <v>ExpandSurv</v>
      </c>
      <c r="D4" s="155" t="str">
        <f>Summary!C32</f>
        <v>SynthPop</v>
      </c>
      <c r="E4" s="155" t="s">
        <v>1027</v>
      </c>
      <c r="F4" s="129" t="s">
        <v>1067</v>
      </c>
      <c r="G4" s="217" t="s">
        <v>1021</v>
      </c>
      <c r="H4" s="216" t="s">
        <v>317</v>
      </c>
      <c r="I4" s="217" t="s">
        <v>1028</v>
      </c>
      <c r="J4" s="216" t="s">
        <v>1029</v>
      </c>
      <c r="K4" s="165" t="s">
        <v>1030</v>
      </c>
      <c r="L4" s="217" t="s">
        <v>3894</v>
      </c>
      <c r="M4" s="217" t="s">
        <v>3893</v>
      </c>
      <c r="N4" s="216" t="s">
        <v>320</v>
      </c>
      <c r="P4" s="114">
        <v>2</v>
      </c>
      <c r="Q4" s="114" t="s">
        <v>3910</v>
      </c>
      <c r="V4" s="136">
        <f>DayPatternCoefficients!A12</f>
        <v>101</v>
      </c>
      <c r="W4" s="136" t="str">
        <f>DayPatternCoefficients!B12</f>
        <v>W-SASC</v>
      </c>
      <c r="X4" s="137">
        <f>DayPatternCoefficients!D12</f>
        <v>-0.64303764799999996</v>
      </c>
      <c r="Y4" s="163">
        <f si="0" t="shared"/>
        <v>-0.64303764799999996</v>
      </c>
      <c r="AA4" s="143">
        <v>3</v>
      </c>
      <c r="AB4" s="143" t="s">
        <v>1042</v>
      </c>
      <c r="AC4" s="150">
        <f>WorkbasedSubtourGenerationCoeff!E12</f>
        <v>-1.5751269665259999</v>
      </c>
      <c r="AD4" s="162">
        <f si="1" t="shared"/>
        <v>-1.5751269665259999</v>
      </c>
    </row>
    <row r="5" spans="2:30" x14ac:dyDescent="0.25">
      <c r="B5" s="114" t="str">
        <f>Summary!A33</f>
        <v>work</v>
      </c>
      <c r="C5" s="124">
        <f>ToursByTourPurpose!F74</f>
        <v>1727558.9532551463</v>
      </c>
      <c r="D5" s="124">
        <f>ToursByTourPurpose!R74</f>
        <v>1698798.1711542676</v>
      </c>
      <c r="E5" s="117">
        <f>C5/D5</f>
        <v>1.0169300759732611</v>
      </c>
      <c r="F5" s="122">
        <f>$I$2</f>
        <v>0</v>
      </c>
      <c r="G5" s="218">
        <v>100</v>
      </c>
      <c r="H5" s="219" t="s">
        <v>321</v>
      </c>
      <c r="I5" s="219">
        <f ref="I5:I11" si="2" t="shared">VLOOKUP(G5,$V$3:$X$352,3,FALSE)</f>
        <v>4.2457928319700002</v>
      </c>
      <c r="J5" s="220">
        <f>$F5*LN(E5)</f>
        <v>0</v>
      </c>
      <c r="K5" s="168">
        <f>I5+J5</f>
        <v>4.2457928319700002</v>
      </c>
      <c r="L5" s="221">
        <f ref="L5:L11" si="3" t="shared">VLOOKUP(G5,$V$3:$Y$352,4,FALSE)</f>
        <v>4.2457928319700002</v>
      </c>
      <c r="M5" s="211">
        <f>IF(K5=L5,0,1)</f>
        <v>0</v>
      </c>
      <c r="N5" s="211" t="str">
        <f>VLOOKUP(G5,CoeffDef_DayPattern!$A$1:$F$363,5,FALSE)</f>
        <v xml:space="preserve">workTourConstant                                                                 </v>
      </c>
      <c r="P5" s="114">
        <v>3</v>
      </c>
      <c r="Q5" s="114" t="s">
        <v>3911</v>
      </c>
      <c r="V5" s="136">
        <f>DayPatternCoefficients!A13</f>
        <v>102</v>
      </c>
      <c r="W5" s="136" t="str">
        <f>DayPatternCoefficients!B13</f>
        <v>W-PTW</v>
      </c>
      <c r="X5" s="137">
        <f>DayPatternCoefficients!D13</f>
        <v>-3.9741736793400002</v>
      </c>
      <c r="Y5" s="163">
        <f si="0" t="shared"/>
        <v>-4.0478116758415057</v>
      </c>
      <c r="AA5" s="143">
        <v>4</v>
      </c>
      <c r="AB5" s="143" t="s">
        <v>1043</v>
      </c>
      <c r="AC5" s="150">
        <f>WorkbasedSubtourGenerationCoeff!E13</f>
        <v>-3.4954013260769998</v>
      </c>
      <c r="AD5" s="162">
        <f si="1" t="shared"/>
        <v>-3.4954013260769998</v>
      </c>
    </row>
    <row r="6" spans="2:30" x14ac:dyDescent="0.25">
      <c r="B6" s="114" t="str">
        <f>Summary!A34</f>
        <v>school</v>
      </c>
      <c r="C6" s="124">
        <f>ToursByTourPurpose!F75</f>
        <v>805076.52504882286</v>
      </c>
      <c r="D6" s="124">
        <f>ToursByTourPurpose!R75</f>
        <v>758979.43622317514</v>
      </c>
      <c r="E6" s="117">
        <f ref="E6:E13" si="4" t="shared">C6/D6</f>
        <v>1.060735622897816</v>
      </c>
      <c r="F6" s="122">
        <v>0</v>
      </c>
      <c r="G6" s="218">
        <v>200</v>
      </c>
      <c r="H6" s="219" t="s">
        <v>373</v>
      </c>
      <c r="I6" s="219">
        <f si="2" t="shared"/>
        <v>4.0808114470000003</v>
      </c>
      <c r="J6" s="220">
        <f ref="J6:J11" si="5" t="shared">$F6*LN(E6)</f>
        <v>0</v>
      </c>
      <c r="K6" s="168">
        <f ref="K6:K11" si="6" t="shared">I6+J6</f>
        <v>4.0808114470000003</v>
      </c>
      <c r="L6" s="221">
        <f si="3" t="shared"/>
        <v>4.0808114470000003</v>
      </c>
      <c r="M6" s="211">
        <f ref="M6:M11" si="7" t="shared">IF(K6=L6,0,1)</f>
        <v>0</v>
      </c>
      <c r="N6" s="211" t="str">
        <f>VLOOKUP(G6,CoeffDef_DayPattern!$A$1:$F$363,5,FALSE)</f>
        <v xml:space="preserve">schoolTourConstant                                                                   </v>
      </c>
      <c r="P6" s="114">
        <v>4</v>
      </c>
      <c r="Q6" s="114" t="s">
        <v>3906</v>
      </c>
      <c r="V6" s="136">
        <f>DayPatternCoefficients!A14</f>
        <v>105</v>
      </c>
      <c r="W6" s="136" t="str">
        <f>DayPatternCoefficients!B14</f>
        <v>W-UNI</v>
      </c>
      <c r="X6" s="137">
        <f>DayPatternCoefficients!D14</f>
        <v>3.0966581205899999</v>
      </c>
      <c r="Y6" s="163">
        <f si="0" t="shared"/>
        <v>3.0966581205899999</v>
      </c>
      <c r="AA6" s="143">
        <v>6</v>
      </c>
      <c r="AB6" s="143" t="s">
        <v>1044</v>
      </c>
      <c r="AC6" s="150">
        <f>WorkbasedSubtourGenerationCoeff!E14</f>
        <v>-2.541930043087</v>
      </c>
      <c r="AD6" s="162">
        <f si="1" t="shared"/>
        <v>-2.541930043087</v>
      </c>
    </row>
    <row r="7" spans="2:30" x14ac:dyDescent="0.25">
      <c r="B7" s="114" t="str">
        <f>Summary!A35</f>
        <v>escort</v>
      </c>
      <c r="C7" s="124">
        <f>ToursByTourPurpose!F76</f>
        <v>648797.01309756911</v>
      </c>
      <c r="D7" s="124">
        <f>ToursByTourPurpose!R76</f>
        <v>646418.59635461937</v>
      </c>
      <c r="E7" s="117">
        <f si="4" t="shared"/>
        <v>1.003679375495016</v>
      </c>
      <c r="F7" s="122">
        <f ref="F7:F11" si="8" t="shared">$I$2</f>
        <v>0</v>
      </c>
      <c r="G7" s="218">
        <v>300</v>
      </c>
      <c r="H7" s="219" t="s">
        <v>429</v>
      </c>
      <c r="I7" s="219">
        <f si="2" t="shared"/>
        <v>-2.5198779602000001</v>
      </c>
      <c r="J7" s="220">
        <f si="5" t="shared"/>
        <v>0</v>
      </c>
      <c r="K7" s="168">
        <f si="6" t="shared"/>
        <v>-2.5198779602000001</v>
      </c>
      <c r="L7" s="221">
        <f si="3" t="shared"/>
        <v>-2.5198779602000001</v>
      </c>
      <c r="M7" s="211">
        <f si="7" t="shared"/>
        <v>0</v>
      </c>
      <c r="N7" s="211" t="str">
        <f>VLOOKUP(G7,CoeffDef_DayPattern!$A$1:$F$363,5,FALSE)</f>
        <v xml:space="preserve">escortTourConstant                                                                   </v>
      </c>
      <c r="P7" s="114">
        <v>5</v>
      </c>
      <c r="Q7" s="114" t="s">
        <v>3912</v>
      </c>
      <c r="V7" s="136">
        <f>DayPatternCoefficients!A15</f>
        <v>106</v>
      </c>
      <c r="W7" s="136" t="str">
        <f>DayPatternCoefficients!B15</f>
        <v>W-DAS</v>
      </c>
      <c r="X7" s="137">
        <f>DayPatternCoefficients!D15</f>
        <v>-5.0288855916699999</v>
      </c>
      <c r="Y7" s="163">
        <f si="0" t="shared"/>
        <v>-5.0288855916699999</v>
      </c>
      <c r="AA7" s="143">
        <v>8</v>
      </c>
      <c r="AB7" s="143" t="s">
        <v>1045</v>
      </c>
      <c r="AC7" s="150">
        <f>WorkbasedSubtourGenerationCoeff!E15</f>
        <v>-3.0508954731109998</v>
      </c>
      <c r="AD7" s="162">
        <f si="1" t="shared"/>
        <v>-3.0508954731109998</v>
      </c>
    </row>
    <row r="8" spans="2:30" x14ac:dyDescent="0.25">
      <c r="B8" s="114" t="str">
        <f>Summary!A36</f>
        <v>pers.bus</v>
      </c>
      <c r="C8" s="124">
        <f>ToursByTourPurpose!F77</f>
        <v>718143.10522838181</v>
      </c>
      <c r="D8" s="124">
        <f>ToursByTourPurpose!R77</f>
        <v>705724.11873675662</v>
      </c>
      <c r="E8" s="117">
        <f si="4" t="shared"/>
        <v>1.0175975089442248</v>
      </c>
      <c r="F8" s="122">
        <f si="8" t="shared"/>
        <v>0</v>
      </c>
      <c r="G8" s="218">
        <v>400</v>
      </c>
      <c r="H8" s="219" t="s">
        <v>488</v>
      </c>
      <c r="I8" s="219">
        <f si="2" t="shared"/>
        <v>-1.4753141472</v>
      </c>
      <c r="J8" s="220">
        <f si="5" t="shared"/>
        <v>0</v>
      </c>
      <c r="K8" s="168">
        <f si="6" t="shared"/>
        <v>-1.4753141472</v>
      </c>
      <c r="L8" s="221">
        <f si="3" t="shared"/>
        <v>-1.4753141472</v>
      </c>
      <c r="M8" s="211">
        <f si="7" t="shared"/>
        <v>0</v>
      </c>
      <c r="N8" s="211" t="str">
        <f>VLOOKUP(G8,CoeffDef_DayPattern!$A$1:$F$363,5,FALSE)</f>
        <v xml:space="preserve">personalBusinessTourConstant                                                                  </v>
      </c>
      <c r="V8" s="154">
        <f>DayPatternCoefficients!A16</f>
        <v>109</v>
      </c>
      <c r="W8" s="154" t="str">
        <f>DayPatternCoefficients!B16</f>
        <v>W-VLINC</v>
      </c>
      <c r="X8" s="149">
        <f>DayPatternCoefficients!D16</f>
        <v>-0.35</v>
      </c>
      <c r="Y8" s="163">
        <f si="0" t="shared"/>
        <v>-0.35</v>
      </c>
      <c r="AA8" s="143">
        <v>10</v>
      </c>
      <c r="AB8" s="143" t="s">
        <v>1046</v>
      </c>
      <c r="AC8" s="150">
        <f>WorkbasedSubtourGenerationCoeff!E16</f>
        <v>-1.1916103537930001</v>
      </c>
      <c r="AD8" s="162">
        <f si="1" t="shared"/>
        <v>-1.1916103537930001</v>
      </c>
    </row>
    <row r="9" spans="2:30" x14ac:dyDescent="0.25">
      <c r="B9" s="114" t="str">
        <f>Summary!A37</f>
        <v>shop</v>
      </c>
      <c r="C9" s="124">
        <f>ToursByTourPurpose!F78</f>
        <v>702437.81530738831</v>
      </c>
      <c r="D9" s="124">
        <f>ToursByTourPurpose!R78</f>
        <v>695125.47002696665</v>
      </c>
      <c r="E9" s="117">
        <f si="4" t="shared"/>
        <v>1.0105194610120356</v>
      </c>
      <c r="F9" s="122">
        <f si="8" t="shared"/>
        <v>0</v>
      </c>
      <c r="G9" s="218">
        <v>500</v>
      </c>
      <c r="H9" s="219" t="s">
        <v>547</v>
      </c>
      <c r="I9" s="219">
        <f si="2" t="shared"/>
        <v>-1.6177638526</v>
      </c>
      <c r="J9" s="220">
        <f si="5" t="shared"/>
        <v>0</v>
      </c>
      <c r="K9" s="168">
        <f si="6" t="shared"/>
        <v>-1.6177638526</v>
      </c>
      <c r="L9" s="221">
        <f si="3" t="shared"/>
        <v>-1.6177638526</v>
      </c>
      <c r="M9" s="211">
        <f si="7" t="shared"/>
        <v>0</v>
      </c>
      <c r="N9" s="211" t="str">
        <f>VLOOKUP(G9,CoeffDef_DayPattern!$A$1:$F$363,5,FALSE)</f>
        <v xml:space="preserve">shopTourConstant                                                                   </v>
      </c>
      <c r="Q9" s="127" t="s">
        <v>3902</v>
      </c>
      <c r="V9" s="154">
        <f>DayPatternCoefficients!A17</f>
        <v>110</v>
      </c>
      <c r="W9" s="154" t="str">
        <f>DayPatternCoefficients!B17</f>
        <v>W-LOINC</v>
      </c>
      <c r="X9" s="149">
        <f>DayPatternCoefficients!D17</f>
        <v>0.11671617156</v>
      </c>
      <c r="Y9" s="163">
        <f si="0" t="shared"/>
        <v>0.11671617156</v>
      </c>
      <c r="AA9" s="143">
        <v>13</v>
      </c>
      <c r="AB9" s="143" t="s">
        <v>1047</v>
      </c>
      <c r="AC9" s="150">
        <f>WorkbasedSubtourGenerationCoeff!E17</f>
        <v>-2.2830182078669998</v>
      </c>
      <c r="AD9" s="162">
        <f si="1" t="shared"/>
        <v>-2.2830182078669998</v>
      </c>
    </row>
    <row r="10" spans="2:30" x14ac:dyDescent="0.25">
      <c r="B10" s="114" t="str">
        <f>Summary!A38</f>
        <v>meal</v>
      </c>
      <c r="C10" s="124">
        <f>ToursByTourPurpose!F79</f>
        <v>225250.543726851</v>
      </c>
      <c r="D10" s="124">
        <f>ToursByTourPurpose!R79</f>
        <v>230536.79262984623</v>
      </c>
      <c r="E10" s="117">
        <f si="4" t="shared"/>
        <v>0.97706982541618459</v>
      </c>
      <c r="F10" s="122">
        <f si="8" t="shared"/>
        <v>0</v>
      </c>
      <c r="G10" s="218">
        <v>600</v>
      </c>
      <c r="H10" s="219" t="s">
        <v>606</v>
      </c>
      <c r="I10" s="219">
        <f si="2" t="shared"/>
        <v>-2.6825795620799999</v>
      </c>
      <c r="J10" s="220">
        <f si="5" t="shared"/>
        <v>0</v>
      </c>
      <c r="K10" s="168">
        <f si="6" t="shared"/>
        <v>-2.6825795620799999</v>
      </c>
      <c r="L10" s="221">
        <f si="3" t="shared"/>
        <v>-2.6825795620799999</v>
      </c>
      <c r="M10" s="211">
        <f si="7" t="shared"/>
        <v>0</v>
      </c>
      <c r="N10" s="211" t="str">
        <f>VLOOKUP(G10,CoeffDef_DayPattern!$A$1:$F$363,5,FALSE)</f>
        <v xml:space="preserve">mealTourConstant                                                                 </v>
      </c>
      <c r="P10" s="114">
        <v>1</v>
      </c>
      <c r="Q10" s="114" t="s">
        <v>3913</v>
      </c>
      <c r="V10" s="154">
        <f>DayPatternCoefficients!A18</f>
        <v>111</v>
      </c>
      <c r="W10" s="154" t="str">
        <f>DayPatternCoefficients!B18</f>
        <v>W-HIINC</v>
      </c>
      <c r="X10" s="149">
        <f>DayPatternCoefficients!D18</f>
        <v>0</v>
      </c>
      <c r="Y10" s="163">
        <f si="0" t="shared"/>
        <v>0</v>
      </c>
      <c r="AA10" s="114">
        <v>15</v>
      </c>
      <c r="AB10" s="114" t="s">
        <v>1048</v>
      </c>
      <c r="AC10" s="148">
        <f>WorkbasedSubtourGenerationCoeff!E18</f>
        <v>1.1065849107500001</v>
      </c>
      <c r="AD10" s="162">
        <f>AC10</f>
        <v>1.1065849107500001</v>
      </c>
    </row>
    <row ht="15.75" r="11" spans="2:30" thickBot="1" x14ac:dyDescent="0.3">
      <c r="B11" s="114" t="str">
        <f>Summary!A39</f>
        <v>soc/rec</v>
      </c>
      <c r="C11" s="124">
        <f>ToursByTourPurpose!F80</f>
        <v>1090010.6006267432</v>
      </c>
      <c r="D11" s="124">
        <f>ToursByTourPurpose!R80</f>
        <v>1090065.3365628871</v>
      </c>
      <c r="E11" s="117">
        <f si="4" t="shared"/>
        <v>0.99994978655470645</v>
      </c>
      <c r="F11" s="122">
        <f si="8" t="shared"/>
        <v>0</v>
      </c>
      <c r="G11" s="222">
        <v>700</v>
      </c>
      <c r="H11" s="223" t="s">
        <v>665</v>
      </c>
      <c r="I11" s="223">
        <f si="2" t="shared"/>
        <v>-1.6172265851700001</v>
      </c>
      <c r="J11" s="224">
        <f si="5" t="shared"/>
        <v>0</v>
      </c>
      <c r="K11" s="169">
        <f si="6" t="shared"/>
        <v>-1.6172265851700001</v>
      </c>
      <c r="L11" s="225">
        <f si="3" t="shared"/>
        <v>-1.6172265851700001</v>
      </c>
      <c r="M11" s="214">
        <f si="7" t="shared"/>
        <v>0</v>
      </c>
      <c r="N11" s="214" t="str">
        <f>VLOOKUP(G11,CoeffDef_DayPattern!$A$1:$F$363,5,FALSE)</f>
        <v xml:space="preserve">socialOrRecreationTourConstant                                                                       </v>
      </c>
      <c r="P11" s="114">
        <v>2</v>
      </c>
      <c r="Q11" s="114" t="s">
        <v>3916</v>
      </c>
      <c r="V11" s="154">
        <f>DayPatternCoefficients!A19</f>
        <v>112</v>
      </c>
      <c r="W11" s="154" t="str">
        <f>DayPatternCoefficients!B19</f>
        <v>W-CARSPD</v>
      </c>
      <c r="X11" s="149">
        <f>DayPatternCoefficients!D19</f>
        <v>8.7571558660000007E-2</v>
      </c>
      <c r="Y11" s="163">
        <f si="0" t="shared"/>
        <v>8.7571558660000007E-2</v>
      </c>
      <c r="AA11" s="114">
        <v>16</v>
      </c>
      <c r="AB11" s="114" t="s">
        <v>1049</v>
      </c>
      <c r="AC11" s="148">
        <f>WorkbasedSubtourGenerationCoeff!E19</f>
        <v>0.44851324548400001</v>
      </c>
      <c r="AD11" s="162">
        <f ref="AD11:AD17" si="9" t="shared">AC11</f>
        <v>0.44851324548400001</v>
      </c>
    </row>
    <row r="12" spans="2:30" x14ac:dyDescent="0.25">
      <c r="B12" s="120" t="str">
        <f>Summary!A40</f>
        <v>workbased</v>
      </c>
      <c r="C12" s="140">
        <f>ToursByTourPurpose!F81</f>
        <v>184043.16539742419</v>
      </c>
      <c r="D12" s="140">
        <f>ToursByTourPurpose!R81</f>
        <v>188723.06423389641</v>
      </c>
      <c r="E12" s="121">
        <f si="4" t="shared"/>
        <v>0.9752022951965631</v>
      </c>
      <c r="F12" s="122"/>
      <c r="G12" s="122"/>
      <c r="H12" s="122"/>
      <c r="I12" s="122"/>
      <c r="J12" s="122"/>
      <c r="K12" s="122"/>
      <c r="M12" s="118">
        <f>SUM(M5:M11)</f>
        <v>0</v>
      </c>
      <c r="P12" s="114">
        <v>3</v>
      </c>
      <c r="Q12" s="114" t="s">
        <v>3903</v>
      </c>
      <c r="V12" s="154">
        <f>DayPatternCoefficients!A20</f>
        <v>113</v>
      </c>
      <c r="W12" s="154" t="str">
        <f>DayPatternCoefficients!B20</f>
        <v>W-ONLYAD</v>
      </c>
      <c r="X12" s="149">
        <f>DayPatternCoefficients!D20</f>
        <v>0</v>
      </c>
      <c r="Y12" s="163">
        <f si="0" t="shared"/>
        <v>0</v>
      </c>
      <c r="AA12" s="114">
        <v>18</v>
      </c>
      <c r="AB12" s="114" t="s">
        <v>1050</v>
      </c>
      <c r="AC12" s="148">
        <f>WorkbasedSubtourGenerationCoeff!E20</f>
        <v>0.58898952347099998</v>
      </c>
      <c r="AD12" s="162">
        <f si="9" t="shared"/>
        <v>0.58898952347099998</v>
      </c>
    </row>
    <row ht="15.75" r="13" spans="2:30" thickBot="1" x14ac:dyDescent="0.3">
      <c r="B13" s="123" t="str">
        <f>Summary!A41</f>
        <v>Total</v>
      </c>
      <c r="C13" s="138">
        <f>SUM(C5:C12)</f>
        <v>6101317.7216883274</v>
      </c>
      <c r="D13" s="138">
        <f>SUM(D5:D12)</f>
        <v>6014370.9859224148</v>
      </c>
      <c r="E13" s="139">
        <f si="4" t="shared"/>
        <v>1.0144564969419787</v>
      </c>
      <c r="F13" s="190"/>
      <c r="G13" s="122"/>
      <c r="H13" s="122"/>
      <c r="I13" s="122"/>
      <c r="J13" s="122"/>
      <c r="K13" s="122"/>
      <c r="P13" s="114">
        <v>4</v>
      </c>
      <c r="Q13" s="114" t="s">
        <v>3900</v>
      </c>
      <c r="V13" s="154">
        <f>DayPatternCoefficients!A21</f>
        <v>114</v>
      </c>
      <c r="W13" s="154" t="str">
        <f>DayPatternCoefficients!B21</f>
        <v>W-ONLYWK</v>
      </c>
      <c r="X13" s="149">
        <f>DayPatternCoefficients!D21</f>
        <v>0</v>
      </c>
      <c r="Y13" s="163">
        <f si="0" t="shared"/>
        <v>0</v>
      </c>
      <c r="AA13" s="114">
        <v>22</v>
      </c>
      <c r="AB13" s="114" t="s">
        <v>1051</v>
      </c>
      <c r="AC13" s="148">
        <f>WorkbasedSubtourGenerationCoeff!E21</f>
        <v>-0.41156432825900002</v>
      </c>
      <c r="AD13" s="162">
        <f si="9" t="shared"/>
        <v>-0.41156432825900002</v>
      </c>
    </row>
    <row r="14" spans="2:30" x14ac:dyDescent="0.25">
      <c r="F14" s="122"/>
      <c r="P14" s="114">
        <v>5</v>
      </c>
      <c r="Q14" s="114" t="s">
        <v>3904</v>
      </c>
      <c r="V14" s="154">
        <f>DayPatternCoefficients!A22</f>
        <v>116</v>
      </c>
      <c r="W14" s="154" t="str">
        <f>DayPatternCoefficients!B22</f>
        <v>W-FEMNOC</v>
      </c>
      <c r="X14" s="149">
        <f>DayPatternCoefficients!D22</f>
        <v>0</v>
      </c>
      <c r="Y14" s="163">
        <f si="0" t="shared"/>
        <v>0</v>
      </c>
      <c r="AA14" s="114">
        <v>23</v>
      </c>
      <c r="AB14" s="114" t="s">
        <v>1052</v>
      </c>
      <c r="AC14" s="148">
        <f>WorkbasedSubtourGenerationCoeff!E22</f>
        <v>-0.11610512890999999</v>
      </c>
      <c r="AD14" s="162">
        <f si="9" t="shared"/>
        <v>-0.11610512890999999</v>
      </c>
    </row>
    <row r="15" spans="2:30" x14ac:dyDescent="0.25">
      <c r="F15" s="122"/>
      <c r="P15" s="114">
        <v>6</v>
      </c>
      <c r="Q15" s="114" t="s">
        <v>3905</v>
      </c>
      <c r="V15" s="154">
        <f>DayPatternCoefficients!A23</f>
        <v>117</v>
      </c>
      <c r="W15" s="154" t="str">
        <f>DayPatternCoefficients!B23</f>
        <v>W-FADCU5</v>
      </c>
      <c r="X15" s="149">
        <f>DayPatternCoefficients!D23</f>
        <v>-0.4326665079</v>
      </c>
      <c r="Y15" s="163">
        <f si="0" t="shared"/>
        <v>-0.4326665079</v>
      </c>
      <c r="AA15" s="114">
        <v>32</v>
      </c>
      <c r="AB15" s="114" t="s">
        <v>1053</v>
      </c>
      <c r="AC15" s="148">
        <f>WorkbasedSubtourGenerationCoeff!E23</f>
        <v>-1.7161872753999999E-2</v>
      </c>
      <c r="AD15" s="162">
        <f si="9" t="shared"/>
        <v>-1.7161872753999999E-2</v>
      </c>
    </row>
    <row r="16" spans="2:30" x14ac:dyDescent="0.25">
      <c r="B16" s="127" t="s">
        <v>3931</v>
      </c>
      <c r="F16" s="122"/>
      <c r="G16" s="209" t="s">
        <v>3930</v>
      </c>
      <c r="H16" s="210" t="s">
        <v>1067</v>
      </c>
      <c r="I16" s="266">
        <v>0</v>
      </c>
      <c r="J16" s="211"/>
      <c r="K16" s="211"/>
      <c r="L16" s="211"/>
      <c r="M16" s="211"/>
      <c r="N16" s="211"/>
      <c r="P16" s="114">
        <v>7</v>
      </c>
      <c r="Q16" s="114" t="s">
        <v>3906</v>
      </c>
      <c r="V16" s="154">
        <f>DayPatternCoefficients!A24</f>
        <v>118</v>
      </c>
      <c r="W16" s="154" t="str">
        <f>DayPatternCoefficients!B24</f>
        <v>W-FAD515</v>
      </c>
      <c r="X16" s="149">
        <f>DayPatternCoefficients!D24</f>
        <v>-0.18505114189999999</v>
      </c>
      <c r="Y16" s="163">
        <f si="0" t="shared"/>
        <v>-0.18505114189999999</v>
      </c>
      <c r="AA16" s="114">
        <v>39</v>
      </c>
      <c r="AB16" s="114" t="s">
        <v>1054</v>
      </c>
      <c r="AC16" s="148">
        <f>WorkbasedSubtourGenerationCoeff!E24</f>
        <v>6.8050871158000001E-2</v>
      </c>
      <c r="AD16" s="162">
        <f si="9" t="shared"/>
        <v>6.8050871158000001E-2</v>
      </c>
    </row>
    <row ht="15.75" r="17" spans="1:30" thickBot="1" x14ac:dyDescent="0.3">
      <c r="B17" s="123"/>
      <c r="C17" s="123"/>
      <c r="D17" s="123"/>
      <c r="E17" s="123"/>
      <c r="F17" s="122"/>
      <c r="G17" s="213" t="s">
        <v>1035</v>
      </c>
      <c r="H17" s="214"/>
      <c r="I17" s="214"/>
      <c r="J17" s="214"/>
      <c r="K17" s="214"/>
      <c r="L17" s="214"/>
      <c r="M17" s="214"/>
      <c r="N17" s="214"/>
      <c r="P17" s="114">
        <v>8</v>
      </c>
      <c r="Q17" s="114" t="s">
        <v>3901</v>
      </c>
      <c r="V17" s="154">
        <f>DayPatternCoefficients!A25</f>
        <v>119</v>
      </c>
      <c r="W17" s="154" t="str">
        <f>DayPatternCoefficients!B25</f>
        <v>W-MADCU5</v>
      </c>
      <c r="X17" s="149">
        <f>DayPatternCoefficients!D25</f>
        <v>0</v>
      </c>
      <c r="Y17" s="163">
        <f si="0" t="shared"/>
        <v>0</v>
      </c>
      <c r="AA17" s="114">
        <v>50</v>
      </c>
      <c r="AB17" s="114" t="s">
        <v>1055</v>
      </c>
      <c r="AC17" s="148">
        <f>WorkbasedSubtourGenerationCoeff!E25</f>
        <v>1.27201347144</v>
      </c>
      <c r="AD17" s="162">
        <f si="9" t="shared"/>
        <v>1.27201347144</v>
      </c>
    </row>
    <row r="18" spans="1:30" x14ac:dyDescent="0.25">
      <c r="B18" s="119" t="str">
        <f>B4</f>
        <v>Purpose</v>
      </c>
      <c r="C18" s="155" t="str">
        <f ref="C18:E18" si="10" t="shared">C4</f>
        <v>ExpandSurv</v>
      </c>
      <c r="D18" s="155" t="str">
        <f si="10" t="shared"/>
        <v>SynthPop</v>
      </c>
      <c r="E18" s="155" t="str">
        <f si="10" t="shared"/>
        <v>Ratio</v>
      </c>
      <c r="F18" s="129" t="s">
        <v>1067</v>
      </c>
      <c r="G18" s="217" t="s">
        <v>1021</v>
      </c>
      <c r="H18" s="216" t="s">
        <v>317</v>
      </c>
      <c r="I18" s="217" t="s">
        <v>1028</v>
      </c>
      <c r="J18" s="216" t="s">
        <v>1029</v>
      </c>
      <c r="K18" s="164" t="s">
        <v>1030</v>
      </c>
      <c r="L18" s="217" t="s">
        <v>3894</v>
      </c>
      <c r="M18" s="217" t="s">
        <v>3893</v>
      </c>
      <c r="N18" s="216" t="s">
        <v>320</v>
      </c>
      <c r="V18" s="154">
        <f>DayPatternCoefficients!A26</f>
        <v>120</v>
      </c>
      <c r="W18" s="154" t="str">
        <f>DayPatternCoefficients!B26</f>
        <v>W-MAD515</v>
      </c>
      <c r="X18" s="149">
        <f>DayPatternCoefficients!D26</f>
        <v>0</v>
      </c>
      <c r="Y18" s="163">
        <f si="0" t="shared"/>
        <v>0</v>
      </c>
    </row>
    <row r="19" spans="1:30" x14ac:dyDescent="0.25">
      <c r="A19" s="114">
        <v>1</v>
      </c>
      <c r="B19" s="114" t="str">
        <f>B5</f>
        <v>work</v>
      </c>
      <c r="C19" s="124">
        <f>VLOOKUP(A19,input_stops!$A$1:$B$19,2,FALSE)</f>
        <v>352289.522596</v>
      </c>
      <c r="D19" s="124">
        <f>VLOOKUP(A19,input_stops!$A$76:$B$94,2,FALSE)</f>
        <v>355526.701894</v>
      </c>
      <c r="E19" s="117">
        <f>C19/D19</f>
        <v>0.99089469432041377</v>
      </c>
      <c r="F19" s="117">
        <v>0</v>
      </c>
      <c r="G19" s="218">
        <v>101</v>
      </c>
      <c r="H19" s="219" t="s">
        <v>324</v>
      </c>
      <c r="I19" s="219">
        <f ref="I19:I25" si="11" t="shared">VLOOKUP(G19,$V$3:$X$352,3,FALSE)</f>
        <v>-0.64303764799999996</v>
      </c>
      <c r="J19" s="226">
        <f>$F19*LN(E19)</f>
        <v>0</v>
      </c>
      <c r="K19" s="168">
        <f>I19+J19</f>
        <v>-0.64303764799999996</v>
      </c>
      <c r="L19" s="221">
        <f ref="L19:L25" si="12" t="shared">VLOOKUP(G19,$V$3:$Y$352,4,FALSE)</f>
        <v>-0.64303764799999996</v>
      </c>
      <c r="M19" s="211">
        <f ref="M19:M25" si="13" t="shared">IF(K19=L19,0,1)</f>
        <v>0</v>
      </c>
      <c r="N19" s="211" t="str">
        <f>VLOOKUP(G19,CoeffDef_DayPattern!$A$1:$F$363,5,FALSE)</f>
        <v xml:space="preserve">workStopConstant                                                                 </v>
      </c>
      <c r="P19" s="127" t="s">
        <v>3960</v>
      </c>
      <c r="V19" s="154">
        <f>DayPatternCoefficients!A27</f>
        <v>121</v>
      </c>
      <c r="W19" s="154" t="str">
        <f>DayPatternCoefficients!B27</f>
        <v>W-AG1825</v>
      </c>
      <c r="X19" s="149">
        <f>DayPatternCoefficients!D27</f>
        <v>0</v>
      </c>
      <c r="Y19" s="163">
        <f si="0" t="shared"/>
        <v>0</v>
      </c>
    </row>
    <row r="20" spans="1:30" x14ac:dyDescent="0.25">
      <c r="A20" s="114">
        <v>2</v>
      </c>
      <c r="B20" s="114" t="str">
        <f ref="B20:B27" si="14" t="shared">B6</f>
        <v>school</v>
      </c>
      <c r="C20" s="124">
        <f>VLOOKUP(A20,input_stops!$A$1:$B$19,2,FALSE)</f>
        <v>66529.8065394</v>
      </c>
      <c r="D20" s="124">
        <f>VLOOKUP(A20,input_stops!$A$76:$B$94,2,FALSE)</f>
        <v>57828.318804499999</v>
      </c>
      <c r="E20" s="117">
        <f ref="E20:E27" si="15" t="shared">C20/D20</f>
        <v>1.1504710480053395</v>
      </c>
      <c r="F20" s="117">
        <v>0</v>
      </c>
      <c r="G20" s="218">
        <v>201</v>
      </c>
      <c r="H20" s="219" t="s">
        <v>375</v>
      </c>
      <c r="I20" s="219">
        <f si="11" t="shared"/>
        <v>-0.51494818921999996</v>
      </c>
      <c r="J20" s="227">
        <f ref="J20:J25" si="16" t="shared">$F20*LN(E20)</f>
        <v>0</v>
      </c>
      <c r="K20" s="168">
        <f ref="K20:K25" si="17" t="shared">I20+J20</f>
        <v>-0.51494818921999996</v>
      </c>
      <c r="L20" s="221">
        <f si="12" t="shared"/>
        <v>-0.51494818921999996</v>
      </c>
      <c r="M20" s="211">
        <f si="13" t="shared"/>
        <v>0</v>
      </c>
      <c r="N20" s="211" t="str">
        <f>VLOOKUP(G20,CoeffDef_DayPattern!$A$1:$F$363,5,FALSE)</f>
        <v xml:space="preserve">schoolStopConstant                                                                   </v>
      </c>
      <c r="P20" s="114">
        <v>1</v>
      </c>
      <c r="Q20" s="114" t="s">
        <v>1066</v>
      </c>
      <c r="V20" s="154">
        <f>DayPatternCoefficients!A28</f>
        <v>122</v>
      </c>
      <c r="W20" s="154" t="str">
        <f>DayPatternCoefficients!B28</f>
        <v>W-AG2635</v>
      </c>
      <c r="X20" s="149">
        <f>DayPatternCoefficients!D28</f>
        <v>0</v>
      </c>
      <c r="Y20" s="163">
        <f si="0" t="shared"/>
        <v>0</v>
      </c>
    </row>
    <row r="21" spans="1:30" x14ac:dyDescent="0.25">
      <c r="A21" s="114">
        <v>3</v>
      </c>
      <c r="B21" s="114" t="str">
        <f si="14" t="shared"/>
        <v>escort</v>
      </c>
      <c r="C21" s="124">
        <f>VLOOKUP(A21,input_stops!$A$1:$B$19,2,FALSE)</f>
        <v>587916.81215000001</v>
      </c>
      <c r="D21" s="124">
        <f>VLOOKUP(A21,input_stops!$A$76:$B$94,2,FALSE)</f>
        <v>576032.95765600004</v>
      </c>
      <c r="E21" s="117">
        <f si="15" t="shared"/>
        <v>1.0206305113901084</v>
      </c>
      <c r="F21" s="117">
        <v>0</v>
      </c>
      <c r="G21" s="218">
        <v>301</v>
      </c>
      <c r="H21" s="219" t="s">
        <v>431</v>
      </c>
      <c r="I21" s="219">
        <f si="11" t="shared"/>
        <v>-2.254036964</v>
      </c>
      <c r="J21" s="227">
        <f si="16" t="shared"/>
        <v>0</v>
      </c>
      <c r="K21" s="168">
        <f si="17" t="shared"/>
        <v>-2.254036964</v>
      </c>
      <c r="L21" s="221">
        <f si="12" t="shared"/>
        <v>-2.254036964</v>
      </c>
      <c r="M21" s="211">
        <f si="13" t="shared"/>
        <v>0</v>
      </c>
      <c r="N21" s="211" t="str">
        <f>VLOOKUP(G21,CoeffDef_DayPattern!$A$1:$F$363,5,FALSE)</f>
        <v xml:space="preserve">escortStopConstant                                                                   </v>
      </c>
      <c r="P21" s="114">
        <v>2</v>
      </c>
      <c r="Q21" s="114" t="s">
        <v>3914</v>
      </c>
      <c r="V21" s="154">
        <f>DayPatternCoefficients!A29</f>
        <v>123</v>
      </c>
      <c r="W21" s="154" t="str">
        <f>DayPatternCoefficients!B29</f>
        <v>W-AG5165</v>
      </c>
      <c r="X21" s="149">
        <f>DayPatternCoefficients!D29</f>
        <v>0</v>
      </c>
      <c r="Y21" s="163">
        <f si="0" t="shared"/>
        <v>0</v>
      </c>
    </row>
    <row r="22" spans="1:30" x14ac:dyDescent="0.25">
      <c r="A22" s="114">
        <v>4</v>
      </c>
      <c r="B22" s="114" t="str">
        <f si="14" t="shared"/>
        <v>pers.bus</v>
      </c>
      <c r="C22" s="124">
        <f>VLOOKUP(A22,input_stops!$A$1:$B$19,2,FALSE)</f>
        <v>1103281.0514100001</v>
      </c>
      <c r="D22" s="124">
        <f>VLOOKUP(A22,input_stops!$A$76:$B$94,2,FALSE)</f>
        <v>1106007.0663900001</v>
      </c>
      <c r="E22" s="117">
        <f si="15" t="shared"/>
        <v>0.99753526440938789</v>
      </c>
      <c r="F22" s="117">
        <f ref="F22:F25" si="18" t="shared">$I$16</f>
        <v>0</v>
      </c>
      <c r="G22" s="218">
        <v>401</v>
      </c>
      <c r="H22" s="219" t="s">
        <v>490</v>
      </c>
      <c r="I22" s="219">
        <f si="11" t="shared"/>
        <v>0.36734048200000002</v>
      </c>
      <c r="J22" s="227">
        <f si="16" t="shared"/>
        <v>0</v>
      </c>
      <c r="K22" s="168">
        <f si="17" t="shared"/>
        <v>0.36734048200000002</v>
      </c>
      <c r="L22" s="221">
        <f si="12" t="shared"/>
        <v>0.36734048200000002</v>
      </c>
      <c r="M22" s="211">
        <f si="13" t="shared"/>
        <v>0</v>
      </c>
      <c r="N22" s="211" t="str">
        <f>VLOOKUP(G22,CoeffDef_DayPattern!$A$1:$F$363,5,FALSE)</f>
        <v xml:space="preserve">personalBusinessStopConstant                                                                  </v>
      </c>
      <c r="P22" s="114">
        <v>3</v>
      </c>
      <c r="Q22" s="114" t="s">
        <v>3915</v>
      </c>
      <c r="V22" s="154">
        <f>DayPatternCoefficients!A30</f>
        <v>124</v>
      </c>
      <c r="W22" s="154" t="str">
        <f>DayPatternCoefficients!B30</f>
        <v>W-WAHOME</v>
      </c>
      <c r="X22" s="149">
        <f>DayPatternCoefficients!D30</f>
        <v>-5</v>
      </c>
      <c r="Y22" s="163">
        <f si="0" t="shared"/>
        <v>-5</v>
      </c>
    </row>
    <row r="23" spans="1:30" x14ac:dyDescent="0.25">
      <c r="A23" s="114">
        <v>5</v>
      </c>
      <c r="B23" s="114" t="str">
        <f si="14" t="shared"/>
        <v>shop</v>
      </c>
      <c r="C23" s="124">
        <f>VLOOKUP(A23,input_stops!$A$1:$B$19,2,FALSE)</f>
        <v>1316083.58406</v>
      </c>
      <c r="D23" s="124">
        <f>VLOOKUP(A23,input_stops!$A$76:$B$94,2,FALSE)</f>
        <v>1314597.20108</v>
      </c>
      <c r="E23" s="117">
        <f si="15" t="shared"/>
        <v>1.0011306756006926</v>
      </c>
      <c r="F23" s="117">
        <f si="18" t="shared"/>
        <v>0</v>
      </c>
      <c r="G23" s="218">
        <v>501</v>
      </c>
      <c r="H23" s="219" t="s">
        <v>549</v>
      </c>
      <c r="I23" s="219">
        <f si="11" t="shared"/>
        <v>1.2508733869999999</v>
      </c>
      <c r="J23" s="227">
        <f si="16" t="shared"/>
        <v>0</v>
      </c>
      <c r="K23" s="168">
        <f si="17" t="shared"/>
        <v>1.2508733869999999</v>
      </c>
      <c r="L23" s="221">
        <f si="12" t="shared"/>
        <v>1.2508733869999999</v>
      </c>
      <c r="M23" s="211">
        <f si="13" t="shared"/>
        <v>0</v>
      </c>
      <c r="N23" s="211" t="str">
        <f>VLOOKUP(G23,CoeffDef_DayPattern!$A$1:$F$363,5,FALSE)</f>
        <v xml:space="preserve">shopStopConstant                                                                   </v>
      </c>
      <c r="P23" s="114">
        <v>4</v>
      </c>
      <c r="Q23" s="114" t="s">
        <v>3917</v>
      </c>
      <c r="V23" s="154">
        <f>DayPatternCoefficients!A31</f>
        <v>125</v>
      </c>
      <c r="W23" s="154" t="str">
        <f>DayPatternCoefficients!B31</f>
        <v>W-MIXDEN</v>
      </c>
      <c r="X23" s="149">
        <f>DayPatternCoefficients!D31</f>
        <v>0</v>
      </c>
      <c r="Y23" s="163">
        <f si="0" t="shared"/>
        <v>0</v>
      </c>
    </row>
    <row r="24" spans="1:30" x14ac:dyDescent="0.25">
      <c r="A24" s="114">
        <v>6</v>
      </c>
      <c r="B24" s="114" t="str">
        <f si="14" t="shared"/>
        <v>meal</v>
      </c>
      <c r="C24" s="124">
        <f>VLOOKUP(A24,input_stops!$A$1:$B$19,2,FALSE)</f>
        <v>519416.79047299997</v>
      </c>
      <c r="D24" s="124">
        <f>VLOOKUP(A24,input_stops!$A$76:$B$94,2,FALSE)</f>
        <v>518990.383875</v>
      </c>
      <c r="E24" s="117">
        <f si="15" t="shared"/>
        <v>1.000821607897272</v>
      </c>
      <c r="F24" s="117">
        <v>0</v>
      </c>
      <c r="G24" s="218">
        <v>601</v>
      </c>
      <c r="H24" s="219" t="s">
        <v>608</v>
      </c>
      <c r="I24" s="219">
        <f si="11" t="shared"/>
        <v>-0.26033909199999999</v>
      </c>
      <c r="J24" s="227">
        <f si="16" t="shared"/>
        <v>0</v>
      </c>
      <c r="K24" s="168">
        <f si="17" t="shared"/>
        <v>-0.26033909199999999</v>
      </c>
      <c r="L24" s="221">
        <f si="12" t="shared"/>
        <v>-0.26033909199999999</v>
      </c>
      <c r="M24" s="211">
        <f si="13" t="shared"/>
        <v>0</v>
      </c>
      <c r="N24" s="211" t="str">
        <f>VLOOKUP(G24,CoeffDef_DayPattern!$A$1:$F$363,5,FALSE)</f>
        <v xml:space="preserve">mealStopConstant                                                                 </v>
      </c>
      <c r="P24" s="114">
        <v>5</v>
      </c>
      <c r="Q24" s="114" t="s">
        <v>3918</v>
      </c>
      <c r="V24" s="154">
        <f>DayPatternCoefficients!A32</f>
        <v>126</v>
      </c>
      <c r="W24" s="154" t="str">
        <f>DayPatternCoefficients!B32</f>
        <v>W-INTDEN</v>
      </c>
      <c r="X24" s="149">
        <f>DayPatternCoefficients!D32</f>
        <v>0</v>
      </c>
      <c r="Y24" s="163">
        <f si="0" t="shared"/>
        <v>0</v>
      </c>
    </row>
    <row ht="15.75" r="25" spans="1:30" thickBot="1" x14ac:dyDescent="0.3">
      <c r="A25" s="114">
        <v>7</v>
      </c>
      <c r="B25" s="114" t="str">
        <f si="14" t="shared"/>
        <v>soc/rec</v>
      </c>
      <c r="C25" s="124">
        <f>VLOOKUP(A25,input_stops!$A$1:$B$19,2,FALSE)</f>
        <v>601291.02230900002</v>
      </c>
      <c r="D25" s="124">
        <f>VLOOKUP(A25,input_stops!$A$76:$B$94,2,FALSE)</f>
        <v>598101.99901699997</v>
      </c>
      <c r="E25" s="117">
        <f si="15" t="shared"/>
        <v>1.00533190542289</v>
      </c>
      <c r="F25" s="117">
        <f si="18" t="shared"/>
        <v>0</v>
      </c>
      <c r="G25" s="222">
        <v>701</v>
      </c>
      <c r="H25" s="223" t="s">
        <v>667</v>
      </c>
      <c r="I25" s="223">
        <f si="11" t="shared"/>
        <v>-3.79081965E-3</v>
      </c>
      <c r="J25" s="224">
        <f si="16" t="shared"/>
        <v>0</v>
      </c>
      <c r="K25" s="169">
        <f si="17" t="shared"/>
        <v>-3.79081965E-3</v>
      </c>
      <c r="L25" s="225">
        <f si="12" t="shared"/>
        <v>-3.79081965E-3</v>
      </c>
      <c r="M25" s="214">
        <f si="13" t="shared"/>
        <v>0</v>
      </c>
      <c r="N25" s="214" t="str">
        <f>VLOOKUP(G25,CoeffDef_DayPattern!$A$1:$F$363,5,FALSE)</f>
        <v xml:space="preserve">socialOrRecreationStopConstant                                                                       </v>
      </c>
      <c r="V25" s="154">
        <f>DayPatternCoefficients!A33</f>
        <v>127</v>
      </c>
      <c r="W25" s="154" t="str">
        <f>DayPatternCoefficients!B33</f>
        <v>W-ACCLOG</v>
      </c>
      <c r="X25" s="149">
        <f>DayPatternCoefficients!D33</f>
        <v>0.20857402136</v>
      </c>
      <c r="Y25" s="163">
        <f si="0" t="shared"/>
        <v>0.20857402136</v>
      </c>
    </row>
    <row r="26" spans="1:30" x14ac:dyDescent="0.25">
      <c r="A26" s="114">
        <v>10</v>
      </c>
      <c r="B26" s="120" t="s">
        <v>3947</v>
      </c>
      <c r="C26" s="140">
        <f>VLOOKUP(A26,input_stops!$A$1:$B$19,2,FALSE)</f>
        <v>93191.210673499998</v>
      </c>
      <c r="D26" s="140">
        <f>VLOOKUP(A26,input_stops!$A$76:$B$94,2,FALSE)</f>
        <v>73447.996100000004</v>
      </c>
      <c r="E26" s="121">
        <f si="15" t="shared"/>
        <v>1.2688053537447019</v>
      </c>
      <c r="F26" s="117"/>
      <c r="G26" s="130"/>
      <c r="H26" s="130"/>
      <c r="M26" s="118">
        <f>SUM(M19:M25)</f>
        <v>0</v>
      </c>
      <c r="V26" s="154">
        <f>DayPatternCoefficients!A34</f>
        <v>128</v>
      </c>
      <c r="W26" s="154" t="str">
        <f>DayPatternCoefficients!B34</f>
        <v>W-T-LOGS</v>
      </c>
      <c r="X26" s="149">
        <f>DayPatternCoefficients!D34</f>
        <v>0.10871281166000001</v>
      </c>
      <c r="Y26" s="163">
        <f si="0" t="shared"/>
        <v>0.10871281166000001</v>
      </c>
    </row>
    <row ht="15.75" r="27" spans="1:30" thickBot="1" x14ac:dyDescent="0.3">
      <c r="B27" s="123" t="str">
        <f si="14" t="shared"/>
        <v>Total</v>
      </c>
      <c r="C27" s="138">
        <f>SUM(C19:C25)</f>
        <v>4546808.5895373998</v>
      </c>
      <c r="D27" s="138">
        <f>SUM(D19:D25)</f>
        <v>4527084.6287164995</v>
      </c>
      <c r="E27" s="139">
        <f si="15" t="shared"/>
        <v>1.0043568791923583</v>
      </c>
      <c r="F27" s="117"/>
      <c r="G27" s="122"/>
      <c r="H27" s="122"/>
      <c r="Q27" s="127" t="s">
        <v>3895</v>
      </c>
      <c r="V27" s="154">
        <f>DayPatternCoefficients!A35</f>
        <v>129</v>
      </c>
      <c r="W27" s="154" t="str">
        <f>DayPatternCoefficients!B35</f>
        <v>W-S-LOGS</v>
      </c>
      <c r="X27" s="149">
        <f>DayPatternCoefficients!D35</f>
        <v>0</v>
      </c>
      <c r="Y27" s="163">
        <f si="0" t="shared"/>
        <v>0</v>
      </c>
    </row>
    <row r="28" spans="1:30" x14ac:dyDescent="0.25">
      <c r="B28" s="114" t="s">
        <v>3948</v>
      </c>
      <c r="C28" s="195">
        <f>C13*2+C27</f>
        <v>16749444.032914054</v>
      </c>
      <c r="D28" s="195">
        <f>D13*2+D27</f>
        <v>16555826.600561328</v>
      </c>
      <c r="Q28" s="114" t="s">
        <v>3896</v>
      </c>
      <c r="V28" s="136">
        <f>DayPatternCoefficients!A36</f>
        <v>151</v>
      </c>
      <c r="W28" s="136" t="str">
        <f>DayPatternCoefficients!B36</f>
        <v>W-FTW</v>
      </c>
      <c r="X28" s="137">
        <f>DayPatternCoefficients!D36</f>
        <v>-0.17081745740000001</v>
      </c>
      <c r="Y28" s="163">
        <f si="0" t="shared"/>
        <v>-0.179010454212368</v>
      </c>
    </row>
    <row r="29" spans="1:30" x14ac:dyDescent="0.25">
      <c r="Q29" s="114" t="s">
        <v>3897</v>
      </c>
      <c r="V29" s="136">
        <f>DayPatternCoefficients!A37</f>
        <v>200</v>
      </c>
      <c r="W29" s="136" t="str">
        <f>DayPatternCoefficients!B37</f>
        <v>S-TASC</v>
      </c>
      <c r="X29" s="137">
        <f>DayPatternCoefficients!D37</f>
        <v>4.0808114470000003</v>
      </c>
      <c r="Y29" s="163">
        <f si="0" t="shared"/>
        <v>4.0808114470000003</v>
      </c>
    </row>
    <row r="30" spans="1:30" x14ac:dyDescent="0.25">
      <c r="B30" s="127" t="s">
        <v>3932</v>
      </c>
      <c r="F30" s="122" t="s">
        <v>3949</v>
      </c>
      <c r="I30" s="127" t="s">
        <v>3930</v>
      </c>
      <c r="J30" s="161" t="s">
        <v>1067</v>
      </c>
      <c r="K30" s="266">
        <v>0</v>
      </c>
      <c r="V30" s="136">
        <f>DayPatternCoefficients!A38</f>
        <v>201</v>
      </c>
      <c r="W30" s="136" t="str">
        <f>DayPatternCoefficients!B38</f>
        <v>S-SASC</v>
      </c>
      <c r="X30" s="137">
        <f>DayPatternCoefficients!D38</f>
        <v>-0.51494818921999996</v>
      </c>
      <c r="Y30" s="163">
        <f ref="Y30:Y67" si="19" t="shared">_xlfn.IFNA(VLOOKUP(V30,$L$63:$N$111,3,FALSE),_xlfn.IFNA(VLOOKUP(V30,$G$5:$K$11,5,FALSE),_xlfn.IFNA(VLOOKUP(V30,$G$19:$K$25,5,FALSE),X30)))</f>
        <v>-0.51494818921999996</v>
      </c>
    </row>
    <row ht="15.75" r="31" spans="1:30" thickBot="1" x14ac:dyDescent="0.3">
      <c r="B31" s="123"/>
      <c r="C31" s="123"/>
      <c r="D31" s="123"/>
      <c r="E31" s="123"/>
      <c r="F31" s="123"/>
      <c r="G31" s="123"/>
      <c r="I31" s="142" t="s">
        <v>1035</v>
      </c>
      <c r="J31" s="123"/>
      <c r="K31" s="123"/>
      <c r="L31" s="123"/>
      <c r="M31" s="123"/>
      <c r="N31" s="123"/>
      <c r="O31" s="123"/>
      <c r="V31" s="136">
        <f>DayPatternCoefficients!A39</f>
        <v>205</v>
      </c>
      <c r="W31" s="136" t="str">
        <f>DayPatternCoefficients!B39</f>
        <v>S-UNI</v>
      </c>
      <c r="X31" s="137">
        <f>DayPatternCoefficients!D39</f>
        <v>-1.62899807559</v>
      </c>
      <c r="Y31" s="163">
        <f si="19" t="shared"/>
        <v>-1.62899807559</v>
      </c>
    </row>
    <row r="32" spans="1:30" x14ac:dyDescent="0.25">
      <c r="B32" s="119" t="str">
        <f>B18</f>
        <v>Purpose</v>
      </c>
      <c r="C32" s="155" t="str">
        <f ref="C32:D32" si="20" t="shared">C18</f>
        <v>ExpandSurv</v>
      </c>
      <c r="D32" s="155" t="str">
        <f si="20" t="shared"/>
        <v>SynthPop</v>
      </c>
      <c r="E32" s="155" t="str">
        <f>C32</f>
        <v>ExpandSurv</v>
      </c>
      <c r="F32" s="155" t="str">
        <f>D32</f>
        <v>SynthPop</v>
      </c>
      <c r="G32" s="155" t="str">
        <f>E18</f>
        <v>Ratio</v>
      </c>
      <c r="I32" s="155" t="s">
        <v>1021</v>
      </c>
      <c r="J32" s="119" t="s">
        <v>317</v>
      </c>
      <c r="K32" s="156" t="s">
        <v>1028</v>
      </c>
      <c r="L32" s="119" t="s">
        <v>1029</v>
      </c>
      <c r="M32" s="164" t="s">
        <v>1030</v>
      </c>
      <c r="N32" s="160" t="s">
        <v>3894</v>
      </c>
      <c r="O32" s="160" t="s">
        <v>3893</v>
      </c>
      <c r="V32" s="136">
        <f>DayPatternCoefficients!A40</f>
        <v>206</v>
      </c>
      <c r="W32" s="136" t="str">
        <f>DayPatternCoefficients!B40</f>
        <v>S-DAS</v>
      </c>
      <c r="X32" s="137">
        <f>DayPatternCoefficients!D40</f>
        <v>-0.51769045321999996</v>
      </c>
      <c r="Y32" s="163">
        <f si="19" t="shared"/>
        <v>-0.51769045321999996</v>
      </c>
    </row>
    <row r="33" spans="1:25" x14ac:dyDescent="0.25">
      <c r="A33" t="s">
        <v>3935</v>
      </c>
      <c r="B33" s="114" t="str">
        <f>B19</f>
        <v>work</v>
      </c>
      <c r="C33" s="124">
        <f>VLOOKUP(A33,input_stops!$A$1:$B$19,2,FALSE)</f>
        <v>212438.16250000001</v>
      </c>
      <c r="D33" s="124">
        <f>VLOOKUP(A33,input_stops!$A$76:$B$94,2,FALSE)</f>
        <v>264617.35916599998</v>
      </c>
      <c r="E33" s="117">
        <f>C33/C$41</f>
        <v>5.7283843414884433E-2</v>
      </c>
      <c r="F33" s="117">
        <f>D33/D$41</f>
        <v>7.0706516944362752E-2</v>
      </c>
      <c r="G33" s="117">
        <f>E33/F33</f>
        <v>0.81016355903883241</v>
      </c>
      <c r="I33" s="132">
        <v>101</v>
      </c>
      <c r="J33" s="128" t="s">
        <v>324</v>
      </c>
      <c r="K33" s="137">
        <f ref="K33:K39" si="21" t="shared">VLOOKUP(I33,$V$3:$X$352,3,FALSE)</f>
        <v>-0.64303764799999996</v>
      </c>
      <c r="L33" s="134">
        <f>$I$16*LN(G33)</f>
        <v>0</v>
      </c>
      <c r="M33" s="168">
        <f>K33+L33</f>
        <v>-0.64303764799999996</v>
      </c>
      <c r="N33" s="170">
        <f ref="N33:N39" si="22" t="shared">VLOOKUP(I33,$V$3:$Y$352,4,FALSE)</f>
        <v>-0.64303764799999996</v>
      </c>
      <c r="O33" s="157">
        <f ref="O33:O39" si="23" t="shared">IF(M33=N33,0,1)</f>
        <v>0</v>
      </c>
      <c r="P33" s="114" t="str">
        <f>VLOOKUP(I33,CoeffDef_DayPattern!$A$1:$F$363,5,FALSE)</f>
        <v xml:space="preserve">workStopConstant                                                                 </v>
      </c>
      <c r="V33" s="136">
        <f>DayPatternCoefficients!A41</f>
        <v>207</v>
      </c>
      <c r="W33" s="136" t="str">
        <f>DayPatternCoefficients!B41</f>
        <v>S-PAS</v>
      </c>
      <c r="X33" s="137">
        <f>DayPatternCoefficients!D41</f>
        <v>0.17571915497000001</v>
      </c>
      <c r="Y33" s="163">
        <f si="19" t="shared"/>
        <v>0.17571915497000001</v>
      </c>
    </row>
    <row r="34" spans="1:25" x14ac:dyDescent="0.25">
      <c r="A34" t="s">
        <v>3936</v>
      </c>
      <c r="B34" s="114" t="str">
        <f ref="B34:B41" si="24" t="shared">B20</f>
        <v>school</v>
      </c>
      <c r="C34" s="124">
        <f>VLOOKUP(A34,input_stops!$A$1:$B$19,2,FALSE)</f>
        <v>43834.214599999999</v>
      </c>
      <c r="D34" s="124">
        <f>VLOOKUP(A34,input_stops!$A$76:$B$94,2,FALSE)</f>
        <v>87646.578550599996</v>
      </c>
      <c r="E34" s="117">
        <f ref="E34:E39" si="25" t="shared">C34/C$41</f>
        <v>1.1819873867346413E-2</v>
      </c>
      <c r="F34" s="117">
        <f ref="F34:F39" si="26" t="shared">D34/D$41</f>
        <v>2.3419417044048867E-2</v>
      </c>
      <c r="G34" s="117">
        <f ref="G34:G39" si="27" t="shared">E34/F34</f>
        <v>0.50470401740208881</v>
      </c>
      <c r="I34" s="132">
        <v>201</v>
      </c>
      <c r="J34" s="128" t="s">
        <v>375</v>
      </c>
      <c r="K34" s="137">
        <f si="21" t="shared"/>
        <v>-0.51494818921999996</v>
      </c>
      <c r="L34" s="134">
        <f ref="L34:L39" si="28" t="shared">$I$16*LN(G34)</f>
        <v>0</v>
      </c>
      <c r="M34" s="168">
        <f ref="M34:M39" si="29" t="shared">K34+L34</f>
        <v>-0.51494818921999996</v>
      </c>
      <c r="N34" s="170">
        <f si="22" t="shared"/>
        <v>-0.51494818921999996</v>
      </c>
      <c r="O34" s="157">
        <f si="23" t="shared"/>
        <v>0</v>
      </c>
      <c r="P34" s="114" t="str">
        <f>VLOOKUP(I34,CoeffDef_DayPattern!$A$1:$F$363,5,FALSE)</f>
        <v xml:space="preserve">schoolStopConstant                                                                   </v>
      </c>
      <c r="V34" s="136">
        <f>DayPatternCoefficients!A42</f>
        <v>208</v>
      </c>
      <c r="W34" s="136" t="str">
        <f>DayPatternCoefficients!B42</f>
        <v>S-CU5</v>
      </c>
      <c r="X34" s="137">
        <f>DayPatternCoefficients!D42</f>
        <v>4.8114723123400003</v>
      </c>
      <c r="Y34" s="163">
        <f si="19" t="shared"/>
        <v>4.8114723123400003</v>
      </c>
    </row>
    <row r="35" spans="1:25" x14ac:dyDescent="0.25">
      <c r="A35" t="s">
        <v>3937</v>
      </c>
      <c r="B35" s="114" t="str">
        <f si="24" t="shared"/>
        <v>escort</v>
      </c>
      <c r="C35" s="124">
        <f>VLOOKUP(A35,input_stops!$A$1:$B$19,2,FALSE)</f>
        <v>333406.60320000001</v>
      </c>
      <c r="D35" s="124">
        <f>VLOOKUP(A35,input_stops!$A$76:$B$94,2,FALSE)</f>
        <v>495951.74589100003</v>
      </c>
      <c r="E35" s="117">
        <f si="25" t="shared"/>
        <v>8.9902922461953166E-2</v>
      </c>
      <c r="F35" s="117">
        <f si="26" t="shared"/>
        <v>0.13251972824061786</v>
      </c>
      <c r="G35" s="117">
        <f si="27" t="shared"/>
        <v>0.67841161203345679</v>
      </c>
      <c r="I35" s="132">
        <v>301</v>
      </c>
      <c r="J35" s="128" t="s">
        <v>431</v>
      </c>
      <c r="K35" s="137">
        <f si="21" t="shared"/>
        <v>-2.254036964</v>
      </c>
      <c r="L35" s="134">
        <f si="28" t="shared"/>
        <v>0</v>
      </c>
      <c r="M35" s="168">
        <f si="29" t="shared"/>
        <v>-2.254036964</v>
      </c>
      <c r="N35" s="170">
        <f si="22" t="shared"/>
        <v>-2.254036964</v>
      </c>
      <c r="O35" s="157">
        <f si="23" t="shared"/>
        <v>0</v>
      </c>
      <c r="P35" s="114" t="str">
        <f>VLOOKUP(I35,CoeffDef_DayPattern!$A$1:$F$363,5,FALSE)</f>
        <v xml:space="preserve">escortStopConstant                                                                   </v>
      </c>
      <c r="V35" s="154">
        <f>DayPatternCoefficients!A43</f>
        <v>209</v>
      </c>
      <c r="W35" s="154" t="str">
        <f>DayPatternCoefficients!B43</f>
        <v>S-VLINC</v>
      </c>
      <c r="X35" s="149">
        <f>DayPatternCoefficients!D43</f>
        <v>0</v>
      </c>
      <c r="Y35" s="163">
        <f si="19" t="shared"/>
        <v>0</v>
      </c>
    </row>
    <row r="36" spans="1:25" x14ac:dyDescent="0.25">
      <c r="A36" t="s">
        <v>3938</v>
      </c>
      <c r="B36" s="114" t="str">
        <f si="24" t="shared"/>
        <v>pers.bus</v>
      </c>
      <c r="C36" s="124">
        <f>VLOOKUP(A36,input_stops!$A$1:$B$19,2,FALSE)</f>
        <v>661678.25730000006</v>
      </c>
      <c r="D36" s="124">
        <f>VLOOKUP(A36,input_stops!$A$76:$B$94,2,FALSE)</f>
        <v>1144137.1574599999</v>
      </c>
      <c r="E36" s="117">
        <f si="25" t="shared"/>
        <v>0.17842120848793735</v>
      </c>
      <c r="F36" s="117">
        <f si="26" t="shared"/>
        <v>0.30571672835670449</v>
      </c>
      <c r="G36" s="117">
        <f si="27" t="shared"/>
        <v>0.58361611236320332</v>
      </c>
      <c r="I36" s="132">
        <v>401</v>
      </c>
      <c r="J36" s="128" t="s">
        <v>490</v>
      </c>
      <c r="K36" s="137">
        <f si="21" t="shared"/>
        <v>0.36734048200000002</v>
      </c>
      <c r="L36" s="134">
        <f si="28" t="shared"/>
        <v>0</v>
      </c>
      <c r="M36" s="168">
        <f si="29" t="shared"/>
        <v>0.36734048200000002</v>
      </c>
      <c r="N36" s="170">
        <f si="22" t="shared"/>
        <v>0.36734048200000002</v>
      </c>
      <c r="O36" s="157">
        <f si="23" t="shared"/>
        <v>0</v>
      </c>
      <c r="P36" s="114" t="str">
        <f>VLOOKUP(I36,CoeffDef_DayPattern!$A$1:$F$363,5,FALSE)</f>
        <v xml:space="preserve">personalBusinessStopConstant                                                                  </v>
      </c>
      <c r="V36" s="154">
        <f>DayPatternCoefficients!A44</f>
        <v>210</v>
      </c>
      <c r="W36" s="154" t="str">
        <f>DayPatternCoefficients!B44</f>
        <v>S-LOINC</v>
      </c>
      <c r="X36" s="149">
        <f>DayPatternCoefficients!D44</f>
        <v>0</v>
      </c>
      <c r="Y36" s="163">
        <f si="19" t="shared"/>
        <v>0</v>
      </c>
    </row>
    <row r="37" spans="1:25" x14ac:dyDescent="0.25">
      <c r="A37" t="s">
        <v>3939</v>
      </c>
      <c r="B37" s="114" t="str">
        <f si="24" t="shared"/>
        <v>shop</v>
      </c>
      <c r="C37" s="124">
        <f>VLOOKUP(A37,input_stops!$A$1:$B$19,2,FALSE)</f>
        <v>788803.35860000004</v>
      </c>
      <c r="D37" s="124">
        <f>VLOOKUP(A37,input_stops!$A$76:$B$94,2,FALSE)</f>
        <v>1538624.2772599999</v>
      </c>
      <c r="E37" s="117">
        <f si="25" t="shared"/>
        <v>0.21270042796184199</v>
      </c>
      <c r="F37" s="117">
        <f si="26" t="shared"/>
        <v>0.41112481763845798</v>
      </c>
      <c r="G37" s="117">
        <f si="27" t="shared"/>
        <v>0.51736217040755283</v>
      </c>
      <c r="I37" s="132">
        <v>501</v>
      </c>
      <c r="J37" s="128" t="s">
        <v>549</v>
      </c>
      <c r="K37" s="137">
        <f si="21" t="shared"/>
        <v>1.2508733869999999</v>
      </c>
      <c r="L37" s="134">
        <f si="28" t="shared"/>
        <v>0</v>
      </c>
      <c r="M37" s="168">
        <f si="29" t="shared"/>
        <v>1.2508733869999999</v>
      </c>
      <c r="N37" s="170">
        <f si="22" t="shared"/>
        <v>1.2508733869999999</v>
      </c>
      <c r="O37" s="157">
        <f si="23" t="shared"/>
        <v>0</v>
      </c>
      <c r="P37" s="114" t="str">
        <f>VLOOKUP(I37,CoeffDef_DayPattern!$A$1:$F$363,5,FALSE)</f>
        <v xml:space="preserve">shopStopConstant                                                                   </v>
      </c>
      <c r="V37" s="154">
        <f>DayPatternCoefficients!A45</f>
        <v>211</v>
      </c>
      <c r="W37" s="154" t="str">
        <f>DayPatternCoefficients!B45</f>
        <v>S-HIINC</v>
      </c>
      <c r="X37" s="149">
        <f>DayPatternCoefficients!D45</f>
        <v>0</v>
      </c>
      <c r="Y37" s="163">
        <f si="19" t="shared"/>
        <v>0</v>
      </c>
    </row>
    <row r="38" spans="1:25" x14ac:dyDescent="0.25">
      <c r="A38" t="s">
        <v>3940</v>
      </c>
      <c r="B38" s="114" t="str">
        <f si="24" t="shared"/>
        <v>meal</v>
      </c>
      <c r="C38" s="124">
        <f>VLOOKUP(A38,input_stops!$A$1:$B$19,2,FALSE)</f>
        <v>422040.64309999999</v>
      </c>
      <c r="D38" s="124">
        <f>VLOOKUP(A38,input_stops!$A$76:$B$94,2,FALSE)</f>
        <v>731080.34515900002</v>
      </c>
      <c r="E38" s="117">
        <f si="25" t="shared"/>
        <v>0.1138030466350768</v>
      </c>
      <c r="F38" s="117">
        <f si="26" t="shared"/>
        <v>0.19534676400518322</v>
      </c>
      <c r="G38" s="117">
        <f si="27" t="shared"/>
        <v>0.58256939762799043</v>
      </c>
      <c r="I38" s="132">
        <v>601</v>
      </c>
      <c r="J38" s="128" t="s">
        <v>608</v>
      </c>
      <c r="K38" s="137">
        <f si="21" t="shared"/>
        <v>-0.26033909199999999</v>
      </c>
      <c r="L38" s="134">
        <f si="28" t="shared"/>
        <v>0</v>
      </c>
      <c r="M38" s="168">
        <f si="29" t="shared"/>
        <v>-0.26033909199999999</v>
      </c>
      <c r="N38" s="170">
        <f si="22" t="shared"/>
        <v>-0.26033909199999999</v>
      </c>
      <c r="O38" s="157">
        <f si="23" t="shared"/>
        <v>0</v>
      </c>
      <c r="P38" s="114" t="str">
        <f>VLOOKUP(I38,CoeffDef_DayPattern!$A$1:$F$363,5,FALSE)</f>
        <v xml:space="preserve">mealStopConstant                                                                 </v>
      </c>
      <c r="V38" s="154">
        <f>DayPatternCoefficients!A46</f>
        <v>212</v>
      </c>
      <c r="W38" s="154" t="str">
        <f>DayPatternCoefficients!B46</f>
        <v>S-CARSPD</v>
      </c>
      <c r="X38" s="149">
        <f>DayPatternCoefficients!D46</f>
        <v>-3.1057750999999999E-3</v>
      </c>
      <c r="Y38" s="163">
        <f si="19" t="shared"/>
        <v>-3.1057750999999999E-3</v>
      </c>
    </row>
    <row ht="15.75" r="39" spans="1:25" thickBot="1" x14ac:dyDescent="0.3">
      <c r="A39" t="s">
        <v>3941</v>
      </c>
      <c r="B39" s="114" t="str">
        <f si="24" t="shared"/>
        <v>soc/rec</v>
      </c>
      <c r="C39" s="124">
        <f>VLOOKUP(A39,input_stops!$A$1:$B$19,2,FALSE)</f>
        <v>398356.87479999999</v>
      </c>
      <c r="D39" s="124">
        <f>VLOOKUP(A39,input_stops!$A$76:$B$94,2,FALSE)</f>
        <v>802563.615368</v>
      </c>
      <c r="E39" s="117">
        <f si="25" t="shared"/>
        <v>0.10741673045343687</v>
      </c>
      <c r="F39" s="117">
        <f si="26" t="shared"/>
        <v>0.21444729872520676</v>
      </c>
      <c r="G39" s="117">
        <f si="27" t="shared"/>
        <v>0.50090036615980371</v>
      </c>
      <c r="I39" s="133">
        <v>701</v>
      </c>
      <c r="J39" s="131" t="s">
        <v>667</v>
      </c>
      <c r="K39" s="158">
        <f si="21" t="shared"/>
        <v>-3.79081965E-3</v>
      </c>
      <c r="L39" s="135">
        <f si="28" t="shared"/>
        <v>0</v>
      </c>
      <c r="M39" s="169">
        <f si="29" t="shared"/>
        <v>-3.79081965E-3</v>
      </c>
      <c r="N39" s="171">
        <f si="22" t="shared"/>
        <v>-3.79081965E-3</v>
      </c>
      <c r="O39" s="159">
        <f si="23" t="shared"/>
        <v>0</v>
      </c>
      <c r="P39" s="114" t="str">
        <f>VLOOKUP(I39,CoeffDef_DayPattern!$A$1:$F$363,5,FALSE)</f>
        <v xml:space="preserve">socialOrRecreationStopConstant                                                                       </v>
      </c>
      <c r="V39" s="154">
        <f>DayPatternCoefficients!A47</f>
        <v>213</v>
      </c>
      <c r="W39" s="154" t="str">
        <f>DayPatternCoefficients!B47</f>
        <v>S-ONLYAD</v>
      </c>
      <c r="X39" s="149">
        <f>DayPatternCoefficients!D47</f>
        <v>0</v>
      </c>
      <c r="Y39" s="163">
        <f si="19" t="shared"/>
        <v>0</v>
      </c>
    </row>
    <row r="40" spans="1:25" x14ac:dyDescent="0.25">
      <c r="B40" s="120"/>
      <c r="C40" s="141" t="s">
        <v>1031</v>
      </c>
      <c r="D40" s="141" t="s">
        <v>1031</v>
      </c>
      <c r="E40" s="141" t="s">
        <v>1031</v>
      </c>
      <c r="F40" s="121"/>
      <c r="G40" s="141" t="s">
        <v>1031</v>
      </c>
      <c r="I40" s="130"/>
      <c r="J40" s="130"/>
      <c r="O40" s="118">
        <f>SUM(O33:O39)</f>
        <v>0</v>
      </c>
      <c r="V40" s="154">
        <f>DayPatternCoefficients!A48</f>
        <v>214</v>
      </c>
      <c r="W40" s="154" t="str">
        <f>DayPatternCoefficients!B48</f>
        <v>S-ONLYWK</v>
      </c>
      <c r="X40" s="149">
        <f>DayPatternCoefficients!D48</f>
        <v>0</v>
      </c>
      <c r="Y40" s="163">
        <f si="19" t="shared"/>
        <v>0</v>
      </c>
    </row>
    <row ht="15.75" r="41" spans="1:25" thickBot="1" x14ac:dyDescent="0.3">
      <c r="A41" t="s">
        <v>3942</v>
      </c>
      <c r="B41" s="123" t="str">
        <f si="24" t="shared"/>
        <v>Total</v>
      </c>
      <c r="C41" s="193">
        <f>VLOOKUP(A41,input_stops!$A$1:$B$19,2,FALSE)</f>
        <v>3708517.9665999999</v>
      </c>
      <c r="D41" s="193">
        <f>VLOOKUP(A41,input_stops!$A$76:$B$94,2,FALSE)</f>
        <v>3742474.8184699998</v>
      </c>
      <c r="E41" s="194"/>
      <c r="F41" s="194"/>
      <c r="G41" s="194"/>
      <c r="H41" s="122"/>
      <c r="V41" s="154">
        <f>DayPatternCoefficients!A49</f>
        <v>216</v>
      </c>
      <c r="W41" s="154" t="str">
        <f>DayPatternCoefficients!B49</f>
        <v>S-FEMNOC</v>
      </c>
      <c r="X41" s="149">
        <f>DayPatternCoefficients!D49</f>
        <v>0</v>
      </c>
      <c r="Y41" s="163">
        <f si="19" t="shared"/>
        <v>0</v>
      </c>
    </row>
    <row r="42" spans="1:25" x14ac:dyDescent="0.25">
      <c r="V42" s="154">
        <f>DayPatternCoefficients!A50</f>
        <v>217</v>
      </c>
      <c r="W42" s="154" t="str">
        <f>DayPatternCoefficients!B50</f>
        <v>S-FADCU5</v>
      </c>
      <c r="X42" s="149">
        <f>DayPatternCoefficients!D50</f>
        <v>-0.9679499587</v>
      </c>
      <c r="Y42" s="163">
        <f si="19" t="shared"/>
        <v>-0.9679499587</v>
      </c>
    </row>
    <row r="43" spans="1:25" x14ac:dyDescent="0.25">
      <c r="V43" s="154">
        <f>DayPatternCoefficients!A51</f>
        <v>218</v>
      </c>
      <c r="W43" s="154" t="str">
        <f>DayPatternCoefficients!B51</f>
        <v>S-FAD515</v>
      </c>
      <c r="X43" s="149">
        <f>DayPatternCoefficients!D51</f>
        <v>0</v>
      </c>
      <c r="Y43" s="163">
        <f si="19" t="shared"/>
        <v>0</v>
      </c>
    </row>
    <row r="44" spans="1:25" x14ac:dyDescent="0.25">
      <c r="B44" s="118" t="str">
        <f>ToursByTourPurpose!A1</f>
        <v>Table X.X</v>
      </c>
      <c r="L44" s="118" t="str">
        <f>ToursByTourPurpose!M1</f>
        <v>Table X.X</v>
      </c>
      <c r="S44" s="3"/>
      <c r="T44" s="3"/>
      <c r="V44" s="154">
        <f>DayPatternCoefficients!A52</f>
        <v>219</v>
      </c>
      <c r="W44" s="154" t="str">
        <f>DayPatternCoefficients!B52</f>
        <v>S-MADCU5</v>
      </c>
      <c r="X44" s="149">
        <f>DayPatternCoefficients!D52</f>
        <v>0</v>
      </c>
      <c r="Y44" s="163">
        <f si="19" t="shared"/>
        <v>0</v>
      </c>
    </row>
    <row r="45" spans="1:25" x14ac:dyDescent="0.25">
      <c r="B45" s="118" t="str">
        <f>ToursByTourPurpose!A2</f>
        <v>OBSERVED TOTAL TOURS (by persontype)</v>
      </c>
      <c r="J45" s="122"/>
      <c r="L45" s="118" t="str">
        <f>ToursByTourPurpose!M2</f>
        <v>ESTIMATED TOTAL TOURS (by persontype)</v>
      </c>
      <c r="S45" s="3"/>
      <c r="T45" s="3"/>
      <c r="V45" s="154">
        <f>DayPatternCoefficients!A53</f>
        <v>220</v>
      </c>
      <c r="W45" s="154" t="str">
        <f>DayPatternCoefficients!B53</f>
        <v>S-MAD515</v>
      </c>
      <c r="X45" s="149">
        <f>DayPatternCoefficients!D53</f>
        <v>0</v>
      </c>
      <c r="Y45" s="163">
        <f si="19" t="shared"/>
        <v>0</v>
      </c>
    </row>
    <row ht="15.75" r="46" spans="1:25" thickBot="1" x14ac:dyDescent="0.3">
      <c r="C46" s="142"/>
      <c r="D46" s="142"/>
      <c r="E46" s="142"/>
      <c r="F46" s="142"/>
      <c r="G46" s="142"/>
      <c r="H46" s="142"/>
      <c r="I46" s="142"/>
      <c r="J46" s="129"/>
      <c r="M46" s="142"/>
      <c r="N46" s="142"/>
      <c r="O46" s="142"/>
      <c r="P46" s="142"/>
      <c r="Q46" s="142"/>
      <c r="R46" s="142"/>
      <c r="S46" s="4"/>
      <c r="T46" s="88"/>
      <c r="V46" s="154">
        <f>DayPatternCoefficients!A54</f>
        <v>221</v>
      </c>
      <c r="W46" s="154" t="str">
        <f>DayPatternCoefficients!B54</f>
        <v>S-AG1825</v>
      </c>
      <c r="X46" s="149">
        <f>DayPatternCoefficients!D54</f>
        <v>0</v>
      </c>
      <c r="Y46" s="163">
        <f si="19" t="shared"/>
        <v>0</v>
      </c>
    </row>
    <row r="47" spans="1:25" x14ac:dyDescent="0.25">
      <c r="B47" s="238" t="str">
        <f>ToursByTourPurpose!A4</f>
        <v>Purpose</v>
      </c>
      <c r="C47" s="239" t="str">
        <f>ToursByTourPurpose!B4</f>
        <v>ft worker</v>
      </c>
      <c r="D47" s="239" t="str">
        <f>ToursByTourPurpose!C4</f>
        <v>pt worker</v>
      </c>
      <c r="E47" s="239" t="str">
        <f>ToursByTourPurpose!D4</f>
        <v>retired</v>
      </c>
      <c r="F47" s="239" t="str">
        <f>ToursByTourPurpose!E4</f>
        <v>nonworker</v>
      </c>
      <c r="G47" s="239" t="str">
        <f>ToursByTourPurpose!F4</f>
        <v>uinv.stud</v>
      </c>
      <c r="H47" s="239" t="str">
        <f>ToursByTourPurpose!G4</f>
        <v>stud 16+</v>
      </c>
      <c r="I47" s="239" t="str">
        <f>ToursByTourPurpose!I4</f>
        <v>stud.5-15</v>
      </c>
      <c r="J47" s="239" t="s">
        <v>3959</v>
      </c>
      <c r="L47" s="238" t="str">
        <f>ToursByTourPurpose!M4</f>
        <v>Purpose</v>
      </c>
      <c r="M47" s="239" t="str">
        <f>ToursByTourPurpose!N4</f>
        <v>ft worker</v>
      </c>
      <c r="N47" s="239" t="str">
        <f>ToursByTourPurpose!O4</f>
        <v>pt worker</v>
      </c>
      <c r="O47" s="239" t="str">
        <f>ToursByTourPurpose!P4</f>
        <v>retired</v>
      </c>
      <c r="P47" s="239" t="str">
        <f>ToursByTourPurpose!Q4</f>
        <v>nonworker</v>
      </c>
      <c r="Q47" s="239" t="str">
        <f>ToursByTourPurpose!R4</f>
        <v>uinv.stud</v>
      </c>
      <c r="R47" s="239" t="str">
        <f>ToursByTourPurpose!S4</f>
        <v>stud 16+</v>
      </c>
      <c r="S47" s="239" t="str">
        <f>ToursByTourPurpose!U4</f>
        <v>stud.5-15</v>
      </c>
      <c r="T47" s="239" t="str">
        <f>J47</f>
        <v>Child5</v>
      </c>
      <c r="V47" s="154">
        <f>DayPatternCoefficients!A55</f>
        <v>222</v>
      </c>
      <c r="W47" s="154" t="str">
        <f>DayPatternCoefficients!B55</f>
        <v>S-AG2635</v>
      </c>
      <c r="X47" s="149">
        <f>DayPatternCoefficients!D55</f>
        <v>0</v>
      </c>
      <c r="Y47" s="163">
        <f si="19" t="shared"/>
        <v>0</v>
      </c>
    </row>
    <row r="48" spans="1:25" x14ac:dyDescent="0.25">
      <c r="B48" s="114" t="str">
        <f>ToursByTourPurpose!A5</f>
        <v>work</v>
      </c>
      <c r="C48" s="124">
        <f>ToursByTourPurpose!B5</f>
        <v>1409852.2488803985</v>
      </c>
      <c r="D48" s="124">
        <f>ToursByTourPurpose!C5</f>
        <v>197024.1172217548</v>
      </c>
      <c r="E48" s="124">
        <f>ToursByTourPurpose!D5</f>
        <v>17274.135335971201</v>
      </c>
      <c r="F48" s="124">
        <f>ToursByTourPurpose!E5</f>
        <v>36504.904088915901</v>
      </c>
      <c r="G48" s="124">
        <f>ToursByTourPurpose!F5</f>
        <v>62852.677853105903</v>
      </c>
      <c r="H48" s="124">
        <f>ToursByTourPurpose!G5</f>
        <v>2054.6708749999998</v>
      </c>
      <c r="I48" s="124">
        <f>ToursByTourPurpose!I5</f>
        <v>1525.4285</v>
      </c>
      <c r="J48" s="124">
        <f>ToursByTourPurpose!J5</f>
        <v>470.77049999999997</v>
      </c>
      <c r="L48" s="114" t="str">
        <f>ToursByTourPurpose!M5</f>
        <v>work</v>
      </c>
      <c r="M48" s="267">
        <f>ToursByTourPurpose!N5</f>
        <v>1412742.9370398901</v>
      </c>
      <c r="N48" s="267">
        <f>ToursByTourPurpose!O5</f>
        <v>212080.122627059</v>
      </c>
      <c r="O48" s="124">
        <f>ToursByTourPurpose!P5</f>
        <v>0</v>
      </c>
      <c r="P48" s="124">
        <f>ToursByTourPurpose!Q5</f>
        <v>0</v>
      </c>
      <c r="Q48" s="268">
        <f>ToursByTourPurpose!R5</f>
        <v>71603.614413764473</v>
      </c>
      <c r="R48" s="268">
        <f>ToursByTourPurpose!S5</f>
        <v>2371.4970735538127</v>
      </c>
      <c r="S48" s="268">
        <f>ToursByTourPurpose!U5</f>
        <v>0</v>
      </c>
      <c r="T48" s="268">
        <f>ToursByTourPurpose!V5</f>
        <v>0</v>
      </c>
      <c r="V48" s="154">
        <f>DayPatternCoefficients!A56</f>
        <v>223</v>
      </c>
      <c r="W48" s="154" t="str">
        <f>DayPatternCoefficients!B56</f>
        <v>S-AG5165</v>
      </c>
      <c r="X48" s="149">
        <f>DayPatternCoefficients!D56</f>
        <v>-0.2156888713</v>
      </c>
      <c r="Y48" s="163">
        <f si="19" t="shared"/>
        <v>-0.2156888713</v>
      </c>
    </row>
    <row r="49" spans="2:25" x14ac:dyDescent="0.25">
      <c r="B49" s="114" t="str">
        <f>ToursByTourPurpose!A6</f>
        <v>school</v>
      </c>
      <c r="C49" s="124">
        <f>ToursByTourPurpose!B6</f>
        <v>7504.0738574372999</v>
      </c>
      <c r="D49" s="124">
        <f>ToursByTourPurpose!C6</f>
        <v>41458.994241735199</v>
      </c>
      <c r="E49" s="124">
        <f>ToursByTourPurpose!D6</f>
        <v>1402.1807139949999</v>
      </c>
      <c r="F49" s="124">
        <f>ToursByTourPurpose!E6</f>
        <v>71975.982674155399</v>
      </c>
      <c r="G49" s="124">
        <f>ToursByTourPurpose!F6</f>
        <v>51839.910811920003</v>
      </c>
      <c r="H49" s="124">
        <f>ToursByTourPurpose!G6</f>
        <v>76767.618749579997</v>
      </c>
      <c r="I49" s="124">
        <f>ToursByTourPurpose!I6</f>
        <v>490330.682875</v>
      </c>
      <c r="J49" s="124">
        <f>ToursByTourPurpose!J6</f>
        <v>63797.081124999997</v>
      </c>
      <c r="L49" s="114" t="str">
        <f>ToursByTourPurpose!M6</f>
        <v>school</v>
      </c>
      <c r="M49" s="268">
        <f>ToursByTourPurpose!N6</f>
        <v>11736.953422291479</v>
      </c>
      <c r="N49" s="124">
        <f>ToursByTourPurpose!O6</f>
        <v>0</v>
      </c>
      <c r="O49" s="124">
        <f>ToursByTourPurpose!P6</f>
        <v>0</v>
      </c>
      <c r="P49" s="124">
        <f>ToursByTourPurpose!Q6</f>
        <v>0</v>
      </c>
      <c r="Q49" s="268">
        <f>ToursByTourPurpose!R6</f>
        <v>146626.20568461696</v>
      </c>
      <c r="R49" s="268">
        <f>ToursByTourPurpose!S6</f>
        <v>109667.44901496237</v>
      </c>
      <c r="S49" s="268">
        <f>ToursByTourPurpose!U6</f>
        <v>452944.03326119937</v>
      </c>
      <c r="T49" s="268">
        <f>ToursByTourPurpose!V6</f>
        <v>38004.794840105125</v>
      </c>
      <c r="V49" s="154">
        <f>DayPatternCoefficients!A57</f>
        <v>224</v>
      </c>
      <c r="W49" s="154" t="str">
        <f>DayPatternCoefficients!B57</f>
        <v>S-WAHOME</v>
      </c>
      <c r="X49" s="149">
        <f>DayPatternCoefficients!D57</f>
        <v>0</v>
      </c>
      <c r="Y49" s="163">
        <f si="19" t="shared"/>
        <v>0</v>
      </c>
    </row>
    <row r="50" spans="2:25" x14ac:dyDescent="0.25">
      <c r="B50" s="114" t="str">
        <f>ToursByTourPurpose!A7</f>
        <v>escort</v>
      </c>
      <c r="C50" s="124">
        <f>ToursByTourPurpose!B7</f>
        <v>175960.01260278179</v>
      </c>
      <c r="D50" s="124">
        <f>ToursByTourPurpose!C7</f>
        <v>95203.5709531881</v>
      </c>
      <c r="E50" s="124">
        <f>ToursByTourPurpose!D7</f>
        <v>56287.992597320299</v>
      </c>
      <c r="F50" s="124">
        <f>ToursByTourPurpose!E7</f>
        <v>226676.82404124251</v>
      </c>
      <c r="G50" s="124">
        <f>ToursByTourPurpose!F7</f>
        <v>11569.829231076399</v>
      </c>
      <c r="H50" s="124">
        <f>ToursByTourPurpose!G7</f>
        <v>8238.3787969599998</v>
      </c>
      <c r="I50" s="124">
        <f>ToursByTourPurpose!I7</f>
        <v>31051.988000000001</v>
      </c>
      <c r="J50" s="124">
        <f>ToursByTourPurpose!J7</f>
        <v>43808.416875000003</v>
      </c>
      <c r="L50" s="114" t="str">
        <f>ToursByTourPurpose!M7</f>
        <v>escort</v>
      </c>
      <c r="M50" s="267">
        <f>ToursByTourPurpose!N7</f>
        <v>174272.86643529322</v>
      </c>
      <c r="N50" s="124">
        <f>ToursByTourPurpose!O7</f>
        <v>76130.461173587493</v>
      </c>
      <c r="O50" s="124">
        <f>ToursByTourPurpose!P7</f>
        <v>61975.105788668821</v>
      </c>
      <c r="P50" s="267">
        <f>ToursByTourPurpose!Q7</f>
        <v>224376.51881642616</v>
      </c>
      <c r="Q50" s="268">
        <f>ToursByTourPurpose!R7</f>
        <v>11244.744124976249</v>
      </c>
      <c r="R50" s="268">
        <f>ToursByTourPurpose!S7</f>
        <v>6581.1204203719672</v>
      </c>
      <c r="S50" s="268">
        <f>ToursByTourPurpose!U7</f>
        <v>29076.063074266429</v>
      </c>
      <c r="T50" s="268">
        <f>ToursByTourPurpose!V7</f>
        <v>62761.716521028975</v>
      </c>
      <c r="V50" s="154">
        <f>DayPatternCoefficients!A58</f>
        <v>225</v>
      </c>
      <c r="W50" s="154" t="str">
        <f>DayPatternCoefficients!B58</f>
        <v>S-MIXDEN</v>
      </c>
      <c r="X50" s="149">
        <f>DayPatternCoefficients!D58</f>
        <v>0</v>
      </c>
      <c r="Y50" s="163">
        <f si="19" t="shared"/>
        <v>0</v>
      </c>
    </row>
    <row r="51" spans="2:25" x14ac:dyDescent="0.25">
      <c r="B51" s="114" t="str">
        <f>ToursByTourPurpose!A8</f>
        <v>pers.bus</v>
      </c>
      <c r="C51" s="124">
        <f>ToursByTourPurpose!B8</f>
        <v>139948.29881939929</v>
      </c>
      <c r="D51" s="124">
        <f>ToursByTourPurpose!C8</f>
        <v>78011.263471984406</v>
      </c>
      <c r="E51" s="124">
        <f>ToursByTourPurpose!D8</f>
        <v>160095.9780834032</v>
      </c>
      <c r="F51" s="124">
        <f>ToursByTourPurpose!E8</f>
        <v>187885.90913780901</v>
      </c>
      <c r="G51" s="124">
        <f>ToursByTourPurpose!F8</f>
        <v>15998.2777157859</v>
      </c>
      <c r="H51" s="124">
        <f>ToursByTourPurpose!G8</f>
        <v>5022.4174999999996</v>
      </c>
      <c r="I51" s="124">
        <f>ToursByTourPurpose!I8</f>
        <v>65357.599499999997</v>
      </c>
      <c r="J51" s="124">
        <f>ToursByTourPurpose!J8</f>
        <v>65823.361000000004</v>
      </c>
      <c r="L51" s="114" t="str">
        <f>ToursByTourPurpose!M8</f>
        <v>pers.bus</v>
      </c>
      <c r="M51" s="267">
        <f>ToursByTourPurpose!N8</f>
        <v>135495.48840471343</v>
      </c>
      <c r="N51" s="124">
        <f>ToursByTourPurpose!O8</f>
        <v>72852.006932398348</v>
      </c>
      <c r="O51" s="124">
        <f>ToursByTourPurpose!P8</f>
        <v>160702.97304326264</v>
      </c>
      <c r="P51" s="124">
        <f>ToursByTourPurpose!Q8</f>
        <v>191558.39944862467</v>
      </c>
      <c r="Q51" s="268">
        <f>ToursByTourPurpose!R8</f>
        <v>14369.498646758684</v>
      </c>
      <c r="R51" s="268">
        <f>ToursByTourPurpose!S8</f>
        <v>6495.7009548277538</v>
      </c>
      <c r="S51" s="268">
        <f>ToursByTourPurpose!U8</f>
        <v>56838.051354573894</v>
      </c>
      <c r="T51" s="268">
        <f>ToursByTourPurpose!V8</f>
        <v>67411.999951597114</v>
      </c>
      <c r="V51" s="154">
        <f>DayPatternCoefficients!A59</f>
        <v>226</v>
      </c>
      <c r="W51" s="154" t="str">
        <f>DayPatternCoefficients!B59</f>
        <v>S-INTDEN</v>
      </c>
      <c r="X51" s="149">
        <f>DayPatternCoefficients!D59</f>
        <v>0</v>
      </c>
      <c r="Y51" s="163">
        <f si="19" t="shared"/>
        <v>0</v>
      </c>
    </row>
    <row r="52" spans="2:25" x14ac:dyDescent="0.25">
      <c r="B52" s="114" t="str">
        <f>ToursByTourPurpose!A9</f>
        <v>shop</v>
      </c>
      <c r="C52" s="124">
        <f>ToursByTourPurpose!B9</f>
        <v>155422.9852594453</v>
      </c>
      <c r="D52" s="124">
        <f>ToursByTourPurpose!C9</f>
        <v>69258.373600786697</v>
      </c>
      <c r="E52" s="124">
        <f>ToursByTourPurpose!D9</f>
        <v>132977.5494189795</v>
      </c>
      <c r="F52" s="124">
        <f>ToursByTourPurpose!E9</f>
        <v>219601.48351633549</v>
      </c>
      <c r="G52" s="124">
        <f>ToursByTourPurpose!F9</f>
        <v>19537.267189447299</v>
      </c>
      <c r="H52" s="124">
        <f>ToursByTourPurpose!G9</f>
        <v>1043.620822394</v>
      </c>
      <c r="I52" s="124">
        <f>ToursByTourPurpose!I9</f>
        <v>32873.983749999999</v>
      </c>
      <c r="J52" s="124">
        <f>ToursByTourPurpose!J9</f>
        <v>71722.551749999999</v>
      </c>
      <c r="L52" s="114" t="str">
        <f>ToursByTourPurpose!M9</f>
        <v>shop</v>
      </c>
      <c r="M52" s="267">
        <f>ToursByTourPurpose!N9</f>
        <v>149863.63651604491</v>
      </c>
      <c r="N52" s="124">
        <f>ToursByTourPurpose!O9</f>
        <v>56720.405020756756</v>
      </c>
      <c r="O52" s="124">
        <f>ToursByTourPurpose!P9</f>
        <v>131953.84827173653</v>
      </c>
      <c r="P52" s="267">
        <f>ToursByTourPurpose!Q9</f>
        <v>206816.18215743345</v>
      </c>
      <c r="Q52" s="268">
        <f>ToursByTourPurpose!R9</f>
        <v>14673.554675229912</v>
      </c>
      <c r="R52" s="268">
        <f>ToursByTourPurpose!S9</f>
        <v>1701.1749489727583</v>
      </c>
      <c r="S52" s="268">
        <f>ToursByTourPurpose!U9</f>
        <v>39941.06938650825</v>
      </c>
      <c r="T52" s="268">
        <f>ToursByTourPurpose!V9</f>
        <v>93455.59905028416</v>
      </c>
      <c r="V52" s="154">
        <f>DayPatternCoefficients!A60</f>
        <v>227</v>
      </c>
      <c r="W52" s="154" t="str">
        <f>DayPatternCoefficients!B60</f>
        <v>S-ACCLOG</v>
      </c>
      <c r="X52" s="149">
        <f>DayPatternCoefficients!D60</f>
        <v>0</v>
      </c>
      <c r="Y52" s="163">
        <f si="19" t="shared"/>
        <v>0</v>
      </c>
    </row>
    <row r="53" spans="2:25" x14ac:dyDescent="0.25">
      <c r="B53" s="114" t="str">
        <f>ToursByTourPurpose!A10</f>
        <v>meal</v>
      </c>
      <c r="C53" s="124">
        <f>ToursByTourPurpose!B10</f>
        <v>72908.890458873895</v>
      </c>
      <c r="D53" s="124">
        <f>ToursByTourPurpose!C10</f>
        <v>20670.231697515501</v>
      </c>
      <c r="E53" s="124">
        <f>ToursByTourPurpose!D10</f>
        <v>40669.872001609103</v>
      </c>
      <c r="F53" s="124">
        <f>ToursByTourPurpose!E10</f>
        <v>62725.6534069314</v>
      </c>
      <c r="G53" s="124">
        <f>ToursByTourPurpose!F10</f>
        <v>6877.2431619211002</v>
      </c>
      <c r="H53" s="124">
        <f>ToursByTourPurpose!G10</f>
        <v>0</v>
      </c>
      <c r="I53" s="124">
        <f>ToursByTourPurpose!I10</f>
        <v>14093.2955</v>
      </c>
      <c r="J53" s="124">
        <f>ToursByTourPurpose!J10</f>
        <v>7305.3575000000001</v>
      </c>
      <c r="L53" s="114" t="str">
        <f>ToursByTourPurpose!M10</f>
        <v>meal</v>
      </c>
      <c r="M53" s="267">
        <f>ToursByTourPurpose!N10</f>
        <v>70025.403949739819</v>
      </c>
      <c r="N53" s="124">
        <f>ToursByTourPurpose!O10</f>
        <v>20130.418751442652</v>
      </c>
      <c r="O53" s="124">
        <f>ToursByTourPurpose!P10</f>
        <v>38379.595156915595</v>
      </c>
      <c r="P53" s="267">
        <f>ToursByTourPurpose!Q10</f>
        <v>61731.099677358303</v>
      </c>
      <c r="Q53" s="268">
        <f>ToursByTourPurpose!R10</f>
        <v>5953.8256532726982</v>
      </c>
      <c r="R53" s="268">
        <f>ToursByTourPurpose!S10</f>
        <v>7691.3222898021759</v>
      </c>
      <c r="S53" s="268">
        <f>ToursByTourPurpose!U10</f>
        <v>16731.287904114648</v>
      </c>
      <c r="T53" s="268">
        <f>ToursByTourPurpose!V10</f>
        <v>9893.839247200327</v>
      </c>
      <c r="V53" s="154">
        <f>DayPatternCoefficients!A61</f>
        <v>228</v>
      </c>
      <c r="W53" s="154" t="str">
        <f>DayPatternCoefficients!B61</f>
        <v>S-T-LOGS</v>
      </c>
      <c r="X53" s="149">
        <f>DayPatternCoefficients!D61</f>
        <v>0.1</v>
      </c>
      <c r="Y53" s="163">
        <f si="19" t="shared"/>
        <v>0.1</v>
      </c>
    </row>
    <row r="54" spans="2:25" x14ac:dyDescent="0.25">
      <c r="B54" s="122" t="str">
        <f>ToursByTourPurpose!A11</f>
        <v>soc/rec</v>
      </c>
      <c r="C54" s="124">
        <f>ToursByTourPurpose!B11</f>
        <v>298428.71659137728</v>
      </c>
      <c r="D54" s="124">
        <f>ToursByTourPurpose!C11</f>
        <v>116955.65387866209</v>
      </c>
      <c r="E54" s="124">
        <f>ToursByTourPurpose!D11</f>
        <v>139202.5364632381</v>
      </c>
      <c r="F54" s="124">
        <f>ToursByTourPurpose!E11</f>
        <v>247086.65098616161</v>
      </c>
      <c r="G54" s="124">
        <f>ToursByTourPurpose!F11</f>
        <v>24740.3139376461</v>
      </c>
      <c r="H54" s="124">
        <f>ToursByTourPurpose!G11</f>
        <v>14986.516394658</v>
      </c>
      <c r="I54" s="124">
        <f>ToursByTourPurpose!I11</f>
        <v>137202.605125</v>
      </c>
      <c r="J54" s="124">
        <f>ToursByTourPurpose!J11</f>
        <v>111407.60725</v>
      </c>
      <c r="L54" s="122" t="str">
        <f>ToursByTourPurpose!M11</f>
        <v>soc/rec</v>
      </c>
      <c r="M54" s="267">
        <f>ToursByTourPurpose!N11</f>
        <v>297569.93071221275</v>
      </c>
      <c r="N54" s="124">
        <f>ToursByTourPurpose!O11</f>
        <v>115076.26365641083</v>
      </c>
      <c r="O54" s="124">
        <f>ToursByTourPurpose!P11</f>
        <v>156535.74198037435</v>
      </c>
      <c r="P54" s="124">
        <f>ToursByTourPurpose!Q11</f>
        <v>249942.03119939065</v>
      </c>
      <c r="Q54" s="268">
        <f>ToursByTourPurpose!R11</f>
        <v>24507.261213533511</v>
      </c>
      <c r="R54" s="268">
        <f>ToursByTourPurpose!S11</f>
        <v>19451.670680972387</v>
      </c>
      <c r="S54" s="268">
        <f>ToursByTourPurpose!U11</f>
        <v>130755.31070635081</v>
      </c>
      <c r="T54" s="268">
        <f>ToursByTourPurpose!V11</f>
        <v>96227.126413641759</v>
      </c>
      <c r="V54" s="154">
        <f>DayPatternCoefficients!A62</f>
        <v>229</v>
      </c>
      <c r="W54" s="154" t="str">
        <f>DayPatternCoefficients!B62</f>
        <v>S-S-LOGS</v>
      </c>
      <c r="X54" s="149">
        <f>DayPatternCoefficients!D62</f>
        <v>0</v>
      </c>
      <c r="Y54" s="163">
        <f si="19" t="shared"/>
        <v>0</v>
      </c>
    </row>
    <row r="55" spans="2:25" x14ac:dyDescent="0.25">
      <c r="B55" s="122" t="str">
        <f>ToursByTourPurpose!A12</f>
        <v>workbased</v>
      </c>
      <c r="C55" s="124">
        <f>ToursByTourPurpose!B12</f>
        <v>171412.7963512734</v>
      </c>
      <c r="D55" s="124">
        <f>ToursByTourPurpose!C12</f>
        <v>6756.4626421812</v>
      </c>
      <c r="E55" s="124">
        <f>ToursByTourPurpose!D12</f>
        <v>0</v>
      </c>
      <c r="F55" s="124">
        <f>ToursByTourPurpose!E12</f>
        <v>0</v>
      </c>
      <c r="G55" s="124">
        <f>ToursByTourPurpose!F12</f>
        <v>5873.9064039696004</v>
      </c>
      <c r="H55" s="124">
        <f>ToursByTourPurpose!G12</f>
        <v>0</v>
      </c>
      <c r="I55" s="124">
        <f>ToursByTourPurpose!I12</f>
        <v>0</v>
      </c>
      <c r="J55" s="124">
        <f>ToursByTourPurpose!J12</f>
        <v>0</v>
      </c>
      <c r="L55" s="122" t="str">
        <f>ToursByTourPurpose!M12</f>
        <v>workbased</v>
      </c>
      <c r="M55" s="268">
        <f>ToursByTourPurpose!N12</f>
        <v>165670.88691586486</v>
      </c>
      <c r="N55" s="268">
        <f>ToursByTourPurpose!O12</f>
        <v>16123.772132583021</v>
      </c>
      <c r="O55" s="124">
        <f>ToursByTourPurpose!P12</f>
        <v>0</v>
      </c>
      <c r="P55" s="124">
        <f>ToursByTourPurpose!Q12</f>
        <v>0</v>
      </c>
      <c r="Q55" s="124">
        <f>ToursByTourPurpose!R12</f>
        <v>6789.430984004086</v>
      </c>
      <c r="R55" s="124">
        <f>ToursByTourPurpose!S12</f>
        <v>138.97420144443322</v>
      </c>
      <c r="S55" s="124">
        <f>ToursByTourPurpose!U12</f>
        <v>0</v>
      </c>
      <c r="T55" s="124">
        <f>ToursByTourPurpose!V12</f>
        <v>0</v>
      </c>
      <c r="V55" s="136">
        <f>DayPatternCoefficients!A63</f>
        <v>251</v>
      </c>
      <c r="W55" s="136" t="str">
        <f>DayPatternCoefficients!B63</f>
        <v>S-FTW</v>
      </c>
      <c r="X55" s="137">
        <f>DayPatternCoefficients!D63</f>
        <v>-4.0562395240500004</v>
      </c>
      <c r="Y55" s="163">
        <f si="19" t="shared"/>
        <v>-4.0562395240500004</v>
      </c>
    </row>
    <row ht="15.75" r="56" spans="2:25" thickBot="1" x14ac:dyDescent="0.3">
      <c r="B56" s="240" t="str">
        <f>ToursByTourPurpose!A13</f>
        <v>Total</v>
      </c>
      <c r="C56" s="241">
        <f>ToursByTourPurpose!B13</f>
        <v>2431438.0228209868</v>
      </c>
      <c r="D56" s="241">
        <f>ToursByTourPurpose!C13</f>
        <v>625338.66770780808</v>
      </c>
      <c r="E56" s="241">
        <f>ToursByTourPurpose!D13</f>
        <v>547910.24461451638</v>
      </c>
      <c r="F56" s="241">
        <f>ToursByTourPurpose!E13</f>
        <v>1052457.4078515514</v>
      </c>
      <c r="G56" s="241">
        <f>ToursByTourPurpose!F13</f>
        <v>199289.42630487229</v>
      </c>
      <c r="H56" s="241">
        <f>ToursByTourPurpose!G13</f>
        <v>108113.22313859199</v>
      </c>
      <c r="I56" s="241">
        <f>ToursByTourPurpose!I13</f>
        <v>772435.58325000003</v>
      </c>
      <c r="J56" s="241">
        <f>ToursByTourPurpose!J13</f>
        <v>364335.14600000007</v>
      </c>
      <c r="L56" s="240" t="str">
        <f>ToursByTourPurpose!M13</f>
        <v>Total</v>
      </c>
      <c r="M56" s="241">
        <f>ToursByTourPurpose!N13</f>
        <v>2417378.1033960502</v>
      </c>
      <c r="N56" s="241">
        <f>ToursByTourPurpose!O13</f>
        <v>569113.45029423805</v>
      </c>
      <c r="O56" s="241">
        <f>ToursByTourPurpose!P13</f>
        <v>549547.26424095791</v>
      </c>
      <c r="P56" s="241">
        <f>ToursByTourPurpose!Q13</f>
        <v>934424.23129923327</v>
      </c>
      <c r="Q56" s="241">
        <f>ToursByTourPurpose!R13</f>
        <v>295768.13539615658</v>
      </c>
      <c r="R56" s="241">
        <f>ToursByTourPurpose!S13</f>
        <v>154098.90958490764</v>
      </c>
      <c r="S56" s="241">
        <f>ToursByTourPurpose!U13</f>
        <v>726285.81568701344</v>
      </c>
      <c r="T56" s="241">
        <f>ToursByTourPurpose!V13</f>
        <v>367755.07602385746</v>
      </c>
      <c r="V56" s="136">
        <f>DayPatternCoefficients!A64</f>
        <v>300</v>
      </c>
      <c r="W56" s="136" t="str">
        <f>DayPatternCoefficients!B64</f>
        <v>E-TASC</v>
      </c>
      <c r="X56" s="137">
        <f>DayPatternCoefficients!D64</f>
        <v>-2.5198779602000001</v>
      </c>
      <c r="Y56" s="163">
        <f si="19" t="shared"/>
        <v>-2.5198779602000001</v>
      </c>
    </row>
    <row r="57" spans="2:25" x14ac:dyDescent="0.25">
      <c r="J57" s="122"/>
      <c r="V57" s="136">
        <f>DayPatternCoefficients!A65</f>
        <v>301</v>
      </c>
      <c r="W57" s="136" t="str">
        <f>DayPatternCoefficients!B65</f>
        <v>E-SASC</v>
      </c>
      <c r="X57" s="137">
        <f>DayPatternCoefficients!D65</f>
        <v>-2.254036964</v>
      </c>
      <c r="Y57" s="163">
        <f si="19" t="shared"/>
        <v>-2.254036964</v>
      </c>
    </row>
    <row r="58" spans="2:25" x14ac:dyDescent="0.25">
      <c r="J58" s="122"/>
      <c r="V58" s="136">
        <f>DayPatternCoefficients!A66</f>
        <v>302</v>
      </c>
      <c r="W58" s="136" t="str">
        <f>DayPatternCoefficients!B66</f>
        <v>E-PTW</v>
      </c>
      <c r="X58" s="137">
        <f>DayPatternCoefficients!D66</f>
        <v>0.1115098678</v>
      </c>
      <c r="Y58" s="163">
        <f si="19" t="shared"/>
        <v>0.1115098678</v>
      </c>
    </row>
    <row r="59" spans="2:25" x14ac:dyDescent="0.25">
      <c r="B59" s="118" t="s">
        <v>175</v>
      </c>
      <c r="V59" s="136">
        <f>DayPatternCoefficients!A67</f>
        <v>303</v>
      </c>
      <c r="W59" s="136" t="str">
        <f>DayPatternCoefficients!B67</f>
        <v>E-RET</v>
      </c>
      <c r="X59" s="137">
        <f>DayPatternCoefficients!D67</f>
        <v>-0.56207576691000005</v>
      </c>
      <c r="Y59" s="163">
        <f si="19" t="shared"/>
        <v>-0.56207576691000005</v>
      </c>
    </row>
    <row r="60" spans="2:25" x14ac:dyDescent="0.25">
      <c r="B60" s="118" t="s">
        <v>3957</v>
      </c>
      <c r="L60" s="209" t="s">
        <v>3899</v>
      </c>
      <c r="M60" s="211"/>
      <c r="N60" s="211"/>
      <c r="O60" s="211"/>
      <c r="P60" s="211"/>
      <c r="Q60" s="211"/>
      <c r="V60" s="136">
        <f>DayPatternCoefficients!A68</f>
        <v>304</v>
      </c>
      <c r="W60" s="136" t="str">
        <f>DayPatternCoefficients!B68</f>
        <v>E-NWA</v>
      </c>
      <c r="X60" s="137">
        <f>DayPatternCoefficients!D68</f>
        <v>-9.7250357600000004E-2</v>
      </c>
      <c r="Y60" s="163">
        <f si="19" t="shared"/>
        <v>-8.7050565473235669E-2</v>
      </c>
    </row>
    <row ht="15.75" r="61" spans="2:25" thickBot="1" x14ac:dyDescent="0.3">
      <c r="C61" s="142"/>
      <c r="D61" s="142"/>
      <c r="E61" s="142"/>
      <c r="F61" s="142"/>
      <c r="G61" s="142"/>
      <c r="H61" s="142"/>
      <c r="I61" s="142"/>
      <c r="J61" s="122"/>
      <c r="L61" s="213" t="s">
        <v>1035</v>
      </c>
      <c r="M61" s="214"/>
      <c r="N61" s="214"/>
      <c r="O61" s="214"/>
      <c r="P61" s="214"/>
      <c r="Q61" s="211"/>
      <c r="V61" s="136">
        <f>DayPatternCoefficients!A69</f>
        <v>305</v>
      </c>
      <c r="W61" s="136" t="str">
        <f>DayPatternCoefficients!B69</f>
        <v>E-UNI</v>
      </c>
      <c r="X61" s="137">
        <f>DayPatternCoefficients!D69</f>
        <v>-0.27437519666999999</v>
      </c>
      <c r="Y61" s="163">
        <f si="19" t="shared"/>
        <v>-0.27437519666999999</v>
      </c>
    </row>
    <row r="62" spans="2:25" x14ac:dyDescent="0.25">
      <c r="B62" s="238" t="s">
        <v>159</v>
      </c>
      <c r="C62" s="239" t="s">
        <v>146</v>
      </c>
      <c r="D62" s="239" t="s">
        <v>147</v>
      </c>
      <c r="E62" s="239" t="s">
        <v>148</v>
      </c>
      <c r="F62" s="239" t="s">
        <v>243</v>
      </c>
      <c r="G62" s="239" t="s">
        <v>244</v>
      </c>
      <c r="H62" s="239" t="s">
        <v>245</v>
      </c>
      <c r="I62" s="239" t="s">
        <v>246</v>
      </c>
      <c r="J62" s="239" t="str">
        <f>J47</f>
        <v>Child5</v>
      </c>
      <c r="L62" s="217" t="s">
        <v>1021</v>
      </c>
      <c r="M62" s="216" t="s">
        <v>317</v>
      </c>
      <c r="N62" s="165" t="s">
        <v>1030</v>
      </c>
      <c r="O62" s="228" t="s">
        <v>3894</v>
      </c>
      <c r="P62" s="228" t="s">
        <v>3893</v>
      </c>
      <c r="Q62" s="229" t="s">
        <v>320</v>
      </c>
      <c r="V62" s="136">
        <f>DayPatternCoefficients!A70</f>
        <v>306</v>
      </c>
      <c r="W62" s="136" t="str">
        <f>DayPatternCoefficients!B70</f>
        <v>E-DAS</v>
      </c>
      <c r="X62" s="137">
        <f>DayPatternCoefficients!D70</f>
        <v>-0.19329461925999999</v>
      </c>
      <c r="Y62" s="163">
        <f si="19" t="shared"/>
        <v>-0.19329461925999999</v>
      </c>
    </row>
    <row r="63" spans="2:25" x14ac:dyDescent="0.25">
      <c r="B63" s="114" t="s">
        <v>210</v>
      </c>
      <c r="C63" s="270">
        <f>C48/M48</f>
        <v>0.99795384702786161</v>
      </c>
      <c r="D63" s="270">
        <f>D48/N48</f>
        <v>0.9290079371003569</v>
      </c>
      <c r="E63" s="243" t="s">
        <v>1031</v>
      </c>
      <c r="F63" s="243" t="s">
        <v>1031</v>
      </c>
      <c r="G63" s="242">
        <f ref="G63:H69" si="30" t="shared">G48/Q48</f>
        <v>0.87778638505465778</v>
      </c>
      <c r="H63" s="242">
        <f si="30" t="shared"/>
        <v>0.86640245012867245</v>
      </c>
      <c r="I63" s="243" t="s">
        <v>1031</v>
      </c>
      <c r="J63" s="243" t="s">
        <v>1031</v>
      </c>
      <c r="L63" s="244">
        <v>151</v>
      </c>
      <c r="M63" s="219" t="str">
        <f ref="M63:M105" si="31" t="shared">VLOOKUP(L63,$V$3:$X$352,2,FALSE)</f>
        <v>W-FTW</v>
      </c>
      <c r="N63" s="166">
        <f ref="N63:N69" si="32" t="shared">C128</f>
        <v>-0.179010454212368</v>
      </c>
      <c r="O63" s="230">
        <f ref="O63:O105" si="33" t="shared">VLOOKUP(L63,$V$3:$Y$352,4,FALSE)</f>
        <v>-0.179010454212368</v>
      </c>
      <c r="P63" s="231">
        <f ref="P63:P105" si="34" t="shared">IF(N63=O63,0,1)</f>
        <v>0</v>
      </c>
      <c r="Q63" s="211" t="str">
        <f>VLOOKUP(L63,CoeffDef_DayPattern!$A$1:$F$363,5,FALSE)</f>
        <v xml:space="preserve">workPurposeConstant * IsFulltimeWorkerFlag                                       </v>
      </c>
      <c r="V63" s="136">
        <f>DayPatternCoefficients!A71</f>
        <v>307</v>
      </c>
      <c r="W63" s="136" t="str">
        <f>DayPatternCoefficients!B71</f>
        <v>E-PAS</v>
      </c>
      <c r="X63" s="137">
        <f>DayPatternCoefficients!D71</f>
        <v>-0.66463957096000004</v>
      </c>
      <c r="Y63" s="163">
        <f si="19" t="shared"/>
        <v>-0.66463957096000004</v>
      </c>
    </row>
    <row r="64" spans="2:25" x14ac:dyDescent="0.25">
      <c r="B64" s="114" t="s">
        <v>211</v>
      </c>
      <c r="C64" s="242">
        <f ref="C64:C69" si="35" t="shared">C49/M49</f>
        <v>0.63935448897540503</v>
      </c>
      <c r="D64" s="243" t="s">
        <v>1031</v>
      </c>
      <c r="E64" s="243" t="s">
        <v>1031</v>
      </c>
      <c r="F64" s="243" t="s">
        <v>1031</v>
      </c>
      <c r="G64" s="242">
        <f si="30" t="shared"/>
        <v>0.35355147171593693</v>
      </c>
      <c r="H64" s="242">
        <f si="30" t="shared"/>
        <v>0.70000368786827782</v>
      </c>
      <c r="I64" s="242">
        <f ref="I64:J69" si="36" t="shared">I49/S49</f>
        <v>1.0825414330874756</v>
      </c>
      <c r="J64" s="242">
        <f si="36" t="shared"/>
        <v>1.6786587427562476</v>
      </c>
      <c r="L64" s="244">
        <v>251</v>
      </c>
      <c r="M64" s="219" t="str">
        <f si="31" t="shared"/>
        <v>S-FTW</v>
      </c>
      <c r="N64" s="166">
        <f si="32" t="shared"/>
        <v>-4.0562395240500004</v>
      </c>
      <c r="O64" s="230">
        <f si="33" t="shared"/>
        <v>-4.0562395240500004</v>
      </c>
      <c r="P64" s="231">
        <f si="34" t="shared"/>
        <v>0</v>
      </c>
      <c r="Q64" s="211" t="str">
        <f>VLOOKUP(L64,CoeffDef_DayPattern!$A$1:$F$363,5,FALSE)</f>
        <v xml:space="preserve">schoolPurposeConstant * IsFulltimeWorkerFlag                                         </v>
      </c>
      <c r="V64" s="136">
        <f>DayPatternCoefficients!A72</f>
        <v>308</v>
      </c>
      <c r="W64" s="136" t="str">
        <f>DayPatternCoefficients!B72</f>
        <v>E-CU5</v>
      </c>
      <c r="X64" s="137">
        <f>DayPatternCoefficients!D72</f>
        <v>0.5</v>
      </c>
      <c r="Y64" s="163">
        <f si="19" t="shared"/>
        <v>0.5</v>
      </c>
    </row>
    <row r="65" spans="2:25" x14ac:dyDescent="0.25">
      <c r="B65" s="114" t="s">
        <v>212</v>
      </c>
      <c r="C65" s="270">
        <f si="35" t="shared"/>
        <v>1.0096810605230677</v>
      </c>
      <c r="D65" s="242">
        <f ref="D65:F69" si="37" t="shared">D50/N50</f>
        <v>1.2505319091146894</v>
      </c>
      <c r="E65" s="242">
        <f si="37" t="shared"/>
        <v>0.90823552265096219</v>
      </c>
      <c r="F65" s="270">
        <f si="37" t="shared"/>
        <v>1.0102519873155638</v>
      </c>
      <c r="G65" s="242">
        <f si="30" t="shared"/>
        <v>1.0289099602878546</v>
      </c>
      <c r="H65" s="242">
        <f si="30" t="shared"/>
        <v>1.2518200960824182</v>
      </c>
      <c r="I65" s="242">
        <f si="36" t="shared"/>
        <v>1.067957099992755</v>
      </c>
      <c r="J65" s="242">
        <f si="36" t="shared"/>
        <v>0.69801177060416331</v>
      </c>
      <c r="L65" s="244">
        <v>351</v>
      </c>
      <c r="M65" s="219" t="str">
        <f si="31" t="shared"/>
        <v>E-FTW</v>
      </c>
      <c r="N65" s="166">
        <f si="32" t="shared"/>
        <v>0.80881662458662351</v>
      </c>
      <c r="O65" s="230">
        <f si="33" t="shared"/>
        <v>0.80881662458662351</v>
      </c>
      <c r="P65" s="231">
        <f si="34" t="shared"/>
        <v>0</v>
      </c>
      <c r="Q65" s="211" t="str">
        <f>VLOOKUP(L65,CoeffDef_DayPattern!$A$1:$F$363,5,FALSE)</f>
        <v xml:space="preserve">escortPurposeConstant * IsFulltimeWorkerFlag                                         </v>
      </c>
      <c r="V65" s="136">
        <f>DayPatternCoefficients!A73</f>
        <v>309</v>
      </c>
      <c r="W65" s="136" t="str">
        <f>DayPatternCoefficients!B73</f>
        <v>E-VLINC</v>
      </c>
      <c r="X65" s="137">
        <f>DayPatternCoefficients!D73</f>
        <v>-0.2321226565</v>
      </c>
      <c r="Y65" s="163">
        <f si="19" t="shared"/>
        <v>-0.2321226565</v>
      </c>
    </row>
    <row r="66" spans="2:25" x14ac:dyDescent="0.25">
      <c r="B66" s="114" t="s">
        <v>213</v>
      </c>
      <c r="C66" s="270">
        <f si="35" t="shared"/>
        <v>1.0328631636898913</v>
      </c>
      <c r="D66" s="242">
        <f si="37" t="shared"/>
        <v>1.0708183172547805</v>
      </c>
      <c r="E66" s="242">
        <f si="37" t="shared"/>
        <v>0.99622287660044706</v>
      </c>
      <c r="F66" s="242">
        <f si="37" t="shared"/>
        <v>0.98082835145111658</v>
      </c>
      <c r="G66" s="242">
        <f si="30" t="shared"/>
        <v>1.1133497492895912</v>
      </c>
      <c r="H66" s="242">
        <f si="30" t="shared"/>
        <v>0.7731909973883917</v>
      </c>
      <c r="I66" s="242">
        <f si="36" t="shared"/>
        <v>1.1498916296809412</v>
      </c>
      <c r="J66" s="242">
        <f si="36" t="shared"/>
        <v>0.97643388487601945</v>
      </c>
      <c r="L66" s="244">
        <v>451</v>
      </c>
      <c r="M66" s="219" t="str">
        <f si="31" t="shared"/>
        <v>P-FTW</v>
      </c>
      <c r="N66" s="166">
        <f si="32" t="shared"/>
        <v>0.26949572566701963</v>
      </c>
      <c r="O66" s="230">
        <f si="33" t="shared"/>
        <v>0.26949572566701963</v>
      </c>
      <c r="P66" s="231">
        <f si="34" t="shared"/>
        <v>0</v>
      </c>
      <c r="Q66" s="211" t="str">
        <f>VLOOKUP(L66,CoeffDef_DayPattern!$A$1:$F$363,5,FALSE)</f>
        <v xml:space="preserve">personalBusinessPurposeConstant * IsFulltimeWorkerFlag                                        </v>
      </c>
      <c r="V66" s="154">
        <f>DayPatternCoefficients!A74</f>
        <v>310</v>
      </c>
      <c r="W66" s="154" t="str">
        <f>DayPatternCoefficients!B74</f>
        <v>E-LOINC</v>
      </c>
      <c r="X66" s="149">
        <f>DayPatternCoefficients!D74</f>
        <v>-0.29925114339999997</v>
      </c>
      <c r="Y66" s="163">
        <f si="19" t="shared"/>
        <v>-0.29925114339999997</v>
      </c>
    </row>
    <row r="67" spans="2:25" x14ac:dyDescent="0.25">
      <c r="B67" s="114" t="s">
        <v>214</v>
      </c>
      <c r="C67" s="270">
        <f si="35" t="shared"/>
        <v>1.0370960485988554</v>
      </c>
      <c r="D67" s="242">
        <f si="37" t="shared"/>
        <v>1.2210486433487506</v>
      </c>
      <c r="E67" s="242">
        <f si="37" t="shared"/>
        <v>1.0077580241929347</v>
      </c>
      <c r="F67" s="270">
        <f si="37" t="shared"/>
        <v>1.0618196372524156</v>
      </c>
      <c r="G67" s="242">
        <f si="30" t="shared"/>
        <v>1.3314610959556861</v>
      </c>
      <c r="H67" s="242">
        <f si="30" t="shared"/>
        <v>0.61347060337573311</v>
      </c>
      <c r="I67" s="242">
        <f si="36" t="shared"/>
        <v>0.82306218273425968</v>
      </c>
      <c r="J67" s="242">
        <f si="36" t="shared"/>
        <v>0.76745055918382576</v>
      </c>
      <c r="L67" s="244">
        <v>551</v>
      </c>
      <c r="M67" s="219" t="str">
        <f si="31" t="shared"/>
        <v>H-FTW</v>
      </c>
      <c r="N67" s="166">
        <f si="32" t="shared"/>
        <v>0.73431067876794243</v>
      </c>
      <c r="O67" s="230">
        <f si="33" t="shared"/>
        <v>0.73431067876794243</v>
      </c>
      <c r="P67" s="231">
        <f si="34" t="shared"/>
        <v>0</v>
      </c>
      <c r="Q67" s="211" t="str">
        <f>VLOOKUP(L67,CoeffDef_DayPattern!$A$1:$F$363,5,FALSE)</f>
        <v xml:space="preserve">shopPurposeConstant * IsFulltimeWorkerFlag                                         </v>
      </c>
      <c r="V67" s="154">
        <f>DayPatternCoefficients!A75</f>
        <v>311</v>
      </c>
      <c r="W67" s="154" t="str">
        <f>DayPatternCoefficients!B75</f>
        <v>E-HIINC</v>
      </c>
      <c r="X67" s="149">
        <f>DayPatternCoefficients!D75</f>
        <v>0</v>
      </c>
      <c r="Y67" s="163">
        <f si="19" t="shared"/>
        <v>0</v>
      </c>
    </row>
    <row r="68" spans="2:25" x14ac:dyDescent="0.25">
      <c r="B68" s="114" t="s">
        <v>129</v>
      </c>
      <c r="C68" s="270">
        <f si="35" t="shared"/>
        <v>1.0411777204627577</v>
      </c>
      <c r="D68" s="242">
        <f si="37" t="shared"/>
        <v>1.0268157832550882</v>
      </c>
      <c r="E68" s="242">
        <f si="37" t="shared"/>
        <v>1.0596743356809699</v>
      </c>
      <c r="F68" s="270">
        <f si="37" t="shared"/>
        <v>1.0161110645164464</v>
      </c>
      <c r="G68" s="242">
        <f si="30" t="shared"/>
        <v>1.1550964980206999</v>
      </c>
      <c r="H68" s="242">
        <f si="30" t="shared"/>
        <v>0</v>
      </c>
      <c r="I68" s="242">
        <f si="36" t="shared"/>
        <v>0.84233177868716858</v>
      </c>
      <c r="J68" s="242">
        <f si="36" t="shared"/>
        <v>0.73837438808875</v>
      </c>
      <c r="L68" s="244">
        <v>651</v>
      </c>
      <c r="M68" s="219" t="str">
        <f si="31" t="shared"/>
        <v>M-FTW</v>
      </c>
      <c r="N68" s="166">
        <f si="32" t="shared"/>
        <v>0.17133569821730341</v>
      </c>
      <c r="O68" s="230">
        <f si="33" t="shared"/>
        <v>0.17133569821730341</v>
      </c>
      <c r="P68" s="231">
        <f si="34" t="shared"/>
        <v>0</v>
      </c>
      <c r="Q68" s="211" t="str">
        <f>VLOOKUP(L68,CoeffDef_DayPattern!$A$1:$F$363,5,FALSE)</f>
        <v xml:space="preserve">mealPurposeConstant * IsFulltimeWorkerFlag                                       </v>
      </c>
      <c r="V68" s="154">
        <f>DayPatternCoefficients!A76</f>
        <v>312</v>
      </c>
      <c r="W68" s="154" t="str">
        <f>DayPatternCoefficients!B76</f>
        <v>E-CARSPD</v>
      </c>
      <c r="X68" s="149">
        <f>DayPatternCoefficients!D76</f>
        <v>0</v>
      </c>
      <c r="Y68" s="163">
        <f ref="Y68:Y131" si="38" t="shared">_xlfn.IFNA(VLOOKUP(V68,$L$63:$N$111,3,FALSE),_xlfn.IFNA(VLOOKUP(V68,$G$5:$K$11,5,FALSE),_xlfn.IFNA(VLOOKUP(V68,$G$19:$K$25,5,FALSE),X68)))</f>
        <v>0</v>
      </c>
    </row>
    <row ht="15.75" r="69" spans="2:25" thickBot="1" x14ac:dyDescent="0.3">
      <c r="B69" s="123" t="s">
        <v>130</v>
      </c>
      <c r="C69" s="271">
        <f si="35" t="shared"/>
        <v>1.0028859968381518</v>
      </c>
      <c r="D69" s="245">
        <f si="37" t="shared"/>
        <v>1.0163316931097335</v>
      </c>
      <c r="E69" s="245">
        <f si="37" t="shared"/>
        <v>0.88926998206384456</v>
      </c>
      <c r="F69" s="245">
        <f si="37" t="shared"/>
        <v>0.98857583016539075</v>
      </c>
      <c r="G69" s="245">
        <f si="30" t="shared"/>
        <v>1.0095095376868914</v>
      </c>
      <c r="H69" s="245">
        <f si="30" t="shared"/>
        <v>0.77044880311066555</v>
      </c>
      <c r="I69" s="245">
        <f si="36" t="shared"/>
        <v>1.049308088396719</v>
      </c>
      <c r="J69" s="245">
        <f si="36" t="shared"/>
        <v>1.1577567719429078</v>
      </c>
      <c r="L69" s="244">
        <v>751</v>
      </c>
      <c r="M69" s="219" t="str">
        <f si="31" t="shared"/>
        <v>D-FTW</v>
      </c>
      <c r="N69" s="166">
        <f si="32" t="shared"/>
        <v>-6.0962981569999998E-2</v>
      </c>
      <c r="O69" s="230">
        <f si="33" t="shared"/>
        <v>-6.0962981569999998E-2</v>
      </c>
      <c r="P69" s="231">
        <f si="34" t="shared"/>
        <v>0</v>
      </c>
      <c r="Q69" s="211" t="str">
        <f>VLOOKUP(L69,CoeffDef_DayPattern!$A$1:$F$363,5,FALSE)</f>
        <v xml:space="preserve">socialOrRecreationPurposeConstant * IsFulltimeWorkerFlag                                             </v>
      </c>
      <c r="V69" s="154">
        <f>DayPatternCoefficients!A77</f>
        <v>313</v>
      </c>
      <c r="W69" s="154" t="str">
        <f>DayPatternCoefficients!B77</f>
        <v>E-ONLYAD</v>
      </c>
      <c r="X69" s="149">
        <f>DayPatternCoefficients!D77</f>
        <v>-0.31883301009999998</v>
      </c>
      <c r="Y69" s="163">
        <f si="38" t="shared"/>
        <v>-0.31883301009999998</v>
      </c>
    </row>
    <row r="70" spans="2:25" x14ac:dyDescent="0.25">
      <c r="L70" s="244">
        <v>102</v>
      </c>
      <c r="M70" s="219" t="str">
        <f si="31" t="shared"/>
        <v>W-PTW</v>
      </c>
      <c r="N70" s="167">
        <f>D128</f>
        <v>-4.0478116758415057</v>
      </c>
      <c r="O70" s="230">
        <f si="33" t="shared"/>
        <v>-4.0478116758415057</v>
      </c>
      <c r="P70" s="231">
        <f si="34" t="shared"/>
        <v>0</v>
      </c>
      <c r="Q70" s="211" t="str">
        <f>VLOOKUP(L70,CoeffDef_DayPattern!$A$1:$F$363,5,FALSE)</f>
        <v xml:space="preserve">workPurposeConstant * IsPartTimeWorkerFlag                                       </v>
      </c>
      <c r="V70" s="154">
        <f>DayPatternCoefficients!A78</f>
        <v>314</v>
      </c>
      <c r="W70" s="154" t="str">
        <f>DayPatternCoefficients!B78</f>
        <v>E-ONLYWK</v>
      </c>
      <c r="X70" s="149">
        <f>DayPatternCoefficients!D78</f>
        <v>-0.54794553160000004</v>
      </c>
      <c r="Y70" s="163">
        <f si="38" t="shared"/>
        <v>-0.54794553160000004</v>
      </c>
    </row>
    <row r="71" spans="2:25" x14ac:dyDescent="0.25">
      <c r="L71" s="244">
        <v>302</v>
      </c>
      <c r="M71" s="219" t="str">
        <f si="31" t="shared"/>
        <v>E-PTW</v>
      </c>
      <c r="N71" s="167">
        <f>D130</f>
        <v>0.1115098678</v>
      </c>
      <c r="O71" s="230">
        <f si="33" t="shared"/>
        <v>0.1115098678</v>
      </c>
      <c r="P71" s="231">
        <f si="34" t="shared"/>
        <v>0</v>
      </c>
      <c r="Q71" s="211" t="str">
        <f>VLOOKUP(L71,CoeffDef_DayPattern!$A$1:$F$363,5,FALSE)</f>
        <v xml:space="preserve">escortPurposeConstant * IsPartTimeWorkerFlag                                         </v>
      </c>
      <c r="V71" s="154">
        <f>DayPatternCoefficients!A79</f>
        <v>316</v>
      </c>
      <c r="W71" s="154" t="str">
        <f>DayPatternCoefficients!B79</f>
        <v>E-FEMNOC</v>
      </c>
      <c r="X71" s="149">
        <f>DayPatternCoefficients!D79</f>
        <v>0</v>
      </c>
      <c r="Y71" s="163">
        <f si="38" t="shared"/>
        <v>0</v>
      </c>
    </row>
    <row r="72" spans="2:25" x14ac:dyDescent="0.25">
      <c r="B72" s="118" t="s">
        <v>175</v>
      </c>
      <c r="L72" s="244">
        <v>402</v>
      </c>
      <c r="M72" s="219" t="str">
        <f si="31" t="shared"/>
        <v>P-PTW</v>
      </c>
      <c r="N72" s="167">
        <f>D131</f>
        <v>9.8331239979999999E-2</v>
      </c>
      <c r="O72" s="230">
        <f si="33" t="shared"/>
        <v>9.8331239979999999E-2</v>
      </c>
      <c r="P72" s="231">
        <f si="34" t="shared"/>
        <v>0</v>
      </c>
      <c r="Q72" s="211" t="str">
        <f>VLOOKUP(L72,CoeffDef_DayPattern!$A$1:$F$363,5,FALSE)</f>
        <v xml:space="preserve">personalBusinessPurposeConstant * IsPartTimeWorkerFlag                                        </v>
      </c>
      <c r="V72" s="154">
        <f>DayPatternCoefficients!A80</f>
        <v>317</v>
      </c>
      <c r="W72" s="154" t="str">
        <f>DayPatternCoefficients!B80</f>
        <v>E-FADCU5</v>
      </c>
      <c r="X72" s="149">
        <f>DayPatternCoefficients!D80</f>
        <v>1.22669557621</v>
      </c>
      <c r="Y72" s="163">
        <f si="38" t="shared"/>
        <v>1.22669557621</v>
      </c>
    </row>
    <row r="73" spans="2:25" x14ac:dyDescent="0.25">
      <c r="B73" s="118" t="s">
        <v>3958</v>
      </c>
      <c r="C73" s="266">
        <v>0</v>
      </c>
      <c r="D73" s="154"/>
      <c r="L73" s="244">
        <v>502</v>
      </c>
      <c r="M73" s="219" t="str">
        <f si="31" t="shared"/>
        <v>H-PTW</v>
      </c>
      <c r="N73" s="167">
        <f>D132</f>
        <v>-0.13429511461999999</v>
      </c>
      <c r="O73" s="230">
        <f si="33" t="shared"/>
        <v>-0.13429511461999999</v>
      </c>
      <c r="P73" s="231">
        <f si="34" t="shared"/>
        <v>0</v>
      </c>
      <c r="Q73" s="211" t="str">
        <f>VLOOKUP(L73,CoeffDef_DayPattern!$A$1:$F$363,5,FALSE)</f>
        <v xml:space="preserve">shopPurposeConstant * IsPartTimeWorkerFlag                                         </v>
      </c>
      <c r="V73" s="154">
        <f>DayPatternCoefficients!A81</f>
        <v>318</v>
      </c>
      <c r="W73" s="154" t="str">
        <f>DayPatternCoefficients!B81</f>
        <v>E-FAD515</v>
      </c>
      <c r="X73" s="149">
        <f>DayPatternCoefficients!D81</f>
        <v>1.7287074631199999</v>
      </c>
      <c r="Y73" s="163">
        <f si="38" t="shared"/>
        <v>1.7287074631199999</v>
      </c>
    </row>
    <row ht="15.75" r="74" spans="2:25" thickBot="1" x14ac:dyDescent="0.3">
      <c r="C74" s="142"/>
      <c r="D74" s="142"/>
      <c r="E74" s="142"/>
      <c r="F74" s="142"/>
      <c r="G74" s="142"/>
      <c r="H74" s="142"/>
      <c r="I74" s="142"/>
      <c r="L74" s="244">
        <v>602</v>
      </c>
      <c r="M74" s="219" t="str">
        <f si="31" t="shared"/>
        <v>M-PTW</v>
      </c>
      <c r="N74" s="167">
        <f>D133</f>
        <v>-0.42900205115000001</v>
      </c>
      <c r="O74" s="230">
        <f si="33" t="shared"/>
        <v>-0.42900205115000001</v>
      </c>
      <c r="P74" s="231">
        <f si="34" t="shared"/>
        <v>0</v>
      </c>
      <c r="Q74" s="211" t="str">
        <f>VLOOKUP(L74,CoeffDef_DayPattern!$A$1:$F$363,5,FALSE)</f>
        <v xml:space="preserve">mealPurposeConstant * IsPartTimeWorkerFlag                                       </v>
      </c>
      <c r="V74" s="154">
        <f>DayPatternCoefficients!A82</f>
        <v>319</v>
      </c>
      <c r="W74" s="154" t="str">
        <f>DayPatternCoefficients!B82</f>
        <v>E-MADCU5</v>
      </c>
      <c r="X74" s="149">
        <f>DayPatternCoefficients!D82</f>
        <v>0.84736851682000003</v>
      </c>
      <c r="Y74" s="163">
        <f si="38" t="shared"/>
        <v>0.84736851682000003</v>
      </c>
    </row>
    <row r="75" spans="2:25" x14ac:dyDescent="0.25">
      <c r="B75" s="238" t="s">
        <v>159</v>
      </c>
      <c r="C75" s="239" t="s">
        <v>146</v>
      </c>
      <c r="D75" s="239" t="s">
        <v>147</v>
      </c>
      <c r="E75" s="239" t="s">
        <v>148</v>
      </c>
      <c r="F75" s="239" t="s">
        <v>243</v>
      </c>
      <c r="G75" s="239" t="s">
        <v>244</v>
      </c>
      <c r="H75" s="239" t="s">
        <v>245</v>
      </c>
      <c r="I75" s="239" t="s">
        <v>246</v>
      </c>
      <c r="J75" s="239" t="s">
        <v>3959</v>
      </c>
      <c r="L75" s="244">
        <v>702</v>
      </c>
      <c r="M75" s="219" t="str">
        <f si="31" t="shared"/>
        <v>D-PTW</v>
      </c>
      <c r="N75" s="167">
        <f>D134</f>
        <v>6.1732609389999998E-2</v>
      </c>
      <c r="O75" s="230">
        <f si="33" t="shared"/>
        <v>6.1732609389999998E-2</v>
      </c>
      <c r="P75" s="231">
        <f si="34" t="shared"/>
        <v>0</v>
      </c>
      <c r="Q75" s="211" t="str">
        <f>VLOOKUP(L75,CoeffDef_DayPattern!$A$1:$F$363,5,FALSE)</f>
        <v xml:space="preserve">socialOrRecreationPurposeConstant * IsPartTimeWorkerFlag                                             </v>
      </c>
      <c r="V75" s="154">
        <f>DayPatternCoefficients!A83</f>
        <v>320</v>
      </c>
      <c r="W75" s="154" t="str">
        <f>DayPatternCoefficients!B83</f>
        <v>E-MAD515</v>
      </c>
      <c r="X75" s="149">
        <f>DayPatternCoefficients!D83</f>
        <v>1.2567390153</v>
      </c>
      <c r="Y75" s="163">
        <f si="38" t="shared"/>
        <v>1.2567390153</v>
      </c>
    </row>
    <row r="76" spans="2:25" x14ac:dyDescent="0.25">
      <c r="B76" s="114" t="s">
        <v>210</v>
      </c>
      <c r="C76" s="246">
        <v>4</v>
      </c>
      <c r="D76" s="246">
        <v>1</v>
      </c>
      <c r="E76" s="247" t="s">
        <v>1031</v>
      </c>
      <c r="F76" s="247" t="s">
        <v>1031</v>
      </c>
      <c r="G76" s="246">
        <f ref="C76:J82" si="39" t="shared">$C$73</f>
        <v>0</v>
      </c>
      <c r="H76" s="246">
        <f>$C$73</f>
        <v>0</v>
      </c>
      <c r="I76" s="247" t="s">
        <v>1031</v>
      </c>
      <c r="J76" s="247" t="s">
        <v>1031</v>
      </c>
      <c r="L76" s="244">
        <v>303</v>
      </c>
      <c r="M76" s="219" t="str">
        <f si="31" t="shared"/>
        <v>E-RET</v>
      </c>
      <c r="N76" s="167">
        <f>E130</f>
        <v>-0.56207576691000005</v>
      </c>
      <c r="O76" s="230">
        <f si="33" t="shared"/>
        <v>-0.56207576691000005</v>
      </c>
      <c r="P76" s="231">
        <f si="34" t="shared"/>
        <v>0</v>
      </c>
      <c r="Q76" s="211" t="str">
        <f>VLOOKUP(L76,CoeffDef_DayPattern!$A$1:$F$363,5,FALSE)</f>
        <v xml:space="preserve">escortPurposeConstant * IsRetiredAdultFlag                                           </v>
      </c>
      <c r="V76" s="154">
        <f>DayPatternCoefficients!A84</f>
        <v>321</v>
      </c>
      <c r="W76" s="154" t="str">
        <f>DayPatternCoefficients!B84</f>
        <v>E-AG1825</v>
      </c>
      <c r="X76" s="149">
        <f>DayPatternCoefficients!D84</f>
        <v>-0.05</v>
      </c>
      <c r="Y76" s="163">
        <f si="38" t="shared"/>
        <v>-0.05</v>
      </c>
    </row>
    <row r="77" spans="2:25" x14ac:dyDescent="0.25">
      <c r="B77" s="114" t="s">
        <v>211</v>
      </c>
      <c r="C77" s="246">
        <f si="39" t="shared"/>
        <v>0</v>
      </c>
      <c r="D77" s="247" t="s">
        <v>1031</v>
      </c>
      <c r="E77" s="247" t="s">
        <v>1031</v>
      </c>
      <c r="F77" s="247" t="s">
        <v>1031</v>
      </c>
      <c r="G77" s="246">
        <f>$C$73</f>
        <v>0</v>
      </c>
      <c r="H77" s="246">
        <f>$C$73</f>
        <v>0</v>
      </c>
      <c r="I77" s="269">
        <f si="39" t="shared"/>
        <v>0</v>
      </c>
      <c r="J77" s="269">
        <f si="39" t="shared"/>
        <v>0</v>
      </c>
      <c r="L77" s="244">
        <v>403</v>
      </c>
      <c r="M77" s="219" t="str">
        <f si="31" t="shared"/>
        <v>P-RET</v>
      </c>
      <c r="N77" s="167">
        <f>E131</f>
        <v>1.7130516389999999E-2</v>
      </c>
      <c r="O77" s="230">
        <f si="33" t="shared"/>
        <v>1.7130516389999999E-2</v>
      </c>
      <c r="P77" s="231">
        <f si="34" t="shared"/>
        <v>0</v>
      </c>
      <c r="Q77" s="211" t="str">
        <f>VLOOKUP(L77,CoeffDef_DayPattern!$A$1:$F$363,5,FALSE)</f>
        <v xml:space="preserve">personalBusinessPurposeConstant * IsRetiredAdultFlag                                          </v>
      </c>
      <c r="V77" s="154">
        <f>DayPatternCoefficients!A85</f>
        <v>322</v>
      </c>
      <c r="W77" s="154" t="str">
        <f>DayPatternCoefficients!B85</f>
        <v>E-AG2635</v>
      </c>
      <c r="X77" s="149">
        <f>DayPatternCoefficients!D85</f>
        <v>-0.42222676139999998</v>
      </c>
      <c r="Y77" s="163">
        <f si="38" t="shared"/>
        <v>-0.42222676139999998</v>
      </c>
    </row>
    <row r="78" spans="2:25" x14ac:dyDescent="0.25">
      <c r="B78" s="114" t="s">
        <v>212</v>
      </c>
      <c r="C78" s="246">
        <v>2</v>
      </c>
      <c r="D78" s="246">
        <f si="39" t="shared"/>
        <v>0</v>
      </c>
      <c r="E78" s="246">
        <f si="39" t="shared"/>
        <v>0</v>
      </c>
      <c r="F78" s="246">
        <v>1</v>
      </c>
      <c r="G78" s="246">
        <f si="39" t="shared"/>
        <v>0</v>
      </c>
      <c r="H78" s="246">
        <f si="39" t="shared"/>
        <v>0</v>
      </c>
      <c r="I78" s="269">
        <f si="39" t="shared"/>
        <v>0</v>
      </c>
      <c r="J78" s="269">
        <f si="39" t="shared"/>
        <v>0</v>
      </c>
      <c r="L78" s="244">
        <v>503</v>
      </c>
      <c r="M78" s="219" t="str">
        <f si="31" t="shared"/>
        <v>H-RET</v>
      </c>
      <c r="N78" s="167">
        <f>E132</f>
        <v>-4.464107355E-2</v>
      </c>
      <c r="O78" s="230">
        <f si="33" t="shared"/>
        <v>-4.464107355E-2</v>
      </c>
      <c r="P78" s="231">
        <f si="34" t="shared"/>
        <v>0</v>
      </c>
      <c r="Q78" s="211" t="str">
        <f>VLOOKUP(L78,CoeffDef_DayPattern!$A$1:$F$363,5,FALSE)</f>
        <v xml:space="preserve">shopPurposeConstant * IsRetiredAdultFlag                                           </v>
      </c>
      <c r="V78" s="154">
        <f>DayPatternCoefficients!A86</f>
        <v>323</v>
      </c>
      <c r="W78" s="154" t="str">
        <f>DayPatternCoefficients!B86</f>
        <v>E-AG5165</v>
      </c>
      <c r="X78" s="149">
        <f>DayPatternCoefficients!D86</f>
        <v>-0.51140352830000002</v>
      </c>
      <c r="Y78" s="163">
        <f si="38" t="shared"/>
        <v>-0.51140352830000002</v>
      </c>
    </row>
    <row r="79" spans="2:25" x14ac:dyDescent="0.25">
      <c r="B79" s="114" t="s">
        <v>213</v>
      </c>
      <c r="C79" s="246">
        <v>1</v>
      </c>
      <c r="D79" s="246">
        <f si="39" t="shared"/>
        <v>0</v>
      </c>
      <c r="E79" s="246">
        <f si="39" t="shared"/>
        <v>0</v>
      </c>
      <c r="F79" s="246">
        <f si="39" t="shared"/>
        <v>0</v>
      </c>
      <c r="G79" s="246">
        <f si="39" t="shared"/>
        <v>0</v>
      </c>
      <c r="H79" s="246">
        <f si="39" t="shared"/>
        <v>0</v>
      </c>
      <c r="I79" s="269">
        <f si="39" t="shared"/>
        <v>0</v>
      </c>
      <c r="J79" s="269">
        <f si="39" t="shared"/>
        <v>0</v>
      </c>
      <c r="L79" s="244">
        <v>603</v>
      </c>
      <c r="M79" s="219" t="str">
        <f si="31" t="shared"/>
        <v>M-RET</v>
      </c>
      <c r="N79" s="167">
        <f>E133</f>
        <v>-0.32764254858000003</v>
      </c>
      <c r="O79" s="230">
        <f si="33" t="shared"/>
        <v>-0.32764254858000003</v>
      </c>
      <c r="P79" s="231">
        <f si="34" t="shared"/>
        <v>0</v>
      </c>
      <c r="Q79" s="211" t="str">
        <f>VLOOKUP(L79,CoeffDef_DayPattern!$A$1:$F$363,5,FALSE)</f>
        <v xml:space="preserve">mealPurposeConstant * IsRetiredAdultFlag                                         </v>
      </c>
      <c r="V79" s="154">
        <f>DayPatternCoefficients!A87</f>
        <v>324</v>
      </c>
      <c r="W79" s="154" t="str">
        <f>DayPatternCoefficients!B87</f>
        <v>E-WAHOME</v>
      </c>
      <c r="X79" s="149">
        <f>DayPatternCoefficients!D87</f>
        <v>0</v>
      </c>
      <c r="Y79" s="163">
        <f si="38" t="shared"/>
        <v>0</v>
      </c>
    </row>
    <row r="80" spans="2:25" x14ac:dyDescent="0.25">
      <c r="B80" s="114" t="s">
        <v>214</v>
      </c>
      <c r="C80" s="246">
        <v>1</v>
      </c>
      <c r="D80" s="246">
        <f si="39" t="shared"/>
        <v>0</v>
      </c>
      <c r="E80" s="246">
        <f si="39" t="shared"/>
        <v>0</v>
      </c>
      <c r="F80" s="246">
        <v>1</v>
      </c>
      <c r="G80" s="246">
        <f si="39" t="shared"/>
        <v>0</v>
      </c>
      <c r="H80" s="246">
        <f si="39" t="shared"/>
        <v>0</v>
      </c>
      <c r="I80" s="269">
        <f si="39" t="shared"/>
        <v>0</v>
      </c>
      <c r="J80" s="269">
        <f si="39" t="shared"/>
        <v>0</v>
      </c>
      <c r="L80" s="244">
        <v>703</v>
      </c>
      <c r="M80" s="219" t="str">
        <f si="31" t="shared"/>
        <v>D-RET</v>
      </c>
      <c r="N80" s="167">
        <f>E134</f>
        <v>-0.22493912760000001</v>
      </c>
      <c r="O80" s="230">
        <f si="33" t="shared"/>
        <v>-0.22493912760000001</v>
      </c>
      <c r="P80" s="231">
        <f si="34" t="shared"/>
        <v>0</v>
      </c>
      <c r="Q80" s="211" t="str">
        <f>VLOOKUP(L80,CoeffDef_DayPattern!$A$1:$F$363,5,FALSE)</f>
        <v xml:space="preserve">socialOrRecreationPurposeConstant * IsRetiredAdultFlag                                               </v>
      </c>
      <c r="V80" s="154">
        <f>DayPatternCoefficients!A88</f>
        <v>325</v>
      </c>
      <c r="W80" s="154" t="str">
        <f>DayPatternCoefficients!B88</f>
        <v>E-MIXDEN</v>
      </c>
      <c r="X80" s="149">
        <f>DayPatternCoefficients!D88</f>
        <v>0</v>
      </c>
      <c r="Y80" s="163">
        <f si="38" t="shared"/>
        <v>0</v>
      </c>
    </row>
    <row r="81" spans="2:25" x14ac:dyDescent="0.25">
      <c r="B81" s="114" t="s">
        <v>129</v>
      </c>
      <c r="C81" s="246">
        <v>1</v>
      </c>
      <c r="D81" s="246">
        <f si="39" t="shared"/>
        <v>0</v>
      </c>
      <c r="E81" s="246">
        <f si="39" t="shared"/>
        <v>0</v>
      </c>
      <c r="F81" s="246">
        <v>1</v>
      </c>
      <c r="G81" s="246">
        <f si="39" t="shared"/>
        <v>0</v>
      </c>
      <c r="H81" s="246">
        <f si="39" t="shared"/>
        <v>0</v>
      </c>
      <c r="I81" s="269">
        <f si="39" t="shared"/>
        <v>0</v>
      </c>
      <c r="J81" s="269">
        <f si="39" t="shared"/>
        <v>0</v>
      </c>
      <c r="L81" s="244">
        <v>304</v>
      </c>
      <c r="M81" s="219" t="str">
        <f si="31" t="shared"/>
        <v>E-NWA</v>
      </c>
      <c r="N81" s="167">
        <f>F130</f>
        <v>-8.7050565473235669E-2</v>
      </c>
      <c r="O81" s="230">
        <f si="33" t="shared"/>
        <v>-8.7050565473235669E-2</v>
      </c>
      <c r="P81" s="231">
        <f si="34" t="shared"/>
        <v>0</v>
      </c>
      <c r="Q81" s="211" t="str">
        <f>VLOOKUP(L81,CoeffDef_DayPattern!$A$1:$F$363,5,FALSE)</f>
        <v xml:space="preserve">escortPurposeConstant * IsNonworkingAdultFlag                                        </v>
      </c>
      <c r="V81" s="154">
        <f>DayPatternCoefficients!A89</f>
        <v>326</v>
      </c>
      <c r="W81" s="154" t="str">
        <f>DayPatternCoefficients!B89</f>
        <v>E-INTDEN</v>
      </c>
      <c r="X81" s="149">
        <f>DayPatternCoefficients!D89</f>
        <v>0</v>
      </c>
      <c r="Y81" s="163">
        <f si="38" t="shared"/>
        <v>0</v>
      </c>
    </row>
    <row ht="15.75" r="82" spans="2:25" thickBot="1" x14ac:dyDescent="0.3">
      <c r="B82" s="123" t="s">
        <v>130</v>
      </c>
      <c r="C82" s="248">
        <f si="39" t="shared"/>
        <v>0</v>
      </c>
      <c r="D82" s="248">
        <f si="39" t="shared"/>
        <v>0</v>
      </c>
      <c r="E82" s="248">
        <f si="39" t="shared"/>
        <v>0</v>
      </c>
      <c r="F82" s="248">
        <f si="39" t="shared"/>
        <v>0</v>
      </c>
      <c r="G82" s="248">
        <f si="39" t="shared"/>
        <v>0</v>
      </c>
      <c r="H82" s="248">
        <f si="39" t="shared"/>
        <v>0</v>
      </c>
      <c r="I82" s="248">
        <f si="39" t="shared"/>
        <v>0</v>
      </c>
      <c r="J82" s="248">
        <f si="39" t="shared"/>
        <v>0</v>
      </c>
      <c r="L82" s="244">
        <v>404</v>
      </c>
      <c r="M82" s="219" t="str">
        <f si="31" t="shared"/>
        <v>P-NWA</v>
      </c>
      <c r="N82" s="167">
        <f>F131</f>
        <v>-0.17244112544000001</v>
      </c>
      <c r="O82" s="230">
        <f si="33" t="shared"/>
        <v>-0.17244112544000001</v>
      </c>
      <c r="P82" s="231">
        <f si="34" t="shared"/>
        <v>0</v>
      </c>
      <c r="Q82" s="211" t="str">
        <f>VLOOKUP(L82,CoeffDef_DayPattern!$A$1:$F$363,5,FALSE)</f>
        <v xml:space="preserve">personalBusinessPurposeConstant * IsNonworkingAdultFlag                                       </v>
      </c>
      <c r="V82" s="154">
        <f>DayPatternCoefficients!A90</f>
        <v>327</v>
      </c>
      <c r="W82" s="154" t="str">
        <f>DayPatternCoefficients!B90</f>
        <v>E-ACCLOG</v>
      </c>
      <c r="X82" s="149">
        <f>DayPatternCoefficients!D90</f>
        <v>0</v>
      </c>
      <c r="Y82" s="163">
        <f si="38" t="shared"/>
        <v>0</v>
      </c>
    </row>
    <row r="83" spans="2:25" x14ac:dyDescent="0.25">
      <c r="L83" s="244">
        <v>504</v>
      </c>
      <c r="M83" s="219" t="str">
        <f si="31" t="shared"/>
        <v>H-NWA</v>
      </c>
      <c r="N83" s="167">
        <f>F132</f>
        <v>0.37419094374081996</v>
      </c>
      <c r="O83" s="230">
        <f si="33" t="shared"/>
        <v>0.37419094374081996</v>
      </c>
      <c r="P83" s="231">
        <f si="34" t="shared"/>
        <v>0</v>
      </c>
      <c r="Q83" s="211" t="str">
        <f>VLOOKUP(L83,CoeffDef_DayPattern!$A$1:$F$363,5,FALSE)</f>
        <v xml:space="preserve">shopPurposeConstant * IsNonworkingAdultFlag                                        </v>
      </c>
      <c r="V83" s="154">
        <f>DayPatternCoefficients!A91</f>
        <v>328</v>
      </c>
      <c r="W83" s="154" t="str">
        <f>DayPatternCoefficients!B91</f>
        <v>E-T-LOGS</v>
      </c>
      <c r="X83" s="149">
        <f>DayPatternCoefficients!D91</f>
        <v>-4.0281415600000002E-2</v>
      </c>
      <c r="Y83" s="163">
        <f si="38" t="shared"/>
        <v>-4.0281415600000002E-2</v>
      </c>
    </row>
    <row r="84" spans="2:25" x14ac:dyDescent="0.25">
      <c r="L84" s="244">
        <v>604</v>
      </c>
      <c r="M84" s="219" t="str">
        <f si="31" t="shared"/>
        <v>M-NWA</v>
      </c>
      <c r="N84" s="167">
        <f>F133</f>
        <v>-2.1746580359267024E-2</v>
      </c>
      <c r="O84" s="230">
        <f si="33" t="shared"/>
        <v>-2.1746580359267024E-2</v>
      </c>
      <c r="P84" s="231">
        <f si="34" t="shared"/>
        <v>0</v>
      </c>
      <c r="Q84" s="211" t="str">
        <f>VLOOKUP(L84,CoeffDef_DayPattern!$A$1:$F$363,5,FALSE)</f>
        <v xml:space="preserve">mealPurposeConstant * IsNonworkingAdultFlag                                      </v>
      </c>
      <c r="V84" s="154">
        <f>DayPatternCoefficients!A92</f>
        <v>329</v>
      </c>
      <c r="W84" s="154" t="str">
        <f>DayPatternCoefficients!B92</f>
        <v>E-S-LOGS</v>
      </c>
      <c r="X84" s="149">
        <f>DayPatternCoefficients!D92</f>
        <v>-1.79238722E-2</v>
      </c>
      <c r="Y84" s="163">
        <f si="38" t="shared"/>
        <v>-1.79238722E-2</v>
      </c>
    </row>
    <row r="85" spans="2:25" x14ac:dyDescent="0.25">
      <c r="B85" s="118" t="s">
        <v>175</v>
      </c>
      <c r="L85" s="244">
        <v>704</v>
      </c>
      <c r="M85" s="219" t="str">
        <f si="31" t="shared"/>
        <v>D-NWA</v>
      </c>
      <c r="N85" s="167">
        <f>F134</f>
        <v>4.7151419719999997E-2</v>
      </c>
      <c r="O85" s="230">
        <f si="33" t="shared"/>
        <v>4.7151419719999997E-2</v>
      </c>
      <c r="P85" s="231">
        <f si="34" t="shared"/>
        <v>0</v>
      </c>
      <c r="Q85" s="211" t="str">
        <f>VLOOKUP(L85,CoeffDef_DayPattern!$A$1:$F$363,5,FALSE)</f>
        <v xml:space="preserve">socialOrRecreationPurposeConstant * IsNonworkingAdultFlag                                            </v>
      </c>
      <c r="V85" s="136">
        <f>DayPatternCoefficients!A93</f>
        <v>351</v>
      </c>
      <c r="W85" s="136" t="str">
        <f>DayPatternCoefficients!B93</f>
        <v>E-FTW</v>
      </c>
      <c r="X85" s="137">
        <f>DayPatternCoefficients!D93</f>
        <v>0.78954762594000005</v>
      </c>
      <c r="Y85" s="163">
        <f si="38" t="shared"/>
        <v>0.80881662458662351</v>
      </c>
    </row>
    <row r="86" spans="2:25" x14ac:dyDescent="0.25">
      <c r="B86" s="118" t="s">
        <v>1039</v>
      </c>
      <c r="L86" s="244">
        <v>105</v>
      </c>
      <c r="M86" s="219" t="str">
        <f si="31" t="shared"/>
        <v>W-UNI</v>
      </c>
      <c r="N86" s="167">
        <f ref="N86:N92" si="40" t="shared">G128</f>
        <v>3.0966581205899999</v>
      </c>
      <c r="O86" s="230">
        <f si="33" t="shared"/>
        <v>3.0966581205899999</v>
      </c>
      <c r="P86" s="231">
        <f si="34" t="shared"/>
        <v>0</v>
      </c>
      <c r="Q86" s="211" t="str">
        <f>VLOOKUP(L86,CoeffDef_DayPattern!$A$1:$F$363,5,FALSE)</f>
        <v xml:space="preserve">workPurposeConstant * IsUniversityStudentFlag                                    </v>
      </c>
      <c r="V86" s="136">
        <f>DayPatternCoefficients!A94</f>
        <v>400</v>
      </c>
      <c r="W86" s="136" t="str">
        <f>DayPatternCoefficients!B94</f>
        <v>P-TASC</v>
      </c>
      <c r="X86" s="137">
        <f>DayPatternCoefficients!D94</f>
        <v>-1.4753141472</v>
      </c>
      <c r="Y86" s="163">
        <f si="38" t="shared"/>
        <v>-1.4753141472</v>
      </c>
    </row>
    <row ht="15.75" r="87" spans="2:25" thickBot="1" x14ac:dyDescent="0.3">
      <c r="C87" s="142"/>
      <c r="D87" s="142"/>
      <c r="E87" s="142"/>
      <c r="F87" s="142"/>
      <c r="G87" s="142"/>
      <c r="H87" s="142"/>
      <c r="I87" s="142"/>
      <c r="L87" s="244">
        <v>205</v>
      </c>
      <c r="M87" s="219" t="str">
        <f si="31" t="shared"/>
        <v>S-UNI</v>
      </c>
      <c r="N87" s="167">
        <f si="40" t="shared"/>
        <v>-1.62899807559</v>
      </c>
      <c r="O87" s="230">
        <f si="33" t="shared"/>
        <v>-1.62899807559</v>
      </c>
      <c r="P87" s="231">
        <f si="34" t="shared"/>
        <v>0</v>
      </c>
      <c r="Q87" s="211" t="str">
        <f>VLOOKUP(L87,CoeffDef_DayPattern!$A$1:$F$363,5,FALSE)</f>
        <v xml:space="preserve">schoolPurposeConstant * IsUniversityStudentFlag                                      </v>
      </c>
      <c r="V87" s="136">
        <f>DayPatternCoefficients!A95</f>
        <v>401</v>
      </c>
      <c r="W87" s="136" t="str">
        <f>DayPatternCoefficients!B95</f>
        <v>P-SASC</v>
      </c>
      <c r="X87" s="137">
        <f>DayPatternCoefficients!D95</f>
        <v>0.36734048200000002</v>
      </c>
      <c r="Y87" s="163">
        <f si="38" t="shared"/>
        <v>0.36734048200000002</v>
      </c>
    </row>
    <row r="88" spans="2:25" x14ac:dyDescent="0.25">
      <c r="B88" s="238" t="s">
        <v>159</v>
      </c>
      <c r="C88" s="239" t="s">
        <v>146</v>
      </c>
      <c r="D88" s="239" t="s">
        <v>147</v>
      </c>
      <c r="E88" s="239" t="s">
        <v>148</v>
      </c>
      <c r="F88" s="239" t="s">
        <v>243</v>
      </c>
      <c r="G88" s="239" t="s">
        <v>244</v>
      </c>
      <c r="H88" s="239" t="s">
        <v>245</v>
      </c>
      <c r="I88" s="239" t="s">
        <v>246</v>
      </c>
      <c r="J88" s="239" t="str">
        <f>J75</f>
        <v>Child5</v>
      </c>
      <c r="L88" s="244">
        <v>305</v>
      </c>
      <c r="M88" s="219" t="str">
        <f si="31" t="shared"/>
        <v>E-UNI</v>
      </c>
      <c r="N88" s="167">
        <f si="40" t="shared"/>
        <v>-0.27437519666999999</v>
      </c>
      <c r="O88" s="230">
        <f si="33" t="shared"/>
        <v>-0.27437519666999999</v>
      </c>
      <c r="P88" s="231">
        <f si="34" t="shared"/>
        <v>0</v>
      </c>
      <c r="Q88" s="211" t="str">
        <f>VLOOKUP(L88,CoeffDef_DayPattern!$A$1:$F$363,5,FALSE)</f>
        <v xml:space="preserve">escortPurposeConstant * IsUniversityStudentFlag                                      </v>
      </c>
      <c r="V88" s="136">
        <f>DayPatternCoefficients!A96</f>
        <v>402</v>
      </c>
      <c r="W88" s="136" t="str">
        <f>DayPatternCoefficients!B96</f>
        <v>P-PTW</v>
      </c>
      <c r="X88" s="137">
        <f>DayPatternCoefficients!D96</f>
        <v>9.8331239979999999E-2</v>
      </c>
      <c r="Y88" s="163">
        <f si="38" t="shared"/>
        <v>9.8331239979999999E-2</v>
      </c>
    </row>
    <row r="89" spans="2:25" x14ac:dyDescent="0.25">
      <c r="B89" s="114" t="s">
        <v>210</v>
      </c>
      <c r="C89" s="124">
        <v>151</v>
      </c>
      <c r="D89" s="124">
        <v>102</v>
      </c>
      <c r="E89" s="243" t="s">
        <v>1031</v>
      </c>
      <c r="F89" s="243" t="s">
        <v>1031</v>
      </c>
      <c r="G89" s="124">
        <v>105</v>
      </c>
      <c r="H89" s="124">
        <v>106</v>
      </c>
      <c r="I89" s="243" t="s">
        <v>1031</v>
      </c>
      <c r="L89" s="244">
        <v>405</v>
      </c>
      <c r="M89" s="219" t="str">
        <f si="31" t="shared"/>
        <v>P-UNI</v>
      </c>
      <c r="N89" s="167">
        <f si="40" t="shared"/>
        <v>0.24508736319999999</v>
      </c>
      <c r="O89" s="230">
        <f si="33" t="shared"/>
        <v>0.24508736319999999</v>
      </c>
      <c r="P89" s="231">
        <f si="34" t="shared"/>
        <v>0</v>
      </c>
      <c r="Q89" s="211" t="str">
        <f>VLOOKUP(L89,CoeffDef_DayPattern!$A$1:$F$363,5,FALSE)</f>
        <v xml:space="preserve">personalBusinessPurposeConstant * IsUniversityStudentFlag                                     </v>
      </c>
      <c r="V89" s="136">
        <f>DayPatternCoefficients!A97</f>
        <v>403</v>
      </c>
      <c r="W89" s="136" t="str">
        <f>DayPatternCoefficients!B97</f>
        <v>P-RET</v>
      </c>
      <c r="X89" s="137">
        <f>DayPatternCoefficients!D97</f>
        <v>1.7130516389999999E-2</v>
      </c>
      <c r="Y89" s="163">
        <f si="38" t="shared"/>
        <v>1.7130516389999999E-2</v>
      </c>
    </row>
    <row r="90" spans="2:25" x14ac:dyDescent="0.25">
      <c r="B90" s="114" t="s">
        <v>211</v>
      </c>
      <c r="C90" s="124">
        <v>251</v>
      </c>
      <c r="D90" s="243" t="s">
        <v>1031</v>
      </c>
      <c r="E90" s="243" t="s">
        <v>1031</v>
      </c>
      <c r="F90" s="243" t="s">
        <v>1031</v>
      </c>
      <c r="G90" s="124">
        <v>205</v>
      </c>
      <c r="H90" s="124">
        <v>206</v>
      </c>
      <c r="I90" s="124">
        <v>207</v>
      </c>
      <c r="J90" s="114">
        <v>208</v>
      </c>
      <c r="L90" s="244">
        <v>505</v>
      </c>
      <c r="M90" s="219" t="str">
        <f si="31" t="shared"/>
        <v>H-UNI</v>
      </c>
      <c r="N90" s="167">
        <f si="40" t="shared"/>
        <v>0.57463336280999999</v>
      </c>
      <c r="O90" s="230">
        <f si="33" t="shared"/>
        <v>0.57463336280999999</v>
      </c>
      <c r="P90" s="231">
        <f si="34" t="shared"/>
        <v>0</v>
      </c>
      <c r="Q90" s="211" t="str">
        <f>VLOOKUP(L90,CoeffDef_DayPattern!$A$1:$F$363,5,FALSE)</f>
        <v xml:space="preserve">shopPurposeConstant * IsUniversityStudentFlag                                      </v>
      </c>
      <c r="V90" s="136">
        <f>DayPatternCoefficients!A98</f>
        <v>404</v>
      </c>
      <c r="W90" s="136" t="str">
        <f>DayPatternCoefficients!B98</f>
        <v>P-NWA</v>
      </c>
      <c r="X90" s="137">
        <f>DayPatternCoefficients!D98</f>
        <v>-0.17244112544000001</v>
      </c>
      <c r="Y90" s="163">
        <f si="38" t="shared"/>
        <v>-0.17244112544000001</v>
      </c>
    </row>
    <row r="91" spans="2:25" x14ac:dyDescent="0.25">
      <c r="B91" s="114" t="s">
        <v>212</v>
      </c>
      <c r="C91" s="124">
        <v>351</v>
      </c>
      <c r="D91" s="124">
        <v>302</v>
      </c>
      <c r="E91" s="124">
        <v>303</v>
      </c>
      <c r="F91" s="124">
        <v>304</v>
      </c>
      <c r="G91" s="124">
        <v>305</v>
      </c>
      <c r="H91" s="124">
        <v>306</v>
      </c>
      <c r="I91" s="124">
        <v>307</v>
      </c>
      <c r="J91" s="114">
        <v>308</v>
      </c>
      <c r="L91" s="244">
        <v>605</v>
      </c>
      <c r="M91" s="219" t="str">
        <f si="31" t="shared"/>
        <v>M-UNI</v>
      </c>
      <c r="N91" s="167">
        <f si="40" t="shared"/>
        <v>4.7209205269999999E-2</v>
      </c>
      <c r="O91" s="230">
        <f si="33" t="shared"/>
        <v>4.7209205269999999E-2</v>
      </c>
      <c r="P91" s="231">
        <f si="34" t="shared"/>
        <v>0</v>
      </c>
      <c r="Q91" s="211" t="str">
        <f>VLOOKUP(L91,CoeffDef_DayPattern!$A$1:$F$363,5,FALSE)</f>
        <v xml:space="preserve">mealPurposeConstant * IsUniversityStudentFlag                                    </v>
      </c>
      <c r="V91" s="136">
        <f>DayPatternCoefficients!A99</f>
        <v>405</v>
      </c>
      <c r="W91" s="136" t="str">
        <f>DayPatternCoefficients!B99</f>
        <v>P-UNI</v>
      </c>
      <c r="X91" s="137">
        <f>DayPatternCoefficients!D99</f>
        <v>0.24508736319999999</v>
      </c>
      <c r="Y91" s="163">
        <f si="38" t="shared"/>
        <v>0.24508736319999999</v>
      </c>
    </row>
    <row r="92" spans="2:25" x14ac:dyDescent="0.25">
      <c r="B92" s="114" t="s">
        <v>213</v>
      </c>
      <c r="C92" s="124">
        <v>451</v>
      </c>
      <c r="D92" s="124">
        <v>402</v>
      </c>
      <c r="E92" s="124">
        <v>403</v>
      </c>
      <c r="F92" s="124">
        <v>404</v>
      </c>
      <c r="G92" s="124">
        <v>405</v>
      </c>
      <c r="H92" s="124">
        <v>406</v>
      </c>
      <c r="I92" s="124">
        <v>407</v>
      </c>
      <c r="J92" s="114">
        <v>408</v>
      </c>
      <c r="L92" s="244">
        <v>705</v>
      </c>
      <c r="M92" s="219" t="str">
        <f si="31" t="shared"/>
        <v>D-UNI</v>
      </c>
      <c r="N92" s="167">
        <f si="40" t="shared"/>
        <v>8.1660837489999999E-2</v>
      </c>
      <c r="O92" s="230">
        <f si="33" t="shared"/>
        <v>8.1660837489999999E-2</v>
      </c>
      <c r="P92" s="231">
        <f si="34" t="shared"/>
        <v>0</v>
      </c>
      <c r="Q92" s="211" t="str">
        <f>VLOOKUP(L92,CoeffDef_DayPattern!$A$1:$F$363,5,FALSE)</f>
        <v xml:space="preserve">socialOrRecreationPurposeConstant * IsUniversityStudentFlag                                          </v>
      </c>
      <c r="V92" s="136">
        <f>DayPatternCoefficients!A100</f>
        <v>406</v>
      </c>
      <c r="W92" s="136" t="str">
        <f>DayPatternCoefficients!B100</f>
        <v>P-DAS</v>
      </c>
      <c r="X92" s="137">
        <f>DayPatternCoefficients!D100</f>
        <v>-0.86670571516999995</v>
      </c>
      <c r="Y92" s="163">
        <f si="38" t="shared"/>
        <v>-0.86670571516999995</v>
      </c>
    </row>
    <row r="93" spans="2:25" x14ac:dyDescent="0.25">
      <c r="B93" s="114" t="s">
        <v>214</v>
      </c>
      <c r="C93" s="124">
        <v>551</v>
      </c>
      <c r="D93" s="124">
        <v>502</v>
      </c>
      <c r="E93" s="124">
        <v>503</v>
      </c>
      <c r="F93" s="124">
        <v>504</v>
      </c>
      <c r="G93" s="124">
        <v>505</v>
      </c>
      <c r="H93" s="124">
        <v>506</v>
      </c>
      <c r="I93" s="124">
        <v>507</v>
      </c>
      <c r="J93" s="114">
        <v>508</v>
      </c>
      <c r="L93" s="244">
        <v>106</v>
      </c>
      <c r="M93" s="219" t="str">
        <f si="31" t="shared"/>
        <v>W-DAS</v>
      </c>
      <c r="N93" s="167">
        <f ref="N93:N99" si="41" t="shared">H128</f>
        <v>-5.0288855916699999</v>
      </c>
      <c r="O93" s="230">
        <f si="33" t="shared"/>
        <v>-5.0288855916699999</v>
      </c>
      <c r="P93" s="231">
        <f si="34" t="shared"/>
        <v>0</v>
      </c>
      <c r="Q93" s="211" t="str">
        <f>VLOOKUP(L93,CoeffDef_DayPattern!$A$1:$F$363,5,FALSE)</f>
        <v xml:space="preserve">workPurposeConstant * IsDrivingAgeStudentFlag                                    </v>
      </c>
      <c r="V93" s="136">
        <f>DayPatternCoefficients!A101</f>
        <v>407</v>
      </c>
      <c r="W93" s="136" t="str">
        <f>DayPatternCoefficients!B101</f>
        <v>P-PAS</v>
      </c>
      <c r="X93" s="137">
        <f>DayPatternCoefficients!D101</f>
        <v>-0.35677195147000001</v>
      </c>
      <c r="Y93" s="163">
        <f si="38" t="shared"/>
        <v>-0.35677195147000001</v>
      </c>
    </row>
    <row r="94" spans="2:25" x14ac:dyDescent="0.25">
      <c r="B94" s="114" t="s">
        <v>129</v>
      </c>
      <c r="C94" s="124">
        <v>651</v>
      </c>
      <c r="D94" s="124">
        <v>602</v>
      </c>
      <c r="E94" s="124">
        <v>603</v>
      </c>
      <c r="F94" s="124">
        <v>604</v>
      </c>
      <c r="G94" s="124">
        <v>605</v>
      </c>
      <c r="H94" s="124">
        <v>606</v>
      </c>
      <c r="I94" s="124">
        <v>607</v>
      </c>
      <c r="J94" s="114">
        <v>608</v>
      </c>
      <c r="L94" s="244">
        <v>206</v>
      </c>
      <c r="M94" s="219" t="str">
        <f si="31" t="shared"/>
        <v>S-DAS</v>
      </c>
      <c r="N94" s="167">
        <f si="41" t="shared"/>
        <v>-0.51769045321999996</v>
      </c>
      <c r="O94" s="230">
        <f si="33" t="shared"/>
        <v>-0.51769045321999996</v>
      </c>
      <c r="P94" s="231">
        <f si="34" t="shared"/>
        <v>0</v>
      </c>
      <c r="Q94" s="211" t="str">
        <f>VLOOKUP(L94,CoeffDef_DayPattern!$A$1:$F$363,5,FALSE)</f>
        <v xml:space="preserve">schoolPurposeConstant * IsDrivingAgeStudentFlag                                      </v>
      </c>
      <c r="V94" s="136">
        <f>DayPatternCoefficients!A102</f>
        <v>408</v>
      </c>
      <c r="W94" s="136" t="str">
        <f>DayPatternCoefficients!B102</f>
        <v>P-CU5</v>
      </c>
      <c r="X94" s="137">
        <f>DayPatternCoefficients!D102</f>
        <v>2.0028345749999999E-2</v>
      </c>
      <c r="Y94" s="163">
        <f si="38" t="shared"/>
        <v>2.0028345749999999E-2</v>
      </c>
    </row>
    <row ht="15.75" r="95" spans="2:25" thickBot="1" x14ac:dyDescent="0.3">
      <c r="B95" s="123" t="s">
        <v>130</v>
      </c>
      <c r="C95" s="138">
        <v>751</v>
      </c>
      <c r="D95" s="138">
        <v>702</v>
      </c>
      <c r="E95" s="138">
        <v>703</v>
      </c>
      <c r="F95" s="138">
        <v>704</v>
      </c>
      <c r="G95" s="138">
        <v>705</v>
      </c>
      <c r="H95" s="138">
        <v>706</v>
      </c>
      <c r="I95" s="138">
        <v>707</v>
      </c>
      <c r="J95" s="123">
        <v>708</v>
      </c>
      <c r="L95" s="244">
        <v>306</v>
      </c>
      <c r="M95" s="219" t="str">
        <f si="31" t="shared"/>
        <v>E-DAS</v>
      </c>
      <c r="N95" s="167">
        <f si="41" t="shared"/>
        <v>-0.19329461925999999</v>
      </c>
      <c r="O95" s="230">
        <f si="33" t="shared"/>
        <v>-0.19329461925999999</v>
      </c>
      <c r="P95" s="231">
        <f si="34" t="shared"/>
        <v>0</v>
      </c>
      <c r="Q95" s="211" t="str">
        <f>VLOOKUP(L95,CoeffDef_DayPattern!$A$1:$F$363,5,FALSE)</f>
        <v xml:space="preserve">escortPurposeConstant * IsDrivingAgeStudentFlag                                      </v>
      </c>
      <c r="V95" s="154">
        <f>DayPatternCoefficients!A103</f>
        <v>409</v>
      </c>
      <c r="W95" s="154" t="str">
        <f>DayPatternCoefficients!B103</f>
        <v>P-VLINC</v>
      </c>
      <c r="X95" s="149">
        <f>DayPatternCoefficients!D103</f>
        <v>0.23285953464</v>
      </c>
      <c r="Y95" s="163">
        <f si="38" t="shared"/>
        <v>0.23285953464</v>
      </c>
    </row>
    <row r="96" spans="2:25" x14ac:dyDescent="0.25">
      <c r="L96" s="244">
        <v>406</v>
      </c>
      <c r="M96" s="219" t="str">
        <f si="31" t="shared"/>
        <v>P-DAS</v>
      </c>
      <c r="N96" s="167">
        <f si="41" t="shared"/>
        <v>-0.86670571516999995</v>
      </c>
      <c r="O96" s="230">
        <f si="33" t="shared"/>
        <v>-0.86670571516999995</v>
      </c>
      <c r="P96" s="231">
        <f si="34" t="shared"/>
        <v>0</v>
      </c>
      <c r="Q96" s="211" t="str">
        <f>VLOOKUP(L96,CoeffDef_DayPattern!$A$1:$F$363,5,FALSE)</f>
        <v xml:space="preserve">personalBusinessPurposeConstant * IsDrivingAgeStudentFlag                                     </v>
      </c>
      <c r="V96" s="154">
        <f>DayPatternCoefficients!A104</f>
        <v>410</v>
      </c>
      <c r="W96" s="154" t="str">
        <f>DayPatternCoefficients!B104</f>
        <v>P-LOINC</v>
      </c>
      <c r="X96" s="149">
        <f>DayPatternCoefficients!D104</f>
        <v>0.24286671275999999</v>
      </c>
      <c r="Y96" s="163">
        <f si="38" t="shared"/>
        <v>0.24286671275999999</v>
      </c>
    </row>
    <row r="97" spans="2:25" x14ac:dyDescent="0.25">
      <c r="L97" s="244">
        <v>506</v>
      </c>
      <c r="M97" s="219" t="str">
        <f si="31" t="shared"/>
        <v>H-DAS</v>
      </c>
      <c r="N97" s="167">
        <f si="41" t="shared"/>
        <v>-2.1815253284899998</v>
      </c>
      <c r="O97" s="230">
        <f si="33" t="shared"/>
        <v>-2.1815253284899998</v>
      </c>
      <c r="P97" s="231">
        <f si="34" t="shared"/>
        <v>0</v>
      </c>
      <c r="Q97" s="211" t="str">
        <f>VLOOKUP(L97,CoeffDef_DayPattern!$A$1:$F$363,5,FALSE)</f>
        <v xml:space="preserve">shopPurposeConstant * IsDrivingAgeStudentFlag                                      </v>
      </c>
      <c r="V97" s="154">
        <f>DayPatternCoefficients!A105</f>
        <v>411</v>
      </c>
      <c r="W97" s="154" t="str">
        <f>DayPatternCoefficients!B105</f>
        <v>P-HIINC</v>
      </c>
      <c r="X97" s="149">
        <f>DayPatternCoefficients!D105</f>
        <v>-5.4110020100000003E-2</v>
      </c>
      <c r="Y97" s="163">
        <f si="38" t="shared"/>
        <v>-5.4110020100000003E-2</v>
      </c>
    </row>
    <row r="98" spans="2:25" x14ac:dyDescent="0.25">
      <c r="B98" s="118" t="s">
        <v>175</v>
      </c>
      <c r="L98" s="244">
        <v>606</v>
      </c>
      <c r="M98" s="219" t="str">
        <f si="31" t="shared"/>
        <v>M-DAS</v>
      </c>
      <c r="N98" s="167">
        <f si="41" t="shared"/>
        <v>0.1</v>
      </c>
      <c r="O98" s="230">
        <f si="33" t="shared"/>
        <v>0.1</v>
      </c>
      <c r="P98" s="231">
        <f si="34" t="shared"/>
        <v>0</v>
      </c>
      <c r="Q98" s="211" t="str">
        <f>VLOOKUP(L98,CoeffDef_DayPattern!$A$1:$F$363,5,FALSE)</f>
        <v xml:space="preserve">mealPurposeConstant * IsDrivingAgeStudentFlag                                    </v>
      </c>
      <c r="R98" s="147"/>
      <c r="S98" s="145"/>
      <c r="T98" s="145"/>
      <c r="V98" s="154">
        <f>DayPatternCoefficients!A106</f>
        <v>412</v>
      </c>
      <c r="W98" s="154" t="str">
        <f>DayPatternCoefficients!B106</f>
        <v>P-CARSPD</v>
      </c>
      <c r="X98" s="149">
        <f>DayPatternCoefficients!D106</f>
        <v>4.72182863E-3</v>
      </c>
      <c r="Y98" s="163">
        <f si="38" t="shared"/>
        <v>4.72182863E-3</v>
      </c>
    </row>
    <row r="99" spans="2:25" x14ac:dyDescent="0.25">
      <c r="B99" s="118" t="s">
        <v>1036</v>
      </c>
      <c r="L99" s="244">
        <v>706</v>
      </c>
      <c r="M99" s="219" t="str">
        <f si="31" t="shared"/>
        <v>D-DAS</v>
      </c>
      <c r="N99" s="167">
        <f si="41" t="shared"/>
        <v>-0.28019776109</v>
      </c>
      <c r="O99" s="230">
        <f si="33" t="shared"/>
        <v>-0.28019776109</v>
      </c>
      <c r="P99" s="231">
        <f si="34" t="shared"/>
        <v>0</v>
      </c>
      <c r="Q99" s="211" t="str">
        <f>VLOOKUP(L99,CoeffDef_DayPattern!$A$1:$F$363,5,FALSE)</f>
        <v xml:space="preserve">socialOrRecreationPurposeConstant * IsDrivingAgeStudentFlag                                          </v>
      </c>
      <c r="R99" s="147"/>
      <c r="S99" s="145"/>
      <c r="T99" s="145"/>
      <c r="V99" s="154">
        <f>DayPatternCoefficients!A107</f>
        <v>413</v>
      </c>
      <c r="W99" s="154" t="str">
        <f>DayPatternCoefficients!B107</f>
        <v>P-ONLYAD</v>
      </c>
      <c r="X99" s="149">
        <f>DayPatternCoefficients!D107</f>
        <v>0.22859365528</v>
      </c>
      <c r="Y99" s="163">
        <f si="38" t="shared"/>
        <v>0.22859365528</v>
      </c>
    </row>
    <row ht="15.75" r="100" spans="2:25" thickBot="1" x14ac:dyDescent="0.3">
      <c r="C100" s="142"/>
      <c r="D100" s="142"/>
      <c r="E100" s="142"/>
      <c r="F100" s="142"/>
      <c r="G100" s="142"/>
      <c r="H100" s="142"/>
      <c r="I100" s="142"/>
      <c r="L100" s="244">
        <v>207</v>
      </c>
      <c r="M100" s="219" t="str">
        <f si="31" t="shared"/>
        <v>S-PAS</v>
      </c>
      <c r="N100" s="249">
        <f ref="N100:N105" si="42" t="shared">I129</f>
        <v>0.17571915497000001</v>
      </c>
      <c r="O100" s="230">
        <f si="33" t="shared"/>
        <v>0.17571915497000001</v>
      </c>
      <c r="P100" s="231">
        <f si="34" t="shared"/>
        <v>0</v>
      </c>
      <c r="Q100" s="211" t="str">
        <f>VLOOKUP(L100,CoeffDef_DayPattern!$A$1:$F$363,5,FALSE)</f>
        <v xml:space="preserve">schoolPurposeConstant * IsChildAge5Through15Flag                                     </v>
      </c>
      <c r="R100" s="199"/>
      <c r="S100" s="144"/>
      <c r="T100" s="144"/>
      <c r="V100" s="154">
        <f>DayPatternCoefficients!A108</f>
        <v>414</v>
      </c>
      <c r="W100" s="154" t="str">
        <f>DayPatternCoefficients!B108</f>
        <v>P-ONLYWK</v>
      </c>
      <c r="X100" s="149">
        <f>DayPatternCoefficients!D108</f>
        <v>0</v>
      </c>
      <c r="Y100" s="163">
        <f si="38" t="shared"/>
        <v>0</v>
      </c>
    </row>
    <row r="101" spans="2:25" x14ac:dyDescent="0.25">
      <c r="B101" s="238" t="s">
        <v>159</v>
      </c>
      <c r="C101" s="239" t="s">
        <v>146</v>
      </c>
      <c r="D101" s="239" t="s">
        <v>147</v>
      </c>
      <c r="E101" s="239" t="s">
        <v>148</v>
      </c>
      <c r="F101" s="239" t="s">
        <v>243</v>
      </c>
      <c r="G101" s="239" t="s">
        <v>244</v>
      </c>
      <c r="H101" s="239" t="s">
        <v>245</v>
      </c>
      <c r="I101" s="239" t="s">
        <v>246</v>
      </c>
      <c r="J101" s="239" t="str">
        <f>J88</f>
        <v>Child5</v>
      </c>
      <c r="L101" s="244">
        <v>307</v>
      </c>
      <c r="M101" s="219" t="str">
        <f si="31" t="shared"/>
        <v>E-PAS</v>
      </c>
      <c r="N101" s="249">
        <f si="42" t="shared"/>
        <v>-0.66463957096000004</v>
      </c>
      <c r="O101" s="230">
        <f si="33" t="shared"/>
        <v>-0.66463957096000004</v>
      </c>
      <c r="P101" s="231">
        <f si="34" t="shared"/>
        <v>0</v>
      </c>
      <c r="Q101" s="211" t="str">
        <f>VLOOKUP(L101,CoeffDef_DayPattern!$A$1:$F$363,5,FALSE)</f>
        <v xml:space="preserve">escortPurposeConstant * IsChildAge5Through15Flag                                     </v>
      </c>
      <c r="R101" s="250"/>
      <c r="S101" s="146"/>
      <c r="T101" s="146"/>
      <c r="V101" s="154">
        <f>DayPatternCoefficients!A109</f>
        <v>416</v>
      </c>
      <c r="W101" s="154" t="str">
        <f>DayPatternCoefficients!B109</f>
        <v>P-FEMNOC</v>
      </c>
      <c r="X101" s="149">
        <f>DayPatternCoefficients!D109</f>
        <v>0</v>
      </c>
      <c r="Y101" s="163">
        <f si="38" t="shared"/>
        <v>0</v>
      </c>
    </row>
    <row r="102" spans="2:25" x14ac:dyDescent="0.25">
      <c r="B102" s="114" t="s">
        <v>210</v>
      </c>
      <c r="C102" s="251">
        <f ref="C102:J108" si="43" t="shared">IFERROR(VLOOKUP(C89,$V$3:$Y$352,3,FALSE),C89)</f>
        <v>-0.17081745740000001</v>
      </c>
      <c r="D102" s="251">
        <f si="43" t="shared"/>
        <v>-3.9741736793400002</v>
      </c>
      <c r="E102" s="252" t="str">
        <f si="43" t="shared"/>
        <v>--</v>
      </c>
      <c r="F102" s="252" t="str">
        <f si="43" t="shared"/>
        <v>--</v>
      </c>
      <c r="G102" s="251">
        <f si="43" t="shared"/>
        <v>3.0966581205899999</v>
      </c>
      <c r="H102" s="251">
        <f si="43" t="shared"/>
        <v>-5.0288855916699999</v>
      </c>
      <c r="I102" s="252" t="str">
        <f si="43" t="shared"/>
        <v>--</v>
      </c>
      <c r="J102" s="252">
        <f si="43" t="shared"/>
        <v>0</v>
      </c>
      <c r="L102" s="244">
        <v>407</v>
      </c>
      <c r="M102" s="219" t="str">
        <f si="31" t="shared"/>
        <v>P-PAS</v>
      </c>
      <c r="N102" s="249">
        <f si="42" t="shared"/>
        <v>-0.35677195147000001</v>
      </c>
      <c r="O102" s="230">
        <f si="33" t="shared"/>
        <v>-0.35677195147000001</v>
      </c>
      <c r="P102" s="231">
        <f si="34" t="shared"/>
        <v>0</v>
      </c>
      <c r="Q102" s="211" t="str">
        <f>VLOOKUP(L102,CoeffDef_DayPattern!$A$1:$F$363,5,FALSE)</f>
        <v xml:space="preserve">personalBusinessPurposeConstant * IsChildAge5Through15Flag                                    </v>
      </c>
      <c r="R102" s="147"/>
      <c r="S102" s="145"/>
      <c r="T102" s="145"/>
      <c r="V102" s="154">
        <f>DayPatternCoefficients!A110</f>
        <v>417</v>
      </c>
      <c r="W102" s="154" t="str">
        <f>DayPatternCoefficients!B110</f>
        <v>P-FADCU5</v>
      </c>
      <c r="X102" s="149">
        <f>DayPatternCoefficients!D110</f>
        <v>-0.13978097549999999</v>
      </c>
      <c r="Y102" s="163">
        <f si="38" t="shared"/>
        <v>-0.13978097549999999</v>
      </c>
    </row>
    <row r="103" spans="2:25" x14ac:dyDescent="0.25">
      <c r="B103" s="114" t="s">
        <v>211</v>
      </c>
      <c r="C103" s="253">
        <f si="43" t="shared"/>
        <v>-4.0562395240500004</v>
      </c>
      <c r="D103" s="254" t="str">
        <f si="43" t="shared"/>
        <v>--</v>
      </c>
      <c r="E103" s="254" t="str">
        <f si="43" t="shared"/>
        <v>--</v>
      </c>
      <c r="F103" s="254" t="str">
        <f si="43" t="shared"/>
        <v>--</v>
      </c>
      <c r="G103" s="253">
        <f si="43" t="shared"/>
        <v>-1.62899807559</v>
      </c>
      <c r="H103" s="253">
        <f si="43" t="shared"/>
        <v>-0.51769045321999996</v>
      </c>
      <c r="I103" s="254">
        <f si="43" t="shared"/>
        <v>0.17571915497000001</v>
      </c>
      <c r="J103" s="254">
        <f si="43" t="shared"/>
        <v>4.8114723123400003</v>
      </c>
      <c r="L103" s="244">
        <v>507</v>
      </c>
      <c r="M103" s="219" t="str">
        <f si="31" t="shared"/>
        <v>H-PAS</v>
      </c>
      <c r="N103" s="249">
        <f si="42" t="shared"/>
        <v>-2.5858190028200001</v>
      </c>
      <c r="O103" s="230">
        <f si="33" t="shared"/>
        <v>-2.5858190028200001</v>
      </c>
      <c r="P103" s="231">
        <f si="34" t="shared"/>
        <v>0</v>
      </c>
      <c r="Q103" s="211" t="str">
        <f>VLOOKUP(L103,CoeffDef_DayPattern!$A$1:$F$363,5,FALSE)</f>
        <v xml:space="preserve">shopPurposeConstant * IsChildAge5Through15Flag                                     </v>
      </c>
      <c r="R103" s="147"/>
      <c r="S103" s="145"/>
      <c r="T103" s="145"/>
      <c r="V103" s="154">
        <f>DayPatternCoefficients!A111</f>
        <v>418</v>
      </c>
      <c r="W103" s="154" t="str">
        <f>DayPatternCoefficients!B111</f>
        <v>P-FAD515</v>
      </c>
      <c r="X103" s="149">
        <f>DayPatternCoefficients!D111</f>
        <v>-0.1856787251</v>
      </c>
      <c r="Y103" s="163">
        <f si="38" t="shared"/>
        <v>-0.1856787251</v>
      </c>
    </row>
    <row r="104" spans="2:25" x14ac:dyDescent="0.25">
      <c r="B104" s="114" t="s">
        <v>212</v>
      </c>
      <c r="C104" s="253">
        <f si="43" t="shared"/>
        <v>0.78954762594000005</v>
      </c>
      <c r="D104" s="253">
        <f si="43" t="shared"/>
        <v>0.1115098678</v>
      </c>
      <c r="E104" s="253">
        <f si="43" t="shared"/>
        <v>-0.56207576691000005</v>
      </c>
      <c r="F104" s="253">
        <f si="43" t="shared"/>
        <v>-9.7250357600000004E-2</v>
      </c>
      <c r="G104" s="253">
        <f si="43" t="shared"/>
        <v>-0.27437519666999999</v>
      </c>
      <c r="H104" s="253">
        <f si="43" t="shared"/>
        <v>-0.19329461925999999</v>
      </c>
      <c r="I104" s="253">
        <f si="43" t="shared"/>
        <v>-0.66463957096000004</v>
      </c>
      <c r="J104" s="253">
        <f si="43" t="shared"/>
        <v>0.5</v>
      </c>
      <c r="L104" s="244">
        <v>607</v>
      </c>
      <c r="M104" s="232" t="str">
        <f si="31" t="shared"/>
        <v>M-PAS</v>
      </c>
      <c r="N104" s="249">
        <f si="42" t="shared"/>
        <v>-0.97161324606999999</v>
      </c>
      <c r="O104" s="230">
        <f si="33" t="shared"/>
        <v>-0.97161324606999999</v>
      </c>
      <c r="P104" s="231">
        <f si="34" t="shared"/>
        <v>0</v>
      </c>
      <c r="Q104" s="211" t="str">
        <f>VLOOKUP(L104,CoeffDef_DayPattern!$A$1:$F$363,5,FALSE)</f>
        <v xml:space="preserve">mealPurposeConstant * IsChildAge5Through15Flag                                   </v>
      </c>
      <c r="R104" s="147"/>
      <c r="S104" s="145"/>
      <c r="T104" s="145"/>
      <c r="V104" s="154">
        <f>DayPatternCoefficients!A112</f>
        <v>419</v>
      </c>
      <c r="W104" s="154" t="str">
        <f>DayPatternCoefficients!B112</f>
        <v>P-MADCU5</v>
      </c>
      <c r="X104" s="149">
        <f>DayPatternCoefficients!D112</f>
        <v>0</v>
      </c>
      <c r="Y104" s="163">
        <f si="38" t="shared"/>
        <v>0</v>
      </c>
    </row>
    <row r="105" spans="2:25" x14ac:dyDescent="0.25">
      <c r="B105" s="114" t="s">
        <v>213</v>
      </c>
      <c r="C105" s="253">
        <f si="43" t="shared"/>
        <v>0.23716100927</v>
      </c>
      <c r="D105" s="253">
        <f si="43" t="shared"/>
        <v>9.8331239979999999E-2</v>
      </c>
      <c r="E105" s="253">
        <f si="43" t="shared"/>
        <v>1.7130516389999999E-2</v>
      </c>
      <c r="F105" s="253">
        <f si="43" t="shared"/>
        <v>-0.17244112544000001</v>
      </c>
      <c r="G105" s="253">
        <f si="43" t="shared"/>
        <v>0.24508736319999999</v>
      </c>
      <c r="H105" s="253">
        <f si="43" t="shared"/>
        <v>-0.86670571516999995</v>
      </c>
      <c r="I105" s="253">
        <f si="43" t="shared"/>
        <v>-0.35677195147000001</v>
      </c>
      <c r="J105" s="253">
        <f si="43" t="shared"/>
        <v>2.0028345749999999E-2</v>
      </c>
      <c r="L105" s="244">
        <v>707</v>
      </c>
      <c r="M105" s="232" t="str">
        <f si="31" t="shared"/>
        <v>D-PAS</v>
      </c>
      <c r="N105" s="249">
        <f si="42" t="shared"/>
        <v>0.41884341245000001</v>
      </c>
      <c r="O105" s="230">
        <f si="33" t="shared"/>
        <v>0.41884341245000001</v>
      </c>
      <c r="P105" s="231">
        <f si="34" t="shared"/>
        <v>0</v>
      </c>
      <c r="Q105" s="211" t="str">
        <f>VLOOKUP(L105,CoeffDef_DayPattern!$A$1:$F$363,5,FALSE)</f>
        <v xml:space="preserve">socialOrRecreationPurposeConstant * IsChildAge5Through15Flag                                         </v>
      </c>
      <c r="R105" s="147"/>
      <c r="S105" s="145"/>
      <c r="T105" s="145"/>
      <c r="V105" s="154">
        <f>DayPatternCoefficients!A113</f>
        <v>420</v>
      </c>
      <c r="W105" s="154" t="str">
        <f>DayPatternCoefficients!B113</f>
        <v>P-MAD515</v>
      </c>
      <c r="X105" s="149">
        <f>DayPatternCoefficients!D113</f>
        <v>-0.38992988649999999</v>
      </c>
      <c r="Y105" s="163">
        <f si="38" t="shared"/>
        <v>-0.38992988649999999</v>
      </c>
    </row>
    <row r="106" spans="2:25" x14ac:dyDescent="0.25">
      <c r="B106" s="114" t="s">
        <v>214</v>
      </c>
      <c r="C106" s="253">
        <f si="43" t="shared"/>
        <v>0.69788613220999995</v>
      </c>
      <c r="D106" s="253">
        <f si="43" t="shared"/>
        <v>-0.13429511461999999</v>
      </c>
      <c r="E106" s="253">
        <f si="43" t="shared"/>
        <v>-4.464107355E-2</v>
      </c>
      <c r="F106" s="253">
        <f si="43" t="shared"/>
        <v>0.31420686844000001</v>
      </c>
      <c r="G106" s="253">
        <f si="43" t="shared"/>
        <v>0.57463336280999999</v>
      </c>
      <c r="H106" s="253">
        <f si="43" t="shared"/>
        <v>-2.1815253284899998</v>
      </c>
      <c r="I106" s="253">
        <f si="43" t="shared"/>
        <v>-2.5858190028200001</v>
      </c>
      <c r="J106" s="253">
        <f si="43" t="shared"/>
        <v>-0.36776259199</v>
      </c>
      <c r="L106" s="244">
        <v>208</v>
      </c>
      <c r="M106" s="232" t="str">
        <f ref="M106:M111" si="44" t="shared">VLOOKUP(L106,$V$3:$X$352,2,FALSE)</f>
        <v>S-CU5</v>
      </c>
      <c r="N106" s="249">
        <f>J129</f>
        <v>4.8114723123400003</v>
      </c>
      <c r="O106" s="230">
        <f ref="O106:O111" si="45" t="shared">VLOOKUP(L106,$V$3:$Y$352,4,FALSE)</f>
        <v>4.8114723123400003</v>
      </c>
      <c r="P106" s="231">
        <f ref="P106:P111" si="46" t="shared">IF(N106=O106,0,1)</f>
        <v>0</v>
      </c>
      <c r="Q106" s="211" t="str">
        <f>VLOOKUP(L106,CoeffDef_DayPattern!$A$1:$F$363,5,FALSE)</f>
        <v xml:space="preserve">schoolPurposeConstant * IsChildUnder5Flag                                            </v>
      </c>
      <c r="R106" s="147"/>
      <c r="S106" s="145"/>
      <c r="T106" s="145"/>
      <c r="V106" s="154">
        <f>DayPatternCoefficients!A114</f>
        <v>421</v>
      </c>
      <c r="W106" s="154" t="str">
        <f>DayPatternCoefficients!B114</f>
        <v>P-AG1825</v>
      </c>
      <c r="X106" s="149">
        <f>DayPatternCoefficients!D114</f>
        <v>-0.51640682849999997</v>
      </c>
      <c r="Y106" s="163">
        <f si="38" t="shared"/>
        <v>-0.51640682849999997</v>
      </c>
    </row>
    <row r="107" spans="2:25" x14ac:dyDescent="0.25">
      <c r="B107" s="114" t="s">
        <v>129</v>
      </c>
      <c r="C107" s="253">
        <f si="43" t="shared"/>
        <v>0.13098320225000001</v>
      </c>
      <c r="D107" s="253">
        <f si="43" t="shared"/>
        <v>-0.42900205115000001</v>
      </c>
      <c r="E107" s="253">
        <f si="43" t="shared"/>
        <v>-0.32764254858000003</v>
      </c>
      <c r="F107" s="253">
        <f si="43" t="shared"/>
        <v>-3.7729239009999999E-2</v>
      </c>
      <c r="G107" s="253">
        <f si="43" t="shared"/>
        <v>4.7209205269999999E-2</v>
      </c>
      <c r="H107" s="253">
        <f si="43" t="shared"/>
        <v>0.1</v>
      </c>
      <c r="I107" s="253">
        <f si="43" t="shared"/>
        <v>-0.97161324606999999</v>
      </c>
      <c r="J107" s="253">
        <f si="43" t="shared"/>
        <v>-1.10394031796</v>
      </c>
      <c r="L107" s="244">
        <v>308</v>
      </c>
      <c r="M107" s="219" t="str">
        <f si="44" t="shared"/>
        <v>E-CU5</v>
      </c>
      <c r="N107" s="249">
        <f ref="N107:N111" si="47" t="shared">J130</f>
        <v>0.5</v>
      </c>
      <c r="O107" s="230">
        <f si="45" t="shared"/>
        <v>0.5</v>
      </c>
      <c r="P107" s="231">
        <f si="46" t="shared"/>
        <v>0</v>
      </c>
      <c r="Q107" s="211" t="str">
        <f>VLOOKUP(L107,CoeffDef_DayPattern!$A$1:$F$363,5,FALSE)</f>
        <v xml:space="preserve">escortPurposeConstant * IsChildUnder5Flag                                            </v>
      </c>
      <c r="R107" s="147"/>
      <c r="S107" s="145"/>
      <c r="T107" s="145"/>
      <c r="V107" s="154">
        <f>DayPatternCoefficients!A115</f>
        <v>422</v>
      </c>
      <c r="W107" s="154" t="str">
        <f>DayPatternCoefficients!B115</f>
        <v>P-AG2635</v>
      </c>
      <c r="X107" s="149">
        <f>DayPatternCoefficients!D115</f>
        <v>-0.2407891361</v>
      </c>
      <c r="Y107" s="163">
        <f si="38" t="shared"/>
        <v>-0.2407891361</v>
      </c>
    </row>
    <row ht="15.75" r="108" spans="2:25" thickBot="1" x14ac:dyDescent="0.3">
      <c r="B108" s="123" t="s">
        <v>130</v>
      </c>
      <c r="C108" s="255">
        <f si="43" t="shared"/>
        <v>-6.0962981569999998E-2</v>
      </c>
      <c r="D108" s="255">
        <f si="43" t="shared"/>
        <v>6.1732609389999998E-2</v>
      </c>
      <c r="E108" s="255">
        <f si="43" t="shared"/>
        <v>-0.22493912760000001</v>
      </c>
      <c r="F108" s="255">
        <f si="43" t="shared"/>
        <v>4.7151419719999997E-2</v>
      </c>
      <c r="G108" s="255">
        <f si="43" t="shared"/>
        <v>8.1660837489999999E-2</v>
      </c>
      <c r="H108" s="255">
        <f si="43" t="shared"/>
        <v>-0.28019776109</v>
      </c>
      <c r="I108" s="255">
        <f si="43" t="shared"/>
        <v>0.41884341245000001</v>
      </c>
      <c r="J108" s="255">
        <f si="43" t="shared"/>
        <v>0.38733642329000001</v>
      </c>
      <c r="K108" s="147"/>
      <c r="L108" s="244">
        <v>408</v>
      </c>
      <c r="M108" s="219" t="str">
        <f si="44" t="shared"/>
        <v>P-CU5</v>
      </c>
      <c r="N108" s="249">
        <f si="47" t="shared"/>
        <v>2.0028345749999999E-2</v>
      </c>
      <c r="O108" s="230">
        <f si="45" t="shared"/>
        <v>2.0028345749999999E-2</v>
      </c>
      <c r="P108" s="231">
        <f si="46" t="shared"/>
        <v>0</v>
      </c>
      <c r="Q108" s="211" t="str">
        <f>VLOOKUP(L108,CoeffDef_DayPattern!$A$1:$F$363,5,FALSE)</f>
        <v xml:space="preserve">personalBusinessPurposeConstant * IsChildUnder5Flag                                           </v>
      </c>
      <c r="R108" s="147"/>
      <c r="S108" s="145"/>
      <c r="T108" s="145"/>
      <c r="V108" s="154">
        <f>DayPatternCoefficients!A116</f>
        <v>423</v>
      </c>
      <c r="W108" s="154" t="str">
        <f>DayPatternCoefficients!B116</f>
        <v>P-AG5165</v>
      </c>
      <c r="X108" s="149">
        <f>DayPatternCoefficients!D116</f>
        <v>0.16802377205999999</v>
      </c>
      <c r="Y108" s="163">
        <f si="38" t="shared"/>
        <v>0.16802377205999999</v>
      </c>
    </row>
    <row r="109" spans="2:25" x14ac:dyDescent="0.25">
      <c r="K109" s="147"/>
      <c r="L109" s="244">
        <v>508</v>
      </c>
      <c r="M109" s="219" t="str">
        <f si="44" t="shared"/>
        <v>H-CU5</v>
      </c>
      <c r="N109" s="249">
        <f si="47" t="shared"/>
        <v>-0.36776259199</v>
      </c>
      <c r="O109" s="230">
        <f si="45" t="shared"/>
        <v>-0.36776259199</v>
      </c>
      <c r="P109" s="231">
        <f si="46" t="shared"/>
        <v>0</v>
      </c>
      <c r="Q109" s="211" t="str">
        <f>VLOOKUP(L109,CoeffDef_DayPattern!$A$1:$F$363,5,FALSE)</f>
        <v xml:space="preserve">shopPurposeConstant * IsChildUnder5Flag                                            </v>
      </c>
      <c r="R109" s="147"/>
      <c r="S109" s="147"/>
      <c r="T109" s="147"/>
      <c r="V109" s="154">
        <f>DayPatternCoefficients!A117</f>
        <v>424</v>
      </c>
      <c r="W109" s="154" t="str">
        <f>DayPatternCoefficients!B117</f>
        <v>P-WAHOME</v>
      </c>
      <c r="X109" s="149">
        <f>DayPatternCoefficients!D117</f>
        <v>0</v>
      </c>
      <c r="Y109" s="163">
        <f si="38" t="shared"/>
        <v>0</v>
      </c>
    </row>
    <row r="110" spans="2:25" x14ac:dyDescent="0.25">
      <c r="K110" s="147"/>
      <c r="L110" s="244">
        <v>608</v>
      </c>
      <c r="M110" s="219" t="str">
        <f si="44" t="shared"/>
        <v>M-CU5</v>
      </c>
      <c r="N110" s="249">
        <f si="47" t="shared"/>
        <v>-1.10394031796</v>
      </c>
      <c r="O110" s="230">
        <f si="45" t="shared"/>
        <v>-1.10394031796</v>
      </c>
      <c r="P110" s="231">
        <f si="46" t="shared"/>
        <v>0</v>
      </c>
      <c r="Q110" s="211" t="str">
        <f>VLOOKUP(L110,CoeffDef_DayPattern!$A$1:$F$363,5,FALSE)</f>
        <v xml:space="preserve">mealPurposeConstant * IsChildUnder5Flag                                          </v>
      </c>
      <c r="R110" s="147"/>
      <c r="S110" s="147"/>
      <c r="T110" s="147"/>
      <c r="V110" s="154">
        <f>DayPatternCoefficients!A118</f>
        <v>425</v>
      </c>
      <c r="W110" s="154" t="str">
        <f>DayPatternCoefficients!B118</f>
        <v>P-MIXDEN</v>
      </c>
      <c r="X110" s="149">
        <f>DayPatternCoefficients!D118</f>
        <v>0</v>
      </c>
      <c r="Y110" s="163">
        <f si="38" t="shared"/>
        <v>0</v>
      </c>
    </row>
    <row ht="15.75" r="111" spans="2:25" thickBot="1" x14ac:dyDescent="0.3">
      <c r="B111" s="118" t="s">
        <v>175</v>
      </c>
      <c r="K111" s="147"/>
      <c r="L111" s="256">
        <v>708</v>
      </c>
      <c r="M111" s="223" t="str">
        <f si="44" t="shared"/>
        <v>D-CU5</v>
      </c>
      <c r="N111" s="257">
        <f si="47" t="shared"/>
        <v>0.38733642329000001</v>
      </c>
      <c r="O111" s="233">
        <f si="45" t="shared"/>
        <v>0.38733642329000001</v>
      </c>
      <c r="P111" s="214">
        <f si="46" t="shared"/>
        <v>0</v>
      </c>
      <c r="Q111" s="214" t="str">
        <f>VLOOKUP(L111,CoeffDef_DayPattern!$A$1:$F$363,5,FALSE)</f>
        <v xml:space="preserve">socialOrRecreationPurposeConstant * IsChildUnder5Flag                                                </v>
      </c>
      <c r="R111" s="147"/>
      <c r="S111" s="147"/>
      <c r="T111" s="147"/>
      <c r="V111" s="154">
        <f>DayPatternCoefficients!A119</f>
        <v>426</v>
      </c>
      <c r="W111" s="154" t="str">
        <f>DayPatternCoefficients!B119</f>
        <v>P-INTDEN</v>
      </c>
      <c r="X111" s="149">
        <f>DayPatternCoefficients!D119</f>
        <v>0</v>
      </c>
      <c r="Y111" s="163">
        <f si="38" t="shared"/>
        <v>0</v>
      </c>
    </row>
    <row r="112" spans="2:25" x14ac:dyDescent="0.25">
      <c r="B112" s="118" t="s">
        <v>1037</v>
      </c>
      <c r="D112" s="154"/>
      <c r="E112" s="154"/>
      <c r="F112" s="154"/>
      <c r="G112" s="154"/>
      <c r="H112" s="154"/>
      <c r="I112" s="154"/>
      <c r="N112" s="147"/>
      <c r="O112" s="147"/>
      <c r="P112" s="199">
        <f>SUM(P63:P111)</f>
        <v>0</v>
      </c>
      <c r="Q112" s="147"/>
      <c r="R112" s="147"/>
      <c r="S112" s="147"/>
      <c r="T112" s="147"/>
      <c r="V112" s="154">
        <f>DayPatternCoefficients!A120</f>
        <v>427</v>
      </c>
      <c r="W112" s="154" t="str">
        <f>DayPatternCoefficients!B120</f>
        <v>P-ACCLOG</v>
      </c>
      <c r="X112" s="149">
        <f>DayPatternCoefficients!D120</f>
        <v>0</v>
      </c>
      <c r="Y112" s="163">
        <f si="38" t="shared"/>
        <v>0</v>
      </c>
    </row>
    <row ht="15.75" r="113" spans="2:25" thickBot="1" x14ac:dyDescent="0.3">
      <c r="C113" s="142"/>
      <c r="D113" s="142"/>
      <c r="E113" s="142"/>
      <c r="F113" s="142"/>
      <c r="G113" s="142"/>
      <c r="H113" s="142"/>
      <c r="I113" s="142"/>
      <c r="N113" s="147"/>
      <c r="O113" s="147"/>
      <c r="P113" s="147"/>
      <c r="Q113" s="147"/>
      <c r="R113" s="147"/>
      <c r="S113" s="147"/>
      <c r="T113" s="147"/>
      <c r="V113" s="154">
        <f>DayPatternCoefficients!A121</f>
        <v>428</v>
      </c>
      <c r="W113" s="154" t="str">
        <f>DayPatternCoefficients!B121</f>
        <v>P-T-LOGS</v>
      </c>
      <c r="X113" s="149">
        <f>DayPatternCoefficients!D121</f>
        <v>-3.03237822E-2</v>
      </c>
      <c r="Y113" s="163">
        <f si="38" t="shared"/>
        <v>-3.03237822E-2</v>
      </c>
    </row>
    <row r="114" spans="2:25" x14ac:dyDescent="0.25">
      <c r="B114" s="238" t="s">
        <v>159</v>
      </c>
      <c r="C114" s="258" t="s">
        <v>146</v>
      </c>
      <c r="D114" s="239" t="s">
        <v>147</v>
      </c>
      <c r="E114" s="239" t="s">
        <v>148</v>
      </c>
      <c r="F114" s="239" t="s">
        <v>243</v>
      </c>
      <c r="G114" s="258" t="s">
        <v>244</v>
      </c>
      <c r="H114" s="258" t="s">
        <v>245</v>
      </c>
      <c r="I114" s="258" t="s">
        <v>246</v>
      </c>
      <c r="J114" s="258" t="str">
        <f>J101</f>
        <v>Child5</v>
      </c>
      <c r="N114" s="147"/>
      <c r="O114" s="147"/>
      <c r="P114" s="147"/>
      <c r="Q114" s="147"/>
      <c r="R114" s="147"/>
      <c r="S114" s="147"/>
      <c r="T114" s="147"/>
      <c r="V114" s="154">
        <f>DayPatternCoefficients!A122</f>
        <v>429</v>
      </c>
      <c r="W114" s="154" t="str">
        <f>DayPatternCoefficients!B122</f>
        <v>P-S-LOGS</v>
      </c>
      <c r="X114" s="149">
        <f>DayPatternCoefficients!D122</f>
        <v>-3.3157486899999998E-2</v>
      </c>
      <c r="Y114" s="163">
        <f si="38" t="shared"/>
        <v>-3.3157486899999998E-2</v>
      </c>
    </row>
    <row r="115" spans="2:25" x14ac:dyDescent="0.25">
      <c r="B115" s="114" t="s">
        <v>210</v>
      </c>
      <c r="C115" s="251">
        <f>C76*(LN(C48/M48)-$J5)</f>
        <v>-8.1929968123679812E-3</v>
      </c>
      <c r="D115" s="251">
        <f>D76*(LN(D48/N48)-$J5)</f>
        <v>-7.3637996501505237E-2</v>
      </c>
      <c r="E115" s="243" t="s">
        <v>1031</v>
      </c>
      <c r="F115" s="243" t="s">
        <v>1031</v>
      </c>
      <c r="G115" s="251">
        <f ref="G115:H119" si="48" t="shared">G76*(LN(G48/Q48)-$J5)</f>
        <v>0</v>
      </c>
      <c r="H115" s="251">
        <f si="48" t="shared"/>
        <v>0</v>
      </c>
      <c r="I115" s="259" t="s">
        <v>1031</v>
      </c>
      <c r="J115" s="259" t="s">
        <v>1031</v>
      </c>
      <c r="V115" s="136">
        <f>DayPatternCoefficients!A123</f>
        <v>451</v>
      </c>
      <c r="W115" s="136" t="str">
        <f>DayPatternCoefficients!B123</f>
        <v>P-FTW</v>
      </c>
      <c r="X115" s="137">
        <f>DayPatternCoefficients!D123</f>
        <v>0.23716100927</v>
      </c>
      <c r="Y115" s="163">
        <f si="38" t="shared"/>
        <v>0.26949572566701963</v>
      </c>
    </row>
    <row r="116" spans="2:25" x14ac:dyDescent="0.25">
      <c r="B116" s="114" t="s">
        <v>211</v>
      </c>
      <c r="C116" s="253">
        <f ref="C116:C121" si="49" t="shared">C77*(LN(C49/M49)-$J6)</f>
        <v>0</v>
      </c>
      <c r="D116" s="243" t="s">
        <v>1031</v>
      </c>
      <c r="E116" s="243" t="s">
        <v>1031</v>
      </c>
      <c r="F116" s="243" t="s">
        <v>1031</v>
      </c>
      <c r="G116" s="253">
        <f si="48" t="shared"/>
        <v>0</v>
      </c>
      <c r="H116" s="253">
        <f si="48" t="shared"/>
        <v>0</v>
      </c>
      <c r="I116" s="253">
        <f ref="I116:J121" si="50" t="shared">I77*(LN(I49/S49)-$J6)</f>
        <v>0</v>
      </c>
      <c r="J116" s="253">
        <f si="50" t="shared"/>
        <v>0</v>
      </c>
      <c r="V116" s="136">
        <f>DayPatternCoefficients!A124</f>
        <v>500</v>
      </c>
      <c r="W116" s="136" t="str">
        <f>DayPatternCoefficients!B124</f>
        <v>H-TASC</v>
      </c>
      <c r="X116" s="137">
        <f>DayPatternCoefficients!D124</f>
        <v>-1.6177638526</v>
      </c>
      <c r="Y116" s="163">
        <f si="38" t="shared"/>
        <v>-1.6177638526</v>
      </c>
    </row>
    <row r="117" spans="2:25" x14ac:dyDescent="0.25">
      <c r="B117" s="114" t="s">
        <v>212</v>
      </c>
      <c r="C117" s="253">
        <f si="49" t="shared"/>
        <v>1.9268998646623455E-2</v>
      </c>
      <c r="D117" s="253">
        <f ref="D117:F121" si="51" t="shared">D78*(LN(D50/N50)-$J7)</f>
        <v>0</v>
      </c>
      <c r="E117" s="253">
        <f si="51" t="shared"/>
        <v>0</v>
      </c>
      <c r="F117" s="253">
        <f si="51" t="shared"/>
        <v>1.0199792126764329E-2</v>
      </c>
      <c r="G117" s="253">
        <f si="48" t="shared"/>
        <v>0</v>
      </c>
      <c r="H117" s="253">
        <f si="48" t="shared"/>
        <v>0</v>
      </c>
      <c r="I117" s="253">
        <f si="50" t="shared"/>
        <v>0</v>
      </c>
      <c r="J117" s="253">
        <f si="50" t="shared"/>
        <v>0</v>
      </c>
      <c r="V117" s="136">
        <f>DayPatternCoefficients!A125</f>
        <v>501</v>
      </c>
      <c r="W117" s="136" t="str">
        <f>DayPatternCoefficients!B125</f>
        <v>H-SASC</v>
      </c>
      <c r="X117" s="137">
        <f>DayPatternCoefficients!D125</f>
        <v>1.2508733869999999</v>
      </c>
      <c r="Y117" s="163">
        <f si="38" t="shared"/>
        <v>1.2508733869999999</v>
      </c>
    </row>
    <row r="118" spans="2:25" x14ac:dyDescent="0.25">
      <c r="B118" s="114" t="s">
        <v>213</v>
      </c>
      <c r="C118" s="253">
        <f si="49" t="shared"/>
        <v>3.2334716397019646E-2</v>
      </c>
      <c r="D118" s="253">
        <f si="51" t="shared"/>
        <v>0</v>
      </c>
      <c r="E118" s="253">
        <f si="51" t="shared"/>
        <v>0</v>
      </c>
      <c r="F118" s="253">
        <f si="51" t="shared"/>
        <v>0</v>
      </c>
      <c r="G118" s="253">
        <f si="48" t="shared"/>
        <v>0</v>
      </c>
      <c r="H118" s="253">
        <f si="48" t="shared"/>
        <v>0</v>
      </c>
      <c r="I118" s="253">
        <f si="50" t="shared"/>
        <v>0</v>
      </c>
      <c r="J118" s="253">
        <f si="50" t="shared"/>
        <v>0</v>
      </c>
      <c r="V118" s="136">
        <f>DayPatternCoefficients!A126</f>
        <v>502</v>
      </c>
      <c r="W118" s="136" t="str">
        <f>DayPatternCoefficients!B126</f>
        <v>H-PTW</v>
      </c>
      <c r="X118" s="137">
        <f>DayPatternCoefficients!D126</f>
        <v>-0.13429511461999999</v>
      </c>
      <c r="Y118" s="163">
        <f si="38" t="shared"/>
        <v>-0.13429511461999999</v>
      </c>
    </row>
    <row r="119" spans="2:25" x14ac:dyDescent="0.25">
      <c r="B119" s="114" t="s">
        <v>214</v>
      </c>
      <c r="C119" s="253">
        <f si="49" t="shared"/>
        <v>3.6424546557942451E-2</v>
      </c>
      <c r="D119" s="253">
        <f si="51" t="shared"/>
        <v>0</v>
      </c>
      <c r="E119" s="253">
        <f si="51" t="shared"/>
        <v>0</v>
      </c>
      <c r="F119" s="253">
        <f si="51" t="shared"/>
        <v>5.9984075300819957E-2</v>
      </c>
      <c r="G119" s="253">
        <f si="48" t="shared"/>
        <v>0</v>
      </c>
      <c r="H119" s="253">
        <f si="48" t="shared"/>
        <v>0</v>
      </c>
      <c r="I119" s="253">
        <f si="50" t="shared"/>
        <v>0</v>
      </c>
      <c r="J119" s="253">
        <f si="50" t="shared"/>
        <v>0</v>
      </c>
      <c r="V119" s="136">
        <f>DayPatternCoefficients!A127</f>
        <v>503</v>
      </c>
      <c r="W119" s="136" t="str">
        <f>DayPatternCoefficients!B127</f>
        <v>H-RET</v>
      </c>
      <c r="X119" s="137">
        <f>DayPatternCoefficients!D127</f>
        <v>-4.464107355E-2</v>
      </c>
      <c r="Y119" s="163">
        <f si="38" t="shared"/>
        <v>-4.464107355E-2</v>
      </c>
    </row>
    <row r="120" spans="2:25" x14ac:dyDescent="0.25">
      <c r="B120" s="114" t="s">
        <v>129</v>
      </c>
      <c r="C120" s="253">
        <f si="49" t="shared"/>
        <v>4.0352495967303385E-2</v>
      </c>
      <c r="D120" s="253">
        <f si="51" t="shared"/>
        <v>0</v>
      </c>
      <c r="E120" s="253">
        <f si="51" t="shared"/>
        <v>0</v>
      </c>
      <c r="F120" s="253">
        <f si="51" t="shared"/>
        <v>1.5982658650732975E-2</v>
      </c>
      <c r="G120" s="253">
        <f>G81*(LN(G53/Q53)-$J10)</f>
        <v>0</v>
      </c>
      <c r="H120" s="253">
        <f>IF(H53&gt;0,H81*(LN(H53/R53)-$J10),0)</f>
        <v>0</v>
      </c>
      <c r="I120" s="253">
        <f si="50" t="shared"/>
        <v>0</v>
      </c>
      <c r="J120" s="253">
        <f si="50" t="shared"/>
        <v>0</v>
      </c>
      <c r="V120" s="136">
        <f>DayPatternCoefficients!A128</f>
        <v>504</v>
      </c>
      <c r="W120" s="136" t="str">
        <f>DayPatternCoefficients!B128</f>
        <v>H-NWA</v>
      </c>
      <c r="X120" s="137">
        <f>DayPatternCoefficients!D128</f>
        <v>0.31420686844000001</v>
      </c>
      <c r="Y120" s="163">
        <f si="38" t="shared"/>
        <v>0.37419094374081996</v>
      </c>
    </row>
    <row ht="15.75" r="121" spans="2:25" thickBot="1" x14ac:dyDescent="0.3">
      <c r="B121" s="123" t="s">
        <v>130</v>
      </c>
      <c r="C121" s="255">
        <f si="49" t="shared"/>
        <v>0</v>
      </c>
      <c r="D121" s="255">
        <f si="51" t="shared"/>
        <v>0</v>
      </c>
      <c r="E121" s="255">
        <f si="51" t="shared"/>
        <v>0</v>
      </c>
      <c r="F121" s="255">
        <f si="51" t="shared"/>
        <v>0</v>
      </c>
      <c r="G121" s="255">
        <f>G82*(LN(G54/Q54)-$J11)</f>
        <v>0</v>
      </c>
      <c r="H121" s="255">
        <f>H82*(LN(H54/R54)-$J11)</f>
        <v>0</v>
      </c>
      <c r="I121" s="255">
        <f si="50" t="shared"/>
        <v>0</v>
      </c>
      <c r="J121" s="255">
        <f si="50" t="shared"/>
        <v>0</v>
      </c>
      <c r="V121" s="136">
        <f>DayPatternCoefficients!A129</f>
        <v>505</v>
      </c>
      <c r="W121" s="136" t="str">
        <f>DayPatternCoefficients!B129</f>
        <v>H-UNI</v>
      </c>
      <c r="X121" s="137">
        <f>DayPatternCoefficients!D129</f>
        <v>0.57463336280999999</v>
      </c>
      <c r="Y121" s="163">
        <f si="38" t="shared"/>
        <v>0.57463336280999999</v>
      </c>
    </row>
    <row r="122" spans="2:25" x14ac:dyDescent="0.25">
      <c r="V122" s="136">
        <f>DayPatternCoefficients!A130</f>
        <v>506</v>
      </c>
      <c r="W122" s="136" t="str">
        <f>DayPatternCoefficients!B130</f>
        <v>H-DAS</v>
      </c>
      <c r="X122" s="137">
        <f>DayPatternCoefficients!D130</f>
        <v>-2.1815253284899998</v>
      </c>
      <c r="Y122" s="163">
        <f si="38" t="shared"/>
        <v>-2.1815253284899998</v>
      </c>
    </row>
    <row r="123" spans="2:25" x14ac:dyDescent="0.25">
      <c r="V123" s="136">
        <f>DayPatternCoefficients!A131</f>
        <v>507</v>
      </c>
      <c r="W123" s="136" t="str">
        <f>DayPatternCoefficients!B131</f>
        <v>H-PAS</v>
      </c>
      <c r="X123" s="137">
        <f>DayPatternCoefficients!D131</f>
        <v>-2.5858190028200001</v>
      </c>
      <c r="Y123" s="163">
        <f si="38" t="shared"/>
        <v>-2.5858190028200001</v>
      </c>
    </row>
    <row r="124" spans="2:25" x14ac:dyDescent="0.25">
      <c r="B124" s="118" t="s">
        <v>175</v>
      </c>
      <c r="V124" s="136">
        <f>DayPatternCoefficients!A132</f>
        <v>508</v>
      </c>
      <c r="W124" s="136" t="str">
        <f>DayPatternCoefficients!B132</f>
        <v>H-CU5</v>
      </c>
      <c r="X124" s="137">
        <f>DayPatternCoefficients!D132</f>
        <v>-0.36776259199</v>
      </c>
      <c r="Y124" s="163">
        <f si="38" t="shared"/>
        <v>-0.36776259199</v>
      </c>
    </row>
    <row r="125" spans="2:25" x14ac:dyDescent="0.25">
      <c r="B125" s="118" t="s">
        <v>1038</v>
      </c>
      <c r="V125" s="154">
        <f>DayPatternCoefficients!A133</f>
        <v>509</v>
      </c>
      <c r="W125" s="154" t="str">
        <f>DayPatternCoefficients!B133</f>
        <v>H-VLINC</v>
      </c>
      <c r="X125" s="149">
        <f>DayPatternCoefficients!D133</f>
        <v>0.19765755271999999</v>
      </c>
      <c r="Y125" s="163">
        <f si="38" t="shared"/>
        <v>0.19765755271999999</v>
      </c>
    </row>
    <row ht="15.75" r="126" spans="2:25" thickBot="1" x14ac:dyDescent="0.3">
      <c r="C126" s="142"/>
      <c r="D126" s="142"/>
      <c r="E126" s="142"/>
      <c r="F126" s="142"/>
      <c r="G126" s="142"/>
      <c r="H126" s="142"/>
      <c r="I126" s="142"/>
      <c r="V126" s="154">
        <f>DayPatternCoefficients!A134</f>
        <v>510</v>
      </c>
      <c r="W126" s="154" t="str">
        <f>DayPatternCoefficients!B134</f>
        <v>H-LOINC</v>
      </c>
      <c r="X126" s="149">
        <f>DayPatternCoefficients!D134</f>
        <v>0</v>
      </c>
      <c r="Y126" s="163">
        <f si="38" t="shared"/>
        <v>0</v>
      </c>
    </row>
    <row r="127" spans="2:25" x14ac:dyDescent="0.25">
      <c r="B127" s="238" t="s">
        <v>159</v>
      </c>
      <c r="C127" s="239" t="s">
        <v>146</v>
      </c>
      <c r="D127" s="239" t="s">
        <v>147</v>
      </c>
      <c r="E127" s="239" t="s">
        <v>148</v>
      </c>
      <c r="F127" s="239" t="s">
        <v>243</v>
      </c>
      <c r="G127" s="239" t="s">
        <v>244</v>
      </c>
      <c r="H127" s="239" t="s">
        <v>245</v>
      </c>
      <c r="I127" s="239" t="s">
        <v>246</v>
      </c>
      <c r="J127" s="239" t="str">
        <f>J114</f>
        <v>Child5</v>
      </c>
      <c r="V127" s="154">
        <f>DayPatternCoefficients!A135</f>
        <v>511</v>
      </c>
      <c r="W127" s="154" t="str">
        <f>DayPatternCoefficients!B135</f>
        <v>H-HIINC</v>
      </c>
      <c r="X127" s="149">
        <f>DayPatternCoefficients!D135</f>
        <v>0</v>
      </c>
      <c r="Y127" s="163">
        <f si="38" t="shared"/>
        <v>0</v>
      </c>
    </row>
    <row r="128" spans="2:25" x14ac:dyDescent="0.25">
      <c r="B128" s="114" t="s">
        <v>210</v>
      </c>
      <c r="C128" s="260">
        <f>C102+C115</f>
        <v>-0.179010454212368</v>
      </c>
      <c r="D128" s="260">
        <f>D102+D115</f>
        <v>-4.0478116758415057</v>
      </c>
      <c r="E128" s="243" t="s">
        <v>1031</v>
      </c>
      <c r="F128" s="243" t="s">
        <v>1031</v>
      </c>
      <c r="G128" s="260">
        <f>G102+G115</f>
        <v>3.0966581205899999</v>
      </c>
      <c r="H128" s="260">
        <f>H102+H115</f>
        <v>-5.0288855916699999</v>
      </c>
      <c r="I128" s="243" t="s">
        <v>1031</v>
      </c>
      <c r="J128" s="243" t="s">
        <v>1031</v>
      </c>
      <c r="V128" s="154">
        <f>DayPatternCoefficients!A136</f>
        <v>512</v>
      </c>
      <c r="W128" s="154" t="str">
        <f>DayPatternCoefficients!B136</f>
        <v>H-CARSPD</v>
      </c>
      <c r="X128" s="149">
        <f>DayPatternCoefficients!D136</f>
        <v>-9.6279583599999996E-2</v>
      </c>
      <c r="Y128" s="163">
        <f si="38" t="shared"/>
        <v>-9.6279583599999996E-2</v>
      </c>
    </row>
    <row r="129" spans="2:25" x14ac:dyDescent="0.25">
      <c r="B129" s="114" t="s">
        <v>211</v>
      </c>
      <c r="C129" s="260">
        <f>C103+C116</f>
        <v>-4.0562395240500004</v>
      </c>
      <c r="D129" s="243" t="s">
        <v>1031</v>
      </c>
      <c r="E129" s="243" t="s">
        <v>1031</v>
      </c>
      <c r="F129" s="243" t="s">
        <v>1031</v>
      </c>
      <c r="G129" s="260">
        <f ref="G129:I129" si="52" t="shared">G103+G116</f>
        <v>-1.62899807559</v>
      </c>
      <c r="H129" s="260">
        <f si="52" t="shared"/>
        <v>-0.51769045321999996</v>
      </c>
      <c r="I129" s="260">
        <f si="52" t="shared"/>
        <v>0.17571915497000001</v>
      </c>
      <c r="J129" s="260">
        <f ref="J129" si="53" t="shared">J103+J116</f>
        <v>4.8114723123400003</v>
      </c>
      <c r="V129" s="154">
        <f>DayPatternCoefficients!A137</f>
        <v>513</v>
      </c>
      <c r="W129" s="154" t="str">
        <f>DayPatternCoefficients!B137</f>
        <v>H-ONLYAD</v>
      </c>
      <c r="X129" s="149">
        <f>DayPatternCoefficients!D137</f>
        <v>0.31837119661000002</v>
      </c>
      <c r="Y129" s="163">
        <f si="38" t="shared"/>
        <v>0.31837119661000002</v>
      </c>
    </row>
    <row r="130" spans="2:25" x14ac:dyDescent="0.25">
      <c r="B130" s="114" t="s">
        <v>212</v>
      </c>
      <c r="C130" s="260">
        <f ref="C130:I130" si="54" t="shared">C104+C117</f>
        <v>0.80881662458662351</v>
      </c>
      <c r="D130" s="260">
        <f si="54" t="shared"/>
        <v>0.1115098678</v>
      </c>
      <c r="E130" s="260">
        <f si="54" t="shared"/>
        <v>-0.56207576691000005</v>
      </c>
      <c r="F130" s="260">
        <f si="54" t="shared"/>
        <v>-8.7050565473235669E-2</v>
      </c>
      <c r="G130" s="260">
        <f si="54" t="shared"/>
        <v>-0.27437519666999999</v>
      </c>
      <c r="H130" s="260">
        <f si="54" t="shared"/>
        <v>-0.19329461925999999</v>
      </c>
      <c r="I130" s="260">
        <f si="54" t="shared"/>
        <v>-0.66463957096000004</v>
      </c>
      <c r="J130" s="260">
        <f ref="J130" si="55" t="shared">J104+J117</f>
        <v>0.5</v>
      </c>
      <c r="V130" s="154">
        <f>DayPatternCoefficients!A138</f>
        <v>514</v>
      </c>
      <c r="W130" s="154" t="str">
        <f>DayPatternCoefficients!B138</f>
        <v>H-ONLYWK</v>
      </c>
      <c r="X130" s="149">
        <f>DayPatternCoefficients!D138</f>
        <v>0</v>
      </c>
      <c r="Y130" s="163">
        <f si="38" t="shared"/>
        <v>0</v>
      </c>
    </row>
    <row r="131" spans="2:25" x14ac:dyDescent="0.25">
      <c r="B131" s="114" t="s">
        <v>213</v>
      </c>
      <c r="C131" s="260">
        <f ref="C131:I131" si="56" t="shared">C105+C118</f>
        <v>0.26949572566701963</v>
      </c>
      <c r="D131" s="260">
        <f si="56" t="shared"/>
        <v>9.8331239979999999E-2</v>
      </c>
      <c r="E131" s="260">
        <f si="56" t="shared"/>
        <v>1.7130516389999999E-2</v>
      </c>
      <c r="F131" s="260">
        <f si="56" t="shared"/>
        <v>-0.17244112544000001</v>
      </c>
      <c r="G131" s="260">
        <f si="56" t="shared"/>
        <v>0.24508736319999999</v>
      </c>
      <c r="H131" s="260">
        <f si="56" t="shared"/>
        <v>-0.86670571516999995</v>
      </c>
      <c r="I131" s="260">
        <f si="56" t="shared"/>
        <v>-0.35677195147000001</v>
      </c>
      <c r="J131" s="260">
        <f ref="J131" si="57" t="shared">J105+J118</f>
        <v>2.0028345749999999E-2</v>
      </c>
      <c r="V131" s="154">
        <f>DayPatternCoefficients!A139</f>
        <v>516</v>
      </c>
      <c r="W131" s="154" t="str">
        <f>DayPatternCoefficients!B139</f>
        <v>H-FEMNOC</v>
      </c>
      <c r="X131" s="149">
        <f>DayPatternCoefficients!D139</f>
        <v>0.14550911173</v>
      </c>
      <c r="Y131" s="163">
        <f si="38" t="shared"/>
        <v>0.14550911173</v>
      </c>
    </row>
    <row r="132" spans="2:25" x14ac:dyDescent="0.25">
      <c r="B132" s="114" t="s">
        <v>214</v>
      </c>
      <c r="C132" s="260">
        <f ref="C132:I132" si="58" t="shared">C106+C119</f>
        <v>0.73431067876794243</v>
      </c>
      <c r="D132" s="260">
        <f si="58" t="shared"/>
        <v>-0.13429511461999999</v>
      </c>
      <c r="E132" s="260">
        <f si="58" t="shared"/>
        <v>-4.464107355E-2</v>
      </c>
      <c r="F132" s="260">
        <f si="58" t="shared"/>
        <v>0.37419094374081996</v>
      </c>
      <c r="G132" s="260">
        <f si="58" t="shared"/>
        <v>0.57463336280999999</v>
      </c>
      <c r="H132" s="260">
        <f si="58" t="shared"/>
        <v>-2.1815253284899998</v>
      </c>
      <c r="I132" s="260">
        <f si="58" t="shared"/>
        <v>-2.5858190028200001</v>
      </c>
      <c r="J132" s="260">
        <f ref="J132" si="59" t="shared">J106+J119</f>
        <v>-0.36776259199</v>
      </c>
      <c r="V132" s="154">
        <f>DayPatternCoefficients!A140</f>
        <v>517</v>
      </c>
      <c r="W132" s="154" t="str">
        <f>DayPatternCoefficients!B140</f>
        <v>H-FADCU5</v>
      </c>
      <c r="X132" s="149">
        <f>DayPatternCoefficients!D140</f>
        <v>0</v>
      </c>
      <c r="Y132" s="163">
        <f ref="Y132:Y195" si="60" t="shared">_xlfn.IFNA(VLOOKUP(V132,$L$63:$N$111,3,FALSE),_xlfn.IFNA(VLOOKUP(V132,$G$5:$K$11,5,FALSE),_xlfn.IFNA(VLOOKUP(V132,$G$19:$K$25,5,FALSE),X132)))</f>
        <v>0</v>
      </c>
    </row>
    <row r="133" spans="2:25" x14ac:dyDescent="0.25">
      <c r="B133" s="114" t="s">
        <v>129</v>
      </c>
      <c r="C133" s="260">
        <f ref="C133:I133" si="61" t="shared">C107+C120</f>
        <v>0.17133569821730341</v>
      </c>
      <c r="D133" s="260">
        <f si="61" t="shared"/>
        <v>-0.42900205115000001</v>
      </c>
      <c r="E133" s="260">
        <f si="61" t="shared"/>
        <v>-0.32764254858000003</v>
      </c>
      <c r="F133" s="260">
        <f si="61" t="shared"/>
        <v>-2.1746580359267024E-2</v>
      </c>
      <c r="G133" s="260">
        <f si="61" t="shared"/>
        <v>4.7209205269999999E-2</v>
      </c>
      <c r="H133" s="260">
        <f si="61" t="shared"/>
        <v>0.1</v>
      </c>
      <c r="I133" s="260">
        <f si="61" t="shared"/>
        <v>-0.97161324606999999</v>
      </c>
      <c r="J133" s="260">
        <f ref="J133" si="62" t="shared">J107+J120</f>
        <v>-1.10394031796</v>
      </c>
      <c r="V133" s="154">
        <f>DayPatternCoefficients!A141</f>
        <v>518</v>
      </c>
      <c r="W133" s="154" t="str">
        <f>DayPatternCoefficients!B141</f>
        <v>H-FAD515</v>
      </c>
      <c r="X133" s="149">
        <f>DayPatternCoefficients!D141</f>
        <v>0</v>
      </c>
      <c r="Y133" s="163">
        <f si="60" t="shared"/>
        <v>0</v>
      </c>
    </row>
    <row ht="15.75" r="134" spans="2:25" thickBot="1" x14ac:dyDescent="0.3">
      <c r="B134" s="123" t="s">
        <v>130</v>
      </c>
      <c r="C134" s="255">
        <f ref="C134:I134" si="63" t="shared">C108+C121</f>
        <v>-6.0962981569999998E-2</v>
      </c>
      <c r="D134" s="255">
        <f si="63" t="shared"/>
        <v>6.1732609389999998E-2</v>
      </c>
      <c r="E134" s="255">
        <f si="63" t="shared"/>
        <v>-0.22493912760000001</v>
      </c>
      <c r="F134" s="255">
        <f si="63" t="shared"/>
        <v>4.7151419719999997E-2</v>
      </c>
      <c r="G134" s="255">
        <f si="63" t="shared"/>
        <v>8.1660837489999999E-2</v>
      </c>
      <c r="H134" s="255">
        <f si="63" t="shared"/>
        <v>-0.28019776109</v>
      </c>
      <c r="I134" s="255">
        <f si="63" t="shared"/>
        <v>0.41884341245000001</v>
      </c>
      <c r="J134" s="255">
        <f ref="J134" si="64" t="shared">J108+J121</f>
        <v>0.38733642329000001</v>
      </c>
      <c r="V134" s="154">
        <f>DayPatternCoefficients!A142</f>
        <v>519</v>
      </c>
      <c r="W134" s="154" t="str">
        <f>DayPatternCoefficients!B142</f>
        <v>H-MADCU5</v>
      </c>
      <c r="X134" s="149">
        <f>DayPatternCoefficients!D142</f>
        <v>-0.39019421700000001</v>
      </c>
      <c r="Y134" s="163">
        <f si="60" t="shared"/>
        <v>-0.39019421700000001</v>
      </c>
    </row>
    <row r="135" spans="2:25" x14ac:dyDescent="0.25">
      <c r="V135" s="154">
        <f>DayPatternCoefficients!A143</f>
        <v>520</v>
      </c>
      <c r="W135" s="154" t="str">
        <f>DayPatternCoefficients!B143</f>
        <v>H-MAD515</v>
      </c>
      <c r="X135" s="149">
        <f>DayPatternCoefficients!D143</f>
        <v>0</v>
      </c>
      <c r="Y135" s="163">
        <f si="60" t="shared"/>
        <v>0</v>
      </c>
    </row>
    <row r="136" spans="2:25" x14ac:dyDescent="0.25">
      <c r="V136" s="154">
        <f>DayPatternCoefficients!A144</f>
        <v>521</v>
      </c>
      <c r="W136" s="154" t="str">
        <f>DayPatternCoefficients!B144</f>
        <v>H-AG1825</v>
      </c>
      <c r="X136" s="149">
        <f>DayPatternCoefficients!D144</f>
        <v>-0.6648424503</v>
      </c>
      <c r="Y136" s="163">
        <f si="60" t="shared"/>
        <v>-0.6648424503</v>
      </c>
    </row>
    <row r="137" spans="2:25" x14ac:dyDescent="0.25">
      <c r="V137" s="154">
        <f>DayPatternCoefficients!A145</f>
        <v>522</v>
      </c>
      <c r="W137" s="154" t="str">
        <f>DayPatternCoefficients!B145</f>
        <v>H-AG2635</v>
      </c>
      <c r="X137" s="149">
        <f>DayPatternCoefficients!D145</f>
        <v>-0.1282061293</v>
      </c>
      <c r="Y137" s="163">
        <f si="60" t="shared"/>
        <v>-0.1282061293</v>
      </c>
    </row>
    <row r="138" spans="2:25" x14ac:dyDescent="0.25">
      <c r="V138" s="154">
        <f>DayPatternCoefficients!A146</f>
        <v>523</v>
      </c>
      <c r="W138" s="154" t="str">
        <f>DayPatternCoefficients!B146</f>
        <v>H-AG5165</v>
      </c>
      <c r="X138" s="149">
        <f>DayPatternCoefficients!D146</f>
        <v>0.10964376344</v>
      </c>
      <c r="Y138" s="163">
        <f si="60" t="shared"/>
        <v>0.10964376344</v>
      </c>
    </row>
    <row r="139" spans="2:25" x14ac:dyDescent="0.25">
      <c r="V139" s="154">
        <f>DayPatternCoefficients!A147</f>
        <v>524</v>
      </c>
      <c r="W139" s="154" t="str">
        <f>DayPatternCoefficients!B147</f>
        <v>H-WAHOME</v>
      </c>
      <c r="X139" s="149">
        <f>DayPatternCoefficients!D147</f>
        <v>0</v>
      </c>
      <c r="Y139" s="163">
        <f si="60" t="shared"/>
        <v>0</v>
      </c>
    </row>
    <row r="140" spans="2:25" x14ac:dyDescent="0.25">
      <c r="B140" s="118" t="s">
        <v>1040</v>
      </c>
      <c r="D140" s="261" t="s">
        <v>3956</v>
      </c>
      <c r="G140" s="262" t="s">
        <v>1040</v>
      </c>
      <c r="H140" s="211"/>
      <c r="I140" s="211">
        <v>0</v>
      </c>
      <c r="J140" s="211"/>
      <c r="K140" s="234"/>
      <c r="L140" s="234"/>
      <c r="M140" s="234"/>
      <c r="N140" s="211"/>
      <c r="V140" s="154">
        <f>DayPatternCoefficients!A148</f>
        <v>525</v>
      </c>
      <c r="W140" s="154" t="str">
        <f>DayPatternCoefficients!B148</f>
        <v>H-MIXDEN</v>
      </c>
      <c r="X140" s="149">
        <f>DayPatternCoefficients!D148</f>
        <v>0</v>
      </c>
      <c r="Y140" s="163">
        <f si="60" t="shared"/>
        <v>0</v>
      </c>
    </row>
    <row ht="15.75" r="141" spans="2:25" thickBot="1" x14ac:dyDescent="0.3">
      <c r="B141" s="123"/>
      <c r="C141" s="123"/>
      <c r="D141" s="123"/>
      <c r="E141" s="123"/>
      <c r="G141" s="213" t="s">
        <v>1035</v>
      </c>
      <c r="H141" s="214"/>
      <c r="I141" s="214"/>
      <c r="J141" s="214"/>
      <c r="K141" s="214"/>
      <c r="L141" s="222"/>
      <c r="M141" s="222"/>
      <c r="N141" s="214"/>
      <c r="V141" s="154">
        <f>DayPatternCoefficients!A149</f>
        <v>526</v>
      </c>
      <c r="W141" s="154" t="str">
        <f>DayPatternCoefficients!B149</f>
        <v>H-INTDEN</v>
      </c>
      <c r="X141" s="149">
        <f>DayPatternCoefficients!D149</f>
        <v>0</v>
      </c>
      <c r="Y141" s="163">
        <f si="60" t="shared"/>
        <v>0</v>
      </c>
    </row>
    <row r="142" spans="2:25" x14ac:dyDescent="0.25">
      <c r="B142" s="119" t="s">
        <v>159</v>
      </c>
      <c r="C142" s="119" t="s">
        <v>260</v>
      </c>
      <c r="D142" s="119" t="s">
        <v>261</v>
      </c>
      <c r="E142" s="119" t="s">
        <v>1027</v>
      </c>
      <c r="G142" s="217" t="s">
        <v>1021</v>
      </c>
      <c r="H142" s="216" t="s">
        <v>317</v>
      </c>
      <c r="I142" s="217" t="s">
        <v>1028</v>
      </c>
      <c r="J142" s="217" t="s">
        <v>1029</v>
      </c>
      <c r="K142" s="165" t="s">
        <v>1030</v>
      </c>
      <c r="L142" s="235" t="s">
        <v>3894</v>
      </c>
      <c r="M142" s="235" t="s">
        <v>3893</v>
      </c>
      <c r="N142" s="236" t="s">
        <v>320</v>
      </c>
      <c r="V142" s="154">
        <f>DayPatternCoefficients!A150</f>
        <v>527</v>
      </c>
      <c r="W142" s="154" t="str">
        <f>DayPatternCoefficients!B150</f>
        <v>H-ACCLOG</v>
      </c>
      <c r="X142" s="149">
        <f>DayPatternCoefficients!D150</f>
        <v>0</v>
      </c>
      <c r="Y142" s="163">
        <f si="60" t="shared"/>
        <v>0</v>
      </c>
    </row>
    <row r="143" spans="2:25" x14ac:dyDescent="0.25">
      <c r="B143" s="114" t="s">
        <v>117</v>
      </c>
      <c r="C143" s="124">
        <f>output_NHTS!D136*$C$154</f>
        <v>39337.243527910388</v>
      </c>
      <c r="D143" s="124">
        <f>output!D136</f>
        <v>37524.567982750646</v>
      </c>
      <c r="E143" s="117">
        <f>C143/D143</f>
        <v>1.0483063668046224</v>
      </c>
      <c r="G143" s="211">
        <v>1</v>
      </c>
      <c r="H143" s="211" t="s">
        <v>117</v>
      </c>
      <c r="I143" s="237">
        <f>VLOOKUP(G143,$AA$3:$AC$17,3,FALSE)</f>
        <v>-1.391183801545</v>
      </c>
      <c r="J143" s="237">
        <f ref="J143:J149" si="65" t="shared">$I$140*LN(E143)</f>
        <v>0</v>
      </c>
      <c r="K143" s="166">
        <f>I143+J143</f>
        <v>-1.391183801545</v>
      </c>
      <c r="L143" s="237">
        <f>VLOOKUP(G143,$AA$3:$AD$17,4,FALSE)</f>
        <v>-1.391183801545</v>
      </c>
      <c r="M143" s="211">
        <f>IF(K143=L143,0,1)</f>
        <v>0</v>
      </c>
      <c r="N143" s="211" t="str">
        <f>CONCATENATE(VLOOKUP(G143,CoeffDef_WBSubtour!$A$1:$E$16,4,FALSE)," constant")</f>
        <v>work subtour constant</v>
      </c>
      <c r="V143" s="154">
        <f>DayPatternCoefficients!A151</f>
        <v>528</v>
      </c>
      <c r="W143" s="154" t="str">
        <f>DayPatternCoefficients!B151</f>
        <v>H-T-LOGS</v>
      </c>
      <c r="X143" s="149">
        <f>DayPatternCoefficients!D151</f>
        <v>-9.9077299000000004E-3</v>
      </c>
      <c r="Y143" s="163">
        <f si="60" t="shared"/>
        <v>-9.9077299000000004E-3</v>
      </c>
    </row>
    <row r="144" spans="2:25" x14ac:dyDescent="0.25">
      <c r="B144" s="114" t="s">
        <v>118</v>
      </c>
      <c r="C144" s="124">
        <f>output_NHTS!D137*$C$154</f>
        <v>626.21932380028045</v>
      </c>
      <c r="D144" s="124">
        <f>output!D137</f>
        <v>624.6224531519988</v>
      </c>
      <c r="E144" s="117">
        <f ref="E144:E149" si="66" t="shared">C144/D144</f>
        <v>1.0025565373774565</v>
      </c>
      <c r="G144" s="211">
        <v>3</v>
      </c>
      <c r="H144" s="211" t="s">
        <v>118</v>
      </c>
      <c r="I144" s="237">
        <f ref="I144:I149" si="67" t="shared">VLOOKUP(G144,$AA$3:$AC$17,3,FALSE)</f>
        <v>-1.5751269665259999</v>
      </c>
      <c r="J144" s="237">
        <f si="65" t="shared"/>
        <v>0</v>
      </c>
      <c r="K144" s="166">
        <f ref="K144:K149" si="68" t="shared">I144+J144</f>
        <v>-1.5751269665259999</v>
      </c>
      <c r="L144" s="237">
        <f ref="L144:L149" si="69" t="shared">VLOOKUP(G144,$AA$3:$AD$17,4,FALSE)</f>
        <v>-1.5751269665259999</v>
      </c>
      <c r="M144" s="211">
        <f ref="M144:M149" si="70" t="shared">IF(K144=L144,0,1)</f>
        <v>0</v>
      </c>
      <c r="N144" s="211" t="str">
        <f>CONCATENATE(VLOOKUP(G144,CoeffDef_WBSubtour!$A$1:$E$16,4,FALSE)," constant")</f>
        <v>school subtour constant</v>
      </c>
      <c r="V144" s="154">
        <f>DayPatternCoefficients!A152</f>
        <v>529</v>
      </c>
      <c r="W144" s="154" t="str">
        <f>DayPatternCoefficients!B152</f>
        <v>H-S-LOGS</v>
      </c>
      <c r="X144" s="149">
        <f>DayPatternCoefficients!D152</f>
        <v>-3.4007599600000001E-2</v>
      </c>
      <c r="Y144" s="163">
        <f si="60" t="shared"/>
        <v>-3.4007599600000001E-2</v>
      </c>
    </row>
    <row r="145" spans="2:25" x14ac:dyDescent="0.25">
      <c r="B145" s="114" t="s">
        <v>4</v>
      </c>
      <c r="C145" s="124">
        <f>output_NHTS!D138*$C$154</f>
        <v>5887.4156988713103</v>
      </c>
      <c r="D145" s="124">
        <f>output!D138</f>
        <v>6083.0965349151302</v>
      </c>
      <c r="E145" s="117">
        <f si="66" t="shared"/>
        <v>0.96783203506295334</v>
      </c>
      <c r="G145" s="211">
        <v>4</v>
      </c>
      <c r="H145" s="211" t="s">
        <v>4</v>
      </c>
      <c r="I145" s="237">
        <f si="67" t="shared"/>
        <v>-3.4954013260769998</v>
      </c>
      <c r="J145" s="237">
        <f si="65" t="shared"/>
        <v>0</v>
      </c>
      <c r="K145" s="166">
        <f si="68" t="shared"/>
        <v>-3.4954013260769998</v>
      </c>
      <c r="L145" s="237">
        <f si="69" t="shared"/>
        <v>-3.4954013260769998</v>
      </c>
      <c r="M145" s="211">
        <f si="70" t="shared"/>
        <v>0</v>
      </c>
      <c r="N145" s="211" t="str">
        <f>CONCATENATE(VLOOKUP(G145,CoeffDef_WBSubtour!$A$1:$E$16,4,FALSE)," constant")</f>
        <v>escort subtour constant</v>
      </c>
      <c r="V145" s="136">
        <f>DayPatternCoefficients!A153</f>
        <v>551</v>
      </c>
      <c r="W145" s="136" t="str">
        <f>DayPatternCoefficients!B153</f>
        <v>H-FTW</v>
      </c>
      <c r="X145" s="137">
        <f>DayPatternCoefficients!D153</f>
        <v>0.69788613220999995</v>
      </c>
      <c r="Y145" s="163">
        <f si="60" t="shared"/>
        <v>0.73431067876794243</v>
      </c>
    </row>
    <row r="146" spans="2:25" x14ac:dyDescent="0.25">
      <c r="B146" s="114" t="s">
        <v>5</v>
      </c>
      <c r="C146" s="124">
        <f>output_NHTS!D139*$C$154</f>
        <v>20683.600440154383</v>
      </c>
      <c r="D146" s="124">
        <f>output!D139</f>
        <v>21210.073618108483</v>
      </c>
      <c r="E146" s="117">
        <f si="66" t="shared"/>
        <v>0.97517815414348141</v>
      </c>
      <c r="G146" s="211">
        <v>6</v>
      </c>
      <c r="H146" s="211" t="s">
        <v>5</v>
      </c>
      <c r="I146" s="237">
        <f si="67" t="shared"/>
        <v>-2.541930043087</v>
      </c>
      <c r="J146" s="237">
        <f si="65" t="shared"/>
        <v>0</v>
      </c>
      <c r="K146" s="166">
        <f si="68" t="shared"/>
        <v>-2.541930043087</v>
      </c>
      <c r="L146" s="237">
        <f si="69" t="shared"/>
        <v>-2.541930043087</v>
      </c>
      <c r="M146" s="211">
        <f si="70" t="shared"/>
        <v>0</v>
      </c>
      <c r="N146" s="211" t="str">
        <f>CONCATENATE(VLOOKUP(G146,CoeffDef_WBSubtour!$A$1:$E$16,4,FALSE)," constant")</f>
        <v>pers. Bus. subtour constant</v>
      </c>
      <c r="V146" s="136">
        <f>DayPatternCoefficients!A154</f>
        <v>600</v>
      </c>
      <c r="W146" s="136" t="str">
        <f>DayPatternCoefficients!B154</f>
        <v>M-TASC</v>
      </c>
      <c r="X146" s="137">
        <f>DayPatternCoefficients!D154</f>
        <v>-2.6825795620799999</v>
      </c>
      <c r="Y146" s="163">
        <f si="60" t="shared"/>
        <v>-2.6825795620799999</v>
      </c>
    </row>
    <row r="147" spans="2:25" x14ac:dyDescent="0.25">
      <c r="B147" s="114" t="s">
        <v>6</v>
      </c>
      <c r="C147" s="124">
        <f>output_NHTS!D140*$C$154</f>
        <v>22147.033057502755</v>
      </c>
      <c r="D147" s="124">
        <f>output!D140</f>
        <v>20586.763937906071</v>
      </c>
      <c r="E147" s="117">
        <f si="66" t="shared"/>
        <v>1.0757899164872526</v>
      </c>
      <c r="G147" s="211">
        <v>8</v>
      </c>
      <c r="H147" s="211" t="s">
        <v>6</v>
      </c>
      <c r="I147" s="237">
        <f si="67" t="shared"/>
        <v>-3.0508954731109998</v>
      </c>
      <c r="J147" s="237">
        <f si="65" t="shared"/>
        <v>0</v>
      </c>
      <c r="K147" s="166">
        <f si="68" t="shared"/>
        <v>-3.0508954731109998</v>
      </c>
      <c r="L147" s="237">
        <f si="69" t="shared"/>
        <v>-3.0508954731109998</v>
      </c>
      <c r="M147" s="211">
        <f si="70" t="shared"/>
        <v>0</v>
      </c>
      <c r="N147" s="211" t="str">
        <f>CONCATENATE(VLOOKUP(G147,CoeffDef_WBSubtour!$A$1:$E$16,4,FALSE)," constant")</f>
        <v>shopping subtour constant</v>
      </c>
      <c r="V147" s="136">
        <f>DayPatternCoefficients!A155</f>
        <v>601</v>
      </c>
      <c r="W147" s="136" t="str">
        <f>DayPatternCoefficients!B155</f>
        <v>M-SASC</v>
      </c>
      <c r="X147" s="137">
        <f>DayPatternCoefficients!D155</f>
        <v>-0.26033909199999999</v>
      </c>
      <c r="Y147" s="163">
        <f si="60" t="shared"/>
        <v>-0.26033909199999999</v>
      </c>
    </row>
    <row r="148" spans="2:25" x14ac:dyDescent="0.25">
      <c r="B148" s="114" t="s">
        <v>7</v>
      </c>
      <c r="C148" s="263">
        <f>output_NHTS!D141*$C$154</f>
        <v>84900.351755139738</v>
      </c>
      <c r="D148" s="124">
        <f>output!D141</f>
        <v>81473.729582156389</v>
      </c>
      <c r="E148" s="117">
        <f si="66" t="shared"/>
        <v>1.0420580006654538</v>
      </c>
      <c r="G148" s="211">
        <v>10</v>
      </c>
      <c r="H148" s="211" t="s">
        <v>7</v>
      </c>
      <c r="I148" s="237">
        <f si="67" t="shared"/>
        <v>-1.1916103537930001</v>
      </c>
      <c r="J148" s="237">
        <f si="65" t="shared"/>
        <v>0</v>
      </c>
      <c r="K148" s="166">
        <f si="68" t="shared"/>
        <v>-1.1916103537930001</v>
      </c>
      <c r="L148" s="237">
        <f si="69" t="shared"/>
        <v>-1.1916103537930001</v>
      </c>
      <c r="M148" s="211">
        <f si="70" t="shared"/>
        <v>0</v>
      </c>
      <c r="N148" s="211" t="str">
        <f>CONCATENATE(VLOOKUP(G148,CoeffDef_WBSubtour!$A$1:$E$16,4,FALSE)," constant")</f>
        <v>meal subtour constant</v>
      </c>
      <c r="V148" s="136">
        <f>DayPatternCoefficients!A156</f>
        <v>602</v>
      </c>
      <c r="W148" s="136" t="str">
        <f>DayPatternCoefficients!B156</f>
        <v>M-PTW</v>
      </c>
      <c r="X148" s="137">
        <f>DayPatternCoefficients!D156</f>
        <v>-0.42900205115000001</v>
      </c>
      <c r="Y148" s="163">
        <f si="60" t="shared"/>
        <v>-0.42900205115000001</v>
      </c>
    </row>
    <row ht="15.75" r="149" spans="2:25" thickBot="1" x14ac:dyDescent="0.3">
      <c r="B149" s="123" t="s">
        <v>8</v>
      </c>
      <c r="C149" s="138">
        <f>output_NHTS!D142*$C$154</f>
        <v>21418.311440980993</v>
      </c>
      <c r="D149" s="138">
        <f>output!D142</f>
        <v>21220.210124907673</v>
      </c>
      <c r="E149" s="139">
        <f si="66" t="shared"/>
        <v>1.0093355020948069</v>
      </c>
      <c r="G149" s="214">
        <v>13</v>
      </c>
      <c r="H149" s="214" t="s">
        <v>8</v>
      </c>
      <c r="I149" s="233">
        <f si="67" t="shared"/>
        <v>-2.2830182078669998</v>
      </c>
      <c r="J149" s="264">
        <f si="65" t="shared"/>
        <v>0</v>
      </c>
      <c r="K149" s="265">
        <f si="68" t="shared"/>
        <v>-2.2830182078669998</v>
      </c>
      <c r="L149" s="233">
        <f si="69" t="shared"/>
        <v>-2.2830182078669998</v>
      </c>
      <c r="M149" s="214">
        <f si="70" t="shared"/>
        <v>0</v>
      </c>
      <c r="N149" s="214" t="str">
        <f>CONCATENATE(VLOOKUP(G149,CoeffDef_WBSubtour!$A$1:$E$16,4,FALSE)," constant")</f>
        <v>social/rec subtour constant</v>
      </c>
      <c r="V149" s="136">
        <f>DayPatternCoefficients!A157</f>
        <v>603</v>
      </c>
      <c r="W149" s="136" t="str">
        <f>DayPatternCoefficients!B157</f>
        <v>M-RET</v>
      </c>
      <c r="X149" s="137">
        <f>DayPatternCoefficients!D157</f>
        <v>-0.32764254858000003</v>
      </c>
      <c r="Y149" s="163">
        <f si="60" t="shared"/>
        <v>-0.32764254858000003</v>
      </c>
    </row>
    <row r="150" spans="2:25" x14ac:dyDescent="0.25">
      <c r="C150" s="124">
        <f>SUM(C143:C149)</f>
        <v>195000.17524435985</v>
      </c>
      <c r="D150" s="124">
        <f>SUM(D143:D149)</f>
        <v>188723.06423389638</v>
      </c>
      <c r="M150" s="118">
        <f>SUM(M143:M149)</f>
        <v>0</v>
      </c>
      <c r="V150" s="136">
        <f>DayPatternCoefficients!A158</f>
        <v>604</v>
      </c>
      <c r="W150" s="136" t="str">
        <f>DayPatternCoefficients!B158</f>
        <v>M-NWA</v>
      </c>
      <c r="X150" s="137">
        <f>DayPatternCoefficients!D158</f>
        <v>-3.7729239009999999E-2</v>
      </c>
      <c r="Y150" s="163">
        <f si="60" t="shared"/>
        <v>-2.1746580359267024E-2</v>
      </c>
    </row>
    <row r="151" spans="2:25" x14ac:dyDescent="0.25">
      <c r="B151" s="114" t="s">
        <v>3955</v>
      </c>
      <c r="C151" s="195"/>
      <c r="V151" s="136">
        <f>DayPatternCoefficients!A159</f>
        <v>605</v>
      </c>
      <c r="W151" s="136" t="str">
        <f>DayPatternCoefficients!B159</f>
        <v>M-UNI</v>
      </c>
      <c r="X151" s="137">
        <f>DayPatternCoefficients!D159</f>
        <v>4.7209205269999999E-2</v>
      </c>
      <c r="Y151" s="163">
        <f si="60" t="shared"/>
        <v>4.7209205269999999E-2</v>
      </c>
    </row>
    <row r="152" spans="2:25" x14ac:dyDescent="0.25">
      <c r="B152" s="114" t="s">
        <v>3954</v>
      </c>
      <c r="C152" s="197">
        <f>184043</f>
        <v>184043</v>
      </c>
      <c r="V152" s="136">
        <f>DayPatternCoefficients!A160</f>
        <v>606</v>
      </c>
      <c r="W152" s="136" t="str">
        <f>DayPatternCoefficients!B160</f>
        <v>M-DAS</v>
      </c>
      <c r="X152" s="137">
        <f>DayPatternCoefficients!D160</f>
        <v>0.1</v>
      </c>
      <c r="Y152" s="163">
        <f si="60" t="shared"/>
        <v>0.1</v>
      </c>
    </row>
    <row r="153" spans="2:25" x14ac:dyDescent="0.25">
      <c r="B153" s="114" t="s">
        <v>3952</v>
      </c>
      <c r="C153" s="114">
        <v>195000</v>
      </c>
      <c r="V153" s="136">
        <f>DayPatternCoefficients!A161</f>
        <v>607</v>
      </c>
      <c r="W153" s="136" t="str">
        <f>DayPatternCoefficients!B161</f>
        <v>M-PAS</v>
      </c>
      <c r="X153" s="137">
        <f>DayPatternCoefficients!D161</f>
        <v>-0.97161324606999999</v>
      </c>
      <c r="Y153" s="163">
        <f si="60" t="shared"/>
        <v>-0.97161324606999999</v>
      </c>
    </row>
    <row r="154" spans="2:25" x14ac:dyDescent="0.25">
      <c r="B154" s="114" t="s">
        <v>3953</v>
      </c>
      <c r="C154" s="197">
        <f>C153/C152</f>
        <v>1.0595349999728325</v>
      </c>
      <c r="V154" s="136">
        <f>DayPatternCoefficients!A162</f>
        <v>608</v>
      </c>
      <c r="W154" s="136" t="str">
        <f>DayPatternCoefficients!B162</f>
        <v>M-CU5</v>
      </c>
      <c r="X154" s="137">
        <f>DayPatternCoefficients!D162</f>
        <v>-1.10394031796</v>
      </c>
      <c r="Y154" s="163">
        <f si="60" t="shared"/>
        <v>-1.10394031796</v>
      </c>
    </row>
    <row r="155" spans="2:25" x14ac:dyDescent="0.25">
      <c r="V155" s="154">
        <f>DayPatternCoefficients!A163</f>
        <v>609</v>
      </c>
      <c r="W155" s="154" t="str">
        <f>DayPatternCoefficients!B163</f>
        <v>M-VLINC</v>
      </c>
      <c r="X155" s="149">
        <f>DayPatternCoefficients!D163</f>
        <v>-0.29980229739999997</v>
      </c>
      <c r="Y155" s="163">
        <f si="60" t="shared"/>
        <v>-0.29980229739999997</v>
      </c>
    </row>
    <row r="156" spans="2:25" x14ac:dyDescent="0.25"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V156" s="154">
        <f>DayPatternCoefficients!A164</f>
        <v>610</v>
      </c>
      <c r="W156" s="154" t="str">
        <f>DayPatternCoefficients!B164</f>
        <v>M-LOINC</v>
      </c>
      <c r="X156" s="149">
        <f>DayPatternCoefficients!D164</f>
        <v>1.6766769720000001E-2</v>
      </c>
      <c r="Y156" s="163">
        <f si="60" t="shared"/>
        <v>1.6766769720000001E-2</v>
      </c>
    </row>
    <row r="157" spans="2:25" x14ac:dyDescent="0.25"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V157" s="154">
        <f>DayPatternCoefficients!A165</f>
        <v>611</v>
      </c>
      <c r="W157" s="154" t="str">
        <f>DayPatternCoefficients!B165</f>
        <v>M-HIINC</v>
      </c>
      <c r="X157" s="149">
        <f>DayPatternCoefficients!D165</f>
        <v>0</v>
      </c>
      <c r="Y157" s="163">
        <f si="60" t="shared"/>
        <v>0</v>
      </c>
    </row>
    <row r="158" spans="2:25" x14ac:dyDescent="0.25">
      <c r="B158" s="98"/>
      <c r="C158" s="89"/>
      <c r="D158" s="89"/>
      <c r="E158" s="89"/>
      <c r="F158" s="89"/>
      <c r="G158" s="89"/>
      <c r="H158" s="89"/>
      <c r="I158" s="89"/>
      <c r="J158" s="122"/>
      <c r="K158" s="122"/>
      <c r="V158" s="154">
        <f>DayPatternCoefficients!A166</f>
        <v>612</v>
      </c>
      <c r="W158" s="154" t="str">
        <f>DayPatternCoefficients!B166</f>
        <v>M-CARSPD</v>
      </c>
      <c r="X158" s="149">
        <f>DayPatternCoefficients!D166</f>
        <v>-0.22841745929999999</v>
      </c>
      <c r="Y158" s="163">
        <f si="60" t="shared"/>
        <v>-0.22841745929999999</v>
      </c>
    </row>
    <row r="159" spans="2:25" x14ac:dyDescent="0.25">
      <c r="B159" s="25"/>
      <c r="C159" s="198"/>
      <c r="D159" s="198"/>
      <c r="E159" s="198"/>
      <c r="F159" s="198"/>
      <c r="G159" s="198"/>
      <c r="H159" s="198"/>
      <c r="I159" s="198"/>
      <c r="J159" s="122"/>
      <c r="K159" s="122"/>
      <c r="V159" s="154">
        <f>DayPatternCoefficients!A167</f>
        <v>613</v>
      </c>
      <c r="W159" s="154" t="str">
        <f>DayPatternCoefficients!B167</f>
        <v>M-ONLYAD</v>
      </c>
      <c r="X159" s="149">
        <f>DayPatternCoefficients!D167</f>
        <v>0</v>
      </c>
      <c r="Y159" s="163">
        <f si="60" t="shared"/>
        <v>0</v>
      </c>
    </row>
    <row r="160" spans="2:25" x14ac:dyDescent="0.25">
      <c r="B160" s="25"/>
      <c r="C160" s="198"/>
      <c r="D160" s="198"/>
      <c r="E160" s="198"/>
      <c r="F160" s="198"/>
      <c r="G160" s="198"/>
      <c r="H160" s="198"/>
      <c r="I160" s="198"/>
      <c r="J160" s="122"/>
      <c r="K160" s="122"/>
      <c r="V160" s="154">
        <f>DayPatternCoefficients!A168</f>
        <v>614</v>
      </c>
      <c r="W160" s="154" t="str">
        <f>DayPatternCoefficients!B168</f>
        <v>M-ONLYWK</v>
      </c>
      <c r="X160" s="149">
        <f>DayPatternCoefficients!D168</f>
        <v>0</v>
      </c>
      <c r="Y160" s="163">
        <f si="60" t="shared"/>
        <v>0</v>
      </c>
    </row>
    <row r="161" spans="2:25" x14ac:dyDescent="0.25">
      <c r="B161" s="25"/>
      <c r="C161" s="198"/>
      <c r="D161" s="198"/>
      <c r="E161" s="198"/>
      <c r="F161" s="198"/>
      <c r="G161" s="198"/>
      <c r="H161" s="198"/>
      <c r="I161" s="198"/>
      <c r="J161" s="122"/>
      <c r="K161" s="122"/>
      <c r="V161" s="154">
        <f>DayPatternCoefficients!A169</f>
        <v>616</v>
      </c>
      <c r="W161" s="154" t="str">
        <f>DayPatternCoefficients!B169</f>
        <v>M-FEMNOC</v>
      </c>
      <c r="X161" s="149">
        <f>DayPatternCoefficients!D169</f>
        <v>-5.8983816699999997E-2</v>
      </c>
      <c r="Y161" s="163">
        <f si="60" t="shared"/>
        <v>-5.8983816699999997E-2</v>
      </c>
    </row>
    <row r="162" spans="2:25" x14ac:dyDescent="0.25">
      <c r="B162" s="25"/>
      <c r="C162" s="198"/>
      <c r="D162" s="198"/>
      <c r="E162" s="198"/>
      <c r="F162" s="198"/>
      <c r="G162" s="198"/>
      <c r="H162" s="198"/>
      <c r="I162" s="198"/>
      <c r="J162" s="122"/>
      <c r="K162" s="122"/>
      <c r="V162" s="154">
        <f>DayPatternCoefficients!A170</f>
        <v>617</v>
      </c>
      <c r="W162" s="154" t="str">
        <f>DayPatternCoefficients!B170</f>
        <v>M-FADCU5</v>
      </c>
      <c r="X162" s="149">
        <f>DayPatternCoefficients!D170</f>
        <v>0</v>
      </c>
      <c r="Y162" s="163">
        <f si="60" t="shared"/>
        <v>0</v>
      </c>
    </row>
    <row r="163" spans="2:25" x14ac:dyDescent="0.25">
      <c r="B163" s="25"/>
      <c r="C163" s="198"/>
      <c r="D163" s="198"/>
      <c r="E163" s="198"/>
      <c r="F163" s="198"/>
      <c r="G163" s="198"/>
      <c r="H163" s="198"/>
      <c r="I163" s="198"/>
      <c r="J163" s="122"/>
      <c r="K163" s="122"/>
      <c r="V163" s="154">
        <f>DayPatternCoefficients!A171</f>
        <v>618</v>
      </c>
      <c r="W163" s="154" t="str">
        <f>DayPatternCoefficients!B171</f>
        <v>M-FAD515</v>
      </c>
      <c r="X163" s="149">
        <f>DayPatternCoefficients!D171</f>
        <v>-0.59216940409999996</v>
      </c>
      <c r="Y163" s="163">
        <f si="60" t="shared"/>
        <v>-0.59216940409999996</v>
      </c>
    </row>
    <row r="164" spans="2:25" x14ac:dyDescent="0.25">
      <c r="B164" s="25"/>
      <c r="C164" s="198"/>
      <c r="D164" s="198"/>
      <c r="E164" s="198"/>
      <c r="F164" s="198"/>
      <c r="G164" s="198"/>
      <c r="H164" s="198"/>
      <c r="I164" s="198"/>
      <c r="J164" s="122"/>
      <c r="K164" s="122"/>
      <c r="V164" s="154">
        <f>DayPatternCoefficients!A172</f>
        <v>619</v>
      </c>
      <c r="W164" s="154" t="str">
        <f>DayPatternCoefficients!B172</f>
        <v>M-MADCU5</v>
      </c>
      <c r="X164" s="149">
        <f>DayPatternCoefficients!D172</f>
        <v>0</v>
      </c>
      <c r="Y164" s="163">
        <f si="60" t="shared"/>
        <v>0</v>
      </c>
    </row>
    <row r="165" spans="2:25" x14ac:dyDescent="0.25">
      <c r="B165" s="25"/>
      <c r="C165" s="198"/>
      <c r="D165" s="198"/>
      <c r="E165" s="198"/>
      <c r="F165" s="198"/>
      <c r="G165" s="198"/>
      <c r="H165" s="198"/>
      <c r="I165" s="198"/>
      <c r="J165" s="122"/>
      <c r="K165" s="122"/>
      <c r="V165" s="154">
        <f>DayPatternCoefficients!A173</f>
        <v>620</v>
      </c>
      <c r="W165" s="154" t="str">
        <f>DayPatternCoefficients!B173</f>
        <v>M-MAD515</v>
      </c>
      <c r="X165" s="149">
        <f>DayPatternCoefficients!D173</f>
        <v>-0.48080125200000001</v>
      </c>
      <c r="Y165" s="163">
        <f si="60" t="shared"/>
        <v>-0.48080125200000001</v>
      </c>
    </row>
    <row r="166" spans="2:25" x14ac:dyDescent="0.25"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V166" s="154">
        <f>DayPatternCoefficients!A174</f>
        <v>621</v>
      </c>
      <c r="W166" s="154" t="str">
        <f>DayPatternCoefficients!B174</f>
        <v>M-AG1825</v>
      </c>
      <c r="X166" s="149">
        <f>DayPatternCoefficients!D174</f>
        <v>0</v>
      </c>
      <c r="Y166" s="163">
        <f si="60" t="shared"/>
        <v>0</v>
      </c>
    </row>
    <row r="167" spans="2:25" x14ac:dyDescent="0.25"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V167" s="154">
        <f>DayPatternCoefficients!A175</f>
        <v>622</v>
      </c>
      <c r="W167" s="154" t="str">
        <f>DayPatternCoefficients!B175</f>
        <v>M-AG2635</v>
      </c>
      <c r="X167" s="149">
        <f>DayPatternCoefficients!D175</f>
        <v>0</v>
      </c>
      <c r="Y167" s="163">
        <f si="60" t="shared"/>
        <v>0</v>
      </c>
    </row>
    <row r="168" spans="2:25" x14ac:dyDescent="0.25">
      <c r="V168" s="154">
        <f>DayPatternCoefficients!A176</f>
        <v>623</v>
      </c>
      <c r="W168" s="154" t="str">
        <f>DayPatternCoefficients!B176</f>
        <v>M-AG5165</v>
      </c>
      <c r="X168" s="149">
        <f>DayPatternCoefficients!D176</f>
        <v>0</v>
      </c>
      <c r="Y168" s="163">
        <f si="60" t="shared"/>
        <v>0</v>
      </c>
    </row>
    <row r="169" spans="2:25" x14ac:dyDescent="0.25">
      <c r="V169" s="154">
        <f>DayPatternCoefficients!A177</f>
        <v>624</v>
      </c>
      <c r="W169" s="154" t="str">
        <f>DayPatternCoefficients!B177</f>
        <v>M-WAHOME</v>
      </c>
      <c r="X169" s="149">
        <f>DayPatternCoefficients!D177</f>
        <v>0</v>
      </c>
      <c r="Y169" s="163">
        <f si="60" t="shared"/>
        <v>0</v>
      </c>
    </row>
    <row r="170" spans="2:25" x14ac:dyDescent="0.25">
      <c r="V170" s="154">
        <f>DayPatternCoefficients!A178</f>
        <v>625</v>
      </c>
      <c r="W170" s="154" t="str">
        <f>DayPatternCoefficients!B178</f>
        <v>M-MIXDEN</v>
      </c>
      <c r="X170" s="149">
        <f>DayPatternCoefficients!D178</f>
        <v>0</v>
      </c>
      <c r="Y170" s="163">
        <f si="60" t="shared"/>
        <v>0</v>
      </c>
    </row>
    <row r="171" spans="2:25" x14ac:dyDescent="0.25">
      <c r="V171" s="154">
        <f>DayPatternCoefficients!A179</f>
        <v>626</v>
      </c>
      <c r="W171" s="154" t="str">
        <f>DayPatternCoefficients!B179</f>
        <v>M-INTDEN</v>
      </c>
      <c r="X171" s="149">
        <f>DayPatternCoefficients!D179</f>
        <v>0</v>
      </c>
      <c r="Y171" s="163">
        <f si="60" t="shared"/>
        <v>0</v>
      </c>
    </row>
    <row r="172" spans="2:25" x14ac:dyDescent="0.25">
      <c r="V172" s="154">
        <f>DayPatternCoefficients!A180</f>
        <v>627</v>
      </c>
      <c r="W172" s="154" t="str">
        <f>DayPatternCoefficients!B180</f>
        <v>M-ACCLOG</v>
      </c>
      <c r="X172" s="149">
        <f>DayPatternCoefficients!D180</f>
        <v>0.1</v>
      </c>
      <c r="Y172" s="163">
        <f si="60" t="shared"/>
        <v>0.1</v>
      </c>
    </row>
    <row r="173" spans="2:25" x14ac:dyDescent="0.25">
      <c r="V173" s="154">
        <f>DayPatternCoefficients!A181</f>
        <v>628</v>
      </c>
      <c r="W173" s="154" t="str">
        <f>DayPatternCoefficients!B181</f>
        <v>M-T-LOGS</v>
      </c>
      <c r="X173" s="149">
        <f>DayPatternCoefficients!D181</f>
        <v>2.706528398E-2</v>
      </c>
      <c r="Y173" s="163">
        <f si="60" t="shared"/>
        <v>2.706528398E-2</v>
      </c>
    </row>
    <row r="174" spans="2:25" x14ac:dyDescent="0.25">
      <c r="V174" s="154">
        <f>DayPatternCoefficients!A182</f>
        <v>629</v>
      </c>
      <c r="W174" s="154" t="str">
        <f>DayPatternCoefficients!B182</f>
        <v>M-S-LOGS</v>
      </c>
      <c r="X174" s="149">
        <f>DayPatternCoefficients!D182</f>
        <v>-2.37266979E-2</v>
      </c>
      <c r="Y174" s="163">
        <f si="60" t="shared"/>
        <v>-2.37266979E-2</v>
      </c>
    </row>
    <row r="175" spans="2:25" x14ac:dyDescent="0.25">
      <c r="V175" s="136">
        <f>DayPatternCoefficients!A183</f>
        <v>651</v>
      </c>
      <c r="W175" s="136" t="str">
        <f>DayPatternCoefficients!B183</f>
        <v>M-FTW</v>
      </c>
      <c r="X175" s="137">
        <f>DayPatternCoefficients!D183</f>
        <v>0.13098320225000001</v>
      </c>
      <c r="Y175" s="163">
        <f si="60" t="shared"/>
        <v>0.17133569821730341</v>
      </c>
    </row>
    <row r="176" spans="2:25" x14ac:dyDescent="0.25">
      <c r="V176" s="136">
        <f>DayPatternCoefficients!A184</f>
        <v>700</v>
      </c>
      <c r="W176" s="136" t="str">
        <f>DayPatternCoefficients!B184</f>
        <v>D-TASC</v>
      </c>
      <c r="X176" s="137">
        <f>DayPatternCoefficients!D184</f>
        <v>-1.6172265851700001</v>
      </c>
      <c r="Y176" s="163">
        <f si="60" t="shared"/>
        <v>-1.6172265851700001</v>
      </c>
    </row>
    <row r="177" spans="22:25" x14ac:dyDescent="0.25">
      <c r="V177" s="136">
        <f>DayPatternCoefficients!A185</f>
        <v>701</v>
      </c>
      <c r="W177" s="136" t="str">
        <f>DayPatternCoefficients!B185</f>
        <v>D-SASC</v>
      </c>
      <c r="X177" s="137">
        <f>DayPatternCoefficients!D185</f>
        <v>-3.79081965E-3</v>
      </c>
      <c r="Y177" s="163">
        <f si="60" t="shared"/>
        <v>-3.79081965E-3</v>
      </c>
    </row>
    <row r="178" spans="22:25" x14ac:dyDescent="0.25">
      <c r="V178" s="136">
        <f>DayPatternCoefficients!A186</f>
        <v>702</v>
      </c>
      <c r="W178" s="136" t="str">
        <f>DayPatternCoefficients!B186</f>
        <v>D-PTW</v>
      </c>
      <c r="X178" s="137">
        <f>DayPatternCoefficients!D186</f>
        <v>6.1732609389999998E-2</v>
      </c>
      <c r="Y178" s="163">
        <f si="60" t="shared"/>
        <v>6.1732609389999998E-2</v>
      </c>
    </row>
    <row r="179" spans="22:25" x14ac:dyDescent="0.25">
      <c r="V179" s="136">
        <f>DayPatternCoefficients!A187</f>
        <v>703</v>
      </c>
      <c r="W179" s="136" t="str">
        <f>DayPatternCoefficients!B187</f>
        <v>D-RET</v>
      </c>
      <c r="X179" s="137">
        <f>DayPatternCoefficients!D187</f>
        <v>-0.22493912760000001</v>
      </c>
      <c r="Y179" s="163">
        <f si="60" t="shared"/>
        <v>-0.22493912760000001</v>
      </c>
    </row>
    <row r="180" spans="22:25" x14ac:dyDescent="0.25">
      <c r="V180" s="136">
        <f>DayPatternCoefficients!A188</f>
        <v>704</v>
      </c>
      <c r="W180" s="136" t="str">
        <f>DayPatternCoefficients!B188</f>
        <v>D-NWA</v>
      </c>
      <c r="X180" s="137">
        <f>DayPatternCoefficients!D188</f>
        <v>4.7151419719999997E-2</v>
      </c>
      <c r="Y180" s="163">
        <f si="60" t="shared"/>
        <v>4.7151419719999997E-2</v>
      </c>
    </row>
    <row r="181" spans="22:25" x14ac:dyDescent="0.25">
      <c r="V181" s="136">
        <f>DayPatternCoefficients!A189</f>
        <v>705</v>
      </c>
      <c r="W181" s="136" t="str">
        <f>DayPatternCoefficients!B189</f>
        <v>D-UNI</v>
      </c>
      <c r="X181" s="137">
        <f>DayPatternCoefficients!D189</f>
        <v>8.1660837489999999E-2</v>
      </c>
      <c r="Y181" s="163">
        <f si="60" t="shared"/>
        <v>8.1660837489999999E-2</v>
      </c>
    </row>
    <row r="182" spans="22:25" x14ac:dyDescent="0.25">
      <c r="V182" s="136">
        <f>DayPatternCoefficients!A190</f>
        <v>706</v>
      </c>
      <c r="W182" s="136" t="str">
        <f>DayPatternCoefficients!B190</f>
        <v>D-DAS</v>
      </c>
      <c r="X182" s="137">
        <f>DayPatternCoefficients!D190</f>
        <v>-0.28019776109</v>
      </c>
      <c r="Y182" s="163">
        <f si="60" t="shared"/>
        <v>-0.28019776109</v>
      </c>
    </row>
    <row r="183" spans="22:25" x14ac:dyDescent="0.25">
      <c r="V183" s="136">
        <f>DayPatternCoefficients!A191</f>
        <v>707</v>
      </c>
      <c r="W183" s="136" t="str">
        <f>DayPatternCoefficients!B191</f>
        <v>D-PAS</v>
      </c>
      <c r="X183" s="137">
        <f>DayPatternCoefficients!D191</f>
        <v>0.41884341245000001</v>
      </c>
      <c r="Y183" s="163">
        <f si="60" t="shared"/>
        <v>0.41884341245000001</v>
      </c>
    </row>
    <row r="184" spans="22:25" x14ac:dyDescent="0.25">
      <c r="V184" s="136">
        <f>DayPatternCoefficients!A192</f>
        <v>708</v>
      </c>
      <c r="W184" s="136" t="str">
        <f>DayPatternCoefficients!B192</f>
        <v>D-CU5</v>
      </c>
      <c r="X184" s="137">
        <f>DayPatternCoefficients!D192</f>
        <v>0.38733642329000001</v>
      </c>
      <c r="Y184" s="163">
        <f si="60" t="shared"/>
        <v>0.38733642329000001</v>
      </c>
    </row>
    <row r="185" spans="22:25" x14ac:dyDescent="0.25">
      <c r="V185" s="154">
        <f>DayPatternCoefficients!A193</f>
        <v>709</v>
      </c>
      <c r="W185" s="154" t="str">
        <f>DayPatternCoefficients!B193</f>
        <v>D-VLINC</v>
      </c>
      <c r="X185" s="149">
        <f>DayPatternCoefficients!D193</f>
        <v>-0.37024939579999999</v>
      </c>
      <c r="Y185" s="163">
        <f si="60" t="shared"/>
        <v>-0.37024939579999999</v>
      </c>
    </row>
    <row r="186" spans="22:25" x14ac:dyDescent="0.25">
      <c r="V186" s="154">
        <f>DayPatternCoefficients!A194</f>
        <v>710</v>
      </c>
      <c r="W186" s="154" t="str">
        <f>DayPatternCoefficients!B194</f>
        <v>D-LOINC</v>
      </c>
      <c r="X186" s="149">
        <f>DayPatternCoefficients!D194</f>
        <v>-2.81435682E-2</v>
      </c>
      <c r="Y186" s="163">
        <f si="60" t="shared"/>
        <v>-2.81435682E-2</v>
      </c>
    </row>
    <row r="187" spans="22:25" x14ac:dyDescent="0.25">
      <c r="V187" s="154">
        <f>DayPatternCoefficients!A195</f>
        <v>711</v>
      </c>
      <c r="W187" s="154" t="str">
        <f>DayPatternCoefficients!B195</f>
        <v>D-HIINC</v>
      </c>
      <c r="X187" s="149">
        <f>DayPatternCoefficients!D195</f>
        <v>0.11288399087000001</v>
      </c>
      <c r="Y187" s="163">
        <f si="60" t="shared"/>
        <v>0.11288399087000001</v>
      </c>
    </row>
    <row r="188" spans="22:25" x14ac:dyDescent="0.25">
      <c r="V188" s="154">
        <f>DayPatternCoefficients!A196</f>
        <v>712</v>
      </c>
      <c r="W188" s="154" t="str">
        <f>DayPatternCoefficients!B196</f>
        <v>D-CARSPD</v>
      </c>
      <c r="X188" s="149">
        <f>DayPatternCoefficients!D196</f>
        <v>0.19420487187999999</v>
      </c>
      <c r="Y188" s="163">
        <f si="60" t="shared"/>
        <v>0.19420487187999999</v>
      </c>
    </row>
    <row r="189" spans="22:25" x14ac:dyDescent="0.25">
      <c r="V189" s="154">
        <f>DayPatternCoefficients!A197</f>
        <v>713</v>
      </c>
      <c r="W189" s="154" t="str">
        <f>DayPatternCoefficients!B197</f>
        <v>D-ONLYAD</v>
      </c>
      <c r="X189" s="149">
        <f>DayPatternCoefficients!D197</f>
        <v>-5.0667690500000001E-2</v>
      </c>
      <c r="Y189" s="163">
        <f si="60" t="shared"/>
        <v>-5.0667690500000001E-2</v>
      </c>
    </row>
    <row r="190" spans="22:25" x14ac:dyDescent="0.25">
      <c r="V190" s="154">
        <f>DayPatternCoefficients!A198</f>
        <v>714</v>
      </c>
      <c r="W190" s="154" t="str">
        <f>DayPatternCoefficients!B198</f>
        <v>D-ONLYWK</v>
      </c>
      <c r="X190" s="149">
        <f>DayPatternCoefficients!D198</f>
        <v>0</v>
      </c>
      <c r="Y190" s="163">
        <f si="60" t="shared"/>
        <v>0</v>
      </c>
    </row>
    <row r="191" spans="22:25" x14ac:dyDescent="0.25">
      <c r="V191" s="154">
        <f>DayPatternCoefficients!A199</f>
        <v>716</v>
      </c>
      <c r="W191" s="154" t="str">
        <f>DayPatternCoefficients!B199</f>
        <v>D-FEMNOC</v>
      </c>
      <c r="X191" s="149">
        <f>DayPatternCoefficients!D199</f>
        <v>0</v>
      </c>
      <c r="Y191" s="163">
        <f si="60" t="shared"/>
        <v>0</v>
      </c>
    </row>
    <row r="192" spans="22:25" x14ac:dyDescent="0.25">
      <c r="V192" s="154">
        <f>DayPatternCoefficients!A200</f>
        <v>717</v>
      </c>
      <c r="W192" s="154" t="str">
        <f>DayPatternCoefficients!B200</f>
        <v>D-FADCU5</v>
      </c>
      <c r="X192" s="149">
        <f>DayPatternCoefficients!D200</f>
        <v>0</v>
      </c>
      <c r="Y192" s="163">
        <f si="60" t="shared"/>
        <v>0</v>
      </c>
    </row>
    <row r="193" spans="22:25" x14ac:dyDescent="0.25">
      <c r="V193" s="154">
        <f>DayPatternCoefficients!A201</f>
        <v>718</v>
      </c>
      <c r="W193" s="154" t="str">
        <f>DayPatternCoefficients!B201</f>
        <v>D-FAD515</v>
      </c>
      <c r="X193" s="149">
        <f>DayPatternCoefficients!D201</f>
        <v>-0.2438662318</v>
      </c>
      <c r="Y193" s="163">
        <f si="60" t="shared"/>
        <v>-0.2438662318</v>
      </c>
    </row>
    <row r="194" spans="22:25" x14ac:dyDescent="0.25">
      <c r="V194" s="154">
        <f>DayPatternCoefficients!A202</f>
        <v>719</v>
      </c>
      <c r="W194" s="154" t="str">
        <f>DayPatternCoefficients!B202</f>
        <v>D-MADCU5</v>
      </c>
      <c r="X194" s="149">
        <f>DayPatternCoefficients!D202</f>
        <v>0</v>
      </c>
      <c r="Y194" s="163">
        <f si="60" t="shared"/>
        <v>0</v>
      </c>
    </row>
    <row r="195" spans="22:25" x14ac:dyDescent="0.25">
      <c r="V195" s="154">
        <f>DayPatternCoefficients!A203</f>
        <v>720</v>
      </c>
      <c r="W195" s="154" t="str">
        <f>DayPatternCoefficients!B203</f>
        <v>D-MAD515</v>
      </c>
      <c r="X195" s="149">
        <f>DayPatternCoefficients!D203</f>
        <v>-0.50528967089999999</v>
      </c>
      <c r="Y195" s="163">
        <f si="60" t="shared"/>
        <v>-0.50528967089999999</v>
      </c>
    </row>
    <row r="196" spans="22:25" x14ac:dyDescent="0.25">
      <c r="V196" s="154">
        <f>DayPatternCoefficients!A204</f>
        <v>721</v>
      </c>
      <c r="W196" s="154" t="str">
        <f>DayPatternCoefficients!B204</f>
        <v>D-AG1825</v>
      </c>
      <c r="X196" s="149">
        <f>DayPatternCoefficients!D204</f>
        <v>0</v>
      </c>
      <c r="Y196" s="163">
        <f ref="Y196:Y259" si="71" t="shared">_xlfn.IFNA(VLOOKUP(V196,$L$63:$N$111,3,FALSE),_xlfn.IFNA(VLOOKUP(V196,$G$5:$K$11,5,FALSE),_xlfn.IFNA(VLOOKUP(V196,$G$19:$K$25,5,FALSE),X196)))</f>
        <v>0</v>
      </c>
    </row>
    <row r="197" spans="22:25" x14ac:dyDescent="0.25">
      <c r="V197" s="154">
        <f>DayPatternCoefficients!A205</f>
        <v>722</v>
      </c>
      <c r="W197" s="154" t="str">
        <f>DayPatternCoefficients!B205</f>
        <v>D-AG2635</v>
      </c>
      <c r="X197" s="149">
        <f>DayPatternCoefficients!D205</f>
        <v>0</v>
      </c>
      <c r="Y197" s="163">
        <f si="71" t="shared"/>
        <v>0</v>
      </c>
    </row>
    <row r="198" spans="22:25" x14ac:dyDescent="0.25">
      <c r="V198" s="154">
        <f>DayPatternCoefficients!A206</f>
        <v>723</v>
      </c>
      <c r="W198" s="154" t="str">
        <f>DayPatternCoefficients!B206</f>
        <v>D-AG5165</v>
      </c>
      <c r="X198" s="149">
        <f>DayPatternCoefficients!D206</f>
        <v>-9.4417426900000004E-2</v>
      </c>
      <c r="Y198" s="163">
        <f si="71" t="shared"/>
        <v>-9.4417426900000004E-2</v>
      </c>
    </row>
    <row r="199" spans="22:25" x14ac:dyDescent="0.25">
      <c r="V199" s="154">
        <f>DayPatternCoefficients!A207</f>
        <v>724</v>
      </c>
      <c r="W199" s="154" t="str">
        <f>DayPatternCoefficients!B207</f>
        <v>D-WAHOME</v>
      </c>
      <c r="X199" s="149">
        <f>DayPatternCoefficients!D207</f>
        <v>-5</v>
      </c>
      <c r="Y199" s="163">
        <f si="71" t="shared"/>
        <v>-5</v>
      </c>
    </row>
    <row r="200" spans="22:25" x14ac:dyDescent="0.25">
      <c r="V200" s="154">
        <f>DayPatternCoefficients!A208</f>
        <v>725</v>
      </c>
      <c r="W200" s="154" t="str">
        <f>DayPatternCoefficients!B208</f>
        <v>D-MIXDEN</v>
      </c>
      <c r="X200" s="149">
        <f>DayPatternCoefficients!D208</f>
        <v>0</v>
      </c>
      <c r="Y200" s="163">
        <f si="71" t="shared"/>
        <v>0</v>
      </c>
    </row>
    <row r="201" spans="22:25" x14ac:dyDescent="0.25">
      <c r="V201" s="154">
        <f>DayPatternCoefficients!A209</f>
        <v>726</v>
      </c>
      <c r="W201" s="154" t="str">
        <f>DayPatternCoefficients!B209</f>
        <v>D-INTDEN</v>
      </c>
      <c r="X201" s="149">
        <f>DayPatternCoefficients!D209</f>
        <v>0</v>
      </c>
      <c r="Y201" s="163">
        <f si="71" t="shared"/>
        <v>0</v>
      </c>
    </row>
    <row r="202" spans="22:25" x14ac:dyDescent="0.25">
      <c r="V202" s="154">
        <f>DayPatternCoefficients!A210</f>
        <v>727</v>
      </c>
      <c r="W202" s="154" t="str">
        <f>DayPatternCoefficients!B210</f>
        <v>D-ACCLOG</v>
      </c>
      <c r="X202" s="149">
        <f>DayPatternCoefficients!D210</f>
        <v>0</v>
      </c>
      <c r="Y202" s="163">
        <f si="71" t="shared"/>
        <v>0</v>
      </c>
    </row>
    <row r="203" spans="22:25" x14ac:dyDescent="0.25">
      <c r="V203" s="154">
        <f>DayPatternCoefficients!A211</f>
        <v>728</v>
      </c>
      <c r="W203" s="154" t="str">
        <f>DayPatternCoefficients!B211</f>
        <v>D-T-LOGS</v>
      </c>
      <c r="X203" s="149">
        <f>DayPatternCoefficients!D211</f>
        <v>4.7101136490000001E-2</v>
      </c>
      <c r="Y203" s="163">
        <f si="71" t="shared"/>
        <v>4.7101136490000001E-2</v>
      </c>
    </row>
    <row r="204" spans="22:25" x14ac:dyDescent="0.25">
      <c r="V204" s="154">
        <f>DayPatternCoefficients!A212</f>
        <v>729</v>
      </c>
      <c r="W204" s="154" t="str">
        <f>DayPatternCoefficients!B212</f>
        <v>D-S-LOGS</v>
      </c>
      <c r="X204" s="149">
        <f>DayPatternCoefficients!D212</f>
        <v>3.3043148209999998E-2</v>
      </c>
      <c r="Y204" s="163">
        <f si="71" t="shared"/>
        <v>3.3043148209999998E-2</v>
      </c>
    </row>
    <row r="205" spans="22:25" x14ac:dyDescent="0.25">
      <c r="V205" s="136">
        <f>DayPatternCoefficients!A213</f>
        <v>751</v>
      </c>
      <c r="W205" s="136" t="str">
        <f>DayPatternCoefficients!B213</f>
        <v>D-FTW</v>
      </c>
      <c r="X205" s="137">
        <f>DayPatternCoefficients!D213</f>
        <v>-6.0962981569999998E-2</v>
      </c>
      <c r="Y205" s="163">
        <f si="71" t="shared"/>
        <v>-6.0962981569999998E-2</v>
      </c>
    </row>
    <row r="206" spans="22:25" x14ac:dyDescent="0.25">
      <c r="V206" s="154">
        <f>DayPatternCoefficients!A214</f>
        <v>802</v>
      </c>
      <c r="W206" s="154" t="str">
        <f>DayPatternCoefficients!B214</f>
        <v>T-PTW</v>
      </c>
      <c r="X206" s="149">
        <f>DayPatternCoefficients!D214</f>
        <v>0.48216116207999998</v>
      </c>
      <c r="Y206" s="163">
        <f si="71" t="shared"/>
        <v>0.48216116207999998</v>
      </c>
    </row>
    <row r="207" spans="22:25" x14ac:dyDescent="0.25">
      <c r="V207" s="154">
        <f>DayPatternCoefficients!A215</f>
        <v>803</v>
      </c>
      <c r="W207" s="154" t="str">
        <f>DayPatternCoefficients!B215</f>
        <v>T-RET</v>
      </c>
      <c r="X207" s="149">
        <f>DayPatternCoefficients!D215</f>
        <v>4.1439464709999999E-2</v>
      </c>
      <c r="Y207" s="163">
        <f si="71" t="shared"/>
        <v>4.1439464709999999E-2</v>
      </c>
    </row>
    <row r="208" spans="22:25" x14ac:dyDescent="0.25">
      <c r="V208" s="154">
        <f>DayPatternCoefficients!A216</f>
        <v>804</v>
      </c>
      <c r="W208" s="154" t="str">
        <f>DayPatternCoefficients!B216</f>
        <v>T-NWA</v>
      </c>
      <c r="X208" s="149">
        <f>DayPatternCoefficients!D216</f>
        <v>6.9579968419999999E-2</v>
      </c>
      <c r="Y208" s="163">
        <f si="71" t="shared"/>
        <v>6.9579968419999999E-2</v>
      </c>
    </row>
    <row r="209" spans="22:25" x14ac:dyDescent="0.25">
      <c r="V209" s="154">
        <f>DayPatternCoefficients!A217</f>
        <v>805</v>
      </c>
      <c r="W209" s="154" t="str">
        <f>DayPatternCoefficients!B217</f>
        <v>T-UNI</v>
      </c>
      <c r="X209" s="149">
        <f>DayPatternCoefficients!D217</f>
        <v>-0.43103620619999999</v>
      </c>
      <c r="Y209" s="163">
        <f si="71" t="shared"/>
        <v>-0.43103620619999999</v>
      </c>
    </row>
    <row r="210" spans="22:25" x14ac:dyDescent="0.25">
      <c r="V210" s="154">
        <f>DayPatternCoefficients!A218</f>
        <v>806</v>
      </c>
      <c r="W210" s="154" t="str">
        <f>DayPatternCoefficients!B218</f>
        <v>T-DAS</v>
      </c>
      <c r="X210" s="149">
        <f>DayPatternCoefficients!D218</f>
        <v>0.18339092563000001</v>
      </c>
      <c r="Y210" s="163">
        <f si="71" t="shared"/>
        <v>0.18339092563000001</v>
      </c>
    </row>
    <row r="211" spans="22:25" x14ac:dyDescent="0.25">
      <c r="V211" s="154">
        <f>DayPatternCoefficients!A219</f>
        <v>807</v>
      </c>
      <c r="W211" s="154" t="str">
        <f>DayPatternCoefficients!B219</f>
        <v>T-PAS</v>
      </c>
      <c r="X211" s="149">
        <f>DayPatternCoefficients!D219</f>
        <v>0.66879116640000003</v>
      </c>
      <c r="Y211" s="163">
        <f si="71" t="shared"/>
        <v>0.66879116640000003</v>
      </c>
    </row>
    <row r="212" spans="22:25" x14ac:dyDescent="0.25">
      <c r="V212" s="154">
        <f>DayPatternCoefficients!A220</f>
        <v>808</v>
      </c>
      <c r="W212" s="154" t="str">
        <f>DayPatternCoefficients!B220</f>
        <v>T-CU5</v>
      </c>
      <c r="X212" s="149">
        <f>DayPatternCoefficients!D220</f>
        <v>0</v>
      </c>
      <c r="Y212" s="163">
        <f si="71" t="shared"/>
        <v>0</v>
      </c>
    </row>
    <row r="213" spans="22:25" x14ac:dyDescent="0.25">
      <c r="V213" s="154">
        <f>DayPatternCoefficients!A221</f>
        <v>809</v>
      </c>
      <c r="W213" s="154" t="str">
        <f>DayPatternCoefficients!B221</f>
        <v>T-VLINC</v>
      </c>
      <c r="X213" s="149">
        <f>DayPatternCoefficients!D221</f>
        <v>0</v>
      </c>
      <c r="Y213" s="163">
        <f si="71" t="shared"/>
        <v>0</v>
      </c>
    </row>
    <row r="214" spans="22:25" x14ac:dyDescent="0.25">
      <c r="V214" s="154">
        <f>DayPatternCoefficients!A222</f>
        <v>810</v>
      </c>
      <c r="W214" s="154" t="str">
        <f>DayPatternCoefficients!B222</f>
        <v>T-LOINC</v>
      </c>
      <c r="X214" s="149">
        <f>DayPatternCoefficients!D222</f>
        <v>0</v>
      </c>
      <c r="Y214" s="163">
        <f si="71" t="shared"/>
        <v>0</v>
      </c>
    </row>
    <row r="215" spans="22:25" x14ac:dyDescent="0.25">
      <c r="V215" s="154">
        <f>DayPatternCoefficients!A223</f>
        <v>811</v>
      </c>
      <c r="W215" s="154" t="str">
        <f>DayPatternCoefficients!B223</f>
        <v>T-HIINC</v>
      </c>
      <c r="X215" s="149">
        <f>DayPatternCoefficients!D223</f>
        <v>0</v>
      </c>
      <c r="Y215" s="163">
        <f si="71" t="shared"/>
        <v>0</v>
      </c>
    </row>
    <row r="216" spans="22:25" x14ac:dyDescent="0.25">
      <c r="V216" s="154">
        <f>DayPatternCoefficients!A224</f>
        <v>812</v>
      </c>
      <c r="W216" s="154" t="str">
        <f>DayPatternCoefficients!B224</f>
        <v>T-CARSPD</v>
      </c>
      <c r="X216" s="149">
        <f>DayPatternCoefficients!D224</f>
        <v>0</v>
      </c>
      <c r="Y216" s="163">
        <f si="71" t="shared"/>
        <v>0</v>
      </c>
    </row>
    <row r="217" spans="22:25" x14ac:dyDescent="0.25">
      <c r="V217" s="154">
        <f>DayPatternCoefficients!A225</f>
        <v>813</v>
      </c>
      <c r="W217" s="154" t="str">
        <f>DayPatternCoefficients!B225</f>
        <v>T-ONLYAD</v>
      </c>
      <c r="X217" s="149">
        <f>DayPatternCoefficients!D225</f>
        <v>0.2</v>
      </c>
      <c r="Y217" s="163">
        <f si="71" t="shared"/>
        <v>0.2</v>
      </c>
    </row>
    <row r="218" spans="22:25" x14ac:dyDescent="0.25">
      <c r="V218" s="154">
        <f>DayPatternCoefficients!A226</f>
        <v>814</v>
      </c>
      <c r="W218" s="154" t="str">
        <f>DayPatternCoefficients!B226</f>
        <v>T-ONLYWK</v>
      </c>
      <c r="X218" s="149">
        <f>DayPatternCoefficients!D226</f>
        <v>0.2</v>
      </c>
      <c r="Y218" s="163">
        <f si="71" t="shared"/>
        <v>0.2</v>
      </c>
    </row>
    <row r="219" spans="22:25" x14ac:dyDescent="0.25">
      <c r="V219" s="154">
        <f>DayPatternCoefficients!A227</f>
        <v>816</v>
      </c>
      <c r="W219" s="154" t="str">
        <f>DayPatternCoefficients!B227</f>
        <v>T-FEMNOC</v>
      </c>
      <c r="X219" s="149">
        <f>DayPatternCoefficients!D227</f>
        <v>-0.13352737449999999</v>
      </c>
      <c r="Y219" s="163">
        <f si="71" t="shared"/>
        <v>-0.13352737449999999</v>
      </c>
    </row>
    <row r="220" spans="22:25" x14ac:dyDescent="0.25">
      <c r="V220" s="154">
        <f>DayPatternCoefficients!A228</f>
        <v>817</v>
      </c>
      <c r="W220" s="154" t="str">
        <f>DayPatternCoefficients!B228</f>
        <v>T-FADCU5</v>
      </c>
      <c r="X220" s="149">
        <f>DayPatternCoefficients!D228</f>
        <v>-0.19409057069999999</v>
      </c>
      <c r="Y220" s="163">
        <f si="71" t="shared"/>
        <v>-0.19409057069999999</v>
      </c>
    </row>
    <row r="221" spans="22:25" x14ac:dyDescent="0.25">
      <c r="V221" s="154">
        <f>DayPatternCoefficients!A229</f>
        <v>818</v>
      </c>
      <c r="W221" s="154" t="str">
        <f>DayPatternCoefficients!B229</f>
        <v>T-FAD515</v>
      </c>
      <c r="X221" s="149">
        <f>DayPatternCoefficients!D229</f>
        <v>0.3240162721</v>
      </c>
      <c r="Y221" s="163">
        <f si="71" t="shared"/>
        <v>0.3240162721</v>
      </c>
    </row>
    <row r="222" spans="22:25" x14ac:dyDescent="0.25">
      <c r="V222" s="154">
        <f>DayPatternCoefficients!A230</f>
        <v>819</v>
      </c>
      <c r="W222" s="154" t="str">
        <f>DayPatternCoefficients!B230</f>
        <v>T-MADCU5</v>
      </c>
      <c r="X222" s="149">
        <f>DayPatternCoefficients!D230</f>
        <v>-0.3025653606</v>
      </c>
      <c r="Y222" s="163">
        <f si="71" t="shared"/>
        <v>-0.3025653606</v>
      </c>
    </row>
    <row r="223" spans="22:25" x14ac:dyDescent="0.25">
      <c r="V223" s="154">
        <f>DayPatternCoefficients!A231</f>
        <v>820</v>
      </c>
      <c r="W223" s="154" t="str">
        <f>DayPatternCoefficients!B231</f>
        <v>T-MAD515</v>
      </c>
      <c r="X223" s="149">
        <f>DayPatternCoefficients!D231</f>
        <v>0.46909146538000002</v>
      </c>
      <c r="Y223" s="163">
        <f si="71" t="shared"/>
        <v>0.46909146538000002</v>
      </c>
    </row>
    <row r="224" spans="22:25" x14ac:dyDescent="0.25">
      <c r="V224" s="154">
        <f>DayPatternCoefficients!A232</f>
        <v>821</v>
      </c>
      <c r="W224" s="154" t="str">
        <f>DayPatternCoefficients!B232</f>
        <v>T-AG1825</v>
      </c>
      <c r="X224" s="149">
        <f>DayPatternCoefficients!D232</f>
        <v>9.8106343639999996E-2</v>
      </c>
      <c r="Y224" s="163">
        <f si="71" t="shared"/>
        <v>9.8106343639999996E-2</v>
      </c>
    </row>
    <row r="225" spans="22:25" x14ac:dyDescent="0.25">
      <c r="V225" s="154">
        <f>DayPatternCoefficients!A233</f>
        <v>822</v>
      </c>
      <c r="W225" s="154" t="str">
        <f>DayPatternCoefficients!B233</f>
        <v>T-AG2635</v>
      </c>
      <c r="X225" s="149">
        <f>DayPatternCoefficients!D233</f>
        <v>0.2</v>
      </c>
      <c r="Y225" s="163">
        <f si="71" t="shared"/>
        <v>0.2</v>
      </c>
    </row>
    <row r="226" spans="22:25" x14ac:dyDescent="0.25">
      <c r="V226" s="154">
        <f>DayPatternCoefficients!A234</f>
        <v>823</v>
      </c>
      <c r="W226" s="154" t="str">
        <f>DayPatternCoefficients!B234</f>
        <v>T-AG5165</v>
      </c>
      <c r="X226" s="149">
        <f>DayPatternCoefficients!D234</f>
        <v>0</v>
      </c>
      <c r="Y226" s="163">
        <f si="71" t="shared"/>
        <v>0</v>
      </c>
    </row>
    <row r="227" spans="22:25" x14ac:dyDescent="0.25">
      <c r="V227" s="154">
        <f>DayPatternCoefficients!A235</f>
        <v>824</v>
      </c>
      <c r="W227" s="154" t="str">
        <f>DayPatternCoefficients!B235</f>
        <v>T-WAHOME</v>
      </c>
      <c r="X227" s="149">
        <f>DayPatternCoefficients!D235</f>
        <v>1.7061575260799999</v>
      </c>
      <c r="Y227" s="163">
        <f si="71" t="shared"/>
        <v>1.7061575260799999</v>
      </c>
    </row>
    <row r="228" spans="22:25" x14ac:dyDescent="0.25">
      <c r="V228" s="154">
        <f>DayPatternCoefficients!A236</f>
        <v>825</v>
      </c>
      <c r="W228" s="154" t="str">
        <f>DayPatternCoefficients!B236</f>
        <v>T-MIXDEN</v>
      </c>
      <c r="X228" s="149">
        <f>DayPatternCoefficients!D236</f>
        <v>0</v>
      </c>
      <c r="Y228" s="163">
        <f si="71" t="shared"/>
        <v>0</v>
      </c>
    </row>
    <row r="229" spans="22:25" x14ac:dyDescent="0.25">
      <c r="V229" s="154">
        <f>DayPatternCoefficients!A237</f>
        <v>826</v>
      </c>
      <c r="W229" s="154" t="str">
        <f>DayPatternCoefficients!B237</f>
        <v>T-INTDEN</v>
      </c>
      <c r="X229" s="149">
        <f>DayPatternCoefficients!D237</f>
        <v>7.7639468000000001E-4</v>
      </c>
      <c r="Y229" s="163">
        <f si="71" t="shared"/>
        <v>7.7639468000000001E-4</v>
      </c>
    </row>
    <row r="230" spans="22:25" x14ac:dyDescent="0.25">
      <c r="V230" s="154">
        <f>DayPatternCoefficients!A238</f>
        <v>827</v>
      </c>
      <c r="W230" s="154" t="str">
        <f>DayPatternCoefficients!B238</f>
        <v>T-ACCLOG</v>
      </c>
      <c r="X230" s="149">
        <f>DayPatternCoefficients!D238</f>
        <v>6.0680986139999997E-2</v>
      </c>
      <c r="Y230" s="163">
        <f si="71" t="shared"/>
        <v>6.0680986139999997E-2</v>
      </c>
    </row>
    <row r="231" spans="22:25" x14ac:dyDescent="0.25">
      <c r="V231" s="154">
        <f>DayPatternCoefficients!A239</f>
        <v>851</v>
      </c>
      <c r="W231" s="154" t="str">
        <f>DayPatternCoefficients!B239</f>
        <v>T-FTW</v>
      </c>
      <c r="X231" s="149">
        <f>DayPatternCoefficients!D239</f>
        <v>0.1</v>
      </c>
      <c r="Y231" s="163">
        <f si="71" t="shared"/>
        <v>0.1</v>
      </c>
    </row>
    <row r="232" spans="22:25" x14ac:dyDescent="0.25">
      <c r="V232" s="154">
        <f>DayPatternCoefficients!A240</f>
        <v>902</v>
      </c>
      <c r="W232" s="154" t="str">
        <f>DayPatternCoefficients!B240</f>
        <v>I-PTW</v>
      </c>
      <c r="X232" s="149">
        <f>DayPatternCoefficients!D240</f>
        <v>0</v>
      </c>
      <c r="Y232" s="163">
        <f si="71" t="shared"/>
        <v>0</v>
      </c>
    </row>
    <row r="233" spans="22:25" x14ac:dyDescent="0.25">
      <c r="V233" s="154">
        <f>DayPatternCoefficients!A241</f>
        <v>903</v>
      </c>
      <c r="W233" s="154" t="str">
        <f>DayPatternCoefficients!B241</f>
        <v>I-RET</v>
      </c>
      <c r="X233" s="149">
        <f>DayPatternCoefficients!D241</f>
        <v>0</v>
      </c>
      <c r="Y233" s="163">
        <f si="71" t="shared"/>
        <v>0</v>
      </c>
    </row>
    <row r="234" spans="22:25" x14ac:dyDescent="0.25">
      <c r="V234" s="154">
        <f>DayPatternCoefficients!A242</f>
        <v>904</v>
      </c>
      <c r="W234" s="154" t="str">
        <f>DayPatternCoefficients!B242</f>
        <v>I-NWA</v>
      </c>
      <c r="X234" s="149">
        <f>DayPatternCoefficients!D242</f>
        <v>0</v>
      </c>
      <c r="Y234" s="163">
        <f si="71" t="shared"/>
        <v>0</v>
      </c>
    </row>
    <row r="235" spans="22:25" x14ac:dyDescent="0.25">
      <c r="V235" s="154">
        <f>DayPatternCoefficients!A243</f>
        <v>905</v>
      </c>
      <c r="W235" s="154" t="str">
        <f>DayPatternCoefficients!B243</f>
        <v>I-UNI</v>
      </c>
      <c r="X235" s="149">
        <f>DayPatternCoefficients!D243</f>
        <v>0.1</v>
      </c>
      <c r="Y235" s="163">
        <f si="71" t="shared"/>
        <v>0.1</v>
      </c>
    </row>
    <row r="236" spans="22:25" x14ac:dyDescent="0.25">
      <c r="V236" s="154">
        <f>DayPatternCoefficients!A244</f>
        <v>906</v>
      </c>
      <c r="W236" s="154" t="str">
        <f>DayPatternCoefficients!B244</f>
        <v>I-DAS</v>
      </c>
      <c r="X236" s="149">
        <f>DayPatternCoefficients!D244</f>
        <v>-0.74970232910000001</v>
      </c>
      <c r="Y236" s="163">
        <f si="71" t="shared"/>
        <v>-0.74970232910000001</v>
      </c>
    </row>
    <row r="237" spans="22:25" x14ac:dyDescent="0.25">
      <c r="V237" s="154">
        <f>DayPatternCoefficients!A245</f>
        <v>907</v>
      </c>
      <c r="W237" s="154" t="str">
        <f>DayPatternCoefficients!B245</f>
        <v>I-PAS</v>
      </c>
      <c r="X237" s="149">
        <f>DayPatternCoefficients!D245</f>
        <v>-0.45273598900000001</v>
      </c>
      <c r="Y237" s="163">
        <f si="71" t="shared"/>
        <v>-0.45273598900000001</v>
      </c>
    </row>
    <row r="238" spans="22:25" x14ac:dyDescent="0.25">
      <c r="V238" s="154">
        <f>DayPatternCoefficients!A246</f>
        <v>908</v>
      </c>
      <c r="W238" s="154" t="str">
        <f>DayPatternCoefficients!B246</f>
        <v>I-CU5</v>
      </c>
      <c r="X238" s="149">
        <f>DayPatternCoefficients!D246</f>
        <v>0</v>
      </c>
      <c r="Y238" s="163">
        <f si="71" t="shared"/>
        <v>0</v>
      </c>
    </row>
    <row r="239" spans="22:25" x14ac:dyDescent="0.25">
      <c r="V239" s="154">
        <f>DayPatternCoefficients!A247</f>
        <v>909</v>
      </c>
      <c r="W239" s="154" t="str">
        <f>DayPatternCoefficients!B247</f>
        <v>I-VLINC</v>
      </c>
      <c r="X239" s="149">
        <f>DayPatternCoefficients!D247</f>
        <v>0</v>
      </c>
      <c r="Y239" s="163">
        <f si="71" t="shared"/>
        <v>0</v>
      </c>
    </row>
    <row r="240" spans="22:25" x14ac:dyDescent="0.25">
      <c r="V240" s="154">
        <f>DayPatternCoefficients!A248</f>
        <v>910</v>
      </c>
      <c r="W240" s="154" t="str">
        <f>DayPatternCoefficients!B248</f>
        <v>I-LOINC</v>
      </c>
      <c r="X240" s="149">
        <f>DayPatternCoefficients!D248</f>
        <v>0</v>
      </c>
      <c r="Y240" s="163">
        <f si="71" t="shared"/>
        <v>0</v>
      </c>
    </row>
    <row r="241" spans="22:25" x14ac:dyDescent="0.25">
      <c r="V241" s="154">
        <f>DayPatternCoefficients!A249</f>
        <v>911</v>
      </c>
      <c r="W241" s="154" t="str">
        <f>DayPatternCoefficients!B249</f>
        <v>I-HIINC</v>
      </c>
      <c r="X241" s="149">
        <f>DayPatternCoefficients!D249</f>
        <v>0.1</v>
      </c>
      <c r="Y241" s="163">
        <f si="71" t="shared"/>
        <v>0.1</v>
      </c>
    </row>
    <row r="242" spans="22:25" x14ac:dyDescent="0.25">
      <c r="V242" s="154">
        <f>DayPatternCoefficients!A250</f>
        <v>912</v>
      </c>
      <c r="W242" s="154" t="str">
        <f>DayPatternCoefficients!B250</f>
        <v>I-CARSPD</v>
      </c>
      <c r="X242" s="149">
        <f>DayPatternCoefficients!D250</f>
        <v>0</v>
      </c>
      <c r="Y242" s="163">
        <f si="71" t="shared"/>
        <v>0</v>
      </c>
    </row>
    <row r="243" spans="22:25" x14ac:dyDescent="0.25">
      <c r="V243" s="154">
        <f>DayPatternCoefficients!A251</f>
        <v>913</v>
      </c>
      <c r="W243" s="154" t="str">
        <f>DayPatternCoefficients!B251</f>
        <v>I-ONLYAD</v>
      </c>
      <c r="X243" s="149">
        <f>DayPatternCoefficients!D251</f>
        <v>0</v>
      </c>
      <c r="Y243" s="163">
        <f si="71" t="shared"/>
        <v>0</v>
      </c>
    </row>
    <row r="244" spans="22:25" x14ac:dyDescent="0.25">
      <c r="V244" s="154">
        <f>DayPatternCoefficients!A252</f>
        <v>914</v>
      </c>
      <c r="W244" s="154" t="str">
        <f>DayPatternCoefficients!B252</f>
        <v>I-ONLYWK</v>
      </c>
      <c r="X244" s="149">
        <f>DayPatternCoefficients!D252</f>
        <v>0</v>
      </c>
      <c r="Y244" s="163">
        <f si="71" t="shared"/>
        <v>0</v>
      </c>
    </row>
    <row r="245" spans="22:25" x14ac:dyDescent="0.25">
      <c r="V245" s="154">
        <f>DayPatternCoefficients!A253</f>
        <v>916</v>
      </c>
      <c r="W245" s="154" t="str">
        <f>DayPatternCoefficients!B253</f>
        <v>I-FEMNOC</v>
      </c>
      <c r="X245" s="149">
        <f>DayPatternCoefficients!D253</f>
        <v>0</v>
      </c>
      <c r="Y245" s="163">
        <f si="71" t="shared"/>
        <v>0</v>
      </c>
    </row>
    <row r="246" spans="22:25" x14ac:dyDescent="0.25">
      <c r="V246" s="154">
        <f>DayPatternCoefficients!A254</f>
        <v>917</v>
      </c>
      <c r="W246" s="154" t="str">
        <f>DayPatternCoefficients!B254</f>
        <v>I-FADCU5</v>
      </c>
      <c r="X246" s="149">
        <f>DayPatternCoefficients!D254</f>
        <v>0.1</v>
      </c>
      <c r="Y246" s="163">
        <f si="71" t="shared"/>
        <v>0.1</v>
      </c>
    </row>
    <row r="247" spans="22:25" x14ac:dyDescent="0.25">
      <c r="V247" s="154">
        <f>DayPatternCoefficients!A255</f>
        <v>918</v>
      </c>
      <c r="W247" s="154" t="str">
        <f>DayPatternCoefficients!B255</f>
        <v>I-FAD515</v>
      </c>
      <c r="X247" s="149">
        <f>DayPatternCoefficients!D255</f>
        <v>0.1</v>
      </c>
      <c r="Y247" s="163">
        <f si="71" t="shared"/>
        <v>0.1</v>
      </c>
    </row>
    <row r="248" spans="22:25" x14ac:dyDescent="0.25">
      <c r="V248" s="154">
        <f>DayPatternCoefficients!A256</f>
        <v>919</v>
      </c>
      <c r="W248" s="154" t="str">
        <f>DayPatternCoefficients!B256</f>
        <v>I-MADCU5</v>
      </c>
      <c r="X248" s="149">
        <f>DayPatternCoefficients!D256</f>
        <v>0.1</v>
      </c>
      <c r="Y248" s="163">
        <f si="71" t="shared"/>
        <v>0.1</v>
      </c>
    </row>
    <row r="249" spans="22:25" x14ac:dyDescent="0.25">
      <c r="V249" s="154">
        <f>DayPatternCoefficients!A257</f>
        <v>920</v>
      </c>
      <c r="W249" s="154" t="str">
        <f>DayPatternCoefficients!B257</f>
        <v>I-MAD515</v>
      </c>
      <c r="X249" s="149">
        <f>DayPatternCoefficients!D257</f>
        <v>0.1</v>
      </c>
      <c r="Y249" s="163">
        <f si="71" t="shared"/>
        <v>0.1</v>
      </c>
    </row>
    <row r="250" spans="22:25" x14ac:dyDescent="0.25">
      <c r="V250" s="154">
        <f>DayPatternCoefficients!A258</f>
        <v>921</v>
      </c>
      <c r="W250" s="154" t="str">
        <f>DayPatternCoefficients!B258</f>
        <v>I-AG1825</v>
      </c>
      <c r="X250" s="149">
        <f>DayPatternCoefficients!D258</f>
        <v>0</v>
      </c>
      <c r="Y250" s="163">
        <f si="71" t="shared"/>
        <v>0</v>
      </c>
    </row>
    <row r="251" spans="22:25" x14ac:dyDescent="0.25">
      <c r="V251" s="154">
        <f>DayPatternCoefficients!A259</f>
        <v>922</v>
      </c>
      <c r="W251" s="154" t="str">
        <f>DayPatternCoefficients!B259</f>
        <v>I-AG2635</v>
      </c>
      <c r="X251" s="149">
        <f>DayPatternCoefficients!D259</f>
        <v>0</v>
      </c>
      <c r="Y251" s="163">
        <f si="71" t="shared"/>
        <v>0</v>
      </c>
    </row>
    <row r="252" spans="22:25" x14ac:dyDescent="0.25">
      <c r="V252" s="154">
        <f>DayPatternCoefficients!A260</f>
        <v>923</v>
      </c>
      <c r="W252" s="154" t="str">
        <f>DayPatternCoefficients!B260</f>
        <v>I-AG5165</v>
      </c>
      <c r="X252" s="149">
        <f>DayPatternCoefficients!D260</f>
        <v>0</v>
      </c>
      <c r="Y252" s="163">
        <f si="71" t="shared"/>
        <v>0</v>
      </c>
    </row>
    <row r="253" spans="22:25" x14ac:dyDescent="0.25">
      <c r="V253" s="154">
        <f>DayPatternCoefficients!A261</f>
        <v>924</v>
      </c>
      <c r="W253" s="154" t="str">
        <f>DayPatternCoefficients!B261</f>
        <v>I-WAHOME</v>
      </c>
      <c r="X253" s="149">
        <f>DayPatternCoefficients!D261</f>
        <v>1.0089226032800001</v>
      </c>
      <c r="Y253" s="163">
        <f si="71" t="shared"/>
        <v>1.0089226032800001</v>
      </c>
    </row>
    <row r="254" spans="22:25" x14ac:dyDescent="0.25">
      <c r="V254" s="154">
        <f>DayPatternCoefficients!A262</f>
        <v>925</v>
      </c>
      <c r="W254" s="154" t="str">
        <f>DayPatternCoefficients!B262</f>
        <v>I-MIXDEN</v>
      </c>
      <c r="X254" s="149">
        <f>DayPatternCoefficients!D262</f>
        <v>0</v>
      </c>
      <c r="Y254" s="163">
        <f si="71" t="shared"/>
        <v>0</v>
      </c>
    </row>
    <row r="255" spans="22:25" x14ac:dyDescent="0.25">
      <c r="V255" s="154">
        <f>DayPatternCoefficients!A263</f>
        <v>926</v>
      </c>
      <c r="W255" s="154" t="str">
        <f>DayPatternCoefficients!B263</f>
        <v>I-INTDEN</v>
      </c>
      <c r="X255" s="149">
        <f>DayPatternCoefficients!D263</f>
        <v>0</v>
      </c>
      <c r="Y255" s="163">
        <f si="71" t="shared"/>
        <v>0</v>
      </c>
    </row>
    <row r="256" spans="22:25" x14ac:dyDescent="0.25">
      <c r="V256" s="154">
        <f>DayPatternCoefficients!A264</f>
        <v>927</v>
      </c>
      <c r="W256" s="154" t="str">
        <f>DayPatternCoefficients!B264</f>
        <v>I-ACCLOG</v>
      </c>
      <c r="X256" s="149">
        <f>DayPatternCoefficients!D264</f>
        <v>0</v>
      </c>
      <c r="Y256" s="163">
        <f si="71" t="shared"/>
        <v>0</v>
      </c>
    </row>
    <row r="257" spans="22:25" x14ac:dyDescent="0.25">
      <c r="V257" s="154">
        <f>DayPatternCoefficients!A265</f>
        <v>951</v>
      </c>
      <c r="W257" s="154" t="str">
        <f>DayPatternCoefficients!B265</f>
        <v>I-FTW</v>
      </c>
      <c r="X257" s="149">
        <f>DayPatternCoefficients!D265</f>
        <v>0</v>
      </c>
      <c r="Y257" s="163">
        <f si="71" t="shared"/>
        <v>0</v>
      </c>
    </row>
    <row r="258" spans="22:25" x14ac:dyDescent="0.25">
      <c r="V258" s="154">
        <f>DayPatternCoefficients!A266</f>
        <v>1010</v>
      </c>
      <c r="W258" s="154" t="str">
        <f>DayPatternCoefficients!B266</f>
        <v>TW/S-LS</v>
      </c>
      <c r="X258" s="149">
        <f>DayPatternCoefficients!D266</f>
        <v>0.46702494856999999</v>
      </c>
      <c r="Y258" s="163">
        <f si="71" t="shared"/>
        <v>0.46702494856999999</v>
      </c>
    </row>
    <row r="259" spans="22:25" x14ac:dyDescent="0.25">
      <c r="V259" s="154">
        <f>DayPatternCoefficients!A267</f>
        <v>1011</v>
      </c>
      <c r="W259" s="154" t="str">
        <f>DayPatternCoefficients!B267</f>
        <v>T/S-W/W</v>
      </c>
      <c r="X259" s="149">
        <f>DayPatternCoefficients!D267</f>
        <v>0.35627106767</v>
      </c>
      <c r="Y259" s="163">
        <f si="71" t="shared"/>
        <v>0.35627106767</v>
      </c>
    </row>
    <row r="260" spans="22:25" x14ac:dyDescent="0.25">
      <c r="V260" s="154">
        <f>DayPatternCoefficients!A268</f>
        <v>1012</v>
      </c>
      <c r="W260" s="154" t="str">
        <f>DayPatternCoefficients!B268</f>
        <v>T/S-W/S</v>
      </c>
      <c r="X260" s="149">
        <f>DayPatternCoefficients!D268</f>
        <v>0</v>
      </c>
      <c r="Y260" s="163">
        <f ref="Y260:Y323" si="72" t="shared">_xlfn.IFNA(VLOOKUP(V260,$L$63:$N$111,3,FALSE),_xlfn.IFNA(VLOOKUP(V260,$G$5:$K$11,5,FALSE),_xlfn.IFNA(VLOOKUP(V260,$G$19:$K$25,5,FALSE),X260)))</f>
        <v>0</v>
      </c>
    </row>
    <row r="261" spans="22:25" x14ac:dyDescent="0.25">
      <c r="V261" s="154">
        <f>DayPatternCoefficients!A269</f>
        <v>1013</v>
      </c>
      <c r="W261" s="154" t="str">
        <f>DayPatternCoefficients!B269</f>
        <v>T/S-W/E</v>
      </c>
      <c r="X261" s="149">
        <f>DayPatternCoefficients!D269</f>
        <v>1.31138129947</v>
      </c>
      <c r="Y261" s="163">
        <f si="72" t="shared"/>
        <v>1.31138129947</v>
      </c>
    </row>
    <row r="262" spans="22:25" x14ac:dyDescent="0.25">
      <c r="V262" s="154">
        <f>DayPatternCoefficients!A270</f>
        <v>1014</v>
      </c>
      <c r="W262" s="154" t="str">
        <f>DayPatternCoefficients!B270</f>
        <v>T/S-W/P</v>
      </c>
      <c r="X262" s="149">
        <f>DayPatternCoefficients!D270</f>
        <v>-0.2271508596</v>
      </c>
      <c r="Y262" s="163">
        <f si="72" t="shared"/>
        <v>-0.2271508596</v>
      </c>
    </row>
    <row r="263" spans="22:25" x14ac:dyDescent="0.25">
      <c r="V263" s="154">
        <f>DayPatternCoefficients!A271</f>
        <v>1015</v>
      </c>
      <c r="W263" s="154" t="str">
        <f>DayPatternCoefficients!B271</f>
        <v>T/S-W/H</v>
      </c>
      <c r="X263" s="149">
        <f>DayPatternCoefficients!D271</f>
        <v>-0.3863353779</v>
      </c>
      <c r="Y263" s="163">
        <f si="72" t="shared"/>
        <v>-0.3863353779</v>
      </c>
    </row>
    <row r="264" spans="22:25" x14ac:dyDescent="0.25">
      <c r="V264" s="154">
        <f>DayPatternCoefficients!A272</f>
        <v>1016</v>
      </c>
      <c r="W264" s="154" t="str">
        <f>DayPatternCoefficients!B272</f>
        <v>T/S-W/M</v>
      </c>
      <c r="X264" s="149">
        <f>DayPatternCoefficients!D272</f>
        <v>8.8964159720000005E-2</v>
      </c>
      <c r="Y264" s="163">
        <f si="72" t="shared"/>
        <v>8.8964159720000005E-2</v>
      </c>
    </row>
    <row r="265" spans="22:25" x14ac:dyDescent="0.25">
      <c r="V265" s="154">
        <f>DayPatternCoefficients!A273</f>
        <v>1018</v>
      </c>
      <c r="W265" s="154" t="str">
        <f>DayPatternCoefficients!B273</f>
        <v>TW/S-HLS</v>
      </c>
      <c r="X265" s="149">
        <f>DayPatternCoefficients!D273</f>
        <v>-7.95389814E-2</v>
      </c>
      <c r="Y265" s="163">
        <f si="72" t="shared"/>
        <v>-7.95389814E-2</v>
      </c>
    </row>
    <row r="266" spans="22:25" x14ac:dyDescent="0.25">
      <c r="V266" s="154">
        <f>DayPatternCoefficients!A274</f>
        <v>1019</v>
      </c>
      <c r="W266" s="154" t="str">
        <f>DayPatternCoefficients!B274</f>
        <v>TW/S-WLS</v>
      </c>
      <c r="X266" s="149">
        <f>DayPatternCoefficients!D274</f>
        <v>7.9494235799999993E-2</v>
      </c>
      <c r="Y266" s="163">
        <f si="72" t="shared"/>
        <v>7.9494235799999993E-2</v>
      </c>
    </row>
    <row r="267" spans="22:25" x14ac:dyDescent="0.25">
      <c r="V267" s="154">
        <f>DayPatternCoefficients!A275</f>
        <v>1020</v>
      </c>
      <c r="W267" s="154" t="str">
        <f>DayPatternCoefficients!B275</f>
        <v>TS/S-LS</v>
      </c>
      <c r="X267" s="149">
        <f>DayPatternCoefficients!D275</f>
        <v>0</v>
      </c>
      <c r="Y267" s="163">
        <f si="72" t="shared"/>
        <v>0</v>
      </c>
    </row>
    <row r="268" spans="22:25" x14ac:dyDescent="0.25">
      <c r="V268" s="154">
        <f>DayPatternCoefficients!A276</f>
        <v>1021</v>
      </c>
      <c r="W268" s="154" t="str">
        <f>DayPatternCoefficients!B276</f>
        <v>T/S-S/W</v>
      </c>
      <c r="X268" s="149">
        <f>DayPatternCoefficients!D276</f>
        <v>0</v>
      </c>
      <c r="Y268" s="163">
        <f si="72" t="shared"/>
        <v>0</v>
      </c>
    </row>
    <row r="269" spans="22:25" x14ac:dyDescent="0.25">
      <c r="V269" s="154">
        <f>DayPatternCoefficients!A277</f>
        <v>1022</v>
      </c>
      <c r="W269" s="154" t="str">
        <f>DayPatternCoefficients!B277</f>
        <v>T/S-S/S</v>
      </c>
      <c r="X269" s="149">
        <f>DayPatternCoefficients!D277</f>
        <v>3.1456067640000002E-2</v>
      </c>
      <c r="Y269" s="163">
        <f si="72" t="shared"/>
        <v>3.1456067640000002E-2</v>
      </c>
    </row>
    <row r="270" spans="22:25" x14ac:dyDescent="0.25">
      <c r="V270" s="154">
        <f>DayPatternCoefficients!A278</f>
        <v>1023</v>
      </c>
      <c r="W270" s="154" t="str">
        <f>DayPatternCoefficients!B278</f>
        <v>T/S-S/E</v>
      </c>
      <c r="X270" s="149">
        <f>DayPatternCoefficients!D278</f>
        <v>1.4072425159899999</v>
      </c>
      <c r="Y270" s="163">
        <f si="72" t="shared"/>
        <v>1.4072425159899999</v>
      </c>
    </row>
    <row r="271" spans="22:25" x14ac:dyDescent="0.25">
      <c r="V271" s="154">
        <f>DayPatternCoefficients!A279</f>
        <v>1024</v>
      </c>
      <c r="W271" s="154" t="str">
        <f>DayPatternCoefficients!B279</f>
        <v>T/S-S/P</v>
      </c>
      <c r="X271" s="149">
        <f>DayPatternCoefficients!D279</f>
        <v>-0.26026898339999999</v>
      </c>
      <c r="Y271" s="163">
        <f si="72" t="shared"/>
        <v>-0.26026898339999999</v>
      </c>
    </row>
    <row r="272" spans="22:25" x14ac:dyDescent="0.25">
      <c r="V272" s="154">
        <f>DayPatternCoefficients!A280</f>
        <v>1025</v>
      </c>
      <c r="W272" s="154" t="str">
        <f>DayPatternCoefficients!B280</f>
        <v>T/S-S/H</v>
      </c>
      <c r="X272" s="149">
        <f>DayPatternCoefficients!D280</f>
        <v>-0.32971865140000001</v>
      </c>
      <c r="Y272" s="163">
        <f si="72" t="shared"/>
        <v>-0.32971865140000001</v>
      </c>
    </row>
    <row r="273" spans="22:25" x14ac:dyDescent="0.25">
      <c r="V273" s="154">
        <f>DayPatternCoefficients!A281</f>
        <v>1026</v>
      </c>
      <c r="W273" s="154" t="str">
        <f>DayPatternCoefficients!B281</f>
        <v>T/S-S/M</v>
      </c>
      <c r="X273" s="149">
        <f>DayPatternCoefficients!D281</f>
        <v>6.5087520300000003E-3</v>
      </c>
      <c r="Y273" s="163">
        <f si="72" t="shared"/>
        <v>6.5087520300000003E-3</v>
      </c>
    </row>
    <row r="274" spans="22:25" x14ac:dyDescent="0.25">
      <c r="V274" s="154">
        <f>DayPatternCoefficients!A282</f>
        <v>1028</v>
      </c>
      <c r="W274" s="154" t="str">
        <f>DayPatternCoefficients!B282</f>
        <v>TS/S-HLS</v>
      </c>
      <c r="X274" s="149">
        <f>DayPatternCoefficients!D282</f>
        <v>1.139271289E-2</v>
      </c>
      <c r="Y274" s="163">
        <f si="72" t="shared"/>
        <v>1.139271289E-2</v>
      </c>
    </row>
    <row r="275" spans="22:25" x14ac:dyDescent="0.25">
      <c r="V275" s="154">
        <f>DayPatternCoefficients!A283</f>
        <v>1029</v>
      </c>
      <c r="W275" s="154" t="str">
        <f>DayPatternCoefficients!B283</f>
        <v>TS/S-SLS</v>
      </c>
      <c r="X275" s="149">
        <f>DayPatternCoefficients!D283</f>
        <v>0</v>
      </c>
      <c r="Y275" s="163">
        <f si="72" t="shared"/>
        <v>0</v>
      </c>
    </row>
    <row r="276" spans="22:25" x14ac:dyDescent="0.25">
      <c r="V276" s="154">
        <f>DayPatternCoefficients!A284</f>
        <v>1033</v>
      </c>
      <c r="W276" s="154" t="str">
        <f>DayPatternCoefficients!B284</f>
        <v>T/S-E/E</v>
      </c>
      <c r="X276" s="149">
        <f>DayPatternCoefficients!D284</f>
        <v>2.4989891222699998</v>
      </c>
      <c r="Y276" s="163">
        <f si="72" t="shared"/>
        <v>2.4989891222699998</v>
      </c>
    </row>
    <row r="277" spans="22:25" x14ac:dyDescent="0.25">
      <c r="V277" s="154">
        <f>DayPatternCoefficients!A285</f>
        <v>1034</v>
      </c>
      <c r="W277" s="154" t="str">
        <f>DayPatternCoefficients!B285</f>
        <v>T/S-E/P</v>
      </c>
      <c r="X277" s="149">
        <f>DayPatternCoefficients!D285</f>
        <v>0.42155755741000001</v>
      </c>
      <c r="Y277" s="163">
        <f si="72" t="shared"/>
        <v>0.42155755741000001</v>
      </c>
    </row>
    <row r="278" spans="22:25" x14ac:dyDescent="0.25">
      <c r="V278" s="154">
        <f>DayPatternCoefficients!A286</f>
        <v>1035</v>
      </c>
      <c r="W278" s="154" t="str">
        <f>DayPatternCoefficients!B286</f>
        <v>T/S-E/H</v>
      </c>
      <c r="X278" s="149">
        <f>DayPatternCoefficients!D286</f>
        <v>0.18824946519999999</v>
      </c>
      <c r="Y278" s="163">
        <f si="72" t="shared"/>
        <v>0.18824946519999999</v>
      </c>
    </row>
    <row r="279" spans="22:25" x14ac:dyDescent="0.25">
      <c r="V279" s="154">
        <f>DayPatternCoefficients!A287</f>
        <v>1036</v>
      </c>
      <c r="W279" s="154" t="str">
        <f>DayPatternCoefficients!B287</f>
        <v>T/S-E/M</v>
      </c>
      <c r="X279" s="149">
        <f>DayPatternCoefficients!D287</f>
        <v>0.23932223080000001</v>
      </c>
      <c r="Y279" s="163">
        <f si="72" t="shared"/>
        <v>0.23932223080000001</v>
      </c>
    </row>
    <row r="280" spans="22:25" x14ac:dyDescent="0.25">
      <c r="V280" s="154">
        <f>DayPatternCoefficients!A288</f>
        <v>1043</v>
      </c>
      <c r="W280" s="154" t="str">
        <f>DayPatternCoefficients!B288</f>
        <v>T/S-P/E</v>
      </c>
      <c r="X280" s="149">
        <f>DayPatternCoefficients!D288</f>
        <v>-0.31733811960000002</v>
      </c>
      <c r="Y280" s="163">
        <f si="72" t="shared"/>
        <v>-0.31733811960000002</v>
      </c>
    </row>
    <row r="281" spans="22:25" x14ac:dyDescent="0.25">
      <c r="V281" s="154">
        <f>DayPatternCoefficients!A289</f>
        <v>1044</v>
      </c>
      <c r="W281" s="154" t="str">
        <f>DayPatternCoefficients!B289</f>
        <v>T/S-P/P</v>
      </c>
      <c r="X281" s="149">
        <f>DayPatternCoefficients!D289</f>
        <v>0.85230872298000004</v>
      </c>
      <c r="Y281" s="163">
        <f si="72" t="shared"/>
        <v>0.85230872298000004</v>
      </c>
    </row>
    <row r="282" spans="22:25" x14ac:dyDescent="0.25">
      <c r="V282" s="154">
        <f>DayPatternCoefficients!A290</f>
        <v>1045</v>
      </c>
      <c r="W282" s="154" t="str">
        <f>DayPatternCoefficients!B290</f>
        <v>T/S-P/H</v>
      </c>
      <c r="X282" s="149">
        <f>DayPatternCoefficients!D290</f>
        <v>7.7300054799999997E-3</v>
      </c>
      <c r="Y282" s="163">
        <f si="72" t="shared"/>
        <v>7.7300054799999997E-3</v>
      </c>
    </row>
    <row r="283" spans="22:25" x14ac:dyDescent="0.25">
      <c r="V283" s="154">
        <f>DayPatternCoefficients!A291</f>
        <v>1046</v>
      </c>
      <c r="W283" s="154" t="str">
        <f>DayPatternCoefficients!B291</f>
        <v>T/S-P/M</v>
      </c>
      <c r="X283" s="149">
        <f>DayPatternCoefficients!D291</f>
        <v>-0.17096234809999999</v>
      </c>
      <c r="Y283" s="163">
        <f si="72" t="shared"/>
        <v>-0.17096234809999999</v>
      </c>
    </row>
    <row r="284" spans="22:25" x14ac:dyDescent="0.25">
      <c r="V284" s="154">
        <f>DayPatternCoefficients!A292</f>
        <v>1053</v>
      </c>
      <c r="W284" s="154" t="str">
        <f>DayPatternCoefficients!B292</f>
        <v>T/S-H/E</v>
      </c>
      <c r="X284" s="149">
        <f>DayPatternCoefficients!D292</f>
        <v>-0.32416023560000001</v>
      </c>
      <c r="Y284" s="163">
        <f si="72" t="shared"/>
        <v>-0.32416023560000001</v>
      </c>
    </row>
    <row r="285" spans="22:25" x14ac:dyDescent="0.25">
      <c r="V285" s="154">
        <f>DayPatternCoefficients!A293</f>
        <v>1054</v>
      </c>
      <c r="W285" s="154" t="str">
        <f>DayPatternCoefficients!B293</f>
        <v>T/S-H/P</v>
      </c>
      <c r="X285" s="149">
        <f>DayPatternCoefficients!D293</f>
        <v>0.19022174198</v>
      </c>
      <c r="Y285" s="163">
        <f si="72" t="shared"/>
        <v>0.19022174198</v>
      </c>
    </row>
    <row r="286" spans="22:25" x14ac:dyDescent="0.25">
      <c r="V286" s="154">
        <f>DayPatternCoefficients!A294</f>
        <v>1055</v>
      </c>
      <c r="W286" s="154" t="str">
        <f>DayPatternCoefficients!B294</f>
        <v>T/S-H/H</v>
      </c>
      <c r="X286" s="149">
        <f>DayPatternCoefficients!D294</f>
        <v>0.34703104835999998</v>
      </c>
      <c r="Y286" s="163">
        <f si="72" t="shared"/>
        <v>0.34703104835999998</v>
      </c>
    </row>
    <row r="287" spans="22:25" x14ac:dyDescent="0.25">
      <c r="V287" s="154">
        <f>DayPatternCoefficients!A295</f>
        <v>1056</v>
      </c>
      <c r="W287" s="154" t="str">
        <f>DayPatternCoefficients!B295</f>
        <v>T/S-H/M</v>
      </c>
      <c r="X287" s="149">
        <f>DayPatternCoefficients!D295</f>
        <v>-9.1791021099999995E-2</v>
      </c>
      <c r="Y287" s="163">
        <f si="72" t="shared"/>
        <v>-9.1791021099999995E-2</v>
      </c>
    </row>
    <row r="288" spans="22:25" x14ac:dyDescent="0.25">
      <c r="V288" s="154">
        <f>DayPatternCoefficients!A296</f>
        <v>1063</v>
      </c>
      <c r="W288" s="154" t="str">
        <f>DayPatternCoefficients!B296</f>
        <v>T/S-M/E</v>
      </c>
      <c r="X288" s="149">
        <f>DayPatternCoefficients!D296</f>
        <v>-4.4033147199999997E-2</v>
      </c>
      <c r="Y288" s="163">
        <f si="72" t="shared"/>
        <v>-4.4033147199999997E-2</v>
      </c>
    </row>
    <row r="289" spans="22:25" x14ac:dyDescent="0.25">
      <c r="V289" s="154">
        <f>DayPatternCoefficients!A297</f>
        <v>1064</v>
      </c>
      <c r="W289" s="154" t="str">
        <f>DayPatternCoefficients!B297</f>
        <v>T/S-M/P</v>
      </c>
      <c r="X289" s="149">
        <f>DayPatternCoefficients!D297</f>
        <v>0.13328175857999999</v>
      </c>
      <c r="Y289" s="163">
        <f si="72" t="shared"/>
        <v>0.13328175857999999</v>
      </c>
    </row>
    <row r="290" spans="22:25" x14ac:dyDescent="0.25">
      <c r="V290" s="154">
        <f>DayPatternCoefficients!A298</f>
        <v>1065</v>
      </c>
      <c r="W290" s="154" t="str">
        <f>DayPatternCoefficients!B298</f>
        <v>T/S-M/H</v>
      </c>
      <c r="X290" s="149">
        <f>DayPatternCoefficients!D298</f>
        <v>-9.96383676E-2</v>
      </c>
      <c r="Y290" s="163">
        <f si="72" t="shared"/>
        <v>-9.96383676E-2</v>
      </c>
    </row>
    <row r="291" spans="22:25" x14ac:dyDescent="0.25">
      <c r="V291" s="154">
        <f>DayPatternCoefficients!A299</f>
        <v>1066</v>
      </c>
      <c r="W291" s="154" t="str">
        <f>DayPatternCoefficients!B299</f>
        <v>T/S-M/M</v>
      </c>
      <c r="X291" s="149">
        <f>DayPatternCoefficients!D299</f>
        <v>0.45879604657</v>
      </c>
      <c r="Y291" s="163">
        <f si="72" t="shared"/>
        <v>0.45879604657</v>
      </c>
    </row>
    <row r="292" spans="22:25" x14ac:dyDescent="0.25">
      <c r="V292" s="154">
        <f>DayPatternCoefficients!A300</f>
        <v>1073</v>
      </c>
      <c r="W292" s="154" t="str">
        <f>DayPatternCoefficients!B300</f>
        <v>T/S-D/E</v>
      </c>
      <c r="X292" s="149">
        <f>DayPatternCoefficients!D300</f>
        <v>-0.1895596024</v>
      </c>
      <c r="Y292" s="163">
        <f si="72" t="shared"/>
        <v>-0.1895596024</v>
      </c>
    </row>
    <row r="293" spans="22:25" x14ac:dyDescent="0.25">
      <c r="V293" s="154">
        <f>DayPatternCoefficients!A301</f>
        <v>1074</v>
      </c>
      <c r="W293" s="154" t="str">
        <f>DayPatternCoefficients!B301</f>
        <v>T/S-D/P</v>
      </c>
      <c r="X293" s="149">
        <f>DayPatternCoefficients!D301</f>
        <v>-9.7610810999999992E-3</v>
      </c>
      <c r="Y293" s="163">
        <f si="72" t="shared"/>
        <v>-9.7610810999999992E-3</v>
      </c>
    </row>
    <row r="294" spans="22:25" x14ac:dyDescent="0.25">
      <c r="V294" s="154">
        <f>DayPatternCoefficients!A302</f>
        <v>1075</v>
      </c>
      <c r="W294" s="154" t="str">
        <f>DayPatternCoefficients!B302</f>
        <v>T/S-D/H</v>
      </c>
      <c r="X294" s="149">
        <f>DayPatternCoefficients!D302</f>
        <v>7.152604974E-2</v>
      </c>
      <c r="Y294" s="163">
        <f si="72" t="shared"/>
        <v>7.152604974E-2</v>
      </c>
    </row>
    <row r="295" spans="22:25" x14ac:dyDescent="0.25">
      <c r="V295" s="154">
        <f>DayPatternCoefficients!A303</f>
        <v>1076</v>
      </c>
      <c r="W295" s="154" t="str">
        <f>DayPatternCoefficients!B303</f>
        <v>T/S-D/M</v>
      </c>
      <c r="X295" s="149">
        <f>DayPatternCoefficients!D303</f>
        <v>0.13756738340999999</v>
      </c>
      <c r="Y295" s="163">
        <f si="72" t="shared"/>
        <v>0.13756738340999999</v>
      </c>
    </row>
    <row r="296" spans="22:25" x14ac:dyDescent="0.25">
      <c r="V296" s="154">
        <f>DayPatternCoefficients!A304</f>
        <v>1112</v>
      </c>
      <c r="W296" s="154" t="str">
        <f>DayPatternCoefficients!B304</f>
        <v>T/T-W/S</v>
      </c>
      <c r="X296" s="149">
        <f>DayPatternCoefficients!D304</f>
        <v>-2.5994126514000002</v>
      </c>
      <c r="Y296" s="163">
        <f si="72" t="shared"/>
        <v>-2.5994126514000002</v>
      </c>
    </row>
    <row r="297" spans="22:25" x14ac:dyDescent="0.25">
      <c r="V297" s="154">
        <f>DayPatternCoefficients!A305</f>
        <v>1113</v>
      </c>
      <c r="W297" s="154" t="str">
        <f>DayPatternCoefficients!B305</f>
        <v>T/T-W/E</v>
      </c>
      <c r="X297" s="149">
        <f>DayPatternCoefficients!D305</f>
        <v>-1.717543823</v>
      </c>
      <c r="Y297" s="163">
        <f si="72" t="shared"/>
        <v>-1.717543823</v>
      </c>
    </row>
    <row r="298" spans="22:25" x14ac:dyDescent="0.25">
      <c r="V298" s="154">
        <f>DayPatternCoefficients!A306</f>
        <v>1114</v>
      </c>
      <c r="W298" s="154" t="str">
        <f>DayPatternCoefficients!B306</f>
        <v>T/T-W/P</v>
      </c>
      <c r="X298" s="149">
        <f>DayPatternCoefficients!D306</f>
        <v>-1.265502581</v>
      </c>
      <c r="Y298" s="163">
        <f si="72" t="shared"/>
        <v>-1.265502581</v>
      </c>
    </row>
    <row r="299" spans="22:25" x14ac:dyDescent="0.25">
      <c r="V299" s="154">
        <f>DayPatternCoefficients!A307</f>
        <v>1115</v>
      </c>
      <c r="W299" s="154" t="str">
        <f>DayPatternCoefficients!B307</f>
        <v>T/T-W/H</v>
      </c>
      <c r="X299" s="149">
        <f>DayPatternCoefficients!D307</f>
        <v>-1.2119912740000001</v>
      </c>
      <c r="Y299" s="163">
        <f si="72" t="shared"/>
        <v>-1.2119912740000001</v>
      </c>
    </row>
    <row r="300" spans="22:25" x14ac:dyDescent="0.25">
      <c r="V300" s="154">
        <f>DayPatternCoefficients!A308</f>
        <v>1116</v>
      </c>
      <c r="W300" s="154" t="str">
        <f>DayPatternCoefficients!B308</f>
        <v>T/T-W/M</v>
      </c>
      <c r="X300" s="149">
        <f>DayPatternCoefficients!D308</f>
        <v>-0.79329386710000005</v>
      </c>
      <c r="Y300" s="163">
        <f si="72" t="shared"/>
        <v>-0.79329386710000005</v>
      </c>
    </row>
    <row r="301" spans="22:25" x14ac:dyDescent="0.25">
      <c r="V301" s="154">
        <f>DayPatternCoefficients!A309</f>
        <v>1117</v>
      </c>
      <c r="W301" s="154" t="str">
        <f>DayPatternCoefficients!B309</f>
        <v>T/T-W/D</v>
      </c>
      <c r="X301" s="149">
        <f>DayPatternCoefficients!D309</f>
        <v>-0.52349938839999999</v>
      </c>
      <c r="Y301" s="163">
        <f si="72" t="shared"/>
        <v>-0.52349938839999999</v>
      </c>
    </row>
    <row r="302" spans="22:25" x14ac:dyDescent="0.25">
      <c r="V302" s="154">
        <f>DayPatternCoefficients!A310</f>
        <v>1123</v>
      </c>
      <c r="W302" s="154" t="str">
        <f>DayPatternCoefficients!B310</f>
        <v>T/T-S/E</v>
      </c>
      <c r="X302" s="149">
        <f>DayPatternCoefficients!D310</f>
        <v>-1.3733550833999999</v>
      </c>
      <c r="Y302" s="163">
        <f si="72" t="shared"/>
        <v>-1.3733550833999999</v>
      </c>
    </row>
    <row r="303" spans="22:25" x14ac:dyDescent="0.25">
      <c r="V303" s="154">
        <f>DayPatternCoefficients!A311</f>
        <v>1124</v>
      </c>
      <c r="W303" s="154" t="str">
        <f>DayPatternCoefficients!B311</f>
        <v>T/T-S/P</v>
      </c>
      <c r="X303" s="149">
        <f>DayPatternCoefficients!D311</f>
        <v>-1.0650217618</v>
      </c>
      <c r="Y303" s="163">
        <f si="72" t="shared"/>
        <v>-1.0650217618</v>
      </c>
    </row>
    <row r="304" spans="22:25" x14ac:dyDescent="0.25">
      <c r="V304" s="154">
        <f>DayPatternCoefficients!A312</f>
        <v>1125</v>
      </c>
      <c r="W304" s="154" t="str">
        <f>DayPatternCoefficients!B312</f>
        <v>T/T-S/H</v>
      </c>
      <c r="X304" s="149">
        <f>DayPatternCoefficients!D312</f>
        <v>-1.1892653198000001</v>
      </c>
      <c r="Y304" s="163">
        <f si="72" t="shared"/>
        <v>-1.1892653198000001</v>
      </c>
    </row>
    <row r="305" spans="22:25" x14ac:dyDescent="0.25">
      <c r="V305" s="154">
        <f>DayPatternCoefficients!A313</f>
        <v>1126</v>
      </c>
      <c r="W305" s="154" t="str">
        <f>DayPatternCoefficients!B313</f>
        <v>T/T-S/M</v>
      </c>
      <c r="X305" s="149">
        <f>DayPatternCoefficients!D313</f>
        <v>-0.74621794669999997</v>
      </c>
      <c r="Y305" s="163">
        <f si="72" t="shared"/>
        <v>-0.74621794669999997</v>
      </c>
    </row>
    <row r="306" spans="22:25" x14ac:dyDescent="0.25">
      <c r="V306" s="154">
        <f>DayPatternCoefficients!A314</f>
        <v>1127</v>
      </c>
      <c r="W306" s="154" t="str">
        <f>DayPatternCoefficients!B314</f>
        <v>T/T-S/D</v>
      </c>
      <c r="X306" s="149">
        <f>DayPatternCoefficients!D314</f>
        <v>-0.7296889902</v>
      </c>
      <c r="Y306" s="163">
        <f si="72" t="shared"/>
        <v>-0.7296889902</v>
      </c>
    </row>
    <row r="307" spans="22:25" x14ac:dyDescent="0.25">
      <c r="V307" s="154">
        <f>DayPatternCoefficients!A315</f>
        <v>1134</v>
      </c>
      <c r="W307" s="154" t="str">
        <f>DayPatternCoefficients!B315</f>
        <v>T/T-E/P</v>
      </c>
      <c r="X307" s="149">
        <f>DayPatternCoefficients!D315</f>
        <v>5.4528016059999997E-2</v>
      </c>
      <c r="Y307" s="163">
        <f si="72" t="shared"/>
        <v>5.4528016059999997E-2</v>
      </c>
    </row>
    <row r="308" spans="22:25" x14ac:dyDescent="0.25">
      <c r="V308" s="154">
        <f>DayPatternCoefficients!A316</f>
        <v>1135</v>
      </c>
      <c r="W308" s="154" t="str">
        <f>DayPatternCoefficients!B316</f>
        <v>T/T-E/H</v>
      </c>
      <c r="X308" s="149">
        <f>DayPatternCoefficients!D316</f>
        <v>-7.8362597500000006E-2</v>
      </c>
      <c r="Y308" s="163">
        <f si="72" t="shared"/>
        <v>-7.8362597500000006E-2</v>
      </c>
    </row>
    <row r="309" spans="22:25" x14ac:dyDescent="0.25">
      <c r="V309" s="154">
        <f>DayPatternCoefficients!A317</f>
        <v>1136</v>
      </c>
      <c r="W309" s="154" t="str">
        <f>DayPatternCoefficients!B317</f>
        <v>T/T-E/M</v>
      </c>
      <c r="X309" s="149">
        <f>DayPatternCoefficients!D317</f>
        <v>8.5857943950000001E-2</v>
      </c>
      <c r="Y309" s="163">
        <f si="72" t="shared"/>
        <v>8.5857943950000001E-2</v>
      </c>
    </row>
    <row r="310" spans="22:25" x14ac:dyDescent="0.25">
      <c r="V310" s="154">
        <f>DayPatternCoefficients!A318</f>
        <v>1137</v>
      </c>
      <c r="W310" s="154" t="str">
        <f>DayPatternCoefficients!B318</f>
        <v>T/T-E/D</v>
      </c>
      <c r="X310" s="149">
        <f>DayPatternCoefficients!D318</f>
        <v>0.40109888872999999</v>
      </c>
      <c r="Y310" s="163">
        <f si="72" t="shared"/>
        <v>0.40109888872999999</v>
      </c>
    </row>
    <row r="311" spans="22:25" x14ac:dyDescent="0.25">
      <c r="V311" s="154">
        <f>DayPatternCoefficients!A319</f>
        <v>1145</v>
      </c>
      <c r="W311" s="154" t="str">
        <f>DayPatternCoefficients!B319</f>
        <v>T/T-P/H</v>
      </c>
      <c r="X311" s="149">
        <f>DayPatternCoefficients!D319</f>
        <v>-0.13139542970000001</v>
      </c>
      <c r="Y311" s="163">
        <f si="72" t="shared"/>
        <v>-0.13139542970000001</v>
      </c>
    </row>
    <row r="312" spans="22:25" x14ac:dyDescent="0.25">
      <c r="V312" s="154">
        <f>DayPatternCoefficients!A320</f>
        <v>1146</v>
      </c>
      <c r="W312" s="154" t="str">
        <f>DayPatternCoefficients!B320</f>
        <v>T/T-P/M</v>
      </c>
      <c r="X312" s="149">
        <f>DayPatternCoefficients!D320</f>
        <v>-1.43628513E-2</v>
      </c>
      <c r="Y312" s="163">
        <f si="72" t="shared"/>
        <v>-1.43628513E-2</v>
      </c>
    </row>
    <row r="313" spans="22:25" x14ac:dyDescent="0.25">
      <c r="V313" s="154">
        <f>DayPatternCoefficients!A321</f>
        <v>1147</v>
      </c>
      <c r="W313" s="154" t="str">
        <f>DayPatternCoefficients!B321</f>
        <v>T/T-P/D</v>
      </c>
      <c r="X313" s="149">
        <f>DayPatternCoefficients!D321</f>
        <v>5.43486792E-2</v>
      </c>
      <c r="Y313" s="163">
        <f si="72" t="shared"/>
        <v>5.43486792E-2</v>
      </c>
    </row>
    <row r="314" spans="22:25" x14ac:dyDescent="0.25">
      <c r="V314" s="154">
        <f>DayPatternCoefficients!A322</f>
        <v>1156</v>
      </c>
      <c r="W314" s="154" t="str">
        <f>DayPatternCoefficients!B322</f>
        <v>T/T-H/M</v>
      </c>
      <c r="X314" s="149">
        <f>DayPatternCoefficients!D322</f>
        <v>-2.9828784699999999E-2</v>
      </c>
      <c r="Y314" s="163">
        <f si="72" t="shared"/>
        <v>-2.9828784699999999E-2</v>
      </c>
    </row>
    <row r="315" spans="22:25" x14ac:dyDescent="0.25">
      <c r="V315" s="154">
        <f>DayPatternCoefficients!A323</f>
        <v>1157</v>
      </c>
      <c r="W315" s="154" t="str">
        <f>DayPatternCoefficients!B323</f>
        <v>T/T-H/D</v>
      </c>
      <c r="X315" s="149">
        <f>DayPatternCoefficients!D323</f>
        <v>0.16345191671000001</v>
      </c>
      <c r="Y315" s="163">
        <f si="72" t="shared"/>
        <v>0.16345191671000001</v>
      </c>
    </row>
    <row r="316" spans="22:25" x14ac:dyDescent="0.25">
      <c r="V316" s="154">
        <f>DayPatternCoefficients!A324</f>
        <v>1213</v>
      </c>
      <c r="W316" s="154" t="str">
        <f>DayPatternCoefficients!B324</f>
        <v>S/S-W/E</v>
      </c>
      <c r="X316" s="149">
        <f>DayPatternCoefficients!D324</f>
        <v>-0.58856263239999995</v>
      </c>
      <c r="Y316" s="163">
        <f si="72" t="shared"/>
        <v>-0.58856263239999995</v>
      </c>
    </row>
    <row r="317" spans="22:25" x14ac:dyDescent="0.25">
      <c r="V317" s="154">
        <f>DayPatternCoefficients!A325</f>
        <v>1214</v>
      </c>
      <c r="W317" s="154" t="str">
        <f>DayPatternCoefficients!B325</f>
        <v>S/S-W/P</v>
      </c>
      <c r="X317" s="149">
        <f>DayPatternCoefficients!D325</f>
        <v>-0.24210518210000001</v>
      </c>
      <c r="Y317" s="163">
        <f si="72" t="shared"/>
        <v>-0.24210518210000001</v>
      </c>
    </row>
    <row r="318" spans="22:25" x14ac:dyDescent="0.25">
      <c r="V318" s="154">
        <f>DayPatternCoefficients!A326</f>
        <v>1215</v>
      </c>
      <c r="W318" s="154" t="str">
        <f>DayPatternCoefficients!B326</f>
        <v>S/S-W/H</v>
      </c>
      <c r="X318" s="149">
        <f>DayPatternCoefficients!D326</f>
        <v>-0.44236569689999999</v>
      </c>
      <c r="Y318" s="163">
        <f si="72" t="shared"/>
        <v>-0.44236569689999999</v>
      </c>
    </row>
    <row r="319" spans="22:25" x14ac:dyDescent="0.25">
      <c r="V319" s="154">
        <f>DayPatternCoefficients!A327</f>
        <v>1216</v>
      </c>
      <c r="W319" s="154" t="str">
        <f>DayPatternCoefficients!B327</f>
        <v>S/S-W/M</v>
      </c>
      <c r="X319" s="149">
        <f>DayPatternCoefficients!D327</f>
        <v>0.30457547523</v>
      </c>
      <c r="Y319" s="163">
        <f si="72" t="shared"/>
        <v>0.30457547523</v>
      </c>
    </row>
    <row r="320" spans="22:25" x14ac:dyDescent="0.25">
      <c r="V320" s="154">
        <f>DayPatternCoefficients!A328</f>
        <v>1217</v>
      </c>
      <c r="W320" s="154" t="str">
        <f>DayPatternCoefficients!B328</f>
        <v>S/S-W/D</v>
      </c>
      <c r="X320" s="149">
        <f>DayPatternCoefficients!D328</f>
        <v>-0.38276467720000001</v>
      </c>
      <c r="Y320" s="163">
        <f si="72" t="shared"/>
        <v>-0.38276467720000001</v>
      </c>
    </row>
    <row r="321" spans="22:25" x14ac:dyDescent="0.25">
      <c r="V321" s="154">
        <f>DayPatternCoefficients!A329</f>
        <v>1223</v>
      </c>
      <c r="W321" s="154" t="str">
        <f>DayPatternCoefficients!B329</f>
        <v>S/S-S/E</v>
      </c>
      <c r="X321" s="149">
        <f>DayPatternCoefficients!D329</f>
        <v>-1.4817002100000001</v>
      </c>
      <c r="Y321" s="163">
        <f si="72" t="shared"/>
        <v>-1.4817002100000001</v>
      </c>
    </row>
    <row r="322" spans="22:25" x14ac:dyDescent="0.25">
      <c r="V322" s="154">
        <f>DayPatternCoefficients!A330</f>
        <v>1224</v>
      </c>
      <c r="W322" s="154" t="str">
        <f>DayPatternCoefficients!B330</f>
        <v>S/S-S/P</v>
      </c>
      <c r="X322" s="149">
        <f>DayPatternCoefficients!D330</f>
        <v>-0.33988648640000002</v>
      </c>
      <c r="Y322" s="163">
        <f si="72" t="shared"/>
        <v>-0.33988648640000002</v>
      </c>
    </row>
    <row r="323" spans="22:25" x14ac:dyDescent="0.25">
      <c r="V323" s="154">
        <f>DayPatternCoefficients!A331</f>
        <v>1225</v>
      </c>
      <c r="W323" s="154" t="str">
        <f>DayPatternCoefficients!B331</f>
        <v>S/S-S/H</v>
      </c>
      <c r="X323" s="149">
        <f>DayPatternCoefficients!D331</f>
        <v>-0.68291840380000002</v>
      </c>
      <c r="Y323" s="163">
        <f si="72" t="shared"/>
        <v>-0.68291840380000002</v>
      </c>
    </row>
    <row r="324" spans="22:25" x14ac:dyDescent="0.25">
      <c r="V324" s="154">
        <f>DayPatternCoefficients!A332</f>
        <v>1226</v>
      </c>
      <c r="W324" s="154" t="str">
        <f>DayPatternCoefficients!B332</f>
        <v>S/S-S/M</v>
      </c>
      <c r="X324" s="149">
        <f>DayPatternCoefficients!D332</f>
        <v>0.99448337865000003</v>
      </c>
      <c r="Y324" s="163">
        <f ref="Y324:Y352" si="73" t="shared">_xlfn.IFNA(VLOOKUP(V324,$L$63:$N$111,3,FALSE),_xlfn.IFNA(VLOOKUP(V324,$G$5:$K$11,5,FALSE),_xlfn.IFNA(VLOOKUP(V324,$G$19:$K$25,5,FALSE),X324)))</f>
        <v>0.99448337865000003</v>
      </c>
    </row>
    <row r="325" spans="22:25" x14ac:dyDescent="0.25">
      <c r="V325" s="154">
        <f>DayPatternCoefficients!A333</f>
        <v>1227</v>
      </c>
      <c r="W325" s="154" t="str">
        <f>DayPatternCoefficients!B333</f>
        <v>S/S-S/D</v>
      </c>
      <c r="X325" s="149">
        <f>DayPatternCoefficients!D333</f>
        <v>-0.24271310230000001</v>
      </c>
      <c r="Y325" s="163">
        <f si="73" t="shared"/>
        <v>-0.24271310230000001</v>
      </c>
    </row>
    <row r="326" spans="22:25" x14ac:dyDescent="0.25">
      <c r="V326" s="154">
        <f>DayPatternCoefficients!A334</f>
        <v>1234</v>
      </c>
      <c r="W326" s="154" t="str">
        <f>DayPatternCoefficients!B334</f>
        <v>S/S-E/P</v>
      </c>
      <c r="X326" s="149">
        <f>DayPatternCoefficients!D334</f>
        <v>-0.20743183740000001</v>
      </c>
      <c r="Y326" s="163">
        <f si="73" t="shared"/>
        <v>-0.20743183740000001</v>
      </c>
    </row>
    <row r="327" spans="22:25" x14ac:dyDescent="0.25">
      <c r="V327" s="154">
        <f>DayPatternCoefficients!A335</f>
        <v>1235</v>
      </c>
      <c r="W327" s="154" t="str">
        <f>DayPatternCoefficients!B335</f>
        <v>S/S-E/H</v>
      </c>
      <c r="X327" s="149">
        <f>DayPatternCoefficients!D335</f>
        <v>-0.36285888109999997</v>
      </c>
      <c r="Y327" s="163">
        <f si="73" t="shared"/>
        <v>-0.36285888109999997</v>
      </c>
    </row>
    <row r="328" spans="22:25" x14ac:dyDescent="0.25">
      <c r="V328" s="154">
        <f>DayPatternCoefficients!A336</f>
        <v>1236</v>
      </c>
      <c r="W328" s="154" t="str">
        <f>DayPatternCoefficients!B336</f>
        <v>S/S-E/M</v>
      </c>
      <c r="X328" s="149">
        <f>DayPatternCoefficients!D336</f>
        <v>-0.2258776948</v>
      </c>
      <c r="Y328" s="163">
        <f si="73" t="shared"/>
        <v>-0.2258776948</v>
      </c>
    </row>
    <row r="329" spans="22:25" x14ac:dyDescent="0.25">
      <c r="V329" s="154">
        <f>DayPatternCoefficients!A337</f>
        <v>1237</v>
      </c>
      <c r="W329" s="154" t="str">
        <f>DayPatternCoefficients!B337</f>
        <v>S/S-E/D</v>
      </c>
      <c r="X329" s="149">
        <f>DayPatternCoefficients!D337</f>
        <v>2.8313275660000001E-2</v>
      </c>
      <c r="Y329" s="163">
        <f si="73" t="shared"/>
        <v>2.8313275660000001E-2</v>
      </c>
    </row>
    <row r="330" spans="22:25" x14ac:dyDescent="0.25">
      <c r="V330" s="154">
        <f>DayPatternCoefficients!A338</f>
        <v>1245</v>
      </c>
      <c r="W330" s="154" t="str">
        <f>DayPatternCoefficients!B338</f>
        <v>S/S-P/H</v>
      </c>
      <c r="X330" s="149">
        <f>DayPatternCoefficients!D338</f>
        <v>-0.1329433753</v>
      </c>
      <c r="Y330" s="163">
        <f si="73" t="shared"/>
        <v>-0.1329433753</v>
      </c>
    </row>
    <row r="331" spans="22:25" x14ac:dyDescent="0.25">
      <c r="V331" s="154">
        <f>DayPatternCoefficients!A339</f>
        <v>1246</v>
      </c>
      <c r="W331" s="154" t="str">
        <f>DayPatternCoefficients!B339</f>
        <v>S/S-P/M</v>
      </c>
      <c r="X331" s="149">
        <f>DayPatternCoefficients!D339</f>
        <v>-6.1171239600000003E-2</v>
      </c>
      <c r="Y331" s="163">
        <f si="73" t="shared"/>
        <v>-6.1171239600000003E-2</v>
      </c>
    </row>
    <row r="332" spans="22:25" x14ac:dyDescent="0.25">
      <c r="V332" s="154">
        <f>DayPatternCoefficients!A340</f>
        <v>1247</v>
      </c>
      <c r="W332" s="154" t="str">
        <f>DayPatternCoefficients!B340</f>
        <v>S/S-P/D</v>
      </c>
      <c r="X332" s="149">
        <f>DayPatternCoefficients!D340</f>
        <v>-0.2824637109</v>
      </c>
      <c r="Y332" s="163">
        <f si="73" t="shared"/>
        <v>-0.2824637109</v>
      </c>
    </row>
    <row r="333" spans="22:25" x14ac:dyDescent="0.25">
      <c r="V333" s="154">
        <f>DayPatternCoefficients!A341</f>
        <v>1256</v>
      </c>
      <c r="W333" s="154" t="str">
        <f>DayPatternCoefficients!B341</f>
        <v>S/S-H/M</v>
      </c>
      <c r="X333" s="149">
        <f>DayPatternCoefficients!D341</f>
        <v>-0.42730825519999999</v>
      </c>
      <c r="Y333" s="163">
        <f si="73" t="shared"/>
        <v>-0.42730825519999999</v>
      </c>
    </row>
    <row r="334" spans="22:25" x14ac:dyDescent="0.25">
      <c r="V334" s="154">
        <f>DayPatternCoefficients!A342</f>
        <v>1257</v>
      </c>
      <c r="W334" s="154" t="str">
        <f>DayPatternCoefficients!B342</f>
        <v>S/S-H/D</v>
      </c>
      <c r="X334" s="149">
        <f>DayPatternCoefficients!D342</f>
        <v>-0.39541283999999999</v>
      </c>
      <c r="Y334" s="163">
        <f si="73" t="shared"/>
        <v>-0.39541283999999999</v>
      </c>
    </row>
    <row r="335" spans="22:25" x14ac:dyDescent="0.25">
      <c r="V335" s="154">
        <f>DayPatternCoefficients!A343</f>
        <v>1311</v>
      </c>
      <c r="W335" s="154" t="str">
        <f>DayPatternCoefficients!B343</f>
        <v>NT/NS-1/1</v>
      </c>
      <c r="X335" s="149">
        <f>DayPatternCoefficients!D343</f>
        <v>-2.3636261104999998</v>
      </c>
      <c r="Y335" s="163">
        <f si="73" t="shared"/>
        <v>-2.3636261104999998</v>
      </c>
    </row>
    <row r="336" spans="22:25" x14ac:dyDescent="0.25">
      <c r="V336" s="154">
        <f>DayPatternCoefficients!A344</f>
        <v>1312</v>
      </c>
      <c r="W336" s="154" t="str">
        <f>DayPatternCoefficients!B344</f>
        <v>NT/NS-1/2</v>
      </c>
      <c r="X336" s="149">
        <f>DayPatternCoefficients!D344</f>
        <v>-3.3984471460000001</v>
      </c>
      <c r="Y336" s="163">
        <f si="73" t="shared"/>
        <v>-3.3984471460000001</v>
      </c>
    </row>
    <row r="337" spans="22:25" x14ac:dyDescent="0.25">
      <c r="V337" s="154">
        <f>DayPatternCoefficients!A345</f>
        <v>1313</v>
      </c>
      <c r="W337" s="154" t="str">
        <f>DayPatternCoefficients!B345</f>
        <v>NT/NS-1/3</v>
      </c>
      <c r="X337" s="149">
        <f>DayPatternCoefficients!D345</f>
        <v>-4.0690844656999996</v>
      </c>
      <c r="Y337" s="163">
        <f si="73" t="shared"/>
        <v>-4.0690844656999996</v>
      </c>
    </row>
    <row r="338" spans="22:25" x14ac:dyDescent="0.25">
      <c r="V338" s="154">
        <f>DayPatternCoefficients!A346</f>
        <v>1321</v>
      </c>
      <c r="W338" s="154" t="str">
        <f>DayPatternCoefficients!B346</f>
        <v>NT/NS-2/1</v>
      </c>
      <c r="X338" s="149">
        <f>DayPatternCoefficients!D346</f>
        <v>-2.3291602994999998</v>
      </c>
      <c r="Y338" s="163">
        <f si="73" t="shared"/>
        <v>-2.3291602994999998</v>
      </c>
    </row>
    <row r="339" spans="22:25" x14ac:dyDescent="0.25">
      <c r="V339" s="154">
        <f>DayPatternCoefficients!A347</f>
        <v>1322</v>
      </c>
      <c r="W339" s="154" t="str">
        <f>DayPatternCoefficients!B347</f>
        <v>NT/NS-2/2</v>
      </c>
      <c r="X339" s="149">
        <f>DayPatternCoefficients!D347</f>
        <v>-3.3320340260000001</v>
      </c>
      <c r="Y339" s="163">
        <f si="73" t="shared"/>
        <v>-3.3320340260000001</v>
      </c>
    </row>
    <row r="340" spans="22:25" x14ac:dyDescent="0.25">
      <c r="V340" s="154">
        <f>DayPatternCoefficients!A348</f>
        <v>1323</v>
      </c>
      <c r="W340" s="154" t="str">
        <f>DayPatternCoefficients!B348</f>
        <v>NT/NS-2/3</v>
      </c>
      <c r="X340" s="149">
        <f>DayPatternCoefficients!D348</f>
        <v>-3.9915902374000001</v>
      </c>
      <c r="Y340" s="163">
        <f si="73" t="shared"/>
        <v>-3.9915902374000001</v>
      </c>
    </row>
    <row r="341" spans="22:25" x14ac:dyDescent="0.25">
      <c r="V341" s="154">
        <f>DayPatternCoefficients!A349</f>
        <v>1331</v>
      </c>
      <c r="W341" s="154" t="str">
        <f>DayPatternCoefficients!B349</f>
        <v>NT/NS-3/1</v>
      </c>
      <c r="X341" s="149">
        <f>DayPatternCoefficients!D349</f>
        <v>-2.2118895960999998</v>
      </c>
      <c r="Y341" s="163">
        <f si="73" t="shared"/>
        <v>-2.2118895960999998</v>
      </c>
    </row>
    <row r="342" spans="22:25" x14ac:dyDescent="0.25">
      <c r="V342" s="154">
        <f>DayPatternCoefficients!A350</f>
        <v>1332</v>
      </c>
      <c r="W342" s="154" t="str">
        <f>DayPatternCoefficients!B350</f>
        <v>NT/NS-3/2</v>
      </c>
      <c r="X342" s="149">
        <f>DayPatternCoefficients!D350</f>
        <v>-3.4027467696000002</v>
      </c>
      <c r="Y342" s="163">
        <f si="73" t="shared"/>
        <v>-3.4027467696000002</v>
      </c>
    </row>
    <row r="343" spans="22:25" x14ac:dyDescent="0.25">
      <c r="V343" s="154">
        <f>DayPatternCoefficients!A351</f>
        <v>1401</v>
      </c>
      <c r="W343" s="154" t="str">
        <f>DayPatternCoefficients!B351</f>
        <v>TxCARSPD</v>
      </c>
      <c r="X343" s="149">
        <f>DayPatternCoefficients!D351</f>
        <v>0.10537239274</v>
      </c>
      <c r="Y343" s="163">
        <f si="73" t="shared"/>
        <v>0.10537239274</v>
      </c>
    </row>
    <row r="344" spans="22:25" x14ac:dyDescent="0.25">
      <c r="V344" s="154">
        <f>DayPatternCoefficients!A352</f>
        <v>1402</v>
      </c>
      <c r="W344" s="154" t="str">
        <f>DayPatternCoefficients!B352</f>
        <v>TxWAHOME</v>
      </c>
      <c r="X344" s="149">
        <f>DayPatternCoefficients!D352</f>
        <v>-1.9733408504000001</v>
      </c>
      <c r="Y344" s="163">
        <f si="73" t="shared"/>
        <v>-1.9733408504000001</v>
      </c>
    </row>
    <row r="345" spans="22:25" x14ac:dyDescent="0.25">
      <c r="V345" s="154">
        <f>DayPatternCoefficients!A353</f>
        <v>1403</v>
      </c>
      <c r="W345" s="154" t="str">
        <f>DayPatternCoefficients!B353</f>
        <v>TxMIXDEN</v>
      </c>
      <c r="X345" s="149">
        <f>DayPatternCoefficients!D353</f>
        <v>-9.4848733599999999E-2</v>
      </c>
      <c r="Y345" s="163">
        <f si="73" t="shared"/>
        <v>-9.4848733599999999E-2</v>
      </c>
    </row>
    <row r="346" spans="22:25" x14ac:dyDescent="0.25">
      <c r="V346" s="154">
        <f>DayPatternCoefficients!A354</f>
        <v>1404</v>
      </c>
      <c r="W346" s="154" t="str">
        <f>DayPatternCoefficients!B354</f>
        <v>TxMDEN515</v>
      </c>
      <c r="X346" s="149">
        <f>DayPatternCoefficients!D354</f>
        <v>-0.32757978389999998</v>
      </c>
      <c r="Y346" s="163">
        <f si="73" t="shared"/>
        <v>-0.32757978389999998</v>
      </c>
    </row>
    <row r="347" spans="22:25" x14ac:dyDescent="0.25">
      <c r="V347" s="154">
        <f>DayPatternCoefficients!A355</f>
        <v>1405</v>
      </c>
      <c r="W347" s="154" t="str">
        <f>DayPatternCoefficients!B355</f>
        <v>TxHLOGS</v>
      </c>
      <c r="X347" s="149">
        <f>DayPatternCoefficients!D355</f>
        <v>5.1200791000000003E-4</v>
      </c>
      <c r="Y347" s="163">
        <f si="73" t="shared"/>
        <v>5.1200791000000003E-4</v>
      </c>
    </row>
    <row r="348" spans="22:25" x14ac:dyDescent="0.25">
      <c r="V348" s="154">
        <f>DayPatternCoefficients!A356</f>
        <v>1411</v>
      </c>
      <c r="W348" s="154" t="str">
        <f>DayPatternCoefficients!B356</f>
        <v>SxCARSPD</v>
      </c>
      <c r="X348" s="149">
        <f>DayPatternCoefficients!D356</f>
        <v>0.12070867719</v>
      </c>
      <c r="Y348" s="163">
        <f si="73" t="shared"/>
        <v>0.12070867719</v>
      </c>
    </row>
    <row r="349" spans="22:25" x14ac:dyDescent="0.25">
      <c r="V349" s="154">
        <f>DayPatternCoefficients!A357</f>
        <v>1412</v>
      </c>
      <c r="W349" s="154" t="str">
        <f>DayPatternCoefficients!B357</f>
        <v>SxWAHOME</v>
      </c>
      <c r="X349" s="149">
        <f>DayPatternCoefficients!D357</f>
        <v>1.43935300972</v>
      </c>
      <c r="Y349" s="163">
        <f si="73" t="shared"/>
        <v>1.43935300972</v>
      </c>
    </row>
    <row r="350" spans="22:25" x14ac:dyDescent="0.25">
      <c r="V350" s="154">
        <f>DayPatternCoefficients!A358</f>
        <v>1413</v>
      </c>
      <c r="W350" s="154" t="str">
        <f>DayPatternCoefficients!B358</f>
        <v>SxMIXDEN</v>
      </c>
      <c r="X350" s="149">
        <f>DayPatternCoefficients!D358</f>
        <v>5.888936828E-2</v>
      </c>
      <c r="Y350" s="163">
        <f si="73" t="shared"/>
        <v>5.888936828E-2</v>
      </c>
    </row>
    <row r="351" spans="22:25" x14ac:dyDescent="0.25">
      <c r="V351" s="154">
        <f>DayPatternCoefficients!A359</f>
        <v>1414</v>
      </c>
      <c r="W351" s="154" t="str">
        <f>DayPatternCoefficients!B359</f>
        <v>SxMDEN515</v>
      </c>
      <c r="X351" s="149">
        <f>DayPatternCoefficients!D359</f>
        <v>-0.41526082279999998</v>
      </c>
      <c r="Y351" s="163">
        <f si="73" t="shared"/>
        <v>-0.41526082279999998</v>
      </c>
    </row>
    <row r="352" spans="22:25" x14ac:dyDescent="0.25">
      <c r="V352" s="154">
        <f>DayPatternCoefficients!A360</f>
        <v>1415</v>
      </c>
      <c r="W352" s="154" t="str">
        <f>DayPatternCoefficients!B360</f>
        <v>SxHLOGS</v>
      </c>
      <c r="X352" s="149">
        <f>DayPatternCoefficients!D360</f>
        <v>0.12545998499</v>
      </c>
      <c r="Y352" s="163">
        <f si="73" t="shared"/>
        <v>0.12545998499</v>
      </c>
    </row>
    <row r="367" spans="22:25" x14ac:dyDescent="0.25">
      <c r="V367" s="154"/>
      <c r="W367" s="154"/>
      <c r="X367" s="149"/>
      <c r="Y367" s="149"/>
    </row>
    <row r="368" spans="22:25" x14ac:dyDescent="0.25">
      <c r="V368" s="154"/>
      <c r="W368" s="154"/>
      <c r="X368" s="149"/>
      <c r="Y368" s="149"/>
    </row>
    <row r="369" spans="22:25" x14ac:dyDescent="0.25">
      <c r="V369" s="154"/>
      <c r="W369" s="154"/>
      <c r="X369" s="149"/>
      <c r="Y369" s="149"/>
    </row>
    <row r="370" spans="22:25" x14ac:dyDescent="0.25">
      <c r="V370" s="154"/>
      <c r="W370" s="154"/>
      <c r="X370" s="149"/>
      <c r="Y370" s="149"/>
    </row>
    <row r="371" spans="22:25" x14ac:dyDescent="0.25">
      <c r="V371" s="154"/>
      <c r="W371" s="154"/>
      <c r="X371" s="149"/>
      <c r="Y371" s="149"/>
    </row>
    <row r="372" spans="22:25" x14ac:dyDescent="0.25">
      <c r="V372" s="154"/>
      <c r="W372" s="154"/>
      <c r="X372" s="149"/>
      <c r="Y372" s="149"/>
    </row>
    <row r="373" spans="22:25" x14ac:dyDescent="0.25">
      <c r="V373" s="154"/>
      <c r="W373" s="154"/>
      <c r="X373" s="149"/>
      <c r="Y373" s="149"/>
    </row>
    <row r="374" spans="22:25" x14ac:dyDescent="0.25">
      <c r="V374" s="154"/>
      <c r="W374" s="154"/>
      <c r="X374" s="149"/>
      <c r="Y374" s="149"/>
    </row>
    <row r="375" spans="22:25" x14ac:dyDescent="0.25">
      <c r="V375" s="154"/>
      <c r="W375" s="154"/>
      <c r="X375" s="149"/>
      <c r="Y375" s="149"/>
    </row>
    <row r="376" spans="22:25" x14ac:dyDescent="0.25">
      <c r="V376" s="154"/>
      <c r="W376" s="154"/>
      <c r="X376" s="149"/>
      <c r="Y376" s="149"/>
    </row>
    <row r="377" spans="22:25" x14ac:dyDescent="0.25">
      <c r="V377" s="154"/>
      <c r="W377" s="154"/>
      <c r="X377" s="149"/>
      <c r="Y377" s="149"/>
    </row>
    <row r="378" spans="22:25" x14ac:dyDescent="0.25">
      <c r="V378" s="154"/>
      <c r="W378" s="154"/>
      <c r="X378" s="149"/>
      <c r="Y378" s="149"/>
    </row>
    <row r="379" spans="22:25" x14ac:dyDescent="0.25">
      <c r="V379" s="154"/>
      <c r="W379" s="154"/>
      <c r="X379" s="149"/>
      <c r="Y379" s="149"/>
    </row>
    <row r="380" spans="22:25" x14ac:dyDescent="0.25">
      <c r="V380" s="154"/>
      <c r="W380" s="154"/>
      <c r="X380" s="149"/>
      <c r="Y380" s="149"/>
    </row>
    <row r="381" spans="22:25" x14ac:dyDescent="0.25">
      <c r="V381" s="154"/>
      <c r="W381" s="154"/>
      <c r="X381" s="149"/>
      <c r="Y381" s="149"/>
    </row>
    <row r="382" spans="22:25" x14ac:dyDescent="0.25">
      <c r="V382" s="154"/>
      <c r="W382" s="154"/>
      <c r="X382" s="149"/>
      <c r="Y382" s="149"/>
    </row>
    <row r="383" spans="22:25" x14ac:dyDescent="0.25">
      <c r="V383" s="154"/>
      <c r="W383" s="154"/>
      <c r="X383" s="149"/>
      <c r="Y383" s="149"/>
    </row>
    <row r="384" spans="22:25" x14ac:dyDescent="0.25">
      <c r="V384" s="154"/>
      <c r="W384" s="154"/>
      <c r="X384" s="149"/>
      <c r="Y384" s="149"/>
    </row>
    <row r="385" spans="22:25" x14ac:dyDescent="0.25">
      <c r="V385" s="154"/>
      <c r="W385" s="154"/>
      <c r="X385" s="149"/>
      <c r="Y385" s="149"/>
    </row>
    <row r="386" spans="22:25" x14ac:dyDescent="0.25">
      <c r="V386" s="154"/>
      <c r="W386" s="154"/>
      <c r="X386" s="149"/>
      <c r="Y386" s="149"/>
    </row>
    <row r="387" spans="22:25" x14ac:dyDescent="0.25">
      <c r="V387" s="154"/>
      <c r="W387" s="154"/>
      <c r="X387" s="149"/>
      <c r="Y387" s="149"/>
    </row>
    <row r="388" spans="22:25" x14ac:dyDescent="0.25">
      <c r="V388" s="154"/>
      <c r="W388" s="154"/>
      <c r="X388" s="149"/>
      <c r="Y388" s="149"/>
    </row>
    <row r="389" spans="22:25" x14ac:dyDescent="0.25">
      <c r="V389" s="154"/>
      <c r="W389" s="154"/>
      <c r="X389" s="149"/>
      <c r="Y389" s="149"/>
    </row>
    <row r="390" spans="22:25" x14ac:dyDescent="0.25">
      <c r="V390" s="154"/>
      <c r="W390" s="154"/>
      <c r="X390" s="149"/>
      <c r="Y390" s="149"/>
    </row>
    <row r="391" spans="22:25" x14ac:dyDescent="0.25">
      <c r="V391" s="154"/>
      <c r="W391" s="154"/>
      <c r="X391" s="149"/>
      <c r="Y391" s="149"/>
    </row>
    <row r="392" spans="22:25" x14ac:dyDescent="0.25">
      <c r="V392" s="154"/>
      <c r="W392" s="154"/>
      <c r="X392" s="149"/>
      <c r="Y392" s="149"/>
    </row>
    <row r="393" spans="22:25" x14ac:dyDescent="0.25">
      <c r="V393" s="154"/>
      <c r="W393" s="154"/>
      <c r="X393" s="149"/>
      <c r="Y393" s="149"/>
    </row>
    <row r="394" spans="22:25" x14ac:dyDescent="0.25">
      <c r="V394" s="154"/>
      <c r="W394" s="154"/>
      <c r="X394" s="149"/>
      <c r="Y394" s="149"/>
    </row>
    <row r="395" spans="22:25" x14ac:dyDescent="0.25">
      <c r="V395" s="154"/>
      <c r="W395" s="154"/>
      <c r="X395" s="149"/>
      <c r="Y395" s="149"/>
    </row>
    <row r="396" spans="22:25" x14ac:dyDescent="0.25">
      <c r="V396" s="154"/>
      <c r="W396" s="154"/>
      <c r="X396" s="149"/>
      <c r="Y396" s="149"/>
    </row>
    <row r="397" spans="22:25" x14ac:dyDescent="0.25">
      <c r="V397" s="154"/>
      <c r="W397" s="154"/>
      <c r="X397" s="149"/>
      <c r="Y397" s="149"/>
    </row>
    <row r="398" spans="22:25" x14ac:dyDescent="0.25">
      <c r="V398" s="154"/>
      <c r="W398" s="154"/>
      <c r="X398" s="149"/>
      <c r="Y398" s="149"/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19</vt:i4>
      </vt:variant>
      <vt:variant>
        <vt:lpstr>Named Ranges</vt:lpstr>
      </vt:variant>
      <vt:variant>
        <vt:i4>133</vt:i4>
      </vt:variant>
    </vt:vector>
  </HeadingPairs>
  <TitlesOfParts>
    <vt:vector baseType="lpstr" size="152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CoeffDef_DayPattern</vt:lpstr>
      <vt:lpstr>CoeffDef_WBSubtour</vt:lpstr>
      <vt:lpstr>input_stops</vt:lpstr>
      <vt:lpstr>DayPatternCoefficients</vt:lpstr>
      <vt:lpstr>WorkbasedSubtourGenerationCoeff</vt:lpstr>
      <vt:lpstr>calibration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Nagendra Dhakar</cp:lastModifiedBy>
  <dcterms:modified xsi:type="dcterms:W3CDTF">2017-07-20T21:00:54Z</dcterms:modified>
</cp:coreProperties>
</file>